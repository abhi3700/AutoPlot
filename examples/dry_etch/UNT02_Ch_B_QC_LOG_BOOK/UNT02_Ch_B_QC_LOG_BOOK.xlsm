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UNT02_Ch_B_QC_LOG_BOOK\"/>
    </mc:Choice>
  </mc:AlternateContent>
  <xr:revisionPtr revIDLastSave="0" documentId="13_ncr:1_{DA92676C-E17A-4152-87A7-363E0068E5F5}" xr6:coauthVersionLast="45" xr6:coauthVersionMax="45" xr10:uidLastSave="{00000000-0000-0000-0000-000000000000}"/>
  <bookViews>
    <workbookView xWindow="-108" yWindow="-108" windowWidth="23256" windowHeight="12576" tabRatio="453" xr2:uid="{00000000-000D-0000-FFFF-FFFF00000000}"/>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definedNames>
    <definedName name="_xlnm._FilterDatabase" localSheetId="1" hidden="1">'ER-BARC,PR &amp; TEOS'!$A$13:$AC$1639</definedName>
    <definedName name="_xlnm._FilterDatabase" localSheetId="0" hidden="1">'RESP1B-CP'!$A$9:$K$369</definedName>
    <definedName name="_xlnm._FilterDatabase" localSheetId="2" hidden="1">'SIN ER'!$A$9:$AF$600</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618" i="6" l="1"/>
  <c r="P618" i="6"/>
  <c r="O618" i="6"/>
  <c r="N618" i="6"/>
  <c r="M618" i="6"/>
  <c r="L618" i="6"/>
  <c r="K618" i="6"/>
  <c r="J618" i="6"/>
  <c r="I618" i="6"/>
  <c r="H618" i="6"/>
  <c r="G618" i="6"/>
  <c r="F618" i="6"/>
  <c r="E618" i="6"/>
  <c r="V616" i="6" s="1"/>
  <c r="N1639" i="5"/>
  <c r="M1639" i="5"/>
  <c r="L1639" i="5"/>
  <c r="K1639" i="5"/>
  <c r="J1639" i="5"/>
  <c r="I1639" i="5"/>
  <c r="H1639" i="5"/>
  <c r="G1639" i="5"/>
  <c r="F1639" i="5"/>
  <c r="N1636" i="5"/>
  <c r="M1636" i="5"/>
  <c r="L1636" i="5"/>
  <c r="K1636" i="5"/>
  <c r="J1636" i="5"/>
  <c r="I1636" i="5"/>
  <c r="H1636" i="5"/>
  <c r="G1636" i="5"/>
  <c r="F1636" i="5"/>
  <c r="N1633" i="5"/>
  <c r="M1633" i="5"/>
  <c r="L1633" i="5"/>
  <c r="K1633" i="5"/>
  <c r="J1633" i="5"/>
  <c r="I1633" i="5"/>
  <c r="H1633" i="5"/>
  <c r="G1633" i="5"/>
  <c r="F1633" i="5"/>
  <c r="Q615" i="6"/>
  <c r="P615" i="6"/>
  <c r="O615" i="6"/>
  <c r="N615" i="6"/>
  <c r="M615" i="6"/>
  <c r="L615" i="6"/>
  <c r="K615" i="6"/>
  <c r="J615" i="6"/>
  <c r="I615" i="6"/>
  <c r="H615" i="6"/>
  <c r="G615" i="6"/>
  <c r="F615" i="6"/>
  <c r="E615" i="6"/>
  <c r="S613" i="6" s="1"/>
  <c r="N1630" i="5"/>
  <c r="M1630" i="5"/>
  <c r="L1630" i="5"/>
  <c r="K1630" i="5"/>
  <c r="J1630" i="5"/>
  <c r="I1630" i="5"/>
  <c r="H1630" i="5"/>
  <c r="G1630" i="5"/>
  <c r="F1630" i="5"/>
  <c r="N1627" i="5"/>
  <c r="M1627" i="5"/>
  <c r="L1627" i="5"/>
  <c r="K1627" i="5"/>
  <c r="J1627" i="5"/>
  <c r="I1627" i="5"/>
  <c r="H1627" i="5"/>
  <c r="G1627" i="5"/>
  <c r="F1627" i="5"/>
  <c r="N1624" i="5"/>
  <c r="M1624" i="5"/>
  <c r="L1624" i="5"/>
  <c r="K1624" i="5"/>
  <c r="J1624" i="5"/>
  <c r="I1624" i="5"/>
  <c r="H1624" i="5"/>
  <c r="G1624" i="5"/>
  <c r="F1624" i="5"/>
  <c r="E321" i="4"/>
  <c r="H321" i="4" s="1"/>
  <c r="Q612" i="6"/>
  <c r="P612" i="6"/>
  <c r="O612" i="6"/>
  <c r="N612" i="6"/>
  <c r="M612" i="6"/>
  <c r="L612" i="6"/>
  <c r="K612" i="6"/>
  <c r="J612" i="6"/>
  <c r="I612" i="6"/>
  <c r="H612" i="6"/>
  <c r="G612" i="6"/>
  <c r="F612" i="6"/>
  <c r="E612" i="6"/>
  <c r="N1621" i="5"/>
  <c r="M1621" i="5"/>
  <c r="L1621" i="5"/>
  <c r="K1621" i="5"/>
  <c r="J1621" i="5"/>
  <c r="I1621" i="5"/>
  <c r="H1621" i="5"/>
  <c r="G1621" i="5"/>
  <c r="F1621" i="5"/>
  <c r="N1618" i="5"/>
  <c r="M1618" i="5"/>
  <c r="L1618" i="5"/>
  <c r="K1618" i="5"/>
  <c r="J1618" i="5"/>
  <c r="I1618" i="5"/>
  <c r="H1618" i="5"/>
  <c r="G1618" i="5"/>
  <c r="F1618" i="5"/>
  <c r="N1615" i="5"/>
  <c r="M1615" i="5"/>
  <c r="L1615" i="5"/>
  <c r="K1615" i="5"/>
  <c r="J1615" i="5"/>
  <c r="I1615" i="5"/>
  <c r="H1615" i="5"/>
  <c r="G1615" i="5"/>
  <c r="F1615" i="5"/>
  <c r="Q609" i="6"/>
  <c r="P609" i="6"/>
  <c r="O609" i="6"/>
  <c r="N609" i="6"/>
  <c r="M609" i="6"/>
  <c r="L609" i="6"/>
  <c r="K609" i="6"/>
  <c r="J609" i="6"/>
  <c r="I609" i="6"/>
  <c r="H609" i="6"/>
  <c r="G609" i="6"/>
  <c r="F609" i="6"/>
  <c r="E609" i="6"/>
  <c r="N1612" i="5"/>
  <c r="M1612" i="5"/>
  <c r="L1612" i="5"/>
  <c r="K1612" i="5"/>
  <c r="J1612" i="5"/>
  <c r="I1612" i="5"/>
  <c r="H1612" i="5"/>
  <c r="G1612" i="5"/>
  <c r="F1612" i="5"/>
  <c r="N1609" i="5"/>
  <c r="M1609" i="5"/>
  <c r="L1609" i="5"/>
  <c r="K1609" i="5"/>
  <c r="J1609" i="5"/>
  <c r="I1609" i="5"/>
  <c r="H1609" i="5"/>
  <c r="G1609" i="5"/>
  <c r="F1609" i="5"/>
  <c r="N1606" i="5"/>
  <c r="M1606" i="5"/>
  <c r="L1606" i="5"/>
  <c r="K1606" i="5"/>
  <c r="J1606" i="5"/>
  <c r="I1606" i="5"/>
  <c r="H1606" i="5"/>
  <c r="G1606" i="5"/>
  <c r="F1606" i="5"/>
  <c r="Q606" i="6"/>
  <c r="P606" i="6"/>
  <c r="O606" i="6"/>
  <c r="N606" i="6"/>
  <c r="M606" i="6"/>
  <c r="L606" i="6"/>
  <c r="K606" i="6"/>
  <c r="J606" i="6"/>
  <c r="I606" i="6"/>
  <c r="H606" i="6"/>
  <c r="G606" i="6"/>
  <c r="F606" i="6"/>
  <c r="T604" i="6" s="1"/>
  <c r="E606" i="6"/>
  <c r="O1628" i="5" l="1"/>
  <c r="S1616" i="5"/>
  <c r="P1622" i="5"/>
  <c r="P1628" i="5"/>
  <c r="R1628" i="5" s="1"/>
  <c r="S1628" i="5"/>
  <c r="O1631" i="5"/>
  <c r="S1625" i="5"/>
  <c r="O1625" i="5"/>
  <c r="P1634" i="5"/>
  <c r="S1637" i="5"/>
  <c r="S616" i="6"/>
  <c r="R616" i="6"/>
  <c r="U616" i="6" s="1"/>
  <c r="T616" i="6"/>
  <c r="Q1634" i="5"/>
  <c r="S1634" i="5"/>
  <c r="P1631" i="5"/>
  <c r="Q1637" i="5"/>
  <c r="O1634" i="5"/>
  <c r="P1637" i="5"/>
  <c r="S1631" i="5"/>
  <c r="Q1631" i="5"/>
  <c r="O1637" i="5"/>
  <c r="T613" i="6"/>
  <c r="Q1625" i="5"/>
  <c r="R613" i="6"/>
  <c r="U613" i="6" s="1"/>
  <c r="V613" i="6"/>
  <c r="Q1622" i="5"/>
  <c r="O1622" i="5"/>
  <c r="S1622" i="5"/>
  <c r="P1625" i="5"/>
  <c r="Q1628" i="5"/>
  <c r="Q1607" i="5"/>
  <c r="P1610" i="5"/>
  <c r="P1604" i="5"/>
  <c r="Q1619" i="5"/>
  <c r="S1619" i="5"/>
  <c r="P1616" i="5"/>
  <c r="Q1616" i="5"/>
  <c r="T610" i="6"/>
  <c r="V610" i="6"/>
  <c r="O1613" i="5"/>
  <c r="Q1613" i="5"/>
  <c r="S1613" i="5"/>
  <c r="P1613" i="5"/>
  <c r="S610" i="6"/>
  <c r="R610" i="6"/>
  <c r="O1616" i="5"/>
  <c r="P1619" i="5"/>
  <c r="O1619" i="5"/>
  <c r="S1610" i="5"/>
  <c r="Q1610" i="5"/>
  <c r="O1607" i="5"/>
  <c r="S1607" i="5"/>
  <c r="Q1604" i="5"/>
  <c r="T607" i="6"/>
  <c r="V607" i="6"/>
  <c r="S607" i="6"/>
  <c r="R607" i="6"/>
  <c r="O1604" i="5"/>
  <c r="S1604" i="5"/>
  <c r="P1607" i="5"/>
  <c r="O1610" i="5"/>
  <c r="R1610" i="5" s="1"/>
  <c r="S604" i="6"/>
  <c r="V604" i="6"/>
  <c r="R604" i="6"/>
  <c r="Q603" i="6"/>
  <c r="P603" i="6"/>
  <c r="O603" i="6"/>
  <c r="N603" i="6"/>
  <c r="M603" i="6"/>
  <c r="L603" i="6"/>
  <c r="K603" i="6"/>
  <c r="J603" i="6"/>
  <c r="I603" i="6"/>
  <c r="H603" i="6"/>
  <c r="G603" i="6"/>
  <c r="F603" i="6"/>
  <c r="E603" i="6"/>
  <c r="R1613" i="5" l="1"/>
  <c r="R1622" i="5"/>
  <c r="T1622" i="5" s="1"/>
  <c r="R1625" i="5"/>
  <c r="T1625" i="5" s="1"/>
  <c r="W613" i="6"/>
  <c r="R1631" i="5"/>
  <c r="T1631" i="5" s="1"/>
  <c r="R1604" i="5"/>
  <c r="T1604" i="5" s="1"/>
  <c r="T1628" i="5"/>
  <c r="R1637" i="5"/>
  <c r="T1637" i="5" s="1"/>
  <c r="R1634" i="5"/>
  <c r="T1634" i="5" s="1"/>
  <c r="W616" i="6"/>
  <c r="U604" i="6"/>
  <c r="W604" i="6" s="1"/>
  <c r="R1619" i="5"/>
  <c r="T1619" i="5" s="1"/>
  <c r="R1616" i="5"/>
  <c r="T1616" i="5" s="1"/>
  <c r="T1613" i="5"/>
  <c r="U610" i="6"/>
  <c r="W610" i="6" s="1"/>
  <c r="T1610" i="5"/>
  <c r="R1607" i="5"/>
  <c r="T1607" i="5" s="1"/>
  <c r="U607" i="6"/>
  <c r="W607" i="6" s="1"/>
  <c r="V601" i="6"/>
  <c r="S601" i="6"/>
  <c r="T601" i="6"/>
  <c r="R601" i="6"/>
  <c r="N1603" i="5"/>
  <c r="M1603" i="5"/>
  <c r="L1603" i="5"/>
  <c r="K1603" i="5"/>
  <c r="J1603" i="5"/>
  <c r="I1603" i="5"/>
  <c r="H1603" i="5"/>
  <c r="G1603" i="5"/>
  <c r="F1603" i="5"/>
  <c r="N1600" i="5"/>
  <c r="M1600" i="5"/>
  <c r="L1600" i="5"/>
  <c r="K1600" i="5"/>
  <c r="J1600" i="5"/>
  <c r="I1600" i="5"/>
  <c r="H1600" i="5"/>
  <c r="G1600" i="5"/>
  <c r="F1600" i="5"/>
  <c r="N1597" i="5"/>
  <c r="M1597" i="5"/>
  <c r="L1597" i="5"/>
  <c r="K1597" i="5"/>
  <c r="J1597" i="5"/>
  <c r="I1597" i="5"/>
  <c r="H1597" i="5"/>
  <c r="G1597" i="5"/>
  <c r="F1597" i="5"/>
  <c r="N1594" i="5"/>
  <c r="M1594" i="5"/>
  <c r="L1594" i="5"/>
  <c r="K1594" i="5"/>
  <c r="J1594" i="5"/>
  <c r="I1594" i="5"/>
  <c r="H1594" i="5"/>
  <c r="G1594" i="5"/>
  <c r="F1594" i="5"/>
  <c r="N1591" i="5"/>
  <c r="M1591" i="5"/>
  <c r="L1591" i="5"/>
  <c r="K1591" i="5"/>
  <c r="J1591" i="5"/>
  <c r="I1591" i="5"/>
  <c r="H1591" i="5"/>
  <c r="G1591" i="5"/>
  <c r="F1591" i="5"/>
  <c r="N1588" i="5"/>
  <c r="M1588" i="5"/>
  <c r="L1588" i="5"/>
  <c r="K1588" i="5"/>
  <c r="J1588" i="5"/>
  <c r="I1588" i="5"/>
  <c r="H1588" i="5"/>
  <c r="G1588" i="5"/>
  <c r="F1588" i="5"/>
  <c r="E317" i="4"/>
  <c r="H317" i="4" s="1"/>
  <c r="N1585" i="5"/>
  <c r="M1585" i="5"/>
  <c r="L1585" i="5"/>
  <c r="K1585" i="5"/>
  <c r="J1585" i="5"/>
  <c r="I1585" i="5"/>
  <c r="H1585" i="5"/>
  <c r="G1585" i="5"/>
  <c r="F1585" i="5"/>
  <c r="N1582" i="5"/>
  <c r="M1582" i="5"/>
  <c r="L1582" i="5"/>
  <c r="K1582" i="5"/>
  <c r="J1582" i="5"/>
  <c r="I1582" i="5"/>
  <c r="H1582" i="5"/>
  <c r="G1582" i="5"/>
  <c r="F1582" i="5"/>
  <c r="N1579" i="5"/>
  <c r="M1579" i="5"/>
  <c r="L1579" i="5"/>
  <c r="K1579" i="5"/>
  <c r="J1579" i="5"/>
  <c r="I1579" i="5"/>
  <c r="H1579" i="5"/>
  <c r="G1579" i="5"/>
  <c r="F1579" i="5"/>
  <c r="N1576" i="5"/>
  <c r="M1576" i="5"/>
  <c r="L1576" i="5"/>
  <c r="K1576" i="5"/>
  <c r="J1576" i="5"/>
  <c r="I1576" i="5"/>
  <c r="H1576" i="5"/>
  <c r="G1576" i="5"/>
  <c r="F1576" i="5"/>
  <c r="N1573" i="5"/>
  <c r="M1573" i="5"/>
  <c r="L1573" i="5"/>
  <c r="K1573" i="5"/>
  <c r="J1573" i="5"/>
  <c r="I1573" i="5"/>
  <c r="H1573" i="5"/>
  <c r="G1573" i="5"/>
  <c r="F1573" i="5"/>
  <c r="N1570" i="5"/>
  <c r="M1570" i="5"/>
  <c r="L1570" i="5"/>
  <c r="K1570" i="5"/>
  <c r="J1570" i="5"/>
  <c r="I1570" i="5"/>
  <c r="H1570" i="5"/>
  <c r="G1570" i="5"/>
  <c r="F1570" i="5"/>
  <c r="F1564" i="5"/>
  <c r="F1567" i="5"/>
  <c r="E313" i="4"/>
  <c r="H313" i="4" s="1"/>
  <c r="S1574" i="5" l="1"/>
  <c r="S1598" i="5"/>
  <c r="Q1589" i="5"/>
  <c r="U601" i="6"/>
  <c r="W601" i="6" s="1"/>
  <c r="Q1601" i="5"/>
  <c r="P1601" i="5"/>
  <c r="S1601" i="5"/>
  <c r="Q1598" i="5"/>
  <c r="P1598" i="5"/>
  <c r="O1598" i="5"/>
  <c r="P1595" i="5"/>
  <c r="Q1595" i="5"/>
  <c r="O1601" i="5"/>
  <c r="O1595" i="5"/>
  <c r="S1595" i="5"/>
  <c r="P1592" i="5"/>
  <c r="S1592" i="5"/>
  <c r="Q1592" i="5"/>
  <c r="P1589" i="5"/>
  <c r="S1589" i="5"/>
  <c r="O1589" i="5"/>
  <c r="P1586" i="5"/>
  <c r="Q1586" i="5"/>
  <c r="O1592" i="5"/>
  <c r="R1592" i="5" s="1"/>
  <c r="O1586" i="5"/>
  <c r="S1586" i="5"/>
  <c r="Q1577" i="5"/>
  <c r="S1580" i="5"/>
  <c r="P1583" i="5"/>
  <c r="S1583" i="5"/>
  <c r="Q1580" i="5"/>
  <c r="S1577" i="5"/>
  <c r="P1577" i="5"/>
  <c r="O1577" i="5"/>
  <c r="P1580" i="5"/>
  <c r="Q1583" i="5"/>
  <c r="O1583" i="5"/>
  <c r="R1583" i="5" s="1"/>
  <c r="O1580" i="5"/>
  <c r="Q1574" i="5"/>
  <c r="P1574" i="5"/>
  <c r="O1574" i="5"/>
  <c r="S1571" i="5"/>
  <c r="Q1571" i="5"/>
  <c r="P1571" i="5"/>
  <c r="O1571" i="5"/>
  <c r="P1568" i="5"/>
  <c r="S1568" i="5"/>
  <c r="Q1568" i="5"/>
  <c r="O1568" i="5"/>
  <c r="E292" i="4"/>
  <c r="H292" i="4" s="1"/>
  <c r="E291" i="4"/>
  <c r="H291" i="4" s="1"/>
  <c r="E290" i="4"/>
  <c r="H290" i="4" s="1"/>
  <c r="E289" i="4"/>
  <c r="H289" i="4" s="1"/>
  <c r="E287" i="4"/>
  <c r="E288" i="4"/>
  <c r="H288" i="4" s="1"/>
  <c r="N1567" i="5"/>
  <c r="M1567" i="5"/>
  <c r="L1567" i="5"/>
  <c r="K1567" i="5"/>
  <c r="J1567" i="5"/>
  <c r="I1567" i="5"/>
  <c r="H1567" i="5"/>
  <c r="G1567" i="5"/>
  <c r="N1564" i="5"/>
  <c r="M1564" i="5"/>
  <c r="L1564" i="5"/>
  <c r="K1564" i="5"/>
  <c r="J1564" i="5"/>
  <c r="I1564" i="5"/>
  <c r="H1564" i="5"/>
  <c r="G1564" i="5"/>
  <c r="N1561" i="5"/>
  <c r="M1561" i="5"/>
  <c r="L1561" i="5"/>
  <c r="K1561" i="5"/>
  <c r="J1561" i="5"/>
  <c r="I1561" i="5"/>
  <c r="H1561" i="5"/>
  <c r="G1561" i="5"/>
  <c r="F1561" i="5"/>
  <c r="N1558" i="5"/>
  <c r="M1558" i="5"/>
  <c r="L1558" i="5"/>
  <c r="K1558" i="5"/>
  <c r="J1558" i="5"/>
  <c r="I1558" i="5"/>
  <c r="H1558" i="5"/>
  <c r="G1558" i="5"/>
  <c r="F1558" i="5"/>
  <c r="N1555" i="5"/>
  <c r="M1555" i="5"/>
  <c r="L1555" i="5"/>
  <c r="K1555" i="5"/>
  <c r="J1555" i="5"/>
  <c r="I1555" i="5"/>
  <c r="H1555" i="5"/>
  <c r="G1555" i="5"/>
  <c r="F1555" i="5"/>
  <c r="N1552" i="5"/>
  <c r="M1552" i="5"/>
  <c r="L1552" i="5"/>
  <c r="K1552" i="5"/>
  <c r="J1552" i="5"/>
  <c r="I1552" i="5"/>
  <c r="H1552" i="5"/>
  <c r="G1552" i="5"/>
  <c r="F1552" i="5"/>
  <c r="N1549" i="5"/>
  <c r="M1549" i="5"/>
  <c r="L1549" i="5"/>
  <c r="K1549" i="5"/>
  <c r="J1549" i="5"/>
  <c r="I1549" i="5"/>
  <c r="H1549" i="5"/>
  <c r="G1549" i="5"/>
  <c r="F1549" i="5"/>
  <c r="N1546" i="5"/>
  <c r="M1546" i="5"/>
  <c r="L1546" i="5"/>
  <c r="K1546" i="5"/>
  <c r="J1546" i="5"/>
  <c r="I1546" i="5"/>
  <c r="H1546" i="5"/>
  <c r="G1546" i="5"/>
  <c r="F1546" i="5"/>
  <c r="N1543" i="5"/>
  <c r="M1543" i="5"/>
  <c r="L1543" i="5"/>
  <c r="K1543" i="5"/>
  <c r="J1543" i="5"/>
  <c r="I1543" i="5"/>
  <c r="H1543" i="5"/>
  <c r="G1543" i="5"/>
  <c r="F1543" i="5"/>
  <c r="N1540" i="5"/>
  <c r="M1540" i="5"/>
  <c r="L1540" i="5"/>
  <c r="K1540" i="5"/>
  <c r="J1540" i="5"/>
  <c r="I1540" i="5"/>
  <c r="H1540" i="5"/>
  <c r="G1540" i="5"/>
  <c r="F1540" i="5"/>
  <c r="N1537" i="5"/>
  <c r="M1537" i="5"/>
  <c r="L1537" i="5"/>
  <c r="K1537" i="5"/>
  <c r="J1537" i="5"/>
  <c r="I1537" i="5"/>
  <c r="H1537" i="5"/>
  <c r="G1537" i="5"/>
  <c r="F1537" i="5"/>
  <c r="N1534" i="5"/>
  <c r="M1534" i="5"/>
  <c r="L1534" i="5"/>
  <c r="K1534" i="5"/>
  <c r="J1534" i="5"/>
  <c r="I1534" i="5"/>
  <c r="H1534" i="5"/>
  <c r="G1534" i="5"/>
  <c r="F1534" i="5"/>
  <c r="N1531" i="5"/>
  <c r="M1531" i="5"/>
  <c r="L1531" i="5"/>
  <c r="K1531" i="5"/>
  <c r="J1531" i="5"/>
  <c r="I1531" i="5"/>
  <c r="H1531" i="5"/>
  <c r="G1531" i="5"/>
  <c r="F1531" i="5"/>
  <c r="N1528" i="5"/>
  <c r="M1528" i="5"/>
  <c r="L1528" i="5"/>
  <c r="K1528" i="5"/>
  <c r="J1528" i="5"/>
  <c r="I1528" i="5"/>
  <c r="H1528" i="5"/>
  <c r="G1528" i="5"/>
  <c r="F1528" i="5"/>
  <c r="N1525" i="5"/>
  <c r="M1525" i="5"/>
  <c r="L1525" i="5"/>
  <c r="K1525" i="5"/>
  <c r="J1525" i="5"/>
  <c r="I1525" i="5"/>
  <c r="H1525" i="5"/>
  <c r="G1525" i="5"/>
  <c r="F1525" i="5"/>
  <c r="N1522" i="5"/>
  <c r="M1522" i="5"/>
  <c r="L1522" i="5"/>
  <c r="K1522" i="5"/>
  <c r="J1522" i="5"/>
  <c r="I1522" i="5"/>
  <c r="H1522" i="5"/>
  <c r="G1522" i="5"/>
  <c r="F1522" i="5"/>
  <c r="N1519" i="5"/>
  <c r="M1519" i="5"/>
  <c r="L1519" i="5"/>
  <c r="K1519" i="5"/>
  <c r="J1519" i="5"/>
  <c r="I1519" i="5"/>
  <c r="H1519" i="5"/>
  <c r="G1519" i="5"/>
  <c r="F1519" i="5"/>
  <c r="N1516" i="5"/>
  <c r="M1516" i="5"/>
  <c r="L1516" i="5"/>
  <c r="K1516" i="5"/>
  <c r="J1516" i="5"/>
  <c r="I1516" i="5"/>
  <c r="H1516" i="5"/>
  <c r="G1516" i="5"/>
  <c r="F1516" i="5"/>
  <c r="N1513" i="5"/>
  <c r="M1513" i="5"/>
  <c r="L1513" i="5"/>
  <c r="K1513" i="5"/>
  <c r="J1513" i="5"/>
  <c r="I1513" i="5"/>
  <c r="H1513" i="5"/>
  <c r="G1513" i="5"/>
  <c r="F1513" i="5"/>
  <c r="N1510" i="5"/>
  <c r="M1510" i="5"/>
  <c r="L1510" i="5"/>
  <c r="K1510" i="5"/>
  <c r="J1510" i="5"/>
  <c r="I1510" i="5"/>
  <c r="H1510" i="5"/>
  <c r="G1510" i="5"/>
  <c r="F1510" i="5"/>
  <c r="N1507" i="5"/>
  <c r="M1507" i="5"/>
  <c r="L1507" i="5"/>
  <c r="K1507" i="5"/>
  <c r="J1507" i="5"/>
  <c r="I1507" i="5"/>
  <c r="H1507" i="5"/>
  <c r="G1507" i="5"/>
  <c r="F1507" i="5"/>
  <c r="N1504" i="5"/>
  <c r="M1504" i="5"/>
  <c r="L1504" i="5"/>
  <c r="K1504" i="5"/>
  <c r="J1504" i="5"/>
  <c r="I1504" i="5"/>
  <c r="H1504" i="5"/>
  <c r="G1504" i="5"/>
  <c r="F1504" i="5"/>
  <c r="N1501" i="5"/>
  <c r="M1501" i="5"/>
  <c r="L1501" i="5"/>
  <c r="K1501" i="5"/>
  <c r="J1501" i="5"/>
  <c r="I1501" i="5"/>
  <c r="H1501" i="5"/>
  <c r="G1501" i="5"/>
  <c r="F1501" i="5"/>
  <c r="N1498" i="5"/>
  <c r="M1498" i="5"/>
  <c r="L1498" i="5"/>
  <c r="K1498" i="5"/>
  <c r="J1498" i="5"/>
  <c r="I1498" i="5"/>
  <c r="H1498" i="5"/>
  <c r="G1498" i="5"/>
  <c r="F1498" i="5"/>
  <c r="N1495" i="5"/>
  <c r="M1495" i="5"/>
  <c r="L1495" i="5"/>
  <c r="K1495" i="5"/>
  <c r="J1495" i="5"/>
  <c r="I1495" i="5"/>
  <c r="H1495" i="5"/>
  <c r="G1495" i="5"/>
  <c r="F1495" i="5"/>
  <c r="N1492" i="5"/>
  <c r="M1492" i="5"/>
  <c r="L1492" i="5"/>
  <c r="K1492" i="5"/>
  <c r="J1492" i="5"/>
  <c r="I1492" i="5"/>
  <c r="H1492" i="5"/>
  <c r="G1492" i="5"/>
  <c r="F1492" i="5"/>
  <c r="N1489" i="5"/>
  <c r="M1489" i="5"/>
  <c r="L1489" i="5"/>
  <c r="K1489" i="5"/>
  <c r="J1489" i="5"/>
  <c r="I1489" i="5"/>
  <c r="H1489" i="5"/>
  <c r="G1489" i="5"/>
  <c r="F1489" i="5"/>
  <c r="N1486" i="5"/>
  <c r="M1486" i="5"/>
  <c r="L1486" i="5"/>
  <c r="K1486" i="5"/>
  <c r="J1486" i="5"/>
  <c r="I1486" i="5"/>
  <c r="H1486" i="5"/>
  <c r="G1486" i="5"/>
  <c r="F1486" i="5"/>
  <c r="N1483" i="5"/>
  <c r="M1483" i="5"/>
  <c r="L1483" i="5"/>
  <c r="K1483" i="5"/>
  <c r="J1483" i="5"/>
  <c r="I1483" i="5"/>
  <c r="H1483" i="5"/>
  <c r="G1483" i="5"/>
  <c r="F1483" i="5"/>
  <c r="N1480" i="5"/>
  <c r="M1480" i="5"/>
  <c r="L1480" i="5"/>
  <c r="K1480" i="5"/>
  <c r="J1480" i="5"/>
  <c r="I1480" i="5"/>
  <c r="H1480" i="5"/>
  <c r="G1480" i="5"/>
  <c r="F1480" i="5"/>
  <c r="N1477" i="5"/>
  <c r="M1477" i="5"/>
  <c r="L1477" i="5"/>
  <c r="K1477" i="5"/>
  <c r="J1477" i="5"/>
  <c r="I1477" i="5"/>
  <c r="H1477" i="5"/>
  <c r="G1477" i="5"/>
  <c r="F1477" i="5"/>
  <c r="N1474" i="5"/>
  <c r="M1474" i="5"/>
  <c r="L1474" i="5"/>
  <c r="K1474" i="5"/>
  <c r="J1474" i="5"/>
  <c r="I1474" i="5"/>
  <c r="H1474" i="5"/>
  <c r="G1474" i="5"/>
  <c r="F1474" i="5"/>
  <c r="N1471" i="5"/>
  <c r="M1471" i="5"/>
  <c r="L1471" i="5"/>
  <c r="K1471" i="5"/>
  <c r="J1471" i="5"/>
  <c r="I1471" i="5"/>
  <c r="H1471" i="5"/>
  <c r="G1471" i="5"/>
  <c r="F1471" i="5"/>
  <c r="N1468" i="5"/>
  <c r="M1468" i="5"/>
  <c r="L1468" i="5"/>
  <c r="K1468" i="5"/>
  <c r="J1468" i="5"/>
  <c r="I1468" i="5"/>
  <c r="H1468" i="5"/>
  <c r="G1468" i="5"/>
  <c r="F1468" i="5"/>
  <c r="N1465" i="5"/>
  <c r="M1465" i="5"/>
  <c r="L1465" i="5"/>
  <c r="K1465" i="5"/>
  <c r="J1465" i="5"/>
  <c r="I1465" i="5"/>
  <c r="H1465" i="5"/>
  <c r="G1465" i="5"/>
  <c r="F1465" i="5"/>
  <c r="N1462" i="5"/>
  <c r="M1462" i="5"/>
  <c r="L1462" i="5"/>
  <c r="K1462" i="5"/>
  <c r="J1462" i="5"/>
  <c r="I1462" i="5"/>
  <c r="H1462" i="5"/>
  <c r="G1462" i="5"/>
  <c r="F1462" i="5"/>
  <c r="N1459" i="5"/>
  <c r="M1459" i="5"/>
  <c r="L1459" i="5"/>
  <c r="K1459" i="5"/>
  <c r="J1459" i="5"/>
  <c r="I1459" i="5"/>
  <c r="H1459" i="5"/>
  <c r="G1459" i="5"/>
  <c r="F1459" i="5"/>
  <c r="N1456" i="5"/>
  <c r="M1456" i="5"/>
  <c r="L1456" i="5"/>
  <c r="K1456" i="5"/>
  <c r="J1456" i="5"/>
  <c r="I1456" i="5"/>
  <c r="H1456" i="5"/>
  <c r="G1456" i="5"/>
  <c r="F1456" i="5"/>
  <c r="N1453" i="5"/>
  <c r="M1453" i="5"/>
  <c r="L1453" i="5"/>
  <c r="K1453" i="5"/>
  <c r="J1453" i="5"/>
  <c r="I1453" i="5"/>
  <c r="H1453" i="5"/>
  <c r="G1453" i="5"/>
  <c r="F1453" i="5"/>
  <c r="N1450" i="5"/>
  <c r="M1450" i="5"/>
  <c r="L1450" i="5"/>
  <c r="K1450" i="5"/>
  <c r="J1450" i="5"/>
  <c r="I1450" i="5"/>
  <c r="H1450" i="5"/>
  <c r="G1450" i="5"/>
  <c r="F1450" i="5"/>
  <c r="N1447" i="5"/>
  <c r="M1447" i="5"/>
  <c r="L1447" i="5"/>
  <c r="K1447" i="5"/>
  <c r="J1447" i="5"/>
  <c r="I1447" i="5"/>
  <c r="H1447" i="5"/>
  <c r="G1447" i="5"/>
  <c r="F1447" i="5"/>
  <c r="N1444" i="5"/>
  <c r="M1444" i="5"/>
  <c r="L1444" i="5"/>
  <c r="K1444" i="5"/>
  <c r="J1444" i="5"/>
  <c r="I1444" i="5"/>
  <c r="H1444" i="5"/>
  <c r="G1444" i="5"/>
  <c r="F1444" i="5"/>
  <c r="N1441" i="5"/>
  <c r="M1441" i="5"/>
  <c r="L1441" i="5"/>
  <c r="K1441" i="5"/>
  <c r="J1441" i="5"/>
  <c r="I1441" i="5"/>
  <c r="H1441" i="5"/>
  <c r="G1441" i="5"/>
  <c r="F1441" i="5"/>
  <c r="N1438" i="5"/>
  <c r="M1438" i="5"/>
  <c r="L1438" i="5"/>
  <c r="K1438" i="5"/>
  <c r="J1438" i="5"/>
  <c r="I1438" i="5"/>
  <c r="H1438" i="5"/>
  <c r="G1438" i="5"/>
  <c r="F1438" i="5"/>
  <c r="N1435" i="5"/>
  <c r="M1435" i="5"/>
  <c r="L1435" i="5"/>
  <c r="K1435" i="5"/>
  <c r="J1435" i="5"/>
  <c r="I1435" i="5"/>
  <c r="H1435" i="5"/>
  <c r="G1435" i="5"/>
  <c r="F1435" i="5"/>
  <c r="E284" i="4"/>
  <c r="H284" i="4" s="1"/>
  <c r="E283" i="4"/>
  <c r="H283" i="4" s="1"/>
  <c r="E280" i="4"/>
  <c r="H280" i="4" s="1"/>
  <c r="R1598" i="5" l="1"/>
  <c r="R1568" i="5"/>
  <c r="T1568" i="5" s="1"/>
  <c r="R1586" i="5"/>
  <c r="T1586" i="5" s="1"/>
  <c r="R1601" i="5"/>
  <c r="T1601" i="5" s="1"/>
  <c r="O1442" i="5"/>
  <c r="O1514" i="5"/>
  <c r="P1526" i="5"/>
  <c r="O1550" i="5"/>
  <c r="O1559" i="5"/>
  <c r="O1562" i="5"/>
  <c r="O1565" i="5"/>
  <c r="P1487" i="5"/>
  <c r="P1448" i="5"/>
  <c r="P1436" i="5"/>
  <c r="P1469" i="5"/>
  <c r="P1472" i="5"/>
  <c r="O1505" i="5"/>
  <c r="O1454" i="5"/>
  <c r="P1457" i="5"/>
  <c r="O1481" i="5"/>
  <c r="P1490" i="5"/>
  <c r="P1493" i="5"/>
  <c r="O1502" i="5"/>
  <c r="P1511" i="5"/>
  <c r="O1520" i="5"/>
  <c r="P1466" i="5"/>
  <c r="O1538" i="5"/>
  <c r="P1553" i="5"/>
  <c r="O1451" i="5"/>
  <c r="O1460" i="5"/>
  <c r="Q1508" i="5"/>
  <c r="P1478" i="5"/>
  <c r="O1523" i="5"/>
  <c r="P1529" i="5"/>
  <c r="P1535" i="5"/>
  <c r="P1559" i="5"/>
  <c r="Q1481" i="5"/>
  <c r="Q1442" i="5"/>
  <c r="P1463" i="5"/>
  <c r="P1445" i="5"/>
  <c r="R1445" i="5" s="1"/>
  <c r="P1454" i="5"/>
  <c r="P1460" i="5"/>
  <c r="O1484" i="5"/>
  <c r="O1487" i="5"/>
  <c r="R1487" i="5" s="1"/>
  <c r="Q1487" i="5"/>
  <c r="P1499" i="5"/>
  <c r="O1511" i="5"/>
  <c r="P1517" i="5"/>
  <c r="R1517" i="5" s="1"/>
  <c r="P1520" i="5"/>
  <c r="O1526" i="5"/>
  <c r="P1538" i="5"/>
  <c r="O1553" i="5"/>
  <c r="R1553" i="5" s="1"/>
  <c r="O1556" i="5"/>
  <c r="P1442" i="5"/>
  <c r="O1439" i="5"/>
  <c r="Q1439" i="5"/>
  <c r="O1445" i="5"/>
  <c r="O1457" i="5"/>
  <c r="P1475" i="5"/>
  <c r="P1496" i="5"/>
  <c r="P1502" i="5"/>
  <c r="P1505" i="5"/>
  <c r="O1517" i="5"/>
  <c r="O1532" i="5"/>
  <c r="O1535" i="5"/>
  <c r="O1544" i="5"/>
  <c r="P1547" i="5"/>
  <c r="O1547" i="5"/>
  <c r="R1547" i="5" s="1"/>
  <c r="P1565" i="5"/>
  <c r="Q1451" i="5"/>
  <c r="O1436" i="5"/>
  <c r="O1448" i="5"/>
  <c r="P1451" i="5"/>
  <c r="O1469" i="5"/>
  <c r="O1472" i="5"/>
  <c r="O1478" i="5"/>
  <c r="P1481" i="5"/>
  <c r="P1484" i="5"/>
  <c r="O1490" i="5"/>
  <c r="O1493" i="5"/>
  <c r="R1493" i="5" s="1"/>
  <c r="O1508" i="5"/>
  <c r="P1514" i="5"/>
  <c r="O1529" i="5"/>
  <c r="P1550" i="5"/>
  <c r="P1556" i="5"/>
  <c r="T1598" i="5"/>
  <c r="R1595" i="5"/>
  <c r="T1595" i="5" s="1"/>
  <c r="T1592" i="5"/>
  <c r="R1589" i="5"/>
  <c r="T1589" i="5" s="1"/>
  <c r="R1580" i="5"/>
  <c r="T1580" i="5" s="1"/>
  <c r="T1583" i="5"/>
  <c r="R1577" i="5"/>
  <c r="T1577" i="5" s="1"/>
  <c r="R1574" i="5"/>
  <c r="T1574" i="5" s="1"/>
  <c r="R1571" i="5"/>
  <c r="T1571" i="5" s="1"/>
  <c r="P1562" i="5"/>
  <c r="Q1562" i="5"/>
  <c r="Q1565" i="5"/>
  <c r="Q1559" i="5"/>
  <c r="Q1556" i="5"/>
  <c r="Q1553" i="5"/>
  <c r="Q1550" i="5"/>
  <c r="P1541" i="5"/>
  <c r="O1541" i="5"/>
  <c r="Q1547" i="5"/>
  <c r="Q1544" i="5"/>
  <c r="P1544" i="5"/>
  <c r="Q1541" i="5"/>
  <c r="Q1538" i="5"/>
  <c r="P1532" i="5"/>
  <c r="Q1532" i="5"/>
  <c r="Q1535" i="5"/>
  <c r="P1523" i="5"/>
  <c r="R1523" i="5" s="1"/>
  <c r="Q1523" i="5"/>
  <c r="Q1529" i="5"/>
  <c r="Q1526" i="5"/>
  <c r="R1520" i="5"/>
  <c r="Q1520" i="5"/>
  <c r="Q1514" i="5"/>
  <c r="Q1517" i="5"/>
  <c r="Q1511" i="5"/>
  <c r="P1508" i="5"/>
  <c r="Q1505" i="5"/>
  <c r="Q1502" i="5"/>
  <c r="O1499" i="5"/>
  <c r="Q1499" i="5"/>
  <c r="O1496" i="5"/>
  <c r="Q1496" i="5"/>
  <c r="Q1490" i="5"/>
  <c r="Q1493" i="5"/>
  <c r="S1478" i="5"/>
  <c r="Q1478" i="5"/>
  <c r="Q1484" i="5"/>
  <c r="O1475" i="5"/>
  <c r="Q1475" i="5"/>
  <c r="Q1472" i="5"/>
  <c r="Q1469" i="5"/>
  <c r="Q1460" i="5"/>
  <c r="Q1466" i="5"/>
  <c r="O1466" i="5"/>
  <c r="R1466" i="5" s="1"/>
  <c r="S1466" i="5"/>
  <c r="O1463" i="5"/>
  <c r="Q1463" i="5"/>
  <c r="Q1457" i="5"/>
  <c r="Q1454" i="5"/>
  <c r="Q1445" i="5"/>
  <c r="Q1448" i="5"/>
  <c r="O1433" i="5"/>
  <c r="P1433" i="5"/>
  <c r="Q1433" i="5"/>
  <c r="T1433" i="5" s="1"/>
  <c r="P1439" i="5"/>
  <c r="Q1436" i="5"/>
  <c r="S1454" i="5"/>
  <c r="S1439" i="5"/>
  <c r="S1490" i="5"/>
  <c r="S1493" i="5"/>
  <c r="S1538" i="5"/>
  <c r="S1559" i="5"/>
  <c r="S1448" i="5"/>
  <c r="S1514" i="5"/>
  <c r="S1535" i="5"/>
  <c r="S1496" i="5"/>
  <c r="S1523" i="5"/>
  <c r="S1526" i="5"/>
  <c r="S1547" i="5"/>
  <c r="S1550" i="5"/>
  <c r="S1562" i="5"/>
  <c r="S1445" i="5"/>
  <c r="S1475" i="5"/>
  <c r="S1502" i="5"/>
  <c r="S1436" i="5"/>
  <c r="S1463" i="5"/>
  <c r="S1481" i="5"/>
  <c r="S1484" i="5"/>
  <c r="S1433" i="5"/>
  <c r="S1457" i="5"/>
  <c r="S1460" i="5"/>
  <c r="S1487" i="5"/>
  <c r="S1508" i="5"/>
  <c r="S1469" i="5"/>
  <c r="S1511" i="5"/>
  <c r="S1565" i="5"/>
  <c r="S1442" i="5"/>
  <c r="S1451" i="5"/>
  <c r="S1472" i="5"/>
  <c r="S1499" i="5"/>
  <c r="S1505" i="5"/>
  <c r="S1517" i="5"/>
  <c r="S1520" i="5"/>
  <c r="S1529" i="5"/>
  <c r="S1532" i="5"/>
  <c r="S1541" i="5"/>
  <c r="S1544" i="5"/>
  <c r="S1553" i="5"/>
  <c r="S1556" i="5"/>
  <c r="F1408" i="5"/>
  <c r="F1411" i="5"/>
  <c r="F1414" i="5"/>
  <c r="F1405" i="5"/>
  <c r="G1405" i="5"/>
  <c r="H1405" i="5"/>
  <c r="I1405" i="5"/>
  <c r="J1405" i="5"/>
  <c r="K1405" i="5"/>
  <c r="L1405" i="5"/>
  <c r="M1405" i="5"/>
  <c r="N1405" i="5"/>
  <c r="G1408" i="5"/>
  <c r="H1408" i="5"/>
  <c r="I1408" i="5"/>
  <c r="J1408" i="5"/>
  <c r="K1408" i="5"/>
  <c r="L1408" i="5"/>
  <c r="M1408" i="5"/>
  <c r="N1408" i="5"/>
  <c r="G1411" i="5"/>
  <c r="H1411" i="5"/>
  <c r="I1411" i="5"/>
  <c r="J1411" i="5"/>
  <c r="K1411" i="5"/>
  <c r="L1411" i="5"/>
  <c r="M1411" i="5"/>
  <c r="N1411" i="5"/>
  <c r="E272" i="4"/>
  <c r="H272" i="4" s="1"/>
  <c r="N1333" i="5"/>
  <c r="M1333" i="5"/>
  <c r="L1333" i="5"/>
  <c r="K1333" i="5"/>
  <c r="J1333" i="5"/>
  <c r="I1333" i="5"/>
  <c r="H1333" i="5"/>
  <c r="G1333" i="5"/>
  <c r="F1333" i="5"/>
  <c r="R1496" i="5" l="1"/>
  <c r="R1475" i="5"/>
  <c r="R1499" i="5"/>
  <c r="R1508" i="5"/>
  <c r="T1508" i="5" s="1"/>
  <c r="R1544" i="5"/>
  <c r="R1490" i="5"/>
  <c r="T1490" i="5" s="1"/>
  <c r="R1457" i="5"/>
  <c r="T1457" i="5" s="1"/>
  <c r="R1526" i="5"/>
  <c r="T1526" i="5" s="1"/>
  <c r="R1472" i="5"/>
  <c r="T1472" i="5" s="1"/>
  <c r="R1535" i="5"/>
  <c r="T1535" i="5" s="1"/>
  <c r="R1502" i="5"/>
  <c r="T1502" i="5" s="1"/>
  <c r="R1505" i="5"/>
  <c r="T1505" i="5" s="1"/>
  <c r="R1559" i="5"/>
  <c r="T1559" i="5" s="1"/>
  <c r="R1439" i="5"/>
  <c r="T1439" i="5" s="1"/>
  <c r="R1556" i="5"/>
  <c r="T1556" i="5" s="1"/>
  <c r="R1481" i="5"/>
  <c r="T1481" i="5" s="1"/>
  <c r="R1451" i="5"/>
  <c r="T1451" i="5" s="1"/>
  <c r="R1442" i="5"/>
  <c r="T1442" i="5" s="1"/>
  <c r="R1511" i="5"/>
  <c r="T1511" i="5" s="1"/>
  <c r="R1484" i="5"/>
  <c r="T1484" i="5" s="1"/>
  <c r="R1538" i="5"/>
  <c r="R1565" i="5"/>
  <c r="T1475" i="5"/>
  <c r="R1532" i="5"/>
  <c r="T1532" i="5" s="1"/>
  <c r="R1550" i="5"/>
  <c r="T1550" i="5" s="1"/>
  <c r="R1478" i="5"/>
  <c r="T1478" i="5" s="1"/>
  <c r="R1448" i="5"/>
  <c r="T1448" i="5" s="1"/>
  <c r="R1529" i="5"/>
  <c r="T1529" i="5" s="1"/>
  <c r="R1460" i="5"/>
  <c r="T1460" i="5" s="1"/>
  <c r="R1454" i="5"/>
  <c r="T1454" i="5" s="1"/>
  <c r="R1436" i="5"/>
  <c r="T1436" i="5" s="1"/>
  <c r="R1514" i="5"/>
  <c r="T1514" i="5" s="1"/>
  <c r="R1463" i="5"/>
  <c r="T1463" i="5" s="1"/>
  <c r="R1469" i="5"/>
  <c r="T1469" i="5" s="1"/>
  <c r="R1562" i="5"/>
  <c r="T1562" i="5" s="1"/>
  <c r="T1517" i="5"/>
  <c r="T1496" i="5"/>
  <c r="R1541" i="5"/>
  <c r="T1541" i="5" s="1"/>
  <c r="T1466" i="5"/>
  <c r="T1493" i="5"/>
  <c r="T1487" i="5"/>
  <c r="T1520" i="5"/>
  <c r="T1565" i="5"/>
  <c r="T1553" i="5"/>
  <c r="T1547" i="5"/>
  <c r="T1544" i="5"/>
  <c r="T1538" i="5"/>
  <c r="T1523" i="5"/>
  <c r="T1499" i="5"/>
  <c r="T1445" i="5"/>
  <c r="R1433" i="5"/>
  <c r="N1330" i="5"/>
  <c r="M1330" i="5"/>
  <c r="L1330" i="5"/>
  <c r="K1330" i="5"/>
  <c r="J1330" i="5"/>
  <c r="I1330" i="5"/>
  <c r="H1330" i="5"/>
  <c r="G1330" i="5"/>
  <c r="F1330" i="5"/>
  <c r="N1327" i="5"/>
  <c r="M1327" i="5"/>
  <c r="L1327" i="5"/>
  <c r="K1327" i="5"/>
  <c r="J1327" i="5"/>
  <c r="I1327" i="5"/>
  <c r="H1327" i="5"/>
  <c r="G1327" i="5"/>
  <c r="F1327" i="5"/>
  <c r="F1324" i="5"/>
  <c r="N1315" i="5"/>
  <c r="M1315" i="5"/>
  <c r="L1315" i="5"/>
  <c r="K1315" i="5"/>
  <c r="J1315" i="5"/>
  <c r="I1315" i="5"/>
  <c r="H1315" i="5"/>
  <c r="G1315" i="5"/>
  <c r="F1315" i="5"/>
  <c r="P1313" i="5" l="1"/>
  <c r="P1325" i="5"/>
  <c r="O1313" i="5"/>
  <c r="Q1328" i="5"/>
  <c r="S1328" i="5"/>
  <c r="P1328" i="5"/>
  <c r="O1328" i="5"/>
  <c r="S1325" i="5"/>
  <c r="Q1325" i="5"/>
  <c r="O1325" i="5"/>
  <c r="R1325" i="5" s="1"/>
  <c r="S1313" i="5"/>
  <c r="Q1313" i="5"/>
  <c r="R1313" i="5" l="1"/>
  <c r="T1313" i="5" s="1"/>
  <c r="R1328" i="5"/>
  <c r="T1328" i="5" s="1"/>
  <c r="T1325" i="5"/>
  <c r="E264" i="4"/>
  <c r="H264" i="4" s="1"/>
  <c r="N1312" i="5"/>
  <c r="M1312" i="5"/>
  <c r="L1312" i="5"/>
  <c r="K1312" i="5"/>
  <c r="J1312" i="5"/>
  <c r="I1312" i="5"/>
  <c r="H1312" i="5"/>
  <c r="G1312" i="5"/>
  <c r="F1312" i="5"/>
  <c r="N1309" i="5"/>
  <c r="M1309" i="5"/>
  <c r="L1309" i="5"/>
  <c r="K1309" i="5"/>
  <c r="J1309" i="5"/>
  <c r="I1309" i="5"/>
  <c r="H1309" i="5"/>
  <c r="G1309" i="5"/>
  <c r="F1309" i="5"/>
  <c r="F1300" i="5"/>
  <c r="F1303" i="5"/>
  <c r="F1306" i="5"/>
  <c r="G1300" i="5"/>
  <c r="H1300" i="5"/>
  <c r="I1300" i="5"/>
  <c r="J1300" i="5"/>
  <c r="K1300" i="5"/>
  <c r="L1300" i="5"/>
  <c r="M1300" i="5"/>
  <c r="N1300" i="5"/>
  <c r="G1303" i="5"/>
  <c r="H1303" i="5"/>
  <c r="I1303" i="5"/>
  <c r="J1303" i="5"/>
  <c r="K1303" i="5"/>
  <c r="L1303" i="5"/>
  <c r="M1303" i="5"/>
  <c r="N1303" i="5"/>
  <c r="G1306" i="5"/>
  <c r="H1306" i="5"/>
  <c r="I1306" i="5"/>
  <c r="J1306" i="5"/>
  <c r="K1306" i="5"/>
  <c r="L1306" i="5"/>
  <c r="M1306" i="5"/>
  <c r="N1306" i="5"/>
  <c r="E260" i="4"/>
  <c r="H260" i="4" s="1"/>
  <c r="Q1307" i="5" l="1"/>
  <c r="Q1310" i="5"/>
  <c r="P1310" i="5"/>
  <c r="S1310" i="5"/>
  <c r="O1310" i="5"/>
  <c r="S1307" i="5"/>
  <c r="P1307" i="5"/>
  <c r="O1307" i="5"/>
  <c r="E259" i="4"/>
  <c r="H259" i="4" s="1"/>
  <c r="Q477" i="6"/>
  <c r="P477" i="6"/>
  <c r="O477" i="6"/>
  <c r="N477" i="6"/>
  <c r="M477" i="6"/>
  <c r="L477" i="6"/>
  <c r="K477" i="6"/>
  <c r="J477" i="6"/>
  <c r="I477" i="6"/>
  <c r="H477" i="6"/>
  <c r="G477" i="6"/>
  <c r="F477" i="6"/>
  <c r="E477" i="6"/>
  <c r="N1231" i="5"/>
  <c r="M1231" i="5"/>
  <c r="L1231" i="5"/>
  <c r="K1231" i="5"/>
  <c r="J1231" i="5"/>
  <c r="I1231" i="5"/>
  <c r="H1231" i="5"/>
  <c r="G1231" i="5"/>
  <c r="F1231" i="5"/>
  <c r="N1228" i="5"/>
  <c r="M1228" i="5"/>
  <c r="L1228" i="5"/>
  <c r="K1228" i="5"/>
  <c r="J1228" i="5"/>
  <c r="I1228" i="5"/>
  <c r="H1228" i="5"/>
  <c r="G1228" i="5"/>
  <c r="F1228" i="5"/>
  <c r="N1225" i="5"/>
  <c r="M1225" i="5"/>
  <c r="L1225" i="5"/>
  <c r="K1225" i="5"/>
  <c r="J1225" i="5"/>
  <c r="I1225" i="5"/>
  <c r="H1225" i="5"/>
  <c r="G1225" i="5"/>
  <c r="F1225" i="5"/>
  <c r="N1432" i="5"/>
  <c r="M1432" i="5"/>
  <c r="L1432" i="5"/>
  <c r="K1432" i="5"/>
  <c r="J1432" i="5"/>
  <c r="I1432" i="5"/>
  <c r="H1432" i="5"/>
  <c r="G1432" i="5"/>
  <c r="F1432" i="5"/>
  <c r="N1429" i="5"/>
  <c r="M1429" i="5"/>
  <c r="L1429" i="5"/>
  <c r="K1429" i="5"/>
  <c r="J1429" i="5"/>
  <c r="I1429" i="5"/>
  <c r="H1429" i="5"/>
  <c r="G1429" i="5"/>
  <c r="F1429" i="5"/>
  <c r="N1426" i="5"/>
  <c r="M1426" i="5"/>
  <c r="L1426" i="5"/>
  <c r="K1426" i="5"/>
  <c r="J1426" i="5"/>
  <c r="I1426" i="5"/>
  <c r="H1426" i="5"/>
  <c r="G1426" i="5"/>
  <c r="F1426" i="5"/>
  <c r="N1423" i="5"/>
  <c r="M1423" i="5"/>
  <c r="L1423" i="5"/>
  <c r="K1423" i="5"/>
  <c r="J1423" i="5"/>
  <c r="I1423" i="5"/>
  <c r="H1423" i="5"/>
  <c r="G1423" i="5"/>
  <c r="F1423" i="5"/>
  <c r="N1420" i="5"/>
  <c r="M1420" i="5"/>
  <c r="L1420" i="5"/>
  <c r="K1420" i="5"/>
  <c r="J1420" i="5"/>
  <c r="I1420" i="5"/>
  <c r="H1420" i="5"/>
  <c r="G1420" i="5"/>
  <c r="F1420" i="5"/>
  <c r="N1417" i="5"/>
  <c r="M1417" i="5"/>
  <c r="L1417" i="5"/>
  <c r="K1417" i="5"/>
  <c r="J1417" i="5"/>
  <c r="I1417" i="5"/>
  <c r="H1417" i="5"/>
  <c r="G1417" i="5"/>
  <c r="F1417" i="5"/>
  <c r="N1414" i="5"/>
  <c r="M1414" i="5"/>
  <c r="L1414" i="5"/>
  <c r="K1414" i="5"/>
  <c r="J1414" i="5"/>
  <c r="I1414" i="5"/>
  <c r="H1414" i="5"/>
  <c r="G1414" i="5"/>
  <c r="S1409" i="5"/>
  <c r="Q1409" i="5"/>
  <c r="P1409" i="5"/>
  <c r="O1409" i="5"/>
  <c r="S1406" i="5"/>
  <c r="Q1406" i="5"/>
  <c r="P1406" i="5"/>
  <c r="O1406" i="5"/>
  <c r="S1403" i="5"/>
  <c r="Q1403" i="5"/>
  <c r="P1403" i="5"/>
  <c r="O1403" i="5"/>
  <c r="N1402" i="5"/>
  <c r="M1402" i="5"/>
  <c r="L1402" i="5"/>
  <c r="K1402" i="5"/>
  <c r="J1402" i="5"/>
  <c r="I1402" i="5"/>
  <c r="H1402" i="5"/>
  <c r="G1402" i="5"/>
  <c r="F1402" i="5"/>
  <c r="N1399" i="5"/>
  <c r="M1399" i="5"/>
  <c r="L1399" i="5"/>
  <c r="K1399" i="5"/>
  <c r="J1399" i="5"/>
  <c r="I1399" i="5"/>
  <c r="H1399" i="5"/>
  <c r="G1399" i="5"/>
  <c r="F1399" i="5"/>
  <c r="N1396" i="5"/>
  <c r="M1396" i="5"/>
  <c r="L1396" i="5"/>
  <c r="K1396" i="5"/>
  <c r="J1396" i="5"/>
  <c r="I1396" i="5"/>
  <c r="H1396" i="5"/>
  <c r="G1396" i="5"/>
  <c r="F1396" i="5"/>
  <c r="N1393" i="5"/>
  <c r="M1393" i="5"/>
  <c r="L1393" i="5"/>
  <c r="K1393" i="5"/>
  <c r="J1393" i="5"/>
  <c r="I1393" i="5"/>
  <c r="H1393" i="5"/>
  <c r="G1393" i="5"/>
  <c r="F1393" i="5"/>
  <c r="N1390" i="5"/>
  <c r="M1390" i="5"/>
  <c r="L1390" i="5"/>
  <c r="K1390" i="5"/>
  <c r="J1390" i="5"/>
  <c r="I1390" i="5"/>
  <c r="H1390" i="5"/>
  <c r="G1390" i="5"/>
  <c r="F1390" i="5"/>
  <c r="N1387" i="5"/>
  <c r="M1387" i="5"/>
  <c r="L1387" i="5"/>
  <c r="K1387" i="5"/>
  <c r="J1387" i="5"/>
  <c r="I1387" i="5"/>
  <c r="H1387" i="5"/>
  <c r="G1387" i="5"/>
  <c r="F1387" i="5"/>
  <c r="N1384" i="5"/>
  <c r="M1384" i="5"/>
  <c r="L1384" i="5"/>
  <c r="K1384" i="5"/>
  <c r="J1384" i="5"/>
  <c r="I1384" i="5"/>
  <c r="H1384" i="5"/>
  <c r="G1384" i="5"/>
  <c r="F1384" i="5"/>
  <c r="N1381" i="5"/>
  <c r="M1381" i="5"/>
  <c r="L1381" i="5"/>
  <c r="K1381" i="5"/>
  <c r="J1381" i="5"/>
  <c r="I1381" i="5"/>
  <c r="H1381" i="5"/>
  <c r="G1381" i="5"/>
  <c r="F1381" i="5"/>
  <c r="N1378" i="5"/>
  <c r="M1378" i="5"/>
  <c r="L1378" i="5"/>
  <c r="K1378" i="5"/>
  <c r="J1378" i="5"/>
  <c r="I1378" i="5"/>
  <c r="H1378" i="5"/>
  <c r="G1378" i="5"/>
  <c r="F1378" i="5"/>
  <c r="N1375" i="5"/>
  <c r="M1375" i="5"/>
  <c r="L1375" i="5"/>
  <c r="K1375" i="5"/>
  <c r="J1375" i="5"/>
  <c r="I1375" i="5"/>
  <c r="H1375" i="5"/>
  <c r="G1375" i="5"/>
  <c r="F1375" i="5"/>
  <c r="N1372" i="5"/>
  <c r="M1372" i="5"/>
  <c r="L1372" i="5"/>
  <c r="K1372" i="5"/>
  <c r="J1372" i="5"/>
  <c r="I1372" i="5"/>
  <c r="H1372" i="5"/>
  <c r="G1372" i="5"/>
  <c r="F1372" i="5"/>
  <c r="N1369" i="5"/>
  <c r="M1369" i="5"/>
  <c r="L1369" i="5"/>
  <c r="K1369" i="5"/>
  <c r="J1369" i="5"/>
  <c r="I1369" i="5"/>
  <c r="H1369" i="5"/>
  <c r="G1369" i="5"/>
  <c r="F1369" i="5"/>
  <c r="N1366" i="5"/>
  <c r="M1366" i="5"/>
  <c r="L1366" i="5"/>
  <c r="K1366" i="5"/>
  <c r="J1366" i="5"/>
  <c r="I1366" i="5"/>
  <c r="H1366" i="5"/>
  <c r="G1366" i="5"/>
  <c r="F1366" i="5"/>
  <c r="N1363" i="5"/>
  <c r="M1363" i="5"/>
  <c r="L1363" i="5"/>
  <c r="K1363" i="5"/>
  <c r="J1363" i="5"/>
  <c r="I1363" i="5"/>
  <c r="H1363" i="5"/>
  <c r="G1363" i="5"/>
  <c r="F1363" i="5"/>
  <c r="N1360" i="5"/>
  <c r="M1360" i="5"/>
  <c r="L1360" i="5"/>
  <c r="K1360" i="5"/>
  <c r="J1360" i="5"/>
  <c r="I1360" i="5"/>
  <c r="H1360" i="5"/>
  <c r="G1360" i="5"/>
  <c r="F1360" i="5"/>
  <c r="N1357" i="5"/>
  <c r="M1357" i="5"/>
  <c r="L1357" i="5"/>
  <c r="K1357" i="5"/>
  <c r="J1357" i="5"/>
  <c r="I1357" i="5"/>
  <c r="H1357" i="5"/>
  <c r="G1357" i="5"/>
  <c r="F1357" i="5"/>
  <c r="N1354" i="5"/>
  <c r="M1354" i="5"/>
  <c r="L1354" i="5"/>
  <c r="K1354" i="5"/>
  <c r="J1354" i="5"/>
  <c r="I1354" i="5"/>
  <c r="H1354" i="5"/>
  <c r="G1354" i="5"/>
  <c r="F1354" i="5"/>
  <c r="N1351" i="5"/>
  <c r="M1351" i="5"/>
  <c r="L1351" i="5"/>
  <c r="K1351" i="5"/>
  <c r="J1351" i="5"/>
  <c r="I1351" i="5"/>
  <c r="H1351" i="5"/>
  <c r="G1351" i="5"/>
  <c r="F1351" i="5"/>
  <c r="N1348" i="5"/>
  <c r="M1348" i="5"/>
  <c r="L1348" i="5"/>
  <c r="K1348" i="5"/>
  <c r="J1348" i="5"/>
  <c r="I1348" i="5"/>
  <c r="H1348" i="5"/>
  <c r="G1348" i="5"/>
  <c r="F1348" i="5"/>
  <c r="N1345" i="5"/>
  <c r="M1345" i="5"/>
  <c r="L1345" i="5"/>
  <c r="K1345" i="5"/>
  <c r="J1345" i="5"/>
  <c r="I1345" i="5"/>
  <c r="H1345" i="5"/>
  <c r="G1345" i="5"/>
  <c r="F1345" i="5"/>
  <c r="N1342" i="5"/>
  <c r="M1342" i="5"/>
  <c r="L1342" i="5"/>
  <c r="K1342" i="5"/>
  <c r="J1342" i="5"/>
  <c r="I1342" i="5"/>
  <c r="H1342" i="5"/>
  <c r="G1342" i="5"/>
  <c r="F1342" i="5"/>
  <c r="N1339" i="5"/>
  <c r="M1339" i="5"/>
  <c r="L1339" i="5"/>
  <c r="K1339" i="5"/>
  <c r="J1339" i="5"/>
  <c r="I1339" i="5"/>
  <c r="H1339" i="5"/>
  <c r="G1339" i="5"/>
  <c r="F1339" i="5"/>
  <c r="N1336" i="5"/>
  <c r="M1336" i="5"/>
  <c r="L1336" i="5"/>
  <c r="K1336" i="5"/>
  <c r="J1336" i="5"/>
  <c r="I1336" i="5"/>
  <c r="H1336" i="5"/>
  <c r="G1336" i="5"/>
  <c r="F1336" i="5"/>
  <c r="O1331" i="5"/>
  <c r="P1331" i="5"/>
  <c r="N1324" i="5"/>
  <c r="M1324" i="5"/>
  <c r="L1324" i="5"/>
  <c r="K1324" i="5"/>
  <c r="J1324" i="5"/>
  <c r="I1324" i="5"/>
  <c r="H1324" i="5"/>
  <c r="G1324" i="5"/>
  <c r="N1321" i="5"/>
  <c r="M1321" i="5"/>
  <c r="L1321" i="5"/>
  <c r="K1321" i="5"/>
  <c r="J1321" i="5"/>
  <c r="I1321" i="5"/>
  <c r="H1321" i="5"/>
  <c r="G1321" i="5"/>
  <c r="F1321" i="5"/>
  <c r="N1318" i="5"/>
  <c r="M1318" i="5"/>
  <c r="L1318" i="5"/>
  <c r="K1318" i="5"/>
  <c r="J1318" i="5"/>
  <c r="I1318" i="5"/>
  <c r="H1318" i="5"/>
  <c r="G1318" i="5"/>
  <c r="S1304" i="5"/>
  <c r="Q1304" i="5"/>
  <c r="P1304" i="5"/>
  <c r="O1304" i="5"/>
  <c r="S1301" i="5"/>
  <c r="Q1301" i="5"/>
  <c r="P1301" i="5"/>
  <c r="O1301" i="5"/>
  <c r="S1298" i="5"/>
  <c r="Q1298" i="5"/>
  <c r="P1298" i="5"/>
  <c r="O1298" i="5"/>
  <c r="N1297" i="5"/>
  <c r="M1297" i="5"/>
  <c r="L1297" i="5"/>
  <c r="K1297" i="5"/>
  <c r="J1297" i="5"/>
  <c r="I1297" i="5"/>
  <c r="H1297" i="5"/>
  <c r="G1297" i="5"/>
  <c r="F1297" i="5"/>
  <c r="N1294" i="5"/>
  <c r="M1294" i="5"/>
  <c r="L1294" i="5"/>
  <c r="K1294" i="5"/>
  <c r="J1294" i="5"/>
  <c r="I1294" i="5"/>
  <c r="H1294" i="5"/>
  <c r="G1294" i="5"/>
  <c r="F1294" i="5"/>
  <c r="N1291" i="5"/>
  <c r="M1291" i="5"/>
  <c r="L1291" i="5"/>
  <c r="K1291" i="5"/>
  <c r="J1291" i="5"/>
  <c r="I1291" i="5"/>
  <c r="H1291" i="5"/>
  <c r="G1291" i="5"/>
  <c r="F1291" i="5"/>
  <c r="N1288" i="5"/>
  <c r="M1288" i="5"/>
  <c r="L1288" i="5"/>
  <c r="K1288" i="5"/>
  <c r="J1288" i="5"/>
  <c r="I1288" i="5"/>
  <c r="H1288" i="5"/>
  <c r="G1288" i="5"/>
  <c r="F1288" i="5"/>
  <c r="N1285" i="5"/>
  <c r="M1285" i="5"/>
  <c r="L1285" i="5"/>
  <c r="K1285" i="5"/>
  <c r="J1285" i="5"/>
  <c r="I1285" i="5"/>
  <c r="H1285" i="5"/>
  <c r="G1285" i="5"/>
  <c r="F1285" i="5"/>
  <c r="N1282" i="5"/>
  <c r="M1282" i="5"/>
  <c r="L1282" i="5"/>
  <c r="K1282" i="5"/>
  <c r="J1282" i="5"/>
  <c r="I1282" i="5"/>
  <c r="H1282" i="5"/>
  <c r="G1282" i="5"/>
  <c r="F1282" i="5"/>
  <c r="N1279" i="5"/>
  <c r="M1279" i="5"/>
  <c r="L1279" i="5"/>
  <c r="K1279" i="5"/>
  <c r="J1279" i="5"/>
  <c r="I1279" i="5"/>
  <c r="H1279" i="5"/>
  <c r="G1279" i="5"/>
  <c r="F1279" i="5"/>
  <c r="N1276" i="5"/>
  <c r="M1276" i="5"/>
  <c r="L1276" i="5"/>
  <c r="K1276" i="5"/>
  <c r="J1276" i="5"/>
  <c r="I1276" i="5"/>
  <c r="H1276" i="5"/>
  <c r="G1276" i="5"/>
  <c r="F1276" i="5"/>
  <c r="N1273" i="5"/>
  <c r="M1273" i="5"/>
  <c r="L1273" i="5"/>
  <c r="K1273" i="5"/>
  <c r="J1273" i="5"/>
  <c r="I1273" i="5"/>
  <c r="H1273" i="5"/>
  <c r="G1273" i="5"/>
  <c r="F1273" i="5"/>
  <c r="N1270" i="5"/>
  <c r="M1270" i="5"/>
  <c r="L1270" i="5"/>
  <c r="K1270" i="5"/>
  <c r="J1270" i="5"/>
  <c r="I1270" i="5"/>
  <c r="H1270" i="5"/>
  <c r="G1270" i="5"/>
  <c r="F1270" i="5"/>
  <c r="N1267" i="5"/>
  <c r="M1267" i="5"/>
  <c r="L1267" i="5"/>
  <c r="K1267" i="5"/>
  <c r="J1267" i="5"/>
  <c r="I1267" i="5"/>
  <c r="H1267" i="5"/>
  <c r="G1267" i="5"/>
  <c r="F1267" i="5"/>
  <c r="N1264" i="5"/>
  <c r="M1264" i="5"/>
  <c r="L1264" i="5"/>
  <c r="K1264" i="5"/>
  <c r="J1264" i="5"/>
  <c r="I1264" i="5"/>
  <c r="H1264" i="5"/>
  <c r="G1264" i="5"/>
  <c r="F1264" i="5"/>
  <c r="N1261" i="5"/>
  <c r="M1261" i="5"/>
  <c r="L1261" i="5"/>
  <c r="K1261" i="5"/>
  <c r="J1261" i="5"/>
  <c r="I1261" i="5"/>
  <c r="H1261" i="5"/>
  <c r="G1261" i="5"/>
  <c r="F1261" i="5"/>
  <c r="N1258" i="5"/>
  <c r="M1258" i="5"/>
  <c r="L1258" i="5"/>
  <c r="K1258" i="5"/>
  <c r="J1258" i="5"/>
  <c r="I1258" i="5"/>
  <c r="H1258" i="5"/>
  <c r="G1258" i="5"/>
  <c r="F1258" i="5"/>
  <c r="N1255" i="5"/>
  <c r="M1255" i="5"/>
  <c r="L1255" i="5"/>
  <c r="K1255" i="5"/>
  <c r="J1255" i="5"/>
  <c r="I1255" i="5"/>
  <c r="H1255" i="5"/>
  <c r="G1255" i="5"/>
  <c r="F1255" i="5"/>
  <c r="N1252" i="5"/>
  <c r="M1252" i="5"/>
  <c r="L1252" i="5"/>
  <c r="K1252" i="5"/>
  <c r="J1252" i="5"/>
  <c r="I1252" i="5"/>
  <c r="H1252" i="5"/>
  <c r="G1252" i="5"/>
  <c r="F1252" i="5"/>
  <c r="N1249" i="5"/>
  <c r="M1249" i="5"/>
  <c r="L1249" i="5"/>
  <c r="K1249" i="5"/>
  <c r="J1249" i="5"/>
  <c r="I1249" i="5"/>
  <c r="H1249" i="5"/>
  <c r="G1249" i="5"/>
  <c r="F1249" i="5"/>
  <c r="N1246" i="5"/>
  <c r="M1246" i="5"/>
  <c r="L1246" i="5"/>
  <c r="K1246" i="5"/>
  <c r="J1246" i="5"/>
  <c r="I1246" i="5"/>
  <c r="H1246" i="5"/>
  <c r="G1246" i="5"/>
  <c r="F1246" i="5"/>
  <c r="N1243" i="5"/>
  <c r="M1243" i="5"/>
  <c r="L1243" i="5"/>
  <c r="K1243" i="5"/>
  <c r="J1243" i="5"/>
  <c r="I1243" i="5"/>
  <c r="H1243" i="5"/>
  <c r="G1243" i="5"/>
  <c r="F1243" i="5"/>
  <c r="N1240" i="5"/>
  <c r="M1240" i="5"/>
  <c r="L1240" i="5"/>
  <c r="K1240" i="5"/>
  <c r="J1240" i="5"/>
  <c r="I1240" i="5"/>
  <c r="H1240" i="5"/>
  <c r="G1240" i="5"/>
  <c r="F1240" i="5"/>
  <c r="N1237" i="5"/>
  <c r="M1237" i="5"/>
  <c r="L1237" i="5"/>
  <c r="K1237" i="5"/>
  <c r="J1237" i="5"/>
  <c r="I1237" i="5"/>
  <c r="H1237" i="5"/>
  <c r="G1237" i="5"/>
  <c r="F1237" i="5"/>
  <c r="N1234" i="5"/>
  <c r="M1234" i="5"/>
  <c r="L1234" i="5"/>
  <c r="K1234" i="5"/>
  <c r="J1234" i="5"/>
  <c r="I1234" i="5"/>
  <c r="H1234" i="5"/>
  <c r="G1234" i="5"/>
  <c r="F1234" i="5"/>
  <c r="N1222" i="5"/>
  <c r="M1222" i="5"/>
  <c r="L1222" i="5"/>
  <c r="K1222" i="5"/>
  <c r="J1222" i="5"/>
  <c r="I1222" i="5"/>
  <c r="H1222" i="5"/>
  <c r="G1222" i="5"/>
  <c r="F1222" i="5"/>
  <c r="N1219" i="5"/>
  <c r="M1219" i="5"/>
  <c r="L1219" i="5"/>
  <c r="K1219" i="5"/>
  <c r="J1219" i="5"/>
  <c r="I1219" i="5"/>
  <c r="H1219" i="5"/>
  <c r="G1219" i="5"/>
  <c r="F1219" i="5"/>
  <c r="N1216" i="5"/>
  <c r="M1216" i="5"/>
  <c r="L1216" i="5"/>
  <c r="K1216" i="5"/>
  <c r="J1216" i="5"/>
  <c r="I1216" i="5"/>
  <c r="H1216" i="5"/>
  <c r="G1216" i="5"/>
  <c r="F1216" i="5"/>
  <c r="E369" i="4"/>
  <c r="H369" i="4" s="1"/>
  <c r="E368" i="4"/>
  <c r="H368" i="4" s="1"/>
  <c r="E367" i="4"/>
  <c r="H367" i="4" s="1"/>
  <c r="E366" i="4"/>
  <c r="H366" i="4" s="1"/>
  <c r="E365" i="4"/>
  <c r="H365" i="4" s="1"/>
  <c r="E364" i="4"/>
  <c r="H364" i="4" s="1"/>
  <c r="E363" i="4"/>
  <c r="H363" i="4" s="1"/>
  <c r="E362" i="4"/>
  <c r="H362" i="4" s="1"/>
  <c r="E361" i="4"/>
  <c r="H361" i="4" s="1"/>
  <c r="E360" i="4"/>
  <c r="H360" i="4" s="1"/>
  <c r="E359" i="4"/>
  <c r="H359" i="4" s="1"/>
  <c r="E358" i="4"/>
  <c r="H358" i="4" s="1"/>
  <c r="E357" i="4"/>
  <c r="H357" i="4" s="1"/>
  <c r="E356" i="4"/>
  <c r="H356" i="4" s="1"/>
  <c r="E355" i="4"/>
  <c r="H355" i="4" s="1"/>
  <c r="E354" i="4"/>
  <c r="H354" i="4" s="1"/>
  <c r="E353" i="4"/>
  <c r="H353" i="4" s="1"/>
  <c r="E352" i="4"/>
  <c r="H352" i="4" s="1"/>
  <c r="E351" i="4"/>
  <c r="H351" i="4" s="1"/>
  <c r="E350" i="4"/>
  <c r="H350" i="4" s="1"/>
  <c r="E349" i="4"/>
  <c r="H349" i="4" s="1"/>
  <c r="E348" i="4"/>
  <c r="H348" i="4" s="1"/>
  <c r="E347" i="4"/>
  <c r="H347" i="4" s="1"/>
  <c r="E346" i="4"/>
  <c r="H346" i="4" s="1"/>
  <c r="E345" i="4"/>
  <c r="H345" i="4" s="1"/>
  <c r="E344" i="4"/>
  <c r="H344" i="4" s="1"/>
  <c r="E343" i="4"/>
  <c r="H343" i="4" s="1"/>
  <c r="E342" i="4"/>
  <c r="H342" i="4" s="1"/>
  <c r="E341" i="4"/>
  <c r="H341" i="4" s="1"/>
  <c r="E340" i="4"/>
  <c r="H340" i="4" s="1"/>
  <c r="E339" i="4"/>
  <c r="H339" i="4" s="1"/>
  <c r="E338" i="4"/>
  <c r="H338" i="4" s="1"/>
  <c r="E337" i="4"/>
  <c r="H337" i="4" s="1"/>
  <c r="E336" i="4"/>
  <c r="H336" i="4" s="1"/>
  <c r="E335" i="4"/>
  <c r="H335" i="4" s="1"/>
  <c r="E334" i="4"/>
  <c r="H334" i="4" s="1"/>
  <c r="E333" i="4"/>
  <c r="H333" i="4" s="1"/>
  <c r="E332" i="4"/>
  <c r="H332" i="4" s="1"/>
  <c r="E331" i="4"/>
  <c r="H331" i="4" s="1"/>
  <c r="E330" i="4"/>
  <c r="H330" i="4" s="1"/>
  <c r="E329" i="4"/>
  <c r="H329" i="4" s="1"/>
  <c r="E328" i="4"/>
  <c r="H328" i="4" s="1"/>
  <c r="E327" i="4"/>
  <c r="H327" i="4" s="1"/>
  <c r="E326" i="4"/>
  <c r="H326" i="4" s="1"/>
  <c r="E325" i="4"/>
  <c r="H325" i="4" s="1"/>
  <c r="E324" i="4"/>
  <c r="H324" i="4" s="1"/>
  <c r="E323" i="4"/>
  <c r="H323" i="4" s="1"/>
  <c r="E322" i="4"/>
  <c r="H322" i="4" s="1"/>
  <c r="E320" i="4"/>
  <c r="H320" i="4" s="1"/>
  <c r="E319" i="4"/>
  <c r="H319" i="4" s="1"/>
  <c r="E318" i="4"/>
  <c r="H318" i="4" s="1"/>
  <c r="E316" i="4"/>
  <c r="H316" i="4" s="1"/>
  <c r="E315" i="4"/>
  <c r="H315" i="4" s="1"/>
  <c r="E314" i="4"/>
  <c r="H314" i="4" s="1"/>
  <c r="E312" i="4"/>
  <c r="H312" i="4" s="1"/>
  <c r="E311" i="4"/>
  <c r="H311" i="4" s="1"/>
  <c r="E310" i="4"/>
  <c r="H310" i="4" s="1"/>
  <c r="E309" i="4"/>
  <c r="H309" i="4" s="1"/>
  <c r="E308" i="4"/>
  <c r="H308" i="4" s="1"/>
  <c r="E307" i="4"/>
  <c r="H307" i="4" s="1"/>
  <c r="E306" i="4"/>
  <c r="H306" i="4" s="1"/>
  <c r="E305" i="4"/>
  <c r="H305" i="4" s="1"/>
  <c r="E304" i="4"/>
  <c r="H304" i="4" s="1"/>
  <c r="E303" i="4"/>
  <c r="H303" i="4" s="1"/>
  <c r="E302" i="4"/>
  <c r="H302" i="4" s="1"/>
  <c r="E301" i="4"/>
  <c r="H301" i="4" s="1"/>
  <c r="E300" i="4"/>
  <c r="H300" i="4" s="1"/>
  <c r="E299" i="4"/>
  <c r="H299" i="4" s="1"/>
  <c r="E298" i="4"/>
  <c r="H298" i="4" s="1"/>
  <c r="H297" i="4"/>
  <c r="E297" i="4"/>
  <c r="E296" i="4"/>
  <c r="H296" i="4" s="1"/>
  <c r="E295" i="4"/>
  <c r="H295" i="4" s="1"/>
  <c r="E294" i="4"/>
  <c r="H294" i="4" s="1"/>
  <c r="E293" i="4"/>
  <c r="H293" i="4" s="1"/>
  <c r="H287" i="4"/>
  <c r="E286" i="4"/>
  <c r="H286" i="4" s="1"/>
  <c r="E285" i="4"/>
  <c r="H285" i="4" s="1"/>
  <c r="E282" i="4"/>
  <c r="H282" i="4" s="1"/>
  <c r="E281" i="4"/>
  <c r="H281" i="4" s="1"/>
  <c r="E279" i="4"/>
  <c r="H279" i="4" s="1"/>
  <c r="E278" i="4"/>
  <c r="H278" i="4" s="1"/>
  <c r="E277" i="4"/>
  <c r="H277" i="4" s="1"/>
  <c r="E276" i="4"/>
  <c r="H276" i="4" s="1"/>
  <c r="E275" i="4"/>
  <c r="H275" i="4" s="1"/>
  <c r="E274" i="4"/>
  <c r="H274" i="4" s="1"/>
  <c r="E273" i="4"/>
  <c r="H273" i="4" s="1"/>
  <c r="E271" i="4"/>
  <c r="H271" i="4" s="1"/>
  <c r="E270" i="4"/>
  <c r="H270" i="4" s="1"/>
  <c r="E269" i="4"/>
  <c r="H269" i="4" s="1"/>
  <c r="E268" i="4"/>
  <c r="H268" i="4" s="1"/>
  <c r="E267" i="4"/>
  <c r="H267" i="4" s="1"/>
  <c r="E266" i="4"/>
  <c r="H266" i="4" s="1"/>
  <c r="E265" i="4"/>
  <c r="H265" i="4" s="1"/>
  <c r="E263" i="4"/>
  <c r="H263" i="4" s="1"/>
  <c r="E262" i="4"/>
  <c r="H262" i="4" s="1"/>
  <c r="E261" i="4"/>
  <c r="H261" i="4" s="1"/>
  <c r="E258" i="4"/>
  <c r="H258" i="4" s="1"/>
  <c r="E257" i="4"/>
  <c r="H257" i="4" s="1"/>
  <c r="E256" i="4"/>
  <c r="H256" i="4" s="1"/>
  <c r="E255" i="4"/>
  <c r="H255" i="4" s="1"/>
  <c r="E254" i="4"/>
  <c r="H254" i="4" s="1"/>
  <c r="E253" i="4"/>
  <c r="H253" i="4" s="1"/>
  <c r="E252" i="4"/>
  <c r="H252" i="4" s="1"/>
  <c r="N1213" i="5"/>
  <c r="M1213" i="5"/>
  <c r="L1213" i="5"/>
  <c r="K1213" i="5"/>
  <c r="J1213" i="5"/>
  <c r="I1213" i="5"/>
  <c r="H1213" i="5"/>
  <c r="G1213" i="5"/>
  <c r="F1213" i="5"/>
  <c r="N1210" i="5"/>
  <c r="M1210" i="5"/>
  <c r="L1210" i="5"/>
  <c r="K1210" i="5"/>
  <c r="J1210" i="5"/>
  <c r="I1210" i="5"/>
  <c r="H1210" i="5"/>
  <c r="G1210" i="5"/>
  <c r="F1210" i="5"/>
  <c r="N1207" i="5"/>
  <c r="M1207" i="5"/>
  <c r="L1207" i="5"/>
  <c r="K1207" i="5"/>
  <c r="J1207" i="5"/>
  <c r="I1207" i="5"/>
  <c r="H1207" i="5"/>
  <c r="G1207" i="5"/>
  <c r="F1207" i="5"/>
  <c r="E251" i="4"/>
  <c r="H251" i="4" s="1"/>
  <c r="N1204" i="5"/>
  <c r="M1204" i="5"/>
  <c r="L1204" i="5"/>
  <c r="K1204" i="5"/>
  <c r="J1204" i="5"/>
  <c r="I1204" i="5"/>
  <c r="H1204" i="5"/>
  <c r="G1204" i="5"/>
  <c r="F1204" i="5"/>
  <c r="N1201" i="5"/>
  <c r="M1201" i="5"/>
  <c r="L1201" i="5"/>
  <c r="K1201" i="5"/>
  <c r="J1201" i="5"/>
  <c r="I1201" i="5"/>
  <c r="H1201" i="5"/>
  <c r="G1201" i="5"/>
  <c r="F1201" i="5"/>
  <c r="N1198" i="5"/>
  <c r="M1198" i="5"/>
  <c r="L1198" i="5"/>
  <c r="K1198" i="5"/>
  <c r="J1198" i="5"/>
  <c r="I1198" i="5"/>
  <c r="H1198" i="5"/>
  <c r="G1198" i="5"/>
  <c r="F1198" i="5"/>
  <c r="E250" i="4"/>
  <c r="H250" i="4" s="1"/>
  <c r="E249" i="4"/>
  <c r="H249" i="4" s="1"/>
  <c r="E248" i="4"/>
  <c r="H248" i="4" s="1"/>
  <c r="E247" i="4"/>
  <c r="H247" i="4" s="1"/>
  <c r="E246" i="4"/>
  <c r="H246" i="4" s="1"/>
  <c r="E245" i="4"/>
  <c r="H245" i="4" s="1"/>
  <c r="N1195" i="5"/>
  <c r="M1195" i="5"/>
  <c r="L1195" i="5"/>
  <c r="K1195" i="5"/>
  <c r="J1195" i="5"/>
  <c r="I1195" i="5"/>
  <c r="H1195" i="5"/>
  <c r="G1195" i="5"/>
  <c r="F1195" i="5"/>
  <c r="E244" i="4"/>
  <c r="H244" i="4" s="1"/>
  <c r="Q600" i="6"/>
  <c r="P600" i="6"/>
  <c r="O600" i="6"/>
  <c r="N600" i="6"/>
  <c r="M600" i="6"/>
  <c r="L600" i="6"/>
  <c r="K600" i="6"/>
  <c r="J600" i="6"/>
  <c r="I600" i="6"/>
  <c r="H600" i="6"/>
  <c r="G600" i="6"/>
  <c r="F600" i="6"/>
  <c r="E600" i="6"/>
  <c r="Q597" i="6"/>
  <c r="P597" i="6"/>
  <c r="O597" i="6"/>
  <c r="N597" i="6"/>
  <c r="M597" i="6"/>
  <c r="L597" i="6"/>
  <c r="K597" i="6"/>
  <c r="J597" i="6"/>
  <c r="I597" i="6"/>
  <c r="H597" i="6"/>
  <c r="G597" i="6"/>
  <c r="F597" i="6"/>
  <c r="E597" i="6"/>
  <c r="Q594" i="6"/>
  <c r="P594" i="6"/>
  <c r="O594" i="6"/>
  <c r="N594" i="6"/>
  <c r="M594" i="6"/>
  <c r="L594" i="6"/>
  <c r="K594" i="6"/>
  <c r="J594" i="6"/>
  <c r="I594" i="6"/>
  <c r="H594" i="6"/>
  <c r="G594" i="6"/>
  <c r="F594" i="6"/>
  <c r="E594" i="6"/>
  <c r="Q591" i="6"/>
  <c r="P591" i="6"/>
  <c r="O591" i="6"/>
  <c r="N591" i="6"/>
  <c r="M591" i="6"/>
  <c r="L591" i="6"/>
  <c r="K591" i="6"/>
  <c r="J591" i="6"/>
  <c r="I591" i="6"/>
  <c r="H591" i="6"/>
  <c r="G591" i="6"/>
  <c r="F591" i="6"/>
  <c r="E591" i="6"/>
  <c r="Q588" i="6"/>
  <c r="P588" i="6"/>
  <c r="O588" i="6"/>
  <c r="N588" i="6"/>
  <c r="M588" i="6"/>
  <c r="L588" i="6"/>
  <c r="K588" i="6"/>
  <c r="J588" i="6"/>
  <c r="I588" i="6"/>
  <c r="H588" i="6"/>
  <c r="G588" i="6"/>
  <c r="S586" i="6" s="1"/>
  <c r="F588" i="6"/>
  <c r="E588" i="6"/>
  <c r="Q585" i="6"/>
  <c r="P585" i="6"/>
  <c r="O585" i="6"/>
  <c r="N585" i="6"/>
  <c r="M585" i="6"/>
  <c r="L585" i="6"/>
  <c r="K585" i="6"/>
  <c r="J585" i="6"/>
  <c r="I585" i="6"/>
  <c r="H585" i="6"/>
  <c r="G585" i="6"/>
  <c r="T583" i="6" s="1"/>
  <c r="F585" i="6"/>
  <c r="E585" i="6"/>
  <c r="Q582" i="6"/>
  <c r="P582" i="6"/>
  <c r="O582" i="6"/>
  <c r="N582" i="6"/>
  <c r="M582" i="6"/>
  <c r="L582" i="6"/>
  <c r="K582" i="6"/>
  <c r="J582" i="6"/>
  <c r="I582" i="6"/>
  <c r="H582" i="6"/>
  <c r="R580" i="6" s="1"/>
  <c r="G582" i="6"/>
  <c r="F582" i="6"/>
  <c r="E582" i="6"/>
  <c r="Q579" i="6"/>
  <c r="P579" i="6"/>
  <c r="O579" i="6"/>
  <c r="N579" i="6"/>
  <c r="M579" i="6"/>
  <c r="L579" i="6"/>
  <c r="K579" i="6"/>
  <c r="J579" i="6"/>
  <c r="I579" i="6"/>
  <c r="H579" i="6"/>
  <c r="G579" i="6"/>
  <c r="F579" i="6"/>
  <c r="R577" i="6" s="1"/>
  <c r="E579" i="6"/>
  <c r="Q576" i="6"/>
  <c r="P576" i="6"/>
  <c r="O576" i="6"/>
  <c r="N576" i="6"/>
  <c r="M576" i="6"/>
  <c r="L576" i="6"/>
  <c r="K576" i="6"/>
  <c r="J576" i="6"/>
  <c r="I576" i="6"/>
  <c r="H576" i="6"/>
  <c r="G576" i="6"/>
  <c r="S574" i="6" s="1"/>
  <c r="F576" i="6"/>
  <c r="E576" i="6"/>
  <c r="Q573" i="6"/>
  <c r="P573" i="6"/>
  <c r="O573" i="6"/>
  <c r="N573" i="6"/>
  <c r="M573" i="6"/>
  <c r="L573" i="6"/>
  <c r="K573" i="6"/>
  <c r="J573" i="6"/>
  <c r="I573" i="6"/>
  <c r="H573" i="6"/>
  <c r="G573" i="6"/>
  <c r="F573" i="6"/>
  <c r="E573" i="6"/>
  <c r="Q570" i="6"/>
  <c r="P570" i="6"/>
  <c r="O570" i="6"/>
  <c r="N570" i="6"/>
  <c r="M570" i="6"/>
  <c r="L570" i="6"/>
  <c r="K570" i="6"/>
  <c r="J570" i="6"/>
  <c r="I570" i="6"/>
  <c r="H570" i="6"/>
  <c r="G570" i="6"/>
  <c r="F570" i="6"/>
  <c r="E570" i="6"/>
  <c r="Q567" i="6"/>
  <c r="P567" i="6"/>
  <c r="O567" i="6"/>
  <c r="N567" i="6"/>
  <c r="M567" i="6"/>
  <c r="L567" i="6"/>
  <c r="K567" i="6"/>
  <c r="J567" i="6"/>
  <c r="I567" i="6"/>
  <c r="H567" i="6"/>
  <c r="G567" i="6"/>
  <c r="S565" i="6" s="1"/>
  <c r="F567" i="6"/>
  <c r="E567" i="6"/>
  <c r="Q564" i="6"/>
  <c r="P564" i="6"/>
  <c r="O564" i="6"/>
  <c r="N564" i="6"/>
  <c r="M564" i="6"/>
  <c r="L564" i="6"/>
  <c r="K564" i="6"/>
  <c r="J564" i="6"/>
  <c r="I564" i="6"/>
  <c r="H564" i="6"/>
  <c r="G564" i="6"/>
  <c r="F564" i="6"/>
  <c r="E564" i="6"/>
  <c r="S562" i="6" s="1"/>
  <c r="Q561" i="6"/>
  <c r="P561" i="6"/>
  <c r="O561" i="6"/>
  <c r="N561" i="6"/>
  <c r="M561" i="6"/>
  <c r="L561" i="6"/>
  <c r="K561" i="6"/>
  <c r="J561" i="6"/>
  <c r="I561" i="6"/>
  <c r="H561" i="6"/>
  <c r="G561" i="6"/>
  <c r="F561" i="6"/>
  <c r="R559" i="6" s="1"/>
  <c r="E561" i="6"/>
  <c r="Q558" i="6"/>
  <c r="P558" i="6"/>
  <c r="O558" i="6"/>
  <c r="N558" i="6"/>
  <c r="M558" i="6"/>
  <c r="L558" i="6"/>
  <c r="K558" i="6"/>
  <c r="J558" i="6"/>
  <c r="I558" i="6"/>
  <c r="H558" i="6"/>
  <c r="G558" i="6"/>
  <c r="F558" i="6"/>
  <c r="E558" i="6"/>
  <c r="Q555" i="6"/>
  <c r="P555" i="6"/>
  <c r="O555" i="6"/>
  <c r="N555" i="6"/>
  <c r="M555" i="6"/>
  <c r="L555" i="6"/>
  <c r="K555" i="6"/>
  <c r="J555" i="6"/>
  <c r="I555" i="6"/>
  <c r="H555" i="6"/>
  <c r="G555" i="6"/>
  <c r="F555" i="6"/>
  <c r="E555" i="6"/>
  <c r="Q552" i="6"/>
  <c r="P552" i="6"/>
  <c r="O552" i="6"/>
  <c r="N552" i="6"/>
  <c r="M552" i="6"/>
  <c r="L552" i="6"/>
  <c r="K552" i="6"/>
  <c r="J552" i="6"/>
  <c r="I552" i="6"/>
  <c r="H552" i="6"/>
  <c r="G552" i="6"/>
  <c r="F552" i="6"/>
  <c r="E552" i="6"/>
  <c r="Q549" i="6"/>
  <c r="P549" i="6"/>
  <c r="O549" i="6"/>
  <c r="N549" i="6"/>
  <c r="M549" i="6"/>
  <c r="L549" i="6"/>
  <c r="K549" i="6"/>
  <c r="J549" i="6"/>
  <c r="I549" i="6"/>
  <c r="H549" i="6"/>
  <c r="G549" i="6"/>
  <c r="F549" i="6"/>
  <c r="E549" i="6"/>
  <c r="Q546" i="6"/>
  <c r="P546" i="6"/>
  <c r="O546" i="6"/>
  <c r="N546" i="6"/>
  <c r="M546" i="6"/>
  <c r="L546" i="6"/>
  <c r="K546" i="6"/>
  <c r="J546" i="6"/>
  <c r="I546" i="6"/>
  <c r="H546" i="6"/>
  <c r="G546" i="6"/>
  <c r="F546" i="6"/>
  <c r="E546" i="6"/>
  <c r="Q543" i="6"/>
  <c r="P543" i="6"/>
  <c r="O543" i="6"/>
  <c r="N543" i="6"/>
  <c r="M543" i="6"/>
  <c r="L543" i="6"/>
  <c r="K543" i="6"/>
  <c r="J543" i="6"/>
  <c r="I543" i="6"/>
  <c r="H543" i="6"/>
  <c r="G543" i="6"/>
  <c r="F543" i="6"/>
  <c r="E543" i="6"/>
  <c r="Q540" i="6"/>
  <c r="P540" i="6"/>
  <c r="O540" i="6"/>
  <c r="N540" i="6"/>
  <c r="M540" i="6"/>
  <c r="L540" i="6"/>
  <c r="K540" i="6"/>
  <c r="J540" i="6"/>
  <c r="I540" i="6"/>
  <c r="H540" i="6"/>
  <c r="G540" i="6"/>
  <c r="F540" i="6"/>
  <c r="E540" i="6"/>
  <c r="Q537" i="6"/>
  <c r="P537" i="6"/>
  <c r="O537" i="6"/>
  <c r="N537" i="6"/>
  <c r="M537" i="6"/>
  <c r="L537" i="6"/>
  <c r="K537" i="6"/>
  <c r="J537" i="6"/>
  <c r="I537" i="6"/>
  <c r="H537" i="6"/>
  <c r="G537" i="6"/>
  <c r="F537" i="6"/>
  <c r="E537" i="6"/>
  <c r="Q534" i="6"/>
  <c r="P534" i="6"/>
  <c r="O534" i="6"/>
  <c r="N534" i="6"/>
  <c r="M534" i="6"/>
  <c r="L534" i="6"/>
  <c r="K534" i="6"/>
  <c r="J534" i="6"/>
  <c r="I534" i="6"/>
  <c r="H534" i="6"/>
  <c r="G534" i="6"/>
  <c r="F534" i="6"/>
  <c r="E534" i="6"/>
  <c r="Q531" i="6"/>
  <c r="P531" i="6"/>
  <c r="O531" i="6"/>
  <c r="N531" i="6"/>
  <c r="M531" i="6"/>
  <c r="L531" i="6"/>
  <c r="K531" i="6"/>
  <c r="J531" i="6"/>
  <c r="I531" i="6"/>
  <c r="H531" i="6"/>
  <c r="G531" i="6"/>
  <c r="F531" i="6"/>
  <c r="T529" i="6" s="1"/>
  <c r="E531" i="6"/>
  <c r="Q528" i="6"/>
  <c r="P528" i="6"/>
  <c r="O528" i="6"/>
  <c r="N528" i="6"/>
  <c r="M528" i="6"/>
  <c r="L528" i="6"/>
  <c r="K528" i="6"/>
  <c r="J528" i="6"/>
  <c r="I528" i="6"/>
  <c r="H528" i="6"/>
  <c r="G528" i="6"/>
  <c r="F528" i="6"/>
  <c r="E528" i="6"/>
  <c r="Q525" i="6"/>
  <c r="P525" i="6"/>
  <c r="O525" i="6"/>
  <c r="N525" i="6"/>
  <c r="M525" i="6"/>
  <c r="L525" i="6"/>
  <c r="K525" i="6"/>
  <c r="J525" i="6"/>
  <c r="I525" i="6"/>
  <c r="H525" i="6"/>
  <c r="G525" i="6"/>
  <c r="F525" i="6"/>
  <c r="S523" i="6" s="1"/>
  <c r="E525" i="6"/>
  <c r="Q522" i="6"/>
  <c r="P522" i="6"/>
  <c r="O522" i="6"/>
  <c r="N522" i="6"/>
  <c r="M522" i="6"/>
  <c r="L522" i="6"/>
  <c r="K522" i="6"/>
  <c r="J522" i="6"/>
  <c r="I522" i="6"/>
  <c r="H522" i="6"/>
  <c r="G522" i="6"/>
  <c r="F522" i="6"/>
  <c r="E522" i="6"/>
  <c r="Q519" i="6"/>
  <c r="P519" i="6"/>
  <c r="O519" i="6"/>
  <c r="N519" i="6"/>
  <c r="M519" i="6"/>
  <c r="L519" i="6"/>
  <c r="K519" i="6"/>
  <c r="J519" i="6"/>
  <c r="I519" i="6"/>
  <c r="H519" i="6"/>
  <c r="G519" i="6"/>
  <c r="F519" i="6"/>
  <c r="E519" i="6"/>
  <c r="Q516" i="6"/>
  <c r="P516" i="6"/>
  <c r="O516" i="6"/>
  <c r="N516" i="6"/>
  <c r="M516" i="6"/>
  <c r="L516" i="6"/>
  <c r="K516" i="6"/>
  <c r="J516" i="6"/>
  <c r="I516" i="6"/>
  <c r="H516" i="6"/>
  <c r="G516" i="6"/>
  <c r="F516" i="6"/>
  <c r="E516" i="6"/>
  <c r="Q513" i="6"/>
  <c r="P513" i="6"/>
  <c r="O513" i="6"/>
  <c r="N513" i="6"/>
  <c r="M513" i="6"/>
  <c r="L513" i="6"/>
  <c r="K513" i="6"/>
  <c r="J513" i="6"/>
  <c r="I513" i="6"/>
  <c r="H513" i="6"/>
  <c r="G513" i="6"/>
  <c r="F513" i="6"/>
  <c r="E513" i="6"/>
  <c r="Q510" i="6"/>
  <c r="P510" i="6"/>
  <c r="O510" i="6"/>
  <c r="N510" i="6"/>
  <c r="M510" i="6"/>
  <c r="L510" i="6"/>
  <c r="K510" i="6"/>
  <c r="J510" i="6"/>
  <c r="I510" i="6"/>
  <c r="H510" i="6"/>
  <c r="G510" i="6"/>
  <c r="F510" i="6"/>
  <c r="E510" i="6"/>
  <c r="Q507" i="6"/>
  <c r="P507" i="6"/>
  <c r="O507" i="6"/>
  <c r="N507" i="6"/>
  <c r="M507" i="6"/>
  <c r="L507" i="6"/>
  <c r="K507" i="6"/>
  <c r="J507" i="6"/>
  <c r="I507" i="6"/>
  <c r="H507" i="6"/>
  <c r="G507" i="6"/>
  <c r="F507" i="6"/>
  <c r="E507" i="6"/>
  <c r="Q504" i="6"/>
  <c r="P504" i="6"/>
  <c r="O504" i="6"/>
  <c r="N504" i="6"/>
  <c r="M504" i="6"/>
  <c r="L504" i="6"/>
  <c r="K504" i="6"/>
  <c r="J504" i="6"/>
  <c r="I504" i="6"/>
  <c r="H504" i="6"/>
  <c r="G504" i="6"/>
  <c r="F504" i="6"/>
  <c r="E504" i="6"/>
  <c r="Q501" i="6"/>
  <c r="P501" i="6"/>
  <c r="O501" i="6"/>
  <c r="N501" i="6"/>
  <c r="M501" i="6"/>
  <c r="L501" i="6"/>
  <c r="K501" i="6"/>
  <c r="J501" i="6"/>
  <c r="I501" i="6"/>
  <c r="H501" i="6"/>
  <c r="G501" i="6"/>
  <c r="F501" i="6"/>
  <c r="E501" i="6"/>
  <c r="Q498" i="6"/>
  <c r="P498" i="6"/>
  <c r="O498" i="6"/>
  <c r="N498" i="6"/>
  <c r="M498" i="6"/>
  <c r="L498" i="6"/>
  <c r="K498" i="6"/>
  <c r="J498" i="6"/>
  <c r="I498" i="6"/>
  <c r="H498" i="6"/>
  <c r="G498" i="6"/>
  <c r="F498" i="6"/>
  <c r="E498" i="6"/>
  <c r="Q495" i="6"/>
  <c r="P495" i="6"/>
  <c r="O495" i="6"/>
  <c r="N495" i="6"/>
  <c r="M495" i="6"/>
  <c r="L495" i="6"/>
  <c r="K495" i="6"/>
  <c r="J495" i="6"/>
  <c r="I495" i="6"/>
  <c r="H495" i="6"/>
  <c r="G495" i="6"/>
  <c r="F495" i="6"/>
  <c r="E495" i="6"/>
  <c r="Q492" i="6"/>
  <c r="P492" i="6"/>
  <c r="O492" i="6"/>
  <c r="N492" i="6"/>
  <c r="M492" i="6"/>
  <c r="L492" i="6"/>
  <c r="K492" i="6"/>
  <c r="J492" i="6"/>
  <c r="I492" i="6"/>
  <c r="H492" i="6"/>
  <c r="G492" i="6"/>
  <c r="F492" i="6"/>
  <c r="R490" i="6" s="1"/>
  <c r="E492" i="6"/>
  <c r="Q489" i="6"/>
  <c r="P489" i="6"/>
  <c r="O489" i="6"/>
  <c r="N489" i="6"/>
  <c r="M489" i="6"/>
  <c r="L489" i="6"/>
  <c r="K489" i="6"/>
  <c r="J489" i="6"/>
  <c r="I489" i="6"/>
  <c r="H489" i="6"/>
  <c r="G489" i="6"/>
  <c r="F489" i="6"/>
  <c r="E489" i="6"/>
  <c r="Q486" i="6"/>
  <c r="P486" i="6"/>
  <c r="O486" i="6"/>
  <c r="N486" i="6"/>
  <c r="M486" i="6"/>
  <c r="L486" i="6"/>
  <c r="K486" i="6"/>
  <c r="J486" i="6"/>
  <c r="I486" i="6"/>
  <c r="H486" i="6"/>
  <c r="G486" i="6"/>
  <c r="F486" i="6"/>
  <c r="E486" i="6"/>
  <c r="R484" i="6" s="1"/>
  <c r="Q483" i="6"/>
  <c r="P483" i="6"/>
  <c r="O483" i="6"/>
  <c r="N483" i="6"/>
  <c r="M483" i="6"/>
  <c r="L483" i="6"/>
  <c r="K483" i="6"/>
  <c r="J483" i="6"/>
  <c r="I483" i="6"/>
  <c r="H483" i="6"/>
  <c r="G483" i="6"/>
  <c r="F483" i="6"/>
  <c r="E483" i="6"/>
  <c r="Q480" i="6"/>
  <c r="P480" i="6"/>
  <c r="O480" i="6"/>
  <c r="N480" i="6"/>
  <c r="M480" i="6"/>
  <c r="L480" i="6"/>
  <c r="K480" i="6"/>
  <c r="J480" i="6"/>
  <c r="I480" i="6"/>
  <c r="H480" i="6"/>
  <c r="G480" i="6"/>
  <c r="F480" i="6"/>
  <c r="E480" i="6"/>
  <c r="Q474" i="6"/>
  <c r="P474" i="6"/>
  <c r="O474" i="6"/>
  <c r="N474" i="6"/>
  <c r="M474" i="6"/>
  <c r="L474" i="6"/>
  <c r="K474" i="6"/>
  <c r="J474" i="6"/>
  <c r="I474" i="6"/>
  <c r="H474" i="6"/>
  <c r="G474" i="6"/>
  <c r="F474" i="6"/>
  <c r="E474" i="6"/>
  <c r="Q471" i="6"/>
  <c r="P471" i="6"/>
  <c r="O471" i="6"/>
  <c r="N471" i="6"/>
  <c r="M471" i="6"/>
  <c r="L471" i="6"/>
  <c r="K471" i="6"/>
  <c r="J471" i="6"/>
  <c r="I471" i="6"/>
  <c r="H471" i="6"/>
  <c r="G471" i="6"/>
  <c r="F471" i="6"/>
  <c r="E471" i="6"/>
  <c r="Q468" i="6"/>
  <c r="P468" i="6"/>
  <c r="O468" i="6"/>
  <c r="N468" i="6"/>
  <c r="M468" i="6"/>
  <c r="L468" i="6"/>
  <c r="K468" i="6"/>
  <c r="J468" i="6"/>
  <c r="I468" i="6"/>
  <c r="H468" i="6"/>
  <c r="G468" i="6"/>
  <c r="F468" i="6"/>
  <c r="R466" i="6" s="1"/>
  <c r="E468" i="6"/>
  <c r="Q465" i="6"/>
  <c r="P465" i="6"/>
  <c r="O465" i="6"/>
  <c r="N465" i="6"/>
  <c r="M465" i="6"/>
  <c r="L465" i="6"/>
  <c r="K465" i="6"/>
  <c r="J465" i="6"/>
  <c r="I465" i="6"/>
  <c r="H465" i="6"/>
  <c r="G465" i="6"/>
  <c r="F465" i="6"/>
  <c r="E465" i="6"/>
  <c r="Q462" i="6"/>
  <c r="P462" i="6"/>
  <c r="O462" i="6"/>
  <c r="N462" i="6"/>
  <c r="M462" i="6"/>
  <c r="L462" i="6"/>
  <c r="K462" i="6"/>
  <c r="J462" i="6"/>
  <c r="I462" i="6"/>
  <c r="H462" i="6"/>
  <c r="G462" i="6"/>
  <c r="F462" i="6"/>
  <c r="E462" i="6"/>
  <c r="Q459" i="6"/>
  <c r="P459" i="6"/>
  <c r="O459" i="6"/>
  <c r="N459" i="6"/>
  <c r="M459" i="6"/>
  <c r="L459" i="6"/>
  <c r="K459" i="6"/>
  <c r="J459" i="6"/>
  <c r="I459" i="6"/>
  <c r="H459" i="6"/>
  <c r="G459" i="6"/>
  <c r="F459" i="6"/>
  <c r="E459" i="6"/>
  <c r="R460" i="6" l="1"/>
  <c r="R550" i="6"/>
  <c r="S568" i="6"/>
  <c r="R571" i="6"/>
  <c r="U571" i="6" s="1"/>
  <c r="S577" i="6"/>
  <c r="S580" i="6"/>
  <c r="U580" i="6" s="1"/>
  <c r="R487" i="6"/>
  <c r="R496" i="6"/>
  <c r="S532" i="6"/>
  <c r="S466" i="6"/>
  <c r="U466" i="6" s="1"/>
  <c r="S502" i="6"/>
  <c r="S508" i="6"/>
  <c r="S514" i="6"/>
  <c r="R544" i="6"/>
  <c r="S547" i="6"/>
  <c r="S559" i="6"/>
  <c r="U559" i="6" s="1"/>
  <c r="R586" i="6"/>
  <c r="R595" i="6"/>
  <c r="U595" i="6" s="1"/>
  <c r="R598" i="6"/>
  <c r="O1430" i="5"/>
  <c r="R568" i="6"/>
  <c r="S598" i="6"/>
  <c r="R505" i="6"/>
  <c r="T517" i="6"/>
  <c r="S544" i="6"/>
  <c r="R565" i="6"/>
  <c r="U565" i="6" s="1"/>
  <c r="R574" i="6"/>
  <c r="U574" i="6" s="1"/>
  <c r="R583" i="6"/>
  <c r="S592" i="6"/>
  <c r="S478" i="6"/>
  <c r="R556" i="6"/>
  <c r="R562" i="6"/>
  <c r="S571" i="6"/>
  <c r="T589" i="6"/>
  <c r="W589" i="6" s="1"/>
  <c r="R592" i="6"/>
  <c r="S481" i="6"/>
  <c r="R541" i="6"/>
  <c r="S550" i="6"/>
  <c r="R589" i="6"/>
  <c r="U589" i="6" s="1"/>
  <c r="P1418" i="5"/>
  <c r="P1430" i="5"/>
  <c r="U598" i="6"/>
  <c r="T598" i="6"/>
  <c r="S595" i="6"/>
  <c r="T595" i="6"/>
  <c r="U592" i="6"/>
  <c r="T592" i="6"/>
  <c r="S589" i="6"/>
  <c r="U586" i="6"/>
  <c r="T586" i="6"/>
  <c r="S583" i="6"/>
  <c r="U583" i="6" s="1"/>
  <c r="W583" i="6" s="1"/>
  <c r="T580" i="6"/>
  <c r="U577" i="6"/>
  <c r="T577" i="6"/>
  <c r="T574" i="6"/>
  <c r="T571" i="6"/>
  <c r="U568" i="6"/>
  <c r="T568" i="6"/>
  <c r="T565" i="6"/>
  <c r="U562" i="6"/>
  <c r="T562" i="6"/>
  <c r="T559" i="6"/>
  <c r="S556" i="6"/>
  <c r="T556" i="6"/>
  <c r="T553" i="6"/>
  <c r="R553" i="6"/>
  <c r="S553" i="6"/>
  <c r="U550" i="6"/>
  <c r="T550" i="6"/>
  <c r="R547" i="6"/>
  <c r="T547" i="6"/>
  <c r="U544" i="6"/>
  <c r="T544" i="6"/>
  <c r="Q1430" i="5"/>
  <c r="P1352" i="5"/>
  <c r="P1424" i="5"/>
  <c r="R1424" i="5" s="1"/>
  <c r="P1211" i="5"/>
  <c r="O1211" i="5"/>
  <c r="O1238" i="5"/>
  <c r="P1358" i="5"/>
  <c r="O1415" i="5"/>
  <c r="P1421" i="5"/>
  <c r="O1250" i="5"/>
  <c r="R1298" i="5"/>
  <c r="T1298" i="5" s="1"/>
  <c r="Q1337" i="5"/>
  <c r="P1412" i="5"/>
  <c r="O1424" i="5"/>
  <c r="O1217" i="5"/>
  <c r="P1241" i="5"/>
  <c r="O1244" i="5"/>
  <c r="P1271" i="5"/>
  <c r="P1280" i="5"/>
  <c r="O1295" i="5"/>
  <c r="Q1319" i="5"/>
  <c r="P1334" i="5"/>
  <c r="O1373" i="5"/>
  <c r="P1376" i="5"/>
  <c r="O1385" i="5"/>
  <c r="P1394" i="5"/>
  <c r="O1418" i="5"/>
  <c r="P1274" i="5"/>
  <c r="R1304" i="5"/>
  <c r="T1304" i="5" s="1"/>
  <c r="S1361" i="5"/>
  <c r="O1421" i="5"/>
  <c r="O1232" i="5"/>
  <c r="O1262" i="5"/>
  <c r="O1265" i="5"/>
  <c r="P1277" i="5"/>
  <c r="O1283" i="5"/>
  <c r="P1286" i="5"/>
  <c r="P1373" i="5"/>
  <c r="S1397" i="5"/>
  <c r="P1415" i="5"/>
  <c r="R1415" i="5" s="1"/>
  <c r="P1427" i="5"/>
  <c r="Q1427" i="5"/>
  <c r="O1427" i="5"/>
  <c r="S1421" i="5"/>
  <c r="Q1421" i="5"/>
  <c r="T1421" i="5" s="1"/>
  <c r="Q1424" i="5"/>
  <c r="S541" i="6"/>
  <c r="U541" i="6" s="1"/>
  <c r="T541" i="6"/>
  <c r="Q1412" i="5"/>
  <c r="O1412" i="5"/>
  <c r="S1415" i="5"/>
  <c r="Q1415" i="5"/>
  <c r="R457" i="6"/>
  <c r="R472" i="6"/>
  <c r="R478" i="6"/>
  <c r="U478" i="6" s="1"/>
  <c r="R514" i="6"/>
  <c r="R520" i="6"/>
  <c r="R538" i="6"/>
  <c r="R463" i="6"/>
  <c r="R469" i="6"/>
  <c r="S472" i="6"/>
  <c r="S487" i="6"/>
  <c r="S490" i="6"/>
  <c r="U490" i="6" s="1"/>
  <c r="R499" i="6"/>
  <c r="S505" i="6"/>
  <c r="V580" i="6"/>
  <c r="V583" i="6"/>
  <c r="R481" i="6"/>
  <c r="R493" i="6"/>
  <c r="R502" i="6"/>
  <c r="U502" i="6" s="1"/>
  <c r="R511" i="6"/>
  <c r="S517" i="6"/>
  <c r="S520" i="6"/>
  <c r="S463" i="6"/>
  <c r="T463" i="6"/>
  <c r="S484" i="6"/>
  <c r="R508" i="6"/>
  <c r="R517" i="6"/>
  <c r="R523" i="6"/>
  <c r="U523" i="6" s="1"/>
  <c r="S526" i="6"/>
  <c r="R526" i="6"/>
  <c r="R532" i="6"/>
  <c r="U532" i="6" s="1"/>
  <c r="R535" i="6"/>
  <c r="V556" i="6"/>
  <c r="V559" i="6"/>
  <c r="S538" i="6"/>
  <c r="U538" i="6" s="1"/>
  <c r="T538" i="6"/>
  <c r="Q1418" i="5"/>
  <c r="V535" i="6"/>
  <c r="S535" i="6"/>
  <c r="T535" i="6"/>
  <c r="R1409" i="5"/>
  <c r="T1409" i="5" s="1"/>
  <c r="P1235" i="5"/>
  <c r="P1289" i="5"/>
  <c r="P1322" i="5"/>
  <c r="P1337" i="5"/>
  <c r="O1340" i="5"/>
  <c r="P1361" i="5"/>
  <c r="O1382" i="5"/>
  <c r="Q1226" i="5"/>
  <c r="P1229" i="5"/>
  <c r="O1235" i="5"/>
  <c r="P1238" i="5"/>
  <c r="Q1244" i="5"/>
  <c r="O1256" i="5"/>
  <c r="O1268" i="5"/>
  <c r="Q1274" i="5"/>
  <c r="Q1280" i="5"/>
  <c r="P1283" i="5"/>
  <c r="P1292" i="5"/>
  <c r="O1316" i="5"/>
  <c r="O1319" i="5"/>
  <c r="O1343" i="5"/>
  <c r="P1346" i="5"/>
  <c r="O1367" i="5"/>
  <c r="O1370" i="5"/>
  <c r="Q1370" i="5"/>
  <c r="O1376" i="5"/>
  <c r="P1385" i="5"/>
  <c r="O1388" i="5"/>
  <c r="S1391" i="5"/>
  <c r="O1400" i="5"/>
  <c r="S1412" i="5"/>
  <c r="S1427" i="5"/>
  <c r="P1223" i="5"/>
  <c r="S1253" i="5"/>
  <c r="O1271" i="5"/>
  <c r="O1280" i="5"/>
  <c r="O1286" i="5"/>
  <c r="P1349" i="5"/>
  <c r="P1355" i="5"/>
  <c r="O1364" i="5"/>
  <c r="Q1364" i="5"/>
  <c r="O1397" i="5"/>
  <c r="S1430" i="5"/>
  <c r="S1232" i="5"/>
  <c r="P1250" i="5"/>
  <c r="O1259" i="5"/>
  <c r="P1262" i="5"/>
  <c r="P1268" i="5"/>
  <c r="O1277" i="5"/>
  <c r="S1295" i="5"/>
  <c r="P1316" i="5"/>
  <c r="R1316" i="5" s="1"/>
  <c r="P1319" i="5"/>
  <c r="O1322" i="5"/>
  <c r="O1337" i="5"/>
  <c r="P1343" i="5"/>
  <c r="O1349" i="5"/>
  <c r="O1352" i="5"/>
  <c r="O1355" i="5"/>
  <c r="Q1358" i="5"/>
  <c r="Q1367" i="5"/>
  <c r="O1379" i="5"/>
  <c r="S1385" i="5"/>
  <c r="Q1388" i="5"/>
  <c r="P1400" i="5"/>
  <c r="S1418" i="5"/>
  <c r="S1424" i="5"/>
  <c r="R1406" i="5"/>
  <c r="T1406" i="5" s="1"/>
  <c r="R1403" i="5"/>
  <c r="T1403" i="5" s="1"/>
  <c r="S1400" i="5"/>
  <c r="Q1400" i="5"/>
  <c r="Q1394" i="5"/>
  <c r="O1394" i="5"/>
  <c r="S1394" i="5"/>
  <c r="V532" i="6"/>
  <c r="T532" i="6"/>
  <c r="P1397" i="5"/>
  <c r="Q1397" i="5"/>
  <c r="P1388" i="5"/>
  <c r="S1388" i="5"/>
  <c r="Q1385" i="5"/>
  <c r="S529" i="6"/>
  <c r="R529" i="6"/>
  <c r="O1391" i="5"/>
  <c r="Q1391" i="5"/>
  <c r="P1391" i="5"/>
  <c r="U526" i="6"/>
  <c r="T526" i="6"/>
  <c r="Q1382" i="5"/>
  <c r="P1382" i="5"/>
  <c r="S1382" i="5"/>
  <c r="Q1379" i="5"/>
  <c r="P1379" i="5"/>
  <c r="S1379" i="5"/>
  <c r="S1376" i="5"/>
  <c r="Q1376" i="5"/>
  <c r="T523" i="6"/>
  <c r="S1373" i="5"/>
  <c r="Q1373" i="5"/>
  <c r="P1370" i="5"/>
  <c r="S1370" i="5"/>
  <c r="P1367" i="5"/>
  <c r="S1367" i="5"/>
  <c r="Q1361" i="5"/>
  <c r="O1361" i="5"/>
  <c r="P1364" i="5"/>
  <c r="S1364" i="5"/>
  <c r="O1358" i="5"/>
  <c r="S1358" i="5"/>
  <c r="T520" i="6"/>
  <c r="U517" i="6"/>
  <c r="W517" i="6" s="1"/>
  <c r="Q1355" i="5"/>
  <c r="S1355" i="5"/>
  <c r="Q1352" i="5"/>
  <c r="S1352" i="5"/>
  <c r="S1349" i="5"/>
  <c r="Q1349" i="5"/>
  <c r="P1340" i="5"/>
  <c r="Q1340" i="5"/>
  <c r="S1340" i="5"/>
  <c r="S1343" i="5"/>
  <c r="Q1343" i="5"/>
  <c r="S1346" i="5"/>
  <c r="O1346" i="5"/>
  <c r="Q1346" i="5"/>
  <c r="U514" i="6"/>
  <c r="T514" i="6"/>
  <c r="R1331" i="5"/>
  <c r="Q1331" i="5"/>
  <c r="S1334" i="5"/>
  <c r="O1334" i="5"/>
  <c r="Q1334" i="5"/>
  <c r="S511" i="6"/>
  <c r="V511" i="6"/>
  <c r="T511" i="6"/>
  <c r="S1337" i="5"/>
  <c r="T508" i="6"/>
  <c r="Q1322" i="5"/>
  <c r="S1331" i="5"/>
  <c r="S1322" i="5"/>
  <c r="S1319" i="5"/>
  <c r="S1316" i="5"/>
  <c r="Q1316" i="5"/>
  <c r="U505" i="6"/>
  <c r="T505" i="6"/>
  <c r="R1310" i="5"/>
  <c r="T1310" i="5" s="1"/>
  <c r="T502" i="6"/>
  <c r="R1307" i="5"/>
  <c r="T1307" i="5" s="1"/>
  <c r="S499" i="6"/>
  <c r="U499" i="6" s="1"/>
  <c r="T499" i="6"/>
  <c r="R1301" i="5"/>
  <c r="T1301" i="5" s="1"/>
  <c r="Q1295" i="5"/>
  <c r="P1295" i="5"/>
  <c r="S1286" i="5"/>
  <c r="Q1286" i="5"/>
  <c r="S1289" i="5"/>
  <c r="O1289" i="5"/>
  <c r="Q1289" i="5"/>
  <c r="O1292" i="5"/>
  <c r="Q1292" i="5"/>
  <c r="S1292" i="5"/>
  <c r="S496" i="6"/>
  <c r="T496" i="6"/>
  <c r="T493" i="6"/>
  <c r="S493" i="6"/>
  <c r="Q1283" i="5"/>
  <c r="S1283" i="5"/>
  <c r="S1280" i="5"/>
  <c r="S1277" i="5"/>
  <c r="Q1277" i="5"/>
  <c r="Q1268" i="5"/>
  <c r="S1268" i="5"/>
  <c r="T490" i="6"/>
  <c r="S1271" i="5"/>
  <c r="Q1271" i="5"/>
  <c r="O1274" i="5"/>
  <c r="S1274" i="5"/>
  <c r="U487" i="6"/>
  <c r="T487" i="6"/>
  <c r="Q1262" i="5"/>
  <c r="S1262" i="5"/>
  <c r="S1265" i="5"/>
  <c r="Q1265" i="5"/>
  <c r="P1265" i="5"/>
  <c r="P1259" i="5"/>
  <c r="S1259" i="5"/>
  <c r="Q1259" i="5"/>
  <c r="U484" i="6"/>
  <c r="T484" i="6"/>
  <c r="P1256" i="5"/>
  <c r="Q1256" i="5"/>
  <c r="S1256" i="5"/>
  <c r="O1253" i="5"/>
  <c r="P1253" i="5"/>
  <c r="Q1253" i="5"/>
  <c r="Q1250" i="5"/>
  <c r="S1250" i="5"/>
  <c r="O1247" i="5"/>
  <c r="P1244" i="5"/>
  <c r="S1244" i="5"/>
  <c r="Q1241" i="5"/>
  <c r="O1241" i="5"/>
  <c r="S1241" i="5"/>
  <c r="Q1247" i="5"/>
  <c r="P1247" i="5"/>
  <c r="S1247" i="5"/>
  <c r="U481" i="6"/>
  <c r="T481" i="6"/>
  <c r="T478" i="6"/>
  <c r="Q1238" i="5"/>
  <c r="S1238" i="5"/>
  <c r="Q1232" i="5"/>
  <c r="P1232" i="5"/>
  <c r="S1235" i="5"/>
  <c r="Q1235" i="5"/>
  <c r="S475" i="6"/>
  <c r="V475" i="6"/>
  <c r="T475" i="6"/>
  <c r="R475" i="6"/>
  <c r="Q1229" i="5"/>
  <c r="P1226" i="5"/>
  <c r="O1226" i="5"/>
  <c r="S1229" i="5"/>
  <c r="S1226" i="5"/>
  <c r="Q1223" i="5"/>
  <c r="O1229" i="5"/>
  <c r="O1223" i="5"/>
  <c r="S1223" i="5"/>
  <c r="T472" i="6"/>
  <c r="P1217" i="5"/>
  <c r="P1220" i="5"/>
  <c r="Q1220" i="5"/>
  <c r="P1214" i="5"/>
  <c r="S1220" i="5"/>
  <c r="S1217" i="5"/>
  <c r="Q1217" i="5"/>
  <c r="O1220" i="5"/>
  <c r="O1214" i="5"/>
  <c r="S1214" i="5"/>
  <c r="Q1214" i="5"/>
  <c r="S469" i="6"/>
  <c r="U469" i="6" s="1"/>
  <c r="T469" i="6"/>
  <c r="Q1205" i="5"/>
  <c r="P1205" i="5"/>
  <c r="Q1211" i="5"/>
  <c r="Q1208" i="5"/>
  <c r="P1208" i="5"/>
  <c r="S1208" i="5"/>
  <c r="O1208" i="5"/>
  <c r="S1211" i="5"/>
  <c r="O1205" i="5"/>
  <c r="S1205" i="5"/>
  <c r="T466" i="6"/>
  <c r="P1196" i="5"/>
  <c r="O1196" i="5"/>
  <c r="S1196" i="5"/>
  <c r="P1199" i="5"/>
  <c r="S1199" i="5"/>
  <c r="Q1199" i="5"/>
  <c r="S1202" i="5"/>
  <c r="Q1202" i="5"/>
  <c r="O1199" i="5"/>
  <c r="P1202" i="5"/>
  <c r="Q1196" i="5"/>
  <c r="O1202" i="5"/>
  <c r="V478" i="6"/>
  <c r="V502" i="6"/>
  <c r="V526" i="6"/>
  <c r="V466" i="6"/>
  <c r="V490" i="6"/>
  <c r="V514" i="6"/>
  <c r="V472" i="6"/>
  <c r="V499" i="6"/>
  <c r="V544" i="6"/>
  <c r="V547" i="6"/>
  <c r="V568" i="6"/>
  <c r="V571" i="6"/>
  <c r="V592" i="6"/>
  <c r="V595" i="6"/>
  <c r="S460" i="6"/>
  <c r="U460" i="6" s="1"/>
  <c r="T460" i="6"/>
  <c r="V481" i="6"/>
  <c r="V484" i="6"/>
  <c r="V493" i="6"/>
  <c r="V496" i="6"/>
  <c r="V505" i="6"/>
  <c r="V508" i="6"/>
  <c r="V517" i="6"/>
  <c r="V520" i="6"/>
  <c r="V529" i="6"/>
  <c r="V538" i="6"/>
  <c r="V541" i="6"/>
  <c r="V550" i="6"/>
  <c r="V553" i="6"/>
  <c r="V562" i="6"/>
  <c r="V565" i="6"/>
  <c r="V574" i="6"/>
  <c r="V577" i="6"/>
  <c r="V586" i="6"/>
  <c r="V589" i="6"/>
  <c r="V598" i="6"/>
  <c r="V463" i="6"/>
  <c r="V469" i="6"/>
  <c r="V487" i="6"/>
  <c r="V523" i="6"/>
  <c r="P1193" i="5"/>
  <c r="O1193" i="5"/>
  <c r="V460" i="6"/>
  <c r="S1193" i="5"/>
  <c r="Q1193" i="5"/>
  <c r="S457" i="6"/>
  <c r="V457" i="6"/>
  <c r="T457" i="6"/>
  <c r="Q456" i="6"/>
  <c r="P456" i="6"/>
  <c r="O456" i="6"/>
  <c r="N456" i="6"/>
  <c r="M456" i="6"/>
  <c r="L456" i="6"/>
  <c r="K456" i="6"/>
  <c r="J456" i="6"/>
  <c r="I456" i="6"/>
  <c r="H456" i="6"/>
  <c r="G456" i="6"/>
  <c r="F456" i="6"/>
  <c r="E456" i="6"/>
  <c r="E243" i="4"/>
  <c r="H243" i="4" s="1"/>
  <c r="Q453" i="6"/>
  <c r="P453" i="6"/>
  <c r="O453" i="6"/>
  <c r="N453" i="6"/>
  <c r="M453" i="6"/>
  <c r="L453" i="6"/>
  <c r="K453" i="6"/>
  <c r="J453" i="6"/>
  <c r="I453" i="6"/>
  <c r="H453" i="6"/>
  <c r="G453" i="6"/>
  <c r="F453" i="6"/>
  <c r="E453" i="6"/>
  <c r="E242" i="4"/>
  <c r="H242" i="4" s="1"/>
  <c r="Q450" i="6"/>
  <c r="P450" i="6"/>
  <c r="O450" i="6"/>
  <c r="N450" i="6"/>
  <c r="M450" i="6"/>
  <c r="L450" i="6"/>
  <c r="K450" i="6"/>
  <c r="J450" i="6"/>
  <c r="I450" i="6"/>
  <c r="H450" i="6"/>
  <c r="G450" i="6"/>
  <c r="F450" i="6"/>
  <c r="E450" i="6"/>
  <c r="E240" i="4"/>
  <c r="H240" i="4" s="1"/>
  <c r="E241" i="4"/>
  <c r="H241" i="4" s="1"/>
  <c r="Q447" i="6"/>
  <c r="P447" i="6"/>
  <c r="O447" i="6"/>
  <c r="N447" i="6"/>
  <c r="M447" i="6"/>
  <c r="L447" i="6"/>
  <c r="K447" i="6"/>
  <c r="J447" i="6"/>
  <c r="I447" i="6"/>
  <c r="H447" i="6"/>
  <c r="G447" i="6"/>
  <c r="F447" i="6"/>
  <c r="E447" i="6"/>
  <c r="Q444" i="6"/>
  <c r="P444" i="6"/>
  <c r="O444" i="6"/>
  <c r="N444" i="6"/>
  <c r="M444" i="6"/>
  <c r="L444" i="6"/>
  <c r="K444" i="6"/>
  <c r="J444" i="6"/>
  <c r="I444" i="6"/>
  <c r="H444" i="6"/>
  <c r="G444" i="6"/>
  <c r="F444" i="6"/>
  <c r="E444" i="6"/>
  <c r="Q441" i="6"/>
  <c r="P441" i="6"/>
  <c r="O441" i="6"/>
  <c r="N441" i="6"/>
  <c r="M441" i="6"/>
  <c r="L441" i="6"/>
  <c r="K441" i="6"/>
  <c r="J441" i="6"/>
  <c r="I441" i="6"/>
  <c r="H441" i="6"/>
  <c r="G441" i="6"/>
  <c r="F441" i="6"/>
  <c r="E441" i="6"/>
  <c r="E239" i="4"/>
  <c r="H239" i="4" s="1"/>
  <c r="Q438" i="6"/>
  <c r="P438" i="6"/>
  <c r="O438" i="6"/>
  <c r="N438" i="6"/>
  <c r="M438" i="6"/>
  <c r="L438" i="6"/>
  <c r="K438" i="6"/>
  <c r="J438" i="6"/>
  <c r="I438" i="6"/>
  <c r="H438" i="6"/>
  <c r="G438" i="6"/>
  <c r="F438" i="6"/>
  <c r="E438" i="6"/>
  <c r="E238" i="4"/>
  <c r="H238" i="4" s="1"/>
  <c r="W466" i="6" l="1"/>
  <c r="R1241" i="5"/>
  <c r="R1376" i="5"/>
  <c r="U535" i="6"/>
  <c r="U463" i="6"/>
  <c r="W463" i="6" s="1"/>
  <c r="U496" i="6"/>
  <c r="W496" i="6" s="1"/>
  <c r="R1283" i="5"/>
  <c r="T1283" i="5" s="1"/>
  <c r="U508" i="6"/>
  <c r="U556" i="6"/>
  <c r="W565" i="6"/>
  <c r="R1430" i="5"/>
  <c r="U511" i="6"/>
  <c r="W523" i="6"/>
  <c r="U547" i="6"/>
  <c r="W547" i="6" s="1"/>
  <c r="U553" i="6"/>
  <c r="W559" i="6"/>
  <c r="W568" i="6"/>
  <c r="W574" i="6"/>
  <c r="W592" i="6"/>
  <c r="R1259" i="5"/>
  <c r="T1259" i="5" s="1"/>
  <c r="R1286" i="5"/>
  <c r="T1286" i="5" s="1"/>
  <c r="R1418" i="5"/>
  <c r="T1418" i="5" s="1"/>
  <c r="R1358" i="5"/>
  <c r="T1358" i="5" s="1"/>
  <c r="R1373" i="5"/>
  <c r="T1373" i="5" s="1"/>
  <c r="U475" i="6"/>
  <c r="U493" i="6"/>
  <c r="U520" i="6"/>
  <c r="U472" i="6"/>
  <c r="W598" i="6"/>
  <c r="R1247" i="5"/>
  <c r="T1241" i="5"/>
  <c r="R1211" i="5"/>
  <c r="T1211" i="5" s="1"/>
  <c r="R1265" i="5"/>
  <c r="T1265" i="5" s="1"/>
  <c r="R1238" i="5"/>
  <c r="R1214" i="5"/>
  <c r="R1388" i="5"/>
  <c r="T1388" i="5" s="1"/>
  <c r="W595" i="6"/>
  <c r="W586" i="6"/>
  <c r="W580" i="6"/>
  <c r="W577" i="6"/>
  <c r="W571" i="6"/>
  <c r="W562" i="6"/>
  <c r="W556" i="6"/>
  <c r="W553" i="6"/>
  <c r="W550" i="6"/>
  <c r="W544" i="6"/>
  <c r="T1430" i="5"/>
  <c r="R1352" i="5"/>
  <c r="T1352" i="5" s="1"/>
  <c r="R1322" i="5"/>
  <c r="T1322" i="5" s="1"/>
  <c r="R1250" i="5"/>
  <c r="R1340" i="5"/>
  <c r="T1340" i="5" s="1"/>
  <c r="R1367" i="5"/>
  <c r="T1367" i="5" s="1"/>
  <c r="R1382" i="5"/>
  <c r="T1382" i="5" s="1"/>
  <c r="R1385" i="5"/>
  <c r="R1379" i="5"/>
  <c r="T1379" i="5" s="1"/>
  <c r="R1289" i="5"/>
  <c r="T1289" i="5" s="1"/>
  <c r="R1334" i="5"/>
  <c r="T1334" i="5" s="1"/>
  <c r="R1262" i="5"/>
  <c r="T1262" i="5" s="1"/>
  <c r="R1355" i="5"/>
  <c r="T1355" i="5" s="1"/>
  <c r="R1271" i="5"/>
  <c r="T1271" i="5" s="1"/>
  <c r="R1427" i="5"/>
  <c r="T1427" i="5" s="1"/>
  <c r="R1421" i="5"/>
  <c r="R1217" i="5"/>
  <c r="T1217" i="5" s="1"/>
  <c r="R1244" i="5"/>
  <c r="T1244" i="5" s="1"/>
  <c r="R1394" i="5"/>
  <c r="T1394" i="5" s="1"/>
  <c r="R1349" i="5"/>
  <c r="T1349" i="5" s="1"/>
  <c r="R1337" i="5"/>
  <c r="T1337" i="5" s="1"/>
  <c r="R1412" i="5"/>
  <c r="T1412" i="5" s="1"/>
  <c r="R1295" i="5"/>
  <c r="R1364" i="5"/>
  <c r="T1364" i="5" s="1"/>
  <c r="R1343" i="5"/>
  <c r="T1343" i="5" s="1"/>
  <c r="R1232" i="5"/>
  <c r="T1232" i="5" s="1"/>
  <c r="R1361" i="5"/>
  <c r="T1361" i="5" s="1"/>
  <c r="R1370" i="5"/>
  <c r="T1370" i="5" s="1"/>
  <c r="R1319" i="5"/>
  <c r="T1319" i="5" s="1"/>
  <c r="R1280" i="5"/>
  <c r="T1280" i="5" s="1"/>
  <c r="T1415" i="5"/>
  <c r="T1424" i="5"/>
  <c r="R1274" i="5"/>
  <c r="T1274" i="5" s="1"/>
  <c r="T1331" i="5"/>
  <c r="R1277" i="5"/>
  <c r="T1277" i="5" s="1"/>
  <c r="R1400" i="5"/>
  <c r="T1400" i="5" s="1"/>
  <c r="R1268" i="5"/>
  <c r="T1268" i="5" s="1"/>
  <c r="W541" i="6"/>
  <c r="U457" i="6"/>
  <c r="W505" i="6"/>
  <c r="W502" i="6"/>
  <c r="W508" i="6"/>
  <c r="W520" i="6"/>
  <c r="W472" i="6"/>
  <c r="W526" i="6"/>
  <c r="W478" i="6"/>
  <c r="W487" i="6"/>
  <c r="W532" i="6"/>
  <c r="W538" i="6"/>
  <c r="W535" i="6"/>
  <c r="R1235" i="5"/>
  <c r="T1235" i="5" s="1"/>
  <c r="T1214" i="5"/>
  <c r="R1229" i="5"/>
  <c r="T1229" i="5" s="1"/>
  <c r="R1199" i="5"/>
  <c r="T1199" i="5" s="1"/>
  <c r="R1220" i="5"/>
  <c r="T1220" i="5" s="1"/>
  <c r="R1223" i="5"/>
  <c r="T1223" i="5" s="1"/>
  <c r="R1346" i="5"/>
  <c r="T1346" i="5" s="1"/>
  <c r="R1397" i="5"/>
  <c r="T1397" i="5" s="1"/>
  <c r="R1256" i="5"/>
  <c r="T1256" i="5" s="1"/>
  <c r="R1226" i="5"/>
  <c r="T1226" i="5" s="1"/>
  <c r="R1292" i="5"/>
  <c r="T1292" i="5" s="1"/>
  <c r="T1295" i="5"/>
  <c r="T1385" i="5"/>
  <c r="U529" i="6"/>
  <c r="W529" i="6" s="1"/>
  <c r="R1391" i="5"/>
  <c r="T1391" i="5" s="1"/>
  <c r="T1376" i="5"/>
  <c r="W514" i="6"/>
  <c r="W511" i="6"/>
  <c r="T1316" i="5"/>
  <c r="W499" i="6"/>
  <c r="W493" i="6"/>
  <c r="W490" i="6"/>
  <c r="W484" i="6"/>
  <c r="R1253" i="5"/>
  <c r="T1253" i="5" s="1"/>
  <c r="T1250" i="5"/>
  <c r="T1247" i="5"/>
  <c r="W481" i="6"/>
  <c r="T1238" i="5"/>
  <c r="W475" i="6"/>
  <c r="W469" i="6"/>
  <c r="R1205" i="5"/>
  <c r="T1205" i="5" s="1"/>
  <c r="R1208" i="5"/>
  <c r="T1208" i="5" s="1"/>
  <c r="R1196" i="5"/>
  <c r="T1196" i="5" s="1"/>
  <c r="R1202" i="5"/>
  <c r="T1202" i="5" s="1"/>
  <c r="S436" i="6"/>
  <c r="W460" i="6"/>
  <c r="V436" i="6"/>
  <c r="T439" i="6"/>
  <c r="R442" i="6"/>
  <c r="S448" i="6"/>
  <c r="R1193" i="5"/>
  <c r="T1193" i="5" s="1"/>
  <c r="W457" i="6"/>
  <c r="T454" i="6"/>
  <c r="V454" i="6"/>
  <c r="S454" i="6"/>
  <c r="R454" i="6"/>
  <c r="S451" i="6"/>
  <c r="T451" i="6"/>
  <c r="R451" i="6"/>
  <c r="V451" i="6"/>
  <c r="T448" i="6"/>
  <c r="R448" i="6"/>
  <c r="U448" i="6" s="1"/>
  <c r="V448" i="6"/>
  <c r="T445" i="6"/>
  <c r="V445" i="6"/>
  <c r="S445" i="6"/>
  <c r="R445" i="6"/>
  <c r="T442" i="6"/>
  <c r="S442" i="6"/>
  <c r="U442" i="6" s="1"/>
  <c r="V442" i="6"/>
  <c r="V439" i="6"/>
  <c r="S439" i="6"/>
  <c r="R439" i="6"/>
  <c r="T436" i="6"/>
  <c r="R436" i="6"/>
  <c r="W448" i="6" l="1"/>
  <c r="U436" i="6"/>
  <c r="W436" i="6" s="1"/>
  <c r="W442" i="6"/>
  <c r="U451" i="6"/>
  <c r="W451" i="6" s="1"/>
  <c r="U454" i="6"/>
  <c r="W454" i="6" s="1"/>
  <c r="U445" i="6"/>
  <c r="W445" i="6" s="1"/>
  <c r="U439" i="6"/>
  <c r="W439" i="6" s="1"/>
  <c r="Q435" i="6"/>
  <c r="P435" i="6"/>
  <c r="O435" i="6"/>
  <c r="N435" i="6"/>
  <c r="M435" i="6"/>
  <c r="L435" i="6"/>
  <c r="K435" i="6"/>
  <c r="J435" i="6"/>
  <c r="I435" i="6"/>
  <c r="H435" i="6"/>
  <c r="G435" i="6"/>
  <c r="F435" i="6"/>
  <c r="E435" i="6"/>
  <c r="N1123" i="5"/>
  <c r="M1123" i="5"/>
  <c r="L1123" i="5"/>
  <c r="K1123" i="5"/>
  <c r="J1123" i="5"/>
  <c r="I1123" i="5"/>
  <c r="H1123" i="5"/>
  <c r="G1123" i="5"/>
  <c r="F1123" i="5"/>
  <c r="E237" i="4"/>
  <c r="H237" i="4" s="1"/>
  <c r="Q432" i="6"/>
  <c r="P432" i="6"/>
  <c r="O432" i="6"/>
  <c r="N432" i="6"/>
  <c r="M432" i="6"/>
  <c r="L432" i="6"/>
  <c r="K432" i="6"/>
  <c r="J432" i="6"/>
  <c r="I432" i="6"/>
  <c r="H432" i="6"/>
  <c r="G432" i="6"/>
  <c r="F432" i="6"/>
  <c r="E432" i="6"/>
  <c r="E236" i="4"/>
  <c r="H236" i="4" s="1"/>
  <c r="N1114" i="5"/>
  <c r="M1114" i="5"/>
  <c r="L1114" i="5"/>
  <c r="K1114" i="5"/>
  <c r="J1114" i="5"/>
  <c r="I1114" i="5"/>
  <c r="H1114" i="5"/>
  <c r="G1114" i="5"/>
  <c r="F1114" i="5"/>
  <c r="N1111" i="5"/>
  <c r="M1111" i="5"/>
  <c r="L1111" i="5"/>
  <c r="K1111" i="5"/>
  <c r="J1111" i="5"/>
  <c r="I1111" i="5"/>
  <c r="H1111" i="5"/>
  <c r="G1111" i="5"/>
  <c r="F1111" i="5"/>
  <c r="N1108" i="5"/>
  <c r="M1108" i="5"/>
  <c r="L1108" i="5"/>
  <c r="K1108" i="5"/>
  <c r="J1108" i="5"/>
  <c r="I1108" i="5"/>
  <c r="H1108" i="5"/>
  <c r="G1108" i="5"/>
  <c r="F1108" i="5"/>
  <c r="Q429" i="6"/>
  <c r="P429" i="6"/>
  <c r="O429" i="6"/>
  <c r="N429" i="6"/>
  <c r="M429" i="6"/>
  <c r="L429" i="6"/>
  <c r="K429" i="6"/>
  <c r="J429" i="6"/>
  <c r="I429" i="6"/>
  <c r="H429" i="6"/>
  <c r="G429" i="6"/>
  <c r="F429" i="6"/>
  <c r="E429" i="6"/>
  <c r="Q426" i="6"/>
  <c r="P426" i="6"/>
  <c r="O426" i="6"/>
  <c r="N426" i="6"/>
  <c r="M426" i="6"/>
  <c r="L426" i="6"/>
  <c r="K426" i="6"/>
  <c r="J426" i="6"/>
  <c r="I426" i="6"/>
  <c r="H426" i="6"/>
  <c r="G426" i="6"/>
  <c r="F426" i="6"/>
  <c r="E426" i="6"/>
  <c r="Q423" i="6"/>
  <c r="P423" i="6"/>
  <c r="O423" i="6"/>
  <c r="N423" i="6"/>
  <c r="M423" i="6"/>
  <c r="L423" i="6"/>
  <c r="K423" i="6"/>
  <c r="J423" i="6"/>
  <c r="I423" i="6"/>
  <c r="H423" i="6"/>
  <c r="G423" i="6"/>
  <c r="F423" i="6"/>
  <c r="E423" i="6"/>
  <c r="Q420" i="6"/>
  <c r="P420" i="6"/>
  <c r="O420" i="6"/>
  <c r="N420" i="6"/>
  <c r="M420" i="6"/>
  <c r="L420" i="6"/>
  <c r="K420" i="6"/>
  <c r="J420" i="6"/>
  <c r="I420" i="6"/>
  <c r="H420" i="6"/>
  <c r="G420" i="6"/>
  <c r="F420" i="6"/>
  <c r="E420" i="6"/>
  <c r="Q417" i="6"/>
  <c r="P417" i="6"/>
  <c r="O417" i="6"/>
  <c r="N417" i="6"/>
  <c r="M417" i="6"/>
  <c r="L417" i="6"/>
  <c r="K417" i="6"/>
  <c r="J417" i="6"/>
  <c r="I417" i="6"/>
  <c r="H417" i="6"/>
  <c r="G417" i="6"/>
  <c r="F417" i="6"/>
  <c r="E417" i="6"/>
  <c r="N1105" i="5"/>
  <c r="M1105" i="5"/>
  <c r="L1105" i="5"/>
  <c r="K1105" i="5"/>
  <c r="J1105" i="5"/>
  <c r="I1105" i="5"/>
  <c r="H1105" i="5"/>
  <c r="G1105" i="5"/>
  <c r="F1105" i="5"/>
  <c r="N1102" i="5"/>
  <c r="M1102" i="5"/>
  <c r="L1102" i="5"/>
  <c r="K1102" i="5"/>
  <c r="J1102" i="5"/>
  <c r="I1102" i="5"/>
  <c r="H1102" i="5"/>
  <c r="G1102" i="5"/>
  <c r="F1102" i="5"/>
  <c r="N1099" i="5"/>
  <c r="M1099" i="5"/>
  <c r="L1099" i="5"/>
  <c r="K1099" i="5"/>
  <c r="J1099" i="5"/>
  <c r="I1099" i="5"/>
  <c r="H1099" i="5"/>
  <c r="G1099" i="5"/>
  <c r="F1099" i="5"/>
  <c r="E235" i="4"/>
  <c r="H235" i="4" s="1"/>
  <c r="S430" i="6" l="1"/>
  <c r="S433" i="6"/>
  <c r="R430" i="6"/>
  <c r="P1103" i="5"/>
  <c r="Q1100" i="5"/>
  <c r="S1103" i="5"/>
  <c r="P1112" i="5"/>
  <c r="T433" i="6"/>
  <c r="R433" i="6"/>
  <c r="V433" i="6"/>
  <c r="Q1121" i="5"/>
  <c r="S1121" i="5"/>
  <c r="P1121" i="5"/>
  <c r="O1121" i="5"/>
  <c r="T430" i="6"/>
  <c r="V430" i="6"/>
  <c r="O1112" i="5"/>
  <c r="S1112" i="5"/>
  <c r="Q1112" i="5"/>
  <c r="S1109" i="5"/>
  <c r="S1106" i="5"/>
  <c r="Q1106" i="5"/>
  <c r="Q1109" i="5"/>
  <c r="P1106" i="5"/>
  <c r="O1106" i="5"/>
  <c r="P1109" i="5"/>
  <c r="O1109" i="5"/>
  <c r="S427" i="6"/>
  <c r="R427" i="6"/>
  <c r="S415" i="6"/>
  <c r="T424" i="6"/>
  <c r="R424" i="6"/>
  <c r="V421" i="6"/>
  <c r="T418" i="6"/>
  <c r="V415" i="6"/>
  <c r="R418" i="6"/>
  <c r="T415" i="6"/>
  <c r="V424" i="6"/>
  <c r="T427" i="6"/>
  <c r="T421" i="6"/>
  <c r="S424" i="6"/>
  <c r="R415" i="6"/>
  <c r="U415" i="6" s="1"/>
  <c r="V427" i="6"/>
  <c r="V418" i="6"/>
  <c r="S421" i="6"/>
  <c r="R421" i="6"/>
  <c r="S418" i="6"/>
  <c r="Q1097" i="5"/>
  <c r="P1100" i="5"/>
  <c r="S1097" i="5"/>
  <c r="Q1103" i="5"/>
  <c r="S1100" i="5"/>
  <c r="O1100" i="5"/>
  <c r="R1100" i="5" s="1"/>
  <c r="O1103" i="5"/>
  <c r="P1097" i="5"/>
  <c r="O1097" i="5"/>
  <c r="E234" i="4"/>
  <c r="H234" i="4" s="1"/>
  <c r="E233" i="4"/>
  <c r="H233" i="4" s="1"/>
  <c r="U430" i="6" l="1"/>
  <c r="W430" i="6" s="1"/>
  <c r="U433" i="6"/>
  <c r="R1103" i="5"/>
  <c r="T1103" i="5" s="1"/>
  <c r="T1100" i="5"/>
  <c r="R1112" i="5"/>
  <c r="T1112" i="5" s="1"/>
  <c r="W433" i="6"/>
  <c r="R1121" i="5"/>
  <c r="T1121" i="5" s="1"/>
  <c r="R1106" i="5"/>
  <c r="T1106" i="5" s="1"/>
  <c r="R1109" i="5"/>
  <c r="T1109" i="5" s="1"/>
  <c r="U427" i="6"/>
  <c r="W415" i="6"/>
  <c r="U424" i="6"/>
  <c r="W424" i="6" s="1"/>
  <c r="U418" i="6"/>
  <c r="W418" i="6" s="1"/>
  <c r="W427" i="6"/>
  <c r="U421" i="6"/>
  <c r="W421" i="6" s="1"/>
  <c r="R1097" i="5"/>
  <c r="T1097" i="5" s="1"/>
  <c r="N1096" i="5"/>
  <c r="M1096" i="5"/>
  <c r="L1096" i="5"/>
  <c r="K1096" i="5"/>
  <c r="J1096" i="5"/>
  <c r="I1096" i="5"/>
  <c r="H1096" i="5"/>
  <c r="G1096" i="5"/>
  <c r="F1096" i="5"/>
  <c r="N1093" i="5"/>
  <c r="M1093" i="5"/>
  <c r="L1093" i="5"/>
  <c r="K1093" i="5"/>
  <c r="J1093" i="5"/>
  <c r="I1093" i="5"/>
  <c r="H1093" i="5"/>
  <c r="G1093" i="5"/>
  <c r="F1093" i="5"/>
  <c r="N1090" i="5"/>
  <c r="M1090" i="5"/>
  <c r="L1090" i="5"/>
  <c r="K1090" i="5"/>
  <c r="J1090" i="5"/>
  <c r="I1090" i="5"/>
  <c r="H1090" i="5"/>
  <c r="G1090" i="5"/>
  <c r="F1090" i="5"/>
  <c r="N1087" i="5"/>
  <c r="M1087" i="5"/>
  <c r="L1087" i="5"/>
  <c r="K1087" i="5"/>
  <c r="J1087" i="5"/>
  <c r="I1087" i="5"/>
  <c r="H1087" i="5"/>
  <c r="G1087" i="5"/>
  <c r="F1087" i="5"/>
  <c r="N1084" i="5"/>
  <c r="M1084" i="5"/>
  <c r="L1084" i="5"/>
  <c r="K1084" i="5"/>
  <c r="J1084" i="5"/>
  <c r="I1084" i="5"/>
  <c r="H1084" i="5"/>
  <c r="G1084" i="5"/>
  <c r="F1084" i="5"/>
  <c r="N1081" i="5"/>
  <c r="M1081" i="5"/>
  <c r="L1081" i="5"/>
  <c r="K1081" i="5"/>
  <c r="J1081" i="5"/>
  <c r="I1081" i="5"/>
  <c r="H1081" i="5"/>
  <c r="G1081" i="5"/>
  <c r="F1081" i="5"/>
  <c r="N1078" i="5"/>
  <c r="M1078" i="5"/>
  <c r="L1078" i="5"/>
  <c r="K1078" i="5"/>
  <c r="J1078" i="5"/>
  <c r="I1078" i="5"/>
  <c r="H1078" i="5"/>
  <c r="G1078" i="5"/>
  <c r="F1078" i="5"/>
  <c r="N1075" i="5"/>
  <c r="M1075" i="5"/>
  <c r="L1075" i="5"/>
  <c r="K1075" i="5"/>
  <c r="J1075" i="5"/>
  <c r="I1075" i="5"/>
  <c r="H1075" i="5"/>
  <c r="G1075" i="5"/>
  <c r="F1075" i="5"/>
  <c r="N1072" i="5"/>
  <c r="M1072" i="5"/>
  <c r="L1072" i="5"/>
  <c r="K1072" i="5"/>
  <c r="J1072" i="5"/>
  <c r="I1072" i="5"/>
  <c r="H1072" i="5"/>
  <c r="G1072" i="5"/>
  <c r="F1072" i="5"/>
  <c r="P1079" i="5" l="1"/>
  <c r="P1091" i="5"/>
  <c r="O1073" i="5"/>
  <c r="S1085" i="5"/>
  <c r="P1076" i="5"/>
  <c r="P1088" i="5"/>
  <c r="Q1079" i="5"/>
  <c r="Q1091" i="5"/>
  <c r="Q1076" i="5"/>
  <c r="Q1088" i="5"/>
  <c r="Q1073" i="5"/>
  <c r="S1076" i="5"/>
  <c r="Q1082" i="5"/>
  <c r="O1085" i="5"/>
  <c r="Q1085" i="5"/>
  <c r="S1088" i="5"/>
  <c r="Q1094" i="5"/>
  <c r="Q1070" i="5"/>
  <c r="S1073" i="5"/>
  <c r="O1070" i="5"/>
  <c r="S1070" i="5"/>
  <c r="P1073" i="5"/>
  <c r="O1082" i="5"/>
  <c r="S1082" i="5"/>
  <c r="P1085" i="5"/>
  <c r="O1094" i="5"/>
  <c r="S1094" i="5"/>
  <c r="P1070" i="5"/>
  <c r="O1079" i="5"/>
  <c r="R1079" i="5" s="1"/>
  <c r="S1079" i="5"/>
  <c r="P1082" i="5"/>
  <c r="O1091" i="5"/>
  <c r="S1091" i="5"/>
  <c r="P1094" i="5"/>
  <c r="O1076" i="5"/>
  <c r="O1088" i="5"/>
  <c r="R1076" i="5" l="1"/>
  <c r="T1076" i="5" s="1"/>
  <c r="R1091" i="5"/>
  <c r="T1091" i="5" s="1"/>
  <c r="R1073" i="5"/>
  <c r="T1073" i="5" s="1"/>
  <c r="T1079" i="5"/>
  <c r="R1088" i="5"/>
  <c r="T1088" i="5" s="1"/>
  <c r="R1085" i="5"/>
  <c r="T1085" i="5" s="1"/>
  <c r="R1094" i="5"/>
  <c r="T1094" i="5" s="1"/>
  <c r="R1070" i="5"/>
  <c r="T1070" i="5" s="1"/>
  <c r="R1082" i="5"/>
  <c r="T1082" i="5" s="1"/>
  <c r="F1117" i="5" l="1"/>
  <c r="G1117" i="5"/>
  <c r="H1117" i="5"/>
  <c r="I1117" i="5"/>
  <c r="J1117" i="5"/>
  <c r="K1117" i="5"/>
  <c r="L1117" i="5"/>
  <c r="M1117" i="5"/>
  <c r="N1117" i="5"/>
  <c r="F1120" i="5"/>
  <c r="G1120" i="5"/>
  <c r="H1120" i="5"/>
  <c r="I1120" i="5"/>
  <c r="J1120" i="5"/>
  <c r="K1120" i="5"/>
  <c r="L1120" i="5"/>
  <c r="M1120" i="5"/>
  <c r="N1120" i="5"/>
  <c r="F1126" i="5"/>
  <c r="G1126" i="5"/>
  <c r="H1126" i="5"/>
  <c r="I1126" i="5"/>
  <c r="J1126" i="5"/>
  <c r="K1126" i="5"/>
  <c r="L1126" i="5"/>
  <c r="M1126" i="5"/>
  <c r="N1126" i="5"/>
  <c r="F1129" i="5"/>
  <c r="G1129" i="5"/>
  <c r="H1129" i="5"/>
  <c r="I1129" i="5"/>
  <c r="J1129" i="5"/>
  <c r="K1129" i="5"/>
  <c r="L1129" i="5"/>
  <c r="M1129" i="5"/>
  <c r="N1129" i="5"/>
  <c r="F1132" i="5"/>
  <c r="G1132" i="5"/>
  <c r="H1132" i="5"/>
  <c r="I1132" i="5"/>
  <c r="J1132" i="5"/>
  <c r="K1132" i="5"/>
  <c r="L1132" i="5"/>
  <c r="M1132" i="5"/>
  <c r="N1132" i="5"/>
  <c r="F1135" i="5"/>
  <c r="G1135" i="5"/>
  <c r="H1135" i="5"/>
  <c r="I1135" i="5"/>
  <c r="J1135" i="5"/>
  <c r="K1135" i="5"/>
  <c r="L1135" i="5"/>
  <c r="M1135" i="5"/>
  <c r="N1135" i="5"/>
  <c r="F1138" i="5"/>
  <c r="G1138" i="5"/>
  <c r="H1138" i="5"/>
  <c r="I1138" i="5"/>
  <c r="J1138" i="5"/>
  <c r="K1138" i="5"/>
  <c r="L1138" i="5"/>
  <c r="M1138" i="5"/>
  <c r="N1138" i="5"/>
  <c r="F1141" i="5"/>
  <c r="G1141" i="5"/>
  <c r="H1141" i="5"/>
  <c r="I1141" i="5"/>
  <c r="J1141" i="5"/>
  <c r="K1141" i="5"/>
  <c r="L1141" i="5"/>
  <c r="M1141" i="5"/>
  <c r="N1141" i="5"/>
  <c r="F1144" i="5"/>
  <c r="G1144" i="5"/>
  <c r="H1144" i="5"/>
  <c r="I1144" i="5"/>
  <c r="J1144" i="5"/>
  <c r="K1144" i="5"/>
  <c r="L1144" i="5"/>
  <c r="M1144" i="5"/>
  <c r="N1144" i="5"/>
  <c r="F1147" i="5"/>
  <c r="G1147" i="5"/>
  <c r="H1147" i="5"/>
  <c r="I1147" i="5"/>
  <c r="J1147" i="5"/>
  <c r="K1147" i="5"/>
  <c r="L1147" i="5"/>
  <c r="M1147" i="5"/>
  <c r="N1147" i="5"/>
  <c r="F1150" i="5"/>
  <c r="G1150" i="5"/>
  <c r="H1150" i="5"/>
  <c r="I1150" i="5"/>
  <c r="J1150" i="5"/>
  <c r="K1150" i="5"/>
  <c r="L1150" i="5"/>
  <c r="M1150" i="5"/>
  <c r="N1150" i="5"/>
  <c r="F1153" i="5"/>
  <c r="G1153" i="5"/>
  <c r="H1153" i="5"/>
  <c r="I1153" i="5"/>
  <c r="J1153" i="5"/>
  <c r="K1153" i="5"/>
  <c r="L1153" i="5"/>
  <c r="M1153" i="5"/>
  <c r="N1153" i="5"/>
  <c r="F1156" i="5"/>
  <c r="G1156" i="5"/>
  <c r="H1156" i="5"/>
  <c r="I1156" i="5"/>
  <c r="J1156" i="5"/>
  <c r="K1156" i="5"/>
  <c r="L1156" i="5"/>
  <c r="M1156" i="5"/>
  <c r="N1156" i="5"/>
  <c r="F1159" i="5"/>
  <c r="G1159" i="5"/>
  <c r="H1159" i="5"/>
  <c r="I1159" i="5"/>
  <c r="J1159" i="5"/>
  <c r="K1159" i="5"/>
  <c r="L1159" i="5"/>
  <c r="M1159" i="5"/>
  <c r="N1159" i="5"/>
  <c r="F1162" i="5"/>
  <c r="G1162" i="5"/>
  <c r="H1162" i="5"/>
  <c r="I1162" i="5"/>
  <c r="J1162" i="5"/>
  <c r="K1162" i="5"/>
  <c r="L1162" i="5"/>
  <c r="M1162" i="5"/>
  <c r="N1162" i="5"/>
  <c r="F1165" i="5"/>
  <c r="G1165" i="5"/>
  <c r="H1165" i="5"/>
  <c r="I1165" i="5"/>
  <c r="J1165" i="5"/>
  <c r="K1165" i="5"/>
  <c r="L1165" i="5"/>
  <c r="M1165" i="5"/>
  <c r="N1165" i="5"/>
  <c r="F1168" i="5"/>
  <c r="G1168" i="5"/>
  <c r="H1168" i="5"/>
  <c r="I1168" i="5"/>
  <c r="J1168" i="5"/>
  <c r="K1168" i="5"/>
  <c r="L1168" i="5"/>
  <c r="M1168" i="5"/>
  <c r="N1168" i="5"/>
  <c r="F1171" i="5"/>
  <c r="G1171" i="5"/>
  <c r="H1171" i="5"/>
  <c r="I1171" i="5"/>
  <c r="J1171" i="5"/>
  <c r="K1171" i="5"/>
  <c r="L1171" i="5"/>
  <c r="M1171" i="5"/>
  <c r="N1171" i="5"/>
  <c r="F1174" i="5"/>
  <c r="G1174" i="5"/>
  <c r="H1174" i="5"/>
  <c r="I1174" i="5"/>
  <c r="J1174" i="5"/>
  <c r="K1174" i="5"/>
  <c r="L1174" i="5"/>
  <c r="M1174" i="5"/>
  <c r="N1174" i="5"/>
  <c r="F1177" i="5"/>
  <c r="G1177" i="5"/>
  <c r="H1177" i="5"/>
  <c r="I1177" i="5"/>
  <c r="J1177" i="5"/>
  <c r="K1177" i="5"/>
  <c r="L1177" i="5"/>
  <c r="M1177" i="5"/>
  <c r="N1177" i="5"/>
  <c r="F1180" i="5"/>
  <c r="G1180" i="5"/>
  <c r="H1180" i="5"/>
  <c r="I1180" i="5"/>
  <c r="J1180" i="5"/>
  <c r="K1180" i="5"/>
  <c r="L1180" i="5"/>
  <c r="M1180" i="5"/>
  <c r="N1180" i="5"/>
  <c r="F1183" i="5"/>
  <c r="G1183" i="5"/>
  <c r="H1183" i="5"/>
  <c r="I1183" i="5"/>
  <c r="J1183" i="5"/>
  <c r="K1183" i="5"/>
  <c r="L1183" i="5"/>
  <c r="M1183" i="5"/>
  <c r="N1183" i="5"/>
  <c r="F1186" i="5"/>
  <c r="G1186" i="5"/>
  <c r="H1186" i="5"/>
  <c r="I1186" i="5"/>
  <c r="J1186" i="5"/>
  <c r="K1186" i="5"/>
  <c r="L1186" i="5"/>
  <c r="M1186" i="5"/>
  <c r="N1186" i="5"/>
  <c r="F1189" i="5"/>
  <c r="G1189" i="5"/>
  <c r="H1189" i="5"/>
  <c r="I1189" i="5"/>
  <c r="J1189" i="5"/>
  <c r="K1189" i="5"/>
  <c r="L1189" i="5"/>
  <c r="M1189" i="5"/>
  <c r="N1189" i="5"/>
  <c r="F1192" i="5"/>
  <c r="G1192" i="5"/>
  <c r="H1192" i="5"/>
  <c r="I1192" i="5"/>
  <c r="J1192" i="5"/>
  <c r="K1192" i="5"/>
  <c r="L1192" i="5"/>
  <c r="M1192" i="5"/>
  <c r="N1192" i="5"/>
  <c r="P1136" i="5" l="1"/>
  <c r="Q1187" i="5"/>
  <c r="P1187" i="5"/>
  <c r="O1175" i="5"/>
  <c r="P1139" i="5"/>
  <c r="P1190" i="5"/>
  <c r="P1178" i="5"/>
  <c r="P1166" i="5"/>
  <c r="P1151" i="5"/>
  <c r="P1181" i="5"/>
  <c r="O1169" i="5"/>
  <c r="P1157" i="5"/>
  <c r="P1145" i="5"/>
  <c r="P1124" i="5"/>
  <c r="P1175" i="5"/>
  <c r="O1163" i="5"/>
  <c r="O1151" i="5"/>
  <c r="R1151" i="5" s="1"/>
  <c r="O1130" i="5"/>
  <c r="P1163" i="5"/>
  <c r="P1154" i="5"/>
  <c r="P1130" i="5"/>
  <c r="O1184" i="5"/>
  <c r="P1172" i="5"/>
  <c r="P1169" i="5"/>
  <c r="P1160" i="5"/>
  <c r="P1148" i="5"/>
  <c r="O1136" i="5"/>
  <c r="P1127" i="5"/>
  <c r="O1187" i="5"/>
  <c r="O1190" i="5"/>
  <c r="Q1190" i="5"/>
  <c r="O1178" i="5"/>
  <c r="Q1178" i="5"/>
  <c r="O1181" i="5"/>
  <c r="Q1181" i="5"/>
  <c r="P1184" i="5"/>
  <c r="Q1184" i="5"/>
  <c r="O1172" i="5"/>
  <c r="Q1172" i="5"/>
  <c r="Q1175" i="5"/>
  <c r="Q1169" i="5"/>
  <c r="Q1166" i="5"/>
  <c r="O1166" i="5"/>
  <c r="Q1163" i="5"/>
  <c r="O1160" i="5"/>
  <c r="R1160" i="5" s="1"/>
  <c r="Q1160" i="5"/>
  <c r="Q1151" i="5"/>
  <c r="O1154" i="5"/>
  <c r="R1154" i="5" s="1"/>
  <c r="Q1154" i="5"/>
  <c r="O1157" i="5"/>
  <c r="Q1157" i="5"/>
  <c r="O1145" i="5"/>
  <c r="Q1145" i="5"/>
  <c r="P1142" i="5"/>
  <c r="Q1142" i="5"/>
  <c r="O1142" i="5"/>
  <c r="Q1148" i="5"/>
  <c r="O1148" i="5"/>
  <c r="P1133" i="5"/>
  <c r="Q1133" i="5"/>
  <c r="O1133" i="5"/>
  <c r="Q1136" i="5"/>
  <c r="Q1139" i="5"/>
  <c r="O1139" i="5"/>
  <c r="Q1130" i="5"/>
  <c r="O1124" i="5"/>
  <c r="Q1124" i="5"/>
  <c r="Q1127" i="5"/>
  <c r="O1127" i="5"/>
  <c r="P1118" i="5"/>
  <c r="O1115" i="5"/>
  <c r="Q1118" i="5"/>
  <c r="O1118" i="5"/>
  <c r="P1115" i="5"/>
  <c r="Q1115" i="5"/>
  <c r="S1184" i="5"/>
  <c r="S1169" i="5"/>
  <c r="S1151" i="5"/>
  <c r="S1160" i="5"/>
  <c r="S1118" i="5"/>
  <c r="S1187" i="5"/>
  <c r="S1181" i="5"/>
  <c r="S1175" i="5"/>
  <c r="S1163" i="5"/>
  <c r="S1157" i="5"/>
  <c r="S1145" i="5"/>
  <c r="S1139" i="5"/>
  <c r="S1133" i="5"/>
  <c r="S1127" i="5"/>
  <c r="S1115" i="5"/>
  <c r="S1172" i="5"/>
  <c r="S1148" i="5"/>
  <c r="S1136" i="5"/>
  <c r="S1124" i="5"/>
  <c r="S1190" i="5"/>
  <c r="S1178" i="5"/>
  <c r="S1166" i="5"/>
  <c r="S1154" i="5"/>
  <c r="S1142" i="5"/>
  <c r="S1130" i="5"/>
  <c r="R1184" i="5" l="1"/>
  <c r="T1184" i="5" s="1"/>
  <c r="R1136" i="5"/>
  <c r="T1136" i="5" s="1"/>
  <c r="R1139" i="5"/>
  <c r="T1139" i="5" s="1"/>
  <c r="R1145" i="5"/>
  <c r="T1145" i="5" s="1"/>
  <c r="R1187" i="5"/>
  <c r="T1187" i="5" s="1"/>
  <c r="R1181" i="5"/>
  <c r="T1181" i="5" s="1"/>
  <c r="R1190" i="5"/>
  <c r="T1190" i="5" s="1"/>
  <c r="R1124" i="5"/>
  <c r="T1124" i="5" s="1"/>
  <c r="R1148" i="5"/>
  <c r="T1148" i="5" s="1"/>
  <c r="R1172" i="5"/>
  <c r="T1172" i="5" s="1"/>
  <c r="R1163" i="5"/>
  <c r="T1163" i="5" s="1"/>
  <c r="R1175" i="5"/>
  <c r="T1175" i="5" s="1"/>
  <c r="R1115" i="5"/>
  <c r="T1115" i="5" s="1"/>
  <c r="R1178" i="5"/>
  <c r="T1178" i="5" s="1"/>
  <c r="T1151" i="5"/>
  <c r="R1169" i="5"/>
  <c r="T1169" i="5" s="1"/>
  <c r="R1127" i="5"/>
  <c r="T1127" i="5" s="1"/>
  <c r="R1157" i="5"/>
  <c r="T1157" i="5" s="1"/>
  <c r="R1166" i="5"/>
  <c r="T1166" i="5" s="1"/>
  <c r="R1130" i="5"/>
  <c r="T1130" i="5" s="1"/>
  <c r="T1160" i="5"/>
  <c r="T1154" i="5"/>
  <c r="R1142" i="5"/>
  <c r="T1142" i="5" s="1"/>
  <c r="R1133" i="5"/>
  <c r="T1133" i="5" s="1"/>
  <c r="R1118" i="5"/>
  <c r="T1118" i="5" s="1"/>
  <c r="H60" i="7"/>
  <c r="G60" i="7"/>
  <c r="F60" i="7"/>
  <c r="E60" i="7"/>
  <c r="D60" i="7"/>
  <c r="C58" i="7"/>
  <c r="B58" i="7"/>
  <c r="A58" i="7"/>
  <c r="V36" i="7"/>
  <c r="X36" i="7" s="1"/>
  <c r="V37" i="7" s="1"/>
  <c r="U36" i="7"/>
  <c r="X35" i="7" s="1"/>
  <c r="P36" i="7"/>
  <c r="R36" i="7" s="1"/>
  <c r="O36" i="7"/>
  <c r="R35" i="7" s="1"/>
  <c r="W35" i="7"/>
  <c r="V35" i="7"/>
  <c r="U35" i="7"/>
  <c r="Q35" i="7"/>
  <c r="P35" i="7"/>
  <c r="O35" i="7"/>
  <c r="L10" i="7"/>
  <c r="L9" i="7"/>
  <c r="L8" i="7"/>
  <c r="L7" i="7"/>
  <c r="L6" i="7"/>
  <c r="L5" i="7"/>
  <c r="L4" i="7"/>
  <c r="L3" i="7"/>
  <c r="Q414" i="6"/>
  <c r="P414" i="6"/>
  <c r="O414" i="6"/>
  <c r="N414" i="6"/>
  <c r="M414" i="6"/>
  <c r="L414" i="6"/>
  <c r="K414" i="6"/>
  <c r="J414" i="6"/>
  <c r="I414" i="6"/>
  <c r="H414" i="6"/>
  <c r="G414" i="6"/>
  <c r="F414" i="6"/>
  <c r="E414" i="6"/>
  <c r="Q411" i="6"/>
  <c r="P411" i="6"/>
  <c r="O411" i="6"/>
  <c r="N411" i="6"/>
  <c r="M411" i="6"/>
  <c r="L411" i="6"/>
  <c r="K411" i="6"/>
  <c r="J411" i="6"/>
  <c r="I411" i="6"/>
  <c r="H411" i="6"/>
  <c r="G411" i="6"/>
  <c r="F411" i="6"/>
  <c r="E411" i="6"/>
  <c r="Q408" i="6"/>
  <c r="P408" i="6"/>
  <c r="O408" i="6"/>
  <c r="N408" i="6"/>
  <c r="M408" i="6"/>
  <c r="L408" i="6"/>
  <c r="K408" i="6"/>
  <c r="J408" i="6"/>
  <c r="I408" i="6"/>
  <c r="H408" i="6"/>
  <c r="G408" i="6"/>
  <c r="F408" i="6"/>
  <c r="E408" i="6"/>
  <c r="Q405" i="6"/>
  <c r="P405" i="6"/>
  <c r="O405" i="6"/>
  <c r="N405" i="6"/>
  <c r="M405" i="6"/>
  <c r="L405" i="6"/>
  <c r="K405" i="6"/>
  <c r="J405" i="6"/>
  <c r="I405" i="6"/>
  <c r="H405" i="6"/>
  <c r="G405" i="6"/>
  <c r="F405" i="6"/>
  <c r="E405" i="6"/>
  <c r="Q402" i="6"/>
  <c r="P402" i="6"/>
  <c r="O402" i="6"/>
  <c r="N402" i="6"/>
  <c r="M402" i="6"/>
  <c r="L402" i="6"/>
  <c r="K402" i="6"/>
  <c r="J402" i="6"/>
  <c r="I402" i="6"/>
  <c r="H402" i="6"/>
  <c r="G402" i="6"/>
  <c r="F402" i="6"/>
  <c r="E402" i="6"/>
  <c r="Q399" i="6"/>
  <c r="P399" i="6"/>
  <c r="O399" i="6"/>
  <c r="N399" i="6"/>
  <c r="M399" i="6"/>
  <c r="L399" i="6"/>
  <c r="K399" i="6"/>
  <c r="J399" i="6"/>
  <c r="I399" i="6"/>
  <c r="H399" i="6"/>
  <c r="G399" i="6"/>
  <c r="F399" i="6"/>
  <c r="E399" i="6"/>
  <c r="Q396" i="6"/>
  <c r="P396" i="6"/>
  <c r="O396" i="6"/>
  <c r="N396" i="6"/>
  <c r="M396" i="6"/>
  <c r="L396" i="6"/>
  <c r="K396" i="6"/>
  <c r="J396" i="6"/>
  <c r="I396" i="6"/>
  <c r="H396" i="6"/>
  <c r="G396" i="6"/>
  <c r="F396" i="6"/>
  <c r="E396" i="6"/>
  <c r="Q393" i="6"/>
  <c r="P393" i="6"/>
  <c r="O393" i="6"/>
  <c r="N393" i="6"/>
  <c r="M393" i="6"/>
  <c r="L393" i="6"/>
  <c r="K393" i="6"/>
  <c r="J393" i="6"/>
  <c r="I393" i="6"/>
  <c r="H393" i="6"/>
  <c r="G393" i="6"/>
  <c r="F393" i="6"/>
  <c r="E393" i="6"/>
  <c r="Q390" i="6"/>
  <c r="P390" i="6"/>
  <c r="O390" i="6"/>
  <c r="N390" i="6"/>
  <c r="M390" i="6"/>
  <c r="L390" i="6"/>
  <c r="K390" i="6"/>
  <c r="J390" i="6"/>
  <c r="I390" i="6"/>
  <c r="H390" i="6"/>
  <c r="G390" i="6"/>
  <c r="F390" i="6"/>
  <c r="E390" i="6"/>
  <c r="Q387" i="6"/>
  <c r="P387" i="6"/>
  <c r="O387" i="6"/>
  <c r="N387" i="6"/>
  <c r="M387" i="6"/>
  <c r="L387" i="6"/>
  <c r="K387" i="6"/>
  <c r="J387" i="6"/>
  <c r="I387" i="6"/>
  <c r="H387" i="6"/>
  <c r="G387" i="6"/>
  <c r="F387" i="6"/>
  <c r="E387" i="6"/>
  <c r="Q384" i="6"/>
  <c r="P384" i="6"/>
  <c r="O384" i="6"/>
  <c r="N384" i="6"/>
  <c r="M384" i="6"/>
  <c r="L384" i="6"/>
  <c r="K384" i="6"/>
  <c r="J384" i="6"/>
  <c r="I384" i="6"/>
  <c r="H384" i="6"/>
  <c r="G384" i="6"/>
  <c r="F384" i="6"/>
  <c r="E384" i="6"/>
  <c r="Q381" i="6"/>
  <c r="P381" i="6"/>
  <c r="O381" i="6"/>
  <c r="N381" i="6"/>
  <c r="M381" i="6"/>
  <c r="L381" i="6"/>
  <c r="K381" i="6"/>
  <c r="J381" i="6"/>
  <c r="I381" i="6"/>
  <c r="H381" i="6"/>
  <c r="G381" i="6"/>
  <c r="F381" i="6"/>
  <c r="E381" i="6"/>
  <c r="Q378" i="6"/>
  <c r="P378" i="6"/>
  <c r="O378" i="6"/>
  <c r="N378" i="6"/>
  <c r="M378" i="6"/>
  <c r="L378" i="6"/>
  <c r="K378" i="6"/>
  <c r="J378" i="6"/>
  <c r="I378" i="6"/>
  <c r="H378" i="6"/>
  <c r="G378" i="6"/>
  <c r="F378" i="6"/>
  <c r="E378" i="6"/>
  <c r="Q375" i="6"/>
  <c r="P375" i="6"/>
  <c r="O375" i="6"/>
  <c r="N375" i="6"/>
  <c r="M375" i="6"/>
  <c r="L375" i="6"/>
  <c r="K375" i="6"/>
  <c r="J375" i="6"/>
  <c r="I375" i="6"/>
  <c r="H375" i="6"/>
  <c r="G375" i="6"/>
  <c r="F375" i="6"/>
  <c r="E375" i="6"/>
  <c r="Q372" i="6"/>
  <c r="P372" i="6"/>
  <c r="O372" i="6"/>
  <c r="N372" i="6"/>
  <c r="M372" i="6"/>
  <c r="L372" i="6"/>
  <c r="K372" i="6"/>
  <c r="J372" i="6"/>
  <c r="I372" i="6"/>
  <c r="H372" i="6"/>
  <c r="G372" i="6"/>
  <c r="F372" i="6"/>
  <c r="E372" i="6"/>
  <c r="Q369" i="6"/>
  <c r="P369" i="6"/>
  <c r="O369" i="6"/>
  <c r="N369" i="6"/>
  <c r="M369" i="6"/>
  <c r="L369" i="6"/>
  <c r="K369" i="6"/>
  <c r="J369" i="6"/>
  <c r="I369" i="6"/>
  <c r="H369" i="6"/>
  <c r="G369" i="6"/>
  <c r="F369" i="6"/>
  <c r="E369" i="6"/>
  <c r="Q366" i="6"/>
  <c r="P366" i="6"/>
  <c r="O366" i="6"/>
  <c r="N366" i="6"/>
  <c r="M366" i="6"/>
  <c r="L366" i="6"/>
  <c r="K366" i="6"/>
  <c r="J366" i="6"/>
  <c r="I366" i="6"/>
  <c r="H366" i="6"/>
  <c r="G366" i="6"/>
  <c r="F366" i="6"/>
  <c r="E366" i="6"/>
  <c r="Q363" i="6"/>
  <c r="P363" i="6"/>
  <c r="O363" i="6"/>
  <c r="N363" i="6"/>
  <c r="M363" i="6"/>
  <c r="L363" i="6"/>
  <c r="K363" i="6"/>
  <c r="J363" i="6"/>
  <c r="I363" i="6"/>
  <c r="H363" i="6"/>
  <c r="G363" i="6"/>
  <c r="F363" i="6"/>
  <c r="E363" i="6"/>
  <c r="Q360" i="6"/>
  <c r="P360" i="6"/>
  <c r="O360" i="6"/>
  <c r="N360" i="6"/>
  <c r="M360" i="6"/>
  <c r="L360" i="6"/>
  <c r="K360" i="6"/>
  <c r="J360" i="6"/>
  <c r="I360" i="6"/>
  <c r="H360" i="6"/>
  <c r="G360" i="6"/>
  <c r="F360" i="6"/>
  <c r="E360" i="6"/>
  <c r="Q357" i="6"/>
  <c r="P357" i="6"/>
  <c r="O357" i="6"/>
  <c r="N357" i="6"/>
  <c r="M357" i="6"/>
  <c r="L357" i="6"/>
  <c r="K357" i="6"/>
  <c r="J357" i="6"/>
  <c r="I357" i="6"/>
  <c r="H357" i="6"/>
  <c r="G357" i="6"/>
  <c r="F357" i="6"/>
  <c r="E357" i="6"/>
  <c r="Q354" i="6"/>
  <c r="P354" i="6"/>
  <c r="O354" i="6"/>
  <c r="N354" i="6"/>
  <c r="M354" i="6"/>
  <c r="L354" i="6"/>
  <c r="K354" i="6"/>
  <c r="J354" i="6"/>
  <c r="I354" i="6"/>
  <c r="H354" i="6"/>
  <c r="G354" i="6"/>
  <c r="F354" i="6"/>
  <c r="E354" i="6"/>
  <c r="Q351" i="6"/>
  <c r="P351" i="6"/>
  <c r="O351" i="6"/>
  <c r="N351" i="6"/>
  <c r="M351" i="6"/>
  <c r="L351" i="6"/>
  <c r="K351" i="6"/>
  <c r="J351" i="6"/>
  <c r="I351" i="6"/>
  <c r="H351" i="6"/>
  <c r="G351" i="6"/>
  <c r="F351" i="6"/>
  <c r="E351" i="6"/>
  <c r="Q348" i="6"/>
  <c r="P348" i="6"/>
  <c r="O348" i="6"/>
  <c r="N348" i="6"/>
  <c r="M348" i="6"/>
  <c r="L348" i="6"/>
  <c r="K348" i="6"/>
  <c r="J348" i="6"/>
  <c r="I348" i="6"/>
  <c r="H348" i="6"/>
  <c r="G348" i="6"/>
  <c r="F348" i="6"/>
  <c r="E348" i="6"/>
  <c r="Q345" i="6"/>
  <c r="P345" i="6"/>
  <c r="O345" i="6"/>
  <c r="N345" i="6"/>
  <c r="M345" i="6"/>
  <c r="L345" i="6"/>
  <c r="K345" i="6"/>
  <c r="J345" i="6"/>
  <c r="I345" i="6"/>
  <c r="H345" i="6"/>
  <c r="G345" i="6"/>
  <c r="F345" i="6"/>
  <c r="E345" i="6"/>
  <c r="Q342" i="6"/>
  <c r="P342" i="6"/>
  <c r="O342" i="6"/>
  <c r="N342" i="6"/>
  <c r="M342" i="6"/>
  <c r="L342" i="6"/>
  <c r="K342" i="6"/>
  <c r="J342" i="6"/>
  <c r="I342" i="6"/>
  <c r="H342" i="6"/>
  <c r="G342" i="6"/>
  <c r="F342" i="6"/>
  <c r="E342" i="6"/>
  <c r="Q339" i="6"/>
  <c r="P339" i="6"/>
  <c r="O339" i="6"/>
  <c r="N339" i="6"/>
  <c r="M339" i="6"/>
  <c r="L339" i="6"/>
  <c r="K339" i="6"/>
  <c r="J339" i="6"/>
  <c r="I339" i="6"/>
  <c r="H339" i="6"/>
  <c r="G339" i="6"/>
  <c r="F339" i="6"/>
  <c r="E339" i="6"/>
  <c r="Q336" i="6"/>
  <c r="P336" i="6"/>
  <c r="O336" i="6"/>
  <c r="N336" i="6"/>
  <c r="M336" i="6"/>
  <c r="L336" i="6"/>
  <c r="K336" i="6"/>
  <c r="J336" i="6"/>
  <c r="I336" i="6"/>
  <c r="H336" i="6"/>
  <c r="G336" i="6"/>
  <c r="F336" i="6"/>
  <c r="E336" i="6"/>
  <c r="Q333" i="6"/>
  <c r="P333" i="6"/>
  <c r="O333" i="6"/>
  <c r="N333" i="6"/>
  <c r="M333" i="6"/>
  <c r="L333" i="6"/>
  <c r="K333" i="6"/>
  <c r="J333" i="6"/>
  <c r="I333" i="6"/>
  <c r="H333" i="6"/>
  <c r="G333" i="6"/>
  <c r="F333" i="6"/>
  <c r="E333" i="6"/>
  <c r="Q330" i="6"/>
  <c r="P330" i="6"/>
  <c r="O330" i="6"/>
  <c r="N330" i="6"/>
  <c r="M330" i="6"/>
  <c r="L330" i="6"/>
  <c r="K330" i="6"/>
  <c r="J330" i="6"/>
  <c r="I330" i="6"/>
  <c r="H330" i="6"/>
  <c r="G330" i="6"/>
  <c r="F330" i="6"/>
  <c r="E330" i="6"/>
  <c r="Q327" i="6"/>
  <c r="P327" i="6"/>
  <c r="O327" i="6"/>
  <c r="N327" i="6"/>
  <c r="M327" i="6"/>
  <c r="L327" i="6"/>
  <c r="K327" i="6"/>
  <c r="J327" i="6"/>
  <c r="I327" i="6"/>
  <c r="H327" i="6"/>
  <c r="G327" i="6"/>
  <c r="F327" i="6"/>
  <c r="E327" i="6"/>
  <c r="Q324" i="6"/>
  <c r="P324" i="6"/>
  <c r="O324" i="6"/>
  <c r="N324" i="6"/>
  <c r="M324" i="6"/>
  <c r="L324" i="6"/>
  <c r="K324" i="6"/>
  <c r="J324" i="6"/>
  <c r="I324" i="6"/>
  <c r="H324" i="6"/>
  <c r="G324" i="6"/>
  <c r="F324" i="6"/>
  <c r="E324" i="6"/>
  <c r="Q321" i="6"/>
  <c r="P321" i="6"/>
  <c r="O321" i="6"/>
  <c r="N321" i="6"/>
  <c r="M321" i="6"/>
  <c r="L321" i="6"/>
  <c r="K321" i="6"/>
  <c r="J321" i="6"/>
  <c r="I321" i="6"/>
  <c r="H321" i="6"/>
  <c r="G321" i="6"/>
  <c r="F321" i="6"/>
  <c r="E321" i="6"/>
  <c r="Q318" i="6"/>
  <c r="P318" i="6"/>
  <c r="O318" i="6"/>
  <c r="N318" i="6"/>
  <c r="M318" i="6"/>
  <c r="L318" i="6"/>
  <c r="K318" i="6"/>
  <c r="J318" i="6"/>
  <c r="I318" i="6"/>
  <c r="H318" i="6"/>
  <c r="G318" i="6"/>
  <c r="F318" i="6"/>
  <c r="E318" i="6"/>
  <c r="Q315" i="6"/>
  <c r="P315" i="6"/>
  <c r="O315" i="6"/>
  <c r="N315" i="6"/>
  <c r="M315" i="6"/>
  <c r="L315" i="6"/>
  <c r="K315" i="6"/>
  <c r="J315" i="6"/>
  <c r="I315" i="6"/>
  <c r="H315" i="6"/>
  <c r="G315" i="6"/>
  <c r="F315" i="6"/>
  <c r="E315" i="6"/>
  <c r="Q312" i="6"/>
  <c r="P312" i="6"/>
  <c r="O312" i="6"/>
  <c r="N312" i="6"/>
  <c r="M312" i="6"/>
  <c r="L312" i="6"/>
  <c r="K312" i="6"/>
  <c r="J312" i="6"/>
  <c r="I312" i="6"/>
  <c r="H312" i="6"/>
  <c r="G312" i="6"/>
  <c r="F312" i="6"/>
  <c r="E312" i="6"/>
  <c r="Q309" i="6"/>
  <c r="P309" i="6"/>
  <c r="O309" i="6"/>
  <c r="N309" i="6"/>
  <c r="M309" i="6"/>
  <c r="L309" i="6"/>
  <c r="K309" i="6"/>
  <c r="J309" i="6"/>
  <c r="I309" i="6"/>
  <c r="H309" i="6"/>
  <c r="G309" i="6"/>
  <c r="F309" i="6"/>
  <c r="E309" i="6"/>
  <c r="Q306" i="6"/>
  <c r="P306" i="6"/>
  <c r="O306" i="6"/>
  <c r="N306" i="6"/>
  <c r="M306" i="6"/>
  <c r="L306" i="6"/>
  <c r="K306" i="6"/>
  <c r="J306" i="6"/>
  <c r="I306" i="6"/>
  <c r="H306" i="6"/>
  <c r="G306" i="6"/>
  <c r="F306" i="6"/>
  <c r="E306" i="6"/>
  <c r="Q303" i="6"/>
  <c r="P303" i="6"/>
  <c r="O303" i="6"/>
  <c r="N303" i="6"/>
  <c r="M303" i="6"/>
  <c r="L303" i="6"/>
  <c r="K303" i="6"/>
  <c r="J303" i="6"/>
  <c r="I303" i="6"/>
  <c r="H303" i="6"/>
  <c r="G303" i="6"/>
  <c r="F303" i="6"/>
  <c r="E303" i="6"/>
  <c r="Q300" i="6"/>
  <c r="P300" i="6"/>
  <c r="O300" i="6"/>
  <c r="N300" i="6"/>
  <c r="M300" i="6"/>
  <c r="L300" i="6"/>
  <c r="K300" i="6"/>
  <c r="J300" i="6"/>
  <c r="I300" i="6"/>
  <c r="H300" i="6"/>
  <c r="G300" i="6"/>
  <c r="F300" i="6"/>
  <c r="E300" i="6"/>
  <c r="Q297" i="6"/>
  <c r="P297" i="6"/>
  <c r="O297" i="6"/>
  <c r="N297" i="6"/>
  <c r="M297" i="6"/>
  <c r="L297" i="6"/>
  <c r="K297" i="6"/>
  <c r="J297" i="6"/>
  <c r="I297" i="6"/>
  <c r="H297" i="6"/>
  <c r="G297" i="6"/>
  <c r="F297" i="6"/>
  <c r="E297" i="6"/>
  <c r="Q294" i="6"/>
  <c r="P294" i="6"/>
  <c r="O294" i="6"/>
  <c r="N294" i="6"/>
  <c r="M294" i="6"/>
  <c r="L294" i="6"/>
  <c r="K294" i="6"/>
  <c r="J294" i="6"/>
  <c r="I294" i="6"/>
  <c r="H294" i="6"/>
  <c r="G294" i="6"/>
  <c r="F294" i="6"/>
  <c r="E294" i="6"/>
  <c r="Q291" i="6"/>
  <c r="P291" i="6"/>
  <c r="O291" i="6"/>
  <c r="N291" i="6"/>
  <c r="M291" i="6"/>
  <c r="L291" i="6"/>
  <c r="K291" i="6"/>
  <c r="J291" i="6"/>
  <c r="I291" i="6"/>
  <c r="H291" i="6"/>
  <c r="G291" i="6"/>
  <c r="F291" i="6"/>
  <c r="E291" i="6"/>
  <c r="Q288" i="6"/>
  <c r="P288" i="6"/>
  <c r="O288" i="6"/>
  <c r="N288" i="6"/>
  <c r="M288" i="6"/>
  <c r="L288" i="6"/>
  <c r="K288" i="6"/>
  <c r="J288" i="6"/>
  <c r="I288" i="6"/>
  <c r="H288" i="6"/>
  <c r="G288" i="6"/>
  <c r="F288" i="6"/>
  <c r="E288" i="6"/>
  <c r="Q285" i="6"/>
  <c r="P285" i="6"/>
  <c r="O285" i="6"/>
  <c r="N285" i="6"/>
  <c r="M285" i="6"/>
  <c r="L285" i="6"/>
  <c r="K285" i="6"/>
  <c r="J285" i="6"/>
  <c r="I285" i="6"/>
  <c r="H285" i="6"/>
  <c r="G285" i="6"/>
  <c r="F285" i="6"/>
  <c r="E285" i="6"/>
  <c r="Q282" i="6"/>
  <c r="P282" i="6"/>
  <c r="O282" i="6"/>
  <c r="N282" i="6"/>
  <c r="M282" i="6"/>
  <c r="L282" i="6"/>
  <c r="K282" i="6"/>
  <c r="J282" i="6"/>
  <c r="I282" i="6"/>
  <c r="H282" i="6"/>
  <c r="G282" i="6"/>
  <c r="F282" i="6"/>
  <c r="E282" i="6"/>
  <c r="Q279" i="6"/>
  <c r="P279" i="6"/>
  <c r="O279" i="6"/>
  <c r="N279" i="6"/>
  <c r="M279" i="6"/>
  <c r="L279" i="6"/>
  <c r="K279" i="6"/>
  <c r="J279" i="6"/>
  <c r="I279" i="6"/>
  <c r="H279" i="6"/>
  <c r="G279" i="6"/>
  <c r="F279" i="6"/>
  <c r="E279" i="6"/>
  <c r="Q276" i="6"/>
  <c r="P276" i="6"/>
  <c r="O276" i="6"/>
  <c r="N276" i="6"/>
  <c r="M276" i="6"/>
  <c r="L276" i="6"/>
  <c r="K276" i="6"/>
  <c r="J276" i="6"/>
  <c r="I276" i="6"/>
  <c r="H276" i="6"/>
  <c r="G276" i="6"/>
  <c r="F276" i="6"/>
  <c r="E276" i="6"/>
  <c r="Q273" i="6"/>
  <c r="P273" i="6"/>
  <c r="O273" i="6"/>
  <c r="N273" i="6"/>
  <c r="M273" i="6"/>
  <c r="L273" i="6"/>
  <c r="K273" i="6"/>
  <c r="J273" i="6"/>
  <c r="I273" i="6"/>
  <c r="H273" i="6"/>
  <c r="G273" i="6"/>
  <c r="F273" i="6"/>
  <c r="E273" i="6"/>
  <c r="Q270" i="6"/>
  <c r="P270" i="6"/>
  <c r="O270" i="6"/>
  <c r="N270" i="6"/>
  <c r="M270" i="6"/>
  <c r="L270" i="6"/>
  <c r="K270" i="6"/>
  <c r="J270" i="6"/>
  <c r="I270" i="6"/>
  <c r="H270" i="6"/>
  <c r="G270" i="6"/>
  <c r="F270" i="6"/>
  <c r="E270" i="6"/>
  <c r="Q267" i="6"/>
  <c r="P267" i="6"/>
  <c r="O267" i="6"/>
  <c r="N267" i="6"/>
  <c r="M267" i="6"/>
  <c r="L267" i="6"/>
  <c r="K267" i="6"/>
  <c r="J267" i="6"/>
  <c r="I267" i="6"/>
  <c r="H267" i="6"/>
  <c r="G267" i="6"/>
  <c r="F267" i="6"/>
  <c r="E267" i="6"/>
  <c r="Q264" i="6"/>
  <c r="P264" i="6"/>
  <c r="O264" i="6"/>
  <c r="N264" i="6"/>
  <c r="M264" i="6"/>
  <c r="L264" i="6"/>
  <c r="K264" i="6"/>
  <c r="J264" i="6"/>
  <c r="I264" i="6"/>
  <c r="H264" i="6"/>
  <c r="G264" i="6"/>
  <c r="F264" i="6"/>
  <c r="E264" i="6"/>
  <c r="Q261" i="6"/>
  <c r="P261" i="6"/>
  <c r="O261" i="6"/>
  <c r="N261" i="6"/>
  <c r="M261" i="6"/>
  <c r="L261" i="6"/>
  <c r="K261" i="6"/>
  <c r="J261" i="6"/>
  <c r="I261" i="6"/>
  <c r="H261" i="6"/>
  <c r="G261" i="6"/>
  <c r="F261" i="6"/>
  <c r="E261" i="6"/>
  <c r="Q258" i="6"/>
  <c r="P258" i="6"/>
  <c r="O258" i="6"/>
  <c r="N258" i="6"/>
  <c r="M258" i="6"/>
  <c r="L258" i="6"/>
  <c r="K258" i="6"/>
  <c r="J258" i="6"/>
  <c r="I258" i="6"/>
  <c r="H258" i="6"/>
  <c r="G258" i="6"/>
  <c r="F258" i="6"/>
  <c r="E258" i="6"/>
  <c r="Q255" i="6"/>
  <c r="P255" i="6"/>
  <c r="O255" i="6"/>
  <c r="N255" i="6"/>
  <c r="M255" i="6"/>
  <c r="L255" i="6"/>
  <c r="K255" i="6"/>
  <c r="J255" i="6"/>
  <c r="I255" i="6"/>
  <c r="H255" i="6"/>
  <c r="G255" i="6"/>
  <c r="F255" i="6"/>
  <c r="E255" i="6"/>
  <c r="Q252" i="6"/>
  <c r="P252" i="6"/>
  <c r="O252" i="6"/>
  <c r="N252" i="6"/>
  <c r="M252" i="6"/>
  <c r="L252" i="6"/>
  <c r="K252" i="6"/>
  <c r="J252" i="6"/>
  <c r="I252" i="6"/>
  <c r="H252" i="6"/>
  <c r="G252" i="6"/>
  <c r="F252" i="6"/>
  <c r="E252" i="6"/>
  <c r="Q249" i="6"/>
  <c r="P249" i="6"/>
  <c r="O249" i="6"/>
  <c r="N249" i="6"/>
  <c r="M249" i="6"/>
  <c r="L249" i="6"/>
  <c r="K249" i="6"/>
  <c r="J249" i="6"/>
  <c r="I249" i="6"/>
  <c r="H249" i="6"/>
  <c r="G249" i="6"/>
  <c r="F249" i="6"/>
  <c r="E249" i="6"/>
  <c r="Q246" i="6"/>
  <c r="P246" i="6"/>
  <c r="O246" i="6"/>
  <c r="N246" i="6"/>
  <c r="M246" i="6"/>
  <c r="L246" i="6"/>
  <c r="K246" i="6"/>
  <c r="J246" i="6"/>
  <c r="I246" i="6"/>
  <c r="H246" i="6"/>
  <c r="G246" i="6"/>
  <c r="F246" i="6"/>
  <c r="E246" i="6"/>
  <c r="Q243" i="6"/>
  <c r="P243" i="6"/>
  <c r="O243" i="6"/>
  <c r="N243" i="6"/>
  <c r="M243" i="6"/>
  <c r="L243" i="6"/>
  <c r="K243" i="6"/>
  <c r="J243" i="6"/>
  <c r="I243" i="6"/>
  <c r="H243" i="6"/>
  <c r="G243" i="6"/>
  <c r="F243" i="6"/>
  <c r="E243" i="6"/>
  <c r="Q240" i="6"/>
  <c r="P240" i="6"/>
  <c r="O240" i="6"/>
  <c r="N240" i="6"/>
  <c r="M240" i="6"/>
  <c r="L240" i="6"/>
  <c r="K240" i="6"/>
  <c r="J240" i="6"/>
  <c r="I240" i="6"/>
  <c r="H240" i="6"/>
  <c r="G240" i="6"/>
  <c r="F240" i="6"/>
  <c r="E240" i="6"/>
  <c r="Q237" i="6"/>
  <c r="P237" i="6"/>
  <c r="O237" i="6"/>
  <c r="N237" i="6"/>
  <c r="M237" i="6"/>
  <c r="L237" i="6"/>
  <c r="K237" i="6"/>
  <c r="J237" i="6"/>
  <c r="I237" i="6"/>
  <c r="H237" i="6"/>
  <c r="G237" i="6"/>
  <c r="F237" i="6"/>
  <c r="E237" i="6"/>
  <c r="Q234" i="6"/>
  <c r="P234" i="6"/>
  <c r="O234" i="6"/>
  <c r="N234" i="6"/>
  <c r="M234" i="6"/>
  <c r="L234" i="6"/>
  <c r="K234" i="6"/>
  <c r="J234" i="6"/>
  <c r="I234" i="6"/>
  <c r="H234" i="6"/>
  <c r="G234" i="6"/>
  <c r="F234" i="6"/>
  <c r="E234" i="6"/>
  <c r="Q231" i="6"/>
  <c r="P231" i="6"/>
  <c r="O231" i="6"/>
  <c r="N231" i="6"/>
  <c r="M231" i="6"/>
  <c r="L231" i="6"/>
  <c r="K231" i="6"/>
  <c r="J231" i="6"/>
  <c r="I231" i="6"/>
  <c r="H231" i="6"/>
  <c r="G231" i="6"/>
  <c r="F231" i="6"/>
  <c r="E231" i="6"/>
  <c r="Q228" i="6"/>
  <c r="P228" i="6"/>
  <c r="O228" i="6"/>
  <c r="N228" i="6"/>
  <c r="M228" i="6"/>
  <c r="L228" i="6"/>
  <c r="K228" i="6"/>
  <c r="J228" i="6"/>
  <c r="I228" i="6"/>
  <c r="H228" i="6"/>
  <c r="G228" i="6"/>
  <c r="F228" i="6"/>
  <c r="E228" i="6"/>
  <c r="Q225" i="6"/>
  <c r="P225" i="6"/>
  <c r="O225" i="6"/>
  <c r="N225" i="6"/>
  <c r="M225" i="6"/>
  <c r="L225" i="6"/>
  <c r="K225" i="6"/>
  <c r="J225" i="6"/>
  <c r="I225" i="6"/>
  <c r="H225" i="6"/>
  <c r="G225" i="6"/>
  <c r="F225" i="6"/>
  <c r="E225" i="6"/>
  <c r="Q222" i="6"/>
  <c r="P222" i="6"/>
  <c r="O222" i="6"/>
  <c r="N222" i="6"/>
  <c r="M222" i="6"/>
  <c r="L222" i="6"/>
  <c r="K222" i="6"/>
  <c r="J222" i="6"/>
  <c r="I222" i="6"/>
  <c r="H222" i="6"/>
  <c r="G222" i="6"/>
  <c r="F222" i="6"/>
  <c r="E222" i="6"/>
  <c r="Q219" i="6"/>
  <c r="P219" i="6"/>
  <c r="O219" i="6"/>
  <c r="N219" i="6"/>
  <c r="M219" i="6"/>
  <c r="L219" i="6"/>
  <c r="K219" i="6"/>
  <c r="J219" i="6"/>
  <c r="I219" i="6"/>
  <c r="H219" i="6"/>
  <c r="G219" i="6"/>
  <c r="F219" i="6"/>
  <c r="E219" i="6"/>
  <c r="Q216" i="6"/>
  <c r="P216" i="6"/>
  <c r="O216" i="6"/>
  <c r="N216" i="6"/>
  <c r="M216" i="6"/>
  <c r="L216" i="6"/>
  <c r="K216" i="6"/>
  <c r="J216" i="6"/>
  <c r="I216" i="6"/>
  <c r="H216" i="6"/>
  <c r="G216" i="6"/>
  <c r="F216" i="6"/>
  <c r="E216" i="6"/>
  <c r="Q213" i="6"/>
  <c r="P213" i="6"/>
  <c r="O213" i="6"/>
  <c r="N213" i="6"/>
  <c r="M213" i="6"/>
  <c r="L213" i="6"/>
  <c r="K213" i="6"/>
  <c r="J213" i="6"/>
  <c r="I213" i="6"/>
  <c r="H213" i="6"/>
  <c r="G213" i="6"/>
  <c r="F213" i="6"/>
  <c r="E213" i="6"/>
  <c r="Q210" i="6"/>
  <c r="P210" i="6"/>
  <c r="O210" i="6"/>
  <c r="N210" i="6"/>
  <c r="M210" i="6"/>
  <c r="L210" i="6"/>
  <c r="K210" i="6"/>
  <c r="J210" i="6"/>
  <c r="I210" i="6"/>
  <c r="H210" i="6"/>
  <c r="G210" i="6"/>
  <c r="F210" i="6"/>
  <c r="E210" i="6"/>
  <c r="Q207" i="6"/>
  <c r="P207" i="6"/>
  <c r="O207" i="6"/>
  <c r="N207" i="6"/>
  <c r="M207" i="6"/>
  <c r="L207" i="6"/>
  <c r="K207" i="6"/>
  <c r="J207" i="6"/>
  <c r="I207" i="6"/>
  <c r="H207" i="6"/>
  <c r="G207" i="6"/>
  <c r="F207" i="6"/>
  <c r="E207" i="6"/>
  <c r="Q204" i="6"/>
  <c r="P204" i="6"/>
  <c r="O204" i="6"/>
  <c r="N204" i="6"/>
  <c r="M204" i="6"/>
  <c r="L204" i="6"/>
  <c r="K204" i="6"/>
  <c r="J204" i="6"/>
  <c r="I204" i="6"/>
  <c r="H204" i="6"/>
  <c r="G204" i="6"/>
  <c r="F204" i="6"/>
  <c r="E204" i="6"/>
  <c r="Q201" i="6"/>
  <c r="P201" i="6"/>
  <c r="O201" i="6"/>
  <c r="N201" i="6"/>
  <c r="M201" i="6"/>
  <c r="L201" i="6"/>
  <c r="K201" i="6"/>
  <c r="J201" i="6"/>
  <c r="I201" i="6"/>
  <c r="H201" i="6"/>
  <c r="G201" i="6"/>
  <c r="F201" i="6"/>
  <c r="E201" i="6"/>
  <c r="Q198" i="6"/>
  <c r="P198" i="6"/>
  <c r="O198" i="6"/>
  <c r="N198" i="6"/>
  <c r="M198" i="6"/>
  <c r="L198" i="6"/>
  <c r="K198" i="6"/>
  <c r="J198" i="6"/>
  <c r="I198" i="6"/>
  <c r="H198" i="6"/>
  <c r="G198" i="6"/>
  <c r="F198" i="6"/>
  <c r="E198" i="6"/>
  <c r="Q195" i="6"/>
  <c r="P195" i="6"/>
  <c r="O195" i="6"/>
  <c r="N195" i="6"/>
  <c r="M195" i="6"/>
  <c r="L195" i="6"/>
  <c r="K195" i="6"/>
  <c r="J195" i="6"/>
  <c r="I195" i="6"/>
  <c r="H195" i="6"/>
  <c r="G195" i="6"/>
  <c r="F195" i="6"/>
  <c r="E195" i="6"/>
  <c r="Q192" i="6"/>
  <c r="P192" i="6"/>
  <c r="O192" i="6"/>
  <c r="N192" i="6"/>
  <c r="M192" i="6"/>
  <c r="L192" i="6"/>
  <c r="K192" i="6"/>
  <c r="J192" i="6"/>
  <c r="I192" i="6"/>
  <c r="H192" i="6"/>
  <c r="G192" i="6"/>
  <c r="F192" i="6"/>
  <c r="E192" i="6"/>
  <c r="Q189" i="6"/>
  <c r="P189" i="6"/>
  <c r="O189" i="6"/>
  <c r="N189" i="6"/>
  <c r="M189" i="6"/>
  <c r="L189" i="6"/>
  <c r="K189" i="6"/>
  <c r="J189" i="6"/>
  <c r="I189" i="6"/>
  <c r="H189" i="6"/>
  <c r="G189" i="6"/>
  <c r="F189" i="6"/>
  <c r="E189" i="6"/>
  <c r="Q186" i="6"/>
  <c r="P186" i="6"/>
  <c r="O186" i="6"/>
  <c r="N186" i="6"/>
  <c r="M186" i="6"/>
  <c r="L186" i="6"/>
  <c r="K186" i="6"/>
  <c r="J186" i="6"/>
  <c r="I186" i="6"/>
  <c r="H186" i="6"/>
  <c r="G186" i="6"/>
  <c r="F186" i="6"/>
  <c r="E186" i="6"/>
  <c r="Q183" i="6"/>
  <c r="P183" i="6"/>
  <c r="O183" i="6"/>
  <c r="N183" i="6"/>
  <c r="M183" i="6"/>
  <c r="L183" i="6"/>
  <c r="K183" i="6"/>
  <c r="J183" i="6"/>
  <c r="I183" i="6"/>
  <c r="H183" i="6"/>
  <c r="G183" i="6"/>
  <c r="F183" i="6"/>
  <c r="E183" i="6"/>
  <c r="Q180" i="6"/>
  <c r="P180" i="6"/>
  <c r="O180" i="6"/>
  <c r="N180" i="6"/>
  <c r="M180" i="6"/>
  <c r="L180" i="6"/>
  <c r="K180" i="6"/>
  <c r="J180" i="6"/>
  <c r="I180" i="6"/>
  <c r="H180" i="6"/>
  <c r="G180" i="6"/>
  <c r="F180" i="6"/>
  <c r="E180" i="6"/>
  <c r="Q177" i="6"/>
  <c r="P177" i="6"/>
  <c r="O177" i="6"/>
  <c r="N177" i="6"/>
  <c r="M177" i="6"/>
  <c r="L177" i="6"/>
  <c r="K177" i="6"/>
  <c r="J177" i="6"/>
  <c r="I177" i="6"/>
  <c r="H177" i="6"/>
  <c r="G177" i="6"/>
  <c r="F177" i="6"/>
  <c r="E177" i="6"/>
  <c r="Q174" i="6"/>
  <c r="P174" i="6"/>
  <c r="O174" i="6"/>
  <c r="N174" i="6"/>
  <c r="M174" i="6"/>
  <c r="L174" i="6"/>
  <c r="K174" i="6"/>
  <c r="J174" i="6"/>
  <c r="I174" i="6"/>
  <c r="H174" i="6"/>
  <c r="G174" i="6"/>
  <c r="F174" i="6"/>
  <c r="E174" i="6"/>
  <c r="Q171" i="6"/>
  <c r="P171" i="6"/>
  <c r="O171" i="6"/>
  <c r="N171" i="6"/>
  <c r="M171" i="6"/>
  <c r="L171" i="6"/>
  <c r="K171" i="6"/>
  <c r="J171" i="6"/>
  <c r="I171" i="6"/>
  <c r="H171" i="6"/>
  <c r="G171" i="6"/>
  <c r="F171" i="6"/>
  <c r="E171" i="6"/>
  <c r="Q168" i="6"/>
  <c r="P168" i="6"/>
  <c r="O168" i="6"/>
  <c r="N168" i="6"/>
  <c r="M168" i="6"/>
  <c r="L168" i="6"/>
  <c r="K168" i="6"/>
  <c r="J168" i="6"/>
  <c r="I168" i="6"/>
  <c r="H168" i="6"/>
  <c r="G168" i="6"/>
  <c r="F168" i="6"/>
  <c r="E168" i="6"/>
  <c r="Q165" i="6"/>
  <c r="P165" i="6"/>
  <c r="O165" i="6"/>
  <c r="N165" i="6"/>
  <c r="M165" i="6"/>
  <c r="L165" i="6"/>
  <c r="K165" i="6"/>
  <c r="J165" i="6"/>
  <c r="I165" i="6"/>
  <c r="H165" i="6"/>
  <c r="G165" i="6"/>
  <c r="F165" i="6"/>
  <c r="E165" i="6"/>
  <c r="Q162" i="6"/>
  <c r="P162" i="6"/>
  <c r="O162" i="6"/>
  <c r="N162" i="6"/>
  <c r="M162" i="6"/>
  <c r="L162" i="6"/>
  <c r="K162" i="6"/>
  <c r="J162" i="6"/>
  <c r="I162" i="6"/>
  <c r="H162" i="6"/>
  <c r="G162" i="6"/>
  <c r="F162" i="6"/>
  <c r="E162" i="6"/>
  <c r="Q159" i="6"/>
  <c r="P159" i="6"/>
  <c r="O159" i="6"/>
  <c r="N159" i="6"/>
  <c r="M159" i="6"/>
  <c r="L159" i="6"/>
  <c r="K159" i="6"/>
  <c r="J159" i="6"/>
  <c r="I159" i="6"/>
  <c r="H159" i="6"/>
  <c r="G159" i="6"/>
  <c r="F159" i="6"/>
  <c r="E159" i="6"/>
  <c r="Q156" i="6"/>
  <c r="P156" i="6"/>
  <c r="O156" i="6"/>
  <c r="N156" i="6"/>
  <c r="M156" i="6"/>
  <c r="L156" i="6"/>
  <c r="K156" i="6"/>
  <c r="J156" i="6"/>
  <c r="I156" i="6"/>
  <c r="H156" i="6"/>
  <c r="G156" i="6"/>
  <c r="F156" i="6"/>
  <c r="E156" i="6"/>
  <c r="Q153" i="6"/>
  <c r="P153" i="6"/>
  <c r="O153" i="6"/>
  <c r="N153" i="6"/>
  <c r="M153" i="6"/>
  <c r="L153" i="6"/>
  <c r="K153" i="6"/>
  <c r="J153" i="6"/>
  <c r="I153" i="6"/>
  <c r="H153" i="6"/>
  <c r="G153" i="6"/>
  <c r="F153" i="6"/>
  <c r="E153" i="6"/>
  <c r="Q150" i="6"/>
  <c r="P150" i="6"/>
  <c r="O150" i="6"/>
  <c r="N150" i="6"/>
  <c r="M150" i="6"/>
  <c r="L150" i="6"/>
  <c r="K150" i="6"/>
  <c r="J150" i="6"/>
  <c r="I150" i="6"/>
  <c r="H150" i="6"/>
  <c r="G150" i="6"/>
  <c r="F150" i="6"/>
  <c r="E150" i="6"/>
  <c r="Q147" i="6"/>
  <c r="P147" i="6"/>
  <c r="O147" i="6"/>
  <c r="N147" i="6"/>
  <c r="M147" i="6"/>
  <c r="L147" i="6"/>
  <c r="K147" i="6"/>
  <c r="J147" i="6"/>
  <c r="I147" i="6"/>
  <c r="H147" i="6"/>
  <c r="G147" i="6"/>
  <c r="F147" i="6"/>
  <c r="E147" i="6"/>
  <c r="Q144" i="6"/>
  <c r="P144" i="6"/>
  <c r="O144" i="6"/>
  <c r="N144" i="6"/>
  <c r="M144" i="6"/>
  <c r="L144" i="6"/>
  <c r="K144" i="6"/>
  <c r="J144" i="6"/>
  <c r="I144" i="6"/>
  <c r="H144" i="6"/>
  <c r="G144" i="6"/>
  <c r="F144" i="6"/>
  <c r="E144" i="6"/>
  <c r="Q141" i="6"/>
  <c r="P141" i="6"/>
  <c r="O141" i="6"/>
  <c r="N141" i="6"/>
  <c r="M141" i="6"/>
  <c r="L141" i="6"/>
  <c r="K141" i="6"/>
  <c r="J141" i="6"/>
  <c r="I141" i="6"/>
  <c r="H141" i="6"/>
  <c r="G141" i="6"/>
  <c r="F141" i="6"/>
  <c r="E141" i="6"/>
  <c r="Q138" i="6"/>
  <c r="P138" i="6"/>
  <c r="O138" i="6"/>
  <c r="N138" i="6"/>
  <c r="M138" i="6"/>
  <c r="L138" i="6"/>
  <c r="K138" i="6"/>
  <c r="J138" i="6"/>
  <c r="I138" i="6"/>
  <c r="H138" i="6"/>
  <c r="G138" i="6"/>
  <c r="F138" i="6"/>
  <c r="E138" i="6"/>
  <c r="Q135" i="6"/>
  <c r="P135" i="6"/>
  <c r="O135" i="6"/>
  <c r="N135" i="6"/>
  <c r="M135" i="6"/>
  <c r="L135" i="6"/>
  <c r="K135" i="6"/>
  <c r="J135" i="6"/>
  <c r="I135" i="6"/>
  <c r="H135" i="6"/>
  <c r="G135" i="6"/>
  <c r="F135" i="6"/>
  <c r="E135" i="6"/>
  <c r="Q132" i="6"/>
  <c r="P132" i="6"/>
  <c r="O132" i="6"/>
  <c r="N132" i="6"/>
  <c r="M132" i="6"/>
  <c r="L132" i="6"/>
  <c r="K132" i="6"/>
  <c r="J132" i="6"/>
  <c r="I132" i="6"/>
  <c r="H132" i="6"/>
  <c r="G132" i="6"/>
  <c r="F132" i="6"/>
  <c r="E132" i="6"/>
  <c r="Q129" i="6"/>
  <c r="P129" i="6"/>
  <c r="O129" i="6"/>
  <c r="N129" i="6"/>
  <c r="M129" i="6"/>
  <c r="L129" i="6"/>
  <c r="K129" i="6"/>
  <c r="J129" i="6"/>
  <c r="I129" i="6"/>
  <c r="H129" i="6"/>
  <c r="G129" i="6"/>
  <c r="F129" i="6"/>
  <c r="E129" i="6"/>
  <c r="Q126" i="6"/>
  <c r="P126" i="6"/>
  <c r="O126" i="6"/>
  <c r="N126" i="6"/>
  <c r="M126" i="6"/>
  <c r="L126" i="6"/>
  <c r="K126" i="6"/>
  <c r="J126" i="6"/>
  <c r="I126" i="6"/>
  <c r="H126" i="6"/>
  <c r="G126" i="6"/>
  <c r="F126" i="6"/>
  <c r="E126" i="6"/>
  <c r="Q123" i="6"/>
  <c r="P123" i="6"/>
  <c r="O123" i="6"/>
  <c r="N123" i="6"/>
  <c r="M123" i="6"/>
  <c r="L123" i="6"/>
  <c r="K123" i="6"/>
  <c r="J123" i="6"/>
  <c r="I123" i="6"/>
  <c r="H123" i="6"/>
  <c r="G123" i="6"/>
  <c r="F123" i="6"/>
  <c r="E123" i="6"/>
  <c r="Q120" i="6"/>
  <c r="P120" i="6"/>
  <c r="O120" i="6"/>
  <c r="N120" i="6"/>
  <c r="M120" i="6"/>
  <c r="L120" i="6"/>
  <c r="K120" i="6"/>
  <c r="J120" i="6"/>
  <c r="I120" i="6"/>
  <c r="H120" i="6"/>
  <c r="G120" i="6"/>
  <c r="F120" i="6"/>
  <c r="E120" i="6"/>
  <c r="Q117" i="6"/>
  <c r="P117" i="6"/>
  <c r="O117" i="6"/>
  <c r="N117" i="6"/>
  <c r="M117" i="6"/>
  <c r="L117" i="6"/>
  <c r="K117" i="6"/>
  <c r="J117" i="6"/>
  <c r="I117" i="6"/>
  <c r="H117" i="6"/>
  <c r="G117" i="6"/>
  <c r="F117" i="6"/>
  <c r="E117" i="6"/>
  <c r="Q114" i="6"/>
  <c r="P114" i="6"/>
  <c r="O114" i="6"/>
  <c r="N114" i="6"/>
  <c r="M114" i="6"/>
  <c r="L114" i="6"/>
  <c r="K114" i="6"/>
  <c r="J114" i="6"/>
  <c r="I114" i="6"/>
  <c r="H114" i="6"/>
  <c r="G114" i="6"/>
  <c r="F114" i="6"/>
  <c r="E114" i="6"/>
  <c r="Q111" i="6"/>
  <c r="P111" i="6"/>
  <c r="O111" i="6"/>
  <c r="N111" i="6"/>
  <c r="M111" i="6"/>
  <c r="L111" i="6"/>
  <c r="K111" i="6"/>
  <c r="J111" i="6"/>
  <c r="I111" i="6"/>
  <c r="H111" i="6"/>
  <c r="G111" i="6"/>
  <c r="F111" i="6"/>
  <c r="E111" i="6"/>
  <c r="Q108" i="6"/>
  <c r="P108" i="6"/>
  <c r="O108" i="6"/>
  <c r="N108" i="6"/>
  <c r="M108" i="6"/>
  <c r="L108" i="6"/>
  <c r="K108" i="6"/>
  <c r="J108" i="6"/>
  <c r="I108" i="6"/>
  <c r="H108" i="6"/>
  <c r="G108" i="6"/>
  <c r="F108" i="6"/>
  <c r="E108" i="6"/>
  <c r="Q105" i="6"/>
  <c r="P105" i="6"/>
  <c r="O105" i="6"/>
  <c r="N105" i="6"/>
  <c r="M105" i="6"/>
  <c r="L105" i="6"/>
  <c r="K105" i="6"/>
  <c r="J105" i="6"/>
  <c r="I105" i="6"/>
  <c r="H105" i="6"/>
  <c r="G105" i="6"/>
  <c r="F105" i="6"/>
  <c r="E105" i="6"/>
  <c r="Q102" i="6"/>
  <c r="P102" i="6"/>
  <c r="O102" i="6"/>
  <c r="N102" i="6"/>
  <c r="M102" i="6"/>
  <c r="L102" i="6"/>
  <c r="K102" i="6"/>
  <c r="J102" i="6"/>
  <c r="I102" i="6"/>
  <c r="H102" i="6"/>
  <c r="G102" i="6"/>
  <c r="F102" i="6"/>
  <c r="E102" i="6"/>
  <c r="Q99" i="6"/>
  <c r="P99" i="6"/>
  <c r="O99" i="6"/>
  <c r="N99" i="6"/>
  <c r="M99" i="6"/>
  <c r="L99" i="6"/>
  <c r="K99" i="6"/>
  <c r="J99" i="6"/>
  <c r="I99" i="6"/>
  <c r="H99" i="6"/>
  <c r="G99" i="6"/>
  <c r="F99" i="6"/>
  <c r="E99" i="6"/>
  <c r="Q96" i="6"/>
  <c r="P96" i="6"/>
  <c r="O96" i="6"/>
  <c r="N96" i="6"/>
  <c r="M96" i="6"/>
  <c r="L96" i="6"/>
  <c r="K96" i="6"/>
  <c r="J96" i="6"/>
  <c r="I96" i="6"/>
  <c r="H96" i="6"/>
  <c r="G96" i="6"/>
  <c r="F96" i="6"/>
  <c r="E96" i="6"/>
  <c r="Q93" i="6"/>
  <c r="P93" i="6"/>
  <c r="O93" i="6"/>
  <c r="N93" i="6"/>
  <c r="M93" i="6"/>
  <c r="L93" i="6"/>
  <c r="K93" i="6"/>
  <c r="J93" i="6"/>
  <c r="I93" i="6"/>
  <c r="H93" i="6"/>
  <c r="G93" i="6"/>
  <c r="F93" i="6"/>
  <c r="E93" i="6"/>
  <c r="Q90" i="6"/>
  <c r="P90" i="6"/>
  <c r="O90" i="6"/>
  <c r="N90" i="6"/>
  <c r="M90" i="6"/>
  <c r="L90" i="6"/>
  <c r="K90" i="6"/>
  <c r="J90" i="6"/>
  <c r="I90" i="6"/>
  <c r="H90" i="6"/>
  <c r="G90" i="6"/>
  <c r="F90" i="6"/>
  <c r="E90" i="6"/>
  <c r="Q87" i="6"/>
  <c r="P87" i="6"/>
  <c r="O87" i="6"/>
  <c r="N87" i="6"/>
  <c r="M87" i="6"/>
  <c r="L87" i="6"/>
  <c r="K87" i="6"/>
  <c r="J87" i="6"/>
  <c r="I87" i="6"/>
  <c r="H87" i="6"/>
  <c r="G87" i="6"/>
  <c r="F87" i="6"/>
  <c r="E87" i="6"/>
  <c r="Q84" i="6"/>
  <c r="P84" i="6"/>
  <c r="O84" i="6"/>
  <c r="N84" i="6"/>
  <c r="M84" i="6"/>
  <c r="L84" i="6"/>
  <c r="K84" i="6"/>
  <c r="J84" i="6"/>
  <c r="I84" i="6"/>
  <c r="H84" i="6"/>
  <c r="G84" i="6"/>
  <c r="F84" i="6"/>
  <c r="E84" i="6"/>
  <c r="Q81" i="6"/>
  <c r="P81" i="6"/>
  <c r="O81" i="6"/>
  <c r="N81" i="6"/>
  <c r="M81" i="6"/>
  <c r="L81" i="6"/>
  <c r="K81" i="6"/>
  <c r="J81" i="6"/>
  <c r="I81" i="6"/>
  <c r="H81" i="6"/>
  <c r="G81" i="6"/>
  <c r="F81" i="6"/>
  <c r="E81" i="6"/>
  <c r="Q78" i="6"/>
  <c r="P78" i="6"/>
  <c r="O78" i="6"/>
  <c r="N78" i="6"/>
  <c r="M78" i="6"/>
  <c r="L78" i="6"/>
  <c r="K78" i="6"/>
  <c r="J78" i="6"/>
  <c r="I78" i="6"/>
  <c r="H78" i="6"/>
  <c r="G78" i="6"/>
  <c r="F78" i="6"/>
  <c r="E78" i="6"/>
  <c r="Q75" i="6"/>
  <c r="P75" i="6"/>
  <c r="O75" i="6"/>
  <c r="N75" i="6"/>
  <c r="M75" i="6"/>
  <c r="L75" i="6"/>
  <c r="K75" i="6"/>
  <c r="J75" i="6"/>
  <c r="I75" i="6"/>
  <c r="H75" i="6"/>
  <c r="G75" i="6"/>
  <c r="F75" i="6"/>
  <c r="E75" i="6"/>
  <c r="Q72" i="6"/>
  <c r="P72" i="6"/>
  <c r="O72" i="6"/>
  <c r="N72" i="6"/>
  <c r="M72" i="6"/>
  <c r="L72" i="6"/>
  <c r="K72" i="6"/>
  <c r="J72" i="6"/>
  <c r="I72" i="6"/>
  <c r="H72" i="6"/>
  <c r="G72" i="6"/>
  <c r="F72" i="6"/>
  <c r="E72" i="6"/>
  <c r="Q69" i="6"/>
  <c r="P69" i="6"/>
  <c r="O69" i="6"/>
  <c r="N69" i="6"/>
  <c r="M69" i="6"/>
  <c r="L69" i="6"/>
  <c r="K69" i="6"/>
  <c r="J69" i="6"/>
  <c r="I69" i="6"/>
  <c r="H69" i="6"/>
  <c r="G69" i="6"/>
  <c r="F69" i="6"/>
  <c r="E69" i="6"/>
  <c r="Q66" i="6"/>
  <c r="P66" i="6"/>
  <c r="O66" i="6"/>
  <c r="N66" i="6"/>
  <c r="M66" i="6"/>
  <c r="L66" i="6"/>
  <c r="K66" i="6"/>
  <c r="J66" i="6"/>
  <c r="I66" i="6"/>
  <c r="H66" i="6"/>
  <c r="G66" i="6"/>
  <c r="F66" i="6"/>
  <c r="E66" i="6"/>
  <c r="Q63" i="6"/>
  <c r="P63" i="6"/>
  <c r="O63" i="6"/>
  <c r="N63" i="6"/>
  <c r="M63" i="6"/>
  <c r="L63" i="6"/>
  <c r="K63" i="6"/>
  <c r="J63" i="6"/>
  <c r="I63" i="6"/>
  <c r="H63" i="6"/>
  <c r="G63" i="6"/>
  <c r="F63" i="6"/>
  <c r="E63" i="6"/>
  <c r="Q60" i="6"/>
  <c r="P60" i="6"/>
  <c r="O60" i="6"/>
  <c r="N60" i="6"/>
  <c r="M60" i="6"/>
  <c r="L60" i="6"/>
  <c r="K60" i="6"/>
  <c r="J60" i="6"/>
  <c r="I60" i="6"/>
  <c r="H60" i="6"/>
  <c r="G60" i="6"/>
  <c r="F60" i="6"/>
  <c r="E60" i="6"/>
  <c r="Q57" i="6"/>
  <c r="P57" i="6"/>
  <c r="O57" i="6"/>
  <c r="N57" i="6"/>
  <c r="M57" i="6"/>
  <c r="L57" i="6"/>
  <c r="K57" i="6"/>
  <c r="J57" i="6"/>
  <c r="I57" i="6"/>
  <c r="H57" i="6"/>
  <c r="G57" i="6"/>
  <c r="F57" i="6"/>
  <c r="E57" i="6"/>
  <c r="Q54" i="6"/>
  <c r="P54" i="6"/>
  <c r="O54" i="6"/>
  <c r="N54" i="6"/>
  <c r="M54" i="6"/>
  <c r="L54" i="6"/>
  <c r="K54" i="6"/>
  <c r="J54" i="6"/>
  <c r="I54" i="6"/>
  <c r="H54" i="6"/>
  <c r="G54" i="6"/>
  <c r="F54" i="6"/>
  <c r="E54" i="6"/>
  <c r="Q51" i="6"/>
  <c r="P51" i="6"/>
  <c r="O51" i="6"/>
  <c r="N51" i="6"/>
  <c r="M51" i="6"/>
  <c r="L51" i="6"/>
  <c r="K51" i="6"/>
  <c r="J51" i="6"/>
  <c r="I51" i="6"/>
  <c r="H51" i="6"/>
  <c r="G51" i="6"/>
  <c r="F51" i="6"/>
  <c r="E51" i="6"/>
  <c r="Q48" i="6"/>
  <c r="P48" i="6"/>
  <c r="O48" i="6"/>
  <c r="N48" i="6"/>
  <c r="M48" i="6"/>
  <c r="L48" i="6"/>
  <c r="K48" i="6"/>
  <c r="J48" i="6"/>
  <c r="I48" i="6"/>
  <c r="H48" i="6"/>
  <c r="G48" i="6"/>
  <c r="F48" i="6"/>
  <c r="E48" i="6"/>
  <c r="Q45" i="6"/>
  <c r="P45" i="6"/>
  <c r="O45" i="6"/>
  <c r="N45" i="6"/>
  <c r="M45" i="6"/>
  <c r="L45" i="6"/>
  <c r="K45" i="6"/>
  <c r="J45" i="6"/>
  <c r="I45" i="6"/>
  <c r="H45" i="6"/>
  <c r="G45" i="6"/>
  <c r="F45" i="6"/>
  <c r="E45" i="6"/>
  <c r="Q42" i="6"/>
  <c r="P42" i="6"/>
  <c r="O42" i="6"/>
  <c r="N42" i="6"/>
  <c r="M42" i="6"/>
  <c r="L42" i="6"/>
  <c r="K42" i="6"/>
  <c r="J42" i="6"/>
  <c r="I42" i="6"/>
  <c r="H42" i="6"/>
  <c r="G42" i="6"/>
  <c r="F42" i="6"/>
  <c r="E42" i="6"/>
  <c r="Q39" i="6"/>
  <c r="P39" i="6"/>
  <c r="O39" i="6"/>
  <c r="N39" i="6"/>
  <c r="M39" i="6"/>
  <c r="L39" i="6"/>
  <c r="K39" i="6"/>
  <c r="J39" i="6"/>
  <c r="I39" i="6"/>
  <c r="H39" i="6"/>
  <c r="G39" i="6"/>
  <c r="F39" i="6"/>
  <c r="E39" i="6"/>
  <c r="Q36" i="6"/>
  <c r="P36" i="6"/>
  <c r="O36" i="6"/>
  <c r="N36" i="6"/>
  <c r="M36" i="6"/>
  <c r="L36" i="6"/>
  <c r="K36" i="6"/>
  <c r="J36" i="6"/>
  <c r="I36" i="6"/>
  <c r="H36" i="6"/>
  <c r="G36" i="6"/>
  <c r="F36" i="6"/>
  <c r="E36" i="6"/>
  <c r="Q33" i="6"/>
  <c r="P33" i="6"/>
  <c r="O33" i="6"/>
  <c r="N33" i="6"/>
  <c r="M33" i="6"/>
  <c r="L33" i="6"/>
  <c r="K33" i="6"/>
  <c r="J33" i="6"/>
  <c r="I33" i="6"/>
  <c r="H33" i="6"/>
  <c r="G33" i="6"/>
  <c r="F33" i="6"/>
  <c r="E33" i="6"/>
  <c r="Q30" i="6"/>
  <c r="P30" i="6"/>
  <c r="O30" i="6"/>
  <c r="N30" i="6"/>
  <c r="M30" i="6"/>
  <c r="L30" i="6"/>
  <c r="K30" i="6"/>
  <c r="J30" i="6"/>
  <c r="I30" i="6"/>
  <c r="H30" i="6"/>
  <c r="G30" i="6"/>
  <c r="F30" i="6"/>
  <c r="E30" i="6"/>
  <c r="Q27" i="6"/>
  <c r="P27" i="6"/>
  <c r="O27" i="6"/>
  <c r="N27" i="6"/>
  <c r="M27" i="6"/>
  <c r="L27" i="6"/>
  <c r="K27" i="6"/>
  <c r="J27" i="6"/>
  <c r="I27" i="6"/>
  <c r="H27" i="6"/>
  <c r="G27" i="6"/>
  <c r="F27" i="6"/>
  <c r="E27" i="6"/>
  <c r="Q24" i="6"/>
  <c r="P24" i="6"/>
  <c r="O24" i="6"/>
  <c r="N24" i="6"/>
  <c r="M24" i="6"/>
  <c r="L24" i="6"/>
  <c r="K24" i="6"/>
  <c r="J24" i="6"/>
  <c r="I24" i="6"/>
  <c r="H24" i="6"/>
  <c r="G24" i="6"/>
  <c r="F24" i="6"/>
  <c r="E24" i="6"/>
  <c r="Q21" i="6"/>
  <c r="P21" i="6"/>
  <c r="O21" i="6"/>
  <c r="N21" i="6"/>
  <c r="M21" i="6"/>
  <c r="L21" i="6"/>
  <c r="K21" i="6"/>
  <c r="J21" i="6"/>
  <c r="I21" i="6"/>
  <c r="H21" i="6"/>
  <c r="G21" i="6"/>
  <c r="F21" i="6"/>
  <c r="E21" i="6"/>
  <c r="Q18" i="6"/>
  <c r="P18" i="6"/>
  <c r="O18" i="6"/>
  <c r="N18" i="6"/>
  <c r="M18" i="6"/>
  <c r="L18" i="6"/>
  <c r="K18" i="6"/>
  <c r="J18" i="6"/>
  <c r="I18" i="6"/>
  <c r="H18" i="6"/>
  <c r="G18" i="6"/>
  <c r="F18" i="6"/>
  <c r="E18" i="6"/>
  <c r="Q15" i="6"/>
  <c r="P15" i="6"/>
  <c r="O15" i="6"/>
  <c r="N15" i="6"/>
  <c r="M15" i="6"/>
  <c r="L15" i="6"/>
  <c r="K15" i="6"/>
  <c r="J15" i="6"/>
  <c r="I15" i="6"/>
  <c r="H15" i="6"/>
  <c r="G15" i="6"/>
  <c r="F15" i="6"/>
  <c r="E15" i="6"/>
  <c r="Q12" i="6"/>
  <c r="P12" i="6"/>
  <c r="O12" i="6"/>
  <c r="N12" i="6"/>
  <c r="M12" i="6"/>
  <c r="L12" i="6"/>
  <c r="K12" i="6"/>
  <c r="J12" i="6"/>
  <c r="I12" i="6"/>
  <c r="H12" i="6"/>
  <c r="G12" i="6"/>
  <c r="F12" i="6"/>
  <c r="E12" i="6"/>
  <c r="N1069" i="5"/>
  <c r="M1069" i="5"/>
  <c r="L1069" i="5"/>
  <c r="K1069" i="5"/>
  <c r="J1069" i="5"/>
  <c r="I1069" i="5"/>
  <c r="H1069" i="5"/>
  <c r="G1069" i="5"/>
  <c r="F1069" i="5"/>
  <c r="N1066" i="5"/>
  <c r="M1066" i="5"/>
  <c r="L1066" i="5"/>
  <c r="K1066" i="5"/>
  <c r="J1066" i="5"/>
  <c r="I1066" i="5"/>
  <c r="H1066" i="5"/>
  <c r="G1066" i="5"/>
  <c r="F1066" i="5"/>
  <c r="N1063" i="5"/>
  <c r="M1063" i="5"/>
  <c r="L1063" i="5"/>
  <c r="K1063" i="5"/>
  <c r="J1063" i="5"/>
  <c r="I1063" i="5"/>
  <c r="H1063" i="5"/>
  <c r="G1063" i="5"/>
  <c r="F1063" i="5"/>
  <c r="N1060" i="5"/>
  <c r="M1060" i="5"/>
  <c r="L1060" i="5"/>
  <c r="K1060" i="5"/>
  <c r="J1060" i="5"/>
  <c r="I1060" i="5"/>
  <c r="H1060" i="5"/>
  <c r="G1060" i="5"/>
  <c r="F1060" i="5"/>
  <c r="N1057" i="5"/>
  <c r="M1057" i="5"/>
  <c r="L1057" i="5"/>
  <c r="K1057" i="5"/>
  <c r="J1057" i="5"/>
  <c r="I1057" i="5"/>
  <c r="H1057" i="5"/>
  <c r="G1057" i="5"/>
  <c r="F1057" i="5"/>
  <c r="N1054" i="5"/>
  <c r="M1054" i="5"/>
  <c r="L1054" i="5"/>
  <c r="K1054" i="5"/>
  <c r="J1054" i="5"/>
  <c r="I1054" i="5"/>
  <c r="H1054" i="5"/>
  <c r="G1054" i="5"/>
  <c r="F1054" i="5"/>
  <c r="N1051" i="5"/>
  <c r="M1051" i="5"/>
  <c r="L1051" i="5"/>
  <c r="K1051" i="5"/>
  <c r="J1051" i="5"/>
  <c r="I1051" i="5"/>
  <c r="H1051" i="5"/>
  <c r="G1051" i="5"/>
  <c r="F1051" i="5"/>
  <c r="N1048" i="5"/>
  <c r="M1048" i="5"/>
  <c r="L1048" i="5"/>
  <c r="K1048" i="5"/>
  <c r="J1048" i="5"/>
  <c r="I1048" i="5"/>
  <c r="H1048" i="5"/>
  <c r="G1048" i="5"/>
  <c r="F1048" i="5"/>
  <c r="N1045" i="5"/>
  <c r="M1045" i="5"/>
  <c r="L1045" i="5"/>
  <c r="K1045" i="5"/>
  <c r="J1045" i="5"/>
  <c r="I1045" i="5"/>
  <c r="H1045" i="5"/>
  <c r="G1045" i="5"/>
  <c r="F1045" i="5"/>
  <c r="N1042" i="5"/>
  <c r="M1042" i="5"/>
  <c r="L1042" i="5"/>
  <c r="K1042" i="5"/>
  <c r="J1042" i="5"/>
  <c r="I1042" i="5"/>
  <c r="H1042" i="5"/>
  <c r="G1042" i="5"/>
  <c r="F1042" i="5"/>
  <c r="N1039" i="5"/>
  <c r="M1039" i="5"/>
  <c r="L1039" i="5"/>
  <c r="K1039" i="5"/>
  <c r="J1039" i="5"/>
  <c r="I1039" i="5"/>
  <c r="H1039" i="5"/>
  <c r="G1039" i="5"/>
  <c r="F1039" i="5"/>
  <c r="N1036" i="5"/>
  <c r="M1036" i="5"/>
  <c r="L1036" i="5"/>
  <c r="K1036" i="5"/>
  <c r="J1036" i="5"/>
  <c r="I1036" i="5"/>
  <c r="H1036" i="5"/>
  <c r="G1036" i="5"/>
  <c r="F1036" i="5"/>
  <c r="N1033" i="5"/>
  <c r="M1033" i="5"/>
  <c r="L1033" i="5"/>
  <c r="K1033" i="5"/>
  <c r="J1033" i="5"/>
  <c r="I1033" i="5"/>
  <c r="H1033" i="5"/>
  <c r="G1033" i="5"/>
  <c r="F1033" i="5"/>
  <c r="N1030" i="5"/>
  <c r="M1030" i="5"/>
  <c r="L1030" i="5"/>
  <c r="K1030" i="5"/>
  <c r="J1030" i="5"/>
  <c r="I1030" i="5"/>
  <c r="H1030" i="5"/>
  <c r="G1030" i="5"/>
  <c r="F1030" i="5"/>
  <c r="N1027" i="5"/>
  <c r="M1027" i="5"/>
  <c r="L1027" i="5"/>
  <c r="K1027" i="5"/>
  <c r="J1027" i="5"/>
  <c r="I1027" i="5"/>
  <c r="H1027" i="5"/>
  <c r="G1027" i="5"/>
  <c r="F1027" i="5"/>
  <c r="N1024" i="5"/>
  <c r="M1024" i="5"/>
  <c r="L1024" i="5"/>
  <c r="K1024" i="5"/>
  <c r="J1024" i="5"/>
  <c r="I1024" i="5"/>
  <c r="H1024" i="5"/>
  <c r="G1024" i="5"/>
  <c r="F1024" i="5"/>
  <c r="N1021" i="5"/>
  <c r="M1021" i="5"/>
  <c r="L1021" i="5"/>
  <c r="K1021" i="5"/>
  <c r="J1021" i="5"/>
  <c r="I1021" i="5"/>
  <c r="H1021" i="5"/>
  <c r="G1021" i="5"/>
  <c r="F1021" i="5"/>
  <c r="N1018" i="5"/>
  <c r="M1018" i="5"/>
  <c r="L1018" i="5"/>
  <c r="K1018" i="5"/>
  <c r="J1018" i="5"/>
  <c r="I1018" i="5"/>
  <c r="H1018" i="5"/>
  <c r="G1018" i="5"/>
  <c r="F1018" i="5"/>
  <c r="N1015" i="5"/>
  <c r="M1015" i="5"/>
  <c r="L1015" i="5"/>
  <c r="K1015" i="5"/>
  <c r="J1015" i="5"/>
  <c r="I1015" i="5"/>
  <c r="H1015" i="5"/>
  <c r="G1015" i="5"/>
  <c r="F1015" i="5"/>
  <c r="N1012" i="5"/>
  <c r="M1012" i="5"/>
  <c r="L1012" i="5"/>
  <c r="K1012" i="5"/>
  <c r="J1012" i="5"/>
  <c r="I1012" i="5"/>
  <c r="H1012" i="5"/>
  <c r="G1012" i="5"/>
  <c r="F1012" i="5"/>
  <c r="N1009" i="5"/>
  <c r="M1009" i="5"/>
  <c r="L1009" i="5"/>
  <c r="K1009" i="5"/>
  <c r="J1009" i="5"/>
  <c r="I1009" i="5"/>
  <c r="H1009" i="5"/>
  <c r="G1009" i="5"/>
  <c r="F1009" i="5"/>
  <c r="N1006" i="5"/>
  <c r="M1006" i="5"/>
  <c r="L1006" i="5"/>
  <c r="K1006" i="5"/>
  <c r="J1006" i="5"/>
  <c r="I1006" i="5"/>
  <c r="H1006" i="5"/>
  <c r="G1006" i="5"/>
  <c r="F1006" i="5"/>
  <c r="N1003" i="5"/>
  <c r="M1003" i="5"/>
  <c r="L1003" i="5"/>
  <c r="K1003" i="5"/>
  <c r="J1003" i="5"/>
  <c r="I1003" i="5"/>
  <c r="H1003" i="5"/>
  <c r="G1003" i="5"/>
  <c r="F1003" i="5"/>
  <c r="N1000" i="5"/>
  <c r="M1000" i="5"/>
  <c r="L1000" i="5"/>
  <c r="K1000" i="5"/>
  <c r="J1000" i="5"/>
  <c r="I1000" i="5"/>
  <c r="H1000" i="5"/>
  <c r="G1000" i="5"/>
  <c r="F1000" i="5"/>
  <c r="N997" i="5"/>
  <c r="M997" i="5"/>
  <c r="L997" i="5"/>
  <c r="K997" i="5"/>
  <c r="J997" i="5"/>
  <c r="I997" i="5"/>
  <c r="H997" i="5"/>
  <c r="G997" i="5"/>
  <c r="F997" i="5"/>
  <c r="N994" i="5"/>
  <c r="M994" i="5"/>
  <c r="L994" i="5"/>
  <c r="K994" i="5"/>
  <c r="J994" i="5"/>
  <c r="I994" i="5"/>
  <c r="H994" i="5"/>
  <c r="G994" i="5"/>
  <c r="F994" i="5"/>
  <c r="N991" i="5"/>
  <c r="M991" i="5"/>
  <c r="L991" i="5"/>
  <c r="K991" i="5"/>
  <c r="J991" i="5"/>
  <c r="I991" i="5"/>
  <c r="H991" i="5"/>
  <c r="G991" i="5"/>
  <c r="F991" i="5"/>
  <c r="N988" i="5"/>
  <c r="M988" i="5"/>
  <c r="L988" i="5"/>
  <c r="K988" i="5"/>
  <c r="J988" i="5"/>
  <c r="I988" i="5"/>
  <c r="H988" i="5"/>
  <c r="G988" i="5"/>
  <c r="F988" i="5"/>
  <c r="N985" i="5"/>
  <c r="M985" i="5"/>
  <c r="L985" i="5"/>
  <c r="K985" i="5"/>
  <c r="J985" i="5"/>
  <c r="I985" i="5"/>
  <c r="H985" i="5"/>
  <c r="G985" i="5"/>
  <c r="F985" i="5"/>
  <c r="N982" i="5"/>
  <c r="M982" i="5"/>
  <c r="L982" i="5"/>
  <c r="K982" i="5"/>
  <c r="J982" i="5"/>
  <c r="I982" i="5"/>
  <c r="H982" i="5"/>
  <c r="G982" i="5"/>
  <c r="F982" i="5"/>
  <c r="N979" i="5"/>
  <c r="M979" i="5"/>
  <c r="L979" i="5"/>
  <c r="K979" i="5"/>
  <c r="J979" i="5"/>
  <c r="I979" i="5"/>
  <c r="H979" i="5"/>
  <c r="G979" i="5"/>
  <c r="F979" i="5"/>
  <c r="N976" i="5"/>
  <c r="M976" i="5"/>
  <c r="L976" i="5"/>
  <c r="K976" i="5"/>
  <c r="J976" i="5"/>
  <c r="I976" i="5"/>
  <c r="H976" i="5"/>
  <c r="G976" i="5"/>
  <c r="F976" i="5"/>
  <c r="N973" i="5"/>
  <c r="M973" i="5"/>
  <c r="L973" i="5"/>
  <c r="K973" i="5"/>
  <c r="J973" i="5"/>
  <c r="I973" i="5"/>
  <c r="H973" i="5"/>
  <c r="G973" i="5"/>
  <c r="F973" i="5"/>
  <c r="N970" i="5"/>
  <c r="M970" i="5"/>
  <c r="L970" i="5"/>
  <c r="K970" i="5"/>
  <c r="J970" i="5"/>
  <c r="I970" i="5"/>
  <c r="H970" i="5"/>
  <c r="G970" i="5"/>
  <c r="F970" i="5"/>
  <c r="N967" i="5"/>
  <c r="M967" i="5"/>
  <c r="L967" i="5"/>
  <c r="K967" i="5"/>
  <c r="J967" i="5"/>
  <c r="I967" i="5"/>
  <c r="H967" i="5"/>
  <c r="G967" i="5"/>
  <c r="F967" i="5"/>
  <c r="N964" i="5"/>
  <c r="M964" i="5"/>
  <c r="L964" i="5"/>
  <c r="K964" i="5"/>
  <c r="J964" i="5"/>
  <c r="I964" i="5"/>
  <c r="H964" i="5"/>
  <c r="G964" i="5"/>
  <c r="F964" i="5"/>
  <c r="N961" i="5"/>
  <c r="M961" i="5"/>
  <c r="L961" i="5"/>
  <c r="K961" i="5"/>
  <c r="J961" i="5"/>
  <c r="I961" i="5"/>
  <c r="H961" i="5"/>
  <c r="G961" i="5"/>
  <c r="F961" i="5"/>
  <c r="N958" i="5"/>
  <c r="M958" i="5"/>
  <c r="L958" i="5"/>
  <c r="K958" i="5"/>
  <c r="J958" i="5"/>
  <c r="I958" i="5"/>
  <c r="H958" i="5"/>
  <c r="G958" i="5"/>
  <c r="F958" i="5"/>
  <c r="N955" i="5"/>
  <c r="M955" i="5"/>
  <c r="L955" i="5"/>
  <c r="K955" i="5"/>
  <c r="J955" i="5"/>
  <c r="I955" i="5"/>
  <c r="H955" i="5"/>
  <c r="G955" i="5"/>
  <c r="F955" i="5"/>
  <c r="N952" i="5"/>
  <c r="M952" i="5"/>
  <c r="L952" i="5"/>
  <c r="K952" i="5"/>
  <c r="J952" i="5"/>
  <c r="I952" i="5"/>
  <c r="H952" i="5"/>
  <c r="G952" i="5"/>
  <c r="F952" i="5"/>
  <c r="N949" i="5"/>
  <c r="M949" i="5"/>
  <c r="L949" i="5"/>
  <c r="K949" i="5"/>
  <c r="J949" i="5"/>
  <c r="I949" i="5"/>
  <c r="H949" i="5"/>
  <c r="G949" i="5"/>
  <c r="F949" i="5"/>
  <c r="N946" i="5"/>
  <c r="M946" i="5"/>
  <c r="L946" i="5"/>
  <c r="K946" i="5"/>
  <c r="J946" i="5"/>
  <c r="I946" i="5"/>
  <c r="H946" i="5"/>
  <c r="G946" i="5"/>
  <c r="F946" i="5"/>
  <c r="N943" i="5"/>
  <c r="M943" i="5"/>
  <c r="L943" i="5"/>
  <c r="K943" i="5"/>
  <c r="J943" i="5"/>
  <c r="I943" i="5"/>
  <c r="H943" i="5"/>
  <c r="G943" i="5"/>
  <c r="F943" i="5"/>
  <c r="N940" i="5"/>
  <c r="M940" i="5"/>
  <c r="L940" i="5"/>
  <c r="K940" i="5"/>
  <c r="J940" i="5"/>
  <c r="I940" i="5"/>
  <c r="H940" i="5"/>
  <c r="G940" i="5"/>
  <c r="F940" i="5"/>
  <c r="N937" i="5"/>
  <c r="M937" i="5"/>
  <c r="L937" i="5"/>
  <c r="K937" i="5"/>
  <c r="J937" i="5"/>
  <c r="I937" i="5"/>
  <c r="H937" i="5"/>
  <c r="G937" i="5"/>
  <c r="F937" i="5"/>
  <c r="N934" i="5"/>
  <c r="M934" i="5"/>
  <c r="L934" i="5"/>
  <c r="K934" i="5"/>
  <c r="J934" i="5"/>
  <c r="I934" i="5"/>
  <c r="H934" i="5"/>
  <c r="G934" i="5"/>
  <c r="F934" i="5"/>
  <c r="N931" i="5"/>
  <c r="M931" i="5"/>
  <c r="L931" i="5"/>
  <c r="K931" i="5"/>
  <c r="J931" i="5"/>
  <c r="I931" i="5"/>
  <c r="H931" i="5"/>
  <c r="G931" i="5"/>
  <c r="F931" i="5"/>
  <c r="N928" i="5"/>
  <c r="M928" i="5"/>
  <c r="L928" i="5"/>
  <c r="K928" i="5"/>
  <c r="J928" i="5"/>
  <c r="I928" i="5"/>
  <c r="H928" i="5"/>
  <c r="G928" i="5"/>
  <c r="F928" i="5"/>
  <c r="N925" i="5"/>
  <c r="M925" i="5"/>
  <c r="L925" i="5"/>
  <c r="K925" i="5"/>
  <c r="J925" i="5"/>
  <c r="I925" i="5"/>
  <c r="H925" i="5"/>
  <c r="G925" i="5"/>
  <c r="F925" i="5"/>
  <c r="N922" i="5"/>
  <c r="M922" i="5"/>
  <c r="L922" i="5"/>
  <c r="K922" i="5"/>
  <c r="J922" i="5"/>
  <c r="I922" i="5"/>
  <c r="H922" i="5"/>
  <c r="G922" i="5"/>
  <c r="F922" i="5"/>
  <c r="N919" i="5"/>
  <c r="M919" i="5"/>
  <c r="L919" i="5"/>
  <c r="K919" i="5"/>
  <c r="J919" i="5"/>
  <c r="I919" i="5"/>
  <c r="H919" i="5"/>
  <c r="G919" i="5"/>
  <c r="F919" i="5"/>
  <c r="N916" i="5"/>
  <c r="M916" i="5"/>
  <c r="L916" i="5"/>
  <c r="K916" i="5"/>
  <c r="J916" i="5"/>
  <c r="I916" i="5"/>
  <c r="H916" i="5"/>
  <c r="G916" i="5"/>
  <c r="F916" i="5"/>
  <c r="N913" i="5"/>
  <c r="M913" i="5"/>
  <c r="L913" i="5"/>
  <c r="K913" i="5"/>
  <c r="J913" i="5"/>
  <c r="I913" i="5"/>
  <c r="H913" i="5"/>
  <c r="G913" i="5"/>
  <c r="F913" i="5"/>
  <c r="N910" i="5"/>
  <c r="M910" i="5"/>
  <c r="L910" i="5"/>
  <c r="K910" i="5"/>
  <c r="J910" i="5"/>
  <c r="I910" i="5"/>
  <c r="H910" i="5"/>
  <c r="G910" i="5"/>
  <c r="F910" i="5"/>
  <c r="N907" i="5"/>
  <c r="M907" i="5"/>
  <c r="L907" i="5"/>
  <c r="K907" i="5"/>
  <c r="J907" i="5"/>
  <c r="I907" i="5"/>
  <c r="H907" i="5"/>
  <c r="G907" i="5"/>
  <c r="F907" i="5"/>
  <c r="N904" i="5"/>
  <c r="M904" i="5"/>
  <c r="L904" i="5"/>
  <c r="K904" i="5"/>
  <c r="J904" i="5"/>
  <c r="I904" i="5"/>
  <c r="H904" i="5"/>
  <c r="G904" i="5"/>
  <c r="F904" i="5"/>
  <c r="N901" i="5"/>
  <c r="M901" i="5"/>
  <c r="L901" i="5"/>
  <c r="K901" i="5"/>
  <c r="J901" i="5"/>
  <c r="I901" i="5"/>
  <c r="H901" i="5"/>
  <c r="G901" i="5"/>
  <c r="F901" i="5"/>
  <c r="N898" i="5"/>
  <c r="M898" i="5"/>
  <c r="L898" i="5"/>
  <c r="K898" i="5"/>
  <c r="J898" i="5"/>
  <c r="I898" i="5"/>
  <c r="H898" i="5"/>
  <c r="G898" i="5"/>
  <c r="F898" i="5"/>
  <c r="N895" i="5"/>
  <c r="M895" i="5"/>
  <c r="L895" i="5"/>
  <c r="K895" i="5"/>
  <c r="J895" i="5"/>
  <c r="I895" i="5"/>
  <c r="H895" i="5"/>
  <c r="G895" i="5"/>
  <c r="F895" i="5"/>
  <c r="N892" i="5"/>
  <c r="M892" i="5"/>
  <c r="L892" i="5"/>
  <c r="K892" i="5"/>
  <c r="J892" i="5"/>
  <c r="I892" i="5"/>
  <c r="H892" i="5"/>
  <c r="G892" i="5"/>
  <c r="F892" i="5"/>
  <c r="N889" i="5"/>
  <c r="M889" i="5"/>
  <c r="L889" i="5"/>
  <c r="K889" i="5"/>
  <c r="J889" i="5"/>
  <c r="I889" i="5"/>
  <c r="H889" i="5"/>
  <c r="G889" i="5"/>
  <c r="F889" i="5"/>
  <c r="N886" i="5"/>
  <c r="M886" i="5"/>
  <c r="L886" i="5"/>
  <c r="K886" i="5"/>
  <c r="J886" i="5"/>
  <c r="I886" i="5"/>
  <c r="H886" i="5"/>
  <c r="G886" i="5"/>
  <c r="F886" i="5"/>
  <c r="N883" i="5"/>
  <c r="M883" i="5"/>
  <c r="L883" i="5"/>
  <c r="K883" i="5"/>
  <c r="J883" i="5"/>
  <c r="I883" i="5"/>
  <c r="H883" i="5"/>
  <c r="G883" i="5"/>
  <c r="F883" i="5"/>
  <c r="N880" i="5"/>
  <c r="M880" i="5"/>
  <c r="L880" i="5"/>
  <c r="K880" i="5"/>
  <c r="J880" i="5"/>
  <c r="I880" i="5"/>
  <c r="H880" i="5"/>
  <c r="G880" i="5"/>
  <c r="F880" i="5"/>
  <c r="N877" i="5"/>
  <c r="M877" i="5"/>
  <c r="L877" i="5"/>
  <c r="K877" i="5"/>
  <c r="J877" i="5"/>
  <c r="I877" i="5"/>
  <c r="H877" i="5"/>
  <c r="G877" i="5"/>
  <c r="F877" i="5"/>
  <c r="N874" i="5"/>
  <c r="M874" i="5"/>
  <c r="L874" i="5"/>
  <c r="K874" i="5"/>
  <c r="J874" i="5"/>
  <c r="I874" i="5"/>
  <c r="H874" i="5"/>
  <c r="G874" i="5"/>
  <c r="F874" i="5"/>
  <c r="N871" i="5"/>
  <c r="M871" i="5"/>
  <c r="L871" i="5"/>
  <c r="K871" i="5"/>
  <c r="J871" i="5"/>
  <c r="I871" i="5"/>
  <c r="H871" i="5"/>
  <c r="G871" i="5"/>
  <c r="F871" i="5"/>
  <c r="N868" i="5"/>
  <c r="M868" i="5"/>
  <c r="L868" i="5"/>
  <c r="K868" i="5"/>
  <c r="J868" i="5"/>
  <c r="I868" i="5"/>
  <c r="H868" i="5"/>
  <c r="G868" i="5"/>
  <c r="F868" i="5"/>
  <c r="N865" i="5"/>
  <c r="M865" i="5"/>
  <c r="L865" i="5"/>
  <c r="K865" i="5"/>
  <c r="J865" i="5"/>
  <c r="I865" i="5"/>
  <c r="H865" i="5"/>
  <c r="G865" i="5"/>
  <c r="F865" i="5"/>
  <c r="N862" i="5"/>
  <c r="M862" i="5"/>
  <c r="L862" i="5"/>
  <c r="K862" i="5"/>
  <c r="J862" i="5"/>
  <c r="I862" i="5"/>
  <c r="H862" i="5"/>
  <c r="G862" i="5"/>
  <c r="F862" i="5"/>
  <c r="N859" i="5"/>
  <c r="M859" i="5"/>
  <c r="L859" i="5"/>
  <c r="K859" i="5"/>
  <c r="J859" i="5"/>
  <c r="I859" i="5"/>
  <c r="H859" i="5"/>
  <c r="G859" i="5"/>
  <c r="F859" i="5"/>
  <c r="N856" i="5"/>
  <c r="M856" i="5"/>
  <c r="L856" i="5"/>
  <c r="K856" i="5"/>
  <c r="J856" i="5"/>
  <c r="I856" i="5"/>
  <c r="H856" i="5"/>
  <c r="G856" i="5"/>
  <c r="F856" i="5"/>
  <c r="N853" i="5"/>
  <c r="M853" i="5"/>
  <c r="L853" i="5"/>
  <c r="K853" i="5"/>
  <c r="J853" i="5"/>
  <c r="I853" i="5"/>
  <c r="H853" i="5"/>
  <c r="G853" i="5"/>
  <c r="F853" i="5"/>
  <c r="N850" i="5"/>
  <c r="M850" i="5"/>
  <c r="L850" i="5"/>
  <c r="K850" i="5"/>
  <c r="J850" i="5"/>
  <c r="I850" i="5"/>
  <c r="H850" i="5"/>
  <c r="G850" i="5"/>
  <c r="F850" i="5"/>
  <c r="N847" i="5"/>
  <c r="M847" i="5"/>
  <c r="L847" i="5"/>
  <c r="K847" i="5"/>
  <c r="J847" i="5"/>
  <c r="I847" i="5"/>
  <c r="H847" i="5"/>
  <c r="G847" i="5"/>
  <c r="F847" i="5"/>
  <c r="N844" i="5"/>
  <c r="M844" i="5"/>
  <c r="L844" i="5"/>
  <c r="K844" i="5"/>
  <c r="J844" i="5"/>
  <c r="I844" i="5"/>
  <c r="H844" i="5"/>
  <c r="G844" i="5"/>
  <c r="F844" i="5"/>
  <c r="N841" i="5"/>
  <c r="M841" i="5"/>
  <c r="L841" i="5"/>
  <c r="K841" i="5"/>
  <c r="J841" i="5"/>
  <c r="I841" i="5"/>
  <c r="H841" i="5"/>
  <c r="G841" i="5"/>
  <c r="F841" i="5"/>
  <c r="N838" i="5"/>
  <c r="M838" i="5"/>
  <c r="L838" i="5"/>
  <c r="K838" i="5"/>
  <c r="J838" i="5"/>
  <c r="I838" i="5"/>
  <c r="H838" i="5"/>
  <c r="G838" i="5"/>
  <c r="F838" i="5"/>
  <c r="N835" i="5"/>
  <c r="M835" i="5"/>
  <c r="L835" i="5"/>
  <c r="K835" i="5"/>
  <c r="J835" i="5"/>
  <c r="I835" i="5"/>
  <c r="H835" i="5"/>
  <c r="G835" i="5"/>
  <c r="F835" i="5"/>
  <c r="N832" i="5"/>
  <c r="M832" i="5"/>
  <c r="L832" i="5"/>
  <c r="K832" i="5"/>
  <c r="J832" i="5"/>
  <c r="I832" i="5"/>
  <c r="H832" i="5"/>
  <c r="G832" i="5"/>
  <c r="F832" i="5"/>
  <c r="N829" i="5"/>
  <c r="M829" i="5"/>
  <c r="L829" i="5"/>
  <c r="K829" i="5"/>
  <c r="J829" i="5"/>
  <c r="I829" i="5"/>
  <c r="H829" i="5"/>
  <c r="G829" i="5"/>
  <c r="F829" i="5"/>
  <c r="N826" i="5"/>
  <c r="M826" i="5"/>
  <c r="L826" i="5"/>
  <c r="K826" i="5"/>
  <c r="J826" i="5"/>
  <c r="I826" i="5"/>
  <c r="H826" i="5"/>
  <c r="G826" i="5"/>
  <c r="F826" i="5"/>
  <c r="N823" i="5"/>
  <c r="M823" i="5"/>
  <c r="L823" i="5"/>
  <c r="K823" i="5"/>
  <c r="J823" i="5"/>
  <c r="I823" i="5"/>
  <c r="H823" i="5"/>
  <c r="G823" i="5"/>
  <c r="F823" i="5"/>
  <c r="N820" i="5"/>
  <c r="M820" i="5"/>
  <c r="L820" i="5"/>
  <c r="K820" i="5"/>
  <c r="J820" i="5"/>
  <c r="I820" i="5"/>
  <c r="H820" i="5"/>
  <c r="G820" i="5"/>
  <c r="F820" i="5"/>
  <c r="N817" i="5"/>
  <c r="M817" i="5"/>
  <c r="L817" i="5"/>
  <c r="K817" i="5"/>
  <c r="J817" i="5"/>
  <c r="I817" i="5"/>
  <c r="H817" i="5"/>
  <c r="G817" i="5"/>
  <c r="F817" i="5"/>
  <c r="N814" i="5"/>
  <c r="M814" i="5"/>
  <c r="L814" i="5"/>
  <c r="K814" i="5"/>
  <c r="J814" i="5"/>
  <c r="I814" i="5"/>
  <c r="H814" i="5"/>
  <c r="G814" i="5"/>
  <c r="F814" i="5"/>
  <c r="N811" i="5"/>
  <c r="M811" i="5"/>
  <c r="L811" i="5"/>
  <c r="K811" i="5"/>
  <c r="J811" i="5"/>
  <c r="I811" i="5"/>
  <c r="H811" i="5"/>
  <c r="G811" i="5"/>
  <c r="F811" i="5"/>
  <c r="N808" i="5"/>
  <c r="M808" i="5"/>
  <c r="L808" i="5"/>
  <c r="K808" i="5"/>
  <c r="J808" i="5"/>
  <c r="I808" i="5"/>
  <c r="H808" i="5"/>
  <c r="G808" i="5"/>
  <c r="F808" i="5"/>
  <c r="N805" i="5"/>
  <c r="M805" i="5"/>
  <c r="L805" i="5"/>
  <c r="K805" i="5"/>
  <c r="J805" i="5"/>
  <c r="I805" i="5"/>
  <c r="H805" i="5"/>
  <c r="G805" i="5"/>
  <c r="F805" i="5"/>
  <c r="N802" i="5"/>
  <c r="M802" i="5"/>
  <c r="L802" i="5"/>
  <c r="K802" i="5"/>
  <c r="J802" i="5"/>
  <c r="I802" i="5"/>
  <c r="H802" i="5"/>
  <c r="G802" i="5"/>
  <c r="F802" i="5"/>
  <c r="N799" i="5"/>
  <c r="M799" i="5"/>
  <c r="L799" i="5"/>
  <c r="K799" i="5"/>
  <c r="J799" i="5"/>
  <c r="I799" i="5"/>
  <c r="H799" i="5"/>
  <c r="G799" i="5"/>
  <c r="F799" i="5"/>
  <c r="N796" i="5"/>
  <c r="M796" i="5"/>
  <c r="L796" i="5"/>
  <c r="K796" i="5"/>
  <c r="J796" i="5"/>
  <c r="I796" i="5"/>
  <c r="H796" i="5"/>
  <c r="G796" i="5"/>
  <c r="F796" i="5"/>
  <c r="N793" i="5"/>
  <c r="M793" i="5"/>
  <c r="L793" i="5"/>
  <c r="K793" i="5"/>
  <c r="J793" i="5"/>
  <c r="I793" i="5"/>
  <c r="H793" i="5"/>
  <c r="G793" i="5"/>
  <c r="F793" i="5"/>
  <c r="N790" i="5"/>
  <c r="M790" i="5"/>
  <c r="L790" i="5"/>
  <c r="K790" i="5"/>
  <c r="J790" i="5"/>
  <c r="I790" i="5"/>
  <c r="H790" i="5"/>
  <c r="G790" i="5"/>
  <c r="F790" i="5"/>
  <c r="N787" i="5"/>
  <c r="M787" i="5"/>
  <c r="L787" i="5"/>
  <c r="K787" i="5"/>
  <c r="J787" i="5"/>
  <c r="I787" i="5"/>
  <c r="H787" i="5"/>
  <c r="G787" i="5"/>
  <c r="F787" i="5"/>
  <c r="N784" i="5"/>
  <c r="M784" i="5"/>
  <c r="L784" i="5"/>
  <c r="K784" i="5"/>
  <c r="J784" i="5"/>
  <c r="I784" i="5"/>
  <c r="H784" i="5"/>
  <c r="G784" i="5"/>
  <c r="F784" i="5"/>
  <c r="N781" i="5"/>
  <c r="M781" i="5"/>
  <c r="L781" i="5"/>
  <c r="K781" i="5"/>
  <c r="J781" i="5"/>
  <c r="I781" i="5"/>
  <c r="H781" i="5"/>
  <c r="G781" i="5"/>
  <c r="F781" i="5"/>
  <c r="N778" i="5"/>
  <c r="M778" i="5"/>
  <c r="L778" i="5"/>
  <c r="K778" i="5"/>
  <c r="J778" i="5"/>
  <c r="I778" i="5"/>
  <c r="H778" i="5"/>
  <c r="G778" i="5"/>
  <c r="F778" i="5"/>
  <c r="N775" i="5"/>
  <c r="M775" i="5"/>
  <c r="L775" i="5"/>
  <c r="K775" i="5"/>
  <c r="J775" i="5"/>
  <c r="I775" i="5"/>
  <c r="H775" i="5"/>
  <c r="G775" i="5"/>
  <c r="F775" i="5"/>
  <c r="N772" i="5"/>
  <c r="M772" i="5"/>
  <c r="L772" i="5"/>
  <c r="K772" i="5"/>
  <c r="J772" i="5"/>
  <c r="I772" i="5"/>
  <c r="H772" i="5"/>
  <c r="G772" i="5"/>
  <c r="F772" i="5"/>
  <c r="N769" i="5"/>
  <c r="M769" i="5"/>
  <c r="L769" i="5"/>
  <c r="K769" i="5"/>
  <c r="J769" i="5"/>
  <c r="I769" i="5"/>
  <c r="H769" i="5"/>
  <c r="G769" i="5"/>
  <c r="F769" i="5"/>
  <c r="N766" i="5"/>
  <c r="M766" i="5"/>
  <c r="L766" i="5"/>
  <c r="K766" i="5"/>
  <c r="J766" i="5"/>
  <c r="I766" i="5"/>
  <c r="H766" i="5"/>
  <c r="G766" i="5"/>
  <c r="F766" i="5"/>
  <c r="N763" i="5"/>
  <c r="M763" i="5"/>
  <c r="L763" i="5"/>
  <c r="K763" i="5"/>
  <c r="J763" i="5"/>
  <c r="I763" i="5"/>
  <c r="H763" i="5"/>
  <c r="G763" i="5"/>
  <c r="F763" i="5"/>
  <c r="N760" i="5"/>
  <c r="M760" i="5"/>
  <c r="L760" i="5"/>
  <c r="K760" i="5"/>
  <c r="J760" i="5"/>
  <c r="I760" i="5"/>
  <c r="H760" i="5"/>
  <c r="G760" i="5"/>
  <c r="F760" i="5"/>
  <c r="N757" i="5"/>
  <c r="M757" i="5"/>
  <c r="L757" i="5"/>
  <c r="K757" i="5"/>
  <c r="J757" i="5"/>
  <c r="I757" i="5"/>
  <c r="H757" i="5"/>
  <c r="G757" i="5"/>
  <c r="F757" i="5"/>
  <c r="N754" i="5"/>
  <c r="M754" i="5"/>
  <c r="L754" i="5"/>
  <c r="K754" i="5"/>
  <c r="J754" i="5"/>
  <c r="I754" i="5"/>
  <c r="H754" i="5"/>
  <c r="G754" i="5"/>
  <c r="N751" i="5"/>
  <c r="M751" i="5"/>
  <c r="L751" i="5"/>
  <c r="K751" i="5"/>
  <c r="J751" i="5"/>
  <c r="I751" i="5"/>
  <c r="H751" i="5"/>
  <c r="G751" i="5"/>
  <c r="N748" i="5"/>
  <c r="M748" i="5"/>
  <c r="L748" i="5"/>
  <c r="K748" i="5"/>
  <c r="J748" i="5"/>
  <c r="I748" i="5"/>
  <c r="H748" i="5"/>
  <c r="G748" i="5"/>
  <c r="F748" i="5"/>
  <c r="N745" i="5"/>
  <c r="M745" i="5"/>
  <c r="L745" i="5"/>
  <c r="K745" i="5"/>
  <c r="J745" i="5"/>
  <c r="I745" i="5"/>
  <c r="H745" i="5"/>
  <c r="G745" i="5"/>
  <c r="F745" i="5"/>
  <c r="N742" i="5"/>
  <c r="M742" i="5"/>
  <c r="L742" i="5"/>
  <c r="K742" i="5"/>
  <c r="J742" i="5"/>
  <c r="I742" i="5"/>
  <c r="H742" i="5"/>
  <c r="G742" i="5"/>
  <c r="F742" i="5"/>
  <c r="N739" i="5"/>
  <c r="M739" i="5"/>
  <c r="L739" i="5"/>
  <c r="K739" i="5"/>
  <c r="J739" i="5"/>
  <c r="I739" i="5"/>
  <c r="H739" i="5"/>
  <c r="G739" i="5"/>
  <c r="F739" i="5"/>
  <c r="N736" i="5"/>
  <c r="M736" i="5"/>
  <c r="L736" i="5"/>
  <c r="K736" i="5"/>
  <c r="J736" i="5"/>
  <c r="I736" i="5"/>
  <c r="H736" i="5"/>
  <c r="G736" i="5"/>
  <c r="F736" i="5"/>
  <c r="N733" i="5"/>
  <c r="M733" i="5"/>
  <c r="L733" i="5"/>
  <c r="K733" i="5"/>
  <c r="J733" i="5"/>
  <c r="I733" i="5"/>
  <c r="H733" i="5"/>
  <c r="G733" i="5"/>
  <c r="F733" i="5"/>
  <c r="N730" i="5"/>
  <c r="M730" i="5"/>
  <c r="L730" i="5"/>
  <c r="K730" i="5"/>
  <c r="J730" i="5"/>
  <c r="I730" i="5"/>
  <c r="H730" i="5"/>
  <c r="G730" i="5"/>
  <c r="F730" i="5"/>
  <c r="N727" i="5"/>
  <c r="M727" i="5"/>
  <c r="L727" i="5"/>
  <c r="K727" i="5"/>
  <c r="J727" i="5"/>
  <c r="I727" i="5"/>
  <c r="H727" i="5"/>
  <c r="G727" i="5"/>
  <c r="F727" i="5"/>
  <c r="N724" i="5"/>
  <c r="M724" i="5"/>
  <c r="L724" i="5"/>
  <c r="K724" i="5"/>
  <c r="J724" i="5"/>
  <c r="I724" i="5"/>
  <c r="H724" i="5"/>
  <c r="G724" i="5"/>
  <c r="F724" i="5"/>
  <c r="N721" i="5"/>
  <c r="M721" i="5"/>
  <c r="L721" i="5"/>
  <c r="K721" i="5"/>
  <c r="J721" i="5"/>
  <c r="I721" i="5"/>
  <c r="H721" i="5"/>
  <c r="G721" i="5"/>
  <c r="F721" i="5"/>
  <c r="N718" i="5"/>
  <c r="M718" i="5"/>
  <c r="L718" i="5"/>
  <c r="K718" i="5"/>
  <c r="J718" i="5"/>
  <c r="I718" i="5"/>
  <c r="H718" i="5"/>
  <c r="G718" i="5"/>
  <c r="F718" i="5"/>
  <c r="N715" i="5"/>
  <c r="M715" i="5"/>
  <c r="L715" i="5"/>
  <c r="K715" i="5"/>
  <c r="J715" i="5"/>
  <c r="I715" i="5"/>
  <c r="H715" i="5"/>
  <c r="G715" i="5"/>
  <c r="F715" i="5"/>
  <c r="N712" i="5"/>
  <c r="M712" i="5"/>
  <c r="L712" i="5"/>
  <c r="K712" i="5"/>
  <c r="J712" i="5"/>
  <c r="I712" i="5"/>
  <c r="H712" i="5"/>
  <c r="G712" i="5"/>
  <c r="F712" i="5"/>
  <c r="N709" i="5"/>
  <c r="M709" i="5"/>
  <c r="L709" i="5"/>
  <c r="K709" i="5"/>
  <c r="J709" i="5"/>
  <c r="I709" i="5"/>
  <c r="H709" i="5"/>
  <c r="G709" i="5"/>
  <c r="F709" i="5"/>
  <c r="N706" i="5"/>
  <c r="M706" i="5"/>
  <c r="L706" i="5"/>
  <c r="K706" i="5"/>
  <c r="J706" i="5"/>
  <c r="I706" i="5"/>
  <c r="H706" i="5"/>
  <c r="G706" i="5"/>
  <c r="F706" i="5"/>
  <c r="N703" i="5"/>
  <c r="M703" i="5"/>
  <c r="L703" i="5"/>
  <c r="K703" i="5"/>
  <c r="J703" i="5"/>
  <c r="I703" i="5"/>
  <c r="H703" i="5"/>
  <c r="G703" i="5"/>
  <c r="F703" i="5"/>
  <c r="N700" i="5"/>
  <c r="M700" i="5"/>
  <c r="L700" i="5"/>
  <c r="K700" i="5"/>
  <c r="J700" i="5"/>
  <c r="I700" i="5"/>
  <c r="H700" i="5"/>
  <c r="G700" i="5"/>
  <c r="F700" i="5"/>
  <c r="N697" i="5"/>
  <c r="M697" i="5"/>
  <c r="L697" i="5"/>
  <c r="K697" i="5"/>
  <c r="J697" i="5"/>
  <c r="I697" i="5"/>
  <c r="H697" i="5"/>
  <c r="G697" i="5"/>
  <c r="F697" i="5"/>
  <c r="N694" i="5"/>
  <c r="M694" i="5"/>
  <c r="L694" i="5"/>
  <c r="K694" i="5"/>
  <c r="J694" i="5"/>
  <c r="I694" i="5"/>
  <c r="H694" i="5"/>
  <c r="G694" i="5"/>
  <c r="F694" i="5"/>
  <c r="N691" i="5"/>
  <c r="M691" i="5"/>
  <c r="L691" i="5"/>
  <c r="K691" i="5"/>
  <c r="J691" i="5"/>
  <c r="I691" i="5"/>
  <c r="H691" i="5"/>
  <c r="G691" i="5"/>
  <c r="F691" i="5"/>
  <c r="N688" i="5"/>
  <c r="M688" i="5"/>
  <c r="L688" i="5"/>
  <c r="K688" i="5"/>
  <c r="J688" i="5"/>
  <c r="I688" i="5"/>
  <c r="H688" i="5"/>
  <c r="G688" i="5"/>
  <c r="F688" i="5"/>
  <c r="N685" i="5"/>
  <c r="M685" i="5"/>
  <c r="L685" i="5"/>
  <c r="K685" i="5"/>
  <c r="J685" i="5"/>
  <c r="I685" i="5"/>
  <c r="H685" i="5"/>
  <c r="G685" i="5"/>
  <c r="F685" i="5"/>
  <c r="N682" i="5"/>
  <c r="M682" i="5"/>
  <c r="L682" i="5"/>
  <c r="K682" i="5"/>
  <c r="J682" i="5"/>
  <c r="I682" i="5"/>
  <c r="H682" i="5"/>
  <c r="G682" i="5"/>
  <c r="F682" i="5"/>
  <c r="N679" i="5"/>
  <c r="M679" i="5"/>
  <c r="L679" i="5"/>
  <c r="K679" i="5"/>
  <c r="J679" i="5"/>
  <c r="I679" i="5"/>
  <c r="H679" i="5"/>
  <c r="G679" i="5"/>
  <c r="F679" i="5"/>
  <c r="N676" i="5"/>
  <c r="M676" i="5"/>
  <c r="L676" i="5"/>
  <c r="K676" i="5"/>
  <c r="J676" i="5"/>
  <c r="I676" i="5"/>
  <c r="H676" i="5"/>
  <c r="G676" i="5"/>
  <c r="F676" i="5"/>
  <c r="N673" i="5"/>
  <c r="M673" i="5"/>
  <c r="L673" i="5"/>
  <c r="K673" i="5"/>
  <c r="J673" i="5"/>
  <c r="I673" i="5"/>
  <c r="H673" i="5"/>
  <c r="G673" i="5"/>
  <c r="F673" i="5"/>
  <c r="N670" i="5"/>
  <c r="M670" i="5"/>
  <c r="L670" i="5"/>
  <c r="K670" i="5"/>
  <c r="J670" i="5"/>
  <c r="I670" i="5"/>
  <c r="H670" i="5"/>
  <c r="G670" i="5"/>
  <c r="F670" i="5"/>
  <c r="N667" i="5"/>
  <c r="M667" i="5"/>
  <c r="L667" i="5"/>
  <c r="K667" i="5"/>
  <c r="J667" i="5"/>
  <c r="I667" i="5"/>
  <c r="H667" i="5"/>
  <c r="G667" i="5"/>
  <c r="F667" i="5"/>
  <c r="N664" i="5"/>
  <c r="M664" i="5"/>
  <c r="L664" i="5"/>
  <c r="K664" i="5"/>
  <c r="J664" i="5"/>
  <c r="I664" i="5"/>
  <c r="H664" i="5"/>
  <c r="G664" i="5"/>
  <c r="F664" i="5"/>
  <c r="N661" i="5"/>
  <c r="M661" i="5"/>
  <c r="L661" i="5"/>
  <c r="K661" i="5"/>
  <c r="J661" i="5"/>
  <c r="I661" i="5"/>
  <c r="H661" i="5"/>
  <c r="G661" i="5"/>
  <c r="F661" i="5"/>
  <c r="N658" i="5"/>
  <c r="M658" i="5"/>
  <c r="L658" i="5"/>
  <c r="K658" i="5"/>
  <c r="J658" i="5"/>
  <c r="I658" i="5"/>
  <c r="H658" i="5"/>
  <c r="G658" i="5"/>
  <c r="F658" i="5"/>
  <c r="N655" i="5"/>
  <c r="M655" i="5"/>
  <c r="L655" i="5"/>
  <c r="K655" i="5"/>
  <c r="J655" i="5"/>
  <c r="I655" i="5"/>
  <c r="H655" i="5"/>
  <c r="G655" i="5"/>
  <c r="F655" i="5"/>
  <c r="N652" i="5"/>
  <c r="M652" i="5"/>
  <c r="L652" i="5"/>
  <c r="K652" i="5"/>
  <c r="J652" i="5"/>
  <c r="I652" i="5"/>
  <c r="H652" i="5"/>
  <c r="G652" i="5"/>
  <c r="F652" i="5"/>
  <c r="N649" i="5"/>
  <c r="M649" i="5"/>
  <c r="L649" i="5"/>
  <c r="K649" i="5"/>
  <c r="J649" i="5"/>
  <c r="I649" i="5"/>
  <c r="H649" i="5"/>
  <c r="G649" i="5"/>
  <c r="F649" i="5"/>
  <c r="N646" i="5"/>
  <c r="M646" i="5"/>
  <c r="L646" i="5"/>
  <c r="K646" i="5"/>
  <c r="J646" i="5"/>
  <c r="I646" i="5"/>
  <c r="H646" i="5"/>
  <c r="G646" i="5"/>
  <c r="F646" i="5"/>
  <c r="N643" i="5"/>
  <c r="M643" i="5"/>
  <c r="L643" i="5"/>
  <c r="K643" i="5"/>
  <c r="J643" i="5"/>
  <c r="I643" i="5"/>
  <c r="H643" i="5"/>
  <c r="G643" i="5"/>
  <c r="F643" i="5"/>
  <c r="N640" i="5"/>
  <c r="M640" i="5"/>
  <c r="L640" i="5"/>
  <c r="K640" i="5"/>
  <c r="J640" i="5"/>
  <c r="I640" i="5"/>
  <c r="H640" i="5"/>
  <c r="G640" i="5"/>
  <c r="F640" i="5"/>
  <c r="N637" i="5"/>
  <c r="M637" i="5"/>
  <c r="L637" i="5"/>
  <c r="K637" i="5"/>
  <c r="J637" i="5"/>
  <c r="I637" i="5"/>
  <c r="H637" i="5"/>
  <c r="G637" i="5"/>
  <c r="F637" i="5"/>
  <c r="N634" i="5"/>
  <c r="M634" i="5"/>
  <c r="L634" i="5"/>
  <c r="K634" i="5"/>
  <c r="J634" i="5"/>
  <c r="I634" i="5"/>
  <c r="H634" i="5"/>
  <c r="G634" i="5"/>
  <c r="F634" i="5"/>
  <c r="N631" i="5"/>
  <c r="M631" i="5"/>
  <c r="L631" i="5"/>
  <c r="K631" i="5"/>
  <c r="J631" i="5"/>
  <c r="I631" i="5"/>
  <c r="H631" i="5"/>
  <c r="G631" i="5"/>
  <c r="F631" i="5"/>
  <c r="N628" i="5"/>
  <c r="M628" i="5"/>
  <c r="L628" i="5"/>
  <c r="K628" i="5"/>
  <c r="J628" i="5"/>
  <c r="I628" i="5"/>
  <c r="H628" i="5"/>
  <c r="G628" i="5"/>
  <c r="F628" i="5"/>
  <c r="N625" i="5"/>
  <c r="M625" i="5"/>
  <c r="L625" i="5"/>
  <c r="K625" i="5"/>
  <c r="J625" i="5"/>
  <c r="I625" i="5"/>
  <c r="H625" i="5"/>
  <c r="G625" i="5"/>
  <c r="F625" i="5"/>
  <c r="N622" i="5"/>
  <c r="M622" i="5"/>
  <c r="L622" i="5"/>
  <c r="K622" i="5"/>
  <c r="J622" i="5"/>
  <c r="I622" i="5"/>
  <c r="H622" i="5"/>
  <c r="G622" i="5"/>
  <c r="F622" i="5"/>
  <c r="N619" i="5"/>
  <c r="M619" i="5"/>
  <c r="L619" i="5"/>
  <c r="K619" i="5"/>
  <c r="J619" i="5"/>
  <c r="I619" i="5"/>
  <c r="H619" i="5"/>
  <c r="G619" i="5"/>
  <c r="F619" i="5"/>
  <c r="N616" i="5"/>
  <c r="M616" i="5"/>
  <c r="L616" i="5"/>
  <c r="K616" i="5"/>
  <c r="J616" i="5"/>
  <c r="I616" i="5"/>
  <c r="H616" i="5"/>
  <c r="G616" i="5"/>
  <c r="F616" i="5"/>
  <c r="N613" i="5"/>
  <c r="M613" i="5"/>
  <c r="L613" i="5"/>
  <c r="K613" i="5"/>
  <c r="J613" i="5"/>
  <c r="I613" i="5"/>
  <c r="H613" i="5"/>
  <c r="G613" i="5"/>
  <c r="F613" i="5"/>
  <c r="N610" i="5"/>
  <c r="M610" i="5"/>
  <c r="L610" i="5"/>
  <c r="K610" i="5"/>
  <c r="J610" i="5"/>
  <c r="I610" i="5"/>
  <c r="H610" i="5"/>
  <c r="G610" i="5"/>
  <c r="F610" i="5"/>
  <c r="N607" i="5"/>
  <c r="M607" i="5"/>
  <c r="L607" i="5"/>
  <c r="K607" i="5"/>
  <c r="J607" i="5"/>
  <c r="I607" i="5"/>
  <c r="H607" i="5"/>
  <c r="G607" i="5"/>
  <c r="F607" i="5"/>
  <c r="N604" i="5"/>
  <c r="M604" i="5"/>
  <c r="L604" i="5"/>
  <c r="K604" i="5"/>
  <c r="J604" i="5"/>
  <c r="I604" i="5"/>
  <c r="H604" i="5"/>
  <c r="G604" i="5"/>
  <c r="F604" i="5"/>
  <c r="N601" i="5"/>
  <c r="M601" i="5"/>
  <c r="L601" i="5"/>
  <c r="K601" i="5"/>
  <c r="J601" i="5"/>
  <c r="I601" i="5"/>
  <c r="H601" i="5"/>
  <c r="G601" i="5"/>
  <c r="F601" i="5"/>
  <c r="N598" i="5"/>
  <c r="M598" i="5"/>
  <c r="L598" i="5"/>
  <c r="K598" i="5"/>
  <c r="J598" i="5"/>
  <c r="I598" i="5"/>
  <c r="H598" i="5"/>
  <c r="G598" i="5"/>
  <c r="F598" i="5"/>
  <c r="N595" i="5"/>
  <c r="M595" i="5"/>
  <c r="L595" i="5"/>
  <c r="K595" i="5"/>
  <c r="J595" i="5"/>
  <c r="I595" i="5"/>
  <c r="H595" i="5"/>
  <c r="G595" i="5"/>
  <c r="F595" i="5"/>
  <c r="N592" i="5"/>
  <c r="M592" i="5"/>
  <c r="L592" i="5"/>
  <c r="K592" i="5"/>
  <c r="J592" i="5"/>
  <c r="I592" i="5"/>
  <c r="H592" i="5"/>
  <c r="G592" i="5"/>
  <c r="F592" i="5"/>
  <c r="N589" i="5"/>
  <c r="M589" i="5"/>
  <c r="L589" i="5"/>
  <c r="K589" i="5"/>
  <c r="J589" i="5"/>
  <c r="I589" i="5"/>
  <c r="H589" i="5"/>
  <c r="G589" i="5"/>
  <c r="F589" i="5"/>
  <c r="N586" i="5"/>
  <c r="M586" i="5"/>
  <c r="L586" i="5"/>
  <c r="K586" i="5"/>
  <c r="J586" i="5"/>
  <c r="I586" i="5"/>
  <c r="H586" i="5"/>
  <c r="G586" i="5"/>
  <c r="F586" i="5"/>
  <c r="N583" i="5"/>
  <c r="M583" i="5"/>
  <c r="L583" i="5"/>
  <c r="K583" i="5"/>
  <c r="J583" i="5"/>
  <c r="I583" i="5"/>
  <c r="H583" i="5"/>
  <c r="G583" i="5"/>
  <c r="F583" i="5"/>
  <c r="N580" i="5"/>
  <c r="M580" i="5"/>
  <c r="L580" i="5"/>
  <c r="K580" i="5"/>
  <c r="J580" i="5"/>
  <c r="I580" i="5"/>
  <c r="H580" i="5"/>
  <c r="G580" i="5"/>
  <c r="F580" i="5"/>
  <c r="N577" i="5"/>
  <c r="M577" i="5"/>
  <c r="L577" i="5"/>
  <c r="K577" i="5"/>
  <c r="J577" i="5"/>
  <c r="I577" i="5"/>
  <c r="H577" i="5"/>
  <c r="G577" i="5"/>
  <c r="F577" i="5"/>
  <c r="N574" i="5"/>
  <c r="M574" i="5"/>
  <c r="L574" i="5"/>
  <c r="K574" i="5"/>
  <c r="J574" i="5"/>
  <c r="I574" i="5"/>
  <c r="H574" i="5"/>
  <c r="G574" i="5"/>
  <c r="F574" i="5"/>
  <c r="N571" i="5"/>
  <c r="M571" i="5"/>
  <c r="L571" i="5"/>
  <c r="K571" i="5"/>
  <c r="J571" i="5"/>
  <c r="I571" i="5"/>
  <c r="H571" i="5"/>
  <c r="G571" i="5"/>
  <c r="F571" i="5"/>
  <c r="N568" i="5"/>
  <c r="M568" i="5"/>
  <c r="L568" i="5"/>
  <c r="K568" i="5"/>
  <c r="J568" i="5"/>
  <c r="I568" i="5"/>
  <c r="H568" i="5"/>
  <c r="G568" i="5"/>
  <c r="F568" i="5"/>
  <c r="N565" i="5"/>
  <c r="M565" i="5"/>
  <c r="L565" i="5"/>
  <c r="K565" i="5"/>
  <c r="J565" i="5"/>
  <c r="I565" i="5"/>
  <c r="H565" i="5"/>
  <c r="G565" i="5"/>
  <c r="F565" i="5"/>
  <c r="N562" i="5"/>
  <c r="M562" i="5"/>
  <c r="L562" i="5"/>
  <c r="K562" i="5"/>
  <c r="J562" i="5"/>
  <c r="I562" i="5"/>
  <c r="H562" i="5"/>
  <c r="G562" i="5"/>
  <c r="F562" i="5"/>
  <c r="N559" i="5"/>
  <c r="M559" i="5"/>
  <c r="L559" i="5"/>
  <c r="K559" i="5"/>
  <c r="J559" i="5"/>
  <c r="I559" i="5"/>
  <c r="H559" i="5"/>
  <c r="G559" i="5"/>
  <c r="F559" i="5"/>
  <c r="N556" i="5"/>
  <c r="M556" i="5"/>
  <c r="L556" i="5"/>
  <c r="K556" i="5"/>
  <c r="J556" i="5"/>
  <c r="I556" i="5"/>
  <c r="H556" i="5"/>
  <c r="G556" i="5"/>
  <c r="F556" i="5"/>
  <c r="N553" i="5"/>
  <c r="M553" i="5"/>
  <c r="L553" i="5"/>
  <c r="K553" i="5"/>
  <c r="J553" i="5"/>
  <c r="I553" i="5"/>
  <c r="H553" i="5"/>
  <c r="G553" i="5"/>
  <c r="F553" i="5"/>
  <c r="N550" i="5"/>
  <c r="M550" i="5"/>
  <c r="L550" i="5"/>
  <c r="K550" i="5"/>
  <c r="J550" i="5"/>
  <c r="I550" i="5"/>
  <c r="H550" i="5"/>
  <c r="G550" i="5"/>
  <c r="F550" i="5"/>
  <c r="N547" i="5"/>
  <c r="M547" i="5"/>
  <c r="L547" i="5"/>
  <c r="K547" i="5"/>
  <c r="J547" i="5"/>
  <c r="I547" i="5"/>
  <c r="H547" i="5"/>
  <c r="G547" i="5"/>
  <c r="F547" i="5"/>
  <c r="N544" i="5"/>
  <c r="M544" i="5"/>
  <c r="L544" i="5"/>
  <c r="K544" i="5"/>
  <c r="J544" i="5"/>
  <c r="I544" i="5"/>
  <c r="H544" i="5"/>
  <c r="G544" i="5"/>
  <c r="F544" i="5"/>
  <c r="N541" i="5"/>
  <c r="M541" i="5"/>
  <c r="L541" i="5"/>
  <c r="K541" i="5"/>
  <c r="J541" i="5"/>
  <c r="I541" i="5"/>
  <c r="H541" i="5"/>
  <c r="G541" i="5"/>
  <c r="F541" i="5"/>
  <c r="N538" i="5"/>
  <c r="M538" i="5"/>
  <c r="L538" i="5"/>
  <c r="K538" i="5"/>
  <c r="J538" i="5"/>
  <c r="I538" i="5"/>
  <c r="H538" i="5"/>
  <c r="G538" i="5"/>
  <c r="F538" i="5"/>
  <c r="N535" i="5"/>
  <c r="M535" i="5"/>
  <c r="L535" i="5"/>
  <c r="K535" i="5"/>
  <c r="J535" i="5"/>
  <c r="I535" i="5"/>
  <c r="H535" i="5"/>
  <c r="G535" i="5"/>
  <c r="F535" i="5"/>
  <c r="N532" i="5"/>
  <c r="M532" i="5"/>
  <c r="L532" i="5"/>
  <c r="K532" i="5"/>
  <c r="J532" i="5"/>
  <c r="I532" i="5"/>
  <c r="H532" i="5"/>
  <c r="G532" i="5"/>
  <c r="F532" i="5"/>
  <c r="N529" i="5"/>
  <c r="M529" i="5"/>
  <c r="L529" i="5"/>
  <c r="K529" i="5"/>
  <c r="J529" i="5"/>
  <c r="I529" i="5"/>
  <c r="H529" i="5"/>
  <c r="G529" i="5"/>
  <c r="F529" i="5"/>
  <c r="N526" i="5"/>
  <c r="M526" i="5"/>
  <c r="L526" i="5"/>
  <c r="K526" i="5"/>
  <c r="J526" i="5"/>
  <c r="I526" i="5"/>
  <c r="H526" i="5"/>
  <c r="G526" i="5"/>
  <c r="F526" i="5"/>
  <c r="N523" i="5"/>
  <c r="M523" i="5"/>
  <c r="L523" i="5"/>
  <c r="K523" i="5"/>
  <c r="J523" i="5"/>
  <c r="I523" i="5"/>
  <c r="H523" i="5"/>
  <c r="G523" i="5"/>
  <c r="F523" i="5"/>
  <c r="N520" i="5"/>
  <c r="M520" i="5"/>
  <c r="L520" i="5"/>
  <c r="K520" i="5"/>
  <c r="J520" i="5"/>
  <c r="I520" i="5"/>
  <c r="H520" i="5"/>
  <c r="G520" i="5"/>
  <c r="F520" i="5"/>
  <c r="N517" i="5"/>
  <c r="M517" i="5"/>
  <c r="L517" i="5"/>
  <c r="K517" i="5"/>
  <c r="J517" i="5"/>
  <c r="I517" i="5"/>
  <c r="H517" i="5"/>
  <c r="G517" i="5"/>
  <c r="F517" i="5"/>
  <c r="N514" i="5"/>
  <c r="M514" i="5"/>
  <c r="L514" i="5"/>
  <c r="K514" i="5"/>
  <c r="J514" i="5"/>
  <c r="I514" i="5"/>
  <c r="H514" i="5"/>
  <c r="G514" i="5"/>
  <c r="F514" i="5"/>
  <c r="N511" i="5"/>
  <c r="M511" i="5"/>
  <c r="L511" i="5"/>
  <c r="K511" i="5"/>
  <c r="J511" i="5"/>
  <c r="I511" i="5"/>
  <c r="H511" i="5"/>
  <c r="G511" i="5"/>
  <c r="F511" i="5"/>
  <c r="N508" i="5"/>
  <c r="M508" i="5"/>
  <c r="L508" i="5"/>
  <c r="K508" i="5"/>
  <c r="J508" i="5"/>
  <c r="I508" i="5"/>
  <c r="H508" i="5"/>
  <c r="G508" i="5"/>
  <c r="F508" i="5"/>
  <c r="N505" i="5"/>
  <c r="M505" i="5"/>
  <c r="L505" i="5"/>
  <c r="K505" i="5"/>
  <c r="J505" i="5"/>
  <c r="I505" i="5"/>
  <c r="H505" i="5"/>
  <c r="G505" i="5"/>
  <c r="F505" i="5"/>
  <c r="N502" i="5"/>
  <c r="M502" i="5"/>
  <c r="L502" i="5"/>
  <c r="K502" i="5"/>
  <c r="J502" i="5"/>
  <c r="I502" i="5"/>
  <c r="H502" i="5"/>
  <c r="G502" i="5"/>
  <c r="F502" i="5"/>
  <c r="N499" i="5"/>
  <c r="M499" i="5"/>
  <c r="L499" i="5"/>
  <c r="K499" i="5"/>
  <c r="J499" i="5"/>
  <c r="I499" i="5"/>
  <c r="H499" i="5"/>
  <c r="G499" i="5"/>
  <c r="F499" i="5"/>
  <c r="N496" i="5"/>
  <c r="M496" i="5"/>
  <c r="L496" i="5"/>
  <c r="K496" i="5"/>
  <c r="J496" i="5"/>
  <c r="I496" i="5"/>
  <c r="H496" i="5"/>
  <c r="G496" i="5"/>
  <c r="F496" i="5"/>
  <c r="N493" i="5"/>
  <c r="M493" i="5"/>
  <c r="L493" i="5"/>
  <c r="K493" i="5"/>
  <c r="J493" i="5"/>
  <c r="I493" i="5"/>
  <c r="H493" i="5"/>
  <c r="G493" i="5"/>
  <c r="F493" i="5"/>
  <c r="N490" i="5"/>
  <c r="M490" i="5"/>
  <c r="L490" i="5"/>
  <c r="K490" i="5"/>
  <c r="J490" i="5"/>
  <c r="I490" i="5"/>
  <c r="H490" i="5"/>
  <c r="G490" i="5"/>
  <c r="F490" i="5"/>
  <c r="N487" i="5"/>
  <c r="M487" i="5"/>
  <c r="L487" i="5"/>
  <c r="K487" i="5"/>
  <c r="J487" i="5"/>
  <c r="I487" i="5"/>
  <c r="H487" i="5"/>
  <c r="G487" i="5"/>
  <c r="F487" i="5"/>
  <c r="N484" i="5"/>
  <c r="M484" i="5"/>
  <c r="L484" i="5"/>
  <c r="K484" i="5"/>
  <c r="J484" i="5"/>
  <c r="I484" i="5"/>
  <c r="H484" i="5"/>
  <c r="G484" i="5"/>
  <c r="F484" i="5"/>
  <c r="N481" i="5"/>
  <c r="M481" i="5"/>
  <c r="L481" i="5"/>
  <c r="K481" i="5"/>
  <c r="J481" i="5"/>
  <c r="I481" i="5"/>
  <c r="H481" i="5"/>
  <c r="G481" i="5"/>
  <c r="F481" i="5"/>
  <c r="N478" i="5"/>
  <c r="M478" i="5"/>
  <c r="L478" i="5"/>
  <c r="K478" i="5"/>
  <c r="J478" i="5"/>
  <c r="I478" i="5"/>
  <c r="H478" i="5"/>
  <c r="G478" i="5"/>
  <c r="F478" i="5"/>
  <c r="N475" i="5"/>
  <c r="M475" i="5"/>
  <c r="L475" i="5"/>
  <c r="K475" i="5"/>
  <c r="J475" i="5"/>
  <c r="I475" i="5"/>
  <c r="H475" i="5"/>
  <c r="G475" i="5"/>
  <c r="F475" i="5"/>
  <c r="N472" i="5"/>
  <c r="M472" i="5"/>
  <c r="L472" i="5"/>
  <c r="K472" i="5"/>
  <c r="J472" i="5"/>
  <c r="I472" i="5"/>
  <c r="H472" i="5"/>
  <c r="G472" i="5"/>
  <c r="F472" i="5"/>
  <c r="N469" i="5"/>
  <c r="M469" i="5"/>
  <c r="L469" i="5"/>
  <c r="K469" i="5"/>
  <c r="J469" i="5"/>
  <c r="I469" i="5"/>
  <c r="H469" i="5"/>
  <c r="G469" i="5"/>
  <c r="F469" i="5"/>
  <c r="N466" i="5"/>
  <c r="M466" i="5"/>
  <c r="L466" i="5"/>
  <c r="K466" i="5"/>
  <c r="J466" i="5"/>
  <c r="I466" i="5"/>
  <c r="H466" i="5"/>
  <c r="G466" i="5"/>
  <c r="F466" i="5"/>
  <c r="N463" i="5"/>
  <c r="M463" i="5"/>
  <c r="L463" i="5"/>
  <c r="K463" i="5"/>
  <c r="J463" i="5"/>
  <c r="I463" i="5"/>
  <c r="H463" i="5"/>
  <c r="G463" i="5"/>
  <c r="F463" i="5"/>
  <c r="N460" i="5"/>
  <c r="M460" i="5"/>
  <c r="L460" i="5"/>
  <c r="K460" i="5"/>
  <c r="J460" i="5"/>
  <c r="I460" i="5"/>
  <c r="H460" i="5"/>
  <c r="G460" i="5"/>
  <c r="F460" i="5"/>
  <c r="N457" i="5"/>
  <c r="M457" i="5"/>
  <c r="L457" i="5"/>
  <c r="K457" i="5"/>
  <c r="J457" i="5"/>
  <c r="I457" i="5"/>
  <c r="H457" i="5"/>
  <c r="G457" i="5"/>
  <c r="F457" i="5"/>
  <c r="N454" i="5"/>
  <c r="M454" i="5"/>
  <c r="L454" i="5"/>
  <c r="K454" i="5"/>
  <c r="J454" i="5"/>
  <c r="I454" i="5"/>
  <c r="H454" i="5"/>
  <c r="G454" i="5"/>
  <c r="F454" i="5"/>
  <c r="N451" i="5"/>
  <c r="M451" i="5"/>
  <c r="L451" i="5"/>
  <c r="K451" i="5"/>
  <c r="J451" i="5"/>
  <c r="I451" i="5"/>
  <c r="H451" i="5"/>
  <c r="G451" i="5"/>
  <c r="F451" i="5"/>
  <c r="N448" i="5"/>
  <c r="M448" i="5"/>
  <c r="L448" i="5"/>
  <c r="K448" i="5"/>
  <c r="J448" i="5"/>
  <c r="I448" i="5"/>
  <c r="H448" i="5"/>
  <c r="G448" i="5"/>
  <c r="F448" i="5"/>
  <c r="N445" i="5"/>
  <c r="M445" i="5"/>
  <c r="L445" i="5"/>
  <c r="K445" i="5"/>
  <c r="J445" i="5"/>
  <c r="I445" i="5"/>
  <c r="H445" i="5"/>
  <c r="G445" i="5"/>
  <c r="F445" i="5"/>
  <c r="N442" i="5"/>
  <c r="M442" i="5"/>
  <c r="L442" i="5"/>
  <c r="K442" i="5"/>
  <c r="J442" i="5"/>
  <c r="I442" i="5"/>
  <c r="H442" i="5"/>
  <c r="G442" i="5"/>
  <c r="F442" i="5"/>
  <c r="N439" i="5"/>
  <c r="M439" i="5"/>
  <c r="L439" i="5"/>
  <c r="K439" i="5"/>
  <c r="J439" i="5"/>
  <c r="I439" i="5"/>
  <c r="H439" i="5"/>
  <c r="G439" i="5"/>
  <c r="F439" i="5"/>
  <c r="N436" i="5"/>
  <c r="M436" i="5"/>
  <c r="L436" i="5"/>
  <c r="K436" i="5"/>
  <c r="J436" i="5"/>
  <c r="I436" i="5"/>
  <c r="H436" i="5"/>
  <c r="G436" i="5"/>
  <c r="F436" i="5"/>
  <c r="N433" i="5"/>
  <c r="M433" i="5"/>
  <c r="L433" i="5"/>
  <c r="K433" i="5"/>
  <c r="J433" i="5"/>
  <c r="I433" i="5"/>
  <c r="H433" i="5"/>
  <c r="G433" i="5"/>
  <c r="F433" i="5"/>
  <c r="N430" i="5"/>
  <c r="M430" i="5"/>
  <c r="L430" i="5"/>
  <c r="K430" i="5"/>
  <c r="J430" i="5"/>
  <c r="I430" i="5"/>
  <c r="H430" i="5"/>
  <c r="G430" i="5"/>
  <c r="F430" i="5"/>
  <c r="N427" i="5"/>
  <c r="M427" i="5"/>
  <c r="L427" i="5"/>
  <c r="K427" i="5"/>
  <c r="J427" i="5"/>
  <c r="I427" i="5"/>
  <c r="H427" i="5"/>
  <c r="G427" i="5"/>
  <c r="F427" i="5"/>
  <c r="N424" i="5"/>
  <c r="M424" i="5"/>
  <c r="L424" i="5"/>
  <c r="K424" i="5"/>
  <c r="J424" i="5"/>
  <c r="I424" i="5"/>
  <c r="H424" i="5"/>
  <c r="G424" i="5"/>
  <c r="F424" i="5"/>
  <c r="N421" i="5"/>
  <c r="M421" i="5"/>
  <c r="L421" i="5"/>
  <c r="K421" i="5"/>
  <c r="J421" i="5"/>
  <c r="I421" i="5"/>
  <c r="H421" i="5"/>
  <c r="G421" i="5"/>
  <c r="F421" i="5"/>
  <c r="N418" i="5"/>
  <c r="M418" i="5"/>
  <c r="L418" i="5"/>
  <c r="K418" i="5"/>
  <c r="J418" i="5"/>
  <c r="I418" i="5"/>
  <c r="H418" i="5"/>
  <c r="G418" i="5"/>
  <c r="F418" i="5"/>
  <c r="N415" i="5"/>
  <c r="M415" i="5"/>
  <c r="L415" i="5"/>
  <c r="K415" i="5"/>
  <c r="J415" i="5"/>
  <c r="I415" i="5"/>
  <c r="H415" i="5"/>
  <c r="G415" i="5"/>
  <c r="F415" i="5"/>
  <c r="N412" i="5"/>
  <c r="M412" i="5"/>
  <c r="L412" i="5"/>
  <c r="K412" i="5"/>
  <c r="J412" i="5"/>
  <c r="I412" i="5"/>
  <c r="H412" i="5"/>
  <c r="G412" i="5"/>
  <c r="F412" i="5"/>
  <c r="N409" i="5"/>
  <c r="M409" i="5"/>
  <c r="L409" i="5"/>
  <c r="K409" i="5"/>
  <c r="J409" i="5"/>
  <c r="I409" i="5"/>
  <c r="H409" i="5"/>
  <c r="G409" i="5"/>
  <c r="F409" i="5"/>
  <c r="N406" i="5"/>
  <c r="M406" i="5"/>
  <c r="L406" i="5"/>
  <c r="K406" i="5"/>
  <c r="J406" i="5"/>
  <c r="I406" i="5"/>
  <c r="H406" i="5"/>
  <c r="G406" i="5"/>
  <c r="F406" i="5"/>
  <c r="N403" i="5"/>
  <c r="M403" i="5"/>
  <c r="L403" i="5"/>
  <c r="K403" i="5"/>
  <c r="J403" i="5"/>
  <c r="I403" i="5"/>
  <c r="H403" i="5"/>
  <c r="G403" i="5"/>
  <c r="F403" i="5"/>
  <c r="N400" i="5"/>
  <c r="M400" i="5"/>
  <c r="L400" i="5"/>
  <c r="K400" i="5"/>
  <c r="J400" i="5"/>
  <c r="I400" i="5"/>
  <c r="H400" i="5"/>
  <c r="G400" i="5"/>
  <c r="F400" i="5"/>
  <c r="N397" i="5"/>
  <c r="M397" i="5"/>
  <c r="L397" i="5"/>
  <c r="K397" i="5"/>
  <c r="J397" i="5"/>
  <c r="I397" i="5"/>
  <c r="H397" i="5"/>
  <c r="G397" i="5"/>
  <c r="F397" i="5"/>
  <c r="N394" i="5"/>
  <c r="M394" i="5"/>
  <c r="L394" i="5"/>
  <c r="K394" i="5"/>
  <c r="J394" i="5"/>
  <c r="I394" i="5"/>
  <c r="H394" i="5"/>
  <c r="G394" i="5"/>
  <c r="F394" i="5"/>
  <c r="N391" i="5"/>
  <c r="M391" i="5"/>
  <c r="L391" i="5"/>
  <c r="K391" i="5"/>
  <c r="J391" i="5"/>
  <c r="I391" i="5"/>
  <c r="H391" i="5"/>
  <c r="G391" i="5"/>
  <c r="F391" i="5"/>
  <c r="N388" i="5"/>
  <c r="M388" i="5"/>
  <c r="L388" i="5"/>
  <c r="K388" i="5"/>
  <c r="J388" i="5"/>
  <c r="I388" i="5"/>
  <c r="H388" i="5"/>
  <c r="G388" i="5"/>
  <c r="F388" i="5"/>
  <c r="N385" i="5"/>
  <c r="M385" i="5"/>
  <c r="L385" i="5"/>
  <c r="K385" i="5"/>
  <c r="J385" i="5"/>
  <c r="I385" i="5"/>
  <c r="H385" i="5"/>
  <c r="G385" i="5"/>
  <c r="F385" i="5"/>
  <c r="N382" i="5"/>
  <c r="M382" i="5"/>
  <c r="L382" i="5"/>
  <c r="K382" i="5"/>
  <c r="J382" i="5"/>
  <c r="I382" i="5"/>
  <c r="H382" i="5"/>
  <c r="G382" i="5"/>
  <c r="F382" i="5"/>
  <c r="N379" i="5"/>
  <c r="M379" i="5"/>
  <c r="L379" i="5"/>
  <c r="K379" i="5"/>
  <c r="J379" i="5"/>
  <c r="I379" i="5"/>
  <c r="H379" i="5"/>
  <c r="G379" i="5"/>
  <c r="F379" i="5"/>
  <c r="N376" i="5"/>
  <c r="M376" i="5"/>
  <c r="L376" i="5"/>
  <c r="K376" i="5"/>
  <c r="J376" i="5"/>
  <c r="I376" i="5"/>
  <c r="H376" i="5"/>
  <c r="G376" i="5"/>
  <c r="F376" i="5"/>
  <c r="N373" i="5"/>
  <c r="M373" i="5"/>
  <c r="L373" i="5"/>
  <c r="K373" i="5"/>
  <c r="J373" i="5"/>
  <c r="I373" i="5"/>
  <c r="H373" i="5"/>
  <c r="G373" i="5"/>
  <c r="F373" i="5"/>
  <c r="N370" i="5"/>
  <c r="M370" i="5"/>
  <c r="L370" i="5"/>
  <c r="K370" i="5"/>
  <c r="J370" i="5"/>
  <c r="I370" i="5"/>
  <c r="H370" i="5"/>
  <c r="G370" i="5"/>
  <c r="F370" i="5"/>
  <c r="N367" i="5"/>
  <c r="M367" i="5"/>
  <c r="L367" i="5"/>
  <c r="K367" i="5"/>
  <c r="J367" i="5"/>
  <c r="I367" i="5"/>
  <c r="H367" i="5"/>
  <c r="G367" i="5"/>
  <c r="F367" i="5"/>
  <c r="N364" i="5"/>
  <c r="M364" i="5"/>
  <c r="L364" i="5"/>
  <c r="K364" i="5"/>
  <c r="J364" i="5"/>
  <c r="I364" i="5"/>
  <c r="H364" i="5"/>
  <c r="G364" i="5"/>
  <c r="F364" i="5"/>
  <c r="N361" i="5"/>
  <c r="M361" i="5"/>
  <c r="L361" i="5"/>
  <c r="K361" i="5"/>
  <c r="J361" i="5"/>
  <c r="I361" i="5"/>
  <c r="H361" i="5"/>
  <c r="G361" i="5"/>
  <c r="F361" i="5"/>
  <c r="N358" i="5"/>
  <c r="M358" i="5"/>
  <c r="L358" i="5"/>
  <c r="K358" i="5"/>
  <c r="J358" i="5"/>
  <c r="I358" i="5"/>
  <c r="H358" i="5"/>
  <c r="G358" i="5"/>
  <c r="F358" i="5"/>
  <c r="N355" i="5"/>
  <c r="M355" i="5"/>
  <c r="L355" i="5"/>
  <c r="K355" i="5"/>
  <c r="J355" i="5"/>
  <c r="I355" i="5"/>
  <c r="H355" i="5"/>
  <c r="G355" i="5"/>
  <c r="F355" i="5"/>
  <c r="N352" i="5"/>
  <c r="M352" i="5"/>
  <c r="L352" i="5"/>
  <c r="K352" i="5"/>
  <c r="J352" i="5"/>
  <c r="I352" i="5"/>
  <c r="H352" i="5"/>
  <c r="G352" i="5"/>
  <c r="F352" i="5"/>
  <c r="N349" i="5"/>
  <c r="M349" i="5"/>
  <c r="L349" i="5"/>
  <c r="K349" i="5"/>
  <c r="J349" i="5"/>
  <c r="I349" i="5"/>
  <c r="H349" i="5"/>
  <c r="G349" i="5"/>
  <c r="F349" i="5"/>
  <c r="N346" i="5"/>
  <c r="M346" i="5"/>
  <c r="L346" i="5"/>
  <c r="K346" i="5"/>
  <c r="J346" i="5"/>
  <c r="I346" i="5"/>
  <c r="H346" i="5"/>
  <c r="G346" i="5"/>
  <c r="F346" i="5"/>
  <c r="N343" i="5"/>
  <c r="M343" i="5"/>
  <c r="L343" i="5"/>
  <c r="K343" i="5"/>
  <c r="J343" i="5"/>
  <c r="I343" i="5"/>
  <c r="H343" i="5"/>
  <c r="G343" i="5"/>
  <c r="F343" i="5"/>
  <c r="N340" i="5"/>
  <c r="M340" i="5"/>
  <c r="L340" i="5"/>
  <c r="K340" i="5"/>
  <c r="J340" i="5"/>
  <c r="I340" i="5"/>
  <c r="H340" i="5"/>
  <c r="G340" i="5"/>
  <c r="F340" i="5"/>
  <c r="N337" i="5"/>
  <c r="M337" i="5"/>
  <c r="L337" i="5"/>
  <c r="K337" i="5"/>
  <c r="J337" i="5"/>
  <c r="I337" i="5"/>
  <c r="H337" i="5"/>
  <c r="G337" i="5"/>
  <c r="F337" i="5"/>
  <c r="N334" i="5"/>
  <c r="M334" i="5"/>
  <c r="L334" i="5"/>
  <c r="K334" i="5"/>
  <c r="J334" i="5"/>
  <c r="I334" i="5"/>
  <c r="H334" i="5"/>
  <c r="G334" i="5"/>
  <c r="F334" i="5"/>
  <c r="N331" i="5"/>
  <c r="M331" i="5"/>
  <c r="L331" i="5"/>
  <c r="K331" i="5"/>
  <c r="J331" i="5"/>
  <c r="I331" i="5"/>
  <c r="H331" i="5"/>
  <c r="G331" i="5"/>
  <c r="F331" i="5"/>
  <c r="N328" i="5"/>
  <c r="M328" i="5"/>
  <c r="L328" i="5"/>
  <c r="K328" i="5"/>
  <c r="J328" i="5"/>
  <c r="I328" i="5"/>
  <c r="H328" i="5"/>
  <c r="G328" i="5"/>
  <c r="F328" i="5"/>
  <c r="N325" i="5"/>
  <c r="M325" i="5"/>
  <c r="L325" i="5"/>
  <c r="K325" i="5"/>
  <c r="J325" i="5"/>
  <c r="I325" i="5"/>
  <c r="H325" i="5"/>
  <c r="G325" i="5"/>
  <c r="F325" i="5"/>
  <c r="N322" i="5"/>
  <c r="M322" i="5"/>
  <c r="L322" i="5"/>
  <c r="K322" i="5"/>
  <c r="J322" i="5"/>
  <c r="I322" i="5"/>
  <c r="H322" i="5"/>
  <c r="G322" i="5"/>
  <c r="F322" i="5"/>
  <c r="N319" i="5"/>
  <c r="M319" i="5"/>
  <c r="L319" i="5"/>
  <c r="K319" i="5"/>
  <c r="J319" i="5"/>
  <c r="I319" i="5"/>
  <c r="H319" i="5"/>
  <c r="G319" i="5"/>
  <c r="F319" i="5"/>
  <c r="N316" i="5"/>
  <c r="M316" i="5"/>
  <c r="L316" i="5"/>
  <c r="K316" i="5"/>
  <c r="J316" i="5"/>
  <c r="I316" i="5"/>
  <c r="H316" i="5"/>
  <c r="G316" i="5"/>
  <c r="F316" i="5"/>
  <c r="N313" i="5"/>
  <c r="M313" i="5"/>
  <c r="L313" i="5"/>
  <c r="K313" i="5"/>
  <c r="J313" i="5"/>
  <c r="I313" i="5"/>
  <c r="H313" i="5"/>
  <c r="G313" i="5"/>
  <c r="F313" i="5"/>
  <c r="N310" i="5"/>
  <c r="M310" i="5"/>
  <c r="L310" i="5"/>
  <c r="K310" i="5"/>
  <c r="J310" i="5"/>
  <c r="I310" i="5"/>
  <c r="H310" i="5"/>
  <c r="G310" i="5"/>
  <c r="F310" i="5"/>
  <c r="N307" i="5"/>
  <c r="M307" i="5"/>
  <c r="L307" i="5"/>
  <c r="K307" i="5"/>
  <c r="J307" i="5"/>
  <c r="I307" i="5"/>
  <c r="H307" i="5"/>
  <c r="G307" i="5"/>
  <c r="F307" i="5"/>
  <c r="N304" i="5"/>
  <c r="M304" i="5"/>
  <c r="L304" i="5"/>
  <c r="K304" i="5"/>
  <c r="J304" i="5"/>
  <c r="I304" i="5"/>
  <c r="H304" i="5"/>
  <c r="G304" i="5"/>
  <c r="F304" i="5"/>
  <c r="N301" i="5"/>
  <c r="M301" i="5"/>
  <c r="L301" i="5"/>
  <c r="K301" i="5"/>
  <c r="J301" i="5"/>
  <c r="I301" i="5"/>
  <c r="H301" i="5"/>
  <c r="G301" i="5"/>
  <c r="F301" i="5"/>
  <c r="N298" i="5"/>
  <c r="M298" i="5"/>
  <c r="L298" i="5"/>
  <c r="K298" i="5"/>
  <c r="J298" i="5"/>
  <c r="I298" i="5"/>
  <c r="H298" i="5"/>
  <c r="G298" i="5"/>
  <c r="F298" i="5"/>
  <c r="N295" i="5"/>
  <c r="M295" i="5"/>
  <c r="L295" i="5"/>
  <c r="K295" i="5"/>
  <c r="J295" i="5"/>
  <c r="I295" i="5"/>
  <c r="H295" i="5"/>
  <c r="G295" i="5"/>
  <c r="F295" i="5"/>
  <c r="N292" i="5"/>
  <c r="M292" i="5"/>
  <c r="L292" i="5"/>
  <c r="K292" i="5"/>
  <c r="J292" i="5"/>
  <c r="I292" i="5"/>
  <c r="H292" i="5"/>
  <c r="G292" i="5"/>
  <c r="F292" i="5"/>
  <c r="N289" i="5"/>
  <c r="M289" i="5"/>
  <c r="L289" i="5"/>
  <c r="K289" i="5"/>
  <c r="J289" i="5"/>
  <c r="I289" i="5"/>
  <c r="H289" i="5"/>
  <c r="G289" i="5"/>
  <c r="F289" i="5"/>
  <c r="N286" i="5"/>
  <c r="M286" i="5"/>
  <c r="L286" i="5"/>
  <c r="K286" i="5"/>
  <c r="J286" i="5"/>
  <c r="I286" i="5"/>
  <c r="H286" i="5"/>
  <c r="G286" i="5"/>
  <c r="F286" i="5"/>
  <c r="N283" i="5"/>
  <c r="M283" i="5"/>
  <c r="L283" i="5"/>
  <c r="K283" i="5"/>
  <c r="J283" i="5"/>
  <c r="I283" i="5"/>
  <c r="H283" i="5"/>
  <c r="G283" i="5"/>
  <c r="F283" i="5"/>
  <c r="N280" i="5"/>
  <c r="M280" i="5"/>
  <c r="L280" i="5"/>
  <c r="K280" i="5"/>
  <c r="J280" i="5"/>
  <c r="I280" i="5"/>
  <c r="H280" i="5"/>
  <c r="G280" i="5"/>
  <c r="F280" i="5"/>
  <c r="N277" i="5"/>
  <c r="M277" i="5"/>
  <c r="L277" i="5"/>
  <c r="K277" i="5"/>
  <c r="J277" i="5"/>
  <c r="I277" i="5"/>
  <c r="H277" i="5"/>
  <c r="G277" i="5"/>
  <c r="F277" i="5"/>
  <c r="N274" i="5"/>
  <c r="M274" i="5"/>
  <c r="L274" i="5"/>
  <c r="K274" i="5"/>
  <c r="J274" i="5"/>
  <c r="I274" i="5"/>
  <c r="H274" i="5"/>
  <c r="G274" i="5"/>
  <c r="F274" i="5"/>
  <c r="N271" i="5"/>
  <c r="M271" i="5"/>
  <c r="L271" i="5"/>
  <c r="K271" i="5"/>
  <c r="J271" i="5"/>
  <c r="I271" i="5"/>
  <c r="H271" i="5"/>
  <c r="G271" i="5"/>
  <c r="F271" i="5"/>
  <c r="N268" i="5"/>
  <c r="M268" i="5"/>
  <c r="L268" i="5"/>
  <c r="K268" i="5"/>
  <c r="J268" i="5"/>
  <c r="I268" i="5"/>
  <c r="H268" i="5"/>
  <c r="G268" i="5"/>
  <c r="F268" i="5"/>
  <c r="N265" i="5"/>
  <c r="M265" i="5"/>
  <c r="L265" i="5"/>
  <c r="K265" i="5"/>
  <c r="J265" i="5"/>
  <c r="I265" i="5"/>
  <c r="H265" i="5"/>
  <c r="G265" i="5"/>
  <c r="F265" i="5"/>
  <c r="N262" i="5"/>
  <c r="M262" i="5"/>
  <c r="L262" i="5"/>
  <c r="K262" i="5"/>
  <c r="J262" i="5"/>
  <c r="I262" i="5"/>
  <c r="H262" i="5"/>
  <c r="G262" i="5"/>
  <c r="F262" i="5"/>
  <c r="N259" i="5"/>
  <c r="M259" i="5"/>
  <c r="L259" i="5"/>
  <c r="K259" i="5"/>
  <c r="J259" i="5"/>
  <c r="I259" i="5"/>
  <c r="H259" i="5"/>
  <c r="G259" i="5"/>
  <c r="F259" i="5"/>
  <c r="N256" i="5"/>
  <c r="M256" i="5"/>
  <c r="L256" i="5"/>
  <c r="K256" i="5"/>
  <c r="J256" i="5"/>
  <c r="I256" i="5"/>
  <c r="H256" i="5"/>
  <c r="G256" i="5"/>
  <c r="F256" i="5"/>
  <c r="N253" i="5"/>
  <c r="M253" i="5"/>
  <c r="L253" i="5"/>
  <c r="K253" i="5"/>
  <c r="J253" i="5"/>
  <c r="I253" i="5"/>
  <c r="H253" i="5"/>
  <c r="G253" i="5"/>
  <c r="F253" i="5"/>
  <c r="N250" i="5"/>
  <c r="M250" i="5"/>
  <c r="L250" i="5"/>
  <c r="K250" i="5"/>
  <c r="J250" i="5"/>
  <c r="I250" i="5"/>
  <c r="H250" i="5"/>
  <c r="G250" i="5"/>
  <c r="F250" i="5"/>
  <c r="N247" i="5"/>
  <c r="M247" i="5"/>
  <c r="L247" i="5"/>
  <c r="K247" i="5"/>
  <c r="J247" i="5"/>
  <c r="I247" i="5"/>
  <c r="H247" i="5"/>
  <c r="G247" i="5"/>
  <c r="F247" i="5"/>
  <c r="N244" i="5"/>
  <c r="M244" i="5"/>
  <c r="L244" i="5"/>
  <c r="K244" i="5"/>
  <c r="J244" i="5"/>
  <c r="I244" i="5"/>
  <c r="H244" i="5"/>
  <c r="G244" i="5"/>
  <c r="F244" i="5"/>
  <c r="N241" i="5"/>
  <c r="M241" i="5"/>
  <c r="L241" i="5"/>
  <c r="K241" i="5"/>
  <c r="J241" i="5"/>
  <c r="I241" i="5"/>
  <c r="H241" i="5"/>
  <c r="G241" i="5"/>
  <c r="F241" i="5"/>
  <c r="N238" i="5"/>
  <c r="M238" i="5"/>
  <c r="L238" i="5"/>
  <c r="K238" i="5"/>
  <c r="J238" i="5"/>
  <c r="I238" i="5"/>
  <c r="H238" i="5"/>
  <c r="G238" i="5"/>
  <c r="F238" i="5"/>
  <c r="N235" i="5"/>
  <c r="M235" i="5"/>
  <c r="L235" i="5"/>
  <c r="K235" i="5"/>
  <c r="J235" i="5"/>
  <c r="I235" i="5"/>
  <c r="H235" i="5"/>
  <c r="G235" i="5"/>
  <c r="F235" i="5"/>
  <c r="N232" i="5"/>
  <c r="M232" i="5"/>
  <c r="L232" i="5"/>
  <c r="K232" i="5"/>
  <c r="J232" i="5"/>
  <c r="I232" i="5"/>
  <c r="H232" i="5"/>
  <c r="G232" i="5"/>
  <c r="F232" i="5"/>
  <c r="N229" i="5"/>
  <c r="M229" i="5"/>
  <c r="L229" i="5"/>
  <c r="K229" i="5"/>
  <c r="J229" i="5"/>
  <c r="I229" i="5"/>
  <c r="H229" i="5"/>
  <c r="G229" i="5"/>
  <c r="F229" i="5"/>
  <c r="N226" i="5"/>
  <c r="M226" i="5"/>
  <c r="L226" i="5"/>
  <c r="K226" i="5"/>
  <c r="J226" i="5"/>
  <c r="I226" i="5"/>
  <c r="H226" i="5"/>
  <c r="G226" i="5"/>
  <c r="F226" i="5"/>
  <c r="N223" i="5"/>
  <c r="M223" i="5"/>
  <c r="L223" i="5"/>
  <c r="K223" i="5"/>
  <c r="J223" i="5"/>
  <c r="I223" i="5"/>
  <c r="H223" i="5"/>
  <c r="G223" i="5"/>
  <c r="F223" i="5"/>
  <c r="N220" i="5"/>
  <c r="M220" i="5"/>
  <c r="L220" i="5"/>
  <c r="K220" i="5"/>
  <c r="J220" i="5"/>
  <c r="I220" i="5"/>
  <c r="H220" i="5"/>
  <c r="G220" i="5"/>
  <c r="F220" i="5"/>
  <c r="N217" i="5"/>
  <c r="M217" i="5"/>
  <c r="L217" i="5"/>
  <c r="K217" i="5"/>
  <c r="J217" i="5"/>
  <c r="I217" i="5"/>
  <c r="H217" i="5"/>
  <c r="G217" i="5"/>
  <c r="F217" i="5"/>
  <c r="N214" i="5"/>
  <c r="M214" i="5"/>
  <c r="L214" i="5"/>
  <c r="K214" i="5"/>
  <c r="J214" i="5"/>
  <c r="I214" i="5"/>
  <c r="H214" i="5"/>
  <c r="G214" i="5"/>
  <c r="F214" i="5"/>
  <c r="N211" i="5"/>
  <c r="M211" i="5"/>
  <c r="L211" i="5"/>
  <c r="K211" i="5"/>
  <c r="J211" i="5"/>
  <c r="I211" i="5"/>
  <c r="H211" i="5"/>
  <c r="G211" i="5"/>
  <c r="F211" i="5"/>
  <c r="N208" i="5"/>
  <c r="M208" i="5"/>
  <c r="L208" i="5"/>
  <c r="K208" i="5"/>
  <c r="J208" i="5"/>
  <c r="I208" i="5"/>
  <c r="H208" i="5"/>
  <c r="G208" i="5"/>
  <c r="F208" i="5"/>
  <c r="N205" i="5"/>
  <c r="M205" i="5"/>
  <c r="L205" i="5"/>
  <c r="K205" i="5"/>
  <c r="J205" i="5"/>
  <c r="I205" i="5"/>
  <c r="H205" i="5"/>
  <c r="G205" i="5"/>
  <c r="F205" i="5"/>
  <c r="N202" i="5"/>
  <c r="M202" i="5"/>
  <c r="L202" i="5"/>
  <c r="K202" i="5"/>
  <c r="J202" i="5"/>
  <c r="I202" i="5"/>
  <c r="H202" i="5"/>
  <c r="G202" i="5"/>
  <c r="F202" i="5"/>
  <c r="N199" i="5"/>
  <c r="M199" i="5"/>
  <c r="L199" i="5"/>
  <c r="K199" i="5"/>
  <c r="J199" i="5"/>
  <c r="I199" i="5"/>
  <c r="H199" i="5"/>
  <c r="G199" i="5"/>
  <c r="F199" i="5"/>
  <c r="N196" i="5"/>
  <c r="M196" i="5"/>
  <c r="L196" i="5"/>
  <c r="K196" i="5"/>
  <c r="J196" i="5"/>
  <c r="I196" i="5"/>
  <c r="H196" i="5"/>
  <c r="G196" i="5"/>
  <c r="F196" i="5"/>
  <c r="N193" i="5"/>
  <c r="M193" i="5"/>
  <c r="L193" i="5"/>
  <c r="K193" i="5"/>
  <c r="J193" i="5"/>
  <c r="I193" i="5"/>
  <c r="H193" i="5"/>
  <c r="G193" i="5"/>
  <c r="F193" i="5"/>
  <c r="N190" i="5"/>
  <c r="M190" i="5"/>
  <c r="L190" i="5"/>
  <c r="K190" i="5"/>
  <c r="J190" i="5"/>
  <c r="I190" i="5"/>
  <c r="H190" i="5"/>
  <c r="G190" i="5"/>
  <c r="F190" i="5"/>
  <c r="N187" i="5"/>
  <c r="M187" i="5"/>
  <c r="L187" i="5"/>
  <c r="K187" i="5"/>
  <c r="J187" i="5"/>
  <c r="I187" i="5"/>
  <c r="H187" i="5"/>
  <c r="G187" i="5"/>
  <c r="F187" i="5"/>
  <c r="N184" i="5"/>
  <c r="M184" i="5"/>
  <c r="L184" i="5"/>
  <c r="K184" i="5"/>
  <c r="J184" i="5"/>
  <c r="I184" i="5"/>
  <c r="H184" i="5"/>
  <c r="G184" i="5"/>
  <c r="F184" i="5"/>
  <c r="N181" i="5"/>
  <c r="M181" i="5"/>
  <c r="L181" i="5"/>
  <c r="K181" i="5"/>
  <c r="J181" i="5"/>
  <c r="I181" i="5"/>
  <c r="H181" i="5"/>
  <c r="G181" i="5"/>
  <c r="F181" i="5"/>
  <c r="N178" i="5"/>
  <c r="M178" i="5"/>
  <c r="L178" i="5"/>
  <c r="K178" i="5"/>
  <c r="J178" i="5"/>
  <c r="I178" i="5"/>
  <c r="H178" i="5"/>
  <c r="G178" i="5"/>
  <c r="F178" i="5"/>
  <c r="N175" i="5"/>
  <c r="M175" i="5"/>
  <c r="L175" i="5"/>
  <c r="K175" i="5"/>
  <c r="J175" i="5"/>
  <c r="I175" i="5"/>
  <c r="H175" i="5"/>
  <c r="G175" i="5"/>
  <c r="F175" i="5"/>
  <c r="N172" i="5"/>
  <c r="M172" i="5"/>
  <c r="L172" i="5"/>
  <c r="K172" i="5"/>
  <c r="J172" i="5"/>
  <c r="I172" i="5"/>
  <c r="H172" i="5"/>
  <c r="G172" i="5"/>
  <c r="F172" i="5"/>
  <c r="N169" i="5"/>
  <c r="M169" i="5"/>
  <c r="L169" i="5"/>
  <c r="K169" i="5"/>
  <c r="J169" i="5"/>
  <c r="I169" i="5"/>
  <c r="H169" i="5"/>
  <c r="G169" i="5"/>
  <c r="F169" i="5"/>
  <c r="N166" i="5"/>
  <c r="M166" i="5"/>
  <c r="L166" i="5"/>
  <c r="K166" i="5"/>
  <c r="J166" i="5"/>
  <c r="I166" i="5"/>
  <c r="H166" i="5"/>
  <c r="G166" i="5"/>
  <c r="F166" i="5"/>
  <c r="N163" i="5"/>
  <c r="M163" i="5"/>
  <c r="L163" i="5"/>
  <c r="K163" i="5"/>
  <c r="J163" i="5"/>
  <c r="I163" i="5"/>
  <c r="H163" i="5"/>
  <c r="G163" i="5"/>
  <c r="F163" i="5"/>
  <c r="N160" i="5"/>
  <c r="M160" i="5"/>
  <c r="L160" i="5"/>
  <c r="K160" i="5"/>
  <c r="J160" i="5"/>
  <c r="I160" i="5"/>
  <c r="H160" i="5"/>
  <c r="G160" i="5"/>
  <c r="F160" i="5"/>
  <c r="N157" i="5"/>
  <c r="M157" i="5"/>
  <c r="L157" i="5"/>
  <c r="K157" i="5"/>
  <c r="J157" i="5"/>
  <c r="I157" i="5"/>
  <c r="H157" i="5"/>
  <c r="G157" i="5"/>
  <c r="F157" i="5"/>
  <c r="N154" i="5"/>
  <c r="M154" i="5"/>
  <c r="L154" i="5"/>
  <c r="K154" i="5"/>
  <c r="J154" i="5"/>
  <c r="I154" i="5"/>
  <c r="H154" i="5"/>
  <c r="G154" i="5"/>
  <c r="F154" i="5"/>
  <c r="N151" i="5"/>
  <c r="M151" i="5"/>
  <c r="L151" i="5"/>
  <c r="K151" i="5"/>
  <c r="J151" i="5"/>
  <c r="I151" i="5"/>
  <c r="H151" i="5"/>
  <c r="G151" i="5"/>
  <c r="F151" i="5"/>
  <c r="N148" i="5"/>
  <c r="M148" i="5"/>
  <c r="L148" i="5"/>
  <c r="K148" i="5"/>
  <c r="J148" i="5"/>
  <c r="I148" i="5"/>
  <c r="H148" i="5"/>
  <c r="G148" i="5"/>
  <c r="F148" i="5"/>
  <c r="N145" i="5"/>
  <c r="M145" i="5"/>
  <c r="L145" i="5"/>
  <c r="K145" i="5"/>
  <c r="J145" i="5"/>
  <c r="I145" i="5"/>
  <c r="H145" i="5"/>
  <c r="G145" i="5"/>
  <c r="F145" i="5"/>
  <c r="N142" i="5"/>
  <c r="M142" i="5"/>
  <c r="L142" i="5"/>
  <c r="K142" i="5"/>
  <c r="J142" i="5"/>
  <c r="I142" i="5"/>
  <c r="H142" i="5"/>
  <c r="G142" i="5"/>
  <c r="F142" i="5"/>
  <c r="N139" i="5"/>
  <c r="M139" i="5"/>
  <c r="L139" i="5"/>
  <c r="K139" i="5"/>
  <c r="J139" i="5"/>
  <c r="I139" i="5"/>
  <c r="H139" i="5"/>
  <c r="G139" i="5"/>
  <c r="F139" i="5"/>
  <c r="N136" i="5"/>
  <c r="M136" i="5"/>
  <c r="L136" i="5"/>
  <c r="K136" i="5"/>
  <c r="J136" i="5"/>
  <c r="I136" i="5"/>
  <c r="H136" i="5"/>
  <c r="G136" i="5"/>
  <c r="F136" i="5"/>
  <c r="N133" i="5"/>
  <c r="M133" i="5"/>
  <c r="L133" i="5"/>
  <c r="K133" i="5"/>
  <c r="J133" i="5"/>
  <c r="I133" i="5"/>
  <c r="H133" i="5"/>
  <c r="G133" i="5"/>
  <c r="F133" i="5"/>
  <c r="N130" i="5"/>
  <c r="M130" i="5"/>
  <c r="L130" i="5"/>
  <c r="K130" i="5"/>
  <c r="J130" i="5"/>
  <c r="I130" i="5"/>
  <c r="H130" i="5"/>
  <c r="G130" i="5"/>
  <c r="F130" i="5"/>
  <c r="N127" i="5"/>
  <c r="M127" i="5"/>
  <c r="L127" i="5"/>
  <c r="K127" i="5"/>
  <c r="J127" i="5"/>
  <c r="I127" i="5"/>
  <c r="H127" i="5"/>
  <c r="G127" i="5"/>
  <c r="F127" i="5"/>
  <c r="N124" i="5"/>
  <c r="M124" i="5"/>
  <c r="L124" i="5"/>
  <c r="K124" i="5"/>
  <c r="J124" i="5"/>
  <c r="I124" i="5"/>
  <c r="H124" i="5"/>
  <c r="G124" i="5"/>
  <c r="F124" i="5"/>
  <c r="N121" i="5"/>
  <c r="M121" i="5"/>
  <c r="L121" i="5"/>
  <c r="K121" i="5"/>
  <c r="J121" i="5"/>
  <c r="I121" i="5"/>
  <c r="H121" i="5"/>
  <c r="G121" i="5"/>
  <c r="F121" i="5"/>
  <c r="N118" i="5"/>
  <c r="M118" i="5"/>
  <c r="L118" i="5"/>
  <c r="K118" i="5"/>
  <c r="J118" i="5"/>
  <c r="I118" i="5"/>
  <c r="H118" i="5"/>
  <c r="G118" i="5"/>
  <c r="F118" i="5"/>
  <c r="N115" i="5"/>
  <c r="M115" i="5"/>
  <c r="L115" i="5"/>
  <c r="K115" i="5"/>
  <c r="J115" i="5"/>
  <c r="I115" i="5"/>
  <c r="H115" i="5"/>
  <c r="G115" i="5"/>
  <c r="F115" i="5"/>
  <c r="N112" i="5"/>
  <c r="M112" i="5"/>
  <c r="L112" i="5"/>
  <c r="K112" i="5"/>
  <c r="J112" i="5"/>
  <c r="I112" i="5"/>
  <c r="H112" i="5"/>
  <c r="G112" i="5"/>
  <c r="F112" i="5"/>
  <c r="N109" i="5"/>
  <c r="M109" i="5"/>
  <c r="L109" i="5"/>
  <c r="K109" i="5"/>
  <c r="J109" i="5"/>
  <c r="I109" i="5"/>
  <c r="H109" i="5"/>
  <c r="G109" i="5"/>
  <c r="F109" i="5"/>
  <c r="N106" i="5"/>
  <c r="M106" i="5"/>
  <c r="L106" i="5"/>
  <c r="K106" i="5"/>
  <c r="J106" i="5"/>
  <c r="I106" i="5"/>
  <c r="H106" i="5"/>
  <c r="G106" i="5"/>
  <c r="F106" i="5"/>
  <c r="N103" i="5"/>
  <c r="M103" i="5"/>
  <c r="L103" i="5"/>
  <c r="K103" i="5"/>
  <c r="J103" i="5"/>
  <c r="I103" i="5"/>
  <c r="H103" i="5"/>
  <c r="G103" i="5"/>
  <c r="F103" i="5"/>
  <c r="N100" i="5"/>
  <c r="M100" i="5"/>
  <c r="L100" i="5"/>
  <c r="K100" i="5"/>
  <c r="J100" i="5"/>
  <c r="I100" i="5"/>
  <c r="H100" i="5"/>
  <c r="G100" i="5"/>
  <c r="F100" i="5"/>
  <c r="N97" i="5"/>
  <c r="M97" i="5"/>
  <c r="L97" i="5"/>
  <c r="K97" i="5"/>
  <c r="J97" i="5"/>
  <c r="I97" i="5"/>
  <c r="H97" i="5"/>
  <c r="G97" i="5"/>
  <c r="F97" i="5"/>
  <c r="N94" i="5"/>
  <c r="M94" i="5"/>
  <c r="L94" i="5"/>
  <c r="K94" i="5"/>
  <c r="J94" i="5"/>
  <c r="I94" i="5"/>
  <c r="H94" i="5"/>
  <c r="G94" i="5"/>
  <c r="F94" i="5"/>
  <c r="N91" i="5"/>
  <c r="M91" i="5"/>
  <c r="L91" i="5"/>
  <c r="K91" i="5"/>
  <c r="J91" i="5"/>
  <c r="I91" i="5"/>
  <c r="H91" i="5"/>
  <c r="G91" i="5"/>
  <c r="F91" i="5"/>
  <c r="N88" i="5"/>
  <c r="M88" i="5"/>
  <c r="L88" i="5"/>
  <c r="K88" i="5"/>
  <c r="J88" i="5"/>
  <c r="I88" i="5"/>
  <c r="H88" i="5"/>
  <c r="G88" i="5"/>
  <c r="F88" i="5"/>
  <c r="N85" i="5"/>
  <c r="M85" i="5"/>
  <c r="L85" i="5"/>
  <c r="K85" i="5"/>
  <c r="J85" i="5"/>
  <c r="I85" i="5"/>
  <c r="H85" i="5"/>
  <c r="G85" i="5"/>
  <c r="F85" i="5"/>
  <c r="N82" i="5"/>
  <c r="M82" i="5"/>
  <c r="L82" i="5"/>
  <c r="K82" i="5"/>
  <c r="J82" i="5"/>
  <c r="I82" i="5"/>
  <c r="H82" i="5"/>
  <c r="G82" i="5"/>
  <c r="F82" i="5"/>
  <c r="N79" i="5"/>
  <c r="M79" i="5"/>
  <c r="L79" i="5"/>
  <c r="K79" i="5"/>
  <c r="J79" i="5"/>
  <c r="I79" i="5"/>
  <c r="H79" i="5"/>
  <c r="G79" i="5"/>
  <c r="F79" i="5"/>
  <c r="N76" i="5"/>
  <c r="M76" i="5"/>
  <c r="L76" i="5"/>
  <c r="K76" i="5"/>
  <c r="J76" i="5"/>
  <c r="I76" i="5"/>
  <c r="H76" i="5"/>
  <c r="G76" i="5"/>
  <c r="F76" i="5"/>
  <c r="N73" i="5"/>
  <c r="M73" i="5"/>
  <c r="L73" i="5"/>
  <c r="K73" i="5"/>
  <c r="J73" i="5"/>
  <c r="I73" i="5"/>
  <c r="H73" i="5"/>
  <c r="G73" i="5"/>
  <c r="F73" i="5"/>
  <c r="N70" i="5"/>
  <c r="M70" i="5"/>
  <c r="L70" i="5"/>
  <c r="K70" i="5"/>
  <c r="J70" i="5"/>
  <c r="I70" i="5"/>
  <c r="H70" i="5"/>
  <c r="G70" i="5"/>
  <c r="F70" i="5"/>
  <c r="N67" i="5"/>
  <c r="M67" i="5"/>
  <c r="L67" i="5"/>
  <c r="K67" i="5"/>
  <c r="J67" i="5"/>
  <c r="I67" i="5"/>
  <c r="H67" i="5"/>
  <c r="G67" i="5"/>
  <c r="F67" i="5"/>
  <c r="N64" i="5"/>
  <c r="M64" i="5"/>
  <c r="L64" i="5"/>
  <c r="K64" i="5"/>
  <c r="J64" i="5"/>
  <c r="I64" i="5"/>
  <c r="H64" i="5"/>
  <c r="G64" i="5"/>
  <c r="F64" i="5"/>
  <c r="N61" i="5"/>
  <c r="M61" i="5"/>
  <c r="L61" i="5"/>
  <c r="K61" i="5"/>
  <c r="J61" i="5"/>
  <c r="I61" i="5"/>
  <c r="H61" i="5"/>
  <c r="G61" i="5"/>
  <c r="F61" i="5"/>
  <c r="N58" i="5"/>
  <c r="M58" i="5"/>
  <c r="L58" i="5"/>
  <c r="K58" i="5"/>
  <c r="J58" i="5"/>
  <c r="I58" i="5"/>
  <c r="H58" i="5"/>
  <c r="G58" i="5"/>
  <c r="F58" i="5"/>
  <c r="N55" i="5"/>
  <c r="M55" i="5"/>
  <c r="L55" i="5"/>
  <c r="K55" i="5"/>
  <c r="J55" i="5"/>
  <c r="I55" i="5"/>
  <c r="H55" i="5"/>
  <c r="G55" i="5"/>
  <c r="F55" i="5"/>
  <c r="N52" i="5"/>
  <c r="M52" i="5"/>
  <c r="L52" i="5"/>
  <c r="K52" i="5"/>
  <c r="J52" i="5"/>
  <c r="I52" i="5"/>
  <c r="H52" i="5"/>
  <c r="G52" i="5"/>
  <c r="F52" i="5"/>
  <c r="N49" i="5"/>
  <c r="M49" i="5"/>
  <c r="L49" i="5"/>
  <c r="K49" i="5"/>
  <c r="J49" i="5"/>
  <c r="I49" i="5"/>
  <c r="H49" i="5"/>
  <c r="G49" i="5"/>
  <c r="F49" i="5"/>
  <c r="N46" i="5"/>
  <c r="M46" i="5"/>
  <c r="L46" i="5"/>
  <c r="K46" i="5"/>
  <c r="J46" i="5"/>
  <c r="I46" i="5"/>
  <c r="H46" i="5"/>
  <c r="G46" i="5"/>
  <c r="F46" i="5"/>
  <c r="N43" i="5"/>
  <c r="M43" i="5"/>
  <c r="L43" i="5"/>
  <c r="K43" i="5"/>
  <c r="J43" i="5"/>
  <c r="I43" i="5"/>
  <c r="H43" i="5"/>
  <c r="G43" i="5"/>
  <c r="F43" i="5"/>
  <c r="N40" i="5"/>
  <c r="M40" i="5"/>
  <c r="L40" i="5"/>
  <c r="K40" i="5"/>
  <c r="J40" i="5"/>
  <c r="I40" i="5"/>
  <c r="H40" i="5"/>
  <c r="G40" i="5"/>
  <c r="F40" i="5"/>
  <c r="N37" i="5"/>
  <c r="M37" i="5"/>
  <c r="L37" i="5"/>
  <c r="K37" i="5"/>
  <c r="J37" i="5"/>
  <c r="I37" i="5"/>
  <c r="H37" i="5"/>
  <c r="G37" i="5"/>
  <c r="F37" i="5"/>
  <c r="N34" i="5"/>
  <c r="M34" i="5"/>
  <c r="L34" i="5"/>
  <c r="K34" i="5"/>
  <c r="J34" i="5"/>
  <c r="I34" i="5"/>
  <c r="H34" i="5"/>
  <c r="G34" i="5"/>
  <c r="F34" i="5"/>
  <c r="N31" i="5"/>
  <c r="M31" i="5"/>
  <c r="L31" i="5"/>
  <c r="K31" i="5"/>
  <c r="J31" i="5"/>
  <c r="I31" i="5"/>
  <c r="H31" i="5"/>
  <c r="G31" i="5"/>
  <c r="F31" i="5"/>
  <c r="N28" i="5"/>
  <c r="M28" i="5"/>
  <c r="L28" i="5"/>
  <c r="K28" i="5"/>
  <c r="J28" i="5"/>
  <c r="I28" i="5"/>
  <c r="H28" i="5"/>
  <c r="G28" i="5"/>
  <c r="F28" i="5"/>
  <c r="N25" i="5"/>
  <c r="M25" i="5"/>
  <c r="L25" i="5"/>
  <c r="K25" i="5"/>
  <c r="J25" i="5"/>
  <c r="I25" i="5"/>
  <c r="H25" i="5"/>
  <c r="G25" i="5"/>
  <c r="F25" i="5"/>
  <c r="N22" i="5"/>
  <c r="M22" i="5"/>
  <c r="L22" i="5"/>
  <c r="K22" i="5"/>
  <c r="J22" i="5"/>
  <c r="I22" i="5"/>
  <c r="H22" i="5"/>
  <c r="G22" i="5"/>
  <c r="F22" i="5"/>
  <c r="N19" i="5"/>
  <c r="M19" i="5"/>
  <c r="L19" i="5"/>
  <c r="K19" i="5"/>
  <c r="J19" i="5"/>
  <c r="I19" i="5"/>
  <c r="H19" i="5"/>
  <c r="G19" i="5"/>
  <c r="F19" i="5"/>
  <c r="N16" i="5"/>
  <c r="M16" i="5"/>
  <c r="L16" i="5"/>
  <c r="K16" i="5"/>
  <c r="J16" i="5"/>
  <c r="I16" i="5"/>
  <c r="H16" i="5"/>
  <c r="G16" i="5"/>
  <c r="F16" i="5"/>
  <c r="E232" i="4"/>
  <c r="H232" i="4" s="1"/>
  <c r="E231" i="4"/>
  <c r="H231" i="4" s="1"/>
  <c r="E230" i="4"/>
  <c r="H230" i="4" s="1"/>
  <c r="E229" i="4"/>
  <c r="H229" i="4" s="1"/>
  <c r="E228" i="4"/>
  <c r="H228" i="4" s="1"/>
  <c r="E227" i="4"/>
  <c r="H227" i="4" s="1"/>
  <c r="E226" i="4"/>
  <c r="H226" i="4" s="1"/>
  <c r="E225" i="4"/>
  <c r="H225" i="4" s="1"/>
  <c r="E224" i="4"/>
  <c r="H224" i="4" s="1"/>
  <c r="E223" i="4"/>
  <c r="H223" i="4" s="1"/>
  <c r="E222" i="4"/>
  <c r="H222" i="4" s="1"/>
  <c r="E221" i="4"/>
  <c r="H221" i="4" s="1"/>
  <c r="E220" i="4"/>
  <c r="H220" i="4" s="1"/>
  <c r="E219" i="4"/>
  <c r="H219" i="4" s="1"/>
  <c r="E218" i="4"/>
  <c r="H218" i="4" s="1"/>
  <c r="E217" i="4"/>
  <c r="H217" i="4" s="1"/>
  <c r="E216" i="4"/>
  <c r="H216" i="4" s="1"/>
  <c r="E215" i="4"/>
  <c r="H215" i="4" s="1"/>
  <c r="E214" i="4"/>
  <c r="H214" i="4" s="1"/>
  <c r="E213" i="4"/>
  <c r="H213" i="4" s="1"/>
  <c r="E212" i="4"/>
  <c r="H212" i="4" s="1"/>
  <c r="E211" i="4"/>
  <c r="H211" i="4" s="1"/>
  <c r="E210" i="4"/>
  <c r="H210" i="4" s="1"/>
  <c r="E209" i="4"/>
  <c r="H209" i="4" s="1"/>
  <c r="E208" i="4"/>
  <c r="H208" i="4" s="1"/>
  <c r="E207" i="4"/>
  <c r="H207" i="4" s="1"/>
  <c r="E206" i="4"/>
  <c r="H206" i="4" s="1"/>
  <c r="E205" i="4"/>
  <c r="H205" i="4" s="1"/>
  <c r="E204" i="4"/>
  <c r="H204" i="4" s="1"/>
  <c r="E203" i="4"/>
  <c r="H203" i="4" s="1"/>
  <c r="E202" i="4"/>
  <c r="H202" i="4" s="1"/>
  <c r="E201" i="4"/>
  <c r="H201" i="4" s="1"/>
  <c r="E200" i="4"/>
  <c r="H200" i="4" s="1"/>
  <c r="E199" i="4"/>
  <c r="H199" i="4" s="1"/>
  <c r="E198" i="4"/>
  <c r="H198" i="4" s="1"/>
  <c r="E197" i="4"/>
  <c r="H197" i="4" s="1"/>
  <c r="E196" i="4"/>
  <c r="H196" i="4" s="1"/>
  <c r="E195" i="4"/>
  <c r="H195" i="4" s="1"/>
  <c r="E194" i="4"/>
  <c r="H194" i="4" s="1"/>
  <c r="E193" i="4"/>
  <c r="H193" i="4" s="1"/>
  <c r="E192" i="4"/>
  <c r="H192" i="4" s="1"/>
  <c r="E191" i="4"/>
  <c r="H191" i="4" s="1"/>
  <c r="E190" i="4"/>
  <c r="H190" i="4" s="1"/>
  <c r="E189" i="4"/>
  <c r="H189" i="4" s="1"/>
  <c r="E188" i="4"/>
  <c r="H188" i="4" s="1"/>
  <c r="E187" i="4"/>
  <c r="H187" i="4" s="1"/>
  <c r="E186" i="4"/>
  <c r="H186" i="4" s="1"/>
  <c r="E185" i="4"/>
  <c r="H185" i="4" s="1"/>
  <c r="E184" i="4"/>
  <c r="H184" i="4" s="1"/>
  <c r="E183" i="4"/>
  <c r="H183" i="4" s="1"/>
  <c r="E182" i="4"/>
  <c r="H182" i="4" s="1"/>
  <c r="E181" i="4"/>
  <c r="H181" i="4" s="1"/>
  <c r="E180" i="4"/>
  <c r="H180" i="4" s="1"/>
  <c r="E179" i="4"/>
  <c r="H179" i="4" s="1"/>
  <c r="E178" i="4"/>
  <c r="H178" i="4" s="1"/>
  <c r="E177" i="4"/>
  <c r="H177" i="4" s="1"/>
  <c r="E176" i="4"/>
  <c r="H176" i="4" s="1"/>
  <c r="E175" i="4"/>
  <c r="H175" i="4" s="1"/>
  <c r="E174" i="4"/>
  <c r="H174" i="4" s="1"/>
  <c r="E173" i="4"/>
  <c r="H173" i="4" s="1"/>
  <c r="E172" i="4"/>
  <c r="H172" i="4" s="1"/>
  <c r="E171" i="4"/>
  <c r="H171" i="4" s="1"/>
  <c r="E170" i="4"/>
  <c r="H170" i="4" s="1"/>
  <c r="E169" i="4"/>
  <c r="H169" i="4" s="1"/>
  <c r="E168" i="4"/>
  <c r="H168" i="4" s="1"/>
  <c r="E167" i="4"/>
  <c r="H167" i="4" s="1"/>
  <c r="E166" i="4"/>
  <c r="H166" i="4" s="1"/>
  <c r="E165" i="4"/>
  <c r="H165" i="4" s="1"/>
  <c r="E164" i="4"/>
  <c r="H164" i="4" s="1"/>
  <c r="E163" i="4"/>
  <c r="H163" i="4" s="1"/>
  <c r="E162" i="4"/>
  <c r="H162" i="4" s="1"/>
  <c r="E161" i="4"/>
  <c r="H161" i="4" s="1"/>
  <c r="E160" i="4"/>
  <c r="H160" i="4" s="1"/>
  <c r="E159" i="4"/>
  <c r="H159" i="4" s="1"/>
  <c r="E158" i="4"/>
  <c r="H158" i="4" s="1"/>
  <c r="E157" i="4"/>
  <c r="H157" i="4" s="1"/>
  <c r="E156" i="4"/>
  <c r="H156" i="4" s="1"/>
  <c r="E155" i="4"/>
  <c r="H155" i="4" s="1"/>
  <c r="E154" i="4"/>
  <c r="H154" i="4" s="1"/>
  <c r="E153" i="4"/>
  <c r="H153" i="4" s="1"/>
  <c r="E152" i="4"/>
  <c r="H152" i="4" s="1"/>
  <c r="E151" i="4"/>
  <c r="H151" i="4" s="1"/>
  <c r="E150" i="4"/>
  <c r="H150" i="4" s="1"/>
  <c r="E149" i="4"/>
  <c r="H149" i="4" s="1"/>
  <c r="E148" i="4"/>
  <c r="H148" i="4" s="1"/>
  <c r="E147" i="4"/>
  <c r="H147" i="4" s="1"/>
  <c r="E146" i="4"/>
  <c r="H146" i="4" s="1"/>
  <c r="E145" i="4"/>
  <c r="H145" i="4" s="1"/>
  <c r="E144" i="4"/>
  <c r="H144" i="4" s="1"/>
  <c r="E143" i="4"/>
  <c r="H143" i="4" s="1"/>
  <c r="E142" i="4"/>
  <c r="H142" i="4" s="1"/>
  <c r="E141" i="4"/>
  <c r="H141" i="4" s="1"/>
  <c r="E140" i="4"/>
  <c r="H140" i="4" s="1"/>
  <c r="E139" i="4"/>
  <c r="H139" i="4" s="1"/>
  <c r="E138" i="4"/>
  <c r="H138" i="4" s="1"/>
  <c r="E137" i="4"/>
  <c r="H137" i="4" s="1"/>
  <c r="E136" i="4"/>
  <c r="H136" i="4" s="1"/>
  <c r="E135" i="4"/>
  <c r="H135" i="4" s="1"/>
  <c r="E134" i="4"/>
  <c r="H134" i="4" s="1"/>
  <c r="E133" i="4"/>
  <c r="H133" i="4" s="1"/>
  <c r="E132" i="4"/>
  <c r="H132" i="4" s="1"/>
  <c r="E131" i="4"/>
  <c r="H131" i="4" s="1"/>
  <c r="E130" i="4"/>
  <c r="H130" i="4" s="1"/>
  <c r="E129" i="4"/>
  <c r="H129" i="4" s="1"/>
  <c r="E128" i="4"/>
  <c r="H128" i="4" s="1"/>
  <c r="E127" i="4"/>
  <c r="H127" i="4" s="1"/>
  <c r="E126" i="4"/>
  <c r="H126" i="4" s="1"/>
  <c r="E125" i="4"/>
  <c r="H125" i="4" s="1"/>
  <c r="E124" i="4"/>
  <c r="H124" i="4" s="1"/>
  <c r="E123" i="4"/>
  <c r="H123" i="4" s="1"/>
  <c r="E122" i="4"/>
  <c r="H122" i="4" s="1"/>
  <c r="E121" i="4"/>
  <c r="H121" i="4" s="1"/>
  <c r="E120" i="4"/>
  <c r="H120" i="4" s="1"/>
  <c r="E119" i="4"/>
  <c r="H119" i="4" s="1"/>
  <c r="E118" i="4"/>
  <c r="H118" i="4" s="1"/>
  <c r="E117" i="4"/>
  <c r="H117" i="4" s="1"/>
  <c r="E116" i="4"/>
  <c r="H116" i="4" s="1"/>
  <c r="E115" i="4"/>
  <c r="H115" i="4" s="1"/>
  <c r="E114" i="4"/>
  <c r="H114" i="4" s="1"/>
  <c r="E113" i="4"/>
  <c r="H113" i="4" s="1"/>
  <c r="E112" i="4"/>
  <c r="H112" i="4" s="1"/>
  <c r="E111" i="4"/>
  <c r="H111" i="4" s="1"/>
  <c r="E110" i="4"/>
  <c r="H110" i="4" s="1"/>
  <c r="E109" i="4"/>
  <c r="H109" i="4" s="1"/>
  <c r="E108" i="4"/>
  <c r="H108" i="4" s="1"/>
  <c r="H107" i="4"/>
  <c r="E106" i="4"/>
  <c r="H106" i="4" s="1"/>
  <c r="E105" i="4"/>
  <c r="H105" i="4" s="1"/>
  <c r="E104" i="4"/>
  <c r="H104" i="4" s="1"/>
  <c r="E103" i="4"/>
  <c r="H103" i="4" s="1"/>
  <c r="E102" i="4"/>
  <c r="H102" i="4" s="1"/>
  <c r="E101" i="4"/>
  <c r="H101" i="4" s="1"/>
  <c r="E100" i="4"/>
  <c r="H100" i="4" s="1"/>
  <c r="E99" i="4"/>
  <c r="H99" i="4" s="1"/>
  <c r="E98" i="4"/>
  <c r="H98" i="4" s="1"/>
  <c r="E97" i="4"/>
  <c r="H97" i="4" s="1"/>
  <c r="E96" i="4"/>
  <c r="H96" i="4" s="1"/>
  <c r="E95" i="4"/>
  <c r="H95" i="4" s="1"/>
  <c r="E94" i="4"/>
  <c r="H94" i="4" s="1"/>
  <c r="E93" i="4"/>
  <c r="H93" i="4" s="1"/>
  <c r="E92" i="4"/>
  <c r="H92" i="4" s="1"/>
  <c r="E91" i="4"/>
  <c r="H91" i="4" s="1"/>
  <c r="E90" i="4"/>
  <c r="H90" i="4" s="1"/>
  <c r="E89" i="4"/>
  <c r="H89" i="4" s="1"/>
  <c r="E88" i="4"/>
  <c r="H88" i="4" s="1"/>
  <c r="E87" i="4"/>
  <c r="H87" i="4" s="1"/>
  <c r="E86" i="4"/>
  <c r="H86" i="4" s="1"/>
  <c r="E85" i="4"/>
  <c r="H85" i="4" s="1"/>
  <c r="E84" i="4"/>
  <c r="H84" i="4" s="1"/>
  <c r="E83" i="4"/>
  <c r="H83" i="4" s="1"/>
  <c r="E82" i="4"/>
  <c r="H82" i="4" s="1"/>
  <c r="E81" i="4"/>
  <c r="H81" i="4" s="1"/>
  <c r="E80" i="4"/>
  <c r="H80" i="4" s="1"/>
  <c r="E79" i="4"/>
  <c r="H79" i="4" s="1"/>
  <c r="E78" i="4"/>
  <c r="H78" i="4" s="1"/>
  <c r="E77" i="4"/>
  <c r="H77" i="4" s="1"/>
  <c r="E76" i="4"/>
  <c r="H76" i="4" s="1"/>
  <c r="E75" i="4"/>
  <c r="H75" i="4" s="1"/>
  <c r="E74" i="4"/>
  <c r="H74" i="4" s="1"/>
  <c r="E73" i="4"/>
  <c r="H73" i="4" s="1"/>
  <c r="E72" i="4"/>
  <c r="H72" i="4" s="1"/>
  <c r="E71" i="4"/>
  <c r="H71" i="4" s="1"/>
  <c r="E70" i="4"/>
  <c r="H70" i="4" s="1"/>
  <c r="E69" i="4"/>
  <c r="H69" i="4" s="1"/>
  <c r="E68" i="4"/>
  <c r="H68" i="4" s="1"/>
  <c r="E67" i="4"/>
  <c r="H67" i="4" s="1"/>
  <c r="E66" i="4"/>
  <c r="H66" i="4" s="1"/>
  <c r="E65" i="4"/>
  <c r="H65" i="4" s="1"/>
  <c r="E64" i="4"/>
  <c r="H64" i="4" s="1"/>
  <c r="E63" i="4"/>
  <c r="H63" i="4" s="1"/>
  <c r="E62" i="4"/>
  <c r="H62" i="4" s="1"/>
  <c r="E61" i="4"/>
  <c r="H61" i="4" s="1"/>
  <c r="E60" i="4"/>
  <c r="H60" i="4" s="1"/>
  <c r="E59" i="4"/>
  <c r="H59" i="4" s="1"/>
  <c r="E58" i="4"/>
  <c r="H58" i="4" s="1"/>
  <c r="E57" i="4"/>
  <c r="H57" i="4" s="1"/>
  <c r="E56" i="4"/>
  <c r="H56" i="4" s="1"/>
  <c r="E55" i="4"/>
  <c r="H55" i="4" s="1"/>
  <c r="E54" i="4"/>
  <c r="H54" i="4" s="1"/>
  <c r="E53" i="4"/>
  <c r="H53" i="4" s="1"/>
  <c r="E52" i="4"/>
  <c r="H52" i="4" s="1"/>
  <c r="E51" i="4"/>
  <c r="H51" i="4" s="1"/>
  <c r="E50" i="4"/>
  <c r="H50" i="4" s="1"/>
  <c r="E49" i="4"/>
  <c r="H49" i="4" s="1"/>
  <c r="E48" i="4"/>
  <c r="H48" i="4" s="1"/>
  <c r="E47" i="4"/>
  <c r="H47" i="4" s="1"/>
  <c r="E46" i="4"/>
  <c r="H46" i="4" s="1"/>
  <c r="E45" i="4"/>
  <c r="H45" i="4" s="1"/>
  <c r="E44" i="4"/>
  <c r="H44" i="4" s="1"/>
  <c r="E43" i="4"/>
  <c r="H43" i="4" s="1"/>
  <c r="E42" i="4"/>
  <c r="H42" i="4" s="1"/>
  <c r="E41" i="4"/>
  <c r="H41" i="4" s="1"/>
  <c r="E40" i="4"/>
  <c r="H40" i="4" s="1"/>
  <c r="E39" i="4"/>
  <c r="H39" i="4" s="1"/>
  <c r="E38" i="4"/>
  <c r="H38" i="4" s="1"/>
  <c r="E37" i="4"/>
  <c r="H37" i="4" s="1"/>
  <c r="E36" i="4"/>
  <c r="H36" i="4" s="1"/>
  <c r="E35" i="4"/>
  <c r="H35" i="4" s="1"/>
  <c r="E34" i="4"/>
  <c r="H34" i="4" s="1"/>
  <c r="E33" i="4"/>
  <c r="H33" i="4" s="1"/>
  <c r="E32" i="4"/>
  <c r="H32" i="4" s="1"/>
  <c r="E31" i="4"/>
  <c r="H31" i="4" s="1"/>
  <c r="E30" i="4"/>
  <c r="H30" i="4" s="1"/>
  <c r="E29" i="4"/>
  <c r="H29" i="4" s="1"/>
  <c r="E28" i="4"/>
  <c r="H28" i="4" s="1"/>
  <c r="E27" i="4"/>
  <c r="H27" i="4" s="1"/>
  <c r="E26" i="4"/>
  <c r="H26" i="4" s="1"/>
  <c r="E25" i="4"/>
  <c r="H25" i="4" s="1"/>
  <c r="E24" i="4"/>
  <c r="H24" i="4" s="1"/>
  <c r="E23" i="4"/>
  <c r="H23" i="4" s="1"/>
  <c r="E22" i="4"/>
  <c r="H22" i="4" s="1"/>
  <c r="E21" i="4"/>
  <c r="H21" i="4" s="1"/>
  <c r="E20" i="4"/>
  <c r="H20" i="4" s="1"/>
  <c r="E19" i="4"/>
  <c r="H19" i="4" s="1"/>
  <c r="E18" i="4"/>
  <c r="H18" i="4" s="1"/>
  <c r="E17" i="4"/>
  <c r="H17" i="4" s="1"/>
  <c r="E16" i="4"/>
  <c r="H16" i="4" s="1"/>
  <c r="E15" i="4"/>
  <c r="H15" i="4" s="1"/>
  <c r="E14" i="4"/>
  <c r="H14" i="4" s="1"/>
  <c r="E13" i="4"/>
  <c r="H13" i="4" s="1"/>
  <c r="E12" i="4"/>
  <c r="H12" i="4" s="1"/>
  <c r="E11" i="4"/>
  <c r="H11" i="4" s="1"/>
  <c r="E10" i="4"/>
  <c r="H10" i="4" s="1"/>
  <c r="U38" i="7" l="1"/>
  <c r="T187" i="6"/>
  <c r="T337" i="6"/>
  <c r="V229" i="6"/>
  <c r="V271" i="6"/>
  <c r="S334" i="6"/>
  <c r="S358" i="6"/>
  <c r="S382" i="6"/>
  <c r="S406" i="6"/>
  <c r="R16" i="6"/>
  <c r="R28" i="6"/>
  <c r="R40" i="6"/>
  <c r="T49" i="6"/>
  <c r="T73" i="6"/>
  <c r="T121" i="6"/>
  <c r="V172" i="6"/>
  <c r="V151" i="6"/>
  <c r="T211" i="6"/>
  <c r="O836" i="5"/>
  <c r="O920" i="5"/>
  <c r="S971" i="5"/>
  <c r="P998" i="5"/>
  <c r="P1001" i="5"/>
  <c r="S1004" i="5"/>
  <c r="P38" i="7"/>
  <c r="O161" i="5"/>
  <c r="O389" i="5"/>
  <c r="R91" i="6"/>
  <c r="R127" i="6"/>
  <c r="T148" i="6"/>
  <c r="T169" i="6"/>
  <c r="T235" i="6"/>
  <c r="V259" i="6"/>
  <c r="R271" i="6"/>
  <c r="T277" i="6"/>
  <c r="O29" i="5"/>
  <c r="S53" i="5"/>
  <c r="P56" i="5"/>
  <c r="S65" i="5"/>
  <c r="P68" i="5"/>
  <c r="S77" i="5"/>
  <c r="S106" i="6"/>
  <c r="V184" i="6"/>
  <c r="R205" i="6"/>
  <c r="R217" i="6"/>
  <c r="R295" i="6"/>
  <c r="S479" i="5"/>
  <c r="V38" i="7"/>
  <c r="P37" i="7"/>
  <c r="Q701" i="5"/>
  <c r="Q725" i="5"/>
  <c r="S731" i="5"/>
  <c r="P1031" i="5"/>
  <c r="S551" i="5"/>
  <c r="P662" i="5"/>
  <c r="Q677" i="5"/>
  <c r="S680" i="5"/>
  <c r="O101" i="5"/>
  <c r="O149" i="5"/>
  <c r="Q158" i="5"/>
  <c r="Q167" i="5"/>
  <c r="O245" i="5"/>
  <c r="Q251" i="5"/>
  <c r="R55" i="6"/>
  <c r="T70" i="6"/>
  <c r="T85" i="6"/>
  <c r="S139" i="6"/>
  <c r="T181" i="6"/>
  <c r="T223" i="6"/>
  <c r="W223" i="6" s="1"/>
  <c r="R229" i="6"/>
  <c r="S247" i="6"/>
  <c r="S283" i="6"/>
  <c r="S310" i="6"/>
  <c r="R331" i="6"/>
  <c r="S355" i="6"/>
  <c r="T361" i="6"/>
  <c r="T385" i="6"/>
  <c r="T409" i="6"/>
  <c r="T301" i="6"/>
  <c r="W301" i="6" s="1"/>
  <c r="S34" i="6"/>
  <c r="S58" i="6"/>
  <c r="S82" i="6"/>
  <c r="T109" i="6"/>
  <c r="T133" i="6"/>
  <c r="S163" i="6"/>
  <c r="T193" i="6"/>
  <c r="V205" i="6"/>
  <c r="V220" i="6"/>
  <c r="T259" i="6"/>
  <c r="S271" i="6"/>
  <c r="T349" i="6"/>
  <c r="S352" i="6"/>
  <c r="T373" i="6"/>
  <c r="T397" i="6"/>
  <c r="W397" i="6" s="1"/>
  <c r="T97" i="6"/>
  <c r="T313" i="6"/>
  <c r="T325" i="6"/>
  <c r="T61" i="6"/>
  <c r="R79" i="6"/>
  <c r="R103" i="6"/>
  <c r="T106" i="6"/>
  <c r="R115" i="6"/>
  <c r="S130" i="6"/>
  <c r="R157" i="6"/>
  <c r="T175" i="6"/>
  <c r="T199" i="6"/>
  <c r="V217" i="6"/>
  <c r="V232" i="6"/>
  <c r="T307" i="6"/>
  <c r="R319" i="6"/>
  <c r="R343" i="6"/>
  <c r="R355" i="6"/>
  <c r="R379" i="6"/>
  <c r="R403" i="6"/>
  <c r="Q41" i="5"/>
  <c r="S137" i="5"/>
  <c r="P140" i="5"/>
  <c r="O221" i="5"/>
  <c r="Q230" i="5"/>
  <c r="Q242" i="5"/>
  <c r="S293" i="5"/>
  <c r="S305" i="5"/>
  <c r="P308" i="5"/>
  <c r="S362" i="5"/>
  <c r="S386" i="5"/>
  <c r="Q395" i="5"/>
  <c r="P443" i="5"/>
  <c r="S575" i="5"/>
  <c r="S647" i="5"/>
  <c r="Q758" i="5"/>
  <c r="S914" i="5"/>
  <c r="S959" i="5"/>
  <c r="Q965" i="5"/>
  <c r="O968" i="5"/>
  <c r="P1022" i="5"/>
  <c r="O17" i="5"/>
  <c r="Q26" i="5"/>
  <c r="Q35" i="5"/>
  <c r="Q125" i="5"/>
  <c r="S209" i="5"/>
  <c r="S212" i="5"/>
  <c r="S281" i="5"/>
  <c r="S284" i="5"/>
  <c r="O413" i="5"/>
  <c r="S434" i="5"/>
  <c r="Q473" i="5"/>
  <c r="S527" i="5"/>
  <c r="Q641" i="5"/>
  <c r="S707" i="5"/>
  <c r="Q749" i="5"/>
  <c r="Q752" i="5"/>
  <c r="S902" i="5"/>
  <c r="P926" i="5"/>
  <c r="S1010" i="5"/>
  <c r="O1016" i="5"/>
  <c r="S1019" i="5"/>
  <c r="O1055" i="5"/>
  <c r="O1064" i="5"/>
  <c r="O89" i="5"/>
  <c r="Q98" i="5"/>
  <c r="Q107" i="5"/>
  <c r="Q119" i="5"/>
  <c r="Q173" i="5"/>
  <c r="Q185" i="5"/>
  <c r="Q197" i="5"/>
  <c r="Q257" i="5"/>
  <c r="O269" i="5"/>
  <c r="P416" i="5"/>
  <c r="O425" i="5"/>
  <c r="S428" i="5"/>
  <c r="Q497" i="5"/>
  <c r="P509" i="5"/>
  <c r="Q509" i="5"/>
  <c r="Q545" i="5"/>
  <c r="P581" i="5"/>
  <c r="P605" i="5"/>
  <c r="Q605" i="5"/>
  <c r="P629" i="5"/>
  <c r="Q629" i="5"/>
  <c r="S683" i="5"/>
  <c r="P689" i="5"/>
  <c r="Q737" i="5"/>
  <c r="S776" i="5"/>
  <c r="Q806" i="5"/>
  <c r="O812" i="5"/>
  <c r="Q821" i="5"/>
  <c r="Q830" i="5"/>
  <c r="Q833" i="5"/>
  <c r="P875" i="5"/>
  <c r="Q887" i="5"/>
  <c r="S1058" i="5"/>
  <c r="T13" i="6"/>
  <c r="S22" i="6"/>
  <c r="T22" i="6"/>
  <c r="V43" i="6"/>
  <c r="T58" i="6"/>
  <c r="T82" i="6"/>
  <c r="V91" i="6"/>
  <c r="S142" i="6"/>
  <c r="S154" i="6"/>
  <c r="S166" i="6"/>
  <c r="S169" i="6"/>
  <c r="T202" i="6"/>
  <c r="T205" i="6"/>
  <c r="S241" i="6"/>
  <c r="R259" i="6"/>
  <c r="V283" i="6"/>
  <c r="T289" i="6"/>
  <c r="S328" i="6"/>
  <c r="S331" i="6"/>
  <c r="U331" i="6" s="1"/>
  <c r="T355" i="6"/>
  <c r="W355" i="6" s="1"/>
  <c r="T358" i="6"/>
  <c r="T382" i="6"/>
  <c r="T406" i="6"/>
  <c r="T34" i="6"/>
  <c r="T142" i="6"/>
  <c r="S259" i="6"/>
  <c r="V19" i="6"/>
  <c r="T37" i="6"/>
  <c r="T46" i="6"/>
  <c r="T94" i="6"/>
  <c r="T130" i="6"/>
  <c r="T145" i="6"/>
  <c r="T151" i="6"/>
  <c r="R169" i="6"/>
  <c r="R181" i="6"/>
  <c r="R193" i="6"/>
  <c r="R247" i="6"/>
  <c r="T265" i="6"/>
  <c r="R283" i="6"/>
  <c r="T283" i="6"/>
  <c r="S304" i="6"/>
  <c r="S307" i="6"/>
  <c r="T310" i="6"/>
  <c r="W310" i="6" s="1"/>
  <c r="T25" i="6"/>
  <c r="T166" i="6"/>
  <c r="T178" i="6"/>
  <c r="T190" i="6"/>
  <c r="T10" i="6"/>
  <c r="V31" i="6"/>
  <c r="R67" i="6"/>
  <c r="T118" i="6"/>
  <c r="V130" i="6"/>
  <c r="S148" i="6"/>
  <c r="V169" i="6"/>
  <c r="V181" i="6"/>
  <c r="V193" i="6"/>
  <c r="V196" i="6"/>
  <c r="T214" i="6"/>
  <c r="T217" i="6"/>
  <c r="T229" i="6"/>
  <c r="V247" i="6"/>
  <c r="T253" i="6"/>
  <c r="T271" i="6"/>
  <c r="R307" i="6"/>
  <c r="T331" i="6"/>
  <c r="W331" i="6" s="1"/>
  <c r="T334" i="6"/>
  <c r="S17" i="5"/>
  <c r="Q65" i="5"/>
  <c r="Q77" i="5"/>
  <c r="S89" i="5"/>
  <c r="S92" i="5"/>
  <c r="Q110" i="5"/>
  <c r="Q122" i="5"/>
  <c r="O125" i="5"/>
  <c r="Q131" i="5"/>
  <c r="Q137" i="5"/>
  <c r="S149" i="5"/>
  <c r="P152" i="5"/>
  <c r="Q170" i="5"/>
  <c r="O173" i="5"/>
  <c r="Q179" i="5"/>
  <c r="Q191" i="5"/>
  <c r="Q203" i="5"/>
  <c r="Q209" i="5"/>
  <c r="S221" i="5"/>
  <c r="S224" i="5"/>
  <c r="S233" i="5"/>
  <c r="S236" i="5"/>
  <c r="Q254" i="5"/>
  <c r="O257" i="5"/>
  <c r="Q263" i="5"/>
  <c r="Q275" i="5"/>
  <c r="Q281" i="5"/>
  <c r="O317" i="5"/>
  <c r="P320" i="5"/>
  <c r="P332" i="5"/>
  <c r="Q335" i="5"/>
  <c r="O353" i="5"/>
  <c r="S356" i="5"/>
  <c r="O377" i="5"/>
  <c r="S380" i="5"/>
  <c r="S389" i="5"/>
  <c r="P392" i="5"/>
  <c r="S410" i="5"/>
  <c r="Q425" i="5"/>
  <c r="O452" i="5"/>
  <c r="Q467" i="5"/>
  <c r="S470" i="5"/>
  <c r="S491" i="5"/>
  <c r="S503" i="5"/>
  <c r="P533" i="5"/>
  <c r="Q533" i="5"/>
  <c r="S563" i="5"/>
  <c r="S599" i="5"/>
  <c r="S623" i="5"/>
  <c r="P674" i="5"/>
  <c r="Q767" i="5"/>
  <c r="S788" i="5"/>
  <c r="P803" i="5"/>
  <c r="P827" i="5"/>
  <c r="S962" i="5"/>
  <c r="S995" i="5"/>
  <c r="Q1037" i="5"/>
  <c r="Q1049" i="5"/>
  <c r="Q581" i="5"/>
  <c r="Q689" i="5"/>
  <c r="S20" i="5"/>
  <c r="Q38" i="5"/>
  <c r="O41" i="5"/>
  <c r="Q53" i="5"/>
  <c r="Q17" i="5"/>
  <c r="P32" i="5"/>
  <c r="Q59" i="5"/>
  <c r="P104" i="5"/>
  <c r="P116" i="5"/>
  <c r="Q134" i="5"/>
  <c r="Q143" i="5"/>
  <c r="P164" i="5"/>
  <c r="Q182" i="5"/>
  <c r="Q194" i="5"/>
  <c r="Q206" i="5"/>
  <c r="O209" i="5"/>
  <c r="Q215" i="5"/>
  <c r="Q221" i="5"/>
  <c r="Q233" i="5"/>
  <c r="S245" i="5"/>
  <c r="S248" i="5"/>
  <c r="Q266" i="5"/>
  <c r="Q278" i="5"/>
  <c r="O281" i="5"/>
  <c r="S287" i="5"/>
  <c r="Q311" i="5"/>
  <c r="Q317" i="5"/>
  <c r="Q332" i="5"/>
  <c r="Q353" i="5"/>
  <c r="Q377" i="5"/>
  <c r="O401" i="5"/>
  <c r="S404" i="5"/>
  <c r="Q419" i="5"/>
  <c r="Q434" i="5"/>
  <c r="S440" i="5"/>
  <c r="O449" i="5"/>
  <c r="Q461" i="5"/>
  <c r="S515" i="5"/>
  <c r="Q569" i="5"/>
  <c r="S587" i="5"/>
  <c r="S611" i="5"/>
  <c r="S635" i="5"/>
  <c r="P653" i="5"/>
  <c r="Q653" i="5"/>
  <c r="S671" i="5"/>
  <c r="P713" i="5"/>
  <c r="Q713" i="5"/>
  <c r="O764" i="5"/>
  <c r="S824" i="5"/>
  <c r="P893" i="5"/>
  <c r="S923" i="5"/>
  <c r="Q941" i="5"/>
  <c r="O992" i="5"/>
  <c r="S80" i="5"/>
  <c r="Q47" i="5"/>
  <c r="S29" i="5"/>
  <c r="Q50" i="5"/>
  <c r="O53" i="5"/>
  <c r="Q71" i="5"/>
  <c r="Q83" i="5"/>
  <c r="Q89" i="5"/>
  <c r="S101" i="5"/>
  <c r="S113" i="5"/>
  <c r="O137" i="5"/>
  <c r="Q149" i="5"/>
  <c r="S161" i="5"/>
  <c r="Q14" i="5"/>
  <c r="Q23" i="5"/>
  <c r="Q29" i="5"/>
  <c r="S41" i="5"/>
  <c r="P44" i="5"/>
  <c r="Q62" i="5"/>
  <c r="Q74" i="5"/>
  <c r="Q86" i="5"/>
  <c r="Q95" i="5"/>
  <c r="Q101" i="5"/>
  <c r="S104" i="5"/>
  <c r="Q113" i="5"/>
  <c r="S125" i="5"/>
  <c r="P128" i="5"/>
  <c r="Q146" i="5"/>
  <c r="Q155" i="5"/>
  <c r="Q161" i="5"/>
  <c r="S173" i="5"/>
  <c r="P176" i="5"/>
  <c r="S185" i="5"/>
  <c r="P188" i="5"/>
  <c r="S197" i="5"/>
  <c r="P200" i="5"/>
  <c r="Q218" i="5"/>
  <c r="Q227" i="5"/>
  <c r="Q239" i="5"/>
  <c r="Q245" i="5"/>
  <c r="S257" i="5"/>
  <c r="S260" i="5"/>
  <c r="S269" i="5"/>
  <c r="S272" i="5"/>
  <c r="O329" i="5"/>
  <c r="P344" i="5"/>
  <c r="P368" i="5"/>
  <c r="Q401" i="5"/>
  <c r="S413" i="5"/>
  <c r="P485" i="5"/>
  <c r="Q485" i="5"/>
  <c r="Q521" i="5"/>
  <c r="S539" i="5"/>
  <c r="P557" i="5"/>
  <c r="Q557" i="5"/>
  <c r="Q593" i="5"/>
  <c r="Q617" i="5"/>
  <c r="P665" i="5"/>
  <c r="S755" i="5"/>
  <c r="P842" i="5"/>
  <c r="P854" i="5"/>
  <c r="P866" i="5"/>
  <c r="P878" i="5"/>
  <c r="Q953" i="5"/>
  <c r="O956" i="5"/>
  <c r="P974" i="5"/>
  <c r="S116" i="5"/>
  <c r="S164" i="5"/>
  <c r="S176" i="5"/>
  <c r="S188" i="5"/>
  <c r="Q293" i="5"/>
  <c r="O305" i="5"/>
  <c r="Q323" i="5"/>
  <c r="P329" i="5"/>
  <c r="P335" i="5"/>
  <c r="S350" i="5"/>
  <c r="P359" i="5"/>
  <c r="Q359" i="5"/>
  <c r="S374" i="5"/>
  <c r="S398" i="5"/>
  <c r="Q437" i="5"/>
  <c r="S443" i="5"/>
  <c r="P479" i="5"/>
  <c r="O479" i="5"/>
  <c r="P503" i="5"/>
  <c r="O503" i="5"/>
  <c r="S518" i="5"/>
  <c r="P518" i="5"/>
  <c r="P527" i="5"/>
  <c r="O527" i="5"/>
  <c r="P551" i="5"/>
  <c r="O551" i="5"/>
  <c r="S566" i="5"/>
  <c r="P566" i="5"/>
  <c r="S590" i="5"/>
  <c r="P590" i="5"/>
  <c r="P599" i="5"/>
  <c r="O599" i="5"/>
  <c r="P623" i="5"/>
  <c r="O623" i="5"/>
  <c r="P647" i="5"/>
  <c r="O647" i="5"/>
  <c r="Q665" i="5"/>
  <c r="P719" i="5"/>
  <c r="O719" i="5"/>
  <c r="S719" i="5"/>
  <c r="S734" i="5"/>
  <c r="P734" i="5"/>
  <c r="P908" i="5"/>
  <c r="O908" i="5"/>
  <c r="Q908" i="5"/>
  <c r="Q944" i="5"/>
  <c r="S983" i="5"/>
  <c r="P983" i="5"/>
  <c r="P1013" i="5"/>
  <c r="Q1013" i="5"/>
  <c r="O65" i="5"/>
  <c r="O77" i="5"/>
  <c r="O113" i="5"/>
  <c r="O185" i="5"/>
  <c r="O197" i="5"/>
  <c r="S329" i="5"/>
  <c r="P743" i="5"/>
  <c r="O743" i="5"/>
  <c r="S743" i="5"/>
  <c r="S848" i="5"/>
  <c r="O848" i="5"/>
  <c r="S860" i="5"/>
  <c r="O860" i="5"/>
  <c r="P872" i="5"/>
  <c r="S872" i="5"/>
  <c r="O872" i="5"/>
  <c r="P884" i="5"/>
  <c r="S884" i="5"/>
  <c r="O884" i="5"/>
  <c r="P896" i="5"/>
  <c r="O896" i="5"/>
  <c r="Q896" i="5"/>
  <c r="O935" i="5"/>
  <c r="S935" i="5"/>
  <c r="P947" i="5"/>
  <c r="S947" i="5"/>
  <c r="P986" i="5"/>
  <c r="S986" i="5"/>
  <c r="Q1004" i="5"/>
  <c r="P1040" i="5"/>
  <c r="O1040" i="5"/>
  <c r="Q1040" i="5"/>
  <c r="S1067" i="5"/>
  <c r="O1067" i="5"/>
  <c r="S32" i="5"/>
  <c r="S44" i="5"/>
  <c r="Q56" i="5"/>
  <c r="S128" i="5"/>
  <c r="S140" i="5"/>
  <c r="S152" i="5"/>
  <c r="S200" i="5"/>
  <c r="P293" i="5"/>
  <c r="P296" i="5"/>
  <c r="Q305" i="5"/>
  <c r="S308" i="5"/>
  <c r="Q383" i="5"/>
  <c r="S422" i="5"/>
  <c r="Q440" i="5"/>
  <c r="S494" i="5"/>
  <c r="P494" i="5"/>
  <c r="S542" i="5"/>
  <c r="P542" i="5"/>
  <c r="P575" i="5"/>
  <c r="O575" i="5"/>
  <c r="S614" i="5"/>
  <c r="P614" i="5"/>
  <c r="S638" i="5"/>
  <c r="P638" i="5"/>
  <c r="O800" i="5"/>
  <c r="S800" i="5"/>
  <c r="P935" i="5"/>
  <c r="P944" i="5"/>
  <c r="O944" i="5"/>
  <c r="P17" i="5"/>
  <c r="P23" i="5"/>
  <c r="P29" i="5"/>
  <c r="P35" i="5"/>
  <c r="P41" i="5"/>
  <c r="P47" i="5"/>
  <c r="P53" i="5"/>
  <c r="P59" i="5"/>
  <c r="P71" i="5"/>
  <c r="P83" i="5"/>
  <c r="P95" i="5"/>
  <c r="P101" i="5"/>
  <c r="P107" i="5"/>
  <c r="P113" i="5"/>
  <c r="P119" i="5"/>
  <c r="P125" i="5"/>
  <c r="P131" i="5"/>
  <c r="P137" i="5"/>
  <c r="P143" i="5"/>
  <c r="P149" i="5"/>
  <c r="P155" i="5"/>
  <c r="P161" i="5"/>
  <c r="P167" i="5"/>
  <c r="P173" i="5"/>
  <c r="P179" i="5"/>
  <c r="P185" i="5"/>
  <c r="P191" i="5"/>
  <c r="P197" i="5"/>
  <c r="P203" i="5"/>
  <c r="P215" i="5"/>
  <c r="P227" i="5"/>
  <c r="P239" i="5"/>
  <c r="P251" i="5"/>
  <c r="P263" i="5"/>
  <c r="P275" i="5"/>
  <c r="P287" i="5"/>
  <c r="Q287" i="5"/>
  <c r="P290" i="5"/>
  <c r="Q308" i="5"/>
  <c r="Q341" i="5"/>
  <c r="S344" i="5"/>
  <c r="P353" i="5"/>
  <c r="S353" i="5"/>
  <c r="Q365" i="5"/>
  <c r="S368" i="5"/>
  <c r="S377" i="5"/>
  <c r="Q389" i="5"/>
  <c r="S392" i="5"/>
  <c r="Q407" i="5"/>
  <c r="Q413" i="5"/>
  <c r="S416" i="5"/>
  <c r="P431" i="5"/>
  <c r="Q431" i="5"/>
  <c r="O434" i="5"/>
  <c r="P437" i="5"/>
  <c r="O440" i="5"/>
  <c r="O455" i="5"/>
  <c r="Q458" i="5"/>
  <c r="O467" i="5"/>
  <c r="P497" i="5"/>
  <c r="P521" i="5"/>
  <c r="P545" i="5"/>
  <c r="P569" i="5"/>
  <c r="P593" i="5"/>
  <c r="P617" i="5"/>
  <c r="P641" i="5"/>
  <c r="P659" i="5"/>
  <c r="O659" i="5"/>
  <c r="S659" i="5"/>
  <c r="S668" i="5"/>
  <c r="P695" i="5"/>
  <c r="O695" i="5"/>
  <c r="S695" i="5"/>
  <c r="S710" i="5"/>
  <c r="P710" i="5"/>
  <c r="P737" i="5"/>
  <c r="Q770" i="5"/>
  <c r="O788" i="5"/>
  <c r="O824" i="5"/>
  <c r="O233" i="5"/>
  <c r="Q269" i="5"/>
  <c r="P341" i="5"/>
  <c r="S341" i="5"/>
  <c r="P365" i="5"/>
  <c r="S365" i="5"/>
  <c r="P20" i="5"/>
  <c r="Q20" i="5"/>
  <c r="S38" i="5"/>
  <c r="O44" i="5"/>
  <c r="S50" i="5"/>
  <c r="S56" i="5"/>
  <c r="S62" i="5"/>
  <c r="S68" i="5"/>
  <c r="S74" i="5"/>
  <c r="P80" i="5"/>
  <c r="O80" i="5"/>
  <c r="S86" i="5"/>
  <c r="P92" i="5"/>
  <c r="O92" i="5"/>
  <c r="S98" i="5"/>
  <c r="O104" i="5"/>
  <c r="S110" i="5"/>
  <c r="O116" i="5"/>
  <c r="S122" i="5"/>
  <c r="O128" i="5"/>
  <c r="S134" i="5"/>
  <c r="O140" i="5"/>
  <c r="S146" i="5"/>
  <c r="S158" i="5"/>
  <c r="S170" i="5"/>
  <c r="O176" i="5"/>
  <c r="S182" i="5"/>
  <c r="O188" i="5"/>
  <c r="S194" i="5"/>
  <c r="O200" i="5"/>
  <c r="S206" i="5"/>
  <c r="P212" i="5"/>
  <c r="O212" i="5"/>
  <c r="P224" i="5"/>
  <c r="O224" i="5"/>
  <c r="S230" i="5"/>
  <c r="P236" i="5"/>
  <c r="O236" i="5"/>
  <c r="P248" i="5"/>
  <c r="Q248" i="5"/>
  <c r="P260" i="5"/>
  <c r="Q260" i="5"/>
  <c r="P272" i="5"/>
  <c r="Q272" i="5"/>
  <c r="P284" i="5"/>
  <c r="Q284" i="5"/>
  <c r="Q299" i="5"/>
  <c r="P305" i="5"/>
  <c r="R305" i="5" s="1"/>
  <c r="Q329" i="5"/>
  <c r="S332" i="5"/>
  <c r="S338" i="5"/>
  <c r="O341" i="5"/>
  <c r="P347" i="5"/>
  <c r="Q347" i="5"/>
  <c r="P356" i="5"/>
  <c r="O365" i="5"/>
  <c r="Q371" i="5"/>
  <c r="P380" i="5"/>
  <c r="S401" i="5"/>
  <c r="P404" i="5"/>
  <c r="S425" i="5"/>
  <c r="P428" i="5"/>
  <c r="Q446" i="5"/>
  <c r="S449" i="5"/>
  <c r="S482" i="5"/>
  <c r="P482" i="5"/>
  <c r="P491" i="5"/>
  <c r="O491" i="5"/>
  <c r="S506" i="5"/>
  <c r="P506" i="5"/>
  <c r="P515" i="5"/>
  <c r="O515" i="5"/>
  <c r="S530" i="5"/>
  <c r="P530" i="5"/>
  <c r="P539" i="5"/>
  <c r="O539" i="5"/>
  <c r="S554" i="5"/>
  <c r="P554" i="5"/>
  <c r="P563" i="5"/>
  <c r="O563" i="5"/>
  <c r="O578" i="5"/>
  <c r="P578" i="5"/>
  <c r="P587" i="5"/>
  <c r="O587" i="5"/>
  <c r="S602" i="5"/>
  <c r="P602" i="5"/>
  <c r="P611" i="5"/>
  <c r="O611" i="5"/>
  <c r="S626" i="5"/>
  <c r="P626" i="5"/>
  <c r="P635" i="5"/>
  <c r="O635" i="5"/>
  <c r="S650" i="5"/>
  <c r="P650" i="5"/>
  <c r="S686" i="5"/>
  <c r="P686" i="5"/>
  <c r="S764" i="5"/>
  <c r="Q782" i="5"/>
  <c r="Q794" i="5"/>
  <c r="Q344" i="5"/>
  <c r="Q356" i="5"/>
  <c r="Q368" i="5"/>
  <c r="Q380" i="5"/>
  <c r="Q392" i="5"/>
  <c r="Q404" i="5"/>
  <c r="Q416" i="5"/>
  <c r="Q428" i="5"/>
  <c r="Q443" i="5"/>
  <c r="P467" i="5"/>
  <c r="P470" i="5"/>
  <c r="O482" i="5"/>
  <c r="S488" i="5"/>
  <c r="O494" i="5"/>
  <c r="S500" i="5"/>
  <c r="O506" i="5"/>
  <c r="S512" i="5"/>
  <c r="O518" i="5"/>
  <c r="S524" i="5"/>
  <c r="O530" i="5"/>
  <c r="S536" i="5"/>
  <c r="S548" i="5"/>
  <c r="S560" i="5"/>
  <c r="S572" i="5"/>
  <c r="Q578" i="5"/>
  <c r="S584" i="5"/>
  <c r="S596" i="5"/>
  <c r="S608" i="5"/>
  <c r="S620" i="5"/>
  <c r="S632" i="5"/>
  <c r="S644" i="5"/>
  <c r="S656" i="5"/>
  <c r="S674" i="5"/>
  <c r="P683" i="5"/>
  <c r="O683" i="5"/>
  <c r="S698" i="5"/>
  <c r="P698" i="5"/>
  <c r="P707" i="5"/>
  <c r="O707" i="5"/>
  <c r="S722" i="5"/>
  <c r="P722" i="5"/>
  <c r="P731" i="5"/>
  <c r="O731" i="5"/>
  <c r="S746" i="5"/>
  <c r="P746" i="5"/>
  <c r="Q755" i="5"/>
  <c r="Q842" i="5"/>
  <c r="Q854" i="5"/>
  <c r="Q866" i="5"/>
  <c r="Q878" i="5"/>
  <c r="P890" i="5"/>
  <c r="O890" i="5"/>
  <c r="Q890" i="5"/>
  <c r="P917" i="5"/>
  <c r="Q917" i="5"/>
  <c r="S1007" i="5"/>
  <c r="P1007" i="5"/>
  <c r="O1034" i="5"/>
  <c r="S1034" i="5"/>
  <c r="Q1034" i="5"/>
  <c r="S1046" i="5"/>
  <c r="P1046" i="5"/>
  <c r="Q1046" i="5"/>
  <c r="P1061" i="5"/>
  <c r="Q1061" i="5"/>
  <c r="P371" i="5"/>
  <c r="P377" i="5"/>
  <c r="P383" i="5"/>
  <c r="P389" i="5"/>
  <c r="P395" i="5"/>
  <c r="P401" i="5"/>
  <c r="P407" i="5"/>
  <c r="P413" i="5"/>
  <c r="P419" i="5"/>
  <c r="P425" i="5"/>
  <c r="P434" i="5"/>
  <c r="P440" i="5"/>
  <c r="P446" i="5"/>
  <c r="Q479" i="5"/>
  <c r="Q488" i="5"/>
  <c r="Q491" i="5"/>
  <c r="Q500" i="5"/>
  <c r="Q503" i="5"/>
  <c r="Q512" i="5"/>
  <c r="Q515" i="5"/>
  <c r="Q524" i="5"/>
  <c r="Q527" i="5"/>
  <c r="Q536" i="5"/>
  <c r="Q539" i="5"/>
  <c r="Q548" i="5"/>
  <c r="Q551" i="5"/>
  <c r="Q560" i="5"/>
  <c r="Q563" i="5"/>
  <c r="Q572" i="5"/>
  <c r="Q575" i="5"/>
  <c r="S578" i="5"/>
  <c r="Q584" i="5"/>
  <c r="Q587" i="5"/>
  <c r="Q596" i="5"/>
  <c r="Q599" i="5"/>
  <c r="Q608" i="5"/>
  <c r="Q611" i="5"/>
  <c r="Q620" i="5"/>
  <c r="Q623" i="5"/>
  <c r="Q632" i="5"/>
  <c r="Q635" i="5"/>
  <c r="Q644" i="5"/>
  <c r="Q647" i="5"/>
  <c r="S662" i="5"/>
  <c r="P671" i="5"/>
  <c r="O671" i="5"/>
  <c r="P677" i="5"/>
  <c r="P701" i="5"/>
  <c r="P725" i="5"/>
  <c r="P749" i="5"/>
  <c r="S767" i="5"/>
  <c r="O776" i="5"/>
  <c r="P779" i="5"/>
  <c r="Q803" i="5"/>
  <c r="Q851" i="5"/>
  <c r="P851" i="5"/>
  <c r="Q863" i="5"/>
  <c r="P863" i="5"/>
  <c r="S899" i="5"/>
  <c r="P899" i="5"/>
  <c r="P902" i="5"/>
  <c r="S911" i="5"/>
  <c r="P911" i="5"/>
  <c r="O938" i="5"/>
  <c r="S938" i="5"/>
  <c r="Q938" i="5"/>
  <c r="S950" i="5"/>
  <c r="P950" i="5"/>
  <c r="Q950" i="5"/>
  <c r="P959" i="5"/>
  <c r="Q989" i="5"/>
  <c r="O1031" i="5"/>
  <c r="S1031" i="5"/>
  <c r="P1043" i="5"/>
  <c r="S1043" i="5"/>
  <c r="Q1055" i="5"/>
  <c r="S1055" i="5"/>
  <c r="P1055" i="5"/>
  <c r="P845" i="5"/>
  <c r="Q848" i="5"/>
  <c r="S851" i="5"/>
  <c r="P857" i="5"/>
  <c r="Q860" i="5"/>
  <c r="S863" i="5"/>
  <c r="P869" i="5"/>
  <c r="Q872" i="5"/>
  <c r="S875" i="5"/>
  <c r="P881" i="5"/>
  <c r="Q884" i="5"/>
  <c r="Q905" i="5"/>
  <c r="O911" i="5"/>
  <c r="O914" i="5"/>
  <c r="Q914" i="5"/>
  <c r="P920" i="5"/>
  <c r="R920" i="5" s="1"/>
  <c r="Q920" i="5"/>
  <c r="P923" i="5"/>
  <c r="S926" i="5"/>
  <c r="Q926" i="5"/>
  <c r="Q929" i="5"/>
  <c r="O932" i="5"/>
  <c r="P962" i="5"/>
  <c r="P977" i="5"/>
  <c r="S980" i="5"/>
  <c r="Q980" i="5"/>
  <c r="P989" i="5"/>
  <c r="O1007" i="5"/>
  <c r="O1010" i="5"/>
  <c r="Q1010" i="5"/>
  <c r="P1016" i="5"/>
  <c r="R1016" i="5" s="1"/>
  <c r="Q1016" i="5"/>
  <c r="P1019" i="5"/>
  <c r="S1022" i="5"/>
  <c r="Q1022" i="5"/>
  <c r="Q1025" i="5"/>
  <c r="O1028" i="5"/>
  <c r="O1052" i="5"/>
  <c r="P1064" i="5"/>
  <c r="Q1067" i="5"/>
  <c r="S692" i="5"/>
  <c r="S704" i="5"/>
  <c r="S716" i="5"/>
  <c r="S728" i="5"/>
  <c r="S740" i="5"/>
  <c r="Q785" i="5"/>
  <c r="Q800" i="5"/>
  <c r="S812" i="5"/>
  <c r="Q818" i="5"/>
  <c r="Q827" i="5"/>
  <c r="Q845" i="5"/>
  <c r="Q857" i="5"/>
  <c r="Q869" i="5"/>
  <c r="Q881" i="5"/>
  <c r="P938" i="5"/>
  <c r="P953" i="5"/>
  <c r="S956" i="5"/>
  <c r="Q956" i="5"/>
  <c r="P965" i="5"/>
  <c r="O983" i="5"/>
  <c r="O986" i="5"/>
  <c r="Q986" i="5"/>
  <c r="P992" i="5"/>
  <c r="Q992" i="5"/>
  <c r="P995" i="5"/>
  <c r="S998" i="5"/>
  <c r="Q998" i="5"/>
  <c r="Q1001" i="5"/>
  <c r="O1004" i="5"/>
  <c r="P1034" i="5"/>
  <c r="Q656" i="5"/>
  <c r="Q659" i="5"/>
  <c r="Q668" i="5"/>
  <c r="Q671" i="5"/>
  <c r="Q680" i="5"/>
  <c r="Q683" i="5"/>
  <c r="Q692" i="5"/>
  <c r="Q695" i="5"/>
  <c r="Q704" i="5"/>
  <c r="Q707" i="5"/>
  <c r="Q716" i="5"/>
  <c r="Q719" i="5"/>
  <c r="Q728" i="5"/>
  <c r="Q731" i="5"/>
  <c r="Q740" i="5"/>
  <c r="Q743" i="5"/>
  <c r="Q761" i="5"/>
  <c r="Q773" i="5"/>
  <c r="Q797" i="5"/>
  <c r="Q809" i="5"/>
  <c r="P821" i="5"/>
  <c r="Q824" i="5"/>
  <c r="S836" i="5"/>
  <c r="Q875" i="5"/>
  <c r="P887" i="5"/>
  <c r="P914" i="5"/>
  <c r="P929" i="5"/>
  <c r="S932" i="5"/>
  <c r="Q932" i="5"/>
  <c r="P941" i="5"/>
  <c r="O959" i="5"/>
  <c r="O962" i="5"/>
  <c r="Q962" i="5"/>
  <c r="P968" i="5"/>
  <c r="Q968" i="5"/>
  <c r="P971" i="5"/>
  <c r="S974" i="5"/>
  <c r="Q974" i="5"/>
  <c r="Q977" i="5"/>
  <c r="O980" i="5"/>
  <c r="P1010" i="5"/>
  <c r="P1025" i="5"/>
  <c r="S1028" i="5"/>
  <c r="Q1028" i="5"/>
  <c r="P1037" i="5"/>
  <c r="P1049" i="5"/>
  <c r="S1052" i="5"/>
  <c r="P1058" i="5"/>
  <c r="O38" i="7"/>
  <c r="O37" i="7"/>
  <c r="U37" i="7"/>
  <c r="V10" i="6"/>
  <c r="R10" i="6"/>
  <c r="T16" i="6"/>
  <c r="S16" i="6"/>
  <c r="R19" i="6"/>
  <c r="T28" i="6"/>
  <c r="S28" i="6"/>
  <c r="R31" i="6"/>
  <c r="T40" i="6"/>
  <c r="S40" i="6"/>
  <c r="V46" i="6"/>
  <c r="R46" i="6"/>
  <c r="S61" i="6"/>
  <c r="V61" i="6"/>
  <c r="R61" i="6"/>
  <c r="V70" i="6"/>
  <c r="S85" i="6"/>
  <c r="V85" i="6"/>
  <c r="R85" i="6"/>
  <c r="V118" i="6"/>
  <c r="S136" i="6"/>
  <c r="R136" i="6"/>
  <c r="S157" i="6"/>
  <c r="V157" i="6"/>
  <c r="S160" i="6"/>
  <c r="R160" i="6"/>
  <c r="T163" i="6"/>
  <c r="S208" i="6"/>
  <c r="R208" i="6"/>
  <c r="T256" i="6"/>
  <c r="S256" i="6"/>
  <c r="V256" i="6"/>
  <c r="R256" i="6"/>
  <c r="V262" i="6"/>
  <c r="R262" i="6"/>
  <c r="S262" i="6"/>
  <c r="T262" i="6"/>
  <c r="S25" i="6"/>
  <c r="V25" i="6"/>
  <c r="R25" i="6"/>
  <c r="S37" i="6"/>
  <c r="V37" i="6"/>
  <c r="R37" i="6"/>
  <c r="T64" i="6"/>
  <c r="S64" i="6"/>
  <c r="V64" i="6"/>
  <c r="R64" i="6"/>
  <c r="T88" i="6"/>
  <c r="S88" i="6"/>
  <c r="V88" i="6"/>
  <c r="R88" i="6"/>
  <c r="T115" i="6"/>
  <c r="S115" i="6"/>
  <c r="U115" i="6" s="1"/>
  <c r="S196" i="6"/>
  <c r="R196" i="6"/>
  <c r="T238" i="6"/>
  <c r="T274" i="6"/>
  <c r="T316" i="6"/>
  <c r="V316" i="6"/>
  <c r="R316" i="6"/>
  <c r="T412" i="6"/>
  <c r="S412" i="6"/>
  <c r="V412" i="6"/>
  <c r="R412" i="6"/>
  <c r="V94" i="6"/>
  <c r="V115" i="6"/>
  <c r="S133" i="6"/>
  <c r="V133" i="6"/>
  <c r="R133" i="6"/>
  <c r="R139" i="6"/>
  <c r="V139" i="6"/>
  <c r="T139" i="6"/>
  <c r="T157" i="6"/>
  <c r="R163" i="6"/>
  <c r="V163" i="6"/>
  <c r="S10" i="6"/>
  <c r="S19" i="6"/>
  <c r="S31" i="6"/>
  <c r="S43" i="6"/>
  <c r="S46" i="6"/>
  <c r="T52" i="6"/>
  <c r="S52" i="6"/>
  <c r="V52" i="6"/>
  <c r="R52" i="6"/>
  <c r="T55" i="6"/>
  <c r="S55" i="6"/>
  <c r="T76" i="6"/>
  <c r="S76" i="6"/>
  <c r="V76" i="6"/>
  <c r="R76" i="6"/>
  <c r="T79" i="6"/>
  <c r="S79" i="6"/>
  <c r="T100" i="6"/>
  <c r="S100" i="6"/>
  <c r="V100" i="6"/>
  <c r="R100" i="6"/>
  <c r="T103" i="6"/>
  <c r="S103" i="6"/>
  <c r="T124" i="6"/>
  <c r="S124" i="6"/>
  <c r="V124" i="6"/>
  <c r="R124" i="6"/>
  <c r="T127" i="6"/>
  <c r="S127" i="6"/>
  <c r="U127" i="6" s="1"/>
  <c r="V136" i="6"/>
  <c r="T154" i="6"/>
  <c r="V160" i="6"/>
  <c r="S172" i="6"/>
  <c r="R172" i="6"/>
  <c r="V208" i="6"/>
  <c r="S220" i="6"/>
  <c r="R220" i="6"/>
  <c r="V250" i="6"/>
  <c r="R250" i="6"/>
  <c r="S250" i="6"/>
  <c r="T250" i="6"/>
  <c r="T292" i="6"/>
  <c r="V292" i="6"/>
  <c r="R292" i="6"/>
  <c r="T391" i="6"/>
  <c r="S391" i="6"/>
  <c r="V391" i="6"/>
  <c r="R391" i="6"/>
  <c r="S13" i="6"/>
  <c r="V13" i="6"/>
  <c r="R13" i="6"/>
  <c r="T67" i="6"/>
  <c r="S67" i="6"/>
  <c r="U67" i="6" s="1"/>
  <c r="T91" i="6"/>
  <c r="S91" i="6"/>
  <c r="T112" i="6"/>
  <c r="S112" i="6"/>
  <c r="V112" i="6"/>
  <c r="R112" i="6"/>
  <c r="S238" i="6"/>
  <c r="V238" i="6"/>
  <c r="R238" i="6"/>
  <c r="T268" i="6"/>
  <c r="V268" i="6"/>
  <c r="R268" i="6"/>
  <c r="V274" i="6"/>
  <c r="R274" i="6"/>
  <c r="S274" i="6"/>
  <c r="V22" i="6"/>
  <c r="R22" i="6"/>
  <c r="V34" i="6"/>
  <c r="R34" i="6"/>
  <c r="R43" i="6"/>
  <c r="V67" i="6"/>
  <c r="S109" i="6"/>
  <c r="V109" i="6"/>
  <c r="R109" i="6"/>
  <c r="V16" i="6"/>
  <c r="T19" i="6"/>
  <c r="V28" i="6"/>
  <c r="T31" i="6"/>
  <c r="V40" i="6"/>
  <c r="T43" i="6"/>
  <c r="S49" i="6"/>
  <c r="V49" i="6"/>
  <c r="R49" i="6"/>
  <c r="V55" i="6"/>
  <c r="V58" i="6"/>
  <c r="S70" i="6"/>
  <c r="S73" i="6"/>
  <c r="V73" i="6"/>
  <c r="R73" i="6"/>
  <c r="V79" i="6"/>
  <c r="V82" i="6"/>
  <c r="S94" i="6"/>
  <c r="S97" i="6"/>
  <c r="V97" i="6"/>
  <c r="R97" i="6"/>
  <c r="V103" i="6"/>
  <c r="V106" i="6"/>
  <c r="S118" i="6"/>
  <c r="S121" i="6"/>
  <c r="V121" i="6"/>
  <c r="R121" i="6"/>
  <c r="V127" i="6"/>
  <c r="R145" i="6"/>
  <c r="V145" i="6"/>
  <c r="S151" i="6"/>
  <c r="R151" i="6"/>
  <c r="S184" i="6"/>
  <c r="R184" i="6"/>
  <c r="S232" i="6"/>
  <c r="R232" i="6"/>
  <c r="T280" i="6"/>
  <c r="V280" i="6"/>
  <c r="R280" i="6"/>
  <c r="V286" i="6"/>
  <c r="R286" i="6"/>
  <c r="S286" i="6"/>
  <c r="T286" i="6"/>
  <c r="T370" i="6"/>
  <c r="S370" i="6"/>
  <c r="V142" i="6"/>
  <c r="R142" i="6"/>
  <c r="V166" i="6"/>
  <c r="R166" i="6"/>
  <c r="S178" i="6"/>
  <c r="V178" i="6"/>
  <c r="R178" i="6"/>
  <c r="S181" i="6"/>
  <c r="U181" i="6" s="1"/>
  <c r="S190" i="6"/>
  <c r="V190" i="6"/>
  <c r="R190" i="6"/>
  <c r="S193" i="6"/>
  <c r="S202" i="6"/>
  <c r="V202" i="6"/>
  <c r="R202" i="6"/>
  <c r="S205" i="6"/>
  <c r="S214" i="6"/>
  <c r="V214" i="6"/>
  <c r="R214" i="6"/>
  <c r="S217" i="6"/>
  <c r="S226" i="6"/>
  <c r="V226" i="6"/>
  <c r="R226" i="6"/>
  <c r="S229" i="6"/>
  <c r="U229" i="6" s="1"/>
  <c r="S244" i="6"/>
  <c r="V244" i="6"/>
  <c r="T346" i="6"/>
  <c r="W346" i="6" s="1"/>
  <c r="S346" i="6"/>
  <c r="T367" i="6"/>
  <c r="S367" i="6"/>
  <c r="V367" i="6"/>
  <c r="T388" i="6"/>
  <c r="S388" i="6"/>
  <c r="V388" i="6"/>
  <c r="R388" i="6"/>
  <c r="S145" i="6"/>
  <c r="V148" i="6"/>
  <c r="V175" i="6"/>
  <c r="R175" i="6"/>
  <c r="V187" i="6"/>
  <c r="R187" i="6"/>
  <c r="V199" i="6"/>
  <c r="R199" i="6"/>
  <c r="V211" i="6"/>
  <c r="R211" i="6"/>
  <c r="V223" i="6"/>
  <c r="R223" i="6"/>
  <c r="V235" i="6"/>
  <c r="R235" i="6"/>
  <c r="T298" i="6"/>
  <c r="S298" i="6"/>
  <c r="T322" i="6"/>
  <c r="S322" i="6"/>
  <c r="S343" i="6"/>
  <c r="V343" i="6"/>
  <c r="T364" i="6"/>
  <c r="W364" i="6" s="1"/>
  <c r="V364" i="6"/>
  <c r="R364" i="6"/>
  <c r="R367" i="6"/>
  <c r="R58" i="6"/>
  <c r="R70" i="6"/>
  <c r="R82" i="6"/>
  <c r="R94" i="6"/>
  <c r="R106" i="6"/>
  <c r="R118" i="6"/>
  <c r="R130" i="6"/>
  <c r="T136" i="6"/>
  <c r="R148" i="6"/>
  <c r="V154" i="6"/>
  <c r="R154" i="6"/>
  <c r="U154" i="6" s="1"/>
  <c r="T160" i="6"/>
  <c r="T172" i="6"/>
  <c r="S175" i="6"/>
  <c r="T184" i="6"/>
  <c r="S187" i="6"/>
  <c r="T196" i="6"/>
  <c r="S199" i="6"/>
  <c r="T208" i="6"/>
  <c r="S211" i="6"/>
  <c r="T220" i="6"/>
  <c r="S223" i="6"/>
  <c r="T226" i="6"/>
  <c r="T232" i="6"/>
  <c r="S235" i="6"/>
  <c r="T241" i="6"/>
  <c r="V241" i="6"/>
  <c r="R241" i="6"/>
  <c r="R244" i="6"/>
  <c r="S295" i="6"/>
  <c r="V295" i="6"/>
  <c r="S319" i="6"/>
  <c r="V319" i="6"/>
  <c r="T340" i="6"/>
  <c r="W340" i="6" s="1"/>
  <c r="V340" i="6"/>
  <c r="R340" i="6"/>
  <c r="T394" i="6"/>
  <c r="S394" i="6"/>
  <c r="V298" i="6"/>
  <c r="S313" i="6"/>
  <c r="V313" i="6"/>
  <c r="R313" i="6"/>
  <c r="V322" i="6"/>
  <c r="S337" i="6"/>
  <c r="V337" i="6"/>
  <c r="R337" i="6"/>
  <c r="V346" i="6"/>
  <c r="S361" i="6"/>
  <c r="V361" i="6"/>
  <c r="R361" i="6"/>
  <c r="V370" i="6"/>
  <c r="S385" i="6"/>
  <c r="V385" i="6"/>
  <c r="R385" i="6"/>
  <c r="V394" i="6"/>
  <c r="S409" i="6"/>
  <c r="V409" i="6"/>
  <c r="R409" i="6"/>
  <c r="T247" i="6"/>
  <c r="T304" i="6"/>
  <c r="V304" i="6"/>
  <c r="R304" i="6"/>
  <c r="T328" i="6"/>
  <c r="V328" i="6"/>
  <c r="R328" i="6"/>
  <c r="T352" i="6"/>
  <c r="V352" i="6"/>
  <c r="R352" i="6"/>
  <c r="T376" i="6"/>
  <c r="W376" i="6" s="1"/>
  <c r="S376" i="6"/>
  <c r="V376" i="6"/>
  <c r="R376" i="6"/>
  <c r="T379" i="6"/>
  <c r="S379" i="6"/>
  <c r="T400" i="6"/>
  <c r="S400" i="6"/>
  <c r="V400" i="6"/>
  <c r="R400" i="6"/>
  <c r="T403" i="6"/>
  <c r="S403" i="6"/>
  <c r="S253" i="6"/>
  <c r="V253" i="6"/>
  <c r="R253" i="6"/>
  <c r="S265" i="6"/>
  <c r="V265" i="6"/>
  <c r="R265" i="6"/>
  <c r="S268" i="6"/>
  <c r="S277" i="6"/>
  <c r="V277" i="6"/>
  <c r="R277" i="6"/>
  <c r="S280" i="6"/>
  <c r="S289" i="6"/>
  <c r="V289" i="6"/>
  <c r="R289" i="6"/>
  <c r="S292" i="6"/>
  <c r="T295" i="6"/>
  <c r="S301" i="6"/>
  <c r="V301" i="6"/>
  <c r="R301" i="6"/>
  <c r="V307" i="6"/>
  <c r="V310" i="6"/>
  <c r="S316" i="6"/>
  <c r="T319" i="6"/>
  <c r="W319" i="6" s="1"/>
  <c r="S325" i="6"/>
  <c r="V325" i="6"/>
  <c r="R325" i="6"/>
  <c r="V331" i="6"/>
  <c r="V334" i="6"/>
  <c r="S340" i="6"/>
  <c r="T343" i="6"/>
  <c r="S349" i="6"/>
  <c r="V349" i="6"/>
  <c r="R349" i="6"/>
  <c r="V355" i="6"/>
  <c r="V358" i="6"/>
  <c r="S364" i="6"/>
  <c r="S373" i="6"/>
  <c r="V373" i="6"/>
  <c r="R373" i="6"/>
  <c r="V379" i="6"/>
  <c r="V382" i="6"/>
  <c r="S397" i="6"/>
  <c r="V397" i="6"/>
  <c r="R397" i="6"/>
  <c r="V403" i="6"/>
  <c r="V406" i="6"/>
  <c r="R298" i="6"/>
  <c r="R310" i="6"/>
  <c r="U310" i="6" s="1"/>
  <c r="R322" i="6"/>
  <c r="R334" i="6"/>
  <c r="R346" i="6"/>
  <c r="R358" i="6"/>
  <c r="R370" i="6"/>
  <c r="R382" i="6"/>
  <c r="R394" i="6"/>
  <c r="R406" i="6"/>
  <c r="U406" i="6" s="1"/>
  <c r="P299" i="5"/>
  <c r="S299" i="5"/>
  <c r="P323" i="5"/>
  <c r="S323" i="5"/>
  <c r="O323" i="5"/>
  <c r="O14" i="5"/>
  <c r="S14" i="5"/>
  <c r="O26" i="5"/>
  <c r="S26" i="5"/>
  <c r="Q32" i="5"/>
  <c r="O38" i="5"/>
  <c r="Q44" i="5"/>
  <c r="O50" i="5"/>
  <c r="O62" i="5"/>
  <c r="P65" i="5"/>
  <c r="Q68" i="5"/>
  <c r="O74" i="5"/>
  <c r="P77" i="5"/>
  <c r="Q80" i="5"/>
  <c r="O86" i="5"/>
  <c r="P89" i="5"/>
  <c r="Q92" i="5"/>
  <c r="O98" i="5"/>
  <c r="Q104" i="5"/>
  <c r="O110" i="5"/>
  <c r="Q116" i="5"/>
  <c r="O122" i="5"/>
  <c r="Q128" i="5"/>
  <c r="O134" i="5"/>
  <c r="Q140" i="5"/>
  <c r="O146" i="5"/>
  <c r="Q152" i="5"/>
  <c r="O158" i="5"/>
  <c r="Q164" i="5"/>
  <c r="O170" i="5"/>
  <c r="Q176" i="5"/>
  <c r="O182" i="5"/>
  <c r="Q188" i="5"/>
  <c r="O194" i="5"/>
  <c r="Q200" i="5"/>
  <c r="O206" i="5"/>
  <c r="P209" i="5"/>
  <c r="Q212" i="5"/>
  <c r="O218" i="5"/>
  <c r="S218" i="5"/>
  <c r="P221" i="5"/>
  <c r="Q224" i="5"/>
  <c r="O230" i="5"/>
  <c r="P233" i="5"/>
  <c r="Q236" i="5"/>
  <c r="O242" i="5"/>
  <c r="S242" i="5"/>
  <c r="P245" i="5"/>
  <c r="O254" i="5"/>
  <c r="S254" i="5"/>
  <c r="P257" i="5"/>
  <c r="O266" i="5"/>
  <c r="S266" i="5"/>
  <c r="P269" i="5"/>
  <c r="O278" i="5"/>
  <c r="S278" i="5"/>
  <c r="P281" i="5"/>
  <c r="S296" i="5"/>
  <c r="S314" i="5"/>
  <c r="O314" i="5"/>
  <c r="Q314" i="5"/>
  <c r="P314" i="5"/>
  <c r="P14" i="5"/>
  <c r="O23" i="5"/>
  <c r="S23" i="5"/>
  <c r="P26" i="5"/>
  <c r="O35" i="5"/>
  <c r="S35" i="5"/>
  <c r="P38" i="5"/>
  <c r="O47" i="5"/>
  <c r="S47" i="5"/>
  <c r="P50" i="5"/>
  <c r="O59" i="5"/>
  <c r="S59" i="5"/>
  <c r="P62" i="5"/>
  <c r="O71" i="5"/>
  <c r="R71" i="5" s="1"/>
  <c r="S71" i="5"/>
  <c r="P74" i="5"/>
  <c r="O83" i="5"/>
  <c r="S83" i="5"/>
  <c r="P86" i="5"/>
  <c r="O95" i="5"/>
  <c r="S95" i="5"/>
  <c r="P98" i="5"/>
  <c r="O107" i="5"/>
  <c r="S107" i="5"/>
  <c r="P110" i="5"/>
  <c r="O119" i="5"/>
  <c r="S119" i="5"/>
  <c r="P122" i="5"/>
  <c r="O131" i="5"/>
  <c r="S131" i="5"/>
  <c r="P134" i="5"/>
  <c r="O143" i="5"/>
  <c r="S143" i="5"/>
  <c r="P146" i="5"/>
  <c r="O155" i="5"/>
  <c r="S155" i="5"/>
  <c r="P158" i="5"/>
  <c r="O167" i="5"/>
  <c r="S167" i="5"/>
  <c r="P170" i="5"/>
  <c r="O179" i="5"/>
  <c r="S179" i="5"/>
  <c r="P182" i="5"/>
  <c r="O191" i="5"/>
  <c r="S191" i="5"/>
  <c r="P194" i="5"/>
  <c r="O203" i="5"/>
  <c r="S203" i="5"/>
  <c r="P206" i="5"/>
  <c r="O215" i="5"/>
  <c r="S215" i="5"/>
  <c r="P218" i="5"/>
  <c r="O227" i="5"/>
  <c r="S227" i="5"/>
  <c r="P230" i="5"/>
  <c r="O239" i="5"/>
  <c r="S239" i="5"/>
  <c r="P242" i="5"/>
  <c r="O251" i="5"/>
  <c r="S251" i="5"/>
  <c r="P254" i="5"/>
  <c r="O263" i="5"/>
  <c r="S263" i="5"/>
  <c r="P266" i="5"/>
  <c r="O275" i="5"/>
  <c r="S275" i="5"/>
  <c r="P278" i="5"/>
  <c r="O287" i="5"/>
  <c r="S290" i="5"/>
  <c r="O290" i="5"/>
  <c r="Q290" i="5"/>
  <c r="O293" i="5"/>
  <c r="Q296" i="5"/>
  <c r="O296" i="5"/>
  <c r="O299" i="5"/>
  <c r="P311" i="5"/>
  <c r="S311" i="5"/>
  <c r="O311" i="5"/>
  <c r="S317" i="5"/>
  <c r="S320" i="5"/>
  <c r="O20" i="5"/>
  <c r="O32" i="5"/>
  <c r="O56" i="5"/>
  <c r="O68" i="5"/>
  <c r="R68" i="5" s="1"/>
  <c r="O152" i="5"/>
  <c r="O164" i="5"/>
  <c r="O248" i="5"/>
  <c r="O260" i="5"/>
  <c r="O272" i="5"/>
  <c r="O284" i="5"/>
  <c r="S302" i="5"/>
  <c r="O302" i="5"/>
  <c r="Q302" i="5"/>
  <c r="P302" i="5"/>
  <c r="P317" i="5"/>
  <c r="Q320" i="5"/>
  <c r="S326" i="5"/>
  <c r="O326" i="5"/>
  <c r="Q326" i="5"/>
  <c r="P326" i="5"/>
  <c r="O335" i="5"/>
  <c r="S335" i="5"/>
  <c r="P338" i="5"/>
  <c r="O347" i="5"/>
  <c r="S347" i="5"/>
  <c r="P350" i="5"/>
  <c r="O359" i="5"/>
  <c r="S359" i="5"/>
  <c r="P362" i="5"/>
  <c r="O371" i="5"/>
  <c r="S371" i="5"/>
  <c r="P374" i="5"/>
  <c r="O383" i="5"/>
  <c r="S383" i="5"/>
  <c r="P386" i="5"/>
  <c r="O395" i="5"/>
  <c r="S395" i="5"/>
  <c r="P398" i="5"/>
  <c r="O407" i="5"/>
  <c r="S407" i="5"/>
  <c r="P410" i="5"/>
  <c r="O419" i="5"/>
  <c r="S419" i="5"/>
  <c r="P422" i="5"/>
  <c r="O431" i="5"/>
  <c r="S431" i="5"/>
  <c r="O437" i="5"/>
  <c r="S437" i="5"/>
  <c r="O446" i="5"/>
  <c r="S446" i="5"/>
  <c r="P449" i="5"/>
  <c r="Q464" i="5"/>
  <c r="P464" i="5"/>
  <c r="O464" i="5"/>
  <c r="O308" i="5"/>
  <c r="R308" i="5" s="1"/>
  <c r="O320" i="5"/>
  <c r="O332" i="5"/>
  <c r="Q338" i="5"/>
  <c r="O344" i="5"/>
  <c r="Q350" i="5"/>
  <c r="O356" i="5"/>
  <c r="Q362" i="5"/>
  <c r="O368" i="5"/>
  <c r="Q374" i="5"/>
  <c r="O380" i="5"/>
  <c r="Q386" i="5"/>
  <c r="O392" i="5"/>
  <c r="Q398" i="5"/>
  <c r="O404" i="5"/>
  <c r="Q410" i="5"/>
  <c r="O416" i="5"/>
  <c r="Q422" i="5"/>
  <c r="O428" i="5"/>
  <c r="O443" i="5"/>
  <c r="Q449" i="5"/>
  <c r="P458" i="5"/>
  <c r="P461" i="5"/>
  <c r="S461" i="5"/>
  <c r="O461" i="5"/>
  <c r="S467" i="5"/>
  <c r="S476" i="5"/>
  <c r="Q452" i="5"/>
  <c r="S452" i="5"/>
  <c r="Q455" i="5"/>
  <c r="P455" i="5"/>
  <c r="Q476" i="5"/>
  <c r="P476" i="5"/>
  <c r="O338" i="5"/>
  <c r="O350" i="5"/>
  <c r="O362" i="5"/>
  <c r="O374" i="5"/>
  <c r="O386" i="5"/>
  <c r="O398" i="5"/>
  <c r="O410" i="5"/>
  <c r="O422" i="5"/>
  <c r="P452" i="5"/>
  <c r="S455" i="5"/>
  <c r="S458" i="5"/>
  <c r="S464" i="5"/>
  <c r="P473" i="5"/>
  <c r="S473" i="5"/>
  <c r="O473" i="5"/>
  <c r="S791" i="5"/>
  <c r="O791" i="5"/>
  <c r="S815" i="5"/>
  <c r="O815" i="5"/>
  <c r="S839" i="5"/>
  <c r="O839" i="5"/>
  <c r="Q470" i="5"/>
  <c r="O476" i="5"/>
  <c r="Q482" i="5"/>
  <c r="O488" i="5"/>
  <c r="Q494" i="5"/>
  <c r="O500" i="5"/>
  <c r="Q506" i="5"/>
  <c r="O512" i="5"/>
  <c r="Q518" i="5"/>
  <c r="O524" i="5"/>
  <c r="Q530" i="5"/>
  <c r="O536" i="5"/>
  <c r="Q542" i="5"/>
  <c r="O548" i="5"/>
  <c r="Q554" i="5"/>
  <c r="O560" i="5"/>
  <c r="Q566" i="5"/>
  <c r="O572" i="5"/>
  <c r="O584" i="5"/>
  <c r="Q590" i="5"/>
  <c r="O596" i="5"/>
  <c r="Q602" i="5"/>
  <c r="O608" i="5"/>
  <c r="Q614" i="5"/>
  <c r="O620" i="5"/>
  <c r="Q626" i="5"/>
  <c r="T626" i="5" s="1"/>
  <c r="O632" i="5"/>
  <c r="Q638" i="5"/>
  <c r="O644" i="5"/>
  <c r="Q650" i="5"/>
  <c r="O656" i="5"/>
  <c r="Q662" i="5"/>
  <c r="O668" i="5"/>
  <c r="Q674" i="5"/>
  <c r="O680" i="5"/>
  <c r="Q686" i="5"/>
  <c r="O692" i="5"/>
  <c r="Q698" i="5"/>
  <c r="O704" i="5"/>
  <c r="Q710" i="5"/>
  <c r="O716" i="5"/>
  <c r="Q722" i="5"/>
  <c r="O728" i="5"/>
  <c r="Q734" i="5"/>
  <c r="O740" i="5"/>
  <c r="Q746" i="5"/>
  <c r="P761" i="5"/>
  <c r="S761" i="5"/>
  <c r="O761" i="5"/>
  <c r="P773" i="5"/>
  <c r="S773" i="5"/>
  <c r="O773" i="5"/>
  <c r="Q776" i="5"/>
  <c r="Q779" i="5"/>
  <c r="P782" i="5"/>
  <c r="S782" i="5"/>
  <c r="O782" i="5"/>
  <c r="P797" i="5"/>
  <c r="P806" i="5"/>
  <c r="S806" i="5"/>
  <c r="O806" i="5"/>
  <c r="P830" i="5"/>
  <c r="S830" i="5"/>
  <c r="O830" i="5"/>
  <c r="O485" i="5"/>
  <c r="S485" i="5"/>
  <c r="P488" i="5"/>
  <c r="O497" i="5"/>
  <c r="S497" i="5"/>
  <c r="P500" i="5"/>
  <c r="O509" i="5"/>
  <c r="S509" i="5"/>
  <c r="P512" i="5"/>
  <c r="O521" i="5"/>
  <c r="R521" i="5" s="1"/>
  <c r="T521" i="5" s="1"/>
  <c r="S521" i="5"/>
  <c r="P524" i="5"/>
  <c r="O533" i="5"/>
  <c r="S533" i="5"/>
  <c r="P536" i="5"/>
  <c r="O545" i="5"/>
  <c r="S545" i="5"/>
  <c r="P548" i="5"/>
  <c r="O557" i="5"/>
  <c r="S557" i="5"/>
  <c r="P560" i="5"/>
  <c r="O569" i="5"/>
  <c r="S569" i="5"/>
  <c r="P572" i="5"/>
  <c r="O581" i="5"/>
  <c r="S581" i="5"/>
  <c r="P584" i="5"/>
  <c r="O593" i="5"/>
  <c r="S593" i="5"/>
  <c r="P596" i="5"/>
  <c r="O605" i="5"/>
  <c r="S605" i="5"/>
  <c r="P608" i="5"/>
  <c r="O617" i="5"/>
  <c r="R617" i="5" s="1"/>
  <c r="S617" i="5"/>
  <c r="P620" i="5"/>
  <c r="O629" i="5"/>
  <c r="S629" i="5"/>
  <c r="P632" i="5"/>
  <c r="O641" i="5"/>
  <c r="S641" i="5"/>
  <c r="P644" i="5"/>
  <c r="O653" i="5"/>
  <c r="S653" i="5"/>
  <c r="P656" i="5"/>
  <c r="O665" i="5"/>
  <c r="S665" i="5"/>
  <c r="P668" i="5"/>
  <c r="O677" i="5"/>
  <c r="S677" i="5"/>
  <c r="P680" i="5"/>
  <c r="O689" i="5"/>
  <c r="S689" i="5"/>
  <c r="P692" i="5"/>
  <c r="O701" i="5"/>
  <c r="S701" i="5"/>
  <c r="P704" i="5"/>
  <c r="O713" i="5"/>
  <c r="S713" i="5"/>
  <c r="P716" i="5"/>
  <c r="O725" i="5"/>
  <c r="S725" i="5"/>
  <c r="P728" i="5"/>
  <c r="O737" i="5"/>
  <c r="S737" i="5"/>
  <c r="P740" i="5"/>
  <c r="O749" i="5"/>
  <c r="S749" i="5"/>
  <c r="P752" i="5"/>
  <c r="S752" i="5"/>
  <c r="O752" i="5"/>
  <c r="O755" i="5"/>
  <c r="S758" i="5"/>
  <c r="O758" i="5"/>
  <c r="Q764" i="5"/>
  <c r="P764" i="5"/>
  <c r="O767" i="5"/>
  <c r="S770" i="5"/>
  <c r="O770" i="5"/>
  <c r="S779" i="5"/>
  <c r="O779" i="5"/>
  <c r="S803" i="5"/>
  <c r="O803" i="5"/>
  <c r="S827" i="5"/>
  <c r="O827" i="5"/>
  <c r="O458" i="5"/>
  <c r="O470" i="5"/>
  <c r="O542" i="5"/>
  <c r="O554" i="5"/>
  <c r="O566" i="5"/>
  <c r="O590" i="5"/>
  <c r="O602" i="5"/>
  <c r="R602" i="5" s="1"/>
  <c r="O614" i="5"/>
  <c r="O626" i="5"/>
  <c r="O638" i="5"/>
  <c r="O650" i="5"/>
  <c r="R650" i="5" s="1"/>
  <c r="O662" i="5"/>
  <c r="O674" i="5"/>
  <c r="O686" i="5"/>
  <c r="O698" i="5"/>
  <c r="O710" i="5"/>
  <c r="O722" i="5"/>
  <c r="O734" i="5"/>
  <c r="O746" i="5"/>
  <c r="P755" i="5"/>
  <c r="P758" i="5"/>
  <c r="P767" i="5"/>
  <c r="P770" i="5"/>
  <c r="P785" i="5"/>
  <c r="Q788" i="5"/>
  <c r="P791" i="5"/>
  <c r="Q791" i="5"/>
  <c r="P794" i="5"/>
  <c r="S794" i="5"/>
  <c r="O794" i="5"/>
  <c r="P809" i="5"/>
  <c r="Q812" i="5"/>
  <c r="P815" i="5"/>
  <c r="Q815" i="5"/>
  <c r="P818" i="5"/>
  <c r="S818" i="5"/>
  <c r="O818" i="5"/>
  <c r="P833" i="5"/>
  <c r="Q836" i="5"/>
  <c r="P839" i="5"/>
  <c r="Q839" i="5"/>
  <c r="Q893" i="5"/>
  <c r="S893" i="5"/>
  <c r="O893" i="5"/>
  <c r="P776" i="5"/>
  <c r="O785" i="5"/>
  <c r="S785" i="5"/>
  <c r="P788" i="5"/>
  <c r="O797" i="5"/>
  <c r="R797" i="5" s="1"/>
  <c r="S797" i="5"/>
  <c r="P800" i="5"/>
  <c r="O809" i="5"/>
  <c r="S809" i="5"/>
  <c r="P812" i="5"/>
  <c r="O821" i="5"/>
  <c r="S821" i="5"/>
  <c r="P824" i="5"/>
  <c r="O833" i="5"/>
  <c r="R833" i="5" s="1"/>
  <c r="S833" i="5"/>
  <c r="P836" i="5"/>
  <c r="O845" i="5"/>
  <c r="S845" i="5"/>
  <c r="P848" i="5"/>
  <c r="O857" i="5"/>
  <c r="S857" i="5"/>
  <c r="P860" i="5"/>
  <c r="O869" i="5"/>
  <c r="S869" i="5"/>
  <c r="O881" i="5"/>
  <c r="S881" i="5"/>
  <c r="O902" i="5"/>
  <c r="Q902" i="5"/>
  <c r="P905" i="5"/>
  <c r="O842" i="5"/>
  <c r="S842" i="5"/>
  <c r="O854" i="5"/>
  <c r="S854" i="5"/>
  <c r="O866" i="5"/>
  <c r="S866" i="5"/>
  <c r="O878" i="5"/>
  <c r="S878" i="5"/>
  <c r="S890" i="5"/>
  <c r="S896" i="5"/>
  <c r="O851" i="5"/>
  <c r="O863" i="5"/>
  <c r="O875" i="5"/>
  <c r="S887" i="5"/>
  <c r="O887" i="5"/>
  <c r="Q899" i="5"/>
  <c r="S917" i="5"/>
  <c r="O917" i="5"/>
  <c r="S920" i="5"/>
  <c r="Q923" i="5"/>
  <c r="O926" i="5"/>
  <c r="S941" i="5"/>
  <c r="O941" i="5"/>
  <c r="S944" i="5"/>
  <c r="Q947" i="5"/>
  <c r="O950" i="5"/>
  <c r="S965" i="5"/>
  <c r="O965" i="5"/>
  <c r="S968" i="5"/>
  <c r="Q971" i="5"/>
  <c r="O974" i="5"/>
  <c r="S989" i="5"/>
  <c r="O989" i="5"/>
  <c r="S992" i="5"/>
  <c r="Q995" i="5"/>
  <c r="O998" i="5"/>
  <c r="S1013" i="5"/>
  <c r="O1013" i="5"/>
  <c r="S1016" i="5"/>
  <c r="Q1019" i="5"/>
  <c r="O1022" i="5"/>
  <c r="R1022" i="5" s="1"/>
  <c r="S1037" i="5"/>
  <c r="O1037" i="5"/>
  <c r="S1040" i="5"/>
  <c r="Q1043" i="5"/>
  <c r="O1046" i="5"/>
  <c r="Q1052" i="5"/>
  <c r="Q1058" i="5"/>
  <c r="S1061" i="5"/>
  <c r="O1061" i="5"/>
  <c r="S1064" i="5"/>
  <c r="O899" i="5"/>
  <c r="S905" i="5"/>
  <c r="O905" i="5"/>
  <c r="S908" i="5"/>
  <c r="Q911" i="5"/>
  <c r="O923" i="5"/>
  <c r="S929" i="5"/>
  <c r="O929" i="5"/>
  <c r="Q935" i="5"/>
  <c r="O947" i="5"/>
  <c r="S953" i="5"/>
  <c r="O953" i="5"/>
  <c r="Q959" i="5"/>
  <c r="T959" i="5" s="1"/>
  <c r="O971" i="5"/>
  <c r="S977" i="5"/>
  <c r="O977" i="5"/>
  <c r="Q983" i="5"/>
  <c r="O995" i="5"/>
  <c r="S1001" i="5"/>
  <c r="O1001" i="5"/>
  <c r="Q1007" i="5"/>
  <c r="O1019" i="5"/>
  <c r="S1025" i="5"/>
  <c r="O1025" i="5"/>
  <c r="Q1031" i="5"/>
  <c r="O1043" i="5"/>
  <c r="S1049" i="5"/>
  <c r="O1049" i="5"/>
  <c r="O1058" i="5"/>
  <c r="Q1064" i="5"/>
  <c r="P932" i="5"/>
  <c r="P956" i="5"/>
  <c r="P980" i="5"/>
  <c r="P1004" i="5"/>
  <c r="P1028" i="5"/>
  <c r="P1052" i="5"/>
  <c r="P1067" i="5"/>
  <c r="U142" i="6" l="1"/>
  <c r="W142" i="6" s="1"/>
  <c r="U322" i="6"/>
  <c r="W322" i="6" s="1"/>
  <c r="U358" i="6"/>
  <c r="W358" i="6" s="1"/>
  <c r="U352" i="6"/>
  <c r="W352" i="6" s="1"/>
  <c r="R842" i="5"/>
  <c r="T842" i="5" s="1"/>
  <c r="R734" i="5"/>
  <c r="T734" i="5" s="1"/>
  <c r="R590" i="5"/>
  <c r="T590" i="5" s="1"/>
  <c r="R542" i="5"/>
  <c r="T542" i="5" s="1"/>
  <c r="R320" i="5"/>
  <c r="T320" i="5" s="1"/>
  <c r="R200" i="5"/>
  <c r="T200" i="5" s="1"/>
  <c r="R176" i="5"/>
  <c r="T176" i="5" s="1"/>
  <c r="R116" i="5"/>
  <c r="T116" i="5" s="1"/>
  <c r="R803" i="5"/>
  <c r="T803" i="5" s="1"/>
  <c r="R392" i="5"/>
  <c r="T392" i="5" s="1"/>
  <c r="R533" i="5"/>
  <c r="R455" i="5"/>
  <c r="U94" i="6"/>
  <c r="W94" i="6" s="1"/>
  <c r="U226" i="6"/>
  <c r="W226" i="6" s="1"/>
  <c r="U82" i="6"/>
  <c r="W82" i="6" s="1"/>
  <c r="W406" i="6"/>
  <c r="U403" i="6"/>
  <c r="W403" i="6" s="1"/>
  <c r="U319" i="6"/>
  <c r="U16" i="6"/>
  <c r="W16" i="6" s="1"/>
  <c r="R911" i="5"/>
  <c r="T911" i="5" s="1"/>
  <c r="R101" i="5"/>
  <c r="T101" i="5" s="1"/>
  <c r="R992" i="5"/>
  <c r="T992" i="5" s="1"/>
  <c r="R518" i="5"/>
  <c r="T518" i="5" s="1"/>
  <c r="R1001" i="5"/>
  <c r="T1001" i="5" s="1"/>
  <c r="R854" i="5"/>
  <c r="T854" i="5" s="1"/>
  <c r="R836" i="5"/>
  <c r="T836" i="5" s="1"/>
  <c r="R662" i="5"/>
  <c r="T662" i="5" s="1"/>
  <c r="R581" i="5"/>
  <c r="T581" i="5" s="1"/>
  <c r="R332" i="5"/>
  <c r="T332" i="5" s="1"/>
  <c r="R149" i="5"/>
  <c r="T149" i="5" s="1"/>
  <c r="R269" i="5"/>
  <c r="T269" i="5" s="1"/>
  <c r="R764" i="5"/>
  <c r="T764" i="5" s="1"/>
  <c r="R1061" i="5"/>
  <c r="T1061" i="5" s="1"/>
  <c r="R1013" i="5"/>
  <c r="T1013" i="5" s="1"/>
  <c r="R800" i="5"/>
  <c r="T800" i="5" s="1"/>
  <c r="R737" i="5"/>
  <c r="T737" i="5" s="1"/>
  <c r="R593" i="5"/>
  <c r="T593" i="5" s="1"/>
  <c r="R497" i="5"/>
  <c r="T497" i="5" s="1"/>
  <c r="R452" i="5"/>
  <c r="T452" i="5" s="1"/>
  <c r="R1043" i="5"/>
  <c r="T1043" i="5" s="1"/>
  <c r="R926" i="5"/>
  <c r="T926" i="5" s="1"/>
  <c r="R875" i="5"/>
  <c r="T875" i="5" s="1"/>
  <c r="R866" i="5"/>
  <c r="T866" i="5" s="1"/>
  <c r="T833" i="5"/>
  <c r="R812" i="5"/>
  <c r="T812" i="5" s="1"/>
  <c r="R749" i="5"/>
  <c r="T749" i="5" s="1"/>
  <c r="R653" i="5"/>
  <c r="T653" i="5" s="1"/>
  <c r="R605" i="5"/>
  <c r="T605" i="5" s="1"/>
  <c r="R509" i="5"/>
  <c r="T509" i="5" s="1"/>
  <c r="R416" i="5"/>
  <c r="T416" i="5" s="1"/>
  <c r="R674" i="5"/>
  <c r="T674" i="5" s="1"/>
  <c r="R713" i="5"/>
  <c r="T713" i="5" s="1"/>
  <c r="T617" i="5"/>
  <c r="R443" i="5"/>
  <c r="R284" i="5"/>
  <c r="T284" i="5" s="1"/>
  <c r="R32" i="5"/>
  <c r="T32" i="5" s="1"/>
  <c r="R89" i="5"/>
  <c r="T89" i="5" s="1"/>
  <c r="R389" i="5"/>
  <c r="T389" i="5" s="1"/>
  <c r="U382" i="6"/>
  <c r="W382" i="6" s="1"/>
  <c r="U379" i="6"/>
  <c r="W379" i="6" s="1"/>
  <c r="U91" i="6"/>
  <c r="W91" i="6" s="1"/>
  <c r="U103" i="6"/>
  <c r="W103" i="6" s="1"/>
  <c r="U55" i="6"/>
  <c r="W55" i="6" s="1"/>
  <c r="U163" i="6"/>
  <c r="W163" i="6" s="1"/>
  <c r="U40" i="6"/>
  <c r="W40" i="6" s="1"/>
  <c r="U148" i="6"/>
  <c r="W148" i="6" s="1"/>
  <c r="U58" i="6"/>
  <c r="W58" i="6" s="1"/>
  <c r="U217" i="6"/>
  <c r="W217" i="6" s="1"/>
  <c r="U166" i="6"/>
  <c r="W166" i="6" s="1"/>
  <c r="U172" i="6"/>
  <c r="W172" i="6" s="1"/>
  <c r="U271" i="6"/>
  <c r="W271" i="6" s="1"/>
  <c r="U346" i="6"/>
  <c r="U343" i="6"/>
  <c r="W343" i="6" s="1"/>
  <c r="U79" i="6"/>
  <c r="W79" i="6" s="1"/>
  <c r="U334" i="6"/>
  <c r="W334" i="6" s="1"/>
  <c r="U325" i="6"/>
  <c r="W325" i="6" s="1"/>
  <c r="U289" i="6"/>
  <c r="W289" i="6" s="1"/>
  <c r="U277" i="6"/>
  <c r="W277" i="6" s="1"/>
  <c r="U265" i="6"/>
  <c r="W265" i="6" s="1"/>
  <c r="U295" i="6"/>
  <c r="W295" i="6" s="1"/>
  <c r="U118" i="6"/>
  <c r="W118" i="6" s="1"/>
  <c r="U70" i="6"/>
  <c r="W70" i="6" s="1"/>
  <c r="U88" i="6"/>
  <c r="U64" i="6"/>
  <c r="W64" i="6" s="1"/>
  <c r="U28" i="6"/>
  <c r="W28" i="6" s="1"/>
  <c r="U247" i="6"/>
  <c r="W247" i="6" s="1"/>
  <c r="U298" i="6"/>
  <c r="W298" i="6" s="1"/>
  <c r="U130" i="6"/>
  <c r="W130" i="6" s="1"/>
  <c r="U169" i="6"/>
  <c r="W169" i="6" s="1"/>
  <c r="U328" i="6"/>
  <c r="W328" i="6" s="1"/>
  <c r="U106" i="6"/>
  <c r="W106" i="6" s="1"/>
  <c r="U139" i="6"/>
  <c r="W139" i="6" s="1"/>
  <c r="U307" i="6"/>
  <c r="W307" i="6" s="1"/>
  <c r="U355" i="6"/>
  <c r="U157" i="6"/>
  <c r="W157" i="6" s="1"/>
  <c r="R980" i="5"/>
  <c r="T980" i="5" s="1"/>
  <c r="R1058" i="5"/>
  <c r="T1058" i="5" s="1"/>
  <c r="R899" i="5"/>
  <c r="T899" i="5" s="1"/>
  <c r="R881" i="5"/>
  <c r="T881" i="5" s="1"/>
  <c r="R776" i="5"/>
  <c r="T776" i="5" s="1"/>
  <c r="R722" i="5"/>
  <c r="T722" i="5" s="1"/>
  <c r="T443" i="5"/>
  <c r="R1067" i="5"/>
  <c r="T1067" i="5" s="1"/>
  <c r="R863" i="5"/>
  <c r="T863" i="5" s="1"/>
  <c r="R824" i="5"/>
  <c r="T824" i="5" s="1"/>
  <c r="R665" i="5"/>
  <c r="T665" i="5" s="1"/>
  <c r="R476" i="5"/>
  <c r="T476" i="5" s="1"/>
  <c r="R167" i="5"/>
  <c r="T167" i="5" s="1"/>
  <c r="R119" i="5"/>
  <c r="T119" i="5" s="1"/>
  <c r="R1049" i="5"/>
  <c r="T1049" i="5" s="1"/>
  <c r="R1025" i="5"/>
  <c r="T1025" i="5" s="1"/>
  <c r="R977" i="5"/>
  <c r="T977" i="5" s="1"/>
  <c r="R953" i="5"/>
  <c r="T953" i="5" s="1"/>
  <c r="R941" i="5"/>
  <c r="T941" i="5" s="1"/>
  <c r="R857" i="5"/>
  <c r="T857" i="5" s="1"/>
  <c r="R356" i="5"/>
  <c r="T356" i="5" s="1"/>
  <c r="R1031" i="5"/>
  <c r="T1031" i="5" s="1"/>
  <c r="R56" i="5"/>
  <c r="T56" i="5" s="1"/>
  <c r="R998" i="5"/>
  <c r="T998" i="5" s="1"/>
  <c r="R164" i="5"/>
  <c r="T164" i="5" s="1"/>
  <c r="R296" i="5"/>
  <c r="T296" i="5" s="1"/>
  <c r="R245" i="5"/>
  <c r="T245" i="5" s="1"/>
  <c r="R233" i="5"/>
  <c r="T233" i="5" s="1"/>
  <c r="R323" i="5"/>
  <c r="T323" i="5" s="1"/>
  <c r="R1064" i="5"/>
  <c r="T1064" i="5" s="1"/>
  <c r="R161" i="5"/>
  <c r="T161" i="5" s="1"/>
  <c r="R329" i="5"/>
  <c r="T329" i="5" s="1"/>
  <c r="R917" i="5"/>
  <c r="T917" i="5" s="1"/>
  <c r="R902" i="5"/>
  <c r="T902" i="5" s="1"/>
  <c r="R869" i="5"/>
  <c r="T869" i="5" s="1"/>
  <c r="R821" i="5"/>
  <c r="T821" i="5" s="1"/>
  <c r="R395" i="5"/>
  <c r="T395" i="5" s="1"/>
  <c r="U121" i="6"/>
  <c r="W121" i="6" s="1"/>
  <c r="U73" i="6"/>
  <c r="W73" i="6" s="1"/>
  <c r="U34" i="6"/>
  <c r="W34" i="6" s="1"/>
  <c r="R413" i="5"/>
  <c r="T413" i="5" s="1"/>
  <c r="R188" i="5"/>
  <c r="T188" i="5" s="1"/>
  <c r="R44" i="5"/>
  <c r="T44" i="5" s="1"/>
  <c r="R17" i="5"/>
  <c r="T17" i="5" s="1"/>
  <c r="U283" i="6"/>
  <c r="W283" i="6" s="1"/>
  <c r="R65" i="5"/>
  <c r="T65" i="5" s="1"/>
  <c r="U394" i="6"/>
  <c r="W394" i="6" s="1"/>
  <c r="U373" i="6"/>
  <c r="W373" i="6" s="1"/>
  <c r="U301" i="6"/>
  <c r="U253" i="6"/>
  <c r="W253" i="6" s="1"/>
  <c r="U376" i="6"/>
  <c r="U367" i="6"/>
  <c r="W367" i="6" s="1"/>
  <c r="W229" i="6"/>
  <c r="U205" i="6"/>
  <c r="W205" i="6" s="1"/>
  <c r="U193" i="6"/>
  <c r="W193" i="6" s="1"/>
  <c r="W181" i="6"/>
  <c r="U25" i="6"/>
  <c r="W25" i="6" s="1"/>
  <c r="R959" i="5"/>
  <c r="R173" i="5"/>
  <c r="T173" i="5" s="1"/>
  <c r="R410" i="5"/>
  <c r="T410" i="5" s="1"/>
  <c r="R362" i="5"/>
  <c r="T362" i="5" s="1"/>
  <c r="R53" i="5"/>
  <c r="T53" i="5" s="1"/>
  <c r="R29" i="5"/>
  <c r="T29" i="5" s="1"/>
  <c r="R401" i="5"/>
  <c r="T401" i="5" s="1"/>
  <c r="R41" i="5"/>
  <c r="T41" i="5" s="1"/>
  <c r="R974" i="5"/>
  <c r="T974" i="5" s="1"/>
  <c r="R788" i="5"/>
  <c r="T788" i="5" s="1"/>
  <c r="R485" i="5"/>
  <c r="T485" i="5" s="1"/>
  <c r="R434" i="5"/>
  <c r="R746" i="5"/>
  <c r="T746" i="5" s="1"/>
  <c r="R698" i="5"/>
  <c r="T698" i="5" s="1"/>
  <c r="T650" i="5"/>
  <c r="R689" i="5"/>
  <c r="T689" i="5" s="1"/>
  <c r="R641" i="5"/>
  <c r="T641" i="5" s="1"/>
  <c r="R545" i="5"/>
  <c r="T545" i="5" s="1"/>
  <c r="R290" i="5"/>
  <c r="T290" i="5" s="1"/>
  <c r="R263" i="5"/>
  <c r="T263" i="5" s="1"/>
  <c r="R215" i="5"/>
  <c r="T215" i="5" s="1"/>
  <c r="T71" i="5"/>
  <c r="R23" i="5"/>
  <c r="T23" i="5" s="1"/>
  <c r="R1055" i="5"/>
  <c r="T1055" i="5" s="1"/>
  <c r="R425" i="5"/>
  <c r="T425" i="5" s="1"/>
  <c r="R140" i="5"/>
  <c r="T140" i="5" s="1"/>
  <c r="R884" i="5"/>
  <c r="T884" i="5" s="1"/>
  <c r="R686" i="5"/>
  <c r="T686" i="5" s="1"/>
  <c r="R557" i="5"/>
  <c r="T557" i="5" s="1"/>
  <c r="R344" i="5"/>
  <c r="T344" i="5" s="1"/>
  <c r="R83" i="5"/>
  <c r="T83" i="5" s="1"/>
  <c r="R968" i="5"/>
  <c r="T968" i="5" s="1"/>
  <c r="U220" i="6"/>
  <c r="W220" i="6" s="1"/>
  <c r="U184" i="6"/>
  <c r="W184" i="6" s="1"/>
  <c r="U214" i="6"/>
  <c r="W214" i="6" s="1"/>
  <c r="U202" i="6"/>
  <c r="W202" i="6" s="1"/>
  <c r="U190" i="6"/>
  <c r="W190" i="6" s="1"/>
  <c r="U178" i="6"/>
  <c r="W178" i="6" s="1"/>
  <c r="R368" i="5"/>
  <c r="T368" i="5" s="1"/>
  <c r="R35" i="5"/>
  <c r="T35" i="5" s="1"/>
  <c r="R914" i="5"/>
  <c r="T914" i="5" s="1"/>
  <c r="R212" i="5"/>
  <c r="T212" i="5" s="1"/>
  <c r="R467" i="5"/>
  <c r="T467" i="5" s="1"/>
  <c r="R575" i="5"/>
  <c r="T575" i="5" s="1"/>
  <c r="R935" i="5"/>
  <c r="T935" i="5" s="1"/>
  <c r="R743" i="5"/>
  <c r="T743" i="5" s="1"/>
  <c r="R719" i="5"/>
  <c r="T719" i="5" s="1"/>
  <c r="R626" i="5"/>
  <c r="R458" i="5"/>
  <c r="T458" i="5" s="1"/>
  <c r="R419" i="5"/>
  <c r="T419" i="5" s="1"/>
  <c r="R371" i="5"/>
  <c r="T371" i="5" s="1"/>
  <c r="R317" i="5"/>
  <c r="T317" i="5" s="1"/>
  <c r="R287" i="5"/>
  <c r="T287" i="5" s="1"/>
  <c r="R239" i="5"/>
  <c r="T239" i="5" s="1"/>
  <c r="R986" i="5"/>
  <c r="T986" i="5" s="1"/>
  <c r="R1010" i="5"/>
  <c r="T1010" i="5" s="1"/>
  <c r="R872" i="5"/>
  <c r="T872" i="5" s="1"/>
  <c r="R125" i="5"/>
  <c r="T125" i="5" s="1"/>
  <c r="R965" i="5"/>
  <c r="T965" i="5" s="1"/>
  <c r="R887" i="5"/>
  <c r="T887" i="5" s="1"/>
  <c r="R878" i="5"/>
  <c r="T878" i="5" s="1"/>
  <c r="R554" i="5"/>
  <c r="T554" i="5" s="1"/>
  <c r="R629" i="5"/>
  <c r="T629" i="5" s="1"/>
  <c r="T455" i="5"/>
  <c r="R428" i="5"/>
  <c r="T428" i="5" s="1"/>
  <c r="R380" i="5"/>
  <c r="T380" i="5" s="1"/>
  <c r="R431" i="5"/>
  <c r="R59" i="5"/>
  <c r="T59" i="5" s="1"/>
  <c r="R221" i="5"/>
  <c r="T221" i="5" s="1"/>
  <c r="R890" i="5"/>
  <c r="T890" i="5" s="1"/>
  <c r="R530" i="5"/>
  <c r="T530" i="5" s="1"/>
  <c r="R506" i="5"/>
  <c r="T506" i="5" s="1"/>
  <c r="R482" i="5"/>
  <c r="T482" i="5" s="1"/>
  <c r="R896" i="5"/>
  <c r="T896" i="5" s="1"/>
  <c r="U241" i="6"/>
  <c r="W241" i="6" s="1"/>
  <c r="U370" i="6"/>
  <c r="W370" i="6" s="1"/>
  <c r="U364" i="6"/>
  <c r="U22" i="6"/>
  <c r="W22" i="6" s="1"/>
  <c r="U238" i="6"/>
  <c r="W238" i="6" s="1"/>
  <c r="U133" i="6"/>
  <c r="W133" i="6" s="1"/>
  <c r="U304" i="6"/>
  <c r="W304" i="6" s="1"/>
  <c r="U151" i="6"/>
  <c r="W151" i="6" s="1"/>
  <c r="U109" i="6"/>
  <c r="W109" i="6" s="1"/>
  <c r="U43" i="6"/>
  <c r="W43" i="6" s="1"/>
  <c r="U412" i="6"/>
  <c r="W412" i="6" s="1"/>
  <c r="U316" i="6"/>
  <c r="W316" i="6" s="1"/>
  <c r="U256" i="6"/>
  <c r="W256" i="6" s="1"/>
  <c r="U208" i="6"/>
  <c r="W208" i="6" s="1"/>
  <c r="U19" i="6"/>
  <c r="W19" i="6" s="1"/>
  <c r="U259" i="6"/>
  <c r="W259" i="6" s="1"/>
  <c r="R956" i="5"/>
  <c r="T956" i="5" s="1"/>
  <c r="R929" i="5"/>
  <c r="T929" i="5" s="1"/>
  <c r="R1037" i="5"/>
  <c r="T1037" i="5" s="1"/>
  <c r="R860" i="5"/>
  <c r="T860" i="5" s="1"/>
  <c r="R422" i="5"/>
  <c r="T422" i="5" s="1"/>
  <c r="R374" i="5"/>
  <c r="T374" i="5" s="1"/>
  <c r="R446" i="5"/>
  <c r="T446" i="5" s="1"/>
  <c r="R335" i="5"/>
  <c r="T335" i="5" s="1"/>
  <c r="T305" i="5"/>
  <c r="R248" i="5"/>
  <c r="T248" i="5" s="1"/>
  <c r="R251" i="5"/>
  <c r="T251" i="5" s="1"/>
  <c r="R203" i="5"/>
  <c r="T203" i="5" s="1"/>
  <c r="R155" i="5"/>
  <c r="T155" i="5" s="1"/>
  <c r="R107" i="5"/>
  <c r="T107" i="5" s="1"/>
  <c r="R281" i="5"/>
  <c r="T281" i="5" s="1"/>
  <c r="R209" i="5"/>
  <c r="T209" i="5" s="1"/>
  <c r="R377" i="5"/>
  <c r="T377" i="5" s="1"/>
  <c r="R365" i="5"/>
  <c r="T365" i="5" s="1"/>
  <c r="R128" i="5"/>
  <c r="T128" i="5" s="1"/>
  <c r="R104" i="5"/>
  <c r="T104" i="5" s="1"/>
  <c r="R623" i="5"/>
  <c r="T623" i="5" s="1"/>
  <c r="R551" i="5"/>
  <c r="T551" i="5" s="1"/>
  <c r="R479" i="5"/>
  <c r="T479" i="5" s="1"/>
  <c r="R845" i="5"/>
  <c r="T845" i="5" s="1"/>
  <c r="T797" i="5"/>
  <c r="R311" i="5"/>
  <c r="T311" i="5" s="1"/>
  <c r="R473" i="5"/>
  <c r="T473" i="5" s="1"/>
  <c r="R1004" i="5"/>
  <c r="T1004" i="5" s="1"/>
  <c r="R1019" i="5"/>
  <c r="T1019" i="5" s="1"/>
  <c r="R995" i="5"/>
  <c r="T995" i="5" s="1"/>
  <c r="R947" i="5"/>
  <c r="T947" i="5" s="1"/>
  <c r="T1022" i="5"/>
  <c r="R989" i="5"/>
  <c r="T989" i="5" s="1"/>
  <c r="R809" i="5"/>
  <c r="T809" i="5" s="1"/>
  <c r="R893" i="5"/>
  <c r="T893" i="5" s="1"/>
  <c r="R710" i="5"/>
  <c r="T710" i="5" s="1"/>
  <c r="R614" i="5"/>
  <c r="T614" i="5" s="1"/>
  <c r="R827" i="5"/>
  <c r="T827" i="5" s="1"/>
  <c r="R779" i="5"/>
  <c r="T779" i="5" s="1"/>
  <c r="R725" i="5"/>
  <c r="T725" i="5" s="1"/>
  <c r="R677" i="5"/>
  <c r="T677" i="5" s="1"/>
  <c r="T533" i="5"/>
  <c r="R449" i="5"/>
  <c r="T449" i="5" s="1"/>
  <c r="R437" i="5"/>
  <c r="R407" i="5"/>
  <c r="T407" i="5" s="1"/>
  <c r="R359" i="5"/>
  <c r="T359" i="5" s="1"/>
  <c r="R272" i="5"/>
  <c r="T272" i="5" s="1"/>
  <c r="R152" i="5"/>
  <c r="T152" i="5" s="1"/>
  <c r="R179" i="5"/>
  <c r="T179" i="5" s="1"/>
  <c r="R131" i="5"/>
  <c r="T131" i="5" s="1"/>
  <c r="R257" i="5"/>
  <c r="T257" i="5" s="1"/>
  <c r="R962" i="5"/>
  <c r="T962" i="5" s="1"/>
  <c r="R938" i="5"/>
  <c r="T938" i="5" s="1"/>
  <c r="R731" i="5"/>
  <c r="T731" i="5" s="1"/>
  <c r="R707" i="5"/>
  <c r="T707" i="5" s="1"/>
  <c r="R683" i="5"/>
  <c r="T683" i="5" s="1"/>
  <c r="R353" i="5"/>
  <c r="T353" i="5" s="1"/>
  <c r="R137" i="5"/>
  <c r="T137" i="5" s="1"/>
  <c r="R647" i="5"/>
  <c r="T647" i="5" s="1"/>
  <c r="R599" i="5"/>
  <c r="T599" i="5" s="1"/>
  <c r="R527" i="5"/>
  <c r="T527" i="5" s="1"/>
  <c r="R503" i="5"/>
  <c r="T503" i="5" s="1"/>
  <c r="R1034" i="5"/>
  <c r="T1034" i="5" s="1"/>
  <c r="R851" i="5"/>
  <c r="T851" i="5" s="1"/>
  <c r="R404" i="5"/>
  <c r="T404" i="5" s="1"/>
  <c r="R20" i="5"/>
  <c r="T20" i="5" s="1"/>
  <c r="R275" i="5"/>
  <c r="T275" i="5" s="1"/>
  <c r="R227" i="5"/>
  <c r="T227" i="5" s="1"/>
  <c r="T920" i="5"/>
  <c r="R341" i="5"/>
  <c r="T341" i="5" s="1"/>
  <c r="R908" i="5"/>
  <c r="T908" i="5" s="1"/>
  <c r="R1028" i="5"/>
  <c r="T1028" i="5" s="1"/>
  <c r="R932" i="5"/>
  <c r="T932" i="5" s="1"/>
  <c r="R905" i="5"/>
  <c r="T905" i="5" s="1"/>
  <c r="R1046" i="5"/>
  <c r="T1046" i="5" s="1"/>
  <c r="R950" i="5"/>
  <c r="T950" i="5" s="1"/>
  <c r="R848" i="5"/>
  <c r="T848" i="5" s="1"/>
  <c r="R638" i="5"/>
  <c r="T638" i="5" s="1"/>
  <c r="R470" i="5"/>
  <c r="T470" i="5" s="1"/>
  <c r="R752" i="5"/>
  <c r="T752" i="5" s="1"/>
  <c r="R701" i="5"/>
  <c r="T701" i="5" s="1"/>
  <c r="R806" i="5"/>
  <c r="T806" i="5" s="1"/>
  <c r="R782" i="5"/>
  <c r="T782" i="5" s="1"/>
  <c r="R761" i="5"/>
  <c r="T761" i="5" s="1"/>
  <c r="R398" i="5"/>
  <c r="T398" i="5" s="1"/>
  <c r="R350" i="5"/>
  <c r="T350" i="5" s="1"/>
  <c r="R383" i="5"/>
  <c r="T383" i="5" s="1"/>
  <c r="R260" i="5"/>
  <c r="T260" i="5" s="1"/>
  <c r="R293" i="5"/>
  <c r="T293" i="5" s="1"/>
  <c r="R191" i="5"/>
  <c r="T191" i="5" s="1"/>
  <c r="R143" i="5"/>
  <c r="T143" i="5" s="1"/>
  <c r="R95" i="5"/>
  <c r="T95" i="5" s="1"/>
  <c r="R47" i="5"/>
  <c r="T47" i="5" s="1"/>
  <c r="R983" i="5"/>
  <c r="T983" i="5" s="1"/>
  <c r="T1016" i="5"/>
  <c r="R1007" i="5"/>
  <c r="T1007" i="5" s="1"/>
  <c r="R671" i="5"/>
  <c r="T671" i="5" s="1"/>
  <c r="R494" i="5"/>
  <c r="T494" i="5" s="1"/>
  <c r="R578" i="5"/>
  <c r="T578" i="5" s="1"/>
  <c r="R224" i="5"/>
  <c r="T224" i="5" s="1"/>
  <c r="R80" i="5"/>
  <c r="T80" i="5" s="1"/>
  <c r="R197" i="5"/>
  <c r="T197" i="5" s="1"/>
  <c r="R1052" i="5"/>
  <c r="T1052" i="5" s="1"/>
  <c r="R971" i="5"/>
  <c r="T971" i="5" s="1"/>
  <c r="R923" i="5"/>
  <c r="T923" i="5" s="1"/>
  <c r="R818" i="5"/>
  <c r="T818" i="5" s="1"/>
  <c r="R566" i="5"/>
  <c r="T566" i="5" s="1"/>
  <c r="R569" i="5"/>
  <c r="T569" i="5" s="1"/>
  <c r="R830" i="5"/>
  <c r="T830" i="5" s="1"/>
  <c r="R773" i="5"/>
  <c r="T773" i="5" s="1"/>
  <c r="R386" i="5"/>
  <c r="T386" i="5" s="1"/>
  <c r="R338" i="5"/>
  <c r="T338" i="5" s="1"/>
  <c r="T308" i="5"/>
  <c r="R347" i="5"/>
  <c r="T347" i="5" s="1"/>
  <c r="R326" i="5"/>
  <c r="T326" i="5" s="1"/>
  <c r="R299" i="5"/>
  <c r="T299" i="5" s="1"/>
  <c r="R77" i="5"/>
  <c r="T77" i="5" s="1"/>
  <c r="R635" i="5"/>
  <c r="T635" i="5" s="1"/>
  <c r="R611" i="5"/>
  <c r="T611" i="5" s="1"/>
  <c r="R587" i="5"/>
  <c r="T587" i="5" s="1"/>
  <c r="R563" i="5"/>
  <c r="T563" i="5" s="1"/>
  <c r="R539" i="5"/>
  <c r="T539" i="5" s="1"/>
  <c r="R515" i="5"/>
  <c r="T515" i="5" s="1"/>
  <c r="R491" i="5"/>
  <c r="T491" i="5" s="1"/>
  <c r="R236" i="5"/>
  <c r="T236" i="5" s="1"/>
  <c r="R92" i="5"/>
  <c r="T92" i="5" s="1"/>
  <c r="R695" i="5"/>
  <c r="T695" i="5" s="1"/>
  <c r="R659" i="5"/>
  <c r="T659" i="5" s="1"/>
  <c r="R440" i="5"/>
  <c r="T440" i="5" s="1"/>
  <c r="R944" i="5"/>
  <c r="T944" i="5" s="1"/>
  <c r="R1040" i="5"/>
  <c r="T1040" i="5" s="1"/>
  <c r="R185" i="5"/>
  <c r="T185" i="5" s="1"/>
  <c r="R113" i="5"/>
  <c r="T113" i="5" s="1"/>
  <c r="U292" i="6"/>
  <c r="W292" i="6" s="1"/>
  <c r="W127" i="6"/>
  <c r="W115" i="6"/>
  <c r="U244" i="6"/>
  <c r="W244" i="6" s="1"/>
  <c r="U235" i="6"/>
  <c r="W235" i="6" s="1"/>
  <c r="U187" i="6"/>
  <c r="W187" i="6" s="1"/>
  <c r="U232" i="6"/>
  <c r="W232" i="6" s="1"/>
  <c r="U268" i="6"/>
  <c r="W268" i="6" s="1"/>
  <c r="U250" i="6"/>
  <c r="W250" i="6" s="1"/>
  <c r="W154" i="6"/>
  <c r="U37" i="6"/>
  <c r="W37" i="6" s="1"/>
  <c r="U262" i="6"/>
  <c r="W262" i="6" s="1"/>
  <c r="U46" i="6"/>
  <c r="W46" i="6" s="1"/>
  <c r="U31" i="6"/>
  <c r="W31" i="6" s="1"/>
  <c r="U349" i="6"/>
  <c r="W349" i="6" s="1"/>
  <c r="U400" i="6"/>
  <c r="W400" i="6" s="1"/>
  <c r="U385" i="6"/>
  <c r="W385" i="6" s="1"/>
  <c r="U337" i="6"/>
  <c r="W337" i="6" s="1"/>
  <c r="U340" i="6"/>
  <c r="U199" i="6"/>
  <c r="W199" i="6" s="1"/>
  <c r="U388" i="6"/>
  <c r="W388" i="6" s="1"/>
  <c r="U280" i="6"/>
  <c r="W280" i="6" s="1"/>
  <c r="U112" i="6"/>
  <c r="W112" i="6" s="1"/>
  <c r="W67" i="6"/>
  <c r="U391" i="6"/>
  <c r="W391" i="6" s="1"/>
  <c r="U124" i="6"/>
  <c r="W124" i="6" s="1"/>
  <c r="U100" i="6"/>
  <c r="W100" i="6" s="1"/>
  <c r="U76" i="6"/>
  <c r="W76" i="6" s="1"/>
  <c r="U52" i="6"/>
  <c r="W52" i="6" s="1"/>
  <c r="U160" i="6"/>
  <c r="W160" i="6" s="1"/>
  <c r="U85" i="6"/>
  <c r="W85" i="6" s="1"/>
  <c r="U61" i="6"/>
  <c r="W61" i="6" s="1"/>
  <c r="U223" i="6"/>
  <c r="U175" i="6"/>
  <c r="W175" i="6" s="1"/>
  <c r="U409" i="6"/>
  <c r="W409" i="6" s="1"/>
  <c r="U361" i="6"/>
  <c r="W361" i="6" s="1"/>
  <c r="U313" i="6"/>
  <c r="W313" i="6" s="1"/>
  <c r="U397" i="6"/>
  <c r="U211" i="6"/>
  <c r="W211" i="6" s="1"/>
  <c r="U286" i="6"/>
  <c r="W286" i="6" s="1"/>
  <c r="U145" i="6"/>
  <c r="W145" i="6" s="1"/>
  <c r="U97" i="6"/>
  <c r="W97" i="6" s="1"/>
  <c r="U49" i="6"/>
  <c r="W49" i="6" s="1"/>
  <c r="U274" i="6"/>
  <c r="W274" i="6" s="1"/>
  <c r="U13" i="6"/>
  <c r="W13" i="6" s="1"/>
  <c r="U196" i="6"/>
  <c r="W196" i="6" s="1"/>
  <c r="W88" i="6"/>
  <c r="U136" i="6"/>
  <c r="W136" i="6" s="1"/>
  <c r="U10" i="6"/>
  <c r="W10" i="6" s="1"/>
  <c r="R758" i="5"/>
  <c r="T758" i="5" s="1"/>
  <c r="R740" i="5"/>
  <c r="T740" i="5" s="1"/>
  <c r="R716" i="5"/>
  <c r="T716" i="5" s="1"/>
  <c r="R692" i="5"/>
  <c r="T692" i="5" s="1"/>
  <c r="R668" i="5"/>
  <c r="T668" i="5" s="1"/>
  <c r="R644" i="5"/>
  <c r="T644" i="5" s="1"/>
  <c r="R620" i="5"/>
  <c r="T620" i="5" s="1"/>
  <c r="R596" i="5"/>
  <c r="T596" i="5" s="1"/>
  <c r="R302" i="5"/>
  <c r="T302" i="5" s="1"/>
  <c r="R278" i="5"/>
  <c r="T278" i="5" s="1"/>
  <c r="R230" i="5"/>
  <c r="T230" i="5" s="1"/>
  <c r="R218" i="5"/>
  <c r="T218" i="5" s="1"/>
  <c r="R86" i="5"/>
  <c r="T86" i="5" s="1"/>
  <c r="T68" i="5"/>
  <c r="R26" i="5"/>
  <c r="T26" i="5" s="1"/>
  <c r="R785" i="5"/>
  <c r="T785" i="5" s="1"/>
  <c r="R767" i="5"/>
  <c r="T767" i="5" s="1"/>
  <c r="R560" i="5"/>
  <c r="T560" i="5" s="1"/>
  <c r="R536" i="5"/>
  <c r="T536" i="5" s="1"/>
  <c r="R512" i="5"/>
  <c r="T512" i="5" s="1"/>
  <c r="R488" i="5"/>
  <c r="T488" i="5" s="1"/>
  <c r="R464" i="5"/>
  <c r="T464" i="5" s="1"/>
  <c r="R242" i="5"/>
  <c r="T242" i="5" s="1"/>
  <c r="R194" i="5"/>
  <c r="T194" i="5" s="1"/>
  <c r="R170" i="5"/>
  <c r="T170" i="5" s="1"/>
  <c r="R146" i="5"/>
  <c r="T146" i="5" s="1"/>
  <c r="R122" i="5"/>
  <c r="T122" i="5" s="1"/>
  <c r="R98" i="5"/>
  <c r="T98" i="5" s="1"/>
  <c r="R38" i="5"/>
  <c r="T38" i="5" s="1"/>
  <c r="R794" i="5"/>
  <c r="T794" i="5" s="1"/>
  <c r="R755" i="5"/>
  <c r="T755" i="5" s="1"/>
  <c r="R728" i="5"/>
  <c r="T728" i="5" s="1"/>
  <c r="R704" i="5"/>
  <c r="T704" i="5" s="1"/>
  <c r="R680" i="5"/>
  <c r="T680" i="5" s="1"/>
  <c r="R656" i="5"/>
  <c r="T656" i="5" s="1"/>
  <c r="R632" i="5"/>
  <c r="T632" i="5" s="1"/>
  <c r="R608" i="5"/>
  <c r="T608" i="5" s="1"/>
  <c r="R584" i="5"/>
  <c r="T584" i="5" s="1"/>
  <c r="R839" i="5"/>
  <c r="T839" i="5" s="1"/>
  <c r="R314" i="5"/>
  <c r="T314" i="5" s="1"/>
  <c r="R254" i="5"/>
  <c r="T254" i="5" s="1"/>
  <c r="R62" i="5"/>
  <c r="T62" i="5" s="1"/>
  <c r="R14" i="5"/>
  <c r="T14" i="5" s="1"/>
  <c r="R770" i="5"/>
  <c r="T770" i="5" s="1"/>
  <c r="T602" i="5"/>
  <c r="R572" i="5"/>
  <c r="T572" i="5" s="1"/>
  <c r="R548" i="5"/>
  <c r="T548" i="5" s="1"/>
  <c r="R524" i="5"/>
  <c r="T524" i="5" s="1"/>
  <c r="R500" i="5"/>
  <c r="T500" i="5" s="1"/>
  <c r="R815" i="5"/>
  <c r="T815" i="5" s="1"/>
  <c r="R791" i="5"/>
  <c r="T791" i="5" s="1"/>
  <c r="R461" i="5"/>
  <c r="T461" i="5" s="1"/>
  <c r="R266" i="5"/>
  <c r="T266" i="5" s="1"/>
  <c r="R206" i="5"/>
  <c r="T206" i="5" s="1"/>
  <c r="R182" i="5"/>
  <c r="T182" i="5" s="1"/>
  <c r="R158" i="5"/>
  <c r="T158" i="5" s="1"/>
  <c r="R134" i="5"/>
  <c r="T134" i="5" s="1"/>
  <c r="R110" i="5"/>
  <c r="T110" i="5" s="1"/>
  <c r="R74" i="5"/>
  <c r="T74" i="5" s="1"/>
  <c r="R50" i="5"/>
  <c r="T50" i="5" s="1"/>
</calcChain>
</file>

<file path=xl/sharedStrings.xml><?xml version="1.0" encoding="utf-8"?>
<sst xmlns="http://schemas.openxmlformats.org/spreadsheetml/2006/main" count="5480" uniqueCount="432">
  <si>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</si>
  <si>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</si>
  <si>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</si>
  <si>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</si>
  <si>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</si>
  <si>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</si>
  <si>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</si>
  <si>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</si>
  <si>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</si>
  <si>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</si>
  <si>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</si>
  <si>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</si>
  <si>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</si>
  <si>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</si>
  <si>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</si>
  <si>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</si>
  <si>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</si>
  <si>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</si>
  <si>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</si>
  <si>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</si>
  <si>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</si>
  <si>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</si>
  <si>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</si>
  <si>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</si>
  <si>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</si>
  <si>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</si>
  <si>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</si>
  <si>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</si>
  <si>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</si>
  <si>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</si>
  <si>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</si>
  <si>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</si>
  <si>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</si>
  <si>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</si>
  <si>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</si>
  <si>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</si>
  <si>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</si>
  <si>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</si>
  <si>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</si>
  <si>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</si>
  <si>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</si>
  <si>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</si>
  <si>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</si>
  <si>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</si>
  <si>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</si>
  <si>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</si>
  <si>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</si>
  <si>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</si>
  <si>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</si>
  <si>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</si>
  <si>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</si>
  <si>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</si>
  <si>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</si>
  <si>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</si>
  <si>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</si>
  <si>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</si>
  <si>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</si>
  <si>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</si>
  <si>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</si>
  <si>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</si>
  <si>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</si>
  <si>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</si>
  <si>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</si>
  <si>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</si>
  <si>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</si>
  <si>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</si>
  <si>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</si>
  <si>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</si>
  <si>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</si>
  <si>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</si>
  <si>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</si>
  <si>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</si>
  <si>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</si>
  <si>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</si>
  <si>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</si>
  <si>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</si>
  <si>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</si>
  <si>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</si>
  <si>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</si>
  <si>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</si>
  <si>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</si>
  <si>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</si>
  <si>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</si>
  <si>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</si>
  <si>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</si>
  <si>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</si>
  <si>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</si>
  <si>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</si>
  <si>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</si>
  <si>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</si>
  <si>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</si>
  <si>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</si>
  <si>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</si>
  <si>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</si>
  <si>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</si>
  <si>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</si>
  <si>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</si>
  <si>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</si>
  <si>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</si>
  <si>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</si>
  <si>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</si>
  <si>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</si>
  <si>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</si>
  <si>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</si>
  <si>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</si>
  <si>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</si>
  <si>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</si>
  <si>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</si>
  <si>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</si>
  <si>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</si>
  <si>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</si>
  <si>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</si>
  <si>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</si>
  <si>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</si>
  <si>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</si>
  <si>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</si>
  <si>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</si>
  <si>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</si>
  <si>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</si>
  <si>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</si>
  <si>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</si>
  <si>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</si>
  <si>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</si>
  <si>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</si>
  <si>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</si>
  <si>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</si>
  <si>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</si>
  <si>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</si>
  <si>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</si>
  <si>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</si>
  <si>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</si>
  <si>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</si>
  <si>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</si>
  <si>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</si>
  <si>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</si>
  <si>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</si>
  <si>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</si>
  <si>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</si>
  <si>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</si>
  <si>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</si>
  <si>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</si>
  <si>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</si>
  <si>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</si>
  <si>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</si>
  <si>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</si>
  <si>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</si>
  <si>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</si>
  <si>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</si>
  <si>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</si>
  <si>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</si>
  <si>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</si>
  <si>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</si>
  <si>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</si>
  <si>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</si>
  <si>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</si>
  <si>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</si>
  <si>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</si>
  <si>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</si>
  <si>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</si>
  <si>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</si>
  <si>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</si>
  <si>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CPX (LPDN PRE 20, POST 37)</t>
  </si>
  <si>
    <t>CPX (LPDN PRE 25, POST 44)</t>
  </si>
  <si>
    <t>CPX (LPDN PRE 13, POST 28)</t>
  </si>
  <si>
    <t>CPX (LPDN PRE 16, POST 56</t>
  </si>
  <si>
    <t>CPX (LPDN PRE 28, POST 49)</t>
  </si>
  <si>
    <t>Layer</t>
  </si>
  <si>
    <t>Wafer Type</t>
  </si>
  <si>
    <t>RESP1B QC Log</t>
  </si>
  <si>
    <t>BARC</t>
  </si>
  <si>
    <t>BARC1800</t>
  </si>
  <si>
    <t>BARC-ER</t>
  </si>
  <si>
    <t>PAD PR</t>
  </si>
  <si>
    <t>ASH-RATE</t>
  </si>
  <si>
    <t>TEOS</t>
  </si>
  <si>
    <t>ATZP91</t>
  </si>
  <si>
    <t>ME-ER</t>
  </si>
  <si>
    <t>Recipe</t>
  </si>
  <si>
    <t>Max Etch Rate</t>
  </si>
  <si>
    <t>Min Etch Rate</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</si>
  <si>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</si>
  <si>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</si>
  <si>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</si>
  <si>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</si>
  <si>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</si>
  <si>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</si>
  <si>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</si>
  <si>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</si>
  <si>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</si>
  <si>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</si>
  <si>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</si>
  <si>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</si>
  <si>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</si>
  <si>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</si>
  <si>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</si>
  <si>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</si>
  <si>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</si>
  <si>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</si>
  <si>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</si>
  <si>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</si>
  <si>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</si>
  <si>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</si>
  <si>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</si>
  <si>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</si>
  <si>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</si>
  <si>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</si>
  <si>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</si>
  <si>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</si>
  <si>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</si>
  <si>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</si>
  <si>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</si>
  <si>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</si>
  <si>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</si>
  <si>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</si>
  <si>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</si>
  <si>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</si>
  <si>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</si>
  <si>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</si>
  <si>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</si>
  <si>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</si>
  <si>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</si>
  <si>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</si>
  <si>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</si>
  <si>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</si>
  <si>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</si>
  <si>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</si>
  <si>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</si>
  <si>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</si>
  <si>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</si>
  <si>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</si>
  <si>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</si>
  <si>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</si>
  <si>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</si>
  <si>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</si>
  <si>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Tech EC</t>
  </si>
  <si>
    <t>SIN</t>
  </si>
  <si>
    <t>SOME POST MEASUREMENTS IN mtop1 IS ZERO. SO MEASURED TWICE AND TOOK REF FROM PREVIOUS VALUES</t>
  </si>
  <si>
    <t>Q18090068.F1</t>
  </si>
  <si>
    <t>Q18220024.F1</t>
  </si>
  <si>
    <t>Q18280002.F1</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</si>
  <si>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</si>
  <si>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</si>
  <si>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</si>
  <si>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</si>
  <si>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</si>
  <si>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</si>
  <si>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</si>
  <si>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</si>
  <si>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</si>
  <si>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</si>
  <si>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</si>
  <si>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</si>
  <si>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</si>
  <si>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</si>
  <si>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</si>
  <si>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</si>
  <si>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</si>
  <si>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</si>
  <si>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</si>
  <si>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</si>
  <si>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</si>
  <si>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</si>
  <si>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 USL</t>
  </si>
  <si>
    <t>Employee Code</t>
  </si>
  <si>
    <t>Lot ID</t>
  </si>
  <si>
    <t>Thickness  (Å)</t>
  </si>
  <si>
    <t>CPX DOWN</t>
  </si>
  <si>
    <t>On DIA</t>
  </si>
  <si>
    <t>% Uni</t>
  </si>
  <si>
    <t>Q19190127.F1</t>
  </si>
  <si>
    <t>CPX (LPDN PRE 23, POST 42)</t>
  </si>
  <si>
    <t>CPX (LPDN PRE 10, POST 14)</t>
  </si>
  <si>
    <t>CPX (LPDN PRE 18, POST 21)</t>
  </si>
  <si>
    <t>Q19210079.F1</t>
  </si>
  <si>
    <t>CPX (LPDN PRE 16, POST 23</t>
  </si>
  <si>
    <t>Q19220025.F1</t>
  </si>
  <si>
    <t>CPX (LPDN PRE 26, POST 37</t>
  </si>
  <si>
    <t>Q19220072.F1</t>
  </si>
  <si>
    <t>CPX (LPDN PRE 361, POST 484)</t>
  </si>
  <si>
    <t>Q19230019.F1</t>
  </si>
  <si>
    <t>CPX (LPDN PRE 43, POST 145)</t>
  </si>
  <si>
    <t>Q19230064.F1</t>
  </si>
  <si>
    <t>Q19240032.F1</t>
  </si>
  <si>
    <t>CPX (LPDN PRE , POST 225)</t>
  </si>
  <si>
    <t>CPX (LPDN PRE 30, POST 48)</t>
  </si>
  <si>
    <t>Q19240095.F1</t>
  </si>
  <si>
    <t>CPX (LPDN PRE 25, POST 63)</t>
  </si>
  <si>
    <t>CPX (LPDN PRE 58, POST 303)</t>
  </si>
  <si>
    <t>Q19250108.F1</t>
  </si>
  <si>
    <t>CPX (LPDN PRE 26, POST 133)</t>
  </si>
  <si>
    <t>Q19260071.F1</t>
  </si>
  <si>
    <t>CPX (LPDN PRE 11, POST 312)</t>
  </si>
  <si>
    <t>CH RF PM, POLYMER FLAKES DROPPED ON WF</t>
  </si>
  <si>
    <t>CPX (LPDN PRE 10, POST206 )</t>
  </si>
  <si>
    <t>CPX (LPDN PRE 22, POST250 )</t>
  </si>
  <si>
    <t>GLOBAL WF</t>
  </si>
  <si>
    <t>CPX (LPDN PRE 119, POST475 )</t>
  </si>
  <si>
    <t>CPX (LPDN PRE 38, POST215 )</t>
  </si>
  <si>
    <t>QC AFTER PM</t>
  </si>
  <si>
    <t>CPX (LPDN PRE 10, POST 31 )</t>
  </si>
  <si>
    <t>Q19270050.F1</t>
  </si>
  <si>
    <t>CPX (LPDN PRE 35, POST 68 )</t>
  </si>
  <si>
    <t>1335/1428</t>
  </si>
  <si>
    <t>CPX (LPDN PRE 6, POST 14 )</t>
  </si>
  <si>
    <t>CPX (LPDN PRE 8, POST 17)</t>
  </si>
  <si>
    <t>Q19280063.F1</t>
  </si>
  <si>
    <t>CPX (LPDN PRE 5, POST 15)</t>
  </si>
  <si>
    <t>Q19290003.F1</t>
  </si>
  <si>
    <t>CPX (LPDN PRE 2, POST 14)</t>
  </si>
  <si>
    <t>Q19290071.F1</t>
  </si>
  <si>
    <t>CPX (LPDN PRE 04 POST 06)</t>
  </si>
  <si>
    <t>Q19300075.F1</t>
  </si>
  <si>
    <t>CPX (LPDN PRE 34 POST 59)</t>
  </si>
  <si>
    <t>CPX (LPDN PRE 14 POST 19)</t>
  </si>
  <si>
    <t>Q19310016.F1</t>
  </si>
  <si>
    <t>CPX (LPDN PRE 04 POST 10)</t>
  </si>
  <si>
    <t>Q19310109.F1</t>
  </si>
  <si>
    <t>CPX (LPDN PRE 32 POST 50)</t>
  </si>
  <si>
    <t>Q19320006.F1</t>
  </si>
  <si>
    <t>CPX (LPDN PRE 16 POST 98)</t>
  </si>
  <si>
    <t>Q19320083.F1</t>
  </si>
  <si>
    <t>CPX (LPDN PRE 104 POST 111)</t>
  </si>
  <si>
    <t>Q19330011.F1</t>
  </si>
  <si>
    <t>CPX (LPDN PRE 137 POST 216)</t>
  </si>
  <si>
    <t>Q19330069.F1</t>
  </si>
  <si>
    <t>CPX (LPDN PRE 53 POST 86)</t>
  </si>
  <si>
    <t>Q193400056.F1</t>
  </si>
  <si>
    <t>CPX (LPDN PRE 119 POST 195)</t>
  </si>
  <si>
    <t>Q19340092.F1</t>
  </si>
  <si>
    <t>CPX (LPDN PRE 194 POST 266)</t>
  </si>
  <si>
    <t>Q19350020.F1</t>
  </si>
  <si>
    <t>CPX (LPDN PRE 14 POST 227)</t>
  </si>
  <si>
    <t>Q19350094.F1</t>
  </si>
  <si>
    <t>Q19360005.F1</t>
  </si>
  <si>
    <t>YEDR1(LPDN PRE 20 POST 19)</t>
  </si>
  <si>
    <t>Q19360115.F1</t>
  </si>
  <si>
    <t>Q19370005.F1</t>
  </si>
  <si>
    <t>CPX (LPDN PRE 21 POST 55)</t>
  </si>
  <si>
    <t>1159/64</t>
  </si>
  <si>
    <t>After 25 SiN wfs seasoning</t>
  </si>
  <si>
    <t>After 22 SiN wfs seasoning</t>
  </si>
  <si>
    <t>After 15 SiN wfs seasoning</t>
  </si>
  <si>
    <t>YEDR1(LPDN PRE 113 POST 423)</t>
  </si>
  <si>
    <t>YEDR1(LPDN PRE 48 POST 291)</t>
  </si>
  <si>
    <t>YEDR1(LPDN PRE 17 POST 180)</t>
  </si>
  <si>
    <t>YEDR1(LPDN PRE 16 POST 235)</t>
  </si>
  <si>
    <t>YEDR1(LPDN PRE 42 POST 286)</t>
  </si>
  <si>
    <t>After 15 Bare Si wfs seasoning</t>
  </si>
  <si>
    <t>After Partial Chamber PM</t>
  </si>
  <si>
    <t>After Complete PM &amp; After 25 SiN wfs seasoning</t>
  </si>
  <si>
    <t>YEDR1(LPDN PRE 5 POST 485)</t>
  </si>
  <si>
    <t>YEDR1(LPDN PRE 7 POST 36)</t>
  </si>
  <si>
    <t>After repeat full PM (New process Kit) &amp; 25 wf Nit Seasoning</t>
  </si>
  <si>
    <t>YEDR1(LPDN PRE 4 POST 17)</t>
  </si>
  <si>
    <t>After 50 SiN wfs seasoning</t>
  </si>
  <si>
    <t>YEDR1(LPDN PRE 74 POST 156)</t>
  </si>
  <si>
    <t>ON TSL WAFER</t>
  </si>
  <si>
    <t>25 SiN Seasoning</t>
  </si>
  <si>
    <t>YEDR1(LPDN PRE 23 POST 180)</t>
  </si>
  <si>
    <t>6 Bare Si Seasoning</t>
  </si>
  <si>
    <t>YEDR1(LPDN PRE 36 POST 217)</t>
  </si>
  <si>
    <t>YEDR1(LPDN PRE 17 POST 69)</t>
  </si>
  <si>
    <t>WITHOUT SEASONING</t>
  </si>
  <si>
    <t>YEDR1(LPDN PRE 13 POST 62)</t>
  </si>
  <si>
    <t>5 Bare Si Seasoning</t>
  </si>
  <si>
    <t>YEDR1(LPDN PRE 21 POST 124)</t>
  </si>
  <si>
    <t>Old Focus Ring installed &amp; 10 Nit wf seasoning</t>
  </si>
  <si>
    <t>YEDR1(LPDN PRE 09 POST 179)</t>
  </si>
  <si>
    <t>74/1159</t>
  </si>
  <si>
    <t>After 13NIT wfs seasoning</t>
  </si>
  <si>
    <t>YEDR1(LPDN PRE 154 POST 317)</t>
  </si>
  <si>
    <t>YEDR1(LPDN PRE 140 POST377 )</t>
  </si>
  <si>
    <t>YEDR1(LPDN PRE 19 POST163 )</t>
  </si>
  <si>
    <t>NEW 5 Bare Si Seasoning WFS</t>
  </si>
  <si>
    <t>YEDR1(LPDN PRE 16 POST227 )</t>
  </si>
  <si>
    <t>50 wf seasoning</t>
  </si>
  <si>
    <t>YEDR1(LPDN PRE 14 POST 85 )</t>
  </si>
  <si>
    <t>YEDR1(LPDN PRE 60 POST 200 )</t>
  </si>
  <si>
    <t>YEDR1(LPDN PRE 125 POST 211 )</t>
  </si>
  <si>
    <t>YEDR1(LPDN PRE 133 POST 234 )</t>
  </si>
  <si>
    <t>Q19380113.F1</t>
  </si>
  <si>
    <t>TSL wfs</t>
  </si>
  <si>
    <t>Q19390034.F1</t>
  </si>
  <si>
    <t>YEDR1(LPDN PRE 25 POST 59 )</t>
  </si>
  <si>
    <t>Q19390112.F1</t>
  </si>
  <si>
    <t>YEDR1(LPDN PRE 35 POST 58 )</t>
  </si>
  <si>
    <t>YEDR1 (LPDN PRE 73 POST 103)</t>
  </si>
  <si>
    <t>Q19400063.F1</t>
  </si>
  <si>
    <t>YEDR1 (LPDN PRE 13 POST 108)</t>
  </si>
  <si>
    <t>New Focus Ring installed &amp; 05 Nit wf seasoning</t>
  </si>
  <si>
    <t>YEDR1 (LPDN PRE 10 POST 22)</t>
  </si>
  <si>
    <t>YEDR1 (LPDN PRE 23 POST 108)</t>
  </si>
  <si>
    <t>New Focus Ring installed &amp; 20 More Nit wf seasoning</t>
  </si>
  <si>
    <t>New Focus Ring installed &amp; 05 Bare Si wf seasoning</t>
  </si>
  <si>
    <t>Q19410028.F1</t>
  </si>
  <si>
    <t>YEDR1 (LPDN PRE 33 POST 49)</t>
  </si>
  <si>
    <t>1335/121</t>
  </si>
  <si>
    <t>Q19410068.F1</t>
  </si>
  <si>
    <t>YEDR1 (LPDN PRE 73 POST 100)</t>
  </si>
  <si>
    <t>Q19420009.F1</t>
  </si>
  <si>
    <t>YEDR1 (LPDN PRE 17 POST 38)</t>
  </si>
  <si>
    <t>Q19420087.F1</t>
  </si>
  <si>
    <t xml:space="preserve">  Q19430057.F1  </t>
  </si>
  <si>
    <t>Q19440032.F1</t>
  </si>
  <si>
    <t>Q19440094.F1</t>
  </si>
  <si>
    <t>YEDR1 (LPDN PRE 19 POST 36)</t>
  </si>
  <si>
    <t>YEDR1 (LPDN PRE 7 POST 16)</t>
  </si>
  <si>
    <t>Q19450031.F1</t>
  </si>
  <si>
    <t>YEDR1 (LPDN PRE 59 POST 33)</t>
  </si>
  <si>
    <t>YEDR1 (LPDN PRE 80 POST 138)</t>
  </si>
  <si>
    <t>YEDR1 (LPDN PRE 1 POST 2)</t>
  </si>
  <si>
    <t>Q19460006.F1</t>
  </si>
  <si>
    <t>121/1340</t>
  </si>
  <si>
    <t>YEDR1 (LPDN PRE 73 POST 130)</t>
  </si>
  <si>
    <t>Q19460055.F1</t>
  </si>
  <si>
    <t>YEDR1 (LPDN PRE 90 POST 143)</t>
  </si>
  <si>
    <t>Q19470019.F1</t>
  </si>
  <si>
    <t>YEDR1 (LPDN PRE 21 POST 35)</t>
  </si>
  <si>
    <t>Q19470081.F1</t>
  </si>
  <si>
    <t>Q19480026.F1</t>
  </si>
  <si>
    <t>Q19480034.F1</t>
  </si>
  <si>
    <t>Q19480091.F1</t>
  </si>
  <si>
    <t>YEDR1 (LPDN PRE 0 POST 07)</t>
  </si>
  <si>
    <t>YEDR1 (LPDN PRE 4 POST 08)</t>
  </si>
  <si>
    <t>Q19490008.F1</t>
  </si>
  <si>
    <t>Now onwards New GRITEK Wf are being used, CONTROL LIMIT CHANGED CONSIDERING PASS VALUES FROM 1/JAN/19</t>
  </si>
  <si>
    <t>YEDR1 (LPDN PRE 01 POST 13)</t>
  </si>
  <si>
    <t>1335/1159</t>
  </si>
  <si>
    <t>Q19490122.F1</t>
  </si>
  <si>
    <t>Q19500004.F1</t>
  </si>
  <si>
    <t>x</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</si>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</sst>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yy"/>
    <numFmt numFmtId="165" formatCode="0.00_);\(0.00\)"/>
    <numFmt numFmtId="166" formatCode="0_);\(0\)"/>
    <numFmt numFmtId="167" formatCode="m/d/yyyy;@"/>
    <numFmt numFmtId="168" formatCode="m/d;@"/>
    <numFmt numFmtId="169" formatCode="0.000000"/>
  </numFmts>
  <fonts count="33"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
      <sz val="10"/>
      <color rgb="FF00B050"/>
      <name val="Calibri"/>
      <family val="2"/>
      <scheme val="minor"/>
    </font>
    <font>
      <b/>
      <sz val="10"/>
      <color rgb="FF00B050"/>
      <name val="Calibri"/>
      <family val="2"/>
      <scheme val="minor"/>
    </font>
    <font>
      <sz val="9"/>
      <color theme="1"/>
      <name val="Arial"/>
      <family val="2"/>
      <charset val="177"/>
    </font>
    <font>
      <sz val="28"/>
      <color rgb="FF00000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6">
    <xf numFmtId="0" fontId="0" fillId="0" borderId="0"/>
    <xf numFmtId="0" fontId="4" fillId="0" borderId="0"/>
    <xf numFmtId="0" fontId="1" fillId="0" borderId="0"/>
    <xf numFmtId="0" fontId="1" fillId="0" borderId="0"/>
    <xf numFmtId="0" fontId="1" fillId="0" borderId="0"/>
    <xf numFmtId="0" fontId="1" fillId="0" borderId="0"/>
  </cellStyleXfs>
  <cellXfs count="403">
    <xf numFmtId="0" fontId="0" fillId="0" borderId="0" xfId="0"/>
    <xf numFmtId="0" fontId="2" fillId="0" borderId="0" xfId="0" applyFont="1"/>
    <xf numFmtId="0" fontId="8" fillId="0" borderId="0" xfId="1" applyFont="1" applyBorder="1" applyAlignment="1">
      <alignment horizontal="center" vertical="center"/>
    </xf>
    <xf numFmtId="0" fontId="4" fillId="0" borderId="0" xfId="1"/>
    <xf numFmtId="0" fontId="7" fillId="2" borderId="2" xfId="1" applyFont="1" applyFill="1" applyBorder="1" applyAlignment="1">
      <alignment horizontal="center" vertical="center"/>
    </xf>
    <xf numFmtId="0" fontId="8" fillId="0" borderId="4" xfId="1" applyFont="1" applyBorder="1" applyAlignment="1">
      <alignment horizontal="center" vertical="top"/>
    </xf>
    <xf numFmtId="0" fontId="8" fillId="0" borderId="4" xfId="1" applyFont="1" applyBorder="1" applyAlignment="1">
      <alignment horizontal="center" vertical="top" wrapText="1"/>
    </xf>
    <xf numFmtId="0" fontId="4" fillId="0" borderId="4" xfId="1" applyBorder="1" applyAlignment="1">
      <alignment horizontal="center" vertical="center"/>
    </xf>
    <xf numFmtId="0" fontId="4" fillId="0" borderId="4" xfId="1" applyBorder="1" applyAlignment="1">
      <alignment horizontal="center"/>
    </xf>
    <xf numFmtId="0" fontId="4" fillId="0" borderId="4" xfId="1" applyFill="1" applyBorder="1" applyAlignment="1">
      <alignment horizontal="center" vertical="center"/>
    </xf>
    <xf numFmtId="0" fontId="4" fillId="0" borderId="0" xfId="1" applyAlignment="1">
      <alignment horizontal="center" vertical="center"/>
    </xf>
    <xf numFmtId="0" fontId="4" fillId="0" borderId="0" xfId="1" applyAlignment="1">
      <alignment horizontal="center"/>
    </xf>
    <xf numFmtId="164" fontId="4" fillId="3" borderId="0" xfId="1" applyNumberFormat="1" applyFill="1" applyAlignment="1">
      <alignment horizontal="center" vertical="top"/>
    </xf>
    <xf numFmtId="0" fontId="4" fillId="3" borderId="0" xfId="1" applyFill="1" applyAlignment="1">
      <alignment horizontal="center" vertical="top"/>
    </xf>
    <xf numFmtId="0" fontId="4" fillId="3" borderId="0" xfId="1" applyFill="1"/>
    <xf numFmtId="0" fontId="11" fillId="0" borderId="0" xfId="1" applyFont="1"/>
    <xf numFmtId="0" fontId="4" fillId="3" borderId="0" xfId="1" applyFill="1" applyBorder="1"/>
    <xf numFmtId="0" fontId="12" fillId="0" borderId="0" xfId="1" applyFont="1"/>
    <xf numFmtId="164" fontId="4" fillId="3" borderId="0" xfId="1" applyNumberFormat="1" applyFill="1" applyBorder="1" applyAlignment="1">
      <alignment horizontal="center" vertical="top"/>
    </xf>
    <xf numFmtId="0" fontId="4" fillId="3" borderId="0" xfId="1" applyFill="1" applyBorder="1" applyAlignment="1">
      <alignment horizontal="center" vertical="top"/>
    </xf>
    <xf numFmtId="0" fontId="13" fillId="0" borderId="4" xfId="1" applyFont="1" applyBorder="1" applyAlignment="1">
      <alignment horizontal="center" vertical="top"/>
    </xf>
    <xf numFmtId="0" fontId="13" fillId="0" borderId="4" xfId="1" applyFont="1" applyBorder="1" applyAlignment="1">
      <alignment horizontal="center"/>
    </xf>
    <xf numFmtId="0" fontId="13" fillId="0" borderId="6" xfId="1" applyFont="1" applyBorder="1" applyAlignment="1"/>
    <xf numFmtId="0" fontId="13" fillId="0" borderId="7" xfId="1" applyFont="1" applyBorder="1" applyAlignment="1"/>
    <xf numFmtId="0" fontId="4" fillId="0" borderId="4" xfId="1" applyBorder="1" applyAlignment="1">
      <alignment horizontal="center" vertical="top"/>
    </xf>
    <xf numFmtId="0" fontId="4" fillId="0" borderId="6" xfId="1" applyBorder="1" applyAlignment="1"/>
    <xf numFmtId="0" fontId="4" fillId="0" borderId="7" xfId="1" applyBorder="1" applyAlignment="1"/>
    <xf numFmtId="0" fontId="8" fillId="0" borderId="16" xfId="1" applyFont="1" applyBorder="1" applyAlignment="1">
      <alignment horizontal="center" vertical="top" wrapText="1"/>
    </xf>
    <xf numFmtId="0" fontId="8" fillId="0" borderId="15" xfId="1" applyFont="1" applyBorder="1" applyAlignment="1">
      <alignment horizontal="center" vertical="top" wrapText="1"/>
    </xf>
    <xf numFmtId="0" fontId="8" fillId="0" borderId="15" xfId="1" applyFont="1" applyFill="1" applyBorder="1" applyAlignment="1">
      <alignment horizontal="center" vertical="top" wrapText="1"/>
    </xf>
    <xf numFmtId="165" fontId="8" fillId="0" borderId="15" xfId="1" applyNumberFormat="1" applyFont="1" applyFill="1" applyBorder="1" applyAlignment="1">
      <alignment horizontal="center" vertical="top" wrapText="1"/>
    </xf>
    <xf numFmtId="0" fontId="12" fillId="0" borderId="0" xfId="1" applyFont="1" applyFill="1" applyBorder="1" applyAlignment="1">
      <alignment horizontal="center" vertical="top"/>
    </xf>
    <xf numFmtId="0" fontId="4" fillId="0" borderId="9" xfId="1" applyBorder="1" applyAlignment="1">
      <alignment horizontal="center" vertical="top"/>
    </xf>
    <xf numFmtId="0" fontId="8" fillId="0" borderId="1" xfId="1" applyFont="1" applyBorder="1" applyAlignment="1">
      <alignment horizontal="center" vertical="top" wrapText="1"/>
    </xf>
    <xf numFmtId="0" fontId="8" fillId="0" borderId="9" xfId="1" applyFont="1" applyBorder="1" applyAlignment="1">
      <alignment horizontal="center" vertical="top" wrapText="1"/>
    </xf>
    <xf numFmtId="0" fontId="8" fillId="0" borderId="9" xfId="1" applyFont="1" applyFill="1" applyBorder="1" applyAlignment="1">
      <alignment horizontal="center" vertical="top" wrapText="1"/>
    </xf>
    <xf numFmtId="165" fontId="8" fillId="0" borderId="9" xfId="1" applyNumberFormat="1" applyFont="1" applyFill="1" applyBorder="1" applyAlignment="1">
      <alignment horizontal="center" vertical="top" wrapText="1"/>
    </xf>
    <xf numFmtId="0" fontId="4" fillId="0" borderId="8" xfId="1" applyBorder="1" applyAlignment="1">
      <alignment horizontal="center" vertical="top"/>
    </xf>
    <xf numFmtId="0" fontId="8" fillId="0" borderId="3" xfId="1" applyFont="1" applyBorder="1" applyAlignment="1">
      <alignment horizontal="center" vertical="top" wrapText="1"/>
    </xf>
    <xf numFmtId="0" fontId="8" fillId="0" borderId="8" xfId="1" applyFont="1" applyBorder="1" applyAlignment="1">
      <alignment horizontal="center" vertical="top" wrapText="1"/>
    </xf>
    <xf numFmtId="0" fontId="9" fillId="0" borderId="4" xfId="1" applyFont="1" applyFill="1" applyBorder="1" applyAlignment="1">
      <alignment horizontal="center" vertical="top" wrapText="1"/>
    </xf>
    <xf numFmtId="0" fontId="8" fillId="0" borderId="8" xfId="1" applyFont="1" applyFill="1" applyBorder="1" applyAlignment="1">
      <alignment horizontal="center" vertical="top" wrapText="1"/>
    </xf>
    <xf numFmtId="165" fontId="8" fillId="0" borderId="8" xfId="1" applyNumberFormat="1" applyFont="1" applyFill="1" applyBorder="1" applyAlignment="1">
      <alignment horizontal="center" vertical="top" wrapText="1"/>
    </xf>
    <xf numFmtId="0" fontId="4" fillId="0" borderId="1" xfId="1" applyBorder="1" applyAlignment="1">
      <alignment horizontal="center" vertical="top"/>
    </xf>
    <xf numFmtId="0" fontId="8" fillId="0" borderId="17" xfId="1" applyFont="1" applyBorder="1" applyAlignment="1">
      <alignment horizontal="center" vertical="top" wrapText="1"/>
    </xf>
    <xf numFmtId="0" fontId="9" fillId="0" borderId="5" xfId="1" applyFont="1" applyFill="1" applyBorder="1" applyAlignment="1">
      <alignment horizontal="center" vertical="top" wrapText="1"/>
    </xf>
    <xf numFmtId="0" fontId="8" fillId="0" borderId="5" xfId="1" applyFont="1" applyBorder="1" applyAlignment="1">
      <alignment horizontal="center" vertical="top" wrapText="1"/>
    </xf>
    <xf numFmtId="0" fontId="8" fillId="0" borderId="22" xfId="1" applyFont="1" applyBorder="1" applyAlignment="1">
      <alignment horizontal="center" vertical="top" wrapText="1"/>
    </xf>
    <xf numFmtId="0" fontId="8" fillId="0" borderId="5" xfId="1" applyFont="1" applyFill="1" applyBorder="1" applyAlignment="1">
      <alignment horizontal="center" vertical="top" wrapText="1"/>
    </xf>
    <xf numFmtId="165" fontId="8" fillId="0" borderId="5" xfId="1" applyNumberFormat="1" applyFont="1" applyFill="1" applyBorder="1" applyAlignment="1">
      <alignment horizontal="center" vertical="top" wrapText="1"/>
    </xf>
    <xf numFmtId="0" fontId="4" fillId="0" borderId="23" xfId="1" applyBorder="1" applyAlignment="1">
      <alignment horizontal="center" vertical="top"/>
    </xf>
    <xf numFmtId="0" fontId="8" fillId="0" borderId="24" xfId="1" applyFont="1" applyBorder="1" applyAlignment="1">
      <alignment horizontal="center" vertical="top" wrapText="1"/>
    </xf>
    <xf numFmtId="0" fontId="8" fillId="0" borderId="23" xfId="1" applyFont="1" applyBorder="1" applyAlignment="1">
      <alignment horizontal="center" vertical="top" wrapText="1"/>
    </xf>
    <xf numFmtId="0" fontId="9" fillId="0" borderId="25" xfId="1" applyFont="1" applyFill="1" applyBorder="1" applyAlignment="1">
      <alignment horizontal="center" vertical="top" wrapText="1"/>
    </xf>
    <xf numFmtId="0" fontId="8" fillId="0" borderId="23" xfId="1" applyFont="1" applyFill="1" applyBorder="1" applyAlignment="1">
      <alignment horizontal="center" vertical="top" wrapText="1"/>
    </xf>
    <xf numFmtId="165" fontId="8" fillId="0" borderId="23" xfId="1" applyNumberFormat="1" applyFont="1" applyFill="1" applyBorder="1" applyAlignment="1">
      <alignment horizontal="center" vertical="top" wrapText="1"/>
    </xf>
    <xf numFmtId="0" fontId="4" fillId="0" borderId="0" xfId="1" applyFill="1" applyBorder="1"/>
    <xf numFmtId="0" fontId="9" fillId="0" borderId="10" xfId="1" applyFont="1" applyFill="1" applyBorder="1" applyAlignment="1">
      <alignment horizontal="center" vertical="top" wrapText="1"/>
    </xf>
    <xf numFmtId="0" fontId="9" fillId="0" borderId="0" xfId="1" applyFont="1" applyFill="1" applyBorder="1" applyAlignment="1">
      <alignment horizontal="center" vertical="top" wrapText="1"/>
    </xf>
    <xf numFmtId="0" fontId="8" fillId="0" borderId="17" xfId="1" applyFont="1" applyFill="1" applyBorder="1" applyAlignment="1">
      <alignment horizontal="center" vertical="top" wrapText="1"/>
    </xf>
    <xf numFmtId="165" fontId="8" fillId="0" borderId="17" xfId="1" applyNumberFormat="1" applyFont="1" applyFill="1" applyBorder="1" applyAlignment="1">
      <alignment horizontal="center" vertical="top" wrapText="1"/>
    </xf>
    <xf numFmtId="0" fontId="8" fillId="0" borderId="4" xfId="1" applyFont="1" applyFill="1" applyBorder="1" applyAlignment="1">
      <alignment horizontal="center" vertical="top" wrapText="1"/>
    </xf>
    <xf numFmtId="165" fontId="8" fillId="0" borderId="4" xfId="1" applyNumberFormat="1" applyFont="1" applyFill="1" applyBorder="1" applyAlignment="1">
      <alignment horizontal="center" vertical="top" wrapText="1"/>
    </xf>
    <xf numFmtId="0" fontId="4" fillId="0" borderId="25" xfId="1" applyBorder="1" applyAlignment="1">
      <alignment horizontal="center" vertical="top"/>
    </xf>
    <xf numFmtId="0" fontId="8" fillId="0" borderId="25" xfId="1" applyFont="1" applyBorder="1" applyAlignment="1">
      <alignment horizontal="center" vertical="top" wrapText="1"/>
    </xf>
    <xf numFmtId="0" fontId="8" fillId="0" borderId="25" xfId="1" applyFont="1" applyFill="1" applyBorder="1" applyAlignment="1">
      <alignment horizontal="center" vertical="top" wrapText="1"/>
    </xf>
    <xf numFmtId="165" fontId="8" fillId="0" borderId="25" xfId="1" applyNumberFormat="1" applyFont="1" applyFill="1" applyBorder="1" applyAlignment="1">
      <alignment horizontal="center" vertical="top" wrapText="1"/>
    </xf>
    <xf numFmtId="0" fontId="4" fillId="0" borderId="5" xfId="1" applyBorder="1" applyAlignment="1">
      <alignment horizontal="center" vertical="top"/>
    </xf>
    <xf numFmtId="164" fontId="4" fillId="0" borderId="0" xfId="1" applyNumberFormat="1" applyAlignment="1">
      <alignment horizontal="center" vertical="top"/>
    </xf>
    <xf numFmtId="0" fontId="4" fillId="0" borderId="0" xfId="1" applyAlignment="1">
      <alignment horizontal="center" vertical="top"/>
    </xf>
    <xf numFmtId="14" fontId="4" fillId="3" borderId="0" xfId="1" applyNumberFormat="1" applyFill="1"/>
    <xf numFmtId="0" fontId="4" fillId="3" borderId="0" xfId="1" applyFill="1" applyAlignment="1">
      <alignment horizontal="center"/>
    </xf>
    <xf numFmtId="0" fontId="4" fillId="3" borderId="0" xfId="1" applyNumberFormat="1" applyFill="1" applyAlignment="1">
      <alignment horizontal="center" vertical="top"/>
    </xf>
    <xf numFmtId="0" fontId="4" fillId="3" borderId="1" xfId="1" applyFill="1" applyBorder="1" applyAlignment="1">
      <alignment horizontal="center" vertical="center"/>
    </xf>
    <xf numFmtId="0" fontId="16" fillId="0" borderId="0" xfId="1" applyFont="1" applyAlignment="1">
      <alignment horizontal="center" vertical="center"/>
    </xf>
    <xf numFmtId="0" fontId="4" fillId="3" borderId="4" xfId="1" applyFill="1" applyBorder="1"/>
    <xf numFmtId="0" fontId="4" fillId="3" borderId="6" xfId="1" applyFill="1" applyBorder="1" applyAlignment="1"/>
    <xf numFmtId="0" fontId="4" fillId="3" borderId="7" xfId="1" applyFill="1" applyBorder="1" applyAlignment="1"/>
    <xf numFmtId="0" fontId="4" fillId="3" borderId="3" xfId="1" applyFill="1" applyBorder="1" applyAlignment="1">
      <alignment horizontal="center" vertical="center"/>
    </xf>
    <xf numFmtId="0" fontId="17" fillId="0" borderId="8" xfId="1" applyFont="1" applyBorder="1" applyAlignment="1">
      <alignment vertical="top" wrapText="1"/>
    </xf>
    <xf numFmtId="0" fontId="17" fillId="0" borderId="4" xfId="1" applyFont="1" applyFill="1" applyBorder="1" applyAlignment="1">
      <alignment vertical="top" wrapText="1"/>
    </xf>
    <xf numFmtId="0" fontId="4" fillId="0" borderId="0" xfId="1" applyFont="1"/>
    <xf numFmtId="0" fontId="18" fillId="0" borderId="0" xfId="1" applyFont="1" applyAlignment="1">
      <alignment horizontal="center" vertical="top"/>
    </xf>
    <xf numFmtId="0" fontId="18" fillId="0" borderId="0" xfId="1" applyFont="1" applyFill="1" applyBorder="1" applyAlignment="1">
      <alignment horizontal="center" vertical="top"/>
    </xf>
    <xf numFmtId="0" fontId="17" fillId="0" borderId="9" xfId="1" applyFont="1" applyBorder="1" applyAlignment="1">
      <alignment vertical="top" wrapText="1"/>
    </xf>
    <xf numFmtId="0" fontId="11" fillId="0" borderId="4" xfId="1" applyFont="1" applyFill="1" applyBorder="1" applyAlignment="1">
      <alignment horizontal="center" vertical="top" wrapText="1"/>
    </xf>
    <xf numFmtId="0" fontId="15" fillId="0" borderId="0" xfId="1" applyFont="1"/>
    <xf numFmtId="0" fontId="4" fillId="0" borderId="0" xfId="1" applyFont="1" applyFill="1" applyBorder="1"/>
    <xf numFmtId="0" fontId="17" fillId="0" borderId="4" xfId="1" applyFont="1" applyFill="1" applyBorder="1" applyAlignment="1">
      <alignment horizontal="center" vertical="top" wrapText="1"/>
    </xf>
    <xf numFmtId="0" fontId="1" fillId="0" borderId="0" xfId="4"/>
    <xf numFmtId="0" fontId="1" fillId="0" borderId="0" xfId="5"/>
    <xf numFmtId="0" fontId="4" fillId="0" borderId="0" xfId="1" applyNumberFormat="1" applyAlignment="1">
      <alignment horizontal="center" vertical="top"/>
    </xf>
    <xf numFmtId="0" fontId="4" fillId="0" borderId="10" xfId="1" applyBorder="1" applyAlignment="1"/>
    <xf numFmtId="165" fontId="8" fillId="0" borderId="15" xfId="1" applyNumberFormat="1" applyFont="1" applyFill="1" applyBorder="1" applyAlignment="1">
      <alignment vertical="center" wrapText="1"/>
    </xf>
    <xf numFmtId="165" fontId="8" fillId="0" borderId="5" xfId="1" applyNumberFormat="1" applyFont="1" applyFill="1" applyBorder="1" applyAlignment="1">
      <alignment vertical="center" wrapText="1"/>
    </xf>
    <xf numFmtId="165" fontId="8" fillId="0" borderId="5" xfId="1" applyNumberFormat="1" applyFont="1" applyFill="1" applyBorder="1" applyAlignment="1">
      <alignment vertical="top" wrapText="1"/>
    </xf>
    <xf numFmtId="0" fontId="4" fillId="0" borderId="0" xfId="1" applyBorder="1" applyAlignment="1"/>
    <xf numFmtId="0" fontId="12" fillId="0" borderId="0" xfId="1" applyFont="1" applyBorder="1"/>
    <xf numFmtId="0" fontId="4" fillId="0" borderId="0" xfId="1" applyFill="1" applyBorder="1" applyAlignment="1"/>
    <xf numFmtId="165" fontId="8" fillId="0" borderId="10" xfId="1" applyNumberFormat="1" applyFont="1" applyFill="1" applyBorder="1" applyAlignment="1">
      <alignment vertical="center" wrapText="1"/>
    </xf>
    <xf numFmtId="165" fontId="8" fillId="0" borderId="0" xfId="1" applyNumberFormat="1" applyFont="1" applyFill="1" applyBorder="1" applyAlignment="1">
      <alignment vertical="center" wrapText="1"/>
    </xf>
    <xf numFmtId="0" fontId="4" fillId="0" borderId="37" xfId="1" applyBorder="1" applyAlignment="1"/>
    <xf numFmtId="0" fontId="20" fillId="0" borderId="0" xfId="1" applyFont="1"/>
    <xf numFmtId="165" fontId="20" fillId="0" borderId="0" xfId="1" applyNumberFormat="1" applyFont="1"/>
    <xf numFmtId="0" fontId="20" fillId="0" borderId="0" xfId="1" applyFont="1" applyFill="1" applyBorder="1"/>
    <xf numFmtId="0" fontId="4" fillId="4" borderId="0" xfId="1" applyFill="1"/>
    <xf numFmtId="0" fontId="22" fillId="0" borderId="39" xfId="0" applyFont="1" applyBorder="1" applyAlignment="1">
      <alignment horizontal="center" vertical="center"/>
    </xf>
    <xf numFmtId="164" fontId="23" fillId="0" borderId="40" xfId="0" applyNumberFormat="1" applyFont="1" applyBorder="1" applyAlignment="1">
      <alignment horizontal="center" vertical="top" wrapText="1"/>
    </xf>
    <xf numFmtId="0" fontId="23" fillId="0" borderId="41" xfId="0" applyFont="1" applyBorder="1" applyAlignment="1">
      <alignment horizontal="center" vertical="top" wrapText="1"/>
    </xf>
    <xf numFmtId="0" fontId="23" fillId="0" borderId="41" xfId="0" applyFont="1" applyBorder="1" applyAlignment="1">
      <alignment horizontal="center" vertical="top"/>
    </xf>
    <xf numFmtId="0" fontId="4" fillId="0" borderId="4" xfId="1" applyFill="1" applyBorder="1" applyAlignment="1">
      <alignment horizontal="center"/>
    </xf>
    <xf numFmtId="0" fontId="4" fillId="0" borderId="8" xfId="1" applyBorder="1" applyAlignment="1">
      <alignment horizontal="center"/>
    </xf>
    <xf numFmtId="0" fontId="4" fillId="0" borderId="8" xfId="1" applyBorder="1" applyAlignment="1">
      <alignment horizontal="center" vertical="center"/>
    </xf>
    <xf numFmtId="0" fontId="11" fillId="0" borderId="0" xfId="1" applyFont="1" applyBorder="1" applyAlignment="1">
      <alignment horizontal="center"/>
    </xf>
    <xf numFmtId="0" fontId="8" fillId="0" borderId="9" xfId="1" applyFont="1" applyBorder="1" applyAlignment="1">
      <alignment horizontal="center" vertical="top"/>
    </xf>
    <xf numFmtId="0" fontId="8" fillId="0" borderId="18" xfId="1" applyNumberFormat="1" applyFont="1" applyBorder="1" applyAlignment="1">
      <alignment horizontal="center" vertical="top" wrapText="1"/>
    </xf>
    <xf numFmtId="0" fontId="12" fillId="0" borderId="0" xfId="1" applyFont="1" applyAlignment="1">
      <alignment horizontal="center" vertical="top"/>
    </xf>
    <xf numFmtId="0" fontId="8" fillId="0" borderId="20" xfId="1" applyNumberFormat="1" applyFont="1" applyBorder="1" applyAlignment="1">
      <alignment horizontal="center" vertical="top" wrapText="1"/>
    </xf>
    <xf numFmtId="0" fontId="12" fillId="0" borderId="0" xfId="1" applyFont="1" applyAlignment="1">
      <alignment horizontal="center"/>
    </xf>
    <xf numFmtId="0" fontId="8" fillId="0" borderId="8" xfId="1" applyFont="1" applyBorder="1" applyAlignment="1">
      <alignment horizontal="center" vertical="top"/>
    </xf>
    <xf numFmtId="0" fontId="8" fillId="0" borderId="21" xfId="1" applyNumberFormat="1" applyFont="1" applyBorder="1" applyAlignment="1">
      <alignment horizontal="center" vertical="top" wrapText="1"/>
    </xf>
    <xf numFmtId="0" fontId="8" fillId="0" borderId="5" xfId="1" applyFont="1" applyBorder="1" applyAlignment="1">
      <alignment horizontal="center" vertical="top"/>
    </xf>
    <xf numFmtId="0" fontId="8" fillId="0" borderId="20" xfId="1" applyFont="1" applyBorder="1" applyAlignment="1">
      <alignment horizontal="center" vertical="top"/>
    </xf>
    <xf numFmtId="0" fontId="8" fillId="0" borderId="15" xfId="1" applyFont="1" applyBorder="1" applyAlignment="1">
      <alignment horizontal="center" vertical="top"/>
    </xf>
    <xf numFmtId="0" fontId="8" fillId="0" borderId="23" xfId="1" applyFont="1" applyBorder="1" applyAlignment="1">
      <alignment horizontal="center" vertical="top"/>
    </xf>
    <xf numFmtId="0" fontId="8" fillId="0" borderId="26" xfId="1" applyNumberFormat="1" applyFont="1" applyBorder="1" applyAlignment="1">
      <alignment horizontal="center" vertical="top" wrapText="1"/>
    </xf>
    <xf numFmtId="0" fontId="4" fillId="0" borderId="29" xfId="1" applyBorder="1" applyAlignment="1">
      <alignment horizontal="center"/>
    </xf>
    <xf numFmtId="0" fontId="4" fillId="0" borderId="0" xfId="1" applyBorder="1" applyAlignment="1">
      <alignment horizontal="center"/>
    </xf>
    <xf numFmtId="0" fontId="4"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1" fillId="0" borderId="29" xfId="1" applyFont="1" applyBorder="1" applyAlignment="1">
      <alignment horizontal="center"/>
    </xf>
    <xf numFmtId="0" fontId="8" fillId="0" borderId="21" xfId="1" applyFont="1" applyBorder="1" applyAlignment="1">
      <alignment horizontal="center" vertical="top"/>
    </xf>
    <xf numFmtId="0" fontId="11" fillId="0" borderId="30" xfId="1" applyFont="1" applyBorder="1" applyAlignment="1">
      <alignment horizontal="center"/>
    </xf>
    <xf numFmtId="0" fontId="11" fillId="0" borderId="2" xfId="1" applyFont="1" applyBorder="1" applyAlignment="1">
      <alignment horizontal="center"/>
    </xf>
    <xf numFmtId="14" fontId="4" fillId="0" borderId="0" xfId="1" applyNumberFormat="1" applyAlignment="1">
      <alignment horizontal="center"/>
    </xf>
    <xf numFmtId="0" fontId="4" fillId="0" borderId="17" xfId="1" applyBorder="1" applyAlignment="1">
      <alignment horizontal="center"/>
    </xf>
    <xf numFmtId="0" fontId="8" fillId="0" borderId="17" xfId="1" applyFont="1" applyBorder="1" applyAlignment="1">
      <alignment horizontal="center" vertical="top"/>
    </xf>
    <xf numFmtId="0" fontId="8" fillId="0" borderId="32" xfId="1" applyNumberFormat="1" applyFont="1" applyBorder="1" applyAlignment="1">
      <alignment horizontal="center" vertical="top" wrapText="1"/>
    </xf>
    <xf numFmtId="0" fontId="11" fillId="0" borderId="4" xfId="1" applyFont="1" applyBorder="1" applyAlignment="1">
      <alignment horizontal="center"/>
    </xf>
    <xf numFmtId="0" fontId="8" fillId="0" borderId="34" xfId="1" applyNumberFormat="1" applyFont="1" applyBorder="1" applyAlignment="1">
      <alignment horizontal="center" vertical="top" wrapText="1"/>
    </xf>
    <xf numFmtId="0" fontId="8" fillId="0" borderId="34" xfId="1" applyFont="1" applyBorder="1" applyAlignment="1">
      <alignment horizontal="center" vertical="top"/>
    </xf>
    <xf numFmtId="0" fontId="11" fillId="0" borderId="25" xfId="1" applyFont="1" applyBorder="1" applyAlignment="1">
      <alignment horizontal="center"/>
    </xf>
    <xf numFmtId="0" fontId="8" fillId="0" borderId="25" xfId="1" applyFont="1" applyBorder="1" applyAlignment="1">
      <alignment horizontal="center" vertical="top"/>
    </xf>
    <xf numFmtId="0" fontId="8" fillId="0" borderId="35" xfId="1" applyNumberFormat="1" applyFont="1" applyBorder="1" applyAlignment="1">
      <alignment horizontal="center" vertical="top" wrapText="1"/>
    </xf>
    <xf numFmtId="0" fontId="4" fillId="0" borderId="21" xfId="1" applyBorder="1" applyAlignment="1">
      <alignment horizontal="center"/>
    </xf>
    <xf numFmtId="0" fontId="4" fillId="0" borderId="34" xfId="1" applyBorder="1" applyAlignment="1">
      <alignment horizontal="center"/>
    </xf>
    <xf numFmtId="0" fontId="11" fillId="0" borderId="5" xfId="1" applyFont="1" applyBorder="1" applyAlignment="1">
      <alignment horizontal="center"/>
    </xf>
    <xf numFmtId="0" fontId="8" fillId="0" borderId="36" xfId="1" applyNumberFormat="1" applyFont="1" applyBorder="1" applyAlignment="1">
      <alignment horizontal="center" vertical="top" wrapText="1"/>
    </xf>
    <xf numFmtId="0" fontId="4" fillId="0" borderId="32" xfId="1" applyBorder="1" applyAlignment="1">
      <alignment horizontal="center"/>
    </xf>
    <xf numFmtId="0" fontId="11" fillId="0" borderId="17" xfId="1" applyFont="1" applyBorder="1" applyAlignment="1">
      <alignment horizontal="center"/>
    </xf>
    <xf numFmtId="0" fontId="11" fillId="0" borderId="8" xfId="1" applyFont="1" applyBorder="1" applyAlignment="1">
      <alignment horizontal="center"/>
    </xf>
    <xf numFmtId="0" fontId="4" fillId="0" borderId="25" xfId="1" applyBorder="1" applyAlignment="1">
      <alignment horizontal="center"/>
    </xf>
    <xf numFmtId="0" fontId="4" fillId="0" borderId="35" xfId="1" applyBorder="1" applyAlignment="1">
      <alignment horizontal="center"/>
    </xf>
    <xf numFmtId="0" fontId="4" fillId="0" borderId="5" xfId="1" applyBorder="1" applyAlignment="1">
      <alignment horizontal="center"/>
    </xf>
    <xf numFmtId="0" fontId="4" fillId="0" borderId="36" xfId="1" applyBorder="1" applyAlignment="1">
      <alignment horizontal="center"/>
    </xf>
    <xf numFmtId="0" fontId="4" fillId="0" borderId="0" xfId="1" applyAlignment="1" applyProtection="1">
      <alignment horizontal="center"/>
      <protection locked="0"/>
    </xf>
    <xf numFmtId="167" fontId="25" fillId="0" borderId="5" xfId="0" applyNumberFormat="1" applyFont="1" applyBorder="1" applyAlignment="1">
      <alignment horizontal="center" vertical="center" wrapText="1"/>
    </xf>
    <xf numFmtId="0" fontId="25" fillId="0" borderId="38" xfId="0" applyFont="1" applyBorder="1" applyAlignment="1">
      <alignment horizontal="center" vertical="top" wrapText="1"/>
    </xf>
    <xf numFmtId="0" fontId="25" fillId="0" borderId="39" xfId="0" applyFont="1" applyBorder="1" applyAlignment="1">
      <alignment vertical="top" wrapText="1"/>
    </xf>
    <xf numFmtId="0" fontId="1" fillId="0" borderId="0" xfId="0" applyFont="1"/>
    <xf numFmtId="0" fontId="25" fillId="0" borderId="5" xfId="0" applyFont="1" applyBorder="1" applyAlignment="1">
      <alignment horizontal="center" vertical="center" wrapText="1"/>
    </xf>
    <xf numFmtId="0" fontId="25" fillId="0" borderId="38" xfId="0" applyFont="1" applyBorder="1" applyAlignment="1">
      <alignment horizontal="left" vertical="top" wrapText="1"/>
    </xf>
    <xf numFmtId="0" fontId="26" fillId="2" borderId="5" xfId="0" applyFont="1" applyFill="1" applyBorder="1" applyAlignment="1">
      <alignment vertical="center"/>
    </xf>
    <xf numFmtId="0" fontId="26" fillId="2" borderId="5" xfId="0" applyFont="1" applyFill="1" applyBorder="1" applyAlignment="1">
      <alignment horizontal="center" vertical="center"/>
    </xf>
    <xf numFmtId="168" fontId="27" fillId="0" borderId="40" xfId="0" applyNumberFormat="1" applyFont="1" applyBorder="1" applyAlignment="1">
      <alignment horizontal="center" vertical="top" wrapText="1"/>
    </xf>
    <xf numFmtId="0" fontId="27" fillId="0" borderId="41" xfId="0" applyFont="1" applyBorder="1" applyAlignment="1">
      <alignment horizontal="center" vertical="top" wrapText="1"/>
    </xf>
    <xf numFmtId="0" fontId="27" fillId="0" borderId="44" xfId="0" applyFont="1" applyBorder="1" applyAlignment="1">
      <alignment horizontal="center" vertical="top" wrapText="1"/>
    </xf>
    <xf numFmtId="2" fontId="27" fillId="0" borderId="41" xfId="0" applyNumberFormat="1" applyFont="1" applyBorder="1" applyAlignment="1">
      <alignment horizontal="center" vertical="top" wrapText="1"/>
    </xf>
    <xf numFmtId="0" fontId="27" fillId="0" borderId="41" xfId="0" applyFont="1" applyBorder="1" applyAlignment="1">
      <alignment horizontal="center" vertical="top"/>
    </xf>
    <xf numFmtId="0" fontId="28" fillId="2" borderId="41" xfId="0" applyFont="1" applyFill="1" applyBorder="1" applyAlignment="1">
      <alignment horizontal="center" vertical="top"/>
    </xf>
    <xf numFmtId="0" fontId="28" fillId="2" borderId="42" xfId="0" applyFont="1" applyFill="1" applyBorder="1" applyAlignment="1">
      <alignment horizontal="center" vertical="top"/>
    </xf>
    <xf numFmtId="0" fontId="3" fillId="0" borderId="0" xfId="0" applyFont="1" applyAlignment="1">
      <alignment horizontal="center" vertical="top"/>
    </xf>
    <xf numFmtId="0" fontId="8" fillId="0" borderId="0" xfId="1" applyNumberFormat="1" applyFont="1" applyBorder="1" applyAlignment="1">
      <alignment horizontal="center" vertical="top" wrapText="1"/>
    </xf>
    <xf numFmtId="0" fontId="8" fillId="0" borderId="0" xfId="1" applyFont="1" applyBorder="1" applyAlignment="1">
      <alignment horizontal="center" vertical="top"/>
    </xf>
    <xf numFmtId="0" fontId="13" fillId="0" borderId="41" xfId="1" applyFont="1" applyBorder="1" applyAlignment="1">
      <alignment horizontal="center" vertical="top"/>
    </xf>
    <xf numFmtId="0" fontId="14" fillId="0" borderId="44" xfId="1" applyFont="1" applyBorder="1" applyAlignment="1">
      <alignment horizontal="center" vertical="top"/>
    </xf>
    <xf numFmtId="0" fontId="3" fillId="0" borderId="44" xfId="0" applyFont="1" applyBorder="1" applyAlignment="1">
      <alignment horizontal="center" vertical="top"/>
    </xf>
    <xf numFmtId="0" fontId="4" fillId="0" borderId="37" xfId="1" applyBorder="1" applyAlignment="1">
      <alignment vertical="center"/>
    </xf>
    <xf numFmtId="0" fontId="4" fillId="0" borderId="0" xfId="1" applyBorder="1" applyAlignment="1">
      <alignment vertical="center"/>
    </xf>
    <xf numFmtId="0" fontId="4" fillId="0" borderId="37" xfId="1" applyBorder="1" applyAlignment="1">
      <alignment vertical="center" wrapText="1"/>
    </xf>
    <xf numFmtId="0" fontId="4" fillId="3" borderId="0" xfId="1" applyFill="1" applyBorder="1" applyAlignment="1">
      <alignment horizontal="center" vertical="center"/>
    </xf>
    <xf numFmtId="0" fontId="15" fillId="0" borderId="0" xfId="1" applyFont="1" applyBorder="1" applyAlignment="1">
      <alignment horizontal="center" vertical="center"/>
    </xf>
    <xf numFmtId="0" fontId="15" fillId="0" borderId="0" xfId="1" applyFont="1" applyBorder="1" applyAlignment="1">
      <alignment horizontal="center" vertical="center" wrapText="1"/>
    </xf>
    <xf numFmtId="165" fontId="17" fillId="0" borderId="5" xfId="1" applyNumberFormat="1" applyFont="1" applyFill="1" applyBorder="1" applyAlignment="1">
      <alignment horizontal="center" vertical="center" wrapText="1"/>
    </xf>
    <xf numFmtId="0" fontId="15" fillId="0" borderId="9" xfId="1" applyFont="1" applyBorder="1" applyAlignment="1">
      <alignment vertical="center"/>
    </xf>
    <xf numFmtId="0" fontId="15" fillId="0" borderId="8" xfId="1" applyFont="1" applyBorder="1" applyAlignment="1">
      <alignment vertical="center"/>
    </xf>
    <xf numFmtId="0" fontId="19" fillId="0" borderId="0" xfId="1" applyFont="1" applyBorder="1" applyAlignment="1">
      <alignment horizontal="center" vertical="center"/>
    </xf>
    <xf numFmtId="164" fontId="9" fillId="0" borderId="14" xfId="1" applyNumberFormat="1" applyFont="1" applyBorder="1" applyAlignment="1">
      <alignment horizontal="center" vertical="top"/>
    </xf>
    <xf numFmtId="164" fontId="9" fillId="0" borderId="19" xfId="1" applyNumberFormat="1" applyFont="1" applyBorder="1" applyAlignment="1">
      <alignment horizontal="center" vertical="top"/>
    </xf>
    <xf numFmtId="0" fontId="21" fillId="0" borderId="5" xfId="0" applyFont="1" applyBorder="1" applyAlignment="1">
      <alignment horizontal="center"/>
    </xf>
    <xf numFmtId="0" fontId="21" fillId="0" borderId="5" xfId="0" applyFont="1" applyBorder="1"/>
    <xf numFmtId="0" fontId="21" fillId="0" borderId="5" xfId="0" applyFont="1" applyBorder="1" applyAlignment="1">
      <alignment horizontal="left"/>
    </xf>
    <xf numFmtId="0" fontId="21" fillId="0" borderId="22" xfId="0" applyFont="1" applyBorder="1" applyAlignment="1">
      <alignment horizontal="center" vertical="top" wrapText="1"/>
    </xf>
    <xf numFmtId="0" fontId="29" fillId="0" borderId="0" xfId="0" applyFont="1" applyBorder="1" applyAlignment="1">
      <alignment horizontal="center"/>
    </xf>
    <xf numFmtId="0" fontId="29" fillId="0" borderId="1" xfId="0" applyFont="1" applyBorder="1" applyAlignment="1">
      <alignment horizontal="center"/>
    </xf>
    <xf numFmtId="0" fontId="21" fillId="0" borderId="0" xfId="0" applyFont="1" applyBorder="1"/>
    <xf numFmtId="0" fontId="21" fillId="0" borderId="4" xfId="0" applyFont="1" applyBorder="1"/>
    <xf numFmtId="0" fontId="23" fillId="0" borderId="41" xfId="0" applyFont="1" applyBorder="1" applyAlignment="1">
      <alignment horizontal="left" vertical="top" wrapText="1"/>
    </xf>
    <xf numFmtId="2" fontId="23" fillId="0" borderId="41" xfId="0" applyNumberFormat="1" applyFont="1" applyBorder="1" applyAlignment="1">
      <alignment horizontal="center" vertical="top" wrapText="1"/>
    </xf>
    <xf numFmtId="165" fontId="23" fillId="0" borderId="41" xfId="0" applyNumberFormat="1" applyFont="1" applyBorder="1" applyAlignment="1">
      <alignment horizontal="center" vertical="top" wrapText="1"/>
    </xf>
    <xf numFmtId="0" fontId="30" fillId="0" borderId="41" xfId="0" applyFont="1" applyBorder="1" applyAlignment="1">
      <alignment horizontal="center" vertical="top"/>
    </xf>
    <xf numFmtId="0" fontId="23" fillId="0" borderId="0" xfId="0" applyFont="1" applyAlignment="1">
      <alignment vertical="top"/>
    </xf>
    <xf numFmtId="0" fontId="17" fillId="0" borderId="8" xfId="1" applyFont="1" applyFill="1" applyBorder="1" applyAlignment="1">
      <alignment vertical="top" wrapText="1"/>
    </xf>
    <xf numFmtId="0" fontId="23" fillId="0" borderId="41" xfId="0" applyFont="1" applyBorder="1" applyAlignment="1">
      <alignment vertical="top"/>
    </xf>
    <xf numFmtId="0" fontId="30" fillId="0" borderId="42" xfId="0" applyFont="1" applyBorder="1" applyAlignment="1">
      <alignment horizontal="center" vertical="top"/>
    </xf>
    <xf numFmtId="164" fontId="9" fillId="0" borderId="27" xfId="1" applyNumberFormat="1" applyFont="1" applyBorder="1" applyAlignment="1">
      <alignment horizontal="center" vertical="top"/>
    </xf>
    <xf numFmtId="164" fontId="9" fillId="0" borderId="28" xfId="1" applyNumberFormat="1" applyFont="1" applyBorder="1" applyAlignment="1">
      <alignment horizontal="center" vertical="top"/>
    </xf>
    <xf numFmtId="164" fontId="9" fillId="0" borderId="5" xfId="1" applyNumberFormat="1" applyFont="1" applyBorder="1" applyAlignment="1">
      <alignment horizontal="center" vertical="top"/>
    </xf>
    <xf numFmtId="164" fontId="9" fillId="0" borderId="31" xfId="1" applyNumberFormat="1" applyFont="1" applyBorder="1" applyAlignment="1">
      <alignment horizontal="center" vertical="top"/>
    </xf>
    <xf numFmtId="164" fontId="9" fillId="0" borderId="33" xfId="1" applyNumberFormat="1" applyFont="1" applyBorder="1" applyAlignment="1">
      <alignment horizontal="center" vertical="top"/>
    </xf>
    <xf numFmtId="164" fontId="4" fillId="0" borderId="33" xfId="1" applyNumberFormat="1" applyBorder="1" applyAlignment="1">
      <alignment horizontal="center" vertical="top"/>
    </xf>
    <xf numFmtId="0" fontId="0" fillId="0" borderId="37" xfId="0" applyBorder="1"/>
    <xf numFmtId="0" fontId="0" fillId="0" borderId="45" xfId="0" applyBorder="1"/>
    <xf numFmtId="0" fontId="31" fillId="0" borderId="9" xfId="1" applyFont="1" applyBorder="1" applyAlignment="1">
      <alignment horizontal="center" vertical="top"/>
    </xf>
    <xf numFmtId="0" fontId="31" fillId="0" borderId="1" xfId="1" applyFont="1" applyBorder="1" applyAlignment="1">
      <alignment horizontal="center" vertical="top"/>
    </xf>
    <xf numFmtId="0" fontId="31" fillId="0" borderId="15" xfId="1" applyFont="1" applyBorder="1" applyAlignment="1">
      <alignment horizontal="center" vertical="top"/>
    </xf>
    <xf numFmtId="0" fontId="31" fillId="0" borderId="17" xfId="1" applyFont="1" applyBorder="1" applyAlignment="1">
      <alignment horizontal="center" vertical="top"/>
    </xf>
    <xf numFmtId="0" fontId="31" fillId="0" borderId="4" xfId="1" applyFont="1" applyBorder="1" applyAlignment="1">
      <alignment horizontal="center" vertical="top"/>
    </xf>
    <xf numFmtId="0" fontId="31" fillId="0" borderId="8" xfId="1" applyFont="1" applyBorder="1" applyAlignment="1">
      <alignment horizontal="center" vertical="top"/>
    </xf>
    <xf numFmtId="164" fontId="17" fillId="0" borderId="9" xfId="1" applyNumberFormat="1" applyFont="1" applyBorder="1" applyAlignment="1">
      <alignment horizontal="center" vertical="top" wrapText="1"/>
    </xf>
    <xf numFmtId="0" fontId="0" fillId="0" borderId="0" xfId="0" applyAlignment="1">
      <alignment horizontal="center"/>
    </xf>
    <xf numFmtId="164" fontId="17" fillId="0" borderId="5" xfId="1" applyNumberFormat="1" applyFont="1" applyBorder="1" applyAlignment="1">
      <alignment horizontal="center" vertical="top" wrapText="1"/>
    </xf>
    <xf numFmtId="0" fontId="4" fillId="0" borderId="37" xfId="1" applyBorder="1" applyAlignment="1">
      <alignment horizontal="center" vertical="center"/>
    </xf>
    <xf numFmtId="0" fontId="4" fillId="0" borderId="0" xfId="1" applyBorder="1" applyAlignment="1">
      <alignment horizontal="center" vertical="center"/>
    </xf>
    <xf numFmtId="0" fontId="4" fillId="3" borderId="0" xfId="1" applyFill="1" applyBorder="1" applyAlignment="1">
      <alignment horizontal="center"/>
    </xf>
    <xf numFmtId="2" fontId="1" fillId="0" borderId="0" xfId="0" applyNumberFormat="1" applyFont="1" applyAlignment="1">
      <alignment horizontal="center"/>
    </xf>
    <xf numFmtId="164" fontId="17" fillId="0" borderId="5" xfId="1" applyNumberFormat="1" applyFont="1" applyFill="1" applyBorder="1" applyAlignment="1">
      <alignment horizontal="center" vertical="top" wrapText="1"/>
    </xf>
    <xf numFmtId="0" fontId="0" fillId="0" borderId="8" xfId="0" applyBorder="1" applyAlignment="1">
      <alignment horizontal="center" vertical="top"/>
    </xf>
    <xf numFmtId="0" fontId="8" fillId="0" borderId="8" xfId="0" applyFont="1" applyBorder="1" applyAlignment="1">
      <alignment horizontal="center" vertical="top" wrapText="1"/>
    </xf>
    <xf numFmtId="0" fontId="8" fillId="0" borderId="17" xfId="0" applyFont="1" applyFill="1" applyBorder="1" applyAlignment="1">
      <alignment horizontal="center" vertical="top" wrapText="1"/>
    </xf>
    <xf numFmtId="165" fontId="8" fillId="0" borderId="17" xfId="0" applyNumberFormat="1" applyFont="1" applyFill="1" applyBorder="1" applyAlignment="1">
      <alignment horizontal="center" vertical="top" wrapText="1"/>
    </xf>
    <xf numFmtId="0" fontId="11" fillId="0" borderId="0" xfId="0" applyFont="1" applyBorder="1"/>
    <xf numFmtId="0" fontId="12" fillId="0" borderId="0" xfId="0" applyFont="1" applyAlignment="1">
      <alignment vertical="top"/>
    </xf>
    <xf numFmtId="0" fontId="0" fillId="0" borderId="4" xfId="0" applyBorder="1" applyAlignment="1">
      <alignment horizontal="center" vertical="top"/>
    </xf>
    <xf numFmtId="0" fontId="8" fillId="0" borderId="4" xfId="0" applyFont="1" applyBorder="1" applyAlignment="1">
      <alignment horizontal="center" vertical="top" wrapText="1"/>
    </xf>
    <xf numFmtId="0" fontId="8" fillId="0" borderId="4" xfId="0" applyFont="1" applyFill="1" applyBorder="1" applyAlignment="1">
      <alignment vertical="top" wrapText="1"/>
    </xf>
    <xf numFmtId="0" fontId="8" fillId="0" borderId="4" xfId="0" applyFont="1" applyFill="1" applyBorder="1" applyAlignment="1">
      <alignment horizontal="center" vertical="top" wrapText="1"/>
    </xf>
    <xf numFmtId="165" fontId="8" fillId="0" borderId="4" xfId="0" applyNumberFormat="1" applyFont="1" applyFill="1" applyBorder="1" applyAlignment="1">
      <alignment horizontal="center" vertical="top" wrapText="1"/>
    </xf>
    <xf numFmtId="0" fontId="11" fillId="0" borderId="4" xfId="0" applyFont="1" applyBorder="1"/>
    <xf numFmtId="0" fontId="12" fillId="0" borderId="0" xfId="0" applyFont="1"/>
    <xf numFmtId="0" fontId="9" fillId="0" borderId="4" xfId="0" applyFont="1" applyFill="1" applyBorder="1" applyAlignment="1">
      <alignment horizontal="center" vertical="top" wrapText="1"/>
    </xf>
    <xf numFmtId="0" fontId="0" fillId="0" borderId="25" xfId="0" applyBorder="1" applyAlignment="1">
      <alignment horizontal="center" vertical="top"/>
    </xf>
    <xf numFmtId="0" fontId="8" fillId="0" borderId="25" xfId="0" applyFont="1" applyBorder="1" applyAlignment="1">
      <alignment horizontal="center" vertical="top" wrapText="1"/>
    </xf>
    <xf numFmtId="0" fontId="9" fillId="0" borderId="25" xfId="0" applyFont="1" applyFill="1" applyBorder="1" applyAlignment="1">
      <alignment horizontal="center" vertical="top" wrapText="1"/>
    </xf>
    <xf numFmtId="0" fontId="8" fillId="0" borderId="25" xfId="0" applyFont="1" applyFill="1" applyBorder="1" applyAlignment="1">
      <alignment horizontal="center" vertical="top" wrapText="1"/>
    </xf>
    <xf numFmtId="165" fontId="8" fillId="0" borderId="25" xfId="0" applyNumberFormat="1" applyFont="1" applyFill="1" applyBorder="1" applyAlignment="1">
      <alignment horizontal="center" vertical="top" wrapText="1"/>
    </xf>
    <xf numFmtId="0" fontId="11" fillId="0" borderId="25" xfId="0" applyFont="1" applyBorder="1"/>
    <xf numFmtId="0" fontId="4" fillId="3" borderId="1" xfId="1" applyFill="1" applyBorder="1" applyAlignment="1">
      <alignment horizontal="center"/>
    </xf>
    <xf numFmtId="0" fontId="0" fillId="0" borderId="32" xfId="0" applyBorder="1" applyAlignment="1">
      <alignment horizontal="center"/>
    </xf>
    <xf numFmtId="0" fontId="0" fillId="0" borderId="34" xfId="0" applyBorder="1" applyAlignment="1">
      <alignment horizontal="center"/>
    </xf>
    <xf numFmtId="0" fontId="8" fillId="0" borderId="34" xfId="0" applyNumberFormat="1" applyFont="1" applyBorder="1" applyAlignment="1">
      <alignment horizontal="center" vertical="top" wrapText="1"/>
    </xf>
    <xf numFmtId="0" fontId="8" fillId="0" borderId="35" xfId="0" applyNumberFormat="1" applyFont="1" applyBorder="1" applyAlignment="1">
      <alignment horizontal="center" vertical="top" wrapText="1"/>
    </xf>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0" fillId="0" borderId="0" xfId="0" applyAlignment="1">
      <alignment horizontal="center" vertical="center"/>
    </xf>
    <xf numFmtId="0" fontId="17" fillId="0" borderId="8" xfId="0" applyFont="1" applyBorder="1" applyAlignment="1">
      <alignment vertical="top" wrapText="1"/>
    </xf>
    <xf numFmtId="0" fontId="17" fillId="0" borderId="4" xfId="0" applyFont="1" applyFill="1" applyBorder="1" applyAlignment="1">
      <alignment vertical="top" wrapText="1"/>
    </xf>
    <xf numFmtId="0" fontId="17" fillId="0" borderId="9" xfId="0" applyFont="1" applyBorder="1" applyAlignment="1">
      <alignment vertical="top" wrapText="1"/>
    </xf>
    <xf numFmtId="0" fontId="17" fillId="0" borderId="4" xfId="0" applyFont="1" applyFill="1" applyBorder="1" applyAlignment="1">
      <alignment horizontal="center" vertical="top" wrapText="1"/>
    </xf>
    <xf numFmtId="0" fontId="19" fillId="0" borderId="5" xfId="1" applyFont="1" applyBorder="1" applyAlignment="1">
      <alignment horizontal="center" vertical="center"/>
    </xf>
    <xf numFmtId="0" fontId="5" fillId="2" borderId="0" xfId="1" applyFont="1" applyFill="1" applyBorder="1" applyAlignment="1">
      <alignment horizontal="center" vertical="center"/>
    </xf>
    <xf numFmtId="0" fontId="7" fillId="2" borderId="0" xfId="1" applyFont="1" applyFill="1" applyBorder="1" applyAlignment="1">
      <alignment horizontal="center" vertical="center"/>
    </xf>
    <xf numFmtId="0" fontId="7" fillId="2" borderId="1" xfId="1" applyFont="1" applyFill="1" applyBorder="1" applyAlignment="1">
      <alignment horizontal="center" vertical="center"/>
    </xf>
    <xf numFmtId="0" fontId="21" fillId="0" borderId="39" xfId="0" applyFont="1" applyBorder="1" applyAlignment="1">
      <alignment horizontal="center" vertical="center"/>
    </xf>
    <xf numFmtId="0" fontId="21" fillId="0" borderId="39" xfId="0" applyFont="1" applyBorder="1" applyAlignment="1">
      <alignment horizontal="center" vertical="center" wrapText="1"/>
    </xf>
    <xf numFmtId="0" fontId="21" fillId="0" borderId="22" xfId="0" applyFont="1" applyFill="1" applyBorder="1" applyAlignment="1">
      <alignment horizontal="center" vertical="center"/>
    </xf>
    <xf numFmtId="164" fontId="23" fillId="0" borderId="40" xfId="0" applyNumberFormat="1" applyFont="1" applyBorder="1" applyAlignment="1">
      <alignment horizontal="center" vertical="center" wrapText="1"/>
    </xf>
    <xf numFmtId="0" fontId="24" fillId="0" borderId="44" xfId="0" applyFont="1" applyBorder="1" applyAlignment="1">
      <alignment horizontal="center" vertical="center"/>
    </xf>
    <xf numFmtId="0" fontId="23" fillId="0" borderId="41" xfId="0" applyFont="1" applyBorder="1" applyAlignment="1">
      <alignment horizontal="center" vertical="center" wrapText="1"/>
    </xf>
    <xf numFmtId="0" fontId="23" fillId="0" borderId="41" xfId="0" applyFont="1" applyBorder="1" applyAlignment="1">
      <alignment horizontal="center" vertical="center"/>
    </xf>
    <xf numFmtId="0" fontId="24" fillId="0" borderId="42" xfId="0" applyFont="1" applyBorder="1" applyAlignment="1">
      <alignment horizontal="center" vertical="center"/>
    </xf>
    <xf numFmtId="0" fontId="24" fillId="0" borderId="0" xfId="0" applyFont="1" applyAlignment="1">
      <alignment horizontal="center" vertical="center"/>
    </xf>
    <xf numFmtId="164" fontId="9" fillId="0" borderId="8" xfId="1" applyNumberFormat="1" applyFont="1" applyBorder="1" applyAlignment="1">
      <alignment horizontal="center" vertical="center"/>
    </xf>
    <xf numFmtId="0" fontId="9" fillId="0" borderId="8" xfId="1" applyFont="1" applyFill="1" applyBorder="1" applyAlignment="1">
      <alignment horizontal="center" vertical="center" wrapText="1"/>
    </xf>
    <xf numFmtId="0" fontId="10" fillId="0" borderId="8" xfId="1" applyFont="1" applyFill="1" applyBorder="1" applyAlignment="1">
      <alignment horizontal="center" vertical="center"/>
    </xf>
    <xf numFmtId="0" fontId="4" fillId="0" borderId="43" xfId="1" applyBorder="1" applyAlignment="1">
      <alignment horizontal="center" vertical="center"/>
    </xf>
    <xf numFmtId="164" fontId="9" fillId="0" borderId="4" xfId="1" applyNumberFormat="1" applyFont="1" applyBorder="1" applyAlignment="1">
      <alignment horizontal="center" vertical="center"/>
    </xf>
    <xf numFmtId="0" fontId="9" fillId="0" borderId="4" xfId="1" applyFont="1" applyFill="1" applyBorder="1" applyAlignment="1">
      <alignment horizontal="center" vertical="center" wrapText="1"/>
    </xf>
    <xf numFmtId="0" fontId="10" fillId="0" borderId="4" xfId="1" applyFont="1" applyFill="1" applyBorder="1" applyAlignment="1">
      <alignment horizontal="center" vertical="center"/>
    </xf>
    <xf numFmtId="0" fontId="6" fillId="2" borderId="0" xfId="1" applyFont="1" applyFill="1" applyAlignment="1">
      <alignment horizontal="center" vertical="center"/>
    </xf>
    <xf numFmtId="164" fontId="5" fillId="2" borderId="0" xfId="1" applyNumberFormat="1" applyFont="1" applyFill="1" applyBorder="1" applyAlignment="1">
      <alignment horizontal="center" vertical="center"/>
    </xf>
    <xf numFmtId="0" fontId="5" fillId="2" borderId="1" xfId="1" applyFont="1" applyFill="1" applyBorder="1" applyAlignment="1">
      <alignment horizontal="center" vertical="center"/>
    </xf>
    <xf numFmtId="0" fontId="8" fillId="2" borderId="0" xfId="1" applyFont="1" applyFill="1" applyBorder="1" applyAlignment="1">
      <alignment horizontal="center" vertical="center"/>
    </xf>
    <xf numFmtId="164" fontId="7" fillId="2" borderId="2" xfId="1" applyNumberFormat="1" applyFont="1" applyFill="1" applyBorder="1" applyAlignment="1">
      <alignment horizontal="center" vertical="center"/>
    </xf>
    <xf numFmtId="0" fontId="8" fillId="2" borderId="2" xfId="1" applyFont="1" applyFill="1" applyBorder="1" applyAlignment="1">
      <alignment horizontal="center" vertical="center"/>
    </xf>
    <xf numFmtId="0" fontId="7" fillId="2" borderId="3" xfId="1" applyFont="1" applyFill="1" applyBorder="1" applyAlignment="1">
      <alignment horizontal="center" vertical="center"/>
    </xf>
    <xf numFmtId="164" fontId="21" fillId="0" borderId="0" xfId="0" applyNumberFormat="1" applyFont="1" applyBorder="1" applyAlignment="1">
      <alignment horizontal="center" vertical="center" wrapText="1"/>
    </xf>
    <xf numFmtId="164" fontId="21" fillId="0" borderId="13" xfId="0" applyNumberFormat="1" applyFont="1" applyBorder="1" applyAlignment="1">
      <alignment horizontal="center" vertical="center" wrapText="1"/>
    </xf>
    <xf numFmtId="0" fontId="22" fillId="0" borderId="0" xfId="0" applyFont="1" applyAlignment="1">
      <alignment horizontal="center" vertical="center"/>
    </xf>
    <xf numFmtId="0" fontId="0" fillId="0" borderId="4" xfId="0" applyBorder="1" applyAlignment="1">
      <alignment horizontal="center" vertical="center"/>
    </xf>
    <xf numFmtId="164" fontId="17" fillId="0" borderId="4" xfId="1" applyNumberFormat="1" applyFont="1" applyBorder="1" applyAlignment="1">
      <alignment horizontal="center" vertical="top" wrapText="1"/>
    </xf>
    <xf numFmtId="0" fontId="17" fillId="0" borderId="5" xfId="0" applyFont="1" applyFill="1" applyBorder="1" applyAlignment="1">
      <alignment vertical="top" wrapText="1"/>
    </xf>
    <xf numFmtId="0" fontId="17" fillId="0" borderId="5" xfId="0" applyFont="1" applyFill="1" applyBorder="1" applyAlignment="1">
      <alignment horizontal="center" vertical="top" wrapText="1"/>
    </xf>
    <xf numFmtId="0" fontId="17" fillId="0" borderId="4" xfId="0" applyFont="1" applyBorder="1" applyAlignment="1">
      <alignment vertical="top" wrapText="1"/>
    </xf>
    <xf numFmtId="0" fontId="4" fillId="0" borderId="22" xfId="1" applyBorder="1" applyAlignment="1">
      <alignment horizontal="center" vertical="center"/>
    </xf>
    <xf numFmtId="0" fontId="4" fillId="0" borderId="1" xfId="1" applyBorder="1" applyAlignment="1">
      <alignment horizontal="center" vertical="center"/>
    </xf>
    <xf numFmtId="0" fontId="4" fillId="0" borderId="3" xfId="1" applyBorder="1" applyAlignment="1">
      <alignment horizontal="center" vertical="center"/>
    </xf>
    <xf numFmtId="14" fontId="0" fillId="0" borderId="37" xfId="0" applyNumberFormat="1" applyBorder="1"/>
    <xf numFmtId="164" fontId="9" fillId="0" borderId="5" xfId="1" applyNumberFormat="1" applyFont="1" applyBorder="1" applyAlignment="1">
      <alignment horizontal="center" vertical="center"/>
    </xf>
    <xf numFmtId="0" fontId="4" fillId="0" borderId="5" xfId="1" applyFill="1" applyBorder="1" applyAlignment="1">
      <alignment horizontal="center" vertical="center"/>
    </xf>
    <xf numFmtId="0" fontId="4" fillId="0" borderId="5" xfId="1" applyBorder="1" applyAlignment="1">
      <alignment horizontal="center" vertical="center"/>
    </xf>
    <xf numFmtId="0" fontId="10" fillId="0" borderId="5" xfId="1" applyFont="1" applyFill="1" applyBorder="1" applyAlignment="1">
      <alignment horizontal="center" vertical="center"/>
    </xf>
    <xf numFmtId="0" fontId="0" fillId="0" borderId="0" xfId="0" applyProtection="1">
      <protection locked="0"/>
    </xf>
    <xf numFmtId="0" fontId="4" fillId="4" borderId="4" xfId="1" applyFill="1" applyBorder="1" applyAlignment="1">
      <alignment horizontal="center" vertical="center"/>
    </xf>
    <xf numFmtId="0" fontId="4" fillId="4" borderId="4" xfId="1" applyFill="1" applyBorder="1" applyAlignment="1">
      <alignment horizontal="center" vertical="center" wrapText="1"/>
    </xf>
    <xf numFmtId="0" fontId="4" fillId="4" borderId="4" xfId="1" applyFill="1" applyBorder="1" applyAlignment="1">
      <alignment horizontal="left" vertical="center"/>
    </xf>
    <xf numFmtId="0" fontId="11" fillId="0" borderId="4" xfId="1" applyFont="1" applyBorder="1" applyAlignment="1">
      <alignment horizontal="center" vertical="center"/>
    </xf>
    <xf numFmtId="164" fontId="9" fillId="0" borderId="5" xfId="1" applyNumberFormat="1" applyFont="1" applyBorder="1" applyAlignment="1">
      <alignment horizontal="center" vertical="top" wrapText="1"/>
    </xf>
    <xf numFmtId="167" fontId="25" fillId="0" borderId="1" xfId="0" applyNumberFormat="1" applyFont="1" applyBorder="1" applyAlignment="1">
      <alignment horizontal="center" vertical="center" wrapText="1"/>
    </xf>
    <xf numFmtId="0" fontId="25" fillId="0" borderId="10" xfId="0" applyFont="1" applyBorder="1" applyAlignment="1">
      <alignment horizontal="center" vertical="top" wrapText="1"/>
    </xf>
    <xf numFmtId="0" fontId="25" fillId="0" borderId="0" xfId="0" applyFont="1" applyBorder="1" applyAlignment="1">
      <alignment vertical="top" wrapText="1"/>
    </xf>
    <xf numFmtId="0" fontId="25" fillId="0" borderId="9" xfId="0" applyFont="1" applyBorder="1" applyAlignment="1">
      <alignment horizontal="center" vertical="center" wrapText="1"/>
    </xf>
    <xf numFmtId="0" fontId="25" fillId="0" borderId="10" xfId="0" applyFont="1" applyBorder="1" applyAlignment="1">
      <alignment horizontal="left" vertical="top" wrapText="1"/>
    </xf>
    <xf numFmtId="0" fontId="26" fillId="2" borderId="9" xfId="0" applyFont="1" applyFill="1" applyBorder="1" applyAlignment="1">
      <alignment vertical="center"/>
    </xf>
    <xf numFmtId="0" fontId="26" fillId="2" borderId="10" xfId="0" applyFont="1" applyFill="1" applyBorder="1" applyAlignment="1">
      <alignment vertical="center"/>
    </xf>
    <xf numFmtId="0" fontId="26" fillId="2" borderId="0" xfId="0" applyFont="1" applyFill="1" applyBorder="1" applyAlignment="1">
      <alignment horizontal="center" vertical="center"/>
    </xf>
    <xf numFmtId="0" fontId="27" fillId="0" borderId="23" xfId="0" applyFont="1" applyBorder="1" applyAlignment="1">
      <alignment horizontal="center" vertical="top" wrapText="1"/>
    </xf>
    <xf numFmtId="0" fontId="25" fillId="0" borderId="4" xfId="0" applyFont="1" applyBorder="1" applyAlignment="1">
      <alignment horizontal="center" vertical="top" wrapText="1"/>
    </xf>
    <xf numFmtId="0" fontId="25" fillId="0" borderId="17" xfId="0" applyFont="1" applyBorder="1" applyAlignment="1">
      <alignment horizontal="center" vertical="top" wrapText="1"/>
    </xf>
    <xf numFmtId="0" fontId="25" fillId="0" borderId="25" xfId="0" applyFont="1" applyBorder="1" applyAlignment="1">
      <alignment horizontal="center" vertical="top" wrapText="1"/>
    </xf>
    <xf numFmtId="0" fontId="4" fillId="0" borderId="4" xfId="1" applyBorder="1" applyAlignment="1">
      <alignment horizontal="center" vertical="center" wrapText="1"/>
    </xf>
    <xf numFmtId="0" fontId="5" fillId="2" borderId="0" xfId="1" applyFont="1" applyFill="1" applyBorder="1" applyAlignment="1">
      <alignment horizontal="center" vertical="center"/>
    </xf>
    <xf numFmtId="0" fontId="7" fillId="2" borderId="0" xfId="1" applyFont="1" applyFill="1" applyBorder="1" applyAlignment="1">
      <alignment horizontal="center" vertical="center"/>
    </xf>
    <xf numFmtId="0" fontId="25" fillId="0" borderId="5" xfId="0" applyFont="1" applyBorder="1" applyAlignment="1">
      <alignment horizontal="center" vertical="top" wrapText="1"/>
    </xf>
    <xf numFmtId="0" fontId="25" fillId="0" borderId="8" xfId="0" applyFont="1" applyBorder="1" applyAlignment="1">
      <alignment horizontal="center" vertical="top" wrapText="1"/>
    </xf>
    <xf numFmtId="169" fontId="0" fillId="0" borderId="4" xfId="0" applyNumberFormat="1" applyBorder="1" applyAlignment="1">
      <alignment horizontal="center" vertical="center"/>
    </xf>
    <xf numFmtId="0" fontId="21" fillId="0" borderId="1" xfId="0" applyFont="1" applyBorder="1" applyAlignment="1">
      <alignment horizontal="center"/>
    </xf>
    <xf numFmtId="0" fontId="21" fillId="0" borderId="9" xfId="0" applyFont="1" applyBorder="1"/>
    <xf numFmtId="0" fontId="23" fillId="0" borderId="30" xfId="0" applyFont="1" applyBorder="1" applyAlignment="1">
      <alignment horizontal="center" vertical="top" wrapText="1"/>
    </xf>
    <xf numFmtId="0" fontId="21" fillId="0" borderId="10" xfId="0" applyFont="1" applyBorder="1"/>
    <xf numFmtId="0" fontId="21" fillId="0" borderId="10" xfId="0" applyFont="1" applyBorder="1" applyAlignment="1">
      <alignment horizontal="left"/>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5" xfId="0" applyBorder="1" applyAlignment="1">
      <alignment horizontal="center" vertical="center"/>
    </xf>
    <xf numFmtId="0" fontId="0" fillId="0" borderId="35" xfId="0" applyBorder="1" applyAlignment="1">
      <alignment horizontal="center" vertical="center"/>
    </xf>
    <xf numFmtId="0" fontId="23" fillId="0" borderId="23" xfId="0" applyFont="1" applyBorder="1" applyAlignment="1">
      <alignment vertical="top" wrapText="1"/>
    </xf>
    <xf numFmtId="0" fontId="23" fillId="0" borderId="23" xfId="0" applyFont="1" applyBorder="1" applyAlignment="1">
      <alignment horizontal="center" vertical="top" wrapText="1"/>
    </xf>
    <xf numFmtId="0" fontId="23" fillId="0" borderId="23" xfId="0" applyFont="1" applyBorder="1" applyAlignment="1">
      <alignment vertical="top"/>
    </xf>
    <xf numFmtId="0" fontId="21" fillId="0" borderId="31" xfId="0" applyFont="1" applyBorder="1" applyAlignment="1">
      <alignment horizontal="center" vertical="top" wrapText="1"/>
    </xf>
    <xf numFmtId="0" fontId="21" fillId="0" borderId="46" xfId="0" applyFont="1" applyBorder="1" applyAlignment="1">
      <alignment horizontal="center" vertical="top" wrapText="1"/>
    </xf>
    <xf numFmtId="0" fontId="5" fillId="2" borderId="0" xfId="1" applyFont="1" applyFill="1" applyBorder="1" applyAlignment="1">
      <alignment horizontal="center" vertical="center"/>
    </xf>
    <xf numFmtId="0" fontId="5" fillId="2" borderId="1" xfId="1" applyFont="1" applyFill="1" applyBorder="1" applyAlignment="1">
      <alignment horizontal="center" vertical="center"/>
    </xf>
    <xf numFmtId="0" fontId="7" fillId="2" borderId="0" xfId="1" applyFont="1" applyFill="1" applyBorder="1" applyAlignment="1">
      <alignment horizontal="center" vertical="center"/>
    </xf>
    <xf numFmtId="0" fontId="7" fillId="2" borderId="1" xfId="1" applyFont="1" applyFill="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4" fillId="0" borderId="31" xfId="1" applyBorder="1" applyAlignment="1">
      <alignment horizontal="center" vertical="center"/>
    </xf>
    <xf numFmtId="0" fontId="4" fillId="0" borderId="14" xfId="1" applyBorder="1" applyAlignment="1">
      <alignment horizontal="center" vertical="center"/>
    </xf>
    <xf numFmtId="0" fontId="4" fillId="0" borderId="46" xfId="1" applyBorder="1" applyAlignment="1">
      <alignment horizontal="center" vertical="center"/>
    </xf>
    <xf numFmtId="0" fontId="4" fillId="0" borderId="28" xfId="1" applyBorder="1" applyAlignment="1">
      <alignment horizontal="center" vertical="center"/>
    </xf>
    <xf numFmtId="0" fontId="4" fillId="0" borderId="37" xfId="1" applyBorder="1" applyAlignment="1">
      <alignment horizontal="center" vertical="center"/>
    </xf>
    <xf numFmtId="0" fontId="4" fillId="0" borderId="37" xfId="1" applyBorder="1" applyAlignment="1">
      <alignment horizontal="center"/>
    </xf>
    <xf numFmtId="0" fontId="25" fillId="0" borderId="38" xfId="0" applyFont="1" applyBorder="1" applyAlignment="1">
      <alignment horizontal="center" vertical="top" wrapText="1"/>
    </xf>
    <xf numFmtId="0" fontId="25" fillId="0" borderId="39" xfId="0" applyFont="1" applyBorder="1" applyAlignment="1">
      <alignment horizontal="center" vertical="top" wrapText="1"/>
    </xf>
    <xf numFmtId="0" fontId="15" fillId="0" borderId="22" xfId="1" applyFont="1" applyBorder="1" applyAlignment="1">
      <alignment horizontal="center" vertical="top"/>
    </xf>
    <xf numFmtId="0" fontId="15" fillId="0" borderId="1" xfId="1" applyFont="1" applyBorder="1" applyAlignment="1">
      <alignment horizontal="center" vertical="top"/>
    </xf>
    <xf numFmtId="0" fontId="15" fillId="0" borderId="3" xfId="1" applyFont="1" applyBorder="1" applyAlignment="1">
      <alignment horizontal="center" vertical="top"/>
    </xf>
    <xf numFmtId="0" fontId="4" fillId="0" borderId="0" xfId="1" applyBorder="1" applyAlignment="1">
      <alignment horizontal="center" vertical="center"/>
    </xf>
    <xf numFmtId="0" fontId="17" fillId="0" borderId="5" xfId="0" applyFont="1" applyFill="1" applyBorder="1" applyAlignment="1">
      <alignment horizontal="right" vertical="top" wrapText="1"/>
    </xf>
    <xf numFmtId="0" fontId="17" fillId="0" borderId="9" xfId="0" applyFont="1" applyFill="1" applyBorder="1" applyAlignment="1">
      <alignment horizontal="right" vertical="top" wrapText="1"/>
    </xf>
    <xf numFmtId="0" fontId="17" fillId="0" borderId="8" xfId="0" applyFont="1" applyFill="1" applyBorder="1" applyAlignment="1">
      <alignment horizontal="right" vertical="top" wrapText="1"/>
    </xf>
    <xf numFmtId="165" fontId="17" fillId="0" borderId="5" xfId="0" applyNumberFormat="1" applyFont="1" applyFill="1" applyBorder="1" applyAlignment="1">
      <alignment horizontal="center" vertical="top" wrapText="1"/>
    </xf>
    <xf numFmtId="165" fontId="17" fillId="0" borderId="9" xfId="0" applyNumberFormat="1" applyFont="1" applyFill="1" applyBorder="1" applyAlignment="1">
      <alignment horizontal="center" vertical="top" wrapText="1"/>
    </xf>
    <xf numFmtId="165" fontId="17" fillId="0" borderId="8" xfId="0" applyNumberFormat="1" applyFont="1" applyFill="1" applyBorder="1" applyAlignment="1">
      <alignment horizontal="center" vertical="top" wrapText="1"/>
    </xf>
    <xf numFmtId="0" fontId="17" fillId="0" borderId="5" xfId="0" applyFont="1" applyBorder="1" applyAlignment="1">
      <alignment horizontal="center" vertical="top"/>
    </xf>
    <xf numFmtId="0" fontId="17" fillId="0" borderId="9" xfId="0" applyFont="1" applyBorder="1" applyAlignment="1">
      <alignment horizontal="center" vertical="top"/>
    </xf>
    <xf numFmtId="0" fontId="17" fillId="0" borderId="8" xfId="0" applyFont="1" applyBorder="1" applyAlignment="1">
      <alignment horizontal="center" vertical="top"/>
    </xf>
    <xf numFmtId="0" fontId="17" fillId="0" borderId="5" xfId="0" applyNumberFormat="1" applyFont="1" applyFill="1" applyBorder="1" applyAlignment="1">
      <alignment horizontal="right" vertical="top" wrapText="1"/>
    </xf>
    <xf numFmtId="0" fontId="17" fillId="0" borderId="9" xfId="0" applyNumberFormat="1" applyFont="1" applyFill="1" applyBorder="1" applyAlignment="1">
      <alignment horizontal="right" vertical="top" wrapText="1"/>
    </xf>
    <xf numFmtId="0" fontId="17" fillId="0" borderId="8" xfId="0" applyNumberFormat="1" applyFont="1" applyFill="1" applyBorder="1" applyAlignment="1">
      <alignment horizontal="right" vertical="top" wrapText="1"/>
    </xf>
    <xf numFmtId="0" fontId="17" fillId="0" borderId="5" xfId="1" applyFont="1" applyFill="1" applyBorder="1" applyAlignment="1">
      <alignment horizontal="right" vertical="top" wrapText="1"/>
    </xf>
    <xf numFmtId="0" fontId="17" fillId="0" borderId="9" xfId="1" applyFont="1" applyFill="1" applyBorder="1" applyAlignment="1">
      <alignment horizontal="right" vertical="top" wrapText="1"/>
    </xf>
    <xf numFmtId="0" fontId="17" fillId="0" borderId="8" xfId="1" applyFont="1" applyFill="1" applyBorder="1" applyAlignment="1">
      <alignment horizontal="right" vertical="top" wrapText="1"/>
    </xf>
    <xf numFmtId="165" fontId="17" fillId="0" borderId="5" xfId="1" applyNumberFormat="1" applyFont="1" applyFill="1" applyBorder="1" applyAlignment="1">
      <alignment horizontal="center" vertical="top" wrapText="1"/>
    </xf>
    <xf numFmtId="165" fontId="17" fillId="0" borderId="9" xfId="1" applyNumberFormat="1" applyFont="1" applyFill="1" applyBorder="1" applyAlignment="1">
      <alignment horizontal="center" vertical="top" wrapText="1"/>
    </xf>
    <xf numFmtId="165" fontId="17" fillId="0" borderId="8" xfId="1" applyNumberFormat="1" applyFont="1" applyFill="1" applyBorder="1" applyAlignment="1">
      <alignment horizontal="center" vertical="top" wrapText="1"/>
    </xf>
    <xf numFmtId="0" fontId="15" fillId="0" borderId="9" xfId="1" applyFont="1" applyBorder="1"/>
    <xf numFmtId="0" fontId="15" fillId="0" borderId="8" xfId="1" applyFont="1" applyBorder="1"/>
    <xf numFmtId="0" fontId="17" fillId="0" borderId="5" xfId="1" applyFont="1" applyBorder="1" applyAlignment="1">
      <alignment horizontal="center" vertical="top"/>
    </xf>
    <xf numFmtId="0" fontId="17" fillId="0" borderId="9" xfId="1" applyFont="1" applyBorder="1" applyAlignment="1">
      <alignment horizontal="center" vertical="top"/>
    </xf>
    <xf numFmtId="0" fontId="17" fillId="0" borderId="8" xfId="1" applyFont="1" applyBorder="1" applyAlignment="1">
      <alignment horizontal="center" vertical="top"/>
    </xf>
    <xf numFmtId="0" fontId="17" fillId="0" borderId="5" xfId="1" applyNumberFormat="1" applyFont="1" applyFill="1" applyBorder="1" applyAlignment="1">
      <alignment horizontal="right" vertical="top" wrapText="1"/>
    </xf>
    <xf numFmtId="0" fontId="17" fillId="0" borderId="9" xfId="1" applyNumberFormat="1" applyFont="1" applyFill="1" applyBorder="1" applyAlignment="1">
      <alignment horizontal="right" vertical="top" wrapText="1"/>
    </xf>
    <xf numFmtId="0" fontId="17" fillId="0" borderId="8" xfId="1" applyNumberFormat="1" applyFont="1" applyFill="1" applyBorder="1" applyAlignment="1">
      <alignment horizontal="right" vertical="top" wrapText="1"/>
    </xf>
    <xf numFmtId="0" fontId="17" fillId="0" borderId="18" xfId="1" applyNumberFormat="1" applyFont="1" applyBorder="1" applyAlignment="1">
      <alignment vertical="center" wrapText="1"/>
    </xf>
    <xf numFmtId="0" fontId="17" fillId="0" borderId="20" xfId="1" applyNumberFormat="1" applyFont="1" applyBorder="1" applyAlignment="1">
      <alignment vertical="center" wrapText="1"/>
    </xf>
    <xf numFmtId="0" fontId="17" fillId="0" borderId="21" xfId="1" applyNumberFormat="1" applyFont="1" applyBorder="1" applyAlignment="1">
      <alignment vertical="center" wrapText="1"/>
    </xf>
    <xf numFmtId="0" fontId="15" fillId="0" borderId="5" xfId="1" applyFont="1" applyBorder="1" applyAlignment="1">
      <alignment horizontal="center" vertical="center"/>
    </xf>
    <xf numFmtId="0" fontId="15" fillId="0" borderId="9" xfId="1" applyFont="1" applyBorder="1" applyAlignment="1">
      <alignment horizontal="center" vertical="center"/>
    </xf>
    <xf numFmtId="0" fontId="15" fillId="0" borderId="8" xfId="1" applyFont="1" applyBorder="1" applyAlignment="1">
      <alignment horizontal="center" vertical="center"/>
    </xf>
    <xf numFmtId="0" fontId="15" fillId="0" borderId="5"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166" fontId="17" fillId="0" borderId="5" xfId="1" applyNumberFormat="1" applyFont="1" applyFill="1" applyBorder="1" applyAlignment="1">
      <alignment horizontal="right" vertical="top" wrapText="1"/>
    </xf>
    <xf numFmtId="0" fontId="17" fillId="0" borderId="5" xfId="1" applyNumberFormat="1" applyFont="1" applyFill="1" applyBorder="1" applyAlignment="1">
      <alignment horizontal="center" vertical="top" wrapText="1"/>
    </xf>
    <xf numFmtId="0" fontId="17" fillId="0" borderId="9" xfId="1" applyNumberFormat="1" applyFont="1" applyFill="1" applyBorder="1" applyAlignment="1">
      <alignment horizontal="center" vertical="top" wrapText="1"/>
    </xf>
    <xf numFmtId="0" fontId="17" fillId="0" borderId="8" xfId="1" applyNumberFormat="1" applyFont="1" applyFill="1" applyBorder="1" applyAlignment="1">
      <alignment horizontal="center" vertical="top" wrapText="1"/>
    </xf>
    <xf numFmtId="165" fontId="17" fillId="0" borderId="5" xfId="1" applyNumberFormat="1" applyFont="1" applyFill="1" applyBorder="1" applyAlignment="1">
      <alignment horizontal="center" vertical="center" wrapText="1"/>
    </xf>
    <xf numFmtId="0" fontId="23" fillId="0" borderId="38" xfId="0" applyFont="1" applyBorder="1" applyAlignment="1">
      <alignment horizontal="center" vertical="top" wrapText="1"/>
    </xf>
    <xf numFmtId="0" fontId="23" fillId="0" borderId="39" xfId="0" applyFont="1" applyBorder="1" applyAlignment="1">
      <alignment horizontal="center" vertical="top" wrapText="1"/>
    </xf>
    <xf numFmtId="0" fontId="23" fillId="0" borderId="12" xfId="0" applyFont="1" applyBorder="1" applyAlignment="1">
      <alignment horizontal="center" vertical="top" wrapText="1"/>
    </xf>
  </cellXfs>
  <cellStyles count="6">
    <cellStyle name="Normal" xfId="0" builtinId="0"/>
    <cellStyle name="Normal 2" xfId="1" xr:uid="{00000000-0005-0000-0000-000001000000}"/>
    <cellStyle name="Normal 20" xfId="2" xr:uid="{00000000-0005-0000-0000-000002000000}"/>
    <cellStyle name="Normal 28" xfId="3" xr:uid="{00000000-0005-0000-0000-000003000000}"/>
    <cellStyle name="Normal 30" xfId="4" xr:uid="{00000000-0005-0000-0000-000004000000}"/>
    <cellStyle name="Normal 31" xfId="5" xr:uid="{00000000-0005-0000-0000-000005000000}"/>
  </cellStyles>
  <dxfs count="2405">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theme="9" tint="0.59996337778862885"/>
        </patternFill>
      </fill>
    </dxf>
    <dxf>
      <font>
        <color indexed="17"/>
      </font>
      <fill>
        <patternFill>
          <bgColor indexed="11"/>
        </patternFill>
      </fill>
    </dxf>
    <dxf>
      <font>
        <condense val="0"/>
        <extend val="0"/>
        <color indexed="20"/>
      </font>
      <fill>
        <patternFill>
          <bgColor indexed="45"/>
        </patternFill>
      </fill>
    </dxf>
    <dxf>
      <fill>
        <patternFill>
          <bgColor rgb="FF33CC33"/>
        </patternFill>
      </fill>
    </dxf>
    <dxf>
      <fill>
        <patternFill>
          <bgColor rgb="FFFF5050"/>
        </patternFill>
      </fill>
    </dxf>
    <dxf>
      <fill>
        <patternFill>
          <bgColor theme="9" tint="0.59996337778862885"/>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FF5050"/>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91440</xdr:rowOff>
        </xdr:from>
        <xdr:to>
          <xdr:col>7</xdr:col>
          <xdr:colOff>137160</xdr:colOff>
          <xdr:row>9</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1BE41857-FBBE-4D82-AB11-F078A98DEED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K369"/>
  <sheetViews>
    <sheetView tabSelected="1" zoomScale="90" zoomScaleNormal="90" workbookViewId="0">
      <pane ySplit="9" topLeftCell="A297" activePane="bottomLeft" state="frozen"/>
      <selection pane="bottomLeft" activeCell="A310" sqref="A310"/>
    </sheetView>
  </sheetViews>
  <sheetFormatPr defaultColWidth="8.69921875" defaultRowHeight="14.1" customHeight="1" x14ac:dyDescent="0.3"/>
  <cols>
    <col min="1" max="1" width="13.59765625" style="10" customWidth="1"/>
    <col min="2" max="2" width="9.59765625" style="10" customWidth="1"/>
    <col min="3" max="3" width="7.09765625" style="10" customWidth="1"/>
    <col min="4" max="4" width="9" style="10" customWidth="1"/>
    <col min="5" max="5" width="7.69921875" style="10" customWidth="1"/>
    <col min="6" max="7" width="6.09765625" style="10" customWidth="1"/>
    <col min="8" max="8" width="10.5" style="10" customWidth="1"/>
    <col min="9" max="9" width="11.8984375" style="10" customWidth="1"/>
    <col min="10" max="10" width="39.09765625" style="10" customWidth="1"/>
    <col min="11" max="11" width="42.09765625" style="10" customWidth="1"/>
    <col min="12" max="16384" width="8.69921875" style="10"/>
  </cols>
  <sheetData>
    <row r="1" spans="1:11" s="281" customFormat="1" ht="14.1" customHeight="1" x14ac:dyDescent="0.3">
      <c r="A1" s="342" t="s">
        <v>11</v>
      </c>
      <c r="B1" s="342"/>
      <c r="C1" s="342"/>
      <c r="D1" s="342"/>
      <c r="E1" s="342"/>
      <c r="F1" s="342"/>
      <c r="G1" s="342"/>
      <c r="H1" s="342"/>
      <c r="I1" s="342"/>
      <c r="J1" s="343"/>
    </row>
    <row r="2" spans="1:11" ht="14.1" customHeight="1" x14ac:dyDescent="0.3">
      <c r="A2" s="282" t="s">
        <v>12</v>
      </c>
      <c r="B2" s="2"/>
      <c r="C2" s="262"/>
      <c r="D2" s="262"/>
      <c r="E2" s="262"/>
      <c r="F2" s="262"/>
      <c r="G2" s="323"/>
      <c r="H2" s="263"/>
      <c r="I2" s="2"/>
      <c r="J2" s="283" t="s">
        <v>13</v>
      </c>
    </row>
    <row r="3" spans="1:11" ht="14.1" customHeight="1" x14ac:dyDescent="0.3">
      <c r="A3" s="282" t="s">
        <v>14</v>
      </c>
      <c r="B3" s="263"/>
      <c r="C3" s="263"/>
      <c r="D3" s="263"/>
      <c r="E3" s="263"/>
      <c r="F3" s="263"/>
      <c r="G3" s="324"/>
      <c r="H3" s="344" t="s">
        <v>15</v>
      </c>
      <c r="I3" s="344"/>
      <c r="J3" s="345"/>
    </row>
    <row r="4" spans="1:11" ht="14.1" customHeight="1" x14ac:dyDescent="0.3">
      <c r="A4" s="282" t="s">
        <v>16</v>
      </c>
      <c r="B4" s="263"/>
      <c r="C4" s="263"/>
      <c r="D4" s="263"/>
      <c r="E4" s="263"/>
      <c r="F4" s="263"/>
      <c r="G4" s="324"/>
      <c r="H4" s="263"/>
      <c r="I4" s="263" t="s">
        <v>17</v>
      </c>
      <c r="J4" s="264"/>
    </row>
    <row r="5" spans="1:11" ht="14.1" customHeight="1" x14ac:dyDescent="0.3">
      <c r="A5" s="282" t="s">
        <v>18</v>
      </c>
      <c r="B5" s="284"/>
      <c r="C5" s="263"/>
      <c r="D5" s="263"/>
      <c r="E5" s="263"/>
      <c r="F5" s="263"/>
      <c r="G5" s="324"/>
      <c r="H5" s="263"/>
      <c r="I5" s="263"/>
      <c r="J5" s="264"/>
    </row>
    <row r="6" spans="1:11" ht="14.1" customHeight="1" x14ac:dyDescent="0.3">
      <c r="A6" s="282" t="s">
        <v>19</v>
      </c>
      <c r="B6" s="284"/>
      <c r="C6" s="263"/>
      <c r="D6" s="263"/>
      <c r="E6" s="263"/>
      <c r="F6" s="263"/>
      <c r="G6" s="324"/>
      <c r="H6" s="263"/>
      <c r="I6" s="263"/>
      <c r="J6" s="264"/>
    </row>
    <row r="7" spans="1:11" ht="14.1" customHeight="1" x14ac:dyDescent="0.3">
      <c r="A7" s="285"/>
      <c r="B7" s="286"/>
      <c r="C7" s="4"/>
      <c r="D7" s="4"/>
      <c r="E7" s="4"/>
      <c r="F7" s="4"/>
      <c r="G7" s="4"/>
      <c r="H7" s="4"/>
      <c r="I7" s="4"/>
      <c r="J7" s="287"/>
    </row>
    <row r="8" spans="1:11" s="290" customFormat="1" ht="14.1" customHeight="1" thickBot="1" x14ac:dyDescent="0.35">
      <c r="A8" s="288"/>
      <c r="B8" s="289"/>
      <c r="C8" s="346" t="s">
        <v>21</v>
      </c>
      <c r="D8" s="347"/>
      <c r="E8" s="265"/>
      <c r="F8" s="266"/>
      <c r="G8" s="266"/>
      <c r="H8" s="265"/>
      <c r="I8" s="106"/>
      <c r="J8" s="267"/>
    </row>
    <row r="9" spans="1:11" s="273" customFormat="1" ht="28.2" thickBot="1" x14ac:dyDescent="0.35">
      <c r="A9" s="268" t="s">
        <v>255</v>
      </c>
      <c r="B9" s="269" t="s">
        <v>20</v>
      </c>
      <c r="C9" s="270" t="s">
        <v>25</v>
      </c>
      <c r="D9" s="270" t="s">
        <v>26</v>
      </c>
      <c r="E9" s="271" t="s">
        <v>256</v>
      </c>
      <c r="F9" s="270" t="s">
        <v>183</v>
      </c>
      <c r="G9" s="270" t="s">
        <v>22</v>
      </c>
      <c r="H9" s="271" t="s">
        <v>23</v>
      </c>
      <c r="I9" s="271" t="s">
        <v>258</v>
      </c>
      <c r="J9" s="271" t="s">
        <v>257</v>
      </c>
      <c r="K9" s="272" t="s">
        <v>24</v>
      </c>
    </row>
    <row r="10" spans="1:11" ht="14.1" hidden="1" customHeight="1" x14ac:dyDescent="0.3">
      <c r="A10" s="274">
        <v>42737</v>
      </c>
      <c r="B10" s="112" t="s">
        <v>27</v>
      </c>
      <c r="C10" s="275">
        <v>3</v>
      </c>
      <c r="D10" s="275">
        <v>51</v>
      </c>
      <c r="E10" s="275">
        <f t="shared" ref="E10:E73" si="0">IF(D10="","",(D10-C10))</f>
        <v>48</v>
      </c>
      <c r="F10" s="275">
        <v>50</v>
      </c>
      <c r="G10" s="275">
        <v>50</v>
      </c>
      <c r="H10" s="276" t="str">
        <f t="shared" ref="H10:H73" si="1">IF(E10="","",IF(E10&lt;50,"Pass","Fail"))</f>
        <v>Pass</v>
      </c>
      <c r="I10" s="112">
        <v>1159</v>
      </c>
      <c r="J10" s="277" t="s">
        <v>28</v>
      </c>
      <c r="K10" s="112"/>
    </row>
    <row r="11" spans="1:11" ht="14.1" hidden="1" customHeight="1" x14ac:dyDescent="0.3">
      <c r="A11" s="278">
        <v>42740</v>
      </c>
      <c r="B11" s="7" t="s">
        <v>27</v>
      </c>
      <c r="C11" s="279">
        <v>2</v>
      </c>
      <c r="D11" s="279">
        <v>3</v>
      </c>
      <c r="E11" s="279">
        <f t="shared" si="0"/>
        <v>1</v>
      </c>
      <c r="F11" s="275">
        <v>50</v>
      </c>
      <c r="G11" s="275">
        <v>50</v>
      </c>
      <c r="H11" s="280" t="str">
        <f t="shared" si="1"/>
        <v>Pass</v>
      </c>
      <c r="I11" s="7">
        <v>1335</v>
      </c>
      <c r="J11" s="7" t="s">
        <v>29</v>
      </c>
      <c r="K11" s="7"/>
    </row>
    <row r="12" spans="1:11" ht="14.1" hidden="1" customHeight="1" x14ac:dyDescent="0.3">
      <c r="A12" s="278">
        <v>42744</v>
      </c>
      <c r="B12" s="7" t="s">
        <v>27</v>
      </c>
      <c r="C12" s="279">
        <v>8</v>
      </c>
      <c r="D12" s="279">
        <v>8</v>
      </c>
      <c r="E12" s="279">
        <f t="shared" si="0"/>
        <v>0</v>
      </c>
      <c r="F12" s="279">
        <v>50</v>
      </c>
      <c r="G12" s="279">
        <v>50</v>
      </c>
      <c r="H12" s="280" t="str">
        <f t="shared" si="1"/>
        <v>Pass</v>
      </c>
      <c r="I12" s="7">
        <v>1159</v>
      </c>
      <c r="J12" s="7" t="s">
        <v>30</v>
      </c>
      <c r="K12" s="7"/>
    </row>
    <row r="13" spans="1:11" ht="14.1" hidden="1" customHeight="1" x14ac:dyDescent="0.3">
      <c r="A13" s="278">
        <v>42748</v>
      </c>
      <c r="B13" s="7" t="s">
        <v>27</v>
      </c>
      <c r="C13" s="279">
        <v>10</v>
      </c>
      <c r="D13" s="279">
        <v>20</v>
      </c>
      <c r="E13" s="279">
        <f t="shared" si="0"/>
        <v>10</v>
      </c>
      <c r="F13" s="279">
        <v>50</v>
      </c>
      <c r="G13" s="279">
        <v>50</v>
      </c>
      <c r="H13" s="280" t="str">
        <f t="shared" si="1"/>
        <v>Pass</v>
      </c>
      <c r="I13" s="7">
        <v>1159</v>
      </c>
      <c r="J13" s="7" t="s">
        <v>31</v>
      </c>
      <c r="K13" s="7"/>
    </row>
    <row r="14" spans="1:11" ht="14.1" hidden="1" customHeight="1" x14ac:dyDescent="0.3">
      <c r="A14" s="278">
        <v>42759</v>
      </c>
      <c r="B14" s="7" t="s">
        <v>27</v>
      </c>
      <c r="C14" s="279">
        <v>10</v>
      </c>
      <c r="D14" s="279">
        <v>32</v>
      </c>
      <c r="E14" s="279">
        <f t="shared" si="0"/>
        <v>22</v>
      </c>
      <c r="F14" s="279">
        <v>50</v>
      </c>
      <c r="G14" s="279">
        <v>50</v>
      </c>
      <c r="H14" s="280" t="str">
        <f t="shared" si="1"/>
        <v>Pass</v>
      </c>
      <c r="I14" s="7">
        <v>1400</v>
      </c>
      <c r="J14" s="7" t="s">
        <v>32</v>
      </c>
      <c r="K14" s="7"/>
    </row>
    <row r="15" spans="1:11" ht="14.1" hidden="1" customHeight="1" x14ac:dyDescent="0.3">
      <c r="A15" s="278">
        <v>42762</v>
      </c>
      <c r="B15" s="7" t="s">
        <v>27</v>
      </c>
      <c r="C15" s="279">
        <v>6</v>
      </c>
      <c r="D15" s="279">
        <v>40</v>
      </c>
      <c r="E15" s="279">
        <f t="shared" si="0"/>
        <v>34</v>
      </c>
      <c r="F15" s="279">
        <v>50</v>
      </c>
      <c r="G15" s="279">
        <v>50</v>
      </c>
      <c r="H15" s="280" t="str">
        <f t="shared" si="1"/>
        <v>Pass</v>
      </c>
      <c r="I15" s="7">
        <v>1400</v>
      </c>
      <c r="J15" s="7" t="s">
        <v>33</v>
      </c>
      <c r="K15" s="7"/>
    </row>
    <row r="16" spans="1:11" ht="14.1" hidden="1" customHeight="1" x14ac:dyDescent="0.3">
      <c r="A16" s="278">
        <v>42765</v>
      </c>
      <c r="B16" s="7" t="s">
        <v>27</v>
      </c>
      <c r="C16" s="279">
        <v>4</v>
      </c>
      <c r="D16" s="279">
        <v>4</v>
      </c>
      <c r="E16" s="279">
        <f t="shared" si="0"/>
        <v>0</v>
      </c>
      <c r="F16" s="279">
        <v>50</v>
      </c>
      <c r="G16" s="279">
        <v>50</v>
      </c>
      <c r="H16" s="280" t="str">
        <f t="shared" si="1"/>
        <v>Pass</v>
      </c>
      <c r="I16" s="7">
        <v>1400</v>
      </c>
      <c r="J16" s="7" t="s">
        <v>34</v>
      </c>
      <c r="K16" s="7"/>
    </row>
    <row r="17" spans="1:11" ht="14.1" hidden="1" customHeight="1" x14ac:dyDescent="0.3">
      <c r="A17" s="278">
        <v>42769</v>
      </c>
      <c r="B17" s="7" t="s">
        <v>27</v>
      </c>
      <c r="C17" s="279">
        <v>15</v>
      </c>
      <c r="D17" s="279">
        <v>18</v>
      </c>
      <c r="E17" s="279">
        <f t="shared" si="0"/>
        <v>3</v>
      </c>
      <c r="F17" s="279">
        <v>50</v>
      </c>
      <c r="G17" s="279">
        <v>50</v>
      </c>
      <c r="H17" s="280" t="str">
        <f t="shared" si="1"/>
        <v>Pass</v>
      </c>
      <c r="I17" s="7">
        <v>1159</v>
      </c>
      <c r="J17" s="7" t="s">
        <v>35</v>
      </c>
      <c r="K17" s="7"/>
    </row>
    <row r="18" spans="1:11" ht="14.1" hidden="1" customHeight="1" x14ac:dyDescent="0.3">
      <c r="A18" s="278">
        <v>42772</v>
      </c>
      <c r="B18" s="7" t="s">
        <v>27</v>
      </c>
      <c r="C18" s="279">
        <v>8</v>
      </c>
      <c r="D18" s="279">
        <v>25</v>
      </c>
      <c r="E18" s="279">
        <f t="shared" si="0"/>
        <v>17</v>
      </c>
      <c r="F18" s="279">
        <v>50</v>
      </c>
      <c r="G18" s="279">
        <v>50</v>
      </c>
      <c r="H18" s="280" t="str">
        <f t="shared" si="1"/>
        <v>Pass</v>
      </c>
      <c r="I18" s="7">
        <v>1400</v>
      </c>
      <c r="J18" s="7" t="s">
        <v>36</v>
      </c>
      <c r="K18" s="7"/>
    </row>
    <row r="19" spans="1:11" ht="14.1" hidden="1" customHeight="1" x14ac:dyDescent="0.3">
      <c r="A19" s="278">
        <v>42775</v>
      </c>
      <c r="B19" s="7" t="s">
        <v>27</v>
      </c>
      <c r="C19" s="279">
        <v>21</v>
      </c>
      <c r="D19" s="279">
        <v>32</v>
      </c>
      <c r="E19" s="279">
        <f t="shared" si="0"/>
        <v>11</v>
      </c>
      <c r="F19" s="279">
        <v>50</v>
      </c>
      <c r="G19" s="279">
        <v>50</v>
      </c>
      <c r="H19" s="280" t="str">
        <f t="shared" si="1"/>
        <v>Pass</v>
      </c>
      <c r="I19" s="7">
        <v>1428</v>
      </c>
      <c r="J19" s="7" t="s">
        <v>37</v>
      </c>
      <c r="K19" s="7"/>
    </row>
    <row r="20" spans="1:11" ht="14.1" hidden="1" customHeight="1" x14ac:dyDescent="0.3">
      <c r="A20" s="278">
        <v>42779</v>
      </c>
      <c r="B20" s="7" t="s">
        <v>27</v>
      </c>
      <c r="C20" s="279">
        <v>7</v>
      </c>
      <c r="D20" s="279">
        <v>25</v>
      </c>
      <c r="E20" s="279">
        <f t="shared" si="0"/>
        <v>18</v>
      </c>
      <c r="F20" s="279">
        <v>50</v>
      </c>
      <c r="G20" s="279">
        <v>50</v>
      </c>
      <c r="H20" s="280" t="str">
        <f t="shared" si="1"/>
        <v>Pass</v>
      </c>
      <c r="I20" s="7">
        <v>1400</v>
      </c>
      <c r="J20" s="7" t="s">
        <v>38</v>
      </c>
      <c r="K20" s="7"/>
    </row>
    <row r="21" spans="1:11" ht="14.1" hidden="1" customHeight="1" x14ac:dyDescent="0.3">
      <c r="A21" s="278">
        <v>42782</v>
      </c>
      <c r="B21" s="7" t="s">
        <v>27</v>
      </c>
      <c r="C21" s="279">
        <v>7</v>
      </c>
      <c r="D21" s="279">
        <v>31</v>
      </c>
      <c r="E21" s="279">
        <f t="shared" si="0"/>
        <v>24</v>
      </c>
      <c r="F21" s="279">
        <v>50</v>
      </c>
      <c r="G21" s="279">
        <v>50</v>
      </c>
      <c r="H21" s="280" t="str">
        <f t="shared" si="1"/>
        <v>Pass</v>
      </c>
      <c r="I21" s="7">
        <v>1400</v>
      </c>
      <c r="J21" s="7" t="s">
        <v>39</v>
      </c>
      <c r="K21" s="7"/>
    </row>
    <row r="22" spans="1:11" ht="14.1" hidden="1" customHeight="1" x14ac:dyDescent="0.3">
      <c r="A22" s="278">
        <v>42787</v>
      </c>
      <c r="B22" s="7" t="s">
        <v>27</v>
      </c>
      <c r="C22" s="279">
        <v>23</v>
      </c>
      <c r="D22" s="279">
        <v>32</v>
      </c>
      <c r="E22" s="279">
        <f t="shared" si="0"/>
        <v>9</v>
      </c>
      <c r="F22" s="279">
        <v>50</v>
      </c>
      <c r="G22" s="279">
        <v>50</v>
      </c>
      <c r="H22" s="280" t="str">
        <f t="shared" si="1"/>
        <v>Pass</v>
      </c>
      <c r="I22" s="7">
        <v>1400</v>
      </c>
      <c r="J22" s="7" t="s">
        <v>40</v>
      </c>
      <c r="K22" s="7"/>
    </row>
    <row r="23" spans="1:11" ht="14.1" hidden="1" customHeight="1" x14ac:dyDescent="0.3">
      <c r="A23" s="278">
        <v>42796</v>
      </c>
      <c r="B23" s="7" t="s">
        <v>27</v>
      </c>
      <c r="C23" s="279">
        <v>11</v>
      </c>
      <c r="D23" s="279">
        <v>19</v>
      </c>
      <c r="E23" s="279">
        <f t="shared" si="0"/>
        <v>8</v>
      </c>
      <c r="F23" s="279">
        <v>50</v>
      </c>
      <c r="G23" s="279">
        <v>50</v>
      </c>
      <c r="H23" s="280" t="str">
        <f t="shared" si="1"/>
        <v>Pass</v>
      </c>
      <c r="I23" s="7">
        <v>1428</v>
      </c>
      <c r="J23" s="7" t="s">
        <v>37</v>
      </c>
      <c r="K23" s="7"/>
    </row>
    <row r="24" spans="1:11" ht="14.1" hidden="1" customHeight="1" x14ac:dyDescent="0.3">
      <c r="A24" s="278">
        <v>42800</v>
      </c>
      <c r="B24" s="7" t="s">
        <v>27</v>
      </c>
      <c r="C24" s="279">
        <v>2</v>
      </c>
      <c r="D24" s="279">
        <v>20</v>
      </c>
      <c r="E24" s="279">
        <f t="shared" si="0"/>
        <v>18</v>
      </c>
      <c r="F24" s="279">
        <v>50</v>
      </c>
      <c r="G24" s="279">
        <v>50</v>
      </c>
      <c r="H24" s="280" t="str">
        <f t="shared" si="1"/>
        <v>Pass</v>
      </c>
      <c r="I24" s="7">
        <v>1400</v>
      </c>
      <c r="J24" s="7" t="s">
        <v>41</v>
      </c>
      <c r="K24" s="7"/>
    </row>
    <row r="25" spans="1:11" ht="14.1" hidden="1" customHeight="1" x14ac:dyDescent="0.3">
      <c r="A25" s="278">
        <v>42804</v>
      </c>
      <c r="B25" s="7" t="s">
        <v>27</v>
      </c>
      <c r="C25" s="279">
        <v>17</v>
      </c>
      <c r="D25" s="279">
        <v>9</v>
      </c>
      <c r="E25" s="279">
        <f t="shared" si="0"/>
        <v>-8</v>
      </c>
      <c r="F25" s="279">
        <v>50</v>
      </c>
      <c r="G25" s="279">
        <v>50</v>
      </c>
      <c r="H25" s="280" t="str">
        <f t="shared" si="1"/>
        <v>Pass</v>
      </c>
      <c r="I25" s="7">
        <v>1400</v>
      </c>
      <c r="J25" s="7" t="s">
        <v>42</v>
      </c>
      <c r="K25" s="7"/>
    </row>
    <row r="26" spans="1:11" ht="14.1" hidden="1" customHeight="1" x14ac:dyDescent="0.3">
      <c r="A26" s="278">
        <v>42808</v>
      </c>
      <c r="B26" s="7" t="s">
        <v>27</v>
      </c>
      <c r="C26" s="279">
        <v>12</v>
      </c>
      <c r="D26" s="279">
        <v>15</v>
      </c>
      <c r="E26" s="279">
        <f t="shared" si="0"/>
        <v>3</v>
      </c>
      <c r="F26" s="279">
        <v>50</v>
      </c>
      <c r="G26" s="279">
        <v>50</v>
      </c>
      <c r="H26" s="280" t="str">
        <f t="shared" si="1"/>
        <v>Pass</v>
      </c>
      <c r="I26" s="7">
        <v>1400</v>
      </c>
      <c r="J26" s="7" t="s">
        <v>43</v>
      </c>
      <c r="K26" s="7"/>
    </row>
    <row r="27" spans="1:11" ht="14.1" hidden="1" customHeight="1" x14ac:dyDescent="0.3">
      <c r="A27" s="278">
        <v>42811</v>
      </c>
      <c r="B27" s="7" t="s">
        <v>27</v>
      </c>
      <c r="C27" s="279">
        <v>10</v>
      </c>
      <c r="D27" s="279">
        <v>5</v>
      </c>
      <c r="E27" s="279">
        <f t="shared" si="0"/>
        <v>-5</v>
      </c>
      <c r="F27" s="279">
        <v>50</v>
      </c>
      <c r="G27" s="279">
        <v>50</v>
      </c>
      <c r="H27" s="280" t="str">
        <f t="shared" si="1"/>
        <v>Pass</v>
      </c>
      <c r="I27" s="7">
        <v>1400</v>
      </c>
      <c r="J27" s="7" t="s">
        <v>44</v>
      </c>
      <c r="K27" s="7"/>
    </row>
    <row r="28" spans="1:11" ht="14.1" hidden="1" customHeight="1" x14ac:dyDescent="0.3">
      <c r="A28" s="278">
        <v>42814</v>
      </c>
      <c r="B28" s="7" t="s">
        <v>27</v>
      </c>
      <c r="C28" s="279">
        <v>8</v>
      </c>
      <c r="D28" s="279">
        <v>8</v>
      </c>
      <c r="E28" s="279">
        <f t="shared" si="0"/>
        <v>0</v>
      </c>
      <c r="F28" s="279">
        <v>50</v>
      </c>
      <c r="G28" s="279">
        <v>50</v>
      </c>
      <c r="H28" s="280" t="str">
        <f t="shared" si="1"/>
        <v>Pass</v>
      </c>
      <c r="I28" s="7">
        <v>1400</v>
      </c>
      <c r="J28" s="7" t="s">
        <v>45</v>
      </c>
      <c r="K28" s="7"/>
    </row>
    <row r="29" spans="1:11" ht="14.1" hidden="1" customHeight="1" x14ac:dyDescent="0.3">
      <c r="A29" s="278">
        <v>42817</v>
      </c>
      <c r="B29" s="7" t="s">
        <v>27</v>
      </c>
      <c r="C29" s="279">
        <v>22</v>
      </c>
      <c r="D29" s="279">
        <v>36</v>
      </c>
      <c r="E29" s="279">
        <f t="shared" si="0"/>
        <v>14</v>
      </c>
      <c r="F29" s="279">
        <v>50</v>
      </c>
      <c r="G29" s="279">
        <v>50</v>
      </c>
      <c r="H29" s="280" t="str">
        <f t="shared" si="1"/>
        <v>Pass</v>
      </c>
      <c r="I29" s="7">
        <v>1428</v>
      </c>
      <c r="J29" s="7" t="s">
        <v>37</v>
      </c>
      <c r="K29" s="7"/>
    </row>
    <row r="30" spans="1:11" ht="14.1" hidden="1" customHeight="1" x14ac:dyDescent="0.3">
      <c r="A30" s="278">
        <v>42823</v>
      </c>
      <c r="B30" s="7" t="s">
        <v>27</v>
      </c>
      <c r="C30" s="279">
        <v>0</v>
      </c>
      <c r="D30" s="279">
        <v>20</v>
      </c>
      <c r="E30" s="279">
        <f t="shared" si="0"/>
        <v>20</v>
      </c>
      <c r="F30" s="279">
        <v>50</v>
      </c>
      <c r="G30" s="279">
        <v>50</v>
      </c>
      <c r="H30" s="280" t="str">
        <f t="shared" si="1"/>
        <v>Pass</v>
      </c>
      <c r="I30" s="7">
        <v>1159</v>
      </c>
      <c r="J30" s="7" t="s">
        <v>46</v>
      </c>
      <c r="K30" s="7"/>
    </row>
    <row r="31" spans="1:11" ht="14.1" hidden="1" customHeight="1" x14ac:dyDescent="0.3">
      <c r="A31" s="278">
        <v>42832</v>
      </c>
      <c r="B31" s="7" t="s">
        <v>27</v>
      </c>
      <c r="C31" s="279">
        <v>44</v>
      </c>
      <c r="D31" s="279">
        <v>53</v>
      </c>
      <c r="E31" s="279">
        <f t="shared" si="0"/>
        <v>9</v>
      </c>
      <c r="F31" s="279">
        <v>50</v>
      </c>
      <c r="G31" s="279">
        <v>50</v>
      </c>
      <c r="H31" s="280" t="str">
        <f t="shared" si="1"/>
        <v>Pass</v>
      </c>
      <c r="I31" s="7">
        <v>1335</v>
      </c>
      <c r="J31" s="7" t="s">
        <v>46</v>
      </c>
      <c r="K31" s="7"/>
    </row>
    <row r="32" spans="1:11" ht="14.1" hidden="1" customHeight="1" x14ac:dyDescent="0.3">
      <c r="A32" s="278">
        <v>42835</v>
      </c>
      <c r="B32" s="7" t="s">
        <v>27</v>
      </c>
      <c r="C32" s="279">
        <v>12</v>
      </c>
      <c r="D32" s="279">
        <v>53</v>
      </c>
      <c r="E32" s="279">
        <f t="shared" si="0"/>
        <v>41</v>
      </c>
      <c r="F32" s="279">
        <v>50</v>
      </c>
      <c r="G32" s="279">
        <v>50</v>
      </c>
      <c r="H32" s="280" t="str">
        <f t="shared" si="1"/>
        <v>Pass</v>
      </c>
      <c r="I32" s="7">
        <v>1400</v>
      </c>
      <c r="J32" s="7" t="s">
        <v>37</v>
      </c>
      <c r="K32" s="7"/>
    </row>
    <row r="33" spans="1:11" ht="14.1" hidden="1" customHeight="1" x14ac:dyDescent="0.3">
      <c r="A33" s="278">
        <v>42838</v>
      </c>
      <c r="B33" s="7" t="s">
        <v>27</v>
      </c>
      <c r="C33" s="279">
        <v>33</v>
      </c>
      <c r="D33" s="279">
        <v>34</v>
      </c>
      <c r="E33" s="279">
        <f t="shared" si="0"/>
        <v>1</v>
      </c>
      <c r="F33" s="279">
        <v>50</v>
      </c>
      <c r="G33" s="279">
        <v>50</v>
      </c>
      <c r="H33" s="280" t="str">
        <f t="shared" si="1"/>
        <v>Pass</v>
      </c>
      <c r="I33" s="7">
        <v>1428</v>
      </c>
      <c r="J33" s="7" t="s">
        <v>37</v>
      </c>
      <c r="K33" s="7"/>
    </row>
    <row r="34" spans="1:11" ht="14.1" hidden="1" customHeight="1" x14ac:dyDescent="0.3">
      <c r="A34" s="278">
        <v>42843</v>
      </c>
      <c r="B34" s="7" t="s">
        <v>27</v>
      </c>
      <c r="C34" s="279">
        <v>1</v>
      </c>
      <c r="D34" s="279">
        <v>49</v>
      </c>
      <c r="E34" s="279">
        <f t="shared" si="0"/>
        <v>48</v>
      </c>
      <c r="F34" s="279">
        <v>50</v>
      </c>
      <c r="G34" s="279">
        <v>50</v>
      </c>
      <c r="H34" s="280" t="str">
        <f t="shared" si="1"/>
        <v>Pass</v>
      </c>
      <c r="I34" s="7">
        <v>1159</v>
      </c>
      <c r="J34" s="7" t="s">
        <v>37</v>
      </c>
      <c r="K34" s="7"/>
    </row>
    <row r="35" spans="1:11" ht="14.1" hidden="1" customHeight="1" x14ac:dyDescent="0.3">
      <c r="A35" s="278">
        <v>42846</v>
      </c>
      <c r="B35" s="7" t="s">
        <v>27</v>
      </c>
      <c r="C35" s="279">
        <v>4</v>
      </c>
      <c r="D35" s="279">
        <v>5</v>
      </c>
      <c r="E35" s="279">
        <f t="shared" si="0"/>
        <v>1</v>
      </c>
      <c r="F35" s="279">
        <v>50</v>
      </c>
      <c r="G35" s="279">
        <v>50</v>
      </c>
      <c r="H35" s="280" t="str">
        <f t="shared" si="1"/>
        <v>Pass</v>
      </c>
      <c r="I35" s="7">
        <v>1159</v>
      </c>
      <c r="J35" s="7" t="s">
        <v>47</v>
      </c>
      <c r="K35" s="7"/>
    </row>
    <row r="36" spans="1:11" ht="14.1" hidden="1" customHeight="1" x14ac:dyDescent="0.3">
      <c r="A36" s="278">
        <v>42850</v>
      </c>
      <c r="B36" s="7" t="s">
        <v>27</v>
      </c>
      <c r="C36" s="279">
        <v>8</v>
      </c>
      <c r="D36" s="279">
        <v>18</v>
      </c>
      <c r="E36" s="279">
        <f t="shared" si="0"/>
        <v>10</v>
      </c>
      <c r="F36" s="279">
        <v>50</v>
      </c>
      <c r="G36" s="279">
        <v>50</v>
      </c>
      <c r="H36" s="280" t="str">
        <f t="shared" si="1"/>
        <v>Pass</v>
      </c>
      <c r="I36" s="7">
        <v>121</v>
      </c>
      <c r="J36" s="7" t="s">
        <v>48</v>
      </c>
      <c r="K36" s="7"/>
    </row>
    <row r="37" spans="1:11" ht="14.1" hidden="1" customHeight="1" x14ac:dyDescent="0.3">
      <c r="A37" s="278">
        <v>42856</v>
      </c>
      <c r="B37" s="7" t="s">
        <v>27</v>
      </c>
      <c r="C37" s="279">
        <v>10</v>
      </c>
      <c r="D37" s="279">
        <v>36</v>
      </c>
      <c r="E37" s="279">
        <f t="shared" si="0"/>
        <v>26</v>
      </c>
      <c r="F37" s="279">
        <v>50</v>
      </c>
      <c r="G37" s="279">
        <v>50</v>
      </c>
      <c r="H37" s="280" t="str">
        <f t="shared" si="1"/>
        <v>Pass</v>
      </c>
      <c r="I37" s="7">
        <v>1428</v>
      </c>
      <c r="J37" s="7" t="s">
        <v>37</v>
      </c>
      <c r="K37" s="7"/>
    </row>
    <row r="38" spans="1:11" ht="14.1" hidden="1" customHeight="1" x14ac:dyDescent="0.3">
      <c r="A38" s="278">
        <v>42867</v>
      </c>
      <c r="B38" s="7" t="s">
        <v>27</v>
      </c>
      <c r="C38" s="279">
        <v>6</v>
      </c>
      <c r="D38" s="279">
        <v>21</v>
      </c>
      <c r="E38" s="279">
        <f t="shared" si="0"/>
        <v>15</v>
      </c>
      <c r="F38" s="279">
        <v>50</v>
      </c>
      <c r="G38" s="279">
        <v>50</v>
      </c>
      <c r="H38" s="280" t="str">
        <f t="shared" si="1"/>
        <v>Pass</v>
      </c>
      <c r="I38" s="7">
        <v>121</v>
      </c>
      <c r="J38" s="7" t="s">
        <v>29</v>
      </c>
      <c r="K38" s="7"/>
    </row>
    <row r="39" spans="1:11" ht="14.1" hidden="1" customHeight="1" x14ac:dyDescent="0.3">
      <c r="A39" s="278">
        <v>42870</v>
      </c>
      <c r="B39" s="7" t="s">
        <v>27</v>
      </c>
      <c r="C39" s="279">
        <v>3</v>
      </c>
      <c r="D39" s="279">
        <v>37</v>
      </c>
      <c r="E39" s="279">
        <f t="shared" si="0"/>
        <v>34</v>
      </c>
      <c r="F39" s="279">
        <v>50</v>
      </c>
      <c r="G39" s="279">
        <v>50</v>
      </c>
      <c r="H39" s="280" t="str">
        <f t="shared" si="1"/>
        <v>Pass</v>
      </c>
      <c r="I39" s="7">
        <v>121</v>
      </c>
      <c r="J39" s="7" t="s">
        <v>49</v>
      </c>
      <c r="K39" s="7"/>
    </row>
    <row r="40" spans="1:11" ht="14.1" hidden="1" customHeight="1" x14ac:dyDescent="0.3">
      <c r="A40" s="278">
        <v>42874</v>
      </c>
      <c r="B40" s="7" t="s">
        <v>27</v>
      </c>
      <c r="C40" s="279">
        <v>3</v>
      </c>
      <c r="D40" s="279">
        <v>5</v>
      </c>
      <c r="E40" s="279">
        <f t="shared" si="0"/>
        <v>2</v>
      </c>
      <c r="F40" s="279">
        <v>50</v>
      </c>
      <c r="G40" s="279">
        <v>50</v>
      </c>
      <c r="H40" s="280" t="str">
        <f t="shared" si="1"/>
        <v>Pass</v>
      </c>
      <c r="I40" s="7">
        <v>1159</v>
      </c>
      <c r="J40" s="7" t="s">
        <v>50</v>
      </c>
      <c r="K40" s="7"/>
    </row>
    <row r="41" spans="1:11" ht="14.1" hidden="1" customHeight="1" x14ac:dyDescent="0.3">
      <c r="A41" s="278">
        <v>42877</v>
      </c>
      <c r="B41" s="7" t="s">
        <v>27</v>
      </c>
      <c r="C41" s="279">
        <v>5</v>
      </c>
      <c r="D41" s="279">
        <v>9</v>
      </c>
      <c r="E41" s="279">
        <f t="shared" si="0"/>
        <v>4</v>
      </c>
      <c r="F41" s="279">
        <v>50</v>
      </c>
      <c r="G41" s="279">
        <v>50</v>
      </c>
      <c r="H41" s="280" t="str">
        <f t="shared" si="1"/>
        <v>Pass</v>
      </c>
      <c r="I41" s="7" t="s">
        <v>51</v>
      </c>
      <c r="J41" s="7" t="s">
        <v>52</v>
      </c>
      <c r="K41" s="7"/>
    </row>
    <row r="42" spans="1:11" ht="14.1" hidden="1" customHeight="1" x14ac:dyDescent="0.3">
      <c r="A42" s="278">
        <v>42881</v>
      </c>
      <c r="B42" s="7" t="s">
        <v>27</v>
      </c>
      <c r="C42" s="279">
        <v>27</v>
      </c>
      <c r="D42" s="279">
        <v>55</v>
      </c>
      <c r="E42" s="279">
        <f t="shared" si="0"/>
        <v>28</v>
      </c>
      <c r="F42" s="279">
        <v>50</v>
      </c>
      <c r="G42" s="279">
        <v>50</v>
      </c>
      <c r="H42" s="280" t="str">
        <f t="shared" si="1"/>
        <v>Pass</v>
      </c>
      <c r="I42" s="7">
        <v>1428</v>
      </c>
      <c r="J42" s="7"/>
      <c r="K42" s="7"/>
    </row>
    <row r="43" spans="1:11" ht="14.1" hidden="1" customHeight="1" x14ac:dyDescent="0.3">
      <c r="A43" s="278">
        <v>42885</v>
      </c>
      <c r="B43" s="7" t="s">
        <v>27</v>
      </c>
      <c r="C43" s="279">
        <v>3</v>
      </c>
      <c r="D43" s="279">
        <v>10</v>
      </c>
      <c r="E43" s="279">
        <f t="shared" si="0"/>
        <v>7</v>
      </c>
      <c r="F43" s="279">
        <v>50</v>
      </c>
      <c r="G43" s="279">
        <v>50</v>
      </c>
      <c r="H43" s="280" t="str">
        <f t="shared" si="1"/>
        <v>Pass</v>
      </c>
      <c r="I43" s="7">
        <v>1159</v>
      </c>
      <c r="J43" s="7" t="s">
        <v>50</v>
      </c>
      <c r="K43" s="7"/>
    </row>
    <row r="44" spans="1:11" ht="14.1" hidden="1" customHeight="1" x14ac:dyDescent="0.3">
      <c r="A44" s="278">
        <v>42888</v>
      </c>
      <c r="B44" s="7" t="s">
        <v>27</v>
      </c>
      <c r="C44" s="279">
        <v>10</v>
      </c>
      <c r="D44" s="279">
        <v>19</v>
      </c>
      <c r="E44" s="279">
        <f t="shared" si="0"/>
        <v>9</v>
      </c>
      <c r="F44" s="279">
        <v>50</v>
      </c>
      <c r="G44" s="279">
        <v>50</v>
      </c>
      <c r="H44" s="280" t="str">
        <f t="shared" si="1"/>
        <v>Pass</v>
      </c>
      <c r="I44" s="7" t="s">
        <v>53</v>
      </c>
      <c r="J44" s="7" t="s">
        <v>50</v>
      </c>
      <c r="K44" s="7"/>
    </row>
    <row r="45" spans="1:11" ht="14.1" hidden="1" customHeight="1" x14ac:dyDescent="0.3">
      <c r="A45" s="278">
        <v>42892</v>
      </c>
      <c r="B45" s="7" t="s">
        <v>27</v>
      </c>
      <c r="C45" s="279">
        <v>5</v>
      </c>
      <c r="D45" s="279">
        <v>26</v>
      </c>
      <c r="E45" s="279">
        <f t="shared" si="0"/>
        <v>21</v>
      </c>
      <c r="F45" s="279">
        <v>50</v>
      </c>
      <c r="G45" s="279">
        <v>50</v>
      </c>
      <c r="H45" s="280" t="str">
        <f t="shared" si="1"/>
        <v>Pass</v>
      </c>
      <c r="I45" s="7">
        <v>121</v>
      </c>
      <c r="J45" s="7" t="s">
        <v>54</v>
      </c>
      <c r="K45" s="7"/>
    </row>
    <row r="46" spans="1:11" ht="14.1" hidden="1" customHeight="1" x14ac:dyDescent="0.3">
      <c r="A46" s="278">
        <v>42895</v>
      </c>
      <c r="B46" s="7" t="s">
        <v>27</v>
      </c>
      <c r="C46" s="279">
        <v>19</v>
      </c>
      <c r="D46" s="279">
        <v>1991</v>
      </c>
      <c r="E46" s="279">
        <f t="shared" si="0"/>
        <v>1972</v>
      </c>
      <c r="F46" s="279">
        <v>50</v>
      </c>
      <c r="G46" s="279">
        <v>50</v>
      </c>
      <c r="H46" s="280" t="str">
        <f t="shared" si="1"/>
        <v>Fail</v>
      </c>
      <c r="I46" s="7">
        <v>1159</v>
      </c>
      <c r="J46" s="7" t="s">
        <v>55</v>
      </c>
      <c r="K46" s="7"/>
    </row>
    <row r="47" spans="1:11" ht="14.1" hidden="1" customHeight="1" x14ac:dyDescent="0.3">
      <c r="A47" s="278">
        <v>42895</v>
      </c>
      <c r="B47" s="7" t="s">
        <v>27</v>
      </c>
      <c r="C47" s="279">
        <v>7</v>
      </c>
      <c r="D47" s="279">
        <v>16</v>
      </c>
      <c r="E47" s="279">
        <f t="shared" si="0"/>
        <v>9</v>
      </c>
      <c r="F47" s="279">
        <v>50</v>
      </c>
      <c r="G47" s="279">
        <v>50</v>
      </c>
      <c r="H47" s="280" t="str">
        <f t="shared" si="1"/>
        <v>Pass</v>
      </c>
      <c r="I47" s="7">
        <v>1159</v>
      </c>
      <c r="J47" s="7" t="s">
        <v>56</v>
      </c>
      <c r="K47" s="7"/>
    </row>
    <row r="48" spans="1:11" ht="14.1" hidden="1" customHeight="1" x14ac:dyDescent="0.3">
      <c r="A48" s="278">
        <v>42898</v>
      </c>
      <c r="B48" s="7" t="s">
        <v>27</v>
      </c>
      <c r="C48" s="279">
        <v>27</v>
      </c>
      <c r="D48" s="279">
        <v>76</v>
      </c>
      <c r="E48" s="279">
        <f t="shared" si="0"/>
        <v>49</v>
      </c>
      <c r="F48" s="279">
        <v>50</v>
      </c>
      <c r="G48" s="279">
        <v>50</v>
      </c>
      <c r="H48" s="280" t="str">
        <f t="shared" si="1"/>
        <v>Pass</v>
      </c>
      <c r="I48" s="9">
        <v>1428</v>
      </c>
      <c r="J48" s="7"/>
      <c r="K48" s="7"/>
    </row>
    <row r="49" spans="1:11" ht="14.1" hidden="1" customHeight="1" x14ac:dyDescent="0.3">
      <c r="A49" s="278">
        <v>42905</v>
      </c>
      <c r="B49" s="7" t="s">
        <v>27</v>
      </c>
      <c r="C49" s="279">
        <v>7</v>
      </c>
      <c r="D49" s="279">
        <v>5</v>
      </c>
      <c r="E49" s="279">
        <f t="shared" si="0"/>
        <v>-2</v>
      </c>
      <c r="F49" s="279">
        <v>50</v>
      </c>
      <c r="G49" s="279">
        <v>50</v>
      </c>
      <c r="H49" s="280" t="str">
        <f t="shared" si="1"/>
        <v>Pass</v>
      </c>
      <c r="I49" s="9">
        <v>1428</v>
      </c>
      <c r="J49" s="7"/>
      <c r="K49" s="7"/>
    </row>
    <row r="50" spans="1:11" ht="14.1" hidden="1" customHeight="1" x14ac:dyDescent="0.3">
      <c r="A50" s="278">
        <v>42909</v>
      </c>
      <c r="B50" s="7" t="s">
        <v>27</v>
      </c>
      <c r="C50" s="279">
        <v>7</v>
      </c>
      <c r="D50" s="279">
        <v>240</v>
      </c>
      <c r="E50" s="279">
        <f t="shared" si="0"/>
        <v>233</v>
      </c>
      <c r="F50" s="279">
        <v>50</v>
      </c>
      <c r="G50" s="279">
        <v>50</v>
      </c>
      <c r="H50" s="280" t="str">
        <f t="shared" si="1"/>
        <v>Fail</v>
      </c>
      <c r="I50" s="7">
        <v>1159</v>
      </c>
      <c r="J50" s="7" t="s">
        <v>50</v>
      </c>
      <c r="K50" s="7"/>
    </row>
    <row r="51" spans="1:11" ht="14.1" hidden="1" customHeight="1" x14ac:dyDescent="0.3">
      <c r="A51" s="278">
        <v>42909</v>
      </c>
      <c r="B51" s="7" t="s">
        <v>27</v>
      </c>
      <c r="C51" s="279">
        <v>14</v>
      </c>
      <c r="D51" s="279">
        <v>732</v>
      </c>
      <c r="E51" s="279">
        <f t="shared" si="0"/>
        <v>718</v>
      </c>
      <c r="F51" s="279">
        <v>50</v>
      </c>
      <c r="G51" s="279">
        <v>50</v>
      </c>
      <c r="H51" s="280" t="str">
        <f t="shared" si="1"/>
        <v>Fail</v>
      </c>
      <c r="I51" s="7">
        <v>1159</v>
      </c>
      <c r="J51" s="7" t="s">
        <v>57</v>
      </c>
      <c r="K51" s="7"/>
    </row>
    <row r="52" spans="1:11" ht="14.1" hidden="1" customHeight="1" x14ac:dyDescent="0.3">
      <c r="A52" s="278">
        <v>42909</v>
      </c>
      <c r="B52" s="7" t="s">
        <v>27</v>
      </c>
      <c r="C52" s="279">
        <v>3</v>
      </c>
      <c r="D52" s="279">
        <v>196</v>
      </c>
      <c r="E52" s="279">
        <f t="shared" si="0"/>
        <v>193</v>
      </c>
      <c r="F52" s="279">
        <v>50</v>
      </c>
      <c r="G52" s="279">
        <v>50</v>
      </c>
      <c r="H52" s="280" t="str">
        <f t="shared" si="1"/>
        <v>Fail</v>
      </c>
      <c r="I52" s="7">
        <v>1159</v>
      </c>
      <c r="J52" s="7" t="s">
        <v>58</v>
      </c>
      <c r="K52" s="7"/>
    </row>
    <row r="53" spans="1:11" ht="14.1" hidden="1" customHeight="1" x14ac:dyDescent="0.3">
      <c r="A53" s="278">
        <v>42909</v>
      </c>
      <c r="B53" s="7" t="s">
        <v>27</v>
      </c>
      <c r="C53" s="279">
        <v>3</v>
      </c>
      <c r="D53" s="279">
        <v>84</v>
      </c>
      <c r="E53" s="279">
        <f t="shared" si="0"/>
        <v>81</v>
      </c>
      <c r="F53" s="279">
        <v>50</v>
      </c>
      <c r="G53" s="279">
        <v>50</v>
      </c>
      <c r="H53" s="280" t="str">
        <f t="shared" si="1"/>
        <v>Fail</v>
      </c>
      <c r="I53" s="7">
        <v>1159</v>
      </c>
      <c r="J53" s="7" t="s">
        <v>59</v>
      </c>
      <c r="K53" s="7"/>
    </row>
    <row r="54" spans="1:11" ht="14.1" hidden="1" customHeight="1" x14ac:dyDescent="0.3">
      <c r="A54" s="278">
        <v>42909</v>
      </c>
      <c r="B54" s="7" t="s">
        <v>27</v>
      </c>
      <c r="C54" s="279">
        <v>1</v>
      </c>
      <c r="D54" s="279">
        <v>76</v>
      </c>
      <c r="E54" s="279">
        <f t="shared" si="0"/>
        <v>75</v>
      </c>
      <c r="F54" s="279">
        <v>50</v>
      </c>
      <c r="G54" s="279">
        <v>50</v>
      </c>
      <c r="H54" s="280" t="str">
        <f t="shared" si="1"/>
        <v>Fail</v>
      </c>
      <c r="I54" s="7">
        <v>102</v>
      </c>
      <c r="J54" s="7"/>
      <c r="K54" s="7"/>
    </row>
    <row r="55" spans="1:11" ht="14.1" hidden="1" customHeight="1" x14ac:dyDescent="0.3">
      <c r="A55" s="278">
        <v>42909</v>
      </c>
      <c r="B55" s="7" t="s">
        <v>27</v>
      </c>
      <c r="C55" s="279">
        <v>0</v>
      </c>
      <c r="D55" s="279">
        <v>45</v>
      </c>
      <c r="E55" s="279">
        <f t="shared" si="0"/>
        <v>45</v>
      </c>
      <c r="F55" s="279">
        <v>50</v>
      </c>
      <c r="G55" s="279">
        <v>50</v>
      </c>
      <c r="H55" s="280" t="str">
        <f t="shared" si="1"/>
        <v>Pass</v>
      </c>
      <c r="I55" s="7">
        <v>102</v>
      </c>
      <c r="J55" s="7"/>
      <c r="K55" s="7"/>
    </row>
    <row r="56" spans="1:11" ht="14.1" hidden="1" customHeight="1" x14ac:dyDescent="0.3">
      <c r="A56" s="278">
        <v>42912</v>
      </c>
      <c r="B56" s="7" t="s">
        <v>27</v>
      </c>
      <c r="C56" s="279">
        <v>5</v>
      </c>
      <c r="D56" s="279">
        <v>50</v>
      </c>
      <c r="E56" s="279">
        <f t="shared" si="0"/>
        <v>45</v>
      </c>
      <c r="F56" s="279">
        <v>50</v>
      </c>
      <c r="G56" s="279">
        <v>50</v>
      </c>
      <c r="H56" s="280" t="str">
        <f t="shared" si="1"/>
        <v>Pass</v>
      </c>
      <c r="I56" s="7">
        <v>1159</v>
      </c>
      <c r="J56" s="7" t="s">
        <v>60</v>
      </c>
      <c r="K56" s="7"/>
    </row>
    <row r="57" spans="1:11" ht="14.1" hidden="1" customHeight="1" x14ac:dyDescent="0.3">
      <c r="A57" s="278">
        <v>42916</v>
      </c>
      <c r="B57" s="7" t="s">
        <v>27</v>
      </c>
      <c r="C57" s="279">
        <v>52</v>
      </c>
      <c r="D57" s="279">
        <v>69</v>
      </c>
      <c r="E57" s="279">
        <f t="shared" si="0"/>
        <v>17</v>
      </c>
      <c r="F57" s="279">
        <v>50</v>
      </c>
      <c r="G57" s="279">
        <v>50</v>
      </c>
      <c r="H57" s="280" t="str">
        <f t="shared" si="1"/>
        <v>Pass</v>
      </c>
      <c r="I57" s="7">
        <v>102</v>
      </c>
      <c r="J57" s="7" t="s">
        <v>61</v>
      </c>
      <c r="K57" s="7"/>
    </row>
    <row r="58" spans="1:11" ht="14.1" hidden="1" customHeight="1" x14ac:dyDescent="0.3">
      <c r="A58" s="278">
        <v>42920</v>
      </c>
      <c r="B58" s="7" t="s">
        <v>27</v>
      </c>
      <c r="C58" s="279">
        <v>22</v>
      </c>
      <c r="D58" s="279">
        <v>18</v>
      </c>
      <c r="E58" s="279">
        <f t="shared" si="0"/>
        <v>-4</v>
      </c>
      <c r="F58" s="279">
        <v>50</v>
      </c>
      <c r="G58" s="279">
        <v>50</v>
      </c>
      <c r="H58" s="280" t="str">
        <f t="shared" si="1"/>
        <v>Pass</v>
      </c>
      <c r="I58" s="7">
        <v>1335</v>
      </c>
      <c r="J58" s="7"/>
      <c r="K58" s="7"/>
    </row>
    <row r="59" spans="1:11" ht="14.1" hidden="1" customHeight="1" x14ac:dyDescent="0.3">
      <c r="A59" s="278">
        <v>42923</v>
      </c>
      <c r="B59" s="7" t="s">
        <v>27</v>
      </c>
      <c r="C59" s="279">
        <v>24</v>
      </c>
      <c r="D59" s="279">
        <v>48</v>
      </c>
      <c r="E59" s="279">
        <f t="shared" si="0"/>
        <v>24</v>
      </c>
      <c r="F59" s="279">
        <v>50</v>
      </c>
      <c r="G59" s="279">
        <v>50</v>
      </c>
      <c r="H59" s="280" t="str">
        <f t="shared" si="1"/>
        <v>Pass</v>
      </c>
      <c r="I59" s="7">
        <v>1428</v>
      </c>
      <c r="J59" s="7" t="s">
        <v>62</v>
      </c>
      <c r="K59" s="7"/>
    </row>
    <row r="60" spans="1:11" ht="14.1" hidden="1" customHeight="1" x14ac:dyDescent="0.3">
      <c r="A60" s="278">
        <v>42926</v>
      </c>
      <c r="B60" s="7" t="s">
        <v>27</v>
      </c>
      <c r="C60" s="279">
        <v>0</v>
      </c>
      <c r="D60" s="279">
        <v>25</v>
      </c>
      <c r="E60" s="279">
        <f t="shared" si="0"/>
        <v>25</v>
      </c>
      <c r="F60" s="279">
        <v>50</v>
      </c>
      <c r="G60" s="279">
        <v>50</v>
      </c>
      <c r="H60" s="280" t="str">
        <f t="shared" si="1"/>
        <v>Pass</v>
      </c>
      <c r="I60" s="7">
        <v>121</v>
      </c>
      <c r="J60" s="7" t="s">
        <v>62</v>
      </c>
      <c r="K60" s="7"/>
    </row>
    <row r="61" spans="1:11" ht="14.1" hidden="1" customHeight="1" x14ac:dyDescent="0.3">
      <c r="A61" s="278">
        <v>42933</v>
      </c>
      <c r="B61" s="7" t="s">
        <v>27</v>
      </c>
      <c r="C61" s="279">
        <v>1</v>
      </c>
      <c r="D61" s="279">
        <v>761</v>
      </c>
      <c r="E61" s="279">
        <f t="shared" si="0"/>
        <v>760</v>
      </c>
      <c r="F61" s="279">
        <v>50</v>
      </c>
      <c r="G61" s="279">
        <v>50</v>
      </c>
      <c r="H61" s="280" t="str">
        <f t="shared" si="1"/>
        <v>Fail</v>
      </c>
      <c r="I61" s="7">
        <v>1335</v>
      </c>
      <c r="J61" s="7" t="s">
        <v>63</v>
      </c>
      <c r="K61" s="7"/>
    </row>
    <row r="62" spans="1:11" ht="14.1" hidden="1" customHeight="1" x14ac:dyDescent="0.3">
      <c r="A62" s="278">
        <v>42933</v>
      </c>
      <c r="B62" s="7" t="s">
        <v>27</v>
      </c>
      <c r="C62" s="279">
        <v>5</v>
      </c>
      <c r="D62" s="279">
        <v>155</v>
      </c>
      <c r="E62" s="279">
        <f t="shared" si="0"/>
        <v>150</v>
      </c>
      <c r="F62" s="279">
        <v>50</v>
      </c>
      <c r="G62" s="279">
        <v>50</v>
      </c>
      <c r="H62" s="280" t="str">
        <f t="shared" si="1"/>
        <v>Fail</v>
      </c>
      <c r="I62" s="7">
        <v>1335</v>
      </c>
      <c r="J62" s="7" t="s">
        <v>64</v>
      </c>
      <c r="K62" s="7"/>
    </row>
    <row r="63" spans="1:11" ht="14.1" hidden="1" customHeight="1" x14ac:dyDescent="0.3">
      <c r="A63" s="278">
        <v>42933</v>
      </c>
      <c r="B63" s="7" t="s">
        <v>27</v>
      </c>
      <c r="C63" s="279">
        <v>14</v>
      </c>
      <c r="D63" s="279">
        <v>477</v>
      </c>
      <c r="E63" s="279">
        <f t="shared" si="0"/>
        <v>463</v>
      </c>
      <c r="F63" s="279">
        <v>50</v>
      </c>
      <c r="G63" s="279">
        <v>50</v>
      </c>
      <c r="H63" s="280" t="str">
        <f t="shared" si="1"/>
        <v>Fail</v>
      </c>
      <c r="I63" s="7">
        <v>1335</v>
      </c>
      <c r="J63" s="7" t="s">
        <v>65</v>
      </c>
      <c r="K63" s="7"/>
    </row>
    <row r="64" spans="1:11" ht="14.1" hidden="1" customHeight="1" x14ac:dyDescent="0.3">
      <c r="A64" s="278">
        <v>42937</v>
      </c>
      <c r="B64" s="7" t="s">
        <v>27</v>
      </c>
      <c r="C64" s="279">
        <v>5</v>
      </c>
      <c r="D64" s="279">
        <v>21</v>
      </c>
      <c r="E64" s="279">
        <f t="shared" si="0"/>
        <v>16</v>
      </c>
      <c r="F64" s="279">
        <v>50</v>
      </c>
      <c r="G64" s="279">
        <v>50</v>
      </c>
      <c r="H64" s="280" t="str">
        <f t="shared" si="1"/>
        <v>Pass</v>
      </c>
      <c r="I64" s="7">
        <v>1335</v>
      </c>
      <c r="J64" s="7" t="s">
        <v>66</v>
      </c>
      <c r="K64" s="7"/>
    </row>
    <row r="65" spans="1:11" ht="14.1" hidden="1" customHeight="1" x14ac:dyDescent="0.3">
      <c r="A65" s="278">
        <v>42940</v>
      </c>
      <c r="B65" s="7" t="s">
        <v>27</v>
      </c>
      <c r="C65" s="279">
        <v>6</v>
      </c>
      <c r="D65" s="279">
        <v>66</v>
      </c>
      <c r="E65" s="279">
        <f t="shared" si="0"/>
        <v>60</v>
      </c>
      <c r="F65" s="279">
        <v>50</v>
      </c>
      <c r="G65" s="279">
        <v>50</v>
      </c>
      <c r="H65" s="280" t="str">
        <f t="shared" si="1"/>
        <v>Fail</v>
      </c>
      <c r="I65" s="7">
        <v>1159</v>
      </c>
      <c r="J65" s="7" t="s">
        <v>67</v>
      </c>
      <c r="K65" s="7"/>
    </row>
    <row r="66" spans="1:11" ht="14.1" hidden="1" customHeight="1" x14ac:dyDescent="0.3">
      <c r="A66" s="278">
        <v>42940</v>
      </c>
      <c r="B66" s="7" t="s">
        <v>27</v>
      </c>
      <c r="C66" s="279">
        <v>12</v>
      </c>
      <c r="D66" s="279">
        <v>22</v>
      </c>
      <c r="E66" s="279">
        <f t="shared" si="0"/>
        <v>10</v>
      </c>
      <c r="F66" s="279">
        <v>50</v>
      </c>
      <c r="G66" s="279">
        <v>50</v>
      </c>
      <c r="H66" s="280" t="str">
        <f t="shared" si="1"/>
        <v>Pass</v>
      </c>
      <c r="I66" s="7">
        <v>1159</v>
      </c>
      <c r="J66" s="7" t="s">
        <v>68</v>
      </c>
      <c r="K66" s="7"/>
    </row>
    <row r="67" spans="1:11" ht="14.1" hidden="1" customHeight="1" x14ac:dyDescent="0.3">
      <c r="A67" s="278">
        <v>42947</v>
      </c>
      <c r="B67" s="7" t="s">
        <v>27</v>
      </c>
      <c r="C67" s="279">
        <v>7</v>
      </c>
      <c r="D67" s="279">
        <v>42</v>
      </c>
      <c r="E67" s="279">
        <f t="shared" si="0"/>
        <v>35</v>
      </c>
      <c r="F67" s="279">
        <v>50</v>
      </c>
      <c r="G67" s="279">
        <v>50</v>
      </c>
      <c r="H67" s="280" t="str">
        <f t="shared" si="1"/>
        <v>Pass</v>
      </c>
      <c r="I67" s="7">
        <v>1159</v>
      </c>
      <c r="J67" s="7" t="s">
        <v>69</v>
      </c>
      <c r="K67" s="7"/>
    </row>
    <row r="68" spans="1:11" ht="14.1" hidden="1" customHeight="1" x14ac:dyDescent="0.3">
      <c r="A68" s="278">
        <v>42950</v>
      </c>
      <c r="B68" s="7" t="s">
        <v>27</v>
      </c>
      <c r="C68" s="279">
        <v>9</v>
      </c>
      <c r="D68" s="279">
        <v>9</v>
      </c>
      <c r="E68" s="279">
        <f t="shared" si="0"/>
        <v>0</v>
      </c>
      <c r="F68" s="279">
        <v>50</v>
      </c>
      <c r="G68" s="279">
        <v>50</v>
      </c>
      <c r="H68" s="280" t="str">
        <f t="shared" si="1"/>
        <v>Pass</v>
      </c>
      <c r="I68" s="7">
        <v>1159</v>
      </c>
      <c r="J68" s="7" t="s">
        <v>70</v>
      </c>
      <c r="K68" s="7"/>
    </row>
    <row r="69" spans="1:11" ht="14.1" hidden="1" customHeight="1" x14ac:dyDescent="0.3">
      <c r="A69" s="278">
        <v>42954</v>
      </c>
      <c r="B69" s="7" t="s">
        <v>27</v>
      </c>
      <c r="C69" s="279">
        <v>18</v>
      </c>
      <c r="D69" s="279">
        <v>11</v>
      </c>
      <c r="E69" s="279">
        <f t="shared" si="0"/>
        <v>-7</v>
      </c>
      <c r="F69" s="279">
        <v>50</v>
      </c>
      <c r="G69" s="279">
        <v>50</v>
      </c>
      <c r="H69" s="280" t="str">
        <f t="shared" si="1"/>
        <v>Pass</v>
      </c>
      <c r="I69" s="7">
        <v>121</v>
      </c>
      <c r="J69" s="7"/>
      <c r="K69" s="7"/>
    </row>
    <row r="70" spans="1:11" ht="14.1" hidden="1" customHeight="1" x14ac:dyDescent="0.3">
      <c r="A70" s="278">
        <v>42957</v>
      </c>
      <c r="B70" s="7" t="s">
        <v>27</v>
      </c>
      <c r="C70" s="279">
        <v>7</v>
      </c>
      <c r="D70" s="279">
        <v>11</v>
      </c>
      <c r="E70" s="279">
        <f t="shared" si="0"/>
        <v>4</v>
      </c>
      <c r="F70" s="279">
        <v>50</v>
      </c>
      <c r="G70" s="279">
        <v>50</v>
      </c>
      <c r="H70" s="280" t="str">
        <f t="shared" si="1"/>
        <v>Pass</v>
      </c>
      <c r="I70" s="7">
        <v>1428</v>
      </c>
      <c r="J70" s="7" t="s">
        <v>29</v>
      </c>
      <c r="K70" s="7"/>
    </row>
    <row r="71" spans="1:11" ht="14.1" hidden="1" customHeight="1" x14ac:dyDescent="0.3">
      <c r="A71" s="278">
        <v>42961</v>
      </c>
      <c r="B71" s="7" t="s">
        <v>27</v>
      </c>
      <c r="C71" s="279">
        <v>10</v>
      </c>
      <c r="D71" s="279">
        <v>8</v>
      </c>
      <c r="E71" s="279">
        <f>IF(D71="","",(D71-C71))</f>
        <v>-2</v>
      </c>
      <c r="F71" s="279">
        <v>50</v>
      </c>
      <c r="G71" s="279">
        <v>50</v>
      </c>
      <c r="H71" s="280" t="str">
        <f>IF(E71="","",IF(E71&lt;50,"Pass","Fail"))</f>
        <v>Pass</v>
      </c>
      <c r="I71" s="7">
        <v>1335</v>
      </c>
      <c r="J71" s="7" t="s">
        <v>71</v>
      </c>
      <c r="K71" s="7"/>
    </row>
    <row r="72" spans="1:11" ht="14.1" hidden="1" customHeight="1" x14ac:dyDescent="0.3">
      <c r="A72" s="278">
        <v>42964</v>
      </c>
      <c r="B72" s="7" t="s">
        <v>27</v>
      </c>
      <c r="C72" s="279">
        <v>11</v>
      </c>
      <c r="D72" s="279">
        <v>12</v>
      </c>
      <c r="E72" s="279">
        <f t="shared" si="0"/>
        <v>1</v>
      </c>
      <c r="F72" s="279">
        <v>50</v>
      </c>
      <c r="G72" s="279">
        <v>50</v>
      </c>
      <c r="H72" s="280" t="str">
        <f t="shared" si="1"/>
        <v>Pass</v>
      </c>
      <c r="I72" s="7">
        <v>1335</v>
      </c>
      <c r="J72" s="7" t="s">
        <v>72</v>
      </c>
      <c r="K72" s="7"/>
    </row>
    <row r="73" spans="1:11" ht="14.1" hidden="1" customHeight="1" x14ac:dyDescent="0.3">
      <c r="A73" s="278">
        <v>42966</v>
      </c>
      <c r="B73" s="7" t="s">
        <v>27</v>
      </c>
      <c r="C73" s="279">
        <v>30</v>
      </c>
      <c r="D73" s="279">
        <v>25</v>
      </c>
      <c r="E73" s="279">
        <f t="shared" si="0"/>
        <v>-5</v>
      </c>
      <c r="F73" s="279">
        <v>50</v>
      </c>
      <c r="G73" s="279">
        <v>50</v>
      </c>
      <c r="H73" s="280" t="str">
        <f t="shared" si="1"/>
        <v>Pass</v>
      </c>
      <c r="I73" s="7">
        <v>121</v>
      </c>
      <c r="J73" s="7" t="s">
        <v>73</v>
      </c>
      <c r="K73" s="7"/>
    </row>
    <row r="74" spans="1:11" ht="14.1" hidden="1" customHeight="1" x14ac:dyDescent="0.3">
      <c r="A74" s="278">
        <v>42970</v>
      </c>
      <c r="B74" s="7" t="s">
        <v>27</v>
      </c>
      <c r="C74" s="279">
        <v>13</v>
      </c>
      <c r="D74" s="279">
        <v>9</v>
      </c>
      <c r="E74" s="279">
        <f t="shared" ref="E74:E120" si="2">IF(D74="","",(D74-C74))</f>
        <v>-4</v>
      </c>
      <c r="F74" s="279">
        <v>50</v>
      </c>
      <c r="G74" s="279">
        <v>50</v>
      </c>
      <c r="H74" s="280" t="str">
        <f t="shared" ref="H74:H120" si="3">IF(E74="","",IF(E74&lt;50,"Pass","Fail"))</f>
        <v>Pass</v>
      </c>
      <c r="I74" s="7">
        <v>121</v>
      </c>
      <c r="J74" s="7" t="s">
        <v>74</v>
      </c>
      <c r="K74" s="7"/>
    </row>
    <row r="75" spans="1:11" ht="14.1" hidden="1" customHeight="1" x14ac:dyDescent="0.3">
      <c r="A75" s="278">
        <v>42974</v>
      </c>
      <c r="B75" s="7" t="s">
        <v>27</v>
      </c>
      <c r="C75" s="279">
        <v>15</v>
      </c>
      <c r="D75" s="279">
        <v>8</v>
      </c>
      <c r="E75" s="279">
        <f t="shared" si="2"/>
        <v>-7</v>
      </c>
      <c r="F75" s="279">
        <v>50</v>
      </c>
      <c r="G75" s="279">
        <v>50</v>
      </c>
      <c r="H75" s="280" t="str">
        <f t="shared" si="3"/>
        <v>Pass</v>
      </c>
      <c r="I75" s="7">
        <v>121</v>
      </c>
      <c r="J75" s="7" t="s">
        <v>75</v>
      </c>
      <c r="K75" s="7"/>
    </row>
    <row r="76" spans="1:11" ht="14.1" hidden="1" customHeight="1" x14ac:dyDescent="0.3">
      <c r="A76" s="278">
        <v>42978</v>
      </c>
      <c r="B76" s="7" t="s">
        <v>27</v>
      </c>
      <c r="C76" s="279">
        <v>31</v>
      </c>
      <c r="D76" s="279">
        <v>54</v>
      </c>
      <c r="E76" s="279">
        <f t="shared" si="2"/>
        <v>23</v>
      </c>
      <c r="F76" s="279">
        <v>50</v>
      </c>
      <c r="G76" s="279">
        <v>50</v>
      </c>
      <c r="H76" s="280" t="str">
        <f t="shared" si="3"/>
        <v>Pass</v>
      </c>
      <c r="I76" s="7">
        <v>1428</v>
      </c>
      <c r="J76" s="7" t="s">
        <v>29</v>
      </c>
      <c r="K76" s="7"/>
    </row>
    <row r="77" spans="1:11" ht="14.1" hidden="1" customHeight="1" x14ac:dyDescent="0.3">
      <c r="A77" s="278">
        <v>42983</v>
      </c>
      <c r="B77" s="7" t="s">
        <v>27</v>
      </c>
      <c r="C77" s="279">
        <v>9</v>
      </c>
      <c r="D77" s="279">
        <v>16</v>
      </c>
      <c r="E77" s="279">
        <f t="shared" si="2"/>
        <v>7</v>
      </c>
      <c r="F77" s="279">
        <v>50</v>
      </c>
      <c r="G77" s="279">
        <v>50</v>
      </c>
      <c r="H77" s="280" t="str">
        <f t="shared" si="3"/>
        <v>Pass</v>
      </c>
      <c r="I77" s="7">
        <v>1335</v>
      </c>
      <c r="J77" s="7" t="s">
        <v>29</v>
      </c>
      <c r="K77" s="7"/>
    </row>
    <row r="78" spans="1:11" ht="14.1" hidden="1" customHeight="1" x14ac:dyDescent="0.3">
      <c r="A78" s="278">
        <v>42992</v>
      </c>
      <c r="B78" s="7" t="s">
        <v>27</v>
      </c>
      <c r="C78" s="279">
        <v>20</v>
      </c>
      <c r="D78" s="279">
        <v>18</v>
      </c>
      <c r="E78" s="279">
        <f t="shared" si="2"/>
        <v>-2</v>
      </c>
      <c r="F78" s="279">
        <v>50</v>
      </c>
      <c r="G78" s="279">
        <v>50</v>
      </c>
      <c r="H78" s="280" t="str">
        <f t="shared" si="3"/>
        <v>Pass</v>
      </c>
      <c r="I78" s="7">
        <v>64</v>
      </c>
      <c r="J78" s="7" t="s">
        <v>29</v>
      </c>
      <c r="K78" s="7"/>
    </row>
    <row r="79" spans="1:11" ht="14.1" hidden="1" customHeight="1" x14ac:dyDescent="0.3">
      <c r="A79" s="278">
        <v>42995</v>
      </c>
      <c r="B79" s="7" t="s">
        <v>27</v>
      </c>
      <c r="C79" s="279">
        <v>13</v>
      </c>
      <c r="D79" s="279">
        <v>17</v>
      </c>
      <c r="E79" s="279">
        <f t="shared" si="2"/>
        <v>4</v>
      </c>
      <c r="F79" s="279">
        <v>50</v>
      </c>
      <c r="G79" s="279">
        <v>50</v>
      </c>
      <c r="H79" s="280" t="str">
        <f t="shared" si="3"/>
        <v>Pass</v>
      </c>
      <c r="I79" s="7">
        <v>121</v>
      </c>
      <c r="J79" s="7" t="s">
        <v>76</v>
      </c>
      <c r="K79" s="7"/>
    </row>
    <row r="80" spans="1:11" ht="14.1" hidden="1" customHeight="1" x14ac:dyDescent="0.3">
      <c r="A80" s="278">
        <v>42998</v>
      </c>
      <c r="B80" s="7" t="s">
        <v>27</v>
      </c>
      <c r="C80" s="279">
        <v>17</v>
      </c>
      <c r="D80" s="279">
        <v>12</v>
      </c>
      <c r="E80" s="279">
        <f t="shared" si="2"/>
        <v>-5</v>
      </c>
      <c r="F80" s="279">
        <v>50</v>
      </c>
      <c r="G80" s="279">
        <v>50</v>
      </c>
      <c r="H80" s="280" t="str">
        <f t="shared" si="3"/>
        <v>Pass</v>
      </c>
      <c r="I80" s="7">
        <v>1519</v>
      </c>
      <c r="J80" s="7" t="s">
        <v>29</v>
      </c>
      <c r="K80" s="7"/>
    </row>
    <row r="81" spans="1:11" ht="14.1" hidden="1" customHeight="1" x14ac:dyDescent="0.3">
      <c r="A81" s="278">
        <v>43003</v>
      </c>
      <c r="B81" s="7" t="s">
        <v>27</v>
      </c>
      <c r="C81" s="279">
        <v>7</v>
      </c>
      <c r="D81" s="279">
        <v>9</v>
      </c>
      <c r="E81" s="279">
        <f t="shared" si="2"/>
        <v>2</v>
      </c>
      <c r="F81" s="279">
        <v>50</v>
      </c>
      <c r="G81" s="279">
        <v>50</v>
      </c>
      <c r="H81" s="280" t="str">
        <f t="shared" si="3"/>
        <v>Pass</v>
      </c>
      <c r="I81" s="7">
        <v>121</v>
      </c>
      <c r="J81" s="7" t="s">
        <v>77</v>
      </c>
      <c r="K81" s="7"/>
    </row>
    <row r="82" spans="1:11" ht="14.1" hidden="1" customHeight="1" x14ac:dyDescent="0.3">
      <c r="A82" s="278">
        <v>43005</v>
      </c>
      <c r="B82" s="7" t="s">
        <v>27</v>
      </c>
      <c r="C82" s="279">
        <v>18</v>
      </c>
      <c r="D82" s="279">
        <v>15</v>
      </c>
      <c r="E82" s="279">
        <f>IF(D82="","",(D82-C82))</f>
        <v>-3</v>
      </c>
      <c r="F82" s="279">
        <v>50</v>
      </c>
      <c r="G82" s="279">
        <v>50</v>
      </c>
      <c r="H82" s="280" t="str">
        <f>IF(E82="","",IF(E82&lt;50,"Pass","Fail"))</f>
        <v>Pass</v>
      </c>
      <c r="I82" s="7">
        <v>64</v>
      </c>
      <c r="J82" s="7" t="s">
        <v>29</v>
      </c>
      <c r="K82" s="7"/>
    </row>
    <row r="83" spans="1:11" ht="14.1" hidden="1" customHeight="1" x14ac:dyDescent="0.3">
      <c r="A83" s="278">
        <v>43011</v>
      </c>
      <c r="B83" s="7" t="s">
        <v>27</v>
      </c>
      <c r="C83" s="279">
        <v>9</v>
      </c>
      <c r="D83" s="279">
        <v>9</v>
      </c>
      <c r="E83" s="279">
        <f t="shared" si="2"/>
        <v>0</v>
      </c>
      <c r="F83" s="279">
        <v>50</v>
      </c>
      <c r="G83" s="279">
        <v>50</v>
      </c>
      <c r="H83" s="280" t="str">
        <f t="shared" si="3"/>
        <v>Pass</v>
      </c>
      <c r="I83" s="7">
        <v>1159</v>
      </c>
      <c r="J83" s="7" t="s">
        <v>78</v>
      </c>
      <c r="K83" s="7"/>
    </row>
    <row r="84" spans="1:11" ht="14.1" hidden="1" customHeight="1" x14ac:dyDescent="0.3">
      <c r="A84" s="278">
        <v>43017</v>
      </c>
      <c r="B84" s="7" t="s">
        <v>27</v>
      </c>
      <c r="C84" s="279">
        <v>15</v>
      </c>
      <c r="D84" s="279">
        <v>5</v>
      </c>
      <c r="E84" s="279">
        <f t="shared" si="2"/>
        <v>-10</v>
      </c>
      <c r="F84" s="279">
        <v>50</v>
      </c>
      <c r="G84" s="279">
        <v>50</v>
      </c>
      <c r="H84" s="280" t="str">
        <f t="shared" si="3"/>
        <v>Pass</v>
      </c>
      <c r="I84" s="7">
        <v>1428</v>
      </c>
      <c r="J84" s="7"/>
      <c r="K84" s="7"/>
    </row>
    <row r="85" spans="1:11" ht="14.1" hidden="1" customHeight="1" x14ac:dyDescent="0.3">
      <c r="A85" s="278">
        <v>43020</v>
      </c>
      <c r="B85" s="7" t="s">
        <v>27</v>
      </c>
      <c r="C85" s="279">
        <v>8</v>
      </c>
      <c r="D85" s="279">
        <v>19</v>
      </c>
      <c r="E85" s="279">
        <f t="shared" si="2"/>
        <v>11</v>
      </c>
      <c r="F85" s="279">
        <v>50</v>
      </c>
      <c r="G85" s="279">
        <v>50</v>
      </c>
      <c r="H85" s="280" t="str">
        <f t="shared" si="3"/>
        <v>Pass</v>
      </c>
      <c r="I85" s="7">
        <v>1428</v>
      </c>
      <c r="J85" s="7"/>
      <c r="K85" s="7"/>
    </row>
    <row r="86" spans="1:11" ht="14.1" hidden="1" customHeight="1" x14ac:dyDescent="0.3">
      <c r="A86" s="278">
        <v>43023</v>
      </c>
      <c r="B86" s="7" t="s">
        <v>27</v>
      </c>
      <c r="C86" s="279">
        <v>13</v>
      </c>
      <c r="D86" s="279">
        <v>7</v>
      </c>
      <c r="E86" s="279">
        <f t="shared" si="2"/>
        <v>-6</v>
      </c>
      <c r="F86" s="279">
        <v>50</v>
      </c>
      <c r="G86" s="279">
        <v>50</v>
      </c>
      <c r="H86" s="280" t="str">
        <f t="shared" si="3"/>
        <v>Pass</v>
      </c>
      <c r="I86" s="7">
        <v>121</v>
      </c>
      <c r="J86" s="7" t="s">
        <v>79</v>
      </c>
      <c r="K86" s="7"/>
    </row>
    <row r="87" spans="1:11" ht="14.1" hidden="1" customHeight="1" x14ac:dyDescent="0.3">
      <c r="A87" s="278">
        <v>43029</v>
      </c>
      <c r="B87" s="7" t="s">
        <v>27</v>
      </c>
      <c r="C87" s="279">
        <v>11</v>
      </c>
      <c r="D87" s="279">
        <v>40</v>
      </c>
      <c r="E87" s="279">
        <f>IF(D87="","",(D87-C87))</f>
        <v>29</v>
      </c>
      <c r="F87" s="279">
        <v>50</v>
      </c>
      <c r="G87" s="279">
        <v>50</v>
      </c>
      <c r="H87" s="280" t="str">
        <f>IF(E87="","",IF(E87&lt;50,"Pass","Fail"))</f>
        <v>Pass</v>
      </c>
      <c r="I87" s="7">
        <v>102</v>
      </c>
      <c r="J87" s="7" t="s">
        <v>80</v>
      </c>
      <c r="K87" s="7"/>
    </row>
    <row r="88" spans="1:11" ht="14.1" hidden="1" customHeight="1" x14ac:dyDescent="0.3">
      <c r="A88" s="278">
        <v>43032</v>
      </c>
      <c r="B88" s="7" t="s">
        <v>27</v>
      </c>
      <c r="C88" s="279">
        <v>12</v>
      </c>
      <c r="D88" s="279">
        <v>13</v>
      </c>
      <c r="E88" s="279">
        <f t="shared" si="2"/>
        <v>1</v>
      </c>
      <c r="F88" s="279">
        <v>50</v>
      </c>
      <c r="G88" s="279">
        <v>50</v>
      </c>
      <c r="H88" s="280" t="str">
        <f t="shared" si="3"/>
        <v>Pass</v>
      </c>
      <c r="I88" s="7">
        <v>1519</v>
      </c>
      <c r="J88" s="7" t="s">
        <v>81</v>
      </c>
      <c r="K88" s="7"/>
    </row>
    <row r="89" spans="1:11" ht="14.1" hidden="1" customHeight="1" x14ac:dyDescent="0.3">
      <c r="A89" s="278">
        <v>43035</v>
      </c>
      <c r="B89" s="7" t="s">
        <v>27</v>
      </c>
      <c r="C89" s="279">
        <v>6</v>
      </c>
      <c r="D89" s="279">
        <v>9</v>
      </c>
      <c r="E89" s="279">
        <f t="shared" si="2"/>
        <v>3</v>
      </c>
      <c r="F89" s="279">
        <v>50</v>
      </c>
      <c r="G89" s="279">
        <v>50</v>
      </c>
      <c r="H89" s="280" t="str">
        <f t="shared" si="3"/>
        <v>Pass</v>
      </c>
      <c r="I89" s="7">
        <v>121</v>
      </c>
      <c r="J89" s="7" t="s">
        <v>82</v>
      </c>
      <c r="K89" s="7"/>
    </row>
    <row r="90" spans="1:11" ht="14.1" hidden="1" customHeight="1" x14ac:dyDescent="0.3">
      <c r="A90" s="278">
        <v>43038</v>
      </c>
      <c r="B90" s="7" t="s">
        <v>27</v>
      </c>
      <c r="C90" s="279">
        <v>8</v>
      </c>
      <c r="D90" s="279">
        <v>7</v>
      </c>
      <c r="E90" s="279">
        <f t="shared" si="2"/>
        <v>-1</v>
      </c>
      <c r="F90" s="279">
        <v>50</v>
      </c>
      <c r="G90" s="279">
        <v>50</v>
      </c>
      <c r="H90" s="280" t="str">
        <f t="shared" si="3"/>
        <v>Pass</v>
      </c>
      <c r="I90" s="7">
        <v>1428</v>
      </c>
      <c r="J90" s="7"/>
      <c r="K90" s="7"/>
    </row>
    <row r="91" spans="1:11" ht="14.1" hidden="1" customHeight="1" x14ac:dyDescent="0.3">
      <c r="A91" s="278">
        <v>43041</v>
      </c>
      <c r="B91" s="7" t="s">
        <v>27</v>
      </c>
      <c r="C91" s="279">
        <v>7</v>
      </c>
      <c r="D91" s="279">
        <v>13</v>
      </c>
      <c r="E91" s="279">
        <f t="shared" si="2"/>
        <v>6</v>
      </c>
      <c r="F91" s="279">
        <v>50</v>
      </c>
      <c r="G91" s="279">
        <v>50</v>
      </c>
      <c r="H91" s="280" t="str">
        <f t="shared" si="3"/>
        <v>Pass</v>
      </c>
      <c r="I91" s="7">
        <v>1428</v>
      </c>
      <c r="J91" s="7"/>
      <c r="K91" s="7"/>
    </row>
    <row r="92" spans="1:11" ht="14.1" hidden="1" customHeight="1" x14ac:dyDescent="0.3">
      <c r="A92" s="278">
        <v>43045</v>
      </c>
      <c r="B92" s="7" t="s">
        <v>27</v>
      </c>
      <c r="C92" s="279">
        <v>4</v>
      </c>
      <c r="D92" s="279">
        <v>5</v>
      </c>
      <c r="E92" s="279">
        <f t="shared" si="2"/>
        <v>1</v>
      </c>
      <c r="F92" s="279">
        <v>50</v>
      </c>
      <c r="G92" s="279">
        <v>50</v>
      </c>
      <c r="H92" s="280" t="str">
        <f t="shared" si="3"/>
        <v>Pass</v>
      </c>
      <c r="I92" s="7">
        <v>121</v>
      </c>
      <c r="J92" s="7" t="s">
        <v>83</v>
      </c>
      <c r="K92" s="7"/>
    </row>
    <row r="93" spans="1:11" ht="14.1" hidden="1" customHeight="1" x14ac:dyDescent="0.3">
      <c r="A93" s="278">
        <v>43052</v>
      </c>
      <c r="B93" s="7" t="s">
        <v>27</v>
      </c>
      <c r="C93" s="279">
        <v>3</v>
      </c>
      <c r="D93" s="279">
        <v>9</v>
      </c>
      <c r="E93" s="279">
        <f t="shared" si="2"/>
        <v>6</v>
      </c>
      <c r="F93" s="279">
        <v>50</v>
      </c>
      <c r="G93" s="279">
        <v>50</v>
      </c>
      <c r="H93" s="280" t="str">
        <f t="shared" si="3"/>
        <v>Pass</v>
      </c>
      <c r="I93" s="7">
        <v>121</v>
      </c>
      <c r="J93" s="7" t="s">
        <v>84</v>
      </c>
      <c r="K93" s="7"/>
    </row>
    <row r="94" spans="1:11" ht="14.1" hidden="1" customHeight="1" x14ac:dyDescent="0.3">
      <c r="A94" s="278">
        <v>43056</v>
      </c>
      <c r="B94" s="7" t="s">
        <v>27</v>
      </c>
      <c r="C94" s="279">
        <v>7</v>
      </c>
      <c r="D94" s="279">
        <v>9</v>
      </c>
      <c r="E94" s="279">
        <f>IF(D94="","",(D94-C94))</f>
        <v>2</v>
      </c>
      <c r="F94" s="279">
        <v>50</v>
      </c>
      <c r="G94" s="279">
        <v>50</v>
      </c>
      <c r="H94" s="280" t="str">
        <f>IF(E94="","",IF(E94&lt;50,"Pass","Fail"))</f>
        <v>Pass</v>
      </c>
      <c r="I94" s="7">
        <v>1159</v>
      </c>
      <c r="J94" s="7" t="s">
        <v>85</v>
      </c>
      <c r="K94" s="7"/>
    </row>
    <row r="95" spans="1:11" ht="14.1" hidden="1" customHeight="1" x14ac:dyDescent="0.3">
      <c r="A95" s="278">
        <v>43060</v>
      </c>
      <c r="B95" s="7" t="s">
        <v>27</v>
      </c>
      <c r="C95" s="279">
        <v>16</v>
      </c>
      <c r="D95" s="279">
        <v>11</v>
      </c>
      <c r="E95" s="279">
        <f t="shared" si="2"/>
        <v>-5</v>
      </c>
      <c r="F95" s="279">
        <v>50</v>
      </c>
      <c r="G95" s="279">
        <v>50</v>
      </c>
      <c r="H95" s="280" t="str">
        <f t="shared" si="3"/>
        <v>Pass</v>
      </c>
      <c r="I95" s="7">
        <v>102</v>
      </c>
      <c r="J95" s="7" t="s">
        <v>86</v>
      </c>
      <c r="K95" s="7"/>
    </row>
    <row r="96" spans="1:11" ht="14.1" hidden="1" customHeight="1" x14ac:dyDescent="0.3">
      <c r="A96" s="278">
        <v>43063</v>
      </c>
      <c r="B96" s="7" t="s">
        <v>27</v>
      </c>
      <c r="C96" s="279">
        <v>18</v>
      </c>
      <c r="D96" s="279">
        <v>13</v>
      </c>
      <c r="E96" s="279">
        <f t="shared" si="2"/>
        <v>-5</v>
      </c>
      <c r="F96" s="279">
        <v>50</v>
      </c>
      <c r="G96" s="279">
        <v>50</v>
      </c>
      <c r="H96" s="280" t="str">
        <f t="shared" si="3"/>
        <v>Pass</v>
      </c>
      <c r="I96" s="7">
        <v>1335</v>
      </c>
      <c r="J96" s="7" t="s">
        <v>87</v>
      </c>
      <c r="K96" s="7"/>
    </row>
    <row r="97" spans="1:11" ht="14.1" hidden="1" customHeight="1" x14ac:dyDescent="0.3">
      <c r="A97" s="278">
        <v>43067</v>
      </c>
      <c r="B97" s="7" t="s">
        <v>27</v>
      </c>
      <c r="C97" s="279">
        <v>28</v>
      </c>
      <c r="D97" s="279">
        <v>158</v>
      </c>
      <c r="E97" s="279">
        <f t="shared" si="2"/>
        <v>130</v>
      </c>
      <c r="F97" s="279">
        <v>50</v>
      </c>
      <c r="G97" s="279">
        <v>50</v>
      </c>
      <c r="H97" s="280" t="str">
        <f t="shared" si="3"/>
        <v>Fail</v>
      </c>
      <c r="I97" s="7">
        <v>102</v>
      </c>
      <c r="J97" s="7" t="s">
        <v>88</v>
      </c>
      <c r="K97" s="7"/>
    </row>
    <row r="98" spans="1:11" ht="14.1" hidden="1" customHeight="1" x14ac:dyDescent="0.3">
      <c r="A98" s="278">
        <v>43067</v>
      </c>
      <c r="B98" s="7" t="s">
        <v>27</v>
      </c>
      <c r="C98" s="279">
        <v>42</v>
      </c>
      <c r="D98" s="279">
        <v>181</v>
      </c>
      <c r="E98" s="279">
        <f t="shared" si="2"/>
        <v>139</v>
      </c>
      <c r="F98" s="279">
        <v>50</v>
      </c>
      <c r="G98" s="279">
        <v>50</v>
      </c>
      <c r="H98" s="280" t="str">
        <f t="shared" si="3"/>
        <v>Fail</v>
      </c>
      <c r="I98" s="7">
        <v>102</v>
      </c>
      <c r="J98" s="7" t="s">
        <v>89</v>
      </c>
      <c r="K98" s="7"/>
    </row>
    <row r="99" spans="1:11" ht="14.1" hidden="1" customHeight="1" x14ac:dyDescent="0.3">
      <c r="A99" s="278">
        <v>43067</v>
      </c>
      <c r="B99" s="7" t="s">
        <v>27</v>
      </c>
      <c r="C99" s="279">
        <v>9</v>
      </c>
      <c r="D99" s="279">
        <v>14</v>
      </c>
      <c r="E99" s="279">
        <f t="shared" si="2"/>
        <v>5</v>
      </c>
      <c r="F99" s="279">
        <v>50</v>
      </c>
      <c r="G99" s="279">
        <v>50</v>
      </c>
      <c r="H99" s="280" t="str">
        <f t="shared" si="3"/>
        <v>Pass</v>
      </c>
      <c r="I99" s="7">
        <v>102</v>
      </c>
      <c r="J99" s="7" t="s">
        <v>90</v>
      </c>
      <c r="K99" s="7"/>
    </row>
    <row r="100" spans="1:11" ht="14.1" hidden="1" customHeight="1" x14ac:dyDescent="0.3">
      <c r="A100" s="278">
        <v>43070</v>
      </c>
      <c r="B100" s="7" t="s">
        <v>27</v>
      </c>
      <c r="C100" s="279">
        <v>9</v>
      </c>
      <c r="D100" s="279">
        <v>8</v>
      </c>
      <c r="E100" s="279">
        <f t="shared" si="2"/>
        <v>-1</v>
      </c>
      <c r="F100" s="279">
        <v>50</v>
      </c>
      <c r="G100" s="279">
        <v>50</v>
      </c>
      <c r="H100" s="280" t="str">
        <f t="shared" si="3"/>
        <v>Pass</v>
      </c>
      <c r="I100" s="7">
        <v>1159</v>
      </c>
      <c r="J100" s="7" t="s">
        <v>91</v>
      </c>
      <c r="K100" s="7"/>
    </row>
    <row r="101" spans="1:11" ht="14.1" hidden="1" customHeight="1" x14ac:dyDescent="0.3">
      <c r="A101" s="278">
        <v>43073</v>
      </c>
      <c r="B101" s="7" t="s">
        <v>27</v>
      </c>
      <c r="C101" s="279">
        <v>10</v>
      </c>
      <c r="D101" s="279">
        <v>113</v>
      </c>
      <c r="E101" s="279">
        <f>IF(D101="","",(D101-C101))</f>
        <v>103</v>
      </c>
      <c r="F101" s="279">
        <v>50</v>
      </c>
      <c r="G101" s="279">
        <v>50</v>
      </c>
      <c r="H101" s="280" t="str">
        <f>IF(E101="","",IF(E101&lt;50,"Pass","Fail"))</f>
        <v>Fail</v>
      </c>
      <c r="I101" s="7">
        <v>1428</v>
      </c>
      <c r="J101" s="7" t="s">
        <v>92</v>
      </c>
      <c r="K101" s="7"/>
    </row>
    <row r="102" spans="1:11" ht="14.1" hidden="1" customHeight="1" x14ac:dyDescent="0.3">
      <c r="A102" s="278">
        <v>43073</v>
      </c>
      <c r="B102" s="7" t="s">
        <v>27</v>
      </c>
      <c r="C102" s="279">
        <v>4</v>
      </c>
      <c r="D102" s="279">
        <v>4</v>
      </c>
      <c r="E102" s="279">
        <f t="shared" si="2"/>
        <v>0</v>
      </c>
      <c r="F102" s="279">
        <v>50</v>
      </c>
      <c r="G102" s="279">
        <v>50</v>
      </c>
      <c r="H102" s="280" t="str">
        <f t="shared" si="3"/>
        <v>Pass</v>
      </c>
      <c r="I102" s="7">
        <v>1428</v>
      </c>
      <c r="J102" s="7" t="s">
        <v>93</v>
      </c>
      <c r="K102" s="7"/>
    </row>
    <row r="103" spans="1:11" ht="14.1" hidden="1" customHeight="1" x14ac:dyDescent="0.3">
      <c r="A103" s="278">
        <v>43077</v>
      </c>
      <c r="B103" s="7" t="s">
        <v>27</v>
      </c>
      <c r="C103" s="279">
        <v>14</v>
      </c>
      <c r="D103" s="279">
        <v>16</v>
      </c>
      <c r="E103" s="279">
        <f t="shared" si="2"/>
        <v>2</v>
      </c>
      <c r="F103" s="279">
        <v>50</v>
      </c>
      <c r="G103" s="279">
        <v>50</v>
      </c>
      <c r="H103" s="280" t="str">
        <f t="shared" si="3"/>
        <v>Pass</v>
      </c>
      <c r="I103" s="7">
        <v>102</v>
      </c>
      <c r="J103" s="7" t="s">
        <v>94</v>
      </c>
      <c r="K103" s="7"/>
    </row>
    <row r="104" spans="1:11" ht="14.1" hidden="1" customHeight="1" x14ac:dyDescent="0.3">
      <c r="A104" s="278">
        <v>43081</v>
      </c>
      <c r="B104" s="7" t="s">
        <v>27</v>
      </c>
      <c r="C104" s="279">
        <v>3</v>
      </c>
      <c r="D104" s="279">
        <v>13</v>
      </c>
      <c r="E104" s="279">
        <f t="shared" si="2"/>
        <v>10</v>
      </c>
      <c r="F104" s="279">
        <v>50</v>
      </c>
      <c r="G104" s="279">
        <v>50</v>
      </c>
      <c r="H104" s="280" t="str">
        <f t="shared" si="3"/>
        <v>Pass</v>
      </c>
      <c r="I104" s="7">
        <v>1534</v>
      </c>
      <c r="J104" s="7" t="s">
        <v>95</v>
      </c>
      <c r="K104" s="7"/>
    </row>
    <row r="105" spans="1:11" ht="14.1" hidden="1" customHeight="1" x14ac:dyDescent="0.3">
      <c r="A105" s="278">
        <v>43084</v>
      </c>
      <c r="B105" s="7" t="s">
        <v>27</v>
      </c>
      <c r="C105" s="279">
        <v>12</v>
      </c>
      <c r="D105" s="279">
        <v>10</v>
      </c>
      <c r="E105" s="279">
        <f t="shared" si="2"/>
        <v>-2</v>
      </c>
      <c r="F105" s="279">
        <v>50</v>
      </c>
      <c r="G105" s="279">
        <v>50</v>
      </c>
      <c r="H105" s="280" t="str">
        <f t="shared" si="3"/>
        <v>Pass</v>
      </c>
      <c r="I105" s="7">
        <v>1335</v>
      </c>
      <c r="J105" s="7" t="s">
        <v>95</v>
      </c>
      <c r="K105" s="7"/>
    </row>
    <row r="106" spans="1:11" ht="14.1" hidden="1" customHeight="1" x14ac:dyDescent="0.3">
      <c r="A106" s="278">
        <v>43088</v>
      </c>
      <c r="B106" s="7" t="s">
        <v>27</v>
      </c>
      <c r="C106" s="279">
        <v>9</v>
      </c>
      <c r="D106" s="279">
        <v>1780</v>
      </c>
      <c r="E106" s="279">
        <f t="shared" si="2"/>
        <v>1771</v>
      </c>
      <c r="F106" s="279">
        <v>50</v>
      </c>
      <c r="G106" s="279">
        <v>50</v>
      </c>
      <c r="H106" s="280" t="str">
        <f t="shared" si="3"/>
        <v>Fail</v>
      </c>
      <c r="I106" s="7">
        <v>1335</v>
      </c>
      <c r="J106" s="7" t="s">
        <v>96</v>
      </c>
      <c r="K106" s="7"/>
    </row>
    <row r="107" spans="1:11" ht="14.1" hidden="1" customHeight="1" x14ac:dyDescent="0.3">
      <c r="A107" s="278">
        <v>43088</v>
      </c>
      <c r="B107" s="7" t="s">
        <v>27</v>
      </c>
      <c r="C107" s="279">
        <v>5</v>
      </c>
      <c r="D107" s="279">
        <v>9</v>
      </c>
      <c r="E107" s="279">
        <v>4</v>
      </c>
      <c r="F107" s="279">
        <v>50</v>
      </c>
      <c r="G107" s="279">
        <v>50</v>
      </c>
      <c r="H107" s="280" t="str">
        <f>IF(E107="","",IF(E107&lt;50,"Pass","Fail"))</f>
        <v>Pass</v>
      </c>
      <c r="I107" s="7">
        <v>1335</v>
      </c>
      <c r="J107" s="7" t="s">
        <v>96</v>
      </c>
      <c r="K107" s="7" t="s">
        <v>259</v>
      </c>
    </row>
    <row r="108" spans="1:11" ht="14.1" hidden="1" customHeight="1" x14ac:dyDescent="0.3">
      <c r="A108" s="278">
        <v>43090</v>
      </c>
      <c r="B108" s="7" t="s">
        <v>27</v>
      </c>
      <c r="C108" s="279">
        <v>6</v>
      </c>
      <c r="D108" s="279">
        <v>11</v>
      </c>
      <c r="E108" s="279">
        <f t="shared" si="2"/>
        <v>5</v>
      </c>
      <c r="F108" s="279">
        <v>50</v>
      </c>
      <c r="G108" s="279">
        <v>50</v>
      </c>
      <c r="H108" s="280" t="str">
        <f t="shared" si="3"/>
        <v>Pass</v>
      </c>
      <c r="I108" s="7">
        <v>1335</v>
      </c>
      <c r="J108" s="7" t="s">
        <v>97</v>
      </c>
      <c r="K108" s="7"/>
    </row>
    <row r="109" spans="1:11" ht="14.1" hidden="1" customHeight="1" x14ac:dyDescent="0.3">
      <c r="A109" s="278">
        <v>43096</v>
      </c>
      <c r="B109" s="7" t="s">
        <v>27</v>
      </c>
      <c r="C109" s="279">
        <v>21</v>
      </c>
      <c r="D109" s="279">
        <v>13</v>
      </c>
      <c r="E109" s="279">
        <f t="shared" si="2"/>
        <v>-8</v>
      </c>
      <c r="F109" s="279">
        <v>50</v>
      </c>
      <c r="G109" s="279">
        <v>50</v>
      </c>
      <c r="H109" s="280" t="str">
        <f t="shared" si="3"/>
        <v>Pass</v>
      </c>
      <c r="I109" s="7">
        <v>1519</v>
      </c>
      <c r="J109" s="7" t="s">
        <v>95</v>
      </c>
      <c r="K109" s="7"/>
    </row>
    <row r="110" spans="1:11" ht="14.1" hidden="1" customHeight="1" x14ac:dyDescent="0.3">
      <c r="A110" s="278">
        <v>42736</v>
      </c>
      <c r="B110" s="7" t="s">
        <v>27</v>
      </c>
      <c r="C110" s="279">
        <v>5</v>
      </c>
      <c r="D110" s="279">
        <v>32</v>
      </c>
      <c r="E110" s="279">
        <f>IF(D110="","",(D110-C110))</f>
        <v>27</v>
      </c>
      <c r="F110" s="279">
        <v>50</v>
      </c>
      <c r="G110" s="279">
        <v>50</v>
      </c>
      <c r="H110" s="280" t="str">
        <f>IF(E110="","",IF(E110&lt;50,"Pass","Fail"))</f>
        <v>Pass</v>
      </c>
      <c r="I110" s="7">
        <v>1428</v>
      </c>
      <c r="J110" s="7" t="s">
        <v>95</v>
      </c>
      <c r="K110" s="7"/>
    </row>
    <row r="111" spans="1:11" ht="14.1" hidden="1" customHeight="1" x14ac:dyDescent="0.3">
      <c r="A111" s="278">
        <v>43105</v>
      </c>
      <c r="B111" s="7" t="s">
        <v>27</v>
      </c>
      <c r="C111" s="279">
        <v>7</v>
      </c>
      <c r="D111" s="279">
        <v>10</v>
      </c>
      <c r="E111" s="279">
        <f t="shared" si="2"/>
        <v>3</v>
      </c>
      <c r="F111" s="279">
        <v>50</v>
      </c>
      <c r="G111" s="279">
        <v>50</v>
      </c>
      <c r="H111" s="280" t="str">
        <f t="shared" si="3"/>
        <v>Pass</v>
      </c>
      <c r="I111" s="7">
        <v>1335</v>
      </c>
      <c r="J111" s="7" t="s">
        <v>98</v>
      </c>
      <c r="K111" s="7"/>
    </row>
    <row r="112" spans="1:11" ht="14.1" hidden="1" customHeight="1" x14ac:dyDescent="0.3">
      <c r="A112" s="278">
        <v>43109</v>
      </c>
      <c r="B112" s="7" t="s">
        <v>27</v>
      </c>
      <c r="C112" s="279">
        <v>14</v>
      </c>
      <c r="D112" s="279">
        <v>19</v>
      </c>
      <c r="E112" s="279">
        <f t="shared" si="2"/>
        <v>5</v>
      </c>
      <c r="F112" s="279">
        <v>50</v>
      </c>
      <c r="G112" s="279">
        <v>50</v>
      </c>
      <c r="H112" s="280" t="str">
        <f t="shared" si="3"/>
        <v>Pass</v>
      </c>
      <c r="I112" s="7" t="s">
        <v>99</v>
      </c>
      <c r="J112" s="7" t="s">
        <v>100</v>
      </c>
      <c r="K112" s="7"/>
    </row>
    <row r="113" spans="1:11" ht="14.1" hidden="1" customHeight="1" x14ac:dyDescent="0.3">
      <c r="A113" s="278">
        <v>43112</v>
      </c>
      <c r="B113" s="7" t="s">
        <v>27</v>
      </c>
      <c r="C113" s="279">
        <v>11</v>
      </c>
      <c r="D113" s="279">
        <v>8</v>
      </c>
      <c r="E113" s="279">
        <f t="shared" si="2"/>
        <v>-3</v>
      </c>
      <c r="F113" s="279">
        <v>50</v>
      </c>
      <c r="G113" s="279">
        <v>50</v>
      </c>
      <c r="H113" s="280" t="str">
        <f t="shared" si="3"/>
        <v>Pass</v>
      </c>
      <c r="I113" s="7">
        <v>121</v>
      </c>
      <c r="J113" s="7" t="s">
        <v>101</v>
      </c>
      <c r="K113" s="7"/>
    </row>
    <row r="114" spans="1:11" ht="14.1" hidden="1" customHeight="1" x14ac:dyDescent="0.3">
      <c r="A114" s="278">
        <v>43117</v>
      </c>
      <c r="B114" s="7" t="s">
        <v>27</v>
      </c>
      <c r="C114" s="279">
        <v>11</v>
      </c>
      <c r="D114" s="279">
        <v>12</v>
      </c>
      <c r="E114" s="279">
        <f t="shared" si="2"/>
        <v>1</v>
      </c>
      <c r="F114" s="279">
        <v>50</v>
      </c>
      <c r="G114" s="279">
        <v>50</v>
      </c>
      <c r="H114" s="280" t="str">
        <f t="shared" si="3"/>
        <v>Pass</v>
      </c>
      <c r="I114" s="7">
        <v>1428</v>
      </c>
      <c r="J114" s="7" t="s">
        <v>95</v>
      </c>
      <c r="K114" s="7"/>
    </row>
    <row r="115" spans="1:11" ht="14.1" hidden="1" customHeight="1" x14ac:dyDescent="0.3">
      <c r="A115" s="278">
        <v>43122</v>
      </c>
      <c r="B115" s="7" t="s">
        <v>27</v>
      </c>
      <c r="C115" s="279">
        <v>7</v>
      </c>
      <c r="D115" s="279">
        <v>8</v>
      </c>
      <c r="E115" s="279">
        <f t="shared" si="2"/>
        <v>1</v>
      </c>
      <c r="F115" s="279">
        <v>50</v>
      </c>
      <c r="G115" s="279">
        <v>50</v>
      </c>
      <c r="H115" s="280" t="str">
        <f t="shared" si="3"/>
        <v>Pass</v>
      </c>
      <c r="I115" s="7">
        <v>1428</v>
      </c>
      <c r="J115" s="7" t="s">
        <v>95</v>
      </c>
      <c r="K115" s="7"/>
    </row>
    <row r="116" spans="1:11" ht="14.1" hidden="1" customHeight="1" x14ac:dyDescent="0.3">
      <c r="A116" s="278">
        <v>43125</v>
      </c>
      <c r="B116" s="7" t="s">
        <v>27</v>
      </c>
      <c r="C116" s="279">
        <v>28</v>
      </c>
      <c r="D116" s="279">
        <v>30</v>
      </c>
      <c r="E116" s="279">
        <f t="shared" si="2"/>
        <v>2</v>
      </c>
      <c r="F116" s="279">
        <v>50</v>
      </c>
      <c r="G116" s="279">
        <v>50</v>
      </c>
      <c r="H116" s="280" t="str">
        <f t="shared" si="3"/>
        <v>Pass</v>
      </c>
      <c r="I116" s="7">
        <v>1428</v>
      </c>
      <c r="J116" s="7" t="s">
        <v>95</v>
      </c>
      <c r="K116" s="7"/>
    </row>
    <row r="117" spans="1:11" ht="14.1" hidden="1" customHeight="1" x14ac:dyDescent="0.3">
      <c r="A117" s="278">
        <v>43125</v>
      </c>
      <c r="B117" s="7" t="s">
        <v>27</v>
      </c>
      <c r="C117" s="279">
        <v>52</v>
      </c>
      <c r="D117" s="279">
        <v>52</v>
      </c>
      <c r="E117" s="279">
        <f t="shared" si="2"/>
        <v>0</v>
      </c>
      <c r="F117" s="279">
        <v>50</v>
      </c>
      <c r="G117" s="279">
        <v>50</v>
      </c>
      <c r="H117" s="280" t="str">
        <f t="shared" si="3"/>
        <v>Pass</v>
      </c>
      <c r="I117" s="7">
        <v>1428</v>
      </c>
      <c r="J117" s="7" t="s">
        <v>95</v>
      </c>
      <c r="K117" s="7"/>
    </row>
    <row r="118" spans="1:11" ht="14.1" hidden="1" customHeight="1" x14ac:dyDescent="0.3">
      <c r="A118" s="278">
        <v>43128</v>
      </c>
      <c r="B118" s="7" t="s">
        <v>27</v>
      </c>
      <c r="C118" s="279">
        <v>6</v>
      </c>
      <c r="D118" s="279">
        <v>9</v>
      </c>
      <c r="E118" s="279">
        <f t="shared" si="2"/>
        <v>3</v>
      </c>
      <c r="F118" s="279">
        <v>50</v>
      </c>
      <c r="G118" s="279">
        <v>50</v>
      </c>
      <c r="H118" s="280" t="str">
        <f t="shared" si="3"/>
        <v>Pass</v>
      </c>
      <c r="I118" s="7">
        <v>1519</v>
      </c>
      <c r="J118" s="7" t="s">
        <v>95</v>
      </c>
      <c r="K118" s="7"/>
    </row>
    <row r="119" spans="1:11" ht="14.1" hidden="1" customHeight="1" x14ac:dyDescent="0.3">
      <c r="A119" s="278">
        <v>43131</v>
      </c>
      <c r="B119" s="7" t="s">
        <v>27</v>
      </c>
      <c r="C119" s="279">
        <v>8</v>
      </c>
      <c r="D119" s="279">
        <v>10</v>
      </c>
      <c r="E119" s="279">
        <f t="shared" si="2"/>
        <v>2</v>
      </c>
      <c r="F119" s="279">
        <v>50</v>
      </c>
      <c r="G119" s="279">
        <v>50</v>
      </c>
      <c r="H119" s="280" t="str">
        <f t="shared" si="3"/>
        <v>Pass</v>
      </c>
      <c r="I119" s="7">
        <v>1335</v>
      </c>
      <c r="J119" s="7" t="s">
        <v>102</v>
      </c>
      <c r="K119" s="7"/>
    </row>
    <row r="120" spans="1:11" ht="14.1" hidden="1" customHeight="1" x14ac:dyDescent="0.3">
      <c r="A120" s="278">
        <v>43134</v>
      </c>
      <c r="B120" s="7" t="s">
        <v>27</v>
      </c>
      <c r="C120" s="279">
        <v>1</v>
      </c>
      <c r="D120" s="279">
        <v>28</v>
      </c>
      <c r="E120" s="279">
        <f t="shared" si="2"/>
        <v>27</v>
      </c>
      <c r="F120" s="279">
        <v>50</v>
      </c>
      <c r="G120" s="279">
        <v>50</v>
      </c>
      <c r="H120" s="280" t="str">
        <f t="shared" si="3"/>
        <v>Pass</v>
      </c>
      <c r="I120" s="7">
        <v>1335</v>
      </c>
      <c r="J120" s="7" t="s">
        <v>95</v>
      </c>
      <c r="K120" s="7"/>
    </row>
    <row r="121" spans="1:11" ht="14.1" hidden="1" customHeight="1" x14ac:dyDescent="0.3">
      <c r="A121" s="278">
        <v>43137</v>
      </c>
      <c r="B121" s="7" t="s">
        <v>27</v>
      </c>
      <c r="C121" s="279">
        <v>2</v>
      </c>
      <c r="D121" s="279">
        <v>7</v>
      </c>
      <c r="E121" s="279">
        <f>IF(D121="","",(D121-C121))</f>
        <v>5</v>
      </c>
      <c r="F121" s="279">
        <v>50</v>
      </c>
      <c r="G121" s="279">
        <v>50</v>
      </c>
      <c r="H121" s="280" t="str">
        <f>IF(E121="","",IF(E121&lt;50,"Pass","Fail"))</f>
        <v>Pass</v>
      </c>
      <c r="I121" s="7">
        <v>102</v>
      </c>
      <c r="J121" s="7" t="s">
        <v>103</v>
      </c>
      <c r="K121" s="7"/>
    </row>
    <row r="122" spans="1:11" ht="14.1" hidden="1" customHeight="1" x14ac:dyDescent="0.3">
      <c r="A122" s="278">
        <v>43140</v>
      </c>
      <c r="B122" s="7" t="s">
        <v>27</v>
      </c>
      <c r="C122" s="279">
        <v>6</v>
      </c>
      <c r="D122" s="279">
        <v>7</v>
      </c>
      <c r="E122" s="279">
        <f>IF(D122="","",(D122-C122))</f>
        <v>1</v>
      </c>
      <c r="F122" s="279">
        <v>50</v>
      </c>
      <c r="G122" s="279">
        <v>50</v>
      </c>
      <c r="H122" s="280" t="str">
        <f>IF(E122="","",IF(E122&lt;50,"Pass","Fail"))</f>
        <v>Pass</v>
      </c>
      <c r="I122" s="7" t="s">
        <v>104</v>
      </c>
      <c r="J122" s="7" t="s">
        <v>105</v>
      </c>
      <c r="K122" s="7"/>
    </row>
    <row r="123" spans="1:11" ht="14.1" hidden="1" customHeight="1" x14ac:dyDescent="0.3">
      <c r="A123" s="278">
        <v>43143</v>
      </c>
      <c r="B123" s="7" t="s">
        <v>27</v>
      </c>
      <c r="C123" s="279">
        <v>7</v>
      </c>
      <c r="D123" s="279">
        <v>4</v>
      </c>
      <c r="E123" s="279">
        <f t="shared" ref="E123:E184" si="4">IF(D123="","",(D123-C123))</f>
        <v>-3</v>
      </c>
      <c r="F123" s="279">
        <v>50</v>
      </c>
      <c r="G123" s="279">
        <v>50</v>
      </c>
      <c r="H123" s="280" t="str">
        <f t="shared" ref="H123:H164" si="5">IF(E123="","",IF(E123&lt;50,"Pass","Fail"))</f>
        <v>Pass</v>
      </c>
      <c r="I123" s="7">
        <v>121</v>
      </c>
      <c r="J123" s="7" t="s">
        <v>29</v>
      </c>
      <c r="K123" s="7"/>
    </row>
    <row r="124" spans="1:11" ht="14.1" hidden="1" customHeight="1" x14ac:dyDescent="0.3">
      <c r="A124" s="278">
        <v>43146</v>
      </c>
      <c r="B124" s="7" t="s">
        <v>27</v>
      </c>
      <c r="C124" s="279">
        <v>15</v>
      </c>
      <c r="D124" s="279">
        <v>9</v>
      </c>
      <c r="E124" s="279">
        <f>IF(D124="","",(D124-C124))</f>
        <v>-6</v>
      </c>
      <c r="F124" s="279">
        <v>50</v>
      </c>
      <c r="G124" s="279">
        <v>50</v>
      </c>
      <c r="H124" s="280" t="str">
        <f>IF(E124="","",IF(E124&lt;50,"Pass","Fail"))</f>
        <v>Pass</v>
      </c>
      <c r="I124" s="7" t="s">
        <v>104</v>
      </c>
      <c r="J124" s="7" t="s">
        <v>106</v>
      </c>
      <c r="K124" s="7"/>
    </row>
    <row r="125" spans="1:11" ht="14.1" hidden="1" customHeight="1" x14ac:dyDescent="0.3">
      <c r="A125" s="278">
        <v>43159</v>
      </c>
      <c r="B125" s="7" t="s">
        <v>27</v>
      </c>
      <c r="C125" s="279">
        <v>12</v>
      </c>
      <c r="D125" s="279">
        <v>17</v>
      </c>
      <c r="E125" s="279">
        <f t="shared" si="4"/>
        <v>5</v>
      </c>
      <c r="F125" s="279">
        <v>50</v>
      </c>
      <c r="G125" s="279">
        <v>50</v>
      </c>
      <c r="H125" s="280" t="str">
        <f t="shared" si="5"/>
        <v>Pass</v>
      </c>
      <c r="I125" s="7">
        <v>1428</v>
      </c>
      <c r="J125" s="7" t="s">
        <v>107</v>
      </c>
      <c r="K125" s="7"/>
    </row>
    <row r="126" spans="1:11" ht="14.1" hidden="1" customHeight="1" x14ac:dyDescent="0.3">
      <c r="A126" s="278">
        <v>43167</v>
      </c>
      <c r="B126" s="7" t="s">
        <v>27</v>
      </c>
      <c r="C126" s="279">
        <v>21</v>
      </c>
      <c r="D126" s="279">
        <v>21</v>
      </c>
      <c r="E126" s="279">
        <f t="shared" si="4"/>
        <v>0</v>
      </c>
      <c r="F126" s="279">
        <v>50</v>
      </c>
      <c r="G126" s="279">
        <v>50</v>
      </c>
      <c r="H126" s="280" t="str">
        <f t="shared" si="5"/>
        <v>Pass</v>
      </c>
      <c r="I126" s="7"/>
      <c r="J126" s="7" t="s">
        <v>108</v>
      </c>
      <c r="K126" s="7"/>
    </row>
    <row r="127" spans="1:11" ht="14.1" hidden="1" customHeight="1" x14ac:dyDescent="0.3">
      <c r="A127" s="278">
        <v>43187</v>
      </c>
      <c r="B127" s="7" t="s">
        <v>27</v>
      </c>
      <c r="C127" s="279">
        <v>17</v>
      </c>
      <c r="D127" s="279">
        <v>27</v>
      </c>
      <c r="E127" s="279">
        <f t="shared" si="4"/>
        <v>10</v>
      </c>
      <c r="F127" s="279">
        <v>50</v>
      </c>
      <c r="G127" s="279">
        <v>50</v>
      </c>
      <c r="H127" s="280" t="str">
        <f t="shared" si="5"/>
        <v>Pass</v>
      </c>
      <c r="I127" s="7">
        <v>1335</v>
      </c>
      <c r="J127" s="7" t="s">
        <v>109</v>
      </c>
      <c r="K127" s="7"/>
    </row>
    <row r="128" spans="1:11" ht="14.1" hidden="1" customHeight="1" x14ac:dyDescent="0.3">
      <c r="A128" s="278">
        <v>43192</v>
      </c>
      <c r="B128" s="7" t="s">
        <v>27</v>
      </c>
      <c r="C128" s="279">
        <v>9</v>
      </c>
      <c r="D128" s="279">
        <v>11</v>
      </c>
      <c r="E128" s="279">
        <f t="shared" si="4"/>
        <v>2</v>
      </c>
      <c r="F128" s="279">
        <v>50</v>
      </c>
      <c r="G128" s="279">
        <v>50</v>
      </c>
      <c r="H128" s="280" t="str">
        <f t="shared" si="5"/>
        <v>Pass</v>
      </c>
      <c r="I128" s="7">
        <v>1335</v>
      </c>
      <c r="J128" s="7" t="s">
        <v>110</v>
      </c>
      <c r="K128" s="7"/>
    </row>
    <row r="129" spans="1:11" ht="14.1" hidden="1" customHeight="1" x14ac:dyDescent="0.3">
      <c r="A129" s="278">
        <v>43199</v>
      </c>
      <c r="B129" s="7" t="s">
        <v>27</v>
      </c>
      <c r="C129" s="279">
        <v>13</v>
      </c>
      <c r="D129" s="279">
        <v>22</v>
      </c>
      <c r="E129" s="279">
        <f t="shared" si="4"/>
        <v>9</v>
      </c>
      <c r="F129" s="279">
        <v>50</v>
      </c>
      <c r="G129" s="279">
        <v>50</v>
      </c>
      <c r="H129" s="280" t="str">
        <f t="shared" si="5"/>
        <v>Pass</v>
      </c>
      <c r="I129" s="7">
        <v>74</v>
      </c>
      <c r="J129" s="7" t="s">
        <v>111</v>
      </c>
      <c r="K129" s="7"/>
    </row>
    <row r="130" spans="1:11" ht="14.1" hidden="1" customHeight="1" x14ac:dyDescent="0.3">
      <c r="A130" s="278">
        <v>43204</v>
      </c>
      <c r="B130" s="7" t="s">
        <v>27</v>
      </c>
      <c r="C130" s="279">
        <v>15</v>
      </c>
      <c r="D130" s="279">
        <v>150</v>
      </c>
      <c r="E130" s="279">
        <f>IF(D130="","",(D130-C130))</f>
        <v>135</v>
      </c>
      <c r="F130" s="279">
        <v>50</v>
      </c>
      <c r="G130" s="279">
        <v>50</v>
      </c>
      <c r="H130" s="280" t="str">
        <f t="shared" si="5"/>
        <v>Fail</v>
      </c>
      <c r="I130" s="7">
        <v>64</v>
      </c>
      <c r="J130" s="7" t="s">
        <v>29</v>
      </c>
      <c r="K130" s="7"/>
    </row>
    <row r="131" spans="1:11" ht="14.1" hidden="1" customHeight="1" x14ac:dyDescent="0.3">
      <c r="A131" s="278">
        <v>43204</v>
      </c>
      <c r="B131" s="7" t="s">
        <v>27</v>
      </c>
      <c r="C131" s="279">
        <v>28</v>
      </c>
      <c r="D131" s="279">
        <v>112</v>
      </c>
      <c r="E131" s="279">
        <f>IF(D131="","",(D131-C131))</f>
        <v>84</v>
      </c>
      <c r="F131" s="279">
        <v>50</v>
      </c>
      <c r="G131" s="279">
        <v>50</v>
      </c>
      <c r="H131" s="280" t="str">
        <f>IF(E131="","",IF(E131&lt;50,"Pass","Fail"))</f>
        <v>Fail</v>
      </c>
      <c r="I131" s="7">
        <v>64</v>
      </c>
      <c r="J131" s="7" t="s">
        <v>29</v>
      </c>
      <c r="K131" s="7"/>
    </row>
    <row r="132" spans="1:11" ht="14.1" hidden="1" customHeight="1" x14ac:dyDescent="0.3">
      <c r="A132" s="278">
        <v>43204</v>
      </c>
      <c r="B132" s="7" t="s">
        <v>27</v>
      </c>
      <c r="C132" s="279">
        <v>32</v>
      </c>
      <c r="D132" s="279">
        <v>29</v>
      </c>
      <c r="E132" s="279">
        <f t="shared" si="4"/>
        <v>-3</v>
      </c>
      <c r="F132" s="279">
        <v>50</v>
      </c>
      <c r="G132" s="279">
        <v>50</v>
      </c>
      <c r="H132" s="280" t="str">
        <f t="shared" si="5"/>
        <v>Pass</v>
      </c>
      <c r="I132" s="7">
        <v>121</v>
      </c>
      <c r="J132" s="7" t="s">
        <v>112</v>
      </c>
      <c r="K132" s="7" t="s">
        <v>113</v>
      </c>
    </row>
    <row r="133" spans="1:11" ht="14.1" hidden="1" customHeight="1" x14ac:dyDescent="0.3">
      <c r="A133" s="278">
        <v>43208</v>
      </c>
      <c r="B133" s="7" t="s">
        <v>27</v>
      </c>
      <c r="C133" s="279">
        <v>19</v>
      </c>
      <c r="D133" s="279">
        <v>22</v>
      </c>
      <c r="E133" s="279">
        <f>IF(D133="","",(D133-C133))</f>
        <v>3</v>
      </c>
      <c r="F133" s="279">
        <v>50</v>
      </c>
      <c r="G133" s="279">
        <v>50</v>
      </c>
      <c r="H133" s="280" t="str">
        <f>IF(E133="","",IF(E133&lt;50,"Pass","Fail"))</f>
        <v>Pass</v>
      </c>
      <c r="I133" s="7">
        <v>74</v>
      </c>
      <c r="J133" s="7" t="s">
        <v>114</v>
      </c>
      <c r="K133" s="7"/>
    </row>
    <row r="134" spans="1:11" ht="14.1" hidden="1" customHeight="1" x14ac:dyDescent="0.3">
      <c r="A134" s="278">
        <v>43215</v>
      </c>
      <c r="B134" s="7" t="s">
        <v>27</v>
      </c>
      <c r="C134" s="279">
        <v>27</v>
      </c>
      <c r="D134" s="279">
        <v>70</v>
      </c>
      <c r="E134" s="279">
        <f t="shared" si="4"/>
        <v>43</v>
      </c>
      <c r="F134" s="279">
        <v>50</v>
      </c>
      <c r="G134" s="279">
        <v>50</v>
      </c>
      <c r="H134" s="280" t="str">
        <f t="shared" si="5"/>
        <v>Pass</v>
      </c>
      <c r="I134" s="7">
        <v>74</v>
      </c>
      <c r="J134" s="7" t="s">
        <v>115</v>
      </c>
      <c r="K134" s="7" t="s">
        <v>116</v>
      </c>
    </row>
    <row r="135" spans="1:11" ht="14.1" hidden="1" customHeight="1" x14ac:dyDescent="0.3">
      <c r="A135" s="278">
        <v>43220</v>
      </c>
      <c r="B135" s="7" t="s">
        <v>27</v>
      </c>
      <c r="C135" s="279">
        <v>14</v>
      </c>
      <c r="D135" s="279">
        <v>19</v>
      </c>
      <c r="E135" s="279">
        <f t="shared" si="4"/>
        <v>5</v>
      </c>
      <c r="F135" s="279">
        <v>50</v>
      </c>
      <c r="G135" s="279">
        <v>50</v>
      </c>
      <c r="H135" s="280" t="str">
        <f t="shared" si="5"/>
        <v>Pass</v>
      </c>
      <c r="I135" s="7">
        <v>1519</v>
      </c>
      <c r="J135" s="7"/>
      <c r="K135" s="7" t="s">
        <v>116</v>
      </c>
    </row>
    <row r="136" spans="1:11" ht="14.1" hidden="1" customHeight="1" x14ac:dyDescent="0.3">
      <c r="A136" s="278">
        <v>43224</v>
      </c>
      <c r="B136" s="7" t="s">
        <v>27</v>
      </c>
      <c r="C136" s="279">
        <v>25</v>
      </c>
      <c r="D136" s="279">
        <v>68</v>
      </c>
      <c r="E136" s="279">
        <f t="shared" si="4"/>
        <v>43</v>
      </c>
      <c r="F136" s="279">
        <v>50</v>
      </c>
      <c r="G136" s="279">
        <v>50</v>
      </c>
      <c r="H136" s="280" t="str">
        <f t="shared" si="5"/>
        <v>Pass</v>
      </c>
      <c r="I136" s="7">
        <v>1159</v>
      </c>
      <c r="J136" s="7" t="s">
        <v>117</v>
      </c>
      <c r="K136" s="7" t="s">
        <v>116</v>
      </c>
    </row>
    <row r="137" spans="1:11" ht="14.1" hidden="1" customHeight="1" x14ac:dyDescent="0.3">
      <c r="A137" s="278">
        <v>43224</v>
      </c>
      <c r="B137" s="7" t="s">
        <v>27</v>
      </c>
      <c r="C137" s="279">
        <v>22</v>
      </c>
      <c r="D137" s="279">
        <v>35</v>
      </c>
      <c r="E137" s="279">
        <f t="shared" si="4"/>
        <v>13</v>
      </c>
      <c r="F137" s="279">
        <v>50</v>
      </c>
      <c r="G137" s="279">
        <v>50</v>
      </c>
      <c r="H137" s="280" t="str">
        <f t="shared" si="5"/>
        <v>Pass</v>
      </c>
      <c r="I137" s="7">
        <v>1335</v>
      </c>
      <c r="J137" s="7" t="s">
        <v>118</v>
      </c>
      <c r="K137" s="7"/>
    </row>
    <row r="138" spans="1:11" ht="14.1" hidden="1" customHeight="1" x14ac:dyDescent="0.3">
      <c r="A138" s="278">
        <v>43230</v>
      </c>
      <c r="B138" s="7" t="s">
        <v>27</v>
      </c>
      <c r="C138" s="279">
        <v>29</v>
      </c>
      <c r="D138" s="279">
        <v>45</v>
      </c>
      <c r="E138" s="279">
        <f t="shared" si="4"/>
        <v>16</v>
      </c>
      <c r="F138" s="279">
        <v>50</v>
      </c>
      <c r="G138" s="279">
        <v>50</v>
      </c>
      <c r="H138" s="280" t="str">
        <f t="shared" si="5"/>
        <v>Pass</v>
      </c>
      <c r="I138" s="7">
        <v>1335</v>
      </c>
      <c r="J138" s="7" t="s">
        <v>119</v>
      </c>
      <c r="K138" s="7"/>
    </row>
    <row r="139" spans="1:11" ht="14.1" hidden="1" customHeight="1" x14ac:dyDescent="0.3">
      <c r="A139" s="278">
        <v>43234</v>
      </c>
      <c r="B139" s="7" t="s">
        <v>27</v>
      </c>
      <c r="C139" s="279">
        <v>24</v>
      </c>
      <c r="D139" s="279">
        <v>29</v>
      </c>
      <c r="E139" s="279">
        <f t="shared" si="4"/>
        <v>5</v>
      </c>
      <c r="F139" s="279">
        <v>50</v>
      </c>
      <c r="G139" s="279">
        <v>50</v>
      </c>
      <c r="H139" s="280" t="str">
        <f t="shared" si="5"/>
        <v>Pass</v>
      </c>
      <c r="I139" s="7">
        <v>1335</v>
      </c>
      <c r="J139" s="7" t="s">
        <v>120</v>
      </c>
      <c r="K139" s="7"/>
    </row>
    <row r="140" spans="1:11" ht="14.1" hidden="1" customHeight="1" x14ac:dyDescent="0.3">
      <c r="A140" s="278">
        <v>43237</v>
      </c>
      <c r="B140" s="7" t="s">
        <v>27</v>
      </c>
      <c r="C140" s="279">
        <v>25</v>
      </c>
      <c r="D140" s="279">
        <v>39</v>
      </c>
      <c r="E140" s="279">
        <f t="shared" si="4"/>
        <v>14</v>
      </c>
      <c r="F140" s="279">
        <v>50</v>
      </c>
      <c r="G140" s="279">
        <v>50</v>
      </c>
      <c r="H140" s="280" t="str">
        <f t="shared" si="5"/>
        <v>Pass</v>
      </c>
      <c r="I140" s="7">
        <v>121</v>
      </c>
      <c r="J140" s="7" t="s">
        <v>121</v>
      </c>
      <c r="K140" s="7" t="s">
        <v>116</v>
      </c>
    </row>
    <row r="141" spans="1:11" ht="14.1" hidden="1" customHeight="1" x14ac:dyDescent="0.3">
      <c r="A141" s="278">
        <v>43241</v>
      </c>
      <c r="B141" s="7" t="s">
        <v>27</v>
      </c>
      <c r="C141" s="279">
        <v>50</v>
      </c>
      <c r="D141" s="279">
        <v>38</v>
      </c>
      <c r="E141" s="279">
        <f>IF(D141="","",(D141-C141))</f>
        <v>-12</v>
      </c>
      <c r="F141" s="279">
        <v>50</v>
      </c>
      <c r="G141" s="279">
        <v>50</v>
      </c>
      <c r="H141" s="280" t="str">
        <f>IF(E141="","",IF(E141&lt;50,"Pass","Fail"))</f>
        <v>Pass</v>
      </c>
      <c r="I141" s="7">
        <v>102</v>
      </c>
      <c r="J141" s="7" t="s">
        <v>122</v>
      </c>
      <c r="K141" s="7" t="s">
        <v>116</v>
      </c>
    </row>
    <row r="142" spans="1:11" ht="14.1" hidden="1" customHeight="1" x14ac:dyDescent="0.3">
      <c r="A142" s="278">
        <v>43244</v>
      </c>
      <c r="B142" s="7" t="s">
        <v>27</v>
      </c>
      <c r="C142" s="279">
        <v>32</v>
      </c>
      <c r="D142" s="279">
        <v>99</v>
      </c>
      <c r="E142" s="279">
        <f>IF(D142="","",(D142-C142))</f>
        <v>67</v>
      </c>
      <c r="F142" s="279">
        <v>50</v>
      </c>
      <c r="G142" s="279">
        <v>50</v>
      </c>
      <c r="H142" s="280" t="str">
        <f>IF(E142="","",IF(E142&lt;50,"Pass","Fail"))</f>
        <v>Fail</v>
      </c>
      <c r="I142" s="7">
        <v>1159</v>
      </c>
      <c r="J142" s="7" t="s">
        <v>123</v>
      </c>
      <c r="K142" s="7" t="s">
        <v>116</v>
      </c>
    </row>
    <row r="143" spans="1:11" ht="14.1" hidden="1" customHeight="1" x14ac:dyDescent="0.3">
      <c r="A143" s="278">
        <v>43244</v>
      </c>
      <c r="B143" s="7" t="s">
        <v>27</v>
      </c>
      <c r="C143" s="279">
        <v>18</v>
      </c>
      <c r="D143" s="279">
        <v>32</v>
      </c>
      <c r="E143" s="279">
        <f t="shared" si="4"/>
        <v>14</v>
      </c>
      <c r="F143" s="279">
        <v>50</v>
      </c>
      <c r="G143" s="279">
        <v>50</v>
      </c>
      <c r="H143" s="280" t="str">
        <f t="shared" si="5"/>
        <v>Pass</v>
      </c>
      <c r="I143" s="7">
        <v>1340</v>
      </c>
      <c r="J143" s="7" t="s">
        <v>124</v>
      </c>
      <c r="K143" s="7"/>
    </row>
    <row r="144" spans="1:11" ht="14.1" hidden="1" customHeight="1" x14ac:dyDescent="0.3">
      <c r="A144" s="278">
        <v>43248</v>
      </c>
      <c r="B144" s="7" t="s">
        <v>27</v>
      </c>
      <c r="C144" s="279">
        <v>10</v>
      </c>
      <c r="D144" s="279">
        <v>21</v>
      </c>
      <c r="E144" s="279">
        <f t="shared" si="4"/>
        <v>11</v>
      </c>
      <c r="F144" s="279">
        <v>50</v>
      </c>
      <c r="G144" s="279">
        <v>50</v>
      </c>
      <c r="H144" s="280" t="str">
        <f t="shared" si="5"/>
        <v>Pass</v>
      </c>
      <c r="I144" s="7">
        <v>1428</v>
      </c>
      <c r="J144" s="7" t="s">
        <v>37</v>
      </c>
      <c r="K144" s="7"/>
    </row>
    <row r="145" spans="1:11" ht="14.1" hidden="1" customHeight="1" x14ac:dyDescent="0.3">
      <c r="A145" s="278">
        <v>43252</v>
      </c>
      <c r="B145" s="7" t="s">
        <v>27</v>
      </c>
      <c r="C145" s="279">
        <v>3</v>
      </c>
      <c r="D145" s="279">
        <v>84</v>
      </c>
      <c r="E145" s="279">
        <f t="shared" si="4"/>
        <v>81</v>
      </c>
      <c r="F145" s="279">
        <v>50</v>
      </c>
      <c r="G145" s="279">
        <v>50</v>
      </c>
      <c r="H145" s="280" t="str">
        <f t="shared" si="5"/>
        <v>Fail</v>
      </c>
      <c r="I145" s="7">
        <v>1428</v>
      </c>
      <c r="J145" s="7" t="s">
        <v>37</v>
      </c>
      <c r="K145" s="7"/>
    </row>
    <row r="146" spans="1:11" ht="14.1" hidden="1" customHeight="1" x14ac:dyDescent="0.3">
      <c r="A146" s="278">
        <v>43252</v>
      </c>
      <c r="B146" s="7" t="s">
        <v>27</v>
      </c>
      <c r="C146" s="279">
        <v>9</v>
      </c>
      <c r="D146" s="279">
        <v>115</v>
      </c>
      <c r="E146" s="279">
        <f t="shared" si="4"/>
        <v>106</v>
      </c>
      <c r="F146" s="279">
        <v>50</v>
      </c>
      <c r="G146" s="279">
        <v>50</v>
      </c>
      <c r="H146" s="280" t="str">
        <f t="shared" si="5"/>
        <v>Fail</v>
      </c>
      <c r="I146" s="7">
        <v>1428</v>
      </c>
      <c r="J146" s="7" t="s">
        <v>37</v>
      </c>
      <c r="K146" s="7"/>
    </row>
    <row r="147" spans="1:11" ht="14.1" hidden="1" customHeight="1" x14ac:dyDescent="0.3">
      <c r="A147" s="278">
        <v>43252</v>
      </c>
      <c r="B147" s="7" t="s">
        <v>27</v>
      </c>
      <c r="C147" s="279">
        <v>4</v>
      </c>
      <c r="D147" s="279">
        <v>18</v>
      </c>
      <c r="E147" s="279">
        <f t="shared" si="4"/>
        <v>14</v>
      </c>
      <c r="F147" s="279">
        <v>50</v>
      </c>
      <c r="G147" s="279">
        <v>50</v>
      </c>
      <c r="H147" s="280" t="str">
        <f t="shared" si="5"/>
        <v>Pass</v>
      </c>
      <c r="I147" s="7">
        <v>1428</v>
      </c>
      <c r="J147" s="7" t="s">
        <v>83</v>
      </c>
      <c r="K147" s="7"/>
    </row>
    <row r="148" spans="1:11" ht="14.1" hidden="1" customHeight="1" x14ac:dyDescent="0.3">
      <c r="A148" s="278">
        <v>43256</v>
      </c>
      <c r="B148" s="7" t="s">
        <v>27</v>
      </c>
      <c r="C148" s="279">
        <v>11</v>
      </c>
      <c r="D148" s="279">
        <v>18</v>
      </c>
      <c r="E148" s="279">
        <f>IF(D148="","",(D148-C148))</f>
        <v>7</v>
      </c>
      <c r="F148" s="279">
        <v>50</v>
      </c>
      <c r="G148" s="279">
        <v>50</v>
      </c>
      <c r="H148" s="280" t="str">
        <f>IF(E148="","",IF(E148&lt;50,"Pass","Fail"))</f>
        <v>Pass</v>
      </c>
      <c r="I148" s="7">
        <v>1335</v>
      </c>
      <c r="J148" s="7" t="s">
        <v>125</v>
      </c>
      <c r="K148" s="7"/>
    </row>
    <row r="149" spans="1:11" ht="14.1" hidden="1" customHeight="1" x14ac:dyDescent="0.3">
      <c r="A149" s="278">
        <v>43259</v>
      </c>
      <c r="B149" s="7" t="s">
        <v>27</v>
      </c>
      <c r="C149" s="279">
        <v>7</v>
      </c>
      <c r="D149" s="279">
        <v>12</v>
      </c>
      <c r="E149" s="279">
        <f t="shared" si="4"/>
        <v>5</v>
      </c>
      <c r="F149" s="279">
        <v>50</v>
      </c>
      <c r="G149" s="279">
        <v>50</v>
      </c>
      <c r="H149" s="280" t="str">
        <f t="shared" si="5"/>
        <v>Pass</v>
      </c>
      <c r="I149" s="7">
        <v>1335</v>
      </c>
      <c r="J149" s="7" t="s">
        <v>126</v>
      </c>
      <c r="K149" s="7"/>
    </row>
    <row r="150" spans="1:11" ht="14.1" hidden="1" customHeight="1" x14ac:dyDescent="0.3">
      <c r="A150" s="278">
        <v>43262</v>
      </c>
      <c r="B150" s="7" t="s">
        <v>27</v>
      </c>
      <c r="C150" s="279">
        <v>7</v>
      </c>
      <c r="D150" s="279">
        <v>9</v>
      </c>
      <c r="E150" s="279">
        <f t="shared" si="4"/>
        <v>2</v>
      </c>
      <c r="F150" s="279">
        <v>50</v>
      </c>
      <c r="G150" s="279">
        <v>50</v>
      </c>
      <c r="H150" s="280" t="str">
        <f t="shared" si="5"/>
        <v>Pass</v>
      </c>
      <c r="I150" s="7">
        <v>1159</v>
      </c>
      <c r="J150" s="7" t="s">
        <v>127</v>
      </c>
      <c r="K150" s="7"/>
    </row>
    <row r="151" spans="1:11" ht="14.1" hidden="1" customHeight="1" x14ac:dyDescent="0.3">
      <c r="A151" s="278">
        <v>43266</v>
      </c>
      <c r="B151" s="7" t="s">
        <v>27</v>
      </c>
      <c r="C151" s="279">
        <v>20</v>
      </c>
      <c r="D151" s="279">
        <v>18</v>
      </c>
      <c r="E151" s="279">
        <f t="shared" si="4"/>
        <v>-2</v>
      </c>
      <c r="F151" s="279">
        <v>50</v>
      </c>
      <c r="G151" s="279">
        <v>50</v>
      </c>
      <c r="H151" s="280" t="str">
        <f t="shared" si="5"/>
        <v>Pass</v>
      </c>
      <c r="I151" s="7">
        <v>121</v>
      </c>
      <c r="J151" s="7" t="s">
        <v>128</v>
      </c>
      <c r="K151" s="7"/>
    </row>
    <row r="152" spans="1:11" ht="14.1" hidden="1" customHeight="1" x14ac:dyDescent="0.3">
      <c r="A152" s="278">
        <v>43270</v>
      </c>
      <c r="B152" s="7" t="s">
        <v>27</v>
      </c>
      <c r="C152" s="279">
        <v>25</v>
      </c>
      <c r="D152" s="279">
        <v>28</v>
      </c>
      <c r="E152" s="279">
        <f>IF(D152="","",(D152-C152))</f>
        <v>3</v>
      </c>
      <c r="F152" s="279">
        <v>50</v>
      </c>
      <c r="G152" s="279">
        <v>50</v>
      </c>
      <c r="H152" s="280" t="str">
        <f>IF(E152="","",IF(E152&lt;50,"Pass","Fail"))</f>
        <v>Pass</v>
      </c>
      <c r="I152" s="7">
        <v>1159</v>
      </c>
      <c r="J152" s="7" t="s">
        <v>129</v>
      </c>
      <c r="K152" s="7"/>
    </row>
    <row r="153" spans="1:11" ht="14.1" hidden="1" customHeight="1" x14ac:dyDescent="0.3">
      <c r="A153" s="278">
        <v>43276</v>
      </c>
      <c r="B153" s="7" t="s">
        <v>27</v>
      </c>
      <c r="C153" s="279">
        <v>12</v>
      </c>
      <c r="D153" s="279">
        <v>19</v>
      </c>
      <c r="E153" s="279">
        <f>IF(D153="","",(D153-C153))</f>
        <v>7</v>
      </c>
      <c r="F153" s="279">
        <v>50</v>
      </c>
      <c r="G153" s="279">
        <v>50</v>
      </c>
      <c r="H153" s="280" t="str">
        <f>IF(E153="","",IF(E153&lt;50,"Pass","Fail"))</f>
        <v>Pass</v>
      </c>
      <c r="I153" s="7">
        <v>1340</v>
      </c>
      <c r="J153" s="7" t="s">
        <v>130</v>
      </c>
      <c r="K153" s="7"/>
    </row>
    <row r="154" spans="1:11" ht="14.1" hidden="1" customHeight="1" x14ac:dyDescent="0.3">
      <c r="A154" s="278">
        <v>43279</v>
      </c>
      <c r="B154" s="7" t="s">
        <v>27</v>
      </c>
      <c r="C154" s="279">
        <v>14</v>
      </c>
      <c r="D154" s="279">
        <v>17</v>
      </c>
      <c r="E154" s="279">
        <f t="shared" si="4"/>
        <v>3</v>
      </c>
      <c r="F154" s="279">
        <v>50</v>
      </c>
      <c r="G154" s="279">
        <v>50</v>
      </c>
      <c r="H154" s="280" t="str">
        <f t="shared" si="5"/>
        <v>Pass</v>
      </c>
      <c r="I154" s="7">
        <v>121</v>
      </c>
      <c r="J154" s="7" t="s">
        <v>131</v>
      </c>
      <c r="K154" s="7"/>
    </row>
    <row r="155" spans="1:11" ht="14.1" hidden="1" customHeight="1" x14ac:dyDescent="0.3">
      <c r="A155" s="278">
        <v>43283</v>
      </c>
      <c r="B155" s="7" t="s">
        <v>27</v>
      </c>
      <c r="C155" s="279">
        <v>24</v>
      </c>
      <c r="D155" s="279">
        <v>39</v>
      </c>
      <c r="E155" s="279">
        <f t="shared" si="4"/>
        <v>15</v>
      </c>
      <c r="F155" s="279">
        <v>50</v>
      </c>
      <c r="G155" s="279">
        <v>50</v>
      </c>
      <c r="H155" s="280" t="str">
        <f t="shared" si="5"/>
        <v>Pass</v>
      </c>
      <c r="I155" s="7">
        <v>1340</v>
      </c>
      <c r="J155" s="7" t="s">
        <v>132</v>
      </c>
      <c r="K155" s="7"/>
    </row>
    <row r="156" spans="1:11" ht="14.1" hidden="1" customHeight="1" x14ac:dyDescent="0.3">
      <c r="A156" s="278">
        <v>43289</v>
      </c>
      <c r="B156" s="7" t="s">
        <v>27</v>
      </c>
      <c r="C156" s="279">
        <v>65</v>
      </c>
      <c r="D156" s="279">
        <v>193</v>
      </c>
      <c r="E156" s="279">
        <f t="shared" si="4"/>
        <v>128</v>
      </c>
      <c r="F156" s="279">
        <v>50</v>
      </c>
      <c r="G156" s="279">
        <v>50</v>
      </c>
      <c r="H156" s="280" t="str">
        <f t="shared" si="5"/>
        <v>Fail</v>
      </c>
      <c r="I156" s="7">
        <v>1428</v>
      </c>
      <c r="J156" s="7"/>
      <c r="K156" s="7"/>
    </row>
    <row r="157" spans="1:11" ht="14.1" hidden="1" customHeight="1" x14ac:dyDescent="0.3">
      <c r="A157" s="278">
        <v>43289</v>
      </c>
      <c r="B157" s="7" t="s">
        <v>27</v>
      </c>
      <c r="C157" s="279">
        <v>40</v>
      </c>
      <c r="D157" s="279">
        <v>56</v>
      </c>
      <c r="E157" s="279">
        <f t="shared" si="4"/>
        <v>16</v>
      </c>
      <c r="F157" s="279">
        <v>50</v>
      </c>
      <c r="G157" s="279">
        <v>50</v>
      </c>
      <c r="H157" s="280" t="str">
        <f t="shared" si="5"/>
        <v>Pass</v>
      </c>
      <c r="I157" s="7">
        <v>1428</v>
      </c>
      <c r="J157" s="7"/>
      <c r="K157" s="7"/>
    </row>
    <row r="158" spans="1:11" ht="14.1" hidden="1" customHeight="1" x14ac:dyDescent="0.3">
      <c r="A158" s="278">
        <v>43292</v>
      </c>
      <c r="B158" s="7" t="s">
        <v>27</v>
      </c>
      <c r="C158" s="279">
        <v>13</v>
      </c>
      <c r="D158" s="279">
        <v>16</v>
      </c>
      <c r="E158" s="279">
        <f t="shared" si="4"/>
        <v>3</v>
      </c>
      <c r="F158" s="279">
        <v>50</v>
      </c>
      <c r="G158" s="279">
        <v>50</v>
      </c>
      <c r="H158" s="280" t="str">
        <f t="shared" si="5"/>
        <v>Pass</v>
      </c>
      <c r="I158" s="7">
        <v>1335</v>
      </c>
      <c r="J158" s="7" t="s">
        <v>133</v>
      </c>
      <c r="K158" s="7"/>
    </row>
    <row r="159" spans="1:11" ht="14.1" hidden="1" customHeight="1" x14ac:dyDescent="0.3">
      <c r="A159" s="278">
        <v>43296</v>
      </c>
      <c r="B159" s="7" t="s">
        <v>27</v>
      </c>
      <c r="C159" s="279">
        <v>33</v>
      </c>
      <c r="D159" s="279">
        <v>73</v>
      </c>
      <c r="E159" s="279">
        <f t="shared" si="4"/>
        <v>40</v>
      </c>
      <c r="F159" s="279">
        <v>50</v>
      </c>
      <c r="G159" s="279">
        <v>50</v>
      </c>
      <c r="H159" s="280" t="str">
        <f t="shared" si="5"/>
        <v>Pass</v>
      </c>
      <c r="I159" s="7">
        <v>1335</v>
      </c>
      <c r="J159" s="7" t="s">
        <v>134</v>
      </c>
      <c r="K159" s="7"/>
    </row>
    <row r="160" spans="1:11" ht="14.1" hidden="1" customHeight="1" x14ac:dyDescent="0.3">
      <c r="A160" s="278">
        <v>43300</v>
      </c>
      <c r="B160" s="7" t="s">
        <v>27</v>
      </c>
      <c r="C160" s="279">
        <v>52</v>
      </c>
      <c r="D160" s="279">
        <v>32</v>
      </c>
      <c r="E160" s="279">
        <f t="shared" si="4"/>
        <v>-20</v>
      </c>
      <c r="F160" s="279">
        <v>50</v>
      </c>
      <c r="G160" s="279">
        <v>50</v>
      </c>
      <c r="H160" s="280" t="str">
        <f t="shared" si="5"/>
        <v>Pass</v>
      </c>
      <c r="I160" s="7">
        <v>1340</v>
      </c>
      <c r="J160" s="7" t="s">
        <v>135</v>
      </c>
      <c r="K160" s="7"/>
    </row>
    <row r="161" spans="1:11" ht="14.1" hidden="1" customHeight="1" x14ac:dyDescent="0.3">
      <c r="A161" s="278">
        <v>43303</v>
      </c>
      <c r="B161" s="7" t="s">
        <v>27</v>
      </c>
      <c r="C161" s="279">
        <v>46</v>
      </c>
      <c r="D161" s="279">
        <v>52</v>
      </c>
      <c r="E161" s="279">
        <f t="shared" si="4"/>
        <v>6</v>
      </c>
      <c r="F161" s="279">
        <v>50</v>
      </c>
      <c r="G161" s="279">
        <v>50</v>
      </c>
      <c r="H161" s="280" t="str">
        <f t="shared" si="5"/>
        <v>Pass</v>
      </c>
      <c r="I161" s="7">
        <v>1335</v>
      </c>
      <c r="J161" s="7" t="s">
        <v>136</v>
      </c>
      <c r="K161" s="7"/>
    </row>
    <row r="162" spans="1:11" ht="14.1" hidden="1" customHeight="1" x14ac:dyDescent="0.3">
      <c r="A162" s="278">
        <v>43307</v>
      </c>
      <c r="B162" s="7" t="s">
        <v>27</v>
      </c>
      <c r="C162" s="279">
        <v>21</v>
      </c>
      <c r="D162" s="279">
        <v>20</v>
      </c>
      <c r="E162" s="279">
        <f t="shared" si="4"/>
        <v>-1</v>
      </c>
      <c r="F162" s="279">
        <v>50</v>
      </c>
      <c r="G162" s="279">
        <v>50</v>
      </c>
      <c r="H162" s="280" t="str">
        <f t="shared" si="5"/>
        <v>Pass</v>
      </c>
      <c r="I162" s="7">
        <v>1340</v>
      </c>
      <c r="J162" s="7" t="s">
        <v>137</v>
      </c>
      <c r="K162" s="7"/>
    </row>
    <row r="163" spans="1:11" ht="14.1" hidden="1" customHeight="1" x14ac:dyDescent="0.3">
      <c r="A163" s="278">
        <v>43311</v>
      </c>
      <c r="B163" s="7" t="s">
        <v>27</v>
      </c>
      <c r="C163" s="279">
        <v>25</v>
      </c>
      <c r="D163" s="279">
        <v>16</v>
      </c>
      <c r="E163" s="279">
        <f t="shared" si="4"/>
        <v>-9</v>
      </c>
      <c r="F163" s="279">
        <v>50</v>
      </c>
      <c r="G163" s="279">
        <v>50</v>
      </c>
      <c r="H163" s="280" t="str">
        <f t="shared" si="5"/>
        <v>Pass</v>
      </c>
      <c r="I163" s="7">
        <v>1340</v>
      </c>
      <c r="J163" s="7" t="s">
        <v>138</v>
      </c>
      <c r="K163" s="7"/>
    </row>
    <row r="164" spans="1:11" ht="14.1" hidden="1" customHeight="1" x14ac:dyDescent="0.3">
      <c r="A164" s="278">
        <v>43314</v>
      </c>
      <c r="B164" s="7" t="s">
        <v>27</v>
      </c>
      <c r="C164" s="279">
        <v>7</v>
      </c>
      <c r="D164" s="279">
        <v>10</v>
      </c>
      <c r="E164" s="279">
        <f t="shared" si="4"/>
        <v>3</v>
      </c>
      <c r="F164" s="279">
        <v>50</v>
      </c>
      <c r="G164" s="279">
        <v>50</v>
      </c>
      <c r="H164" s="280" t="str">
        <f t="shared" si="5"/>
        <v>Pass</v>
      </c>
      <c r="I164" s="7">
        <v>1340</v>
      </c>
      <c r="J164" s="7" t="s">
        <v>139</v>
      </c>
      <c r="K164" s="7"/>
    </row>
    <row r="165" spans="1:11" ht="14.1" hidden="1" customHeight="1" x14ac:dyDescent="0.3">
      <c r="A165" s="278">
        <v>43317</v>
      </c>
      <c r="B165" s="7" t="s">
        <v>27</v>
      </c>
      <c r="C165" s="279">
        <v>6</v>
      </c>
      <c r="D165" s="279">
        <v>8</v>
      </c>
      <c r="E165" s="279">
        <f t="shared" si="4"/>
        <v>2</v>
      </c>
      <c r="F165" s="279">
        <v>50</v>
      </c>
      <c r="G165" s="279">
        <v>50</v>
      </c>
      <c r="H165" s="280" t="str">
        <f>IF(E165="","",IF(E165&lt;50,"Pass","Fail"))</f>
        <v>Pass</v>
      </c>
      <c r="I165" s="9">
        <v>1340</v>
      </c>
      <c r="J165" s="7" t="s">
        <v>140</v>
      </c>
      <c r="K165" s="7"/>
    </row>
    <row r="166" spans="1:11" ht="14.1" hidden="1" customHeight="1" x14ac:dyDescent="0.3">
      <c r="A166" s="278">
        <v>43320</v>
      </c>
      <c r="B166" s="7" t="s">
        <v>27</v>
      </c>
      <c r="C166" s="279">
        <v>6</v>
      </c>
      <c r="D166" s="279">
        <v>10</v>
      </c>
      <c r="E166" s="279">
        <f t="shared" si="4"/>
        <v>4</v>
      </c>
      <c r="F166" s="279">
        <v>50</v>
      </c>
      <c r="G166" s="279">
        <v>50</v>
      </c>
      <c r="H166" s="280" t="str">
        <f t="shared" ref="H166:H184" si="6">IF(E166="","",IF(E166&lt;50,"Pass","Fail"))</f>
        <v>Pass</v>
      </c>
      <c r="I166" s="9">
        <v>1159</v>
      </c>
      <c r="J166" s="7" t="s">
        <v>141</v>
      </c>
      <c r="K166" s="7"/>
    </row>
    <row r="167" spans="1:11" ht="14.1" hidden="1" customHeight="1" x14ac:dyDescent="0.3">
      <c r="A167" s="278">
        <v>43322</v>
      </c>
      <c r="B167" s="7" t="s">
        <v>27</v>
      </c>
      <c r="C167" s="7">
        <v>62</v>
      </c>
      <c r="D167" s="7">
        <v>108</v>
      </c>
      <c r="E167" s="7">
        <f t="shared" si="4"/>
        <v>46</v>
      </c>
      <c r="F167" s="279">
        <v>50</v>
      </c>
      <c r="G167" s="279">
        <v>50</v>
      </c>
      <c r="H167" s="280" t="str">
        <f t="shared" si="6"/>
        <v>Pass</v>
      </c>
      <c r="I167" s="7">
        <v>1428</v>
      </c>
      <c r="J167" s="7" t="s">
        <v>37</v>
      </c>
      <c r="K167" s="7"/>
    </row>
    <row r="168" spans="1:11" ht="14.1" hidden="1" customHeight="1" x14ac:dyDescent="0.3">
      <c r="A168" s="278">
        <v>43328</v>
      </c>
      <c r="B168" s="7" t="s">
        <v>27</v>
      </c>
      <c r="C168" s="7">
        <v>19</v>
      </c>
      <c r="D168" s="7">
        <v>43</v>
      </c>
      <c r="E168" s="7">
        <f t="shared" si="4"/>
        <v>24</v>
      </c>
      <c r="F168" s="279">
        <v>50</v>
      </c>
      <c r="G168" s="279">
        <v>50</v>
      </c>
      <c r="H168" s="280" t="str">
        <f t="shared" si="6"/>
        <v>Pass</v>
      </c>
      <c r="I168" s="7">
        <v>1335</v>
      </c>
      <c r="J168" s="7" t="s">
        <v>142</v>
      </c>
      <c r="K168" s="7"/>
    </row>
    <row r="169" spans="1:11" ht="14.1" hidden="1" customHeight="1" x14ac:dyDescent="0.3">
      <c r="A169" s="278">
        <v>42602</v>
      </c>
      <c r="B169" s="7" t="s">
        <v>27</v>
      </c>
      <c r="C169" s="279">
        <v>10</v>
      </c>
      <c r="D169" s="279">
        <v>17</v>
      </c>
      <c r="E169" s="279">
        <f t="shared" si="4"/>
        <v>7</v>
      </c>
      <c r="F169" s="279">
        <v>50</v>
      </c>
      <c r="G169" s="279">
        <v>50</v>
      </c>
      <c r="H169" s="280" t="str">
        <f t="shared" si="6"/>
        <v>Pass</v>
      </c>
      <c r="I169" s="9">
        <v>1340</v>
      </c>
      <c r="J169" s="7" t="s">
        <v>37</v>
      </c>
      <c r="K169" s="7"/>
    </row>
    <row r="170" spans="1:11" ht="14.1" hidden="1" customHeight="1" x14ac:dyDescent="0.3">
      <c r="A170" s="278">
        <v>42605</v>
      </c>
      <c r="B170" s="7" t="s">
        <v>27</v>
      </c>
      <c r="C170" s="279">
        <v>15</v>
      </c>
      <c r="D170" s="279">
        <v>22</v>
      </c>
      <c r="E170" s="279">
        <f t="shared" si="4"/>
        <v>7</v>
      </c>
      <c r="F170" s="279">
        <v>50</v>
      </c>
      <c r="G170" s="279">
        <v>50</v>
      </c>
      <c r="H170" s="280" t="str">
        <f t="shared" si="6"/>
        <v>Pass</v>
      </c>
      <c r="I170" s="7">
        <v>1340</v>
      </c>
      <c r="J170" s="7" t="s">
        <v>143</v>
      </c>
      <c r="K170" s="7"/>
    </row>
    <row r="171" spans="1:11" ht="14.1" hidden="1" customHeight="1" x14ac:dyDescent="0.3">
      <c r="A171" s="278">
        <v>42608</v>
      </c>
      <c r="B171" s="7" t="s">
        <v>27</v>
      </c>
      <c r="C171" s="279">
        <v>44</v>
      </c>
      <c r="D171" s="279">
        <v>38</v>
      </c>
      <c r="E171" s="279">
        <f>IF(D171="","",(D171-C171))</f>
        <v>-6</v>
      </c>
      <c r="F171" s="279">
        <v>50</v>
      </c>
      <c r="G171" s="279">
        <v>50</v>
      </c>
      <c r="H171" s="280" t="str">
        <f>IF(E171="","",IF(E171&lt;50,"Pass","Fail"))</f>
        <v>Pass</v>
      </c>
      <c r="I171" s="7">
        <v>102</v>
      </c>
      <c r="J171" s="7" t="s">
        <v>144</v>
      </c>
      <c r="K171" s="7"/>
    </row>
    <row r="172" spans="1:11" ht="14.1" hidden="1" customHeight="1" x14ac:dyDescent="0.3">
      <c r="A172" s="278">
        <v>43341</v>
      </c>
      <c r="B172" s="7" t="s">
        <v>27</v>
      </c>
      <c r="C172" s="279">
        <v>57</v>
      </c>
      <c r="D172" s="279">
        <v>70</v>
      </c>
      <c r="E172" s="279">
        <f t="shared" si="4"/>
        <v>13</v>
      </c>
      <c r="F172" s="279">
        <v>50</v>
      </c>
      <c r="G172" s="279">
        <v>50</v>
      </c>
      <c r="H172" s="280" t="str">
        <f t="shared" si="6"/>
        <v>Pass</v>
      </c>
      <c r="I172" s="7">
        <v>121</v>
      </c>
      <c r="J172" s="7" t="s">
        <v>145</v>
      </c>
      <c r="K172" s="7"/>
    </row>
    <row r="173" spans="1:11" ht="14.1" hidden="1" customHeight="1" x14ac:dyDescent="0.3">
      <c r="A173" s="278">
        <v>43344</v>
      </c>
      <c r="B173" s="7" t="s">
        <v>27</v>
      </c>
      <c r="C173" s="279">
        <v>40</v>
      </c>
      <c r="D173" s="279">
        <v>49</v>
      </c>
      <c r="E173" s="279">
        <f t="shared" si="4"/>
        <v>9</v>
      </c>
      <c r="F173" s="279">
        <v>50</v>
      </c>
      <c r="G173" s="279">
        <v>50</v>
      </c>
      <c r="H173" s="280" t="str">
        <f t="shared" si="6"/>
        <v>Pass</v>
      </c>
      <c r="I173" s="9">
        <v>1335</v>
      </c>
      <c r="J173" s="7" t="s">
        <v>146</v>
      </c>
      <c r="K173" s="7"/>
    </row>
    <row r="174" spans="1:11" ht="14.1" hidden="1" customHeight="1" x14ac:dyDescent="0.3">
      <c r="A174" s="278">
        <v>43350</v>
      </c>
      <c r="B174" s="7" t="s">
        <v>27</v>
      </c>
      <c r="C174" s="279">
        <v>39</v>
      </c>
      <c r="D174" s="279">
        <v>32</v>
      </c>
      <c r="E174" s="279">
        <f t="shared" si="4"/>
        <v>-7</v>
      </c>
      <c r="F174" s="279">
        <v>50</v>
      </c>
      <c r="G174" s="279">
        <v>50</v>
      </c>
      <c r="H174" s="280" t="str">
        <f t="shared" si="6"/>
        <v>Pass</v>
      </c>
      <c r="I174" s="9">
        <v>1340</v>
      </c>
      <c r="J174" s="7"/>
      <c r="K174" s="7"/>
    </row>
    <row r="175" spans="1:11" ht="14.1" hidden="1" customHeight="1" x14ac:dyDescent="0.3">
      <c r="A175" s="278">
        <v>43357</v>
      </c>
      <c r="B175" s="7" t="s">
        <v>27</v>
      </c>
      <c r="C175" s="7">
        <v>14</v>
      </c>
      <c r="D175" s="7">
        <v>30</v>
      </c>
      <c r="E175" s="279">
        <f t="shared" si="4"/>
        <v>16</v>
      </c>
      <c r="F175" s="279">
        <v>50</v>
      </c>
      <c r="G175" s="279">
        <v>50</v>
      </c>
      <c r="H175" s="280" t="str">
        <f t="shared" si="6"/>
        <v>Pass</v>
      </c>
      <c r="I175" s="7">
        <v>1335</v>
      </c>
      <c r="J175" s="7" t="s">
        <v>147</v>
      </c>
      <c r="K175" s="7"/>
    </row>
    <row r="176" spans="1:11" ht="14.1" hidden="1" customHeight="1" x14ac:dyDescent="0.3">
      <c r="A176" s="278">
        <v>43360</v>
      </c>
      <c r="B176" s="7" t="s">
        <v>27</v>
      </c>
      <c r="C176" s="7">
        <v>20</v>
      </c>
      <c r="D176" s="7">
        <v>54</v>
      </c>
      <c r="E176" s="279">
        <f t="shared" si="4"/>
        <v>34</v>
      </c>
      <c r="F176" s="279">
        <v>50</v>
      </c>
      <c r="G176" s="279">
        <v>50</v>
      </c>
      <c r="H176" s="280" t="str">
        <f t="shared" si="6"/>
        <v>Pass</v>
      </c>
      <c r="I176" s="7">
        <v>1340</v>
      </c>
      <c r="J176" s="7"/>
      <c r="K176" s="7"/>
    </row>
    <row r="177" spans="1:11" ht="14.1" hidden="1" customHeight="1" x14ac:dyDescent="0.3">
      <c r="A177" s="278">
        <v>43363</v>
      </c>
      <c r="B177" s="7" t="s">
        <v>27</v>
      </c>
      <c r="C177" s="279">
        <v>5</v>
      </c>
      <c r="D177" s="279">
        <v>9</v>
      </c>
      <c r="E177" s="279">
        <f t="shared" si="4"/>
        <v>4</v>
      </c>
      <c r="F177" s="279">
        <v>50</v>
      </c>
      <c r="G177" s="279">
        <v>50</v>
      </c>
      <c r="H177" s="280" t="str">
        <f t="shared" si="6"/>
        <v>Pass</v>
      </c>
      <c r="I177" s="9">
        <v>121</v>
      </c>
      <c r="J177" s="9"/>
      <c r="K177" s="7"/>
    </row>
    <row r="178" spans="1:11" ht="14.1" hidden="1" customHeight="1" x14ac:dyDescent="0.3">
      <c r="A178" s="278">
        <v>43367</v>
      </c>
      <c r="B178" s="7" t="s">
        <v>27</v>
      </c>
      <c r="C178" s="7">
        <v>11</v>
      </c>
      <c r="D178" s="7">
        <v>10</v>
      </c>
      <c r="E178" s="7">
        <f t="shared" si="4"/>
        <v>-1</v>
      </c>
      <c r="F178" s="279">
        <v>50</v>
      </c>
      <c r="G178" s="279">
        <v>50</v>
      </c>
      <c r="H178" s="280" t="str">
        <f t="shared" si="6"/>
        <v>Pass</v>
      </c>
      <c r="I178" s="7">
        <v>1340</v>
      </c>
      <c r="J178" s="7"/>
      <c r="K178" s="7"/>
    </row>
    <row r="179" spans="1:11" ht="14.1" hidden="1" customHeight="1" x14ac:dyDescent="0.3">
      <c r="A179" s="278">
        <v>43370</v>
      </c>
      <c r="B179" s="7" t="s">
        <v>27</v>
      </c>
      <c r="C179" s="7">
        <v>6</v>
      </c>
      <c r="D179" s="7">
        <v>11</v>
      </c>
      <c r="E179" s="7">
        <f t="shared" si="4"/>
        <v>5</v>
      </c>
      <c r="F179" s="279">
        <v>50</v>
      </c>
      <c r="G179" s="279">
        <v>50</v>
      </c>
      <c r="H179" s="280" t="str">
        <f t="shared" si="6"/>
        <v>Pass</v>
      </c>
      <c r="I179" s="7">
        <v>1340</v>
      </c>
      <c r="J179" s="7"/>
      <c r="K179" s="7"/>
    </row>
    <row r="180" spans="1:11" ht="14.1" hidden="1" customHeight="1" x14ac:dyDescent="0.3">
      <c r="A180" s="278">
        <v>43373</v>
      </c>
      <c r="B180" s="7" t="s">
        <v>27</v>
      </c>
      <c r="C180" s="7">
        <v>13</v>
      </c>
      <c r="D180" s="7">
        <v>15</v>
      </c>
      <c r="E180" s="7">
        <f t="shared" si="4"/>
        <v>2</v>
      </c>
      <c r="F180" s="279">
        <v>50</v>
      </c>
      <c r="G180" s="279">
        <v>50</v>
      </c>
      <c r="H180" s="280" t="str">
        <f t="shared" si="6"/>
        <v>Pass</v>
      </c>
      <c r="I180" s="7">
        <v>74</v>
      </c>
      <c r="J180" s="7"/>
      <c r="K180" s="7"/>
    </row>
    <row r="181" spans="1:11" ht="14.1" hidden="1" customHeight="1" x14ac:dyDescent="0.3">
      <c r="A181" s="278">
        <v>43380</v>
      </c>
      <c r="B181" s="7" t="s">
        <v>27</v>
      </c>
      <c r="C181" s="7">
        <v>12</v>
      </c>
      <c r="D181" s="7">
        <v>13</v>
      </c>
      <c r="E181" s="7">
        <f t="shared" si="4"/>
        <v>1</v>
      </c>
      <c r="F181" s="279">
        <v>50</v>
      </c>
      <c r="G181" s="279">
        <v>50</v>
      </c>
      <c r="H181" s="280" t="str">
        <f t="shared" si="6"/>
        <v>Pass</v>
      </c>
      <c r="I181" s="7">
        <v>1428</v>
      </c>
      <c r="J181" s="7"/>
      <c r="K181" s="7"/>
    </row>
    <row r="182" spans="1:11" ht="14.1" hidden="1" customHeight="1" x14ac:dyDescent="0.3">
      <c r="A182" s="278">
        <v>43381</v>
      </c>
      <c r="B182" s="7" t="s">
        <v>27</v>
      </c>
      <c r="C182" s="7">
        <v>22</v>
      </c>
      <c r="D182" s="7">
        <v>22</v>
      </c>
      <c r="E182" s="7">
        <f t="shared" si="4"/>
        <v>0</v>
      </c>
      <c r="F182" s="279">
        <v>50</v>
      </c>
      <c r="G182" s="279">
        <v>50</v>
      </c>
      <c r="H182" s="280" t="str">
        <f t="shared" si="6"/>
        <v>Pass</v>
      </c>
      <c r="I182" s="7">
        <v>74</v>
      </c>
      <c r="J182" s="7"/>
      <c r="K182" s="7"/>
    </row>
    <row r="183" spans="1:11" ht="14.1" hidden="1" customHeight="1" x14ac:dyDescent="0.3">
      <c r="A183" s="278">
        <v>43383</v>
      </c>
      <c r="B183" s="7" t="s">
        <v>27</v>
      </c>
      <c r="C183" s="7">
        <v>22</v>
      </c>
      <c r="D183" s="7">
        <v>31</v>
      </c>
      <c r="E183" s="7">
        <f t="shared" si="4"/>
        <v>9</v>
      </c>
      <c r="F183" s="279">
        <v>50</v>
      </c>
      <c r="G183" s="279">
        <v>50</v>
      </c>
      <c r="H183" s="280" t="str">
        <f t="shared" si="6"/>
        <v>Pass</v>
      </c>
      <c r="I183" s="7">
        <v>1340</v>
      </c>
      <c r="J183" s="7"/>
      <c r="K183" s="7"/>
    </row>
    <row r="184" spans="1:11" ht="14.1" hidden="1" customHeight="1" x14ac:dyDescent="0.3">
      <c r="A184" s="278">
        <v>43387</v>
      </c>
      <c r="B184" s="7" t="s">
        <v>27</v>
      </c>
      <c r="C184" s="7">
        <v>49</v>
      </c>
      <c r="D184" s="7">
        <v>48</v>
      </c>
      <c r="E184" s="7">
        <f t="shared" si="4"/>
        <v>-1</v>
      </c>
      <c r="F184" s="279">
        <v>50</v>
      </c>
      <c r="G184" s="279">
        <v>50</v>
      </c>
      <c r="H184" s="280" t="str">
        <f t="shared" si="6"/>
        <v>Pass</v>
      </c>
      <c r="I184" s="7">
        <v>1340</v>
      </c>
      <c r="J184" s="7"/>
      <c r="K184" s="7"/>
    </row>
    <row r="185" spans="1:11" ht="14.1" hidden="1" customHeight="1" x14ac:dyDescent="0.3">
      <c r="A185" s="278">
        <v>43390</v>
      </c>
      <c r="B185" s="7" t="s">
        <v>27</v>
      </c>
      <c r="C185" s="7">
        <v>78</v>
      </c>
      <c r="D185" s="7">
        <v>76</v>
      </c>
      <c r="E185" s="7">
        <f>IF(D185="","",(D185-C185))</f>
        <v>-2</v>
      </c>
      <c r="F185" s="279">
        <v>50</v>
      </c>
      <c r="G185" s="279">
        <v>50</v>
      </c>
      <c r="H185" s="280" t="str">
        <f>IF(E185="","",IF(E185&lt;50,"Pass","Fail"))</f>
        <v>Pass</v>
      </c>
      <c r="I185" s="7">
        <v>102</v>
      </c>
      <c r="J185" s="7" t="s">
        <v>148</v>
      </c>
      <c r="K185" s="7"/>
    </row>
    <row r="186" spans="1:11" ht="14.1" hidden="1" customHeight="1" x14ac:dyDescent="0.3">
      <c r="A186" s="278">
        <v>43394</v>
      </c>
      <c r="B186" s="7" t="s">
        <v>27</v>
      </c>
      <c r="C186" s="7">
        <v>54</v>
      </c>
      <c r="D186" s="7">
        <v>58</v>
      </c>
      <c r="E186" s="7">
        <f>IF(D186="","",(D186-C186))</f>
        <v>4</v>
      </c>
      <c r="F186" s="279">
        <v>50</v>
      </c>
      <c r="G186" s="279">
        <v>50</v>
      </c>
      <c r="H186" s="280" t="str">
        <f>IF(E186="","",IF(E186&lt;50,"Pass","Fail"))</f>
        <v>Pass</v>
      </c>
      <c r="I186" s="7">
        <v>121</v>
      </c>
      <c r="J186" s="7"/>
      <c r="K186" s="7"/>
    </row>
    <row r="187" spans="1:11" ht="14.1" hidden="1" customHeight="1" x14ac:dyDescent="0.3">
      <c r="A187" s="278">
        <v>43397</v>
      </c>
      <c r="B187" s="7" t="s">
        <v>27</v>
      </c>
      <c r="C187" s="7">
        <v>47</v>
      </c>
      <c r="D187" s="7">
        <v>60</v>
      </c>
      <c r="E187" s="7">
        <f>IF(D187="","",(D187-C187))</f>
        <v>13</v>
      </c>
      <c r="F187" s="279">
        <v>50</v>
      </c>
      <c r="G187" s="279">
        <v>50</v>
      </c>
      <c r="H187" s="280" t="str">
        <f t="shared" ref="H187:H200" si="7">IF(E187="","",IF(E187&lt;50,"Pass","Fail"))</f>
        <v>Pass</v>
      </c>
      <c r="I187" s="7">
        <v>1159</v>
      </c>
      <c r="J187" s="7" t="s">
        <v>149</v>
      </c>
      <c r="K187" s="7"/>
    </row>
    <row r="188" spans="1:11" ht="14.1" hidden="1" customHeight="1" x14ac:dyDescent="0.3">
      <c r="A188" s="278">
        <v>43401</v>
      </c>
      <c r="B188" s="7" t="s">
        <v>27</v>
      </c>
      <c r="C188" s="9">
        <v>35</v>
      </c>
      <c r="D188" s="9">
        <v>35</v>
      </c>
      <c r="E188" s="9">
        <f>IF(D188="","",(D188-C188))</f>
        <v>0</v>
      </c>
      <c r="F188" s="279">
        <v>50</v>
      </c>
      <c r="G188" s="279">
        <v>50</v>
      </c>
      <c r="H188" s="280" t="str">
        <f t="shared" si="7"/>
        <v>Pass</v>
      </c>
      <c r="I188" s="7">
        <v>1335</v>
      </c>
      <c r="J188" s="7" t="s">
        <v>150</v>
      </c>
      <c r="K188" s="7"/>
    </row>
    <row r="189" spans="1:11" ht="14.1" hidden="1" customHeight="1" x14ac:dyDescent="0.3">
      <c r="A189" s="278">
        <v>43404</v>
      </c>
      <c r="B189" s="7" t="s">
        <v>27</v>
      </c>
      <c r="C189" s="9">
        <v>35</v>
      </c>
      <c r="D189" s="9">
        <v>53</v>
      </c>
      <c r="E189" s="9">
        <f t="shared" ref="E189:E237" si="8">IF(D189="","",(D189-C189))</f>
        <v>18</v>
      </c>
      <c r="F189" s="279">
        <v>50</v>
      </c>
      <c r="G189" s="279">
        <v>50</v>
      </c>
      <c r="H189" s="280" t="str">
        <f t="shared" si="7"/>
        <v>Pass</v>
      </c>
      <c r="I189" s="7">
        <v>64</v>
      </c>
      <c r="J189" s="7"/>
      <c r="K189" s="7"/>
    </row>
    <row r="190" spans="1:11" ht="14.1" hidden="1" customHeight="1" x14ac:dyDescent="0.3">
      <c r="A190" s="278">
        <v>43408</v>
      </c>
      <c r="B190" s="7" t="s">
        <v>27</v>
      </c>
      <c r="C190" s="9">
        <v>47</v>
      </c>
      <c r="D190" s="9">
        <v>63</v>
      </c>
      <c r="E190" s="9">
        <f t="shared" si="8"/>
        <v>16</v>
      </c>
      <c r="F190" s="279">
        <v>50</v>
      </c>
      <c r="G190" s="279">
        <v>50</v>
      </c>
      <c r="H190" s="280" t="str">
        <f t="shared" si="7"/>
        <v>Pass</v>
      </c>
      <c r="I190" s="7">
        <v>121</v>
      </c>
      <c r="J190" s="7" t="s">
        <v>151</v>
      </c>
      <c r="K190" s="7"/>
    </row>
    <row r="191" spans="1:11" ht="14.1" hidden="1" customHeight="1" x14ac:dyDescent="0.3">
      <c r="A191" s="278">
        <v>43412</v>
      </c>
      <c r="B191" s="7" t="s">
        <v>27</v>
      </c>
      <c r="C191" s="7">
        <v>50</v>
      </c>
      <c r="D191" s="7">
        <v>67</v>
      </c>
      <c r="E191" s="7">
        <f t="shared" si="8"/>
        <v>17</v>
      </c>
      <c r="F191" s="279">
        <v>50</v>
      </c>
      <c r="G191" s="279">
        <v>50</v>
      </c>
      <c r="H191" s="280" t="str">
        <f t="shared" si="7"/>
        <v>Pass</v>
      </c>
      <c r="I191" s="7">
        <v>1335</v>
      </c>
      <c r="J191" s="7" t="s">
        <v>152</v>
      </c>
      <c r="K191" s="7"/>
    </row>
    <row r="192" spans="1:11" ht="14.1" hidden="1" customHeight="1" x14ac:dyDescent="0.3">
      <c r="A192" s="278">
        <v>43445</v>
      </c>
      <c r="B192" s="7" t="s">
        <v>27</v>
      </c>
      <c r="C192" s="7">
        <v>65</v>
      </c>
      <c r="D192" s="7">
        <v>61</v>
      </c>
      <c r="E192" s="7">
        <f t="shared" si="8"/>
        <v>-4</v>
      </c>
      <c r="F192" s="279">
        <v>50</v>
      </c>
      <c r="G192" s="279">
        <v>50</v>
      </c>
      <c r="H192" s="280" t="str">
        <f t="shared" si="7"/>
        <v>Pass</v>
      </c>
      <c r="I192" s="7">
        <v>121</v>
      </c>
      <c r="J192" s="7" t="s">
        <v>153</v>
      </c>
      <c r="K192" s="7"/>
    </row>
    <row r="193" spans="1:11" ht="14.1" hidden="1" customHeight="1" x14ac:dyDescent="0.3">
      <c r="A193" s="278">
        <v>43424</v>
      </c>
      <c r="B193" s="7" t="s">
        <v>27</v>
      </c>
      <c r="C193" s="7">
        <v>64</v>
      </c>
      <c r="D193" s="7">
        <v>78</v>
      </c>
      <c r="E193" s="7">
        <f t="shared" si="8"/>
        <v>14</v>
      </c>
      <c r="F193" s="279">
        <v>50</v>
      </c>
      <c r="G193" s="279">
        <v>50</v>
      </c>
      <c r="H193" s="280" t="str">
        <f t="shared" si="7"/>
        <v>Pass</v>
      </c>
      <c r="I193" s="7">
        <v>121</v>
      </c>
      <c r="J193" s="7" t="s">
        <v>154</v>
      </c>
      <c r="K193" s="7"/>
    </row>
    <row r="194" spans="1:11" ht="14.1" hidden="1" customHeight="1" x14ac:dyDescent="0.3">
      <c r="A194" s="278">
        <v>43430</v>
      </c>
      <c r="B194" s="7" t="s">
        <v>27</v>
      </c>
      <c r="C194" s="7">
        <v>33</v>
      </c>
      <c r="D194" s="7">
        <v>58</v>
      </c>
      <c r="E194" s="7">
        <f t="shared" si="8"/>
        <v>25</v>
      </c>
      <c r="F194" s="279">
        <v>50</v>
      </c>
      <c r="G194" s="279">
        <v>50</v>
      </c>
      <c r="H194" s="280" t="str">
        <f t="shared" si="7"/>
        <v>Pass</v>
      </c>
      <c r="I194" s="7">
        <v>1340</v>
      </c>
      <c r="J194" s="7"/>
      <c r="K194" s="7"/>
    </row>
    <row r="195" spans="1:11" ht="14.1" hidden="1" customHeight="1" x14ac:dyDescent="0.3">
      <c r="A195" s="278">
        <v>43202</v>
      </c>
      <c r="B195" s="7" t="s">
        <v>27</v>
      </c>
      <c r="C195" s="7">
        <v>58</v>
      </c>
      <c r="D195" s="7">
        <v>69</v>
      </c>
      <c r="E195" s="7">
        <f t="shared" si="8"/>
        <v>11</v>
      </c>
      <c r="F195" s="279">
        <v>50</v>
      </c>
      <c r="G195" s="279">
        <v>50</v>
      </c>
      <c r="H195" s="280" t="str">
        <f t="shared" si="7"/>
        <v>Pass</v>
      </c>
      <c r="I195" s="7">
        <v>74</v>
      </c>
      <c r="J195" s="7"/>
      <c r="K195" s="7"/>
    </row>
    <row r="196" spans="1:11" ht="14.1" hidden="1" customHeight="1" x14ac:dyDescent="0.3">
      <c r="A196" s="278">
        <v>43451</v>
      </c>
      <c r="B196" s="7" t="s">
        <v>27</v>
      </c>
      <c r="C196" s="7">
        <v>20</v>
      </c>
      <c r="D196" s="7">
        <v>112</v>
      </c>
      <c r="E196" s="7">
        <f t="shared" si="8"/>
        <v>92</v>
      </c>
      <c r="F196" s="279">
        <v>50</v>
      </c>
      <c r="G196" s="279">
        <v>50</v>
      </c>
      <c r="H196" s="280" t="str">
        <f t="shared" si="7"/>
        <v>Fail</v>
      </c>
      <c r="I196" s="7">
        <v>1340</v>
      </c>
      <c r="J196" s="7" t="s">
        <v>50</v>
      </c>
      <c r="K196" s="7" t="s">
        <v>266</v>
      </c>
    </row>
    <row r="197" spans="1:11" ht="14.1" hidden="1" customHeight="1" x14ac:dyDescent="0.3">
      <c r="A197" s="278">
        <v>43451</v>
      </c>
      <c r="B197" s="7" t="s">
        <v>27</v>
      </c>
      <c r="C197" s="7">
        <v>12</v>
      </c>
      <c r="D197" s="7">
        <v>49</v>
      </c>
      <c r="E197" s="7">
        <f t="shared" si="8"/>
        <v>37</v>
      </c>
      <c r="F197" s="279">
        <v>50</v>
      </c>
      <c r="G197" s="279">
        <v>50</v>
      </c>
      <c r="H197" s="280" t="str">
        <f t="shared" si="7"/>
        <v>Pass</v>
      </c>
      <c r="I197" s="7">
        <v>1340</v>
      </c>
      <c r="J197" s="7" t="s">
        <v>50</v>
      </c>
      <c r="K197" s="7" t="s">
        <v>267</v>
      </c>
    </row>
    <row r="198" spans="1:11" ht="14.1" hidden="1" customHeight="1" x14ac:dyDescent="0.3">
      <c r="A198" s="278">
        <v>43460</v>
      </c>
      <c r="B198" s="7" t="s">
        <v>27</v>
      </c>
      <c r="C198" s="7">
        <v>28</v>
      </c>
      <c r="D198" s="7">
        <v>105</v>
      </c>
      <c r="E198" s="7">
        <f t="shared" si="8"/>
        <v>77</v>
      </c>
      <c r="F198" s="279">
        <v>50</v>
      </c>
      <c r="G198" s="279">
        <v>50</v>
      </c>
      <c r="H198" s="280" t="str">
        <f t="shared" si="7"/>
        <v>Fail</v>
      </c>
      <c r="I198" s="7">
        <v>74</v>
      </c>
      <c r="J198" s="7" t="s">
        <v>29</v>
      </c>
      <c r="K198" s="7"/>
    </row>
    <row r="199" spans="1:11" ht="14.1" hidden="1" customHeight="1" x14ac:dyDescent="0.3">
      <c r="A199" s="278">
        <v>43460</v>
      </c>
      <c r="B199" s="7" t="s">
        <v>27</v>
      </c>
      <c r="C199" s="7">
        <v>8</v>
      </c>
      <c r="D199" s="7">
        <v>62</v>
      </c>
      <c r="E199" s="7">
        <f t="shared" si="8"/>
        <v>54</v>
      </c>
      <c r="F199" s="279">
        <v>50</v>
      </c>
      <c r="G199" s="279">
        <v>50</v>
      </c>
      <c r="H199" s="280" t="str">
        <f t="shared" si="7"/>
        <v>Fail</v>
      </c>
      <c r="I199" s="7">
        <v>102</v>
      </c>
      <c r="J199" s="7" t="s">
        <v>155</v>
      </c>
      <c r="K199" s="7"/>
    </row>
    <row r="200" spans="1:11" ht="14.1" hidden="1" customHeight="1" x14ac:dyDescent="0.3">
      <c r="A200" s="278">
        <v>43461</v>
      </c>
      <c r="B200" s="7" t="s">
        <v>27</v>
      </c>
      <c r="C200" s="7">
        <v>10</v>
      </c>
      <c r="D200" s="7">
        <v>31</v>
      </c>
      <c r="E200" s="7">
        <f t="shared" si="8"/>
        <v>21</v>
      </c>
      <c r="F200" s="279">
        <v>50</v>
      </c>
      <c r="G200" s="279">
        <v>50</v>
      </c>
      <c r="H200" s="280" t="str">
        <f t="shared" si="7"/>
        <v>Pass</v>
      </c>
      <c r="I200" s="7">
        <v>1340</v>
      </c>
      <c r="J200" s="7"/>
      <c r="K200" s="7" t="s">
        <v>37</v>
      </c>
    </row>
    <row r="201" spans="1:11" ht="14.1" hidden="1" customHeight="1" x14ac:dyDescent="0.3">
      <c r="A201" s="278">
        <v>43465</v>
      </c>
      <c r="B201" s="7" t="s">
        <v>27</v>
      </c>
      <c r="C201" s="7">
        <v>34</v>
      </c>
      <c r="D201" s="7">
        <v>83</v>
      </c>
      <c r="E201" s="7">
        <f t="shared" si="8"/>
        <v>49</v>
      </c>
      <c r="F201" s="279">
        <v>50</v>
      </c>
      <c r="G201" s="279">
        <v>50</v>
      </c>
      <c r="H201" s="280" t="str">
        <f t="shared" ref="H201:H236" si="9">IF(E201="","",IF(E201&lt;=50,"Pass","Fail"))</f>
        <v>Pass</v>
      </c>
      <c r="I201" s="7">
        <v>121</v>
      </c>
      <c r="J201" s="7" t="s">
        <v>156</v>
      </c>
      <c r="K201" s="7"/>
    </row>
    <row r="202" spans="1:11" ht="14.1" customHeight="1" x14ac:dyDescent="0.3">
      <c r="A202" s="278">
        <v>43476</v>
      </c>
      <c r="B202" s="7" t="s">
        <v>27</v>
      </c>
      <c r="C202" s="7">
        <v>29</v>
      </c>
      <c r="D202" s="7">
        <v>27</v>
      </c>
      <c r="E202" s="7">
        <f t="shared" si="8"/>
        <v>-2</v>
      </c>
      <c r="F202" s="279">
        <v>50</v>
      </c>
      <c r="G202" s="279">
        <v>50</v>
      </c>
      <c r="H202" s="280" t="str">
        <f t="shared" si="9"/>
        <v>Pass</v>
      </c>
      <c r="I202" s="7">
        <v>74</v>
      </c>
      <c r="J202" s="7"/>
      <c r="K202" s="7"/>
    </row>
    <row r="203" spans="1:11" ht="14.1" customHeight="1" x14ac:dyDescent="0.3">
      <c r="A203" s="278">
        <v>43476</v>
      </c>
      <c r="B203" s="7" t="s">
        <v>27</v>
      </c>
      <c r="C203" s="7">
        <v>17</v>
      </c>
      <c r="D203" s="7">
        <v>26</v>
      </c>
      <c r="E203" s="7">
        <f t="shared" si="8"/>
        <v>9</v>
      </c>
      <c r="F203" s="279">
        <v>50</v>
      </c>
      <c r="G203" s="279">
        <v>50</v>
      </c>
      <c r="H203" s="280" t="str">
        <f t="shared" si="9"/>
        <v>Pass</v>
      </c>
      <c r="I203" s="7">
        <v>1340</v>
      </c>
      <c r="J203" s="7"/>
      <c r="K203" s="7"/>
    </row>
    <row r="204" spans="1:11" ht="14.1" customHeight="1" x14ac:dyDescent="0.3">
      <c r="A204" s="278">
        <v>43480</v>
      </c>
      <c r="B204" s="7" t="s">
        <v>27</v>
      </c>
      <c r="C204" s="7">
        <v>36</v>
      </c>
      <c r="D204" s="7">
        <v>20</v>
      </c>
      <c r="E204" s="7">
        <f t="shared" si="8"/>
        <v>-16</v>
      </c>
      <c r="F204" s="279">
        <v>50</v>
      </c>
      <c r="G204" s="279">
        <v>50</v>
      </c>
      <c r="H204" s="280" t="str">
        <f t="shared" si="9"/>
        <v>Pass</v>
      </c>
      <c r="I204" s="7">
        <v>1340</v>
      </c>
      <c r="J204" s="7"/>
      <c r="K204" s="7"/>
    </row>
    <row r="205" spans="1:11" ht="14.1" customHeight="1" x14ac:dyDescent="0.3">
      <c r="A205" s="278">
        <v>43486</v>
      </c>
      <c r="B205" s="7" t="s">
        <v>27</v>
      </c>
      <c r="C205" s="7">
        <v>17</v>
      </c>
      <c r="D205" s="7">
        <v>31</v>
      </c>
      <c r="E205" s="7">
        <f t="shared" si="8"/>
        <v>14</v>
      </c>
      <c r="F205" s="279">
        <v>50</v>
      </c>
      <c r="G205" s="279">
        <v>50</v>
      </c>
      <c r="H205" s="280" t="str">
        <f t="shared" si="9"/>
        <v>Pass</v>
      </c>
      <c r="I205" s="7">
        <v>1428</v>
      </c>
      <c r="J205" s="7"/>
      <c r="K205" s="7"/>
    </row>
    <row r="206" spans="1:11" ht="14.1" customHeight="1" x14ac:dyDescent="0.3">
      <c r="A206" s="278">
        <v>43489</v>
      </c>
      <c r="B206" s="7" t="s">
        <v>27</v>
      </c>
      <c r="C206" s="7">
        <v>36</v>
      </c>
      <c r="D206" s="7">
        <v>45</v>
      </c>
      <c r="E206" s="7">
        <f t="shared" si="8"/>
        <v>9</v>
      </c>
      <c r="F206" s="279">
        <v>50</v>
      </c>
      <c r="G206" s="279">
        <v>50</v>
      </c>
      <c r="H206" s="280" t="str">
        <f t="shared" si="9"/>
        <v>Pass</v>
      </c>
      <c r="I206" s="7">
        <v>1340</v>
      </c>
      <c r="J206" s="7"/>
      <c r="K206" s="7"/>
    </row>
    <row r="207" spans="1:11" ht="14.1" customHeight="1" x14ac:dyDescent="0.3">
      <c r="A207" s="278">
        <v>43497</v>
      </c>
      <c r="B207" s="7" t="s">
        <v>27</v>
      </c>
      <c r="C207" s="7">
        <v>11</v>
      </c>
      <c r="D207" s="7">
        <v>25</v>
      </c>
      <c r="E207" s="7">
        <f t="shared" si="8"/>
        <v>14</v>
      </c>
      <c r="F207" s="279">
        <v>50</v>
      </c>
      <c r="G207" s="279">
        <v>50</v>
      </c>
      <c r="H207" s="280" t="str">
        <f t="shared" si="9"/>
        <v>Pass</v>
      </c>
      <c r="I207" s="7">
        <v>1159</v>
      </c>
      <c r="J207" s="7" t="s">
        <v>157</v>
      </c>
      <c r="K207" s="7"/>
    </row>
    <row r="208" spans="1:11" ht="14.1" customHeight="1" x14ac:dyDescent="0.3">
      <c r="A208" s="278">
        <v>43503</v>
      </c>
      <c r="B208" s="7" t="s">
        <v>27</v>
      </c>
      <c r="C208" s="9">
        <v>28</v>
      </c>
      <c r="D208" s="9">
        <v>22</v>
      </c>
      <c r="E208" s="9">
        <f t="shared" si="8"/>
        <v>-6</v>
      </c>
      <c r="F208" s="7">
        <v>50</v>
      </c>
      <c r="G208" s="7">
        <v>50</v>
      </c>
      <c r="H208" s="280" t="str">
        <f t="shared" si="9"/>
        <v>Pass</v>
      </c>
      <c r="I208" s="7">
        <v>1340</v>
      </c>
      <c r="J208" s="7"/>
      <c r="K208" s="7"/>
    </row>
    <row r="209" spans="1:11" ht="14.1" customHeight="1" x14ac:dyDescent="0.3">
      <c r="A209" s="278">
        <v>43507</v>
      </c>
      <c r="B209" s="7" t="s">
        <v>27</v>
      </c>
      <c r="C209" s="7">
        <v>12</v>
      </c>
      <c r="D209" s="7">
        <v>28</v>
      </c>
      <c r="E209" s="7">
        <f t="shared" si="8"/>
        <v>16</v>
      </c>
      <c r="F209" s="279">
        <v>50</v>
      </c>
      <c r="G209" s="279">
        <v>50</v>
      </c>
      <c r="H209" s="280" t="str">
        <f t="shared" si="9"/>
        <v>Pass</v>
      </c>
      <c r="I209" s="7">
        <v>1159</v>
      </c>
      <c r="J209" s="7" t="s">
        <v>158</v>
      </c>
      <c r="K209" s="7"/>
    </row>
    <row r="210" spans="1:11" ht="14.1" customHeight="1" x14ac:dyDescent="0.3">
      <c r="A210" s="278">
        <v>43510</v>
      </c>
      <c r="B210" s="7" t="s">
        <v>27</v>
      </c>
      <c r="C210" s="9">
        <v>16</v>
      </c>
      <c r="D210" s="9">
        <v>23</v>
      </c>
      <c r="E210" s="9">
        <f t="shared" si="8"/>
        <v>7</v>
      </c>
      <c r="F210" s="279">
        <v>50</v>
      </c>
      <c r="G210" s="279">
        <v>50</v>
      </c>
      <c r="H210" s="280" t="str">
        <f t="shared" si="9"/>
        <v>Pass</v>
      </c>
      <c r="I210" s="7">
        <v>121</v>
      </c>
      <c r="J210" s="7"/>
      <c r="K210" s="7"/>
    </row>
    <row r="211" spans="1:11" ht="14.1" customHeight="1" x14ac:dyDescent="0.3">
      <c r="A211" s="278">
        <v>43514</v>
      </c>
      <c r="B211" s="9" t="s">
        <v>27</v>
      </c>
      <c r="C211" s="9">
        <v>7</v>
      </c>
      <c r="D211" s="9">
        <v>7</v>
      </c>
      <c r="E211" s="9">
        <f t="shared" si="8"/>
        <v>0</v>
      </c>
      <c r="F211" s="279">
        <v>50</v>
      </c>
      <c r="G211" s="279">
        <v>50</v>
      </c>
      <c r="H211" s="280" t="str">
        <f t="shared" si="9"/>
        <v>Pass</v>
      </c>
      <c r="I211" s="7">
        <v>74</v>
      </c>
      <c r="J211" s="7"/>
      <c r="K211" s="7"/>
    </row>
    <row r="212" spans="1:11" ht="14.1" customHeight="1" x14ac:dyDescent="0.3">
      <c r="A212" s="278">
        <v>43517</v>
      </c>
      <c r="B212" s="9" t="s">
        <v>27</v>
      </c>
      <c r="C212" s="9">
        <v>20</v>
      </c>
      <c r="D212" s="9">
        <v>54</v>
      </c>
      <c r="E212" s="9">
        <f t="shared" si="8"/>
        <v>34</v>
      </c>
      <c r="F212" s="279">
        <v>50</v>
      </c>
      <c r="G212" s="279">
        <v>50</v>
      </c>
      <c r="H212" s="280" t="str">
        <f t="shared" si="9"/>
        <v>Pass</v>
      </c>
      <c r="I212" s="7">
        <v>1428</v>
      </c>
      <c r="J212" s="7"/>
      <c r="K212" s="7"/>
    </row>
    <row r="213" spans="1:11" ht="14.1" customHeight="1" x14ac:dyDescent="0.3">
      <c r="A213" s="278">
        <v>43521</v>
      </c>
      <c r="B213" s="9" t="s">
        <v>27</v>
      </c>
      <c r="C213" s="7">
        <v>16</v>
      </c>
      <c r="D213" s="7">
        <v>17</v>
      </c>
      <c r="E213" s="9">
        <f t="shared" si="8"/>
        <v>1</v>
      </c>
      <c r="F213" s="279">
        <v>50</v>
      </c>
      <c r="G213" s="279">
        <v>50</v>
      </c>
      <c r="H213" s="280" t="str">
        <f t="shared" si="9"/>
        <v>Pass</v>
      </c>
      <c r="I213" s="7">
        <v>121</v>
      </c>
      <c r="J213" s="7"/>
      <c r="K213" s="7"/>
    </row>
    <row r="214" spans="1:11" ht="14.1" customHeight="1" x14ac:dyDescent="0.3">
      <c r="A214" s="278">
        <v>43528</v>
      </c>
      <c r="B214" s="9" t="s">
        <v>27</v>
      </c>
      <c r="C214" s="7">
        <v>30</v>
      </c>
      <c r="D214" s="7">
        <v>29</v>
      </c>
      <c r="E214" s="9">
        <f t="shared" si="8"/>
        <v>-1</v>
      </c>
      <c r="F214" s="279">
        <v>50</v>
      </c>
      <c r="G214" s="279">
        <v>50</v>
      </c>
      <c r="H214" s="280" t="str">
        <f t="shared" si="9"/>
        <v>Pass</v>
      </c>
      <c r="I214" s="7">
        <v>74</v>
      </c>
      <c r="J214" s="7"/>
      <c r="K214" s="7"/>
    </row>
    <row r="215" spans="1:11" ht="14.1" customHeight="1" x14ac:dyDescent="0.3">
      <c r="A215" s="278">
        <v>43531</v>
      </c>
      <c r="B215" s="9" t="s">
        <v>27</v>
      </c>
      <c r="C215" s="7">
        <v>18</v>
      </c>
      <c r="D215" s="7">
        <v>17</v>
      </c>
      <c r="E215" s="9">
        <f t="shared" si="8"/>
        <v>-1</v>
      </c>
      <c r="F215" s="279">
        <v>50</v>
      </c>
      <c r="G215" s="279">
        <v>50</v>
      </c>
      <c r="H215" s="280" t="str">
        <f t="shared" si="9"/>
        <v>Pass</v>
      </c>
      <c r="I215" s="7">
        <v>1340</v>
      </c>
      <c r="J215" s="7"/>
      <c r="K215" s="7"/>
    </row>
    <row r="216" spans="1:11" ht="14.1" customHeight="1" x14ac:dyDescent="0.3">
      <c r="A216" s="278">
        <v>43535</v>
      </c>
      <c r="B216" s="9" t="s">
        <v>27</v>
      </c>
      <c r="C216" s="7">
        <v>6</v>
      </c>
      <c r="D216" s="7">
        <v>12</v>
      </c>
      <c r="E216" s="9">
        <f t="shared" si="8"/>
        <v>6</v>
      </c>
      <c r="F216" s="279">
        <v>50</v>
      </c>
      <c r="G216" s="279">
        <v>50</v>
      </c>
      <c r="H216" s="280" t="str">
        <f t="shared" si="9"/>
        <v>Pass</v>
      </c>
      <c r="I216" s="7">
        <v>74</v>
      </c>
      <c r="J216" s="7"/>
      <c r="K216" s="7"/>
    </row>
    <row r="217" spans="1:11" ht="14.1" customHeight="1" x14ac:dyDescent="0.3">
      <c r="A217" s="278">
        <v>43538</v>
      </c>
      <c r="B217" s="9" t="s">
        <v>27</v>
      </c>
      <c r="C217" s="7">
        <v>10</v>
      </c>
      <c r="D217" s="7">
        <v>13</v>
      </c>
      <c r="E217" s="9">
        <f t="shared" si="8"/>
        <v>3</v>
      </c>
      <c r="F217" s="279">
        <v>50</v>
      </c>
      <c r="G217" s="279">
        <v>50</v>
      </c>
      <c r="H217" s="280" t="str">
        <f t="shared" si="9"/>
        <v>Pass</v>
      </c>
      <c r="I217" s="7">
        <v>121</v>
      </c>
      <c r="J217" s="7"/>
      <c r="K217" s="7"/>
    </row>
    <row r="218" spans="1:11" ht="14.1" customHeight="1" x14ac:dyDescent="0.3">
      <c r="A218" s="278">
        <v>43542</v>
      </c>
      <c r="B218" s="9" t="s">
        <v>27</v>
      </c>
      <c r="C218" s="9">
        <v>26</v>
      </c>
      <c r="D218" s="9">
        <v>33</v>
      </c>
      <c r="E218" s="9">
        <f t="shared" si="8"/>
        <v>7</v>
      </c>
      <c r="F218" s="7">
        <v>50</v>
      </c>
      <c r="G218" s="7">
        <v>50</v>
      </c>
      <c r="H218" s="280" t="str">
        <f t="shared" si="9"/>
        <v>Pass</v>
      </c>
      <c r="I218" s="7">
        <v>1428</v>
      </c>
      <c r="J218" s="7"/>
      <c r="K218" s="7"/>
    </row>
    <row r="219" spans="1:11" ht="14.1" customHeight="1" x14ac:dyDescent="0.3">
      <c r="A219" s="278">
        <v>43546</v>
      </c>
      <c r="B219" s="9" t="s">
        <v>27</v>
      </c>
      <c r="C219" s="9">
        <v>14</v>
      </c>
      <c r="D219" s="9">
        <v>21</v>
      </c>
      <c r="E219" s="9">
        <f t="shared" si="8"/>
        <v>7</v>
      </c>
      <c r="F219" s="7">
        <v>50</v>
      </c>
      <c r="G219" s="7">
        <v>50</v>
      </c>
      <c r="H219" s="280" t="str">
        <f t="shared" si="9"/>
        <v>Pass</v>
      </c>
      <c r="I219" s="7">
        <v>1340</v>
      </c>
      <c r="J219" s="7"/>
      <c r="K219" s="7"/>
    </row>
    <row r="220" spans="1:11" ht="14.1" customHeight="1" x14ac:dyDescent="0.3">
      <c r="A220" s="278">
        <v>43549</v>
      </c>
      <c r="B220" s="9" t="s">
        <v>27</v>
      </c>
      <c r="C220" s="7">
        <v>35</v>
      </c>
      <c r="D220" s="7">
        <v>42</v>
      </c>
      <c r="E220" s="9">
        <f t="shared" si="8"/>
        <v>7</v>
      </c>
      <c r="F220" s="279">
        <v>50</v>
      </c>
      <c r="G220" s="279">
        <v>50</v>
      </c>
      <c r="H220" s="280" t="str">
        <f t="shared" si="9"/>
        <v>Pass</v>
      </c>
      <c r="I220" s="7">
        <v>74</v>
      </c>
      <c r="J220" s="7" t="s">
        <v>159</v>
      </c>
      <c r="K220" s="7" t="s">
        <v>160</v>
      </c>
    </row>
    <row r="221" spans="1:11" ht="14.1" customHeight="1" x14ac:dyDescent="0.3">
      <c r="A221" s="278">
        <v>43552</v>
      </c>
      <c r="B221" s="9" t="s">
        <v>27</v>
      </c>
      <c r="C221" s="9">
        <v>42</v>
      </c>
      <c r="D221" s="9">
        <v>53</v>
      </c>
      <c r="E221" s="9">
        <f t="shared" si="8"/>
        <v>11</v>
      </c>
      <c r="F221" s="279">
        <v>50</v>
      </c>
      <c r="G221" s="279">
        <v>50</v>
      </c>
      <c r="H221" s="280" t="str">
        <f t="shared" si="9"/>
        <v>Pass</v>
      </c>
      <c r="I221" s="7">
        <v>121</v>
      </c>
      <c r="J221" s="7"/>
      <c r="K221" s="7"/>
    </row>
    <row r="222" spans="1:11" ht="14.1" customHeight="1" x14ac:dyDescent="0.3">
      <c r="A222" s="278">
        <v>43556</v>
      </c>
      <c r="B222" s="9" t="s">
        <v>27</v>
      </c>
      <c r="C222" s="9">
        <v>22</v>
      </c>
      <c r="D222" s="9">
        <v>57</v>
      </c>
      <c r="E222" s="9">
        <f t="shared" si="8"/>
        <v>35</v>
      </c>
      <c r="F222" s="7">
        <v>50</v>
      </c>
      <c r="G222" s="7">
        <v>50</v>
      </c>
      <c r="H222" s="280" t="str">
        <f t="shared" si="9"/>
        <v>Pass</v>
      </c>
      <c r="I222" s="7">
        <v>1340</v>
      </c>
      <c r="J222" s="7" t="s">
        <v>50</v>
      </c>
      <c r="K222" s="7"/>
    </row>
    <row r="223" spans="1:11" ht="14.1" customHeight="1" x14ac:dyDescent="0.3">
      <c r="A223" s="278">
        <v>43559</v>
      </c>
      <c r="B223" s="9" t="s">
        <v>27</v>
      </c>
      <c r="C223" s="9">
        <v>3</v>
      </c>
      <c r="D223" s="9">
        <v>8</v>
      </c>
      <c r="E223" s="9">
        <f t="shared" si="8"/>
        <v>5</v>
      </c>
      <c r="F223" s="7">
        <v>50</v>
      </c>
      <c r="G223" s="7">
        <v>50</v>
      </c>
      <c r="H223" s="280" t="str">
        <f t="shared" si="9"/>
        <v>Pass</v>
      </c>
      <c r="I223" s="7">
        <v>1340</v>
      </c>
      <c r="J223" s="7" t="s">
        <v>37</v>
      </c>
      <c r="K223" s="7"/>
    </row>
    <row r="224" spans="1:11" ht="14.1" customHeight="1" x14ac:dyDescent="0.3">
      <c r="A224" s="278">
        <v>43563</v>
      </c>
      <c r="B224" s="9" t="s">
        <v>27</v>
      </c>
      <c r="C224" s="7">
        <v>9</v>
      </c>
      <c r="D224" s="7">
        <v>13</v>
      </c>
      <c r="E224" s="9">
        <f t="shared" si="8"/>
        <v>4</v>
      </c>
      <c r="F224" s="279">
        <v>50</v>
      </c>
      <c r="G224" s="279">
        <v>50</v>
      </c>
      <c r="H224" s="280" t="str">
        <f t="shared" si="9"/>
        <v>Pass</v>
      </c>
      <c r="I224" s="7">
        <v>1159</v>
      </c>
      <c r="J224" s="7" t="s">
        <v>161</v>
      </c>
      <c r="K224" s="7"/>
    </row>
    <row r="225" spans="1:11" ht="14.1" customHeight="1" x14ac:dyDescent="0.3">
      <c r="A225" s="278">
        <v>43568</v>
      </c>
      <c r="B225" s="9" t="s">
        <v>27</v>
      </c>
      <c r="C225" s="9">
        <v>11</v>
      </c>
      <c r="D225" s="9">
        <v>13</v>
      </c>
      <c r="E225" s="9">
        <f t="shared" si="8"/>
        <v>2</v>
      </c>
      <c r="F225" s="7">
        <v>50</v>
      </c>
      <c r="G225" s="7">
        <v>50</v>
      </c>
      <c r="H225" s="280" t="str">
        <f t="shared" si="9"/>
        <v>Pass</v>
      </c>
      <c r="I225" s="7">
        <v>1428</v>
      </c>
      <c r="J225" s="7"/>
      <c r="K225" s="7"/>
    </row>
    <row r="226" spans="1:11" ht="14.1" customHeight="1" x14ac:dyDescent="0.3">
      <c r="A226" s="278">
        <v>43577</v>
      </c>
      <c r="B226" s="9" t="s">
        <v>27</v>
      </c>
      <c r="C226" s="9">
        <v>27</v>
      </c>
      <c r="D226" s="9">
        <v>105</v>
      </c>
      <c r="E226" s="9">
        <f t="shared" si="8"/>
        <v>78</v>
      </c>
      <c r="F226" s="7">
        <v>50</v>
      </c>
      <c r="G226" s="7">
        <v>50</v>
      </c>
      <c r="H226" s="280" t="str">
        <f t="shared" si="9"/>
        <v>Fail</v>
      </c>
      <c r="I226" s="7">
        <v>1428</v>
      </c>
      <c r="J226" s="7"/>
      <c r="K226" s="7"/>
    </row>
    <row r="227" spans="1:11" ht="14.1" customHeight="1" x14ac:dyDescent="0.3">
      <c r="A227" s="278">
        <v>43577</v>
      </c>
      <c r="B227" s="9" t="s">
        <v>27</v>
      </c>
      <c r="C227" s="9">
        <v>21</v>
      </c>
      <c r="D227" s="9">
        <v>28</v>
      </c>
      <c r="E227" s="9">
        <f t="shared" si="8"/>
        <v>7</v>
      </c>
      <c r="F227" s="7">
        <v>50</v>
      </c>
      <c r="G227" s="7">
        <v>50</v>
      </c>
      <c r="H227" s="280" t="str">
        <f t="shared" si="9"/>
        <v>Pass</v>
      </c>
      <c r="I227" s="7">
        <v>1428</v>
      </c>
      <c r="J227" s="7"/>
      <c r="K227" s="7"/>
    </row>
    <row r="228" spans="1:11" ht="14.1" customHeight="1" x14ac:dyDescent="0.3">
      <c r="A228" s="278">
        <v>43577</v>
      </c>
      <c r="B228" s="9" t="s">
        <v>27</v>
      </c>
      <c r="C228" s="7">
        <v>30</v>
      </c>
      <c r="D228" s="7">
        <v>31</v>
      </c>
      <c r="E228" s="9">
        <f t="shared" si="8"/>
        <v>1</v>
      </c>
      <c r="F228" s="279">
        <v>50</v>
      </c>
      <c r="G228" s="279">
        <v>50</v>
      </c>
      <c r="H228" s="280" t="str">
        <f t="shared" si="9"/>
        <v>Pass</v>
      </c>
      <c r="I228" s="7">
        <v>121</v>
      </c>
      <c r="J228" s="7" t="s">
        <v>162</v>
      </c>
      <c r="K228" s="7"/>
    </row>
    <row r="229" spans="1:11" ht="14.1" customHeight="1" x14ac:dyDescent="0.3">
      <c r="A229" s="278">
        <v>43581</v>
      </c>
      <c r="B229" s="9" t="s">
        <v>27</v>
      </c>
      <c r="C229" s="9">
        <v>19</v>
      </c>
      <c r="D229" s="9">
        <v>17</v>
      </c>
      <c r="E229" s="9">
        <f t="shared" si="8"/>
        <v>-2</v>
      </c>
      <c r="F229" s="279">
        <v>50</v>
      </c>
      <c r="G229" s="279">
        <v>50</v>
      </c>
      <c r="H229" s="280" t="str">
        <f t="shared" si="9"/>
        <v>Pass</v>
      </c>
      <c r="I229" s="7">
        <v>74</v>
      </c>
      <c r="J229" s="7" t="s">
        <v>163</v>
      </c>
      <c r="K229" s="7"/>
    </row>
    <row r="230" spans="1:11" ht="14.1" customHeight="1" x14ac:dyDescent="0.3">
      <c r="A230" s="278">
        <v>43585</v>
      </c>
      <c r="B230" s="9" t="s">
        <v>27</v>
      </c>
      <c r="C230" s="9">
        <v>10</v>
      </c>
      <c r="D230" s="9">
        <v>10</v>
      </c>
      <c r="E230" s="9">
        <f t="shared" si="8"/>
        <v>0</v>
      </c>
      <c r="F230" s="279">
        <v>50</v>
      </c>
      <c r="G230" s="279">
        <v>50</v>
      </c>
      <c r="H230" s="280" t="str">
        <f t="shared" si="9"/>
        <v>Pass</v>
      </c>
      <c r="I230" s="7">
        <v>1340</v>
      </c>
      <c r="J230" s="7" t="s">
        <v>164</v>
      </c>
      <c r="K230" s="7"/>
    </row>
    <row r="231" spans="1:11" ht="14.1" customHeight="1" x14ac:dyDescent="0.3">
      <c r="A231" s="278">
        <v>43588</v>
      </c>
      <c r="B231" s="9" t="s">
        <v>27</v>
      </c>
      <c r="C231" s="9">
        <v>28</v>
      </c>
      <c r="D231" s="9">
        <v>34</v>
      </c>
      <c r="E231" s="9">
        <f t="shared" si="8"/>
        <v>6</v>
      </c>
      <c r="F231" s="279">
        <v>50</v>
      </c>
      <c r="G231" s="279">
        <v>50</v>
      </c>
      <c r="H231" s="280" t="str">
        <f t="shared" si="9"/>
        <v>Pass</v>
      </c>
      <c r="I231" s="7">
        <v>1340</v>
      </c>
      <c r="J231" s="7"/>
      <c r="K231" s="7"/>
    </row>
    <row r="232" spans="1:11" ht="14.1" customHeight="1" x14ac:dyDescent="0.3">
      <c r="A232" s="278">
        <v>43591</v>
      </c>
      <c r="B232" s="9" t="s">
        <v>27</v>
      </c>
      <c r="C232" s="9">
        <v>18</v>
      </c>
      <c r="D232" s="9">
        <v>20</v>
      </c>
      <c r="E232" s="9">
        <f t="shared" si="8"/>
        <v>2</v>
      </c>
      <c r="F232" s="7">
        <v>50</v>
      </c>
      <c r="G232" s="7">
        <v>50</v>
      </c>
      <c r="H232" s="280" t="str">
        <f t="shared" si="9"/>
        <v>Pass</v>
      </c>
      <c r="I232" s="7">
        <v>121</v>
      </c>
      <c r="J232" s="7" t="s">
        <v>165</v>
      </c>
      <c r="K232" s="7"/>
    </row>
    <row r="233" spans="1:11" s="256" customFormat="1" ht="14.1" customHeight="1" x14ac:dyDescent="0.3">
      <c r="A233" s="278">
        <v>43595</v>
      </c>
      <c r="B233" s="9" t="s">
        <v>27</v>
      </c>
      <c r="C233" s="9">
        <v>50</v>
      </c>
      <c r="D233" s="9">
        <v>49</v>
      </c>
      <c r="E233" s="9">
        <f t="shared" si="8"/>
        <v>-1</v>
      </c>
      <c r="F233" s="7">
        <v>50</v>
      </c>
      <c r="G233" s="7">
        <v>50</v>
      </c>
      <c r="H233" s="280" t="str">
        <f t="shared" si="9"/>
        <v>Pass</v>
      </c>
      <c r="I233" s="7">
        <v>102</v>
      </c>
      <c r="J233" s="7" t="s">
        <v>270</v>
      </c>
      <c r="K233" s="291"/>
    </row>
    <row r="234" spans="1:11" s="256" customFormat="1" ht="14.1" customHeight="1" x14ac:dyDescent="0.3">
      <c r="A234" s="278">
        <v>43605</v>
      </c>
      <c r="B234" s="9" t="s">
        <v>27</v>
      </c>
      <c r="C234" s="9">
        <v>27</v>
      </c>
      <c r="D234" s="9">
        <v>33</v>
      </c>
      <c r="E234" s="9">
        <f t="shared" si="8"/>
        <v>6</v>
      </c>
      <c r="F234" s="7">
        <v>50</v>
      </c>
      <c r="G234" s="7">
        <v>50</v>
      </c>
      <c r="H234" s="280" t="str">
        <f t="shared" si="9"/>
        <v>Pass</v>
      </c>
      <c r="I234" s="7">
        <v>74</v>
      </c>
      <c r="J234" s="7" t="s">
        <v>271</v>
      </c>
      <c r="K234" s="291"/>
    </row>
    <row r="235" spans="1:11" s="256" customFormat="1" ht="14.1" customHeight="1" x14ac:dyDescent="0.3">
      <c r="A235" s="278">
        <v>43608</v>
      </c>
      <c r="B235" s="9" t="s">
        <v>27</v>
      </c>
      <c r="C235" s="9">
        <v>11</v>
      </c>
      <c r="D235" s="9">
        <v>32</v>
      </c>
      <c r="E235" s="9">
        <f t="shared" si="8"/>
        <v>21</v>
      </c>
      <c r="F235" s="7">
        <v>50</v>
      </c>
      <c r="G235" s="7">
        <v>50</v>
      </c>
      <c r="H235" s="280" t="str">
        <f t="shared" si="9"/>
        <v>Pass</v>
      </c>
      <c r="I235" s="7">
        <v>1159</v>
      </c>
      <c r="J235" s="7" t="s">
        <v>272</v>
      </c>
      <c r="K235" s="291"/>
    </row>
    <row r="236" spans="1:11" ht="14.1" customHeight="1" x14ac:dyDescent="0.3">
      <c r="A236" s="278">
        <v>43612</v>
      </c>
      <c r="B236" s="9" t="s">
        <v>27</v>
      </c>
      <c r="C236" s="7">
        <v>13</v>
      </c>
      <c r="D236" s="7">
        <v>14</v>
      </c>
      <c r="E236" s="7">
        <f t="shared" si="8"/>
        <v>1</v>
      </c>
      <c r="F236" s="7">
        <v>50</v>
      </c>
      <c r="G236" s="7">
        <v>50</v>
      </c>
      <c r="H236" s="280" t="str">
        <f t="shared" si="9"/>
        <v>Pass</v>
      </c>
      <c r="I236" s="7">
        <v>1340</v>
      </c>
      <c r="J236" s="7" t="s">
        <v>274</v>
      </c>
      <c r="K236" s="7"/>
    </row>
    <row r="237" spans="1:11" ht="14.1" customHeight="1" x14ac:dyDescent="0.3">
      <c r="A237" s="278">
        <v>43615</v>
      </c>
      <c r="B237" s="9" t="s">
        <v>27</v>
      </c>
      <c r="C237" s="7">
        <v>15</v>
      </c>
      <c r="D237" s="7">
        <v>12</v>
      </c>
      <c r="E237" s="7">
        <f t="shared" si="8"/>
        <v>-3</v>
      </c>
      <c r="F237" s="7">
        <v>50</v>
      </c>
      <c r="G237" s="7">
        <v>50</v>
      </c>
      <c r="H237" s="280" t="str">
        <f t="shared" ref="H237:H253" si="10">IF(E237="","",IF(E237&lt;=50,"Pass","Fail"))</f>
        <v>Pass</v>
      </c>
      <c r="I237" s="7">
        <v>1340</v>
      </c>
      <c r="J237" s="7" t="s">
        <v>276</v>
      </c>
      <c r="K237" s="7"/>
    </row>
    <row r="238" spans="1:11" ht="14.1" customHeight="1" x14ac:dyDescent="0.3">
      <c r="A238" s="278">
        <v>43619</v>
      </c>
      <c r="B238" s="9" t="s">
        <v>27</v>
      </c>
      <c r="C238" s="7">
        <v>39</v>
      </c>
      <c r="D238" s="7">
        <v>53</v>
      </c>
      <c r="E238" s="7">
        <f t="shared" ref="E238:E253" si="11">IF(D238="","",(D238-C238))</f>
        <v>14</v>
      </c>
      <c r="F238" s="7">
        <v>50</v>
      </c>
      <c r="G238" s="7">
        <v>50</v>
      </c>
      <c r="H238" s="280" t="str">
        <f t="shared" si="10"/>
        <v>Pass</v>
      </c>
      <c r="I238" s="7">
        <v>1159</v>
      </c>
      <c r="J238" s="7" t="s">
        <v>278</v>
      </c>
      <c r="K238" s="7"/>
    </row>
    <row r="239" spans="1:11" ht="14.1" customHeight="1" x14ac:dyDescent="0.3">
      <c r="A239" s="278">
        <v>43622</v>
      </c>
      <c r="B239" s="9" t="s">
        <v>27</v>
      </c>
      <c r="C239" s="7">
        <v>25</v>
      </c>
      <c r="D239" s="7">
        <v>34</v>
      </c>
      <c r="E239" s="7">
        <f t="shared" si="11"/>
        <v>9</v>
      </c>
      <c r="F239" s="7">
        <v>50</v>
      </c>
      <c r="G239" s="7">
        <v>50</v>
      </c>
      <c r="H239" s="280" t="str">
        <f t="shared" si="10"/>
        <v>Pass</v>
      </c>
      <c r="I239" s="7">
        <v>121</v>
      </c>
      <c r="J239" s="7" t="s">
        <v>280</v>
      </c>
      <c r="K239" s="7"/>
    </row>
    <row r="240" spans="1:11" ht="14.1" customHeight="1" x14ac:dyDescent="0.3">
      <c r="A240" s="278">
        <v>43626</v>
      </c>
      <c r="B240" s="9" t="s">
        <v>27</v>
      </c>
      <c r="C240" s="7">
        <v>35</v>
      </c>
      <c r="D240" s="7">
        <v>47</v>
      </c>
      <c r="E240" s="7">
        <f t="shared" si="11"/>
        <v>12</v>
      </c>
      <c r="F240" s="7">
        <v>50</v>
      </c>
      <c r="G240" s="7">
        <v>50</v>
      </c>
      <c r="H240" s="280" t="str">
        <f t="shared" si="10"/>
        <v>Pass</v>
      </c>
      <c r="I240" s="7">
        <v>1428</v>
      </c>
      <c r="J240" s="7" t="s">
        <v>283</v>
      </c>
      <c r="K240" s="7"/>
    </row>
    <row r="241" spans="1:11" ht="14.1" customHeight="1" x14ac:dyDescent="0.3">
      <c r="A241" s="278">
        <v>43629</v>
      </c>
      <c r="B241" s="9" t="s">
        <v>27</v>
      </c>
      <c r="C241" s="7">
        <v>22</v>
      </c>
      <c r="D241" s="7">
        <v>42</v>
      </c>
      <c r="E241" s="7">
        <f t="shared" si="11"/>
        <v>20</v>
      </c>
      <c r="F241" s="7">
        <v>50</v>
      </c>
      <c r="G241" s="7">
        <v>50</v>
      </c>
      <c r="H241" s="280" t="str">
        <f t="shared" si="10"/>
        <v>Pass</v>
      </c>
      <c r="I241" s="7">
        <v>1428</v>
      </c>
      <c r="J241" s="7" t="s">
        <v>284</v>
      </c>
      <c r="K241" s="7"/>
    </row>
    <row r="242" spans="1:11" ht="14.1" customHeight="1" x14ac:dyDescent="0.3">
      <c r="A242" s="278">
        <v>43633</v>
      </c>
      <c r="B242" s="9" t="s">
        <v>27</v>
      </c>
      <c r="C242" s="10">
        <v>19</v>
      </c>
      <c r="D242" s="10">
        <v>13</v>
      </c>
      <c r="E242" s="10">
        <f t="shared" si="11"/>
        <v>-6</v>
      </c>
      <c r="F242" s="7">
        <v>50</v>
      </c>
      <c r="G242" s="7">
        <v>50</v>
      </c>
      <c r="H242" s="280" t="str">
        <f t="shared" si="10"/>
        <v>Pass</v>
      </c>
      <c r="I242" s="10">
        <v>1335</v>
      </c>
      <c r="J242" s="7" t="s">
        <v>286</v>
      </c>
    </row>
    <row r="243" spans="1:11" ht="14.1" customHeight="1" x14ac:dyDescent="0.3">
      <c r="A243" s="278">
        <v>43636</v>
      </c>
      <c r="B243" s="9" t="s">
        <v>27</v>
      </c>
      <c r="C243" s="7">
        <v>28</v>
      </c>
      <c r="D243" s="7">
        <v>42</v>
      </c>
      <c r="E243" s="7">
        <f t="shared" si="11"/>
        <v>14</v>
      </c>
      <c r="F243" s="7">
        <v>50</v>
      </c>
      <c r="G243" s="7">
        <v>50</v>
      </c>
      <c r="H243" s="280" t="str">
        <f t="shared" si="10"/>
        <v>Pass</v>
      </c>
      <c r="I243" s="7">
        <v>1159</v>
      </c>
      <c r="J243" s="7" t="s">
        <v>287</v>
      </c>
      <c r="K243" s="7"/>
    </row>
    <row r="244" spans="1:11" ht="14.1" customHeight="1" x14ac:dyDescent="0.3">
      <c r="A244" s="278">
        <v>43642</v>
      </c>
      <c r="B244" s="9" t="s">
        <v>27</v>
      </c>
      <c r="C244" s="7">
        <v>11</v>
      </c>
      <c r="D244" s="7">
        <v>13</v>
      </c>
      <c r="E244" s="7">
        <f t="shared" si="11"/>
        <v>2</v>
      </c>
      <c r="F244" s="7">
        <v>50</v>
      </c>
      <c r="G244" s="7">
        <v>50</v>
      </c>
      <c r="H244" s="280" t="str">
        <f t="shared" si="10"/>
        <v>Pass</v>
      </c>
      <c r="I244" s="7">
        <v>1340</v>
      </c>
      <c r="J244" s="7" t="s">
        <v>289</v>
      </c>
      <c r="K244" s="7"/>
    </row>
    <row r="245" spans="1:11" ht="14.1" customHeight="1" x14ac:dyDescent="0.3">
      <c r="A245" s="278">
        <v>43644</v>
      </c>
      <c r="B245" s="9" t="s">
        <v>27</v>
      </c>
      <c r="C245" s="7">
        <v>13</v>
      </c>
      <c r="D245" s="7">
        <v>903</v>
      </c>
      <c r="E245" s="7">
        <f t="shared" si="11"/>
        <v>890</v>
      </c>
      <c r="F245" s="7">
        <v>50</v>
      </c>
      <c r="G245" s="7">
        <v>50</v>
      </c>
      <c r="H245" s="280" t="str">
        <f t="shared" si="10"/>
        <v>Fail</v>
      </c>
      <c r="I245" s="7">
        <v>1159</v>
      </c>
      <c r="J245" s="7" t="s">
        <v>291</v>
      </c>
      <c r="K245" s="7" t="s">
        <v>298</v>
      </c>
    </row>
    <row r="246" spans="1:11" ht="14.1" customHeight="1" x14ac:dyDescent="0.3">
      <c r="A246" s="278">
        <v>43644</v>
      </c>
      <c r="B246" s="9" t="s">
        <v>27</v>
      </c>
      <c r="C246" s="7">
        <v>11</v>
      </c>
      <c r="D246" s="7">
        <v>880</v>
      </c>
      <c r="E246" s="7">
        <f t="shared" si="11"/>
        <v>869</v>
      </c>
      <c r="F246" s="7">
        <v>50</v>
      </c>
      <c r="G246" s="7">
        <v>50</v>
      </c>
      <c r="H246" s="280" t="str">
        <f t="shared" si="10"/>
        <v>Fail</v>
      </c>
      <c r="I246" s="7">
        <v>1159</v>
      </c>
      <c r="J246" s="7" t="s">
        <v>293</v>
      </c>
      <c r="K246" s="7"/>
    </row>
    <row r="247" spans="1:11" ht="14.1" customHeight="1" x14ac:dyDescent="0.3">
      <c r="A247" s="278">
        <v>43644</v>
      </c>
      <c r="B247" s="9" t="s">
        <v>27</v>
      </c>
      <c r="C247" s="7">
        <v>7</v>
      </c>
      <c r="D247" s="7">
        <v>432</v>
      </c>
      <c r="E247" s="7">
        <f t="shared" si="11"/>
        <v>425</v>
      </c>
      <c r="F247" s="7">
        <v>50</v>
      </c>
      <c r="G247" s="7">
        <v>50</v>
      </c>
      <c r="H247" s="280" t="str">
        <f t="shared" si="10"/>
        <v>Fail</v>
      </c>
      <c r="I247" s="7">
        <v>1159</v>
      </c>
      <c r="J247" s="7" t="s">
        <v>294</v>
      </c>
      <c r="K247" s="7"/>
    </row>
    <row r="248" spans="1:11" ht="14.1" customHeight="1" x14ac:dyDescent="0.3">
      <c r="A248" s="278">
        <v>43644</v>
      </c>
      <c r="B248" s="9" t="s">
        <v>27</v>
      </c>
      <c r="C248" s="7">
        <v>12</v>
      </c>
      <c r="D248" s="7">
        <v>503</v>
      </c>
      <c r="E248" s="7">
        <f t="shared" si="11"/>
        <v>491</v>
      </c>
      <c r="F248" s="7">
        <v>50</v>
      </c>
      <c r="G248" s="7">
        <v>50</v>
      </c>
      <c r="H248" s="280" t="str">
        <f t="shared" si="10"/>
        <v>Fail</v>
      </c>
      <c r="I248" s="7">
        <v>1159</v>
      </c>
      <c r="J248" s="7" t="s">
        <v>296</v>
      </c>
      <c r="K248" s="7"/>
    </row>
    <row r="249" spans="1:11" ht="14.1" customHeight="1" x14ac:dyDescent="0.3">
      <c r="A249" s="278">
        <v>43644</v>
      </c>
      <c r="B249" s="9" t="s">
        <v>27</v>
      </c>
      <c r="C249" s="7">
        <v>11</v>
      </c>
      <c r="D249" s="7">
        <v>434</v>
      </c>
      <c r="E249" s="7">
        <f t="shared" si="11"/>
        <v>423</v>
      </c>
      <c r="F249" s="7">
        <v>50</v>
      </c>
      <c r="G249" s="7">
        <v>50</v>
      </c>
      <c r="H249" s="280" t="str">
        <f t="shared" si="10"/>
        <v>Fail</v>
      </c>
      <c r="I249" s="7">
        <v>1159</v>
      </c>
      <c r="J249" s="7" t="s">
        <v>297</v>
      </c>
      <c r="K249" s="7" t="s">
        <v>295</v>
      </c>
    </row>
    <row r="250" spans="1:11" ht="14.1" customHeight="1" x14ac:dyDescent="0.3">
      <c r="A250" s="278">
        <v>43647</v>
      </c>
      <c r="B250" s="9" t="s">
        <v>27</v>
      </c>
      <c r="C250" s="7">
        <v>31</v>
      </c>
      <c r="D250" s="7">
        <v>76</v>
      </c>
      <c r="E250" s="7">
        <f t="shared" si="11"/>
        <v>45</v>
      </c>
      <c r="F250" s="7">
        <v>50</v>
      </c>
      <c r="G250" s="7">
        <v>50</v>
      </c>
      <c r="H250" s="280" t="str">
        <f t="shared" si="10"/>
        <v>Pass</v>
      </c>
      <c r="I250" s="7">
        <v>1159</v>
      </c>
      <c r="J250" s="7" t="s">
        <v>301</v>
      </c>
      <c r="K250" s="7"/>
    </row>
    <row r="251" spans="1:11" ht="14.1" customHeight="1" x14ac:dyDescent="0.3">
      <c r="A251" s="278">
        <v>43647</v>
      </c>
      <c r="B251" s="9" t="s">
        <v>27</v>
      </c>
      <c r="C251" s="7">
        <v>9</v>
      </c>
      <c r="D251" s="7">
        <v>50</v>
      </c>
      <c r="E251" s="7">
        <f t="shared" si="11"/>
        <v>41</v>
      </c>
      <c r="F251" s="7">
        <v>50</v>
      </c>
      <c r="G251" s="7">
        <v>50</v>
      </c>
      <c r="H251" s="280" t="str">
        <f t="shared" si="10"/>
        <v>Pass</v>
      </c>
      <c r="I251" s="7">
        <v>1428</v>
      </c>
      <c r="J251" s="7" t="s">
        <v>299</v>
      </c>
    </row>
    <row r="252" spans="1:11" ht="14.1" customHeight="1" x14ac:dyDescent="0.3">
      <c r="A252" s="300">
        <v>43650</v>
      </c>
      <c r="B252" s="301" t="s">
        <v>27</v>
      </c>
      <c r="C252" s="10">
        <v>13</v>
      </c>
      <c r="D252" s="10">
        <v>23</v>
      </c>
      <c r="E252" s="10">
        <f t="shared" si="11"/>
        <v>10</v>
      </c>
      <c r="F252" s="302">
        <v>50</v>
      </c>
      <c r="G252" s="302">
        <v>50</v>
      </c>
      <c r="H252" s="303" t="str">
        <f t="shared" si="10"/>
        <v>Pass</v>
      </c>
      <c r="I252" s="10" t="s">
        <v>302</v>
      </c>
      <c r="J252" s="302" t="s">
        <v>303</v>
      </c>
    </row>
    <row r="253" spans="1:11" ht="14.1" customHeight="1" x14ac:dyDescent="0.3">
      <c r="A253" s="300">
        <v>43654</v>
      </c>
      <c r="B253" s="9" t="s">
        <v>27</v>
      </c>
      <c r="C253" s="7">
        <v>11</v>
      </c>
      <c r="D253" s="7">
        <v>12</v>
      </c>
      <c r="E253" s="7">
        <f t="shared" si="11"/>
        <v>1</v>
      </c>
      <c r="F253" s="7">
        <v>50</v>
      </c>
      <c r="G253" s="7">
        <v>50</v>
      </c>
      <c r="H253" s="280" t="str">
        <f t="shared" si="10"/>
        <v>Pass</v>
      </c>
      <c r="I253" s="7">
        <v>1335</v>
      </c>
      <c r="J253" s="302" t="s">
        <v>304</v>
      </c>
      <c r="K253" s="7"/>
    </row>
    <row r="254" spans="1:11" ht="14.1" customHeight="1" x14ac:dyDescent="0.3">
      <c r="A254" s="300">
        <v>43657</v>
      </c>
      <c r="B254" s="9" t="s">
        <v>27</v>
      </c>
      <c r="C254" s="7">
        <v>35</v>
      </c>
      <c r="D254" s="7">
        <v>38</v>
      </c>
      <c r="E254" s="7">
        <f t="shared" ref="E254:E316" si="12">IF(D254="","",(D254-C254))</f>
        <v>3</v>
      </c>
      <c r="F254" s="7">
        <v>50</v>
      </c>
      <c r="G254" s="7">
        <v>50</v>
      </c>
      <c r="H254" s="280" t="str">
        <f t="shared" ref="H254:H316" si="13">IF(E254="","",IF(E254&lt;=50,"Pass","Fail"))</f>
        <v>Pass</v>
      </c>
      <c r="I254" s="7">
        <v>64</v>
      </c>
      <c r="J254" s="7"/>
      <c r="K254" s="7"/>
    </row>
    <row r="255" spans="1:11" ht="14.1" customHeight="1" x14ac:dyDescent="0.3">
      <c r="A255" s="300">
        <v>43660</v>
      </c>
      <c r="B255" s="9" t="s">
        <v>27</v>
      </c>
      <c r="C255" s="7">
        <v>21</v>
      </c>
      <c r="D255" s="7">
        <v>23</v>
      </c>
      <c r="E255" s="7">
        <f t="shared" si="12"/>
        <v>2</v>
      </c>
      <c r="F255" s="7">
        <v>50</v>
      </c>
      <c r="G255" s="7">
        <v>50</v>
      </c>
      <c r="H255" s="280" t="str">
        <f t="shared" si="13"/>
        <v>Pass</v>
      </c>
      <c r="I255" s="7">
        <v>74</v>
      </c>
      <c r="J255" s="302" t="s">
        <v>306</v>
      </c>
      <c r="K255" s="7"/>
    </row>
    <row r="256" spans="1:11" ht="14.1" customHeight="1" x14ac:dyDescent="0.3">
      <c r="A256" s="300">
        <v>43663</v>
      </c>
      <c r="B256" s="9" t="s">
        <v>27</v>
      </c>
      <c r="C256" s="7">
        <v>14</v>
      </c>
      <c r="D256" s="7">
        <v>20</v>
      </c>
      <c r="E256" s="7">
        <f t="shared" si="12"/>
        <v>6</v>
      </c>
      <c r="F256" s="7">
        <v>50</v>
      </c>
      <c r="G256" s="7">
        <v>50</v>
      </c>
      <c r="H256" s="280" t="str">
        <f t="shared" si="13"/>
        <v>Pass</v>
      </c>
      <c r="I256" s="7">
        <v>1335</v>
      </c>
      <c r="J256" s="302" t="s">
        <v>308</v>
      </c>
      <c r="K256" s="7"/>
    </row>
    <row r="257" spans="1:11" ht="14.1" customHeight="1" x14ac:dyDescent="0.3">
      <c r="A257" s="278">
        <v>43668</v>
      </c>
      <c r="B257" s="9" t="s">
        <v>27</v>
      </c>
      <c r="C257" s="7">
        <v>12</v>
      </c>
      <c r="D257" s="7">
        <v>13</v>
      </c>
      <c r="E257" s="7">
        <f t="shared" si="12"/>
        <v>1</v>
      </c>
      <c r="F257" s="7">
        <v>50</v>
      </c>
      <c r="G257" s="7">
        <v>50</v>
      </c>
      <c r="H257" s="280" t="str">
        <f t="shared" si="13"/>
        <v>Pass</v>
      </c>
      <c r="I257" s="7">
        <v>1340</v>
      </c>
      <c r="J257" s="302" t="s">
        <v>310</v>
      </c>
      <c r="K257" s="7"/>
    </row>
    <row r="258" spans="1:11" ht="14.1" customHeight="1" x14ac:dyDescent="0.3">
      <c r="A258" s="278">
        <v>43671</v>
      </c>
      <c r="B258" s="9" t="s">
        <v>27</v>
      </c>
      <c r="C258" s="7">
        <v>22</v>
      </c>
      <c r="D258" s="7">
        <v>23</v>
      </c>
      <c r="E258" s="7">
        <f t="shared" si="12"/>
        <v>1</v>
      </c>
      <c r="F258" s="7">
        <v>50</v>
      </c>
      <c r="G258" s="7">
        <v>50</v>
      </c>
      <c r="H258" s="280" t="str">
        <f t="shared" si="13"/>
        <v>Pass</v>
      </c>
      <c r="I258" s="7">
        <v>1340</v>
      </c>
      <c r="J258" s="302" t="s">
        <v>312</v>
      </c>
      <c r="K258" s="7"/>
    </row>
    <row r="259" spans="1:11" ht="14.1" customHeight="1" x14ac:dyDescent="0.3">
      <c r="A259" s="278">
        <v>43675</v>
      </c>
      <c r="B259" s="9" t="s">
        <v>27</v>
      </c>
      <c r="C259" s="7">
        <v>15</v>
      </c>
      <c r="D259" s="7">
        <v>22</v>
      </c>
      <c r="E259" s="7">
        <f>IF(D259="","",(D259-C259))</f>
        <v>7</v>
      </c>
      <c r="F259" s="7">
        <v>50</v>
      </c>
      <c r="G259" s="7">
        <v>50</v>
      </c>
      <c r="H259" s="280" t="str">
        <f>IF(E259="","",IF(E259&lt;=50,"Pass","Fail"))</f>
        <v>Pass</v>
      </c>
      <c r="I259" s="7">
        <v>1159</v>
      </c>
      <c r="J259" s="302" t="s">
        <v>313</v>
      </c>
      <c r="K259" s="7"/>
    </row>
    <row r="260" spans="1:11" ht="14.1" customHeight="1" x14ac:dyDescent="0.3">
      <c r="A260" s="278">
        <v>43678</v>
      </c>
      <c r="B260" s="9" t="s">
        <v>27</v>
      </c>
      <c r="C260" s="7">
        <v>8</v>
      </c>
      <c r="D260" s="7">
        <v>11</v>
      </c>
      <c r="E260" s="7">
        <f>IF(D260="","",(D260-C260))</f>
        <v>3</v>
      </c>
      <c r="F260" s="7">
        <v>50</v>
      </c>
      <c r="G260" s="7">
        <v>50</v>
      </c>
      <c r="H260" s="280" t="str">
        <f>IF(E260="","",IF(E260&lt;=50,"Pass","Fail"))</f>
        <v>Pass</v>
      </c>
      <c r="I260" s="7">
        <v>1159</v>
      </c>
      <c r="J260" s="302" t="s">
        <v>315</v>
      </c>
      <c r="K260" s="7"/>
    </row>
    <row r="261" spans="1:11" ht="14.1" customHeight="1" x14ac:dyDescent="0.3">
      <c r="A261" s="278">
        <v>43681</v>
      </c>
      <c r="B261" s="9" t="s">
        <v>27</v>
      </c>
      <c r="C261" s="7">
        <v>24</v>
      </c>
      <c r="D261" s="7">
        <v>30</v>
      </c>
      <c r="E261" s="7">
        <f t="shared" si="12"/>
        <v>6</v>
      </c>
      <c r="F261" s="7">
        <v>50</v>
      </c>
      <c r="G261" s="7">
        <v>50</v>
      </c>
      <c r="H261" s="280" t="str">
        <f t="shared" si="13"/>
        <v>Pass</v>
      </c>
      <c r="I261" s="7">
        <v>1335</v>
      </c>
      <c r="J261" s="302" t="s">
        <v>317</v>
      </c>
      <c r="K261" s="7"/>
    </row>
    <row r="262" spans="1:11" ht="14.1" customHeight="1" x14ac:dyDescent="0.3">
      <c r="A262" s="278">
        <v>43685</v>
      </c>
      <c r="B262" s="9" t="s">
        <v>27</v>
      </c>
      <c r="C262" s="7">
        <v>16</v>
      </c>
      <c r="D262" s="7">
        <v>26</v>
      </c>
      <c r="E262" s="7">
        <f t="shared" si="12"/>
        <v>10</v>
      </c>
      <c r="F262" s="7">
        <v>50</v>
      </c>
      <c r="G262" s="7">
        <v>50</v>
      </c>
      <c r="H262" s="280" t="str">
        <f t="shared" si="13"/>
        <v>Pass</v>
      </c>
      <c r="I262" s="7">
        <v>74</v>
      </c>
      <c r="J262" s="302" t="s">
        <v>319</v>
      </c>
      <c r="K262" s="7"/>
    </row>
    <row r="263" spans="1:11" ht="14.1" customHeight="1" x14ac:dyDescent="0.3">
      <c r="A263" s="278">
        <v>43690</v>
      </c>
      <c r="B263" s="9" t="s">
        <v>27</v>
      </c>
      <c r="C263" s="7">
        <v>29</v>
      </c>
      <c r="D263" s="7">
        <v>41</v>
      </c>
      <c r="E263" s="7">
        <f t="shared" si="12"/>
        <v>12</v>
      </c>
      <c r="F263" s="7">
        <v>50</v>
      </c>
      <c r="G263" s="7">
        <v>50</v>
      </c>
      <c r="H263" s="280" t="str">
        <f>IF(E263="","",IF(E263&lt;=50,"Pass","Fail"))</f>
        <v>Pass</v>
      </c>
      <c r="I263" s="7">
        <v>1335</v>
      </c>
      <c r="J263" s="302" t="s">
        <v>321</v>
      </c>
      <c r="K263" s="7"/>
    </row>
    <row r="264" spans="1:11" ht="14.1" customHeight="1" x14ac:dyDescent="0.3">
      <c r="A264" s="278">
        <v>43693</v>
      </c>
      <c r="B264" s="9" t="s">
        <v>27</v>
      </c>
      <c r="C264" s="7">
        <v>3</v>
      </c>
      <c r="D264" s="7">
        <v>8</v>
      </c>
      <c r="E264" s="7">
        <f>IF(D264="","",(D264-C264))</f>
        <v>5</v>
      </c>
      <c r="F264" s="7">
        <v>50</v>
      </c>
      <c r="G264" s="7">
        <v>50</v>
      </c>
      <c r="H264" s="280" t="str">
        <f>IF(E264="","",IF(E264&lt;=50,"Pass","Fail"))</f>
        <v>Pass</v>
      </c>
      <c r="I264" s="7">
        <v>1159</v>
      </c>
      <c r="J264" s="302" t="s">
        <v>323</v>
      </c>
      <c r="K264" s="7"/>
    </row>
    <row r="265" spans="1:11" ht="14.1" customHeight="1" x14ac:dyDescent="0.3">
      <c r="A265" s="278">
        <v>43696</v>
      </c>
      <c r="B265" s="9" t="s">
        <v>27</v>
      </c>
      <c r="C265" s="7">
        <v>6</v>
      </c>
      <c r="D265" s="7">
        <v>11</v>
      </c>
      <c r="E265" s="7">
        <f t="shared" si="12"/>
        <v>5</v>
      </c>
      <c r="F265" s="7">
        <v>50</v>
      </c>
      <c r="G265" s="7">
        <v>50</v>
      </c>
      <c r="H265" s="280" t="str">
        <f t="shared" si="13"/>
        <v>Pass</v>
      </c>
      <c r="I265" s="7">
        <v>1340</v>
      </c>
      <c r="J265" s="302" t="s">
        <v>325</v>
      </c>
      <c r="K265" s="7"/>
    </row>
    <row r="266" spans="1:11" ht="14.1" customHeight="1" x14ac:dyDescent="0.3">
      <c r="A266" s="278">
        <v>43699</v>
      </c>
      <c r="B266" s="9" t="s">
        <v>27</v>
      </c>
      <c r="C266" s="7">
        <v>4</v>
      </c>
      <c r="D266" s="7">
        <v>36</v>
      </c>
      <c r="E266" s="7">
        <f t="shared" si="12"/>
        <v>32</v>
      </c>
      <c r="F266" s="7">
        <v>50</v>
      </c>
      <c r="G266" s="7">
        <v>50</v>
      </c>
      <c r="H266" s="280" t="str">
        <f t="shared" si="13"/>
        <v>Pass</v>
      </c>
      <c r="I266" s="7" t="s">
        <v>217</v>
      </c>
      <c r="J266" s="302" t="s">
        <v>327</v>
      </c>
      <c r="K266" s="7"/>
    </row>
    <row r="267" spans="1:11" ht="14.1" customHeight="1" x14ac:dyDescent="0.3">
      <c r="A267" s="278">
        <v>43703</v>
      </c>
      <c r="B267" s="9" t="s">
        <v>27</v>
      </c>
      <c r="C267" s="7">
        <v>41</v>
      </c>
      <c r="D267" s="7">
        <v>44</v>
      </c>
      <c r="E267" s="7">
        <f t="shared" si="12"/>
        <v>3</v>
      </c>
      <c r="F267" s="7">
        <v>50</v>
      </c>
      <c r="G267" s="7">
        <v>50</v>
      </c>
      <c r="H267" s="280" t="str">
        <f t="shared" si="13"/>
        <v>Pass</v>
      </c>
      <c r="I267" s="7">
        <v>121</v>
      </c>
      <c r="J267" s="302" t="s">
        <v>329</v>
      </c>
      <c r="K267" s="7"/>
    </row>
    <row r="268" spans="1:11" ht="14.1" customHeight="1" x14ac:dyDescent="0.3">
      <c r="A268" s="278">
        <v>43706</v>
      </c>
      <c r="B268" s="9" t="s">
        <v>27</v>
      </c>
      <c r="C268" s="7">
        <v>22</v>
      </c>
      <c r="D268" s="7">
        <v>26</v>
      </c>
      <c r="E268" s="7">
        <f t="shared" si="12"/>
        <v>4</v>
      </c>
      <c r="F268" s="7">
        <v>50</v>
      </c>
      <c r="G268" s="7">
        <v>50</v>
      </c>
      <c r="H268" s="280" t="str">
        <f t="shared" si="13"/>
        <v>Pass</v>
      </c>
      <c r="I268" s="7">
        <v>121</v>
      </c>
      <c r="J268" s="302" t="s">
        <v>331</v>
      </c>
      <c r="K268" s="7"/>
    </row>
    <row r="269" spans="1:11" ht="14.1" customHeight="1" x14ac:dyDescent="0.3">
      <c r="A269" s="278">
        <v>43710</v>
      </c>
      <c r="B269" s="9" t="s">
        <v>27</v>
      </c>
      <c r="C269" s="7">
        <v>9</v>
      </c>
      <c r="D269" s="7">
        <v>23</v>
      </c>
      <c r="E269" s="7">
        <f t="shared" si="12"/>
        <v>14</v>
      </c>
      <c r="F269" s="7">
        <v>50</v>
      </c>
      <c r="G269" s="7">
        <v>50</v>
      </c>
      <c r="H269" s="280" t="str">
        <f t="shared" si="13"/>
        <v>Pass</v>
      </c>
      <c r="I269" s="7">
        <v>1335</v>
      </c>
      <c r="J269" s="7"/>
      <c r="K269" s="7"/>
    </row>
    <row r="270" spans="1:11" ht="14.1" customHeight="1" x14ac:dyDescent="0.3">
      <c r="A270" s="278">
        <v>43713</v>
      </c>
      <c r="B270" s="9" t="s">
        <v>27</v>
      </c>
      <c r="C270" s="7">
        <v>33</v>
      </c>
      <c r="D270" s="7">
        <v>30</v>
      </c>
      <c r="E270" s="7">
        <f t="shared" si="12"/>
        <v>-3</v>
      </c>
      <c r="F270" s="7">
        <v>50</v>
      </c>
      <c r="G270" s="7">
        <v>50</v>
      </c>
      <c r="H270" s="280" t="str">
        <f t="shared" si="13"/>
        <v>Pass</v>
      </c>
      <c r="I270" s="7">
        <v>1428</v>
      </c>
      <c r="J270" s="302" t="s">
        <v>334</v>
      </c>
      <c r="K270" s="7"/>
    </row>
    <row r="271" spans="1:11" ht="14.1" customHeight="1" x14ac:dyDescent="0.3">
      <c r="A271" s="278">
        <v>43716</v>
      </c>
      <c r="B271" s="9" t="s">
        <v>27</v>
      </c>
      <c r="C271" s="7">
        <v>30</v>
      </c>
      <c r="D271" s="7">
        <v>72</v>
      </c>
      <c r="E271" s="7">
        <f t="shared" si="12"/>
        <v>42</v>
      </c>
      <c r="F271" s="7">
        <v>50</v>
      </c>
      <c r="G271" s="7">
        <v>50</v>
      </c>
      <c r="H271" s="280" t="str">
        <f t="shared" si="13"/>
        <v>Pass</v>
      </c>
      <c r="I271" s="7">
        <v>64</v>
      </c>
      <c r="J271" s="7"/>
      <c r="K271" s="7"/>
    </row>
    <row r="272" spans="1:11" ht="14.1" customHeight="1" x14ac:dyDescent="0.3">
      <c r="A272" s="278">
        <v>43719</v>
      </c>
      <c r="B272" s="9" t="s">
        <v>27</v>
      </c>
      <c r="C272" s="7">
        <v>24</v>
      </c>
      <c r="D272" s="7">
        <v>34</v>
      </c>
      <c r="E272" s="7">
        <f t="shared" si="12"/>
        <v>10</v>
      </c>
      <c r="F272" s="7">
        <v>50</v>
      </c>
      <c r="G272" s="7">
        <v>50</v>
      </c>
      <c r="H272" s="280" t="str">
        <f>IF(E272="","",IF(E272&lt;=50,"Pass","Fail"))</f>
        <v>Pass</v>
      </c>
      <c r="I272" s="7">
        <v>1159</v>
      </c>
      <c r="J272" s="302" t="s">
        <v>337</v>
      </c>
      <c r="K272" s="7"/>
    </row>
    <row r="273" spans="1:11" ht="14.1" customHeight="1" x14ac:dyDescent="0.3">
      <c r="A273" s="278">
        <v>43720</v>
      </c>
      <c r="B273" s="9" t="s">
        <v>27</v>
      </c>
      <c r="C273" s="7">
        <v>10</v>
      </c>
      <c r="D273" s="7">
        <v>4010</v>
      </c>
      <c r="E273" s="7">
        <f t="shared" si="12"/>
        <v>4000</v>
      </c>
      <c r="F273" s="7">
        <v>50</v>
      </c>
      <c r="G273" s="7">
        <v>50</v>
      </c>
      <c r="H273" s="280" t="str">
        <f t="shared" si="13"/>
        <v>Fail</v>
      </c>
      <c r="I273" s="7">
        <v>74</v>
      </c>
      <c r="J273" s="7"/>
      <c r="K273" s="305" t="s">
        <v>348</v>
      </c>
    </row>
    <row r="274" spans="1:11" ht="14.1" customHeight="1" x14ac:dyDescent="0.3">
      <c r="A274" s="278">
        <v>43722</v>
      </c>
      <c r="B274" s="9" t="s">
        <v>27</v>
      </c>
      <c r="C274" s="7">
        <v>29</v>
      </c>
      <c r="D274" s="7">
        <v>780</v>
      </c>
      <c r="E274" s="7">
        <f t="shared" si="12"/>
        <v>751</v>
      </c>
      <c r="F274" s="7">
        <v>50</v>
      </c>
      <c r="G274" s="7">
        <v>50</v>
      </c>
      <c r="H274" s="280" t="str">
        <f t="shared" si="13"/>
        <v>Fail</v>
      </c>
      <c r="I274" s="7">
        <v>64</v>
      </c>
      <c r="J274" s="7"/>
      <c r="K274" s="7" t="s">
        <v>340</v>
      </c>
    </row>
    <row r="275" spans="1:11" ht="14.1" customHeight="1" x14ac:dyDescent="0.3">
      <c r="A275" s="278">
        <v>43722</v>
      </c>
      <c r="B275" s="9" t="s">
        <v>27</v>
      </c>
      <c r="C275" s="7">
        <v>26</v>
      </c>
      <c r="D275" s="7">
        <v>833</v>
      </c>
      <c r="E275" s="7">
        <f t="shared" si="12"/>
        <v>807</v>
      </c>
      <c r="F275" s="7">
        <v>50</v>
      </c>
      <c r="G275" s="7">
        <v>50</v>
      </c>
      <c r="H275" s="280" t="str">
        <f t="shared" si="13"/>
        <v>Fail</v>
      </c>
      <c r="I275" s="7">
        <v>64</v>
      </c>
      <c r="J275" s="7"/>
      <c r="K275" s="7" t="s">
        <v>339</v>
      </c>
    </row>
    <row r="276" spans="1:11" ht="14.1" customHeight="1" x14ac:dyDescent="0.3">
      <c r="A276" s="278">
        <v>43723</v>
      </c>
      <c r="B276" s="9" t="s">
        <v>27</v>
      </c>
      <c r="C276" s="7">
        <v>26</v>
      </c>
      <c r="D276" s="7">
        <v>660</v>
      </c>
      <c r="E276" s="7">
        <f t="shared" si="12"/>
        <v>634</v>
      </c>
      <c r="F276" s="7">
        <v>50</v>
      </c>
      <c r="G276" s="7">
        <v>50</v>
      </c>
      <c r="H276" s="280" t="str">
        <f t="shared" si="13"/>
        <v>Fail</v>
      </c>
      <c r="I276" s="7">
        <v>121</v>
      </c>
      <c r="J276" s="302" t="s">
        <v>344</v>
      </c>
      <c r="K276" s="306" t="s">
        <v>349</v>
      </c>
    </row>
    <row r="277" spans="1:11" ht="14.1" customHeight="1" x14ac:dyDescent="0.3">
      <c r="A277" s="278">
        <v>43723</v>
      </c>
      <c r="B277" s="9" t="s">
        <v>27</v>
      </c>
      <c r="C277" s="7">
        <v>39</v>
      </c>
      <c r="D277" s="7">
        <v>745</v>
      </c>
      <c r="E277" s="7">
        <f t="shared" si="12"/>
        <v>706</v>
      </c>
      <c r="F277" s="7">
        <v>50</v>
      </c>
      <c r="G277" s="7">
        <v>50</v>
      </c>
      <c r="H277" s="280" t="str">
        <f t="shared" si="13"/>
        <v>Fail</v>
      </c>
      <c r="I277" s="7">
        <v>121</v>
      </c>
      <c r="J277" s="302" t="s">
        <v>345</v>
      </c>
      <c r="K277" s="7" t="s">
        <v>341</v>
      </c>
    </row>
    <row r="278" spans="1:11" ht="14.1" customHeight="1" x14ac:dyDescent="0.3">
      <c r="A278" s="278">
        <v>43723</v>
      </c>
      <c r="B278" s="9" t="s">
        <v>27</v>
      </c>
      <c r="C278" s="7">
        <v>27</v>
      </c>
      <c r="D278" s="7">
        <v>659</v>
      </c>
      <c r="E278" s="7">
        <f t="shared" si="12"/>
        <v>632</v>
      </c>
      <c r="F278" s="7">
        <v>50</v>
      </c>
      <c r="G278" s="7">
        <v>50</v>
      </c>
      <c r="H278" s="280" t="str">
        <f t="shared" si="13"/>
        <v>Fail</v>
      </c>
      <c r="I278" s="7">
        <v>121</v>
      </c>
      <c r="J278" s="302" t="s">
        <v>346</v>
      </c>
      <c r="K278" s="7" t="s">
        <v>340</v>
      </c>
    </row>
    <row r="279" spans="1:11" ht="14.1" customHeight="1" x14ac:dyDescent="0.3">
      <c r="A279" s="278">
        <v>43723</v>
      </c>
      <c r="B279" s="9" t="s">
        <v>27</v>
      </c>
      <c r="C279" s="7">
        <v>26</v>
      </c>
      <c r="D279" s="7">
        <v>796</v>
      </c>
      <c r="E279" s="7">
        <f t="shared" si="12"/>
        <v>770</v>
      </c>
      <c r="F279" s="7">
        <v>50</v>
      </c>
      <c r="G279" s="7">
        <v>50</v>
      </c>
      <c r="H279" s="280" t="str">
        <f t="shared" si="13"/>
        <v>Fail</v>
      </c>
      <c r="I279" s="7">
        <v>74</v>
      </c>
      <c r="J279" s="302" t="s">
        <v>343</v>
      </c>
      <c r="K279" s="7" t="s">
        <v>340</v>
      </c>
    </row>
    <row r="280" spans="1:11" ht="14.1" customHeight="1" x14ac:dyDescent="0.3">
      <c r="A280" s="278">
        <v>43723</v>
      </c>
      <c r="B280" s="9" t="s">
        <v>27</v>
      </c>
      <c r="C280" s="7">
        <v>46</v>
      </c>
      <c r="D280" s="7">
        <v>883</v>
      </c>
      <c r="E280" s="7">
        <f>IF(D280="","",(D280-C280))</f>
        <v>837</v>
      </c>
      <c r="F280" s="7">
        <v>50</v>
      </c>
      <c r="G280" s="7">
        <v>50</v>
      </c>
      <c r="H280" s="280" t="str">
        <f>IF(E280="","",IF(E280&lt;=50,"Pass","Fail"))</f>
        <v>Fail</v>
      </c>
      <c r="I280" s="7">
        <v>74</v>
      </c>
      <c r="J280" s="302" t="s">
        <v>342</v>
      </c>
      <c r="K280" s="7" t="s">
        <v>340</v>
      </c>
    </row>
    <row r="281" spans="1:11" ht="14.1" customHeight="1" x14ac:dyDescent="0.3">
      <c r="A281" s="278">
        <v>43723</v>
      </c>
      <c r="B281" s="9" t="s">
        <v>27</v>
      </c>
      <c r="C281" s="7">
        <v>3</v>
      </c>
      <c r="D281" s="7">
        <v>706</v>
      </c>
      <c r="E281" s="7">
        <f t="shared" si="12"/>
        <v>703</v>
      </c>
      <c r="F281" s="7">
        <v>50</v>
      </c>
      <c r="G281" s="7">
        <v>50</v>
      </c>
      <c r="H281" s="280" t="str">
        <f t="shared" si="13"/>
        <v>Fail</v>
      </c>
      <c r="I281" s="7">
        <v>74</v>
      </c>
      <c r="J281" s="302" t="s">
        <v>350</v>
      </c>
      <c r="K281" s="7" t="s">
        <v>347</v>
      </c>
    </row>
    <row r="282" spans="1:11" ht="14.1" customHeight="1" x14ac:dyDescent="0.3">
      <c r="A282" s="278">
        <v>43724</v>
      </c>
      <c r="B282" s="9" t="s">
        <v>27</v>
      </c>
      <c r="C282" s="7">
        <v>4</v>
      </c>
      <c r="D282" s="7">
        <v>701</v>
      </c>
      <c r="E282" s="7">
        <f t="shared" si="12"/>
        <v>697</v>
      </c>
      <c r="F282" s="7">
        <v>50</v>
      </c>
      <c r="G282" s="7">
        <v>50</v>
      </c>
      <c r="H282" s="280" t="str">
        <f t="shared" si="13"/>
        <v>Fail</v>
      </c>
      <c r="I282" s="7">
        <v>1340</v>
      </c>
      <c r="J282" s="7"/>
      <c r="K282" s="7"/>
    </row>
    <row r="283" spans="1:11" ht="14.1" customHeight="1" x14ac:dyDescent="0.3">
      <c r="A283" s="278">
        <v>43725</v>
      </c>
      <c r="B283" s="9" t="s">
        <v>27</v>
      </c>
      <c r="C283" s="7">
        <v>22</v>
      </c>
      <c r="D283" s="7">
        <v>91</v>
      </c>
      <c r="E283" s="7">
        <f>IF(D283="","",(D283-C283))</f>
        <v>69</v>
      </c>
      <c r="F283" s="7">
        <v>50</v>
      </c>
      <c r="G283" s="7">
        <v>50</v>
      </c>
      <c r="H283" s="280" t="str">
        <f>IF(E283="","",IF(E283&lt;=50,"Pass","Fail"))</f>
        <v>Fail</v>
      </c>
      <c r="I283" s="7">
        <v>74</v>
      </c>
      <c r="J283" s="302" t="s">
        <v>351</v>
      </c>
      <c r="K283" s="307" t="s">
        <v>352</v>
      </c>
    </row>
    <row r="284" spans="1:11" ht="14.1" customHeight="1" x14ac:dyDescent="0.3">
      <c r="A284" s="278">
        <v>43725</v>
      </c>
      <c r="B284" s="9" t="s">
        <v>27</v>
      </c>
      <c r="C284" s="7">
        <v>10</v>
      </c>
      <c r="D284" s="7">
        <v>70</v>
      </c>
      <c r="E284" s="7">
        <f>IF(D284="","",(D284-C284))</f>
        <v>60</v>
      </c>
      <c r="F284" s="7">
        <v>50</v>
      </c>
      <c r="G284" s="7">
        <v>50</v>
      </c>
      <c r="H284" s="280" t="str">
        <f>IF(E284="","",IF(E284&lt;=50,"Pass","Fail"))</f>
        <v>Fail</v>
      </c>
      <c r="I284" s="7">
        <v>1159</v>
      </c>
      <c r="J284" s="302" t="s">
        <v>353</v>
      </c>
      <c r="K284" s="7" t="s">
        <v>354</v>
      </c>
    </row>
    <row r="285" spans="1:11" ht="14.1" customHeight="1" x14ac:dyDescent="0.3">
      <c r="A285" s="278">
        <v>43725</v>
      </c>
      <c r="B285" s="9" t="s">
        <v>27</v>
      </c>
      <c r="C285" s="7">
        <v>5</v>
      </c>
      <c r="D285" s="7">
        <v>139</v>
      </c>
      <c r="E285" s="7">
        <f t="shared" si="12"/>
        <v>134</v>
      </c>
      <c r="F285" s="7">
        <v>50</v>
      </c>
      <c r="G285" s="7">
        <v>50</v>
      </c>
      <c r="H285" s="280" t="str">
        <f t="shared" si="13"/>
        <v>Fail</v>
      </c>
      <c r="I285" s="7">
        <v>1159</v>
      </c>
      <c r="J285" s="302" t="s">
        <v>355</v>
      </c>
      <c r="K285" s="7" t="s">
        <v>356</v>
      </c>
    </row>
    <row r="286" spans="1:11" ht="14.1" customHeight="1" x14ac:dyDescent="0.3">
      <c r="A286" s="278">
        <v>43726</v>
      </c>
      <c r="B286" s="9" t="s">
        <v>27</v>
      </c>
      <c r="C286" s="7">
        <v>15</v>
      </c>
      <c r="D286" s="7">
        <v>137</v>
      </c>
      <c r="E286" s="7">
        <f t="shared" si="12"/>
        <v>122</v>
      </c>
      <c r="F286" s="7">
        <v>50</v>
      </c>
      <c r="G286" s="7">
        <v>50</v>
      </c>
      <c r="H286" s="280" t="str">
        <f t="shared" si="13"/>
        <v>Fail</v>
      </c>
      <c r="I286" s="7">
        <v>64</v>
      </c>
      <c r="J286" s="302" t="s">
        <v>358</v>
      </c>
      <c r="K286" s="7" t="s">
        <v>357</v>
      </c>
    </row>
    <row r="287" spans="1:11" ht="14.1" customHeight="1" x14ac:dyDescent="0.3">
      <c r="A287" s="278">
        <v>43726</v>
      </c>
      <c r="B287" s="9" t="s">
        <v>27</v>
      </c>
      <c r="C287" s="7">
        <v>12</v>
      </c>
      <c r="D287" s="7">
        <v>156</v>
      </c>
      <c r="E287" s="7">
        <f t="shared" si="12"/>
        <v>144</v>
      </c>
      <c r="F287" s="7">
        <v>50</v>
      </c>
      <c r="G287" s="7">
        <v>50</v>
      </c>
      <c r="H287" s="280" t="str">
        <f t="shared" si="13"/>
        <v>Fail</v>
      </c>
      <c r="I287" s="7">
        <v>64</v>
      </c>
      <c r="J287" s="302" t="s">
        <v>360</v>
      </c>
      <c r="K287" s="7" t="s">
        <v>359</v>
      </c>
    </row>
    <row r="288" spans="1:11" ht="14.1" customHeight="1" x14ac:dyDescent="0.3">
      <c r="A288" s="278">
        <v>43726</v>
      </c>
      <c r="B288" s="9" t="s">
        <v>27</v>
      </c>
      <c r="C288" s="7">
        <v>16</v>
      </c>
      <c r="D288" s="7">
        <v>139</v>
      </c>
      <c r="E288" s="7">
        <f>IF(D288="","",(D288-C288))</f>
        <v>123</v>
      </c>
      <c r="F288" s="7">
        <v>50</v>
      </c>
      <c r="G288" s="7">
        <v>50</v>
      </c>
      <c r="H288" s="280" t="str">
        <f>IF(E288="","",IF(E288&lt;=50,"Pass","Fail"))</f>
        <v>Fail</v>
      </c>
      <c r="I288" s="7">
        <v>1159</v>
      </c>
      <c r="J288" s="302" t="s">
        <v>361</v>
      </c>
      <c r="K288" s="7" t="s">
        <v>362</v>
      </c>
    </row>
    <row r="289" spans="1:11" ht="14.1" customHeight="1" x14ac:dyDescent="0.3">
      <c r="A289" s="278">
        <v>43726</v>
      </c>
      <c r="B289" s="9" t="s">
        <v>27</v>
      </c>
      <c r="C289" s="7">
        <v>15</v>
      </c>
      <c r="D289" s="7">
        <v>178</v>
      </c>
      <c r="E289" s="7">
        <f>IF(D289="","",(D289-C289))</f>
        <v>163</v>
      </c>
      <c r="F289" s="7">
        <v>50</v>
      </c>
      <c r="G289" s="7">
        <v>50</v>
      </c>
      <c r="H289" s="280" t="str">
        <f>IF(E289="","",IF(E289&lt;=50,"Pass","Fail"))</f>
        <v>Fail</v>
      </c>
      <c r="I289" s="7">
        <v>1159</v>
      </c>
      <c r="J289" s="302" t="s">
        <v>363</v>
      </c>
      <c r="K289" s="7" t="s">
        <v>364</v>
      </c>
    </row>
    <row r="290" spans="1:11" ht="14.1" customHeight="1" x14ac:dyDescent="0.3">
      <c r="A290" s="278">
        <v>43727</v>
      </c>
      <c r="B290" s="9" t="s">
        <v>27</v>
      </c>
      <c r="C290" s="7">
        <v>18</v>
      </c>
      <c r="D290" s="7">
        <v>391</v>
      </c>
      <c r="E290" s="7">
        <f>IF(D290="","",(D290-C290))</f>
        <v>373</v>
      </c>
      <c r="F290" s="7">
        <v>50</v>
      </c>
      <c r="G290" s="7">
        <v>50</v>
      </c>
      <c r="H290" s="280" t="str">
        <f>IF(E290="","",IF(E290&lt;=50,"Pass","Fail"))</f>
        <v>Fail</v>
      </c>
      <c r="I290" s="7">
        <v>74</v>
      </c>
      <c r="J290" s="302" t="s">
        <v>365</v>
      </c>
      <c r="K290" s="307" t="s">
        <v>366</v>
      </c>
    </row>
    <row r="291" spans="1:11" ht="14.1" customHeight="1" x14ac:dyDescent="0.3">
      <c r="A291" s="278">
        <v>43727</v>
      </c>
      <c r="B291" s="9" t="s">
        <v>27</v>
      </c>
      <c r="C291" s="7">
        <v>16</v>
      </c>
      <c r="D291" s="7">
        <v>593</v>
      </c>
      <c r="E291" s="7">
        <f>IF(D291="","",(D291-C291))</f>
        <v>577</v>
      </c>
      <c r="F291" s="7">
        <v>50</v>
      </c>
      <c r="G291" s="7">
        <v>50</v>
      </c>
      <c r="H291" s="280" t="str">
        <f>IF(E291="","",IF(E291&lt;=50,"Pass","Fail"))</f>
        <v>Fail</v>
      </c>
      <c r="I291" s="7" t="s">
        <v>368</v>
      </c>
      <c r="J291" s="302" t="s">
        <v>367</v>
      </c>
      <c r="K291" s="308" t="s">
        <v>369</v>
      </c>
    </row>
    <row r="292" spans="1:11" ht="14.1" customHeight="1" x14ac:dyDescent="0.3">
      <c r="A292" s="278">
        <v>43727</v>
      </c>
      <c r="B292" s="9" t="s">
        <v>27</v>
      </c>
      <c r="C292" s="7">
        <v>17</v>
      </c>
      <c r="D292" s="7">
        <v>333</v>
      </c>
      <c r="E292" s="7">
        <f>IF(D292="","",(D292-C292))</f>
        <v>316</v>
      </c>
      <c r="F292" s="7">
        <v>50</v>
      </c>
      <c r="G292" s="7">
        <v>50</v>
      </c>
      <c r="H292" s="280" t="str">
        <f>IF(E292="","",IF(E292&lt;=50,"Pass","Fail"))</f>
        <v>Fail</v>
      </c>
      <c r="I292" s="7">
        <v>1159</v>
      </c>
      <c r="J292" s="302" t="s">
        <v>370</v>
      </c>
      <c r="K292" s="7" t="s">
        <v>362</v>
      </c>
    </row>
    <row r="293" spans="1:11" ht="14.1" customHeight="1" x14ac:dyDescent="0.3">
      <c r="A293" s="278">
        <v>43727</v>
      </c>
      <c r="B293" s="9" t="s">
        <v>27</v>
      </c>
      <c r="C293" s="7">
        <v>11</v>
      </c>
      <c r="D293" s="7">
        <v>597</v>
      </c>
      <c r="E293" s="7">
        <f t="shared" si="12"/>
        <v>586</v>
      </c>
      <c r="F293" s="7">
        <v>50</v>
      </c>
      <c r="G293" s="7">
        <v>50</v>
      </c>
      <c r="H293" s="280" t="str">
        <f t="shared" si="13"/>
        <v>Fail</v>
      </c>
      <c r="I293" s="7">
        <v>1159</v>
      </c>
      <c r="J293" s="302" t="s">
        <v>371</v>
      </c>
      <c r="K293" s="7" t="s">
        <v>364</v>
      </c>
    </row>
    <row r="294" spans="1:11" ht="14.1" customHeight="1" x14ac:dyDescent="0.3">
      <c r="A294" s="278">
        <v>43727</v>
      </c>
      <c r="B294" s="9" t="s">
        <v>27</v>
      </c>
      <c r="C294" s="7">
        <v>23</v>
      </c>
      <c r="D294" s="7">
        <v>562</v>
      </c>
      <c r="E294" s="7">
        <f t="shared" si="12"/>
        <v>539</v>
      </c>
      <c r="F294" s="7">
        <v>50</v>
      </c>
      <c r="G294" s="7">
        <v>50</v>
      </c>
      <c r="H294" s="280" t="str">
        <f t="shared" si="13"/>
        <v>Fail</v>
      </c>
      <c r="I294" s="7">
        <v>1159</v>
      </c>
      <c r="J294" s="302" t="s">
        <v>372</v>
      </c>
      <c r="K294" s="7" t="s">
        <v>373</v>
      </c>
    </row>
    <row r="295" spans="1:11" ht="14.1" customHeight="1" x14ac:dyDescent="0.3">
      <c r="A295" s="278">
        <v>43727</v>
      </c>
      <c r="B295" s="9" t="s">
        <v>27</v>
      </c>
      <c r="C295" s="7">
        <v>31</v>
      </c>
      <c r="D295" s="7">
        <v>455</v>
      </c>
      <c r="E295" s="7">
        <f t="shared" si="12"/>
        <v>424</v>
      </c>
      <c r="F295" s="7">
        <v>50</v>
      </c>
      <c r="G295" s="7">
        <v>50</v>
      </c>
      <c r="H295" s="280" t="str">
        <f t="shared" si="13"/>
        <v>Fail</v>
      </c>
      <c r="I295" s="7">
        <v>1335</v>
      </c>
      <c r="J295" s="302" t="s">
        <v>374</v>
      </c>
      <c r="K295" s="7" t="s">
        <v>375</v>
      </c>
    </row>
    <row r="296" spans="1:11" ht="14.1" customHeight="1" x14ac:dyDescent="0.3">
      <c r="A296" s="278">
        <v>43728</v>
      </c>
      <c r="B296" s="9" t="s">
        <v>27</v>
      </c>
      <c r="C296" s="7">
        <v>12</v>
      </c>
      <c r="D296" s="7">
        <v>9</v>
      </c>
      <c r="E296" s="7">
        <f t="shared" si="12"/>
        <v>-3</v>
      </c>
      <c r="F296" s="7">
        <v>50</v>
      </c>
      <c r="G296" s="7">
        <v>50</v>
      </c>
      <c r="H296" s="280" t="str">
        <f t="shared" si="13"/>
        <v>Pass</v>
      </c>
      <c r="I296" s="7">
        <v>121</v>
      </c>
      <c r="J296" s="302" t="s">
        <v>376</v>
      </c>
      <c r="K296" s="7" t="s">
        <v>116</v>
      </c>
    </row>
    <row r="297" spans="1:11" ht="14.1" customHeight="1" x14ac:dyDescent="0.3">
      <c r="A297" s="278">
        <v>43728</v>
      </c>
      <c r="B297" s="9" t="s">
        <v>27</v>
      </c>
      <c r="C297" s="7">
        <v>20</v>
      </c>
      <c r="D297" s="7">
        <v>9</v>
      </c>
      <c r="E297" s="7">
        <f t="shared" si="12"/>
        <v>-11</v>
      </c>
      <c r="F297" s="7">
        <v>50</v>
      </c>
      <c r="G297" s="7">
        <v>50</v>
      </c>
      <c r="H297" s="280" t="str">
        <f t="shared" si="13"/>
        <v>Pass</v>
      </c>
      <c r="I297" s="7">
        <v>121</v>
      </c>
      <c r="J297" s="302" t="s">
        <v>377</v>
      </c>
      <c r="K297" s="7" t="s">
        <v>116</v>
      </c>
    </row>
    <row r="298" spans="1:11" ht="14.1" customHeight="1" x14ac:dyDescent="0.3">
      <c r="A298" s="278">
        <v>43728</v>
      </c>
      <c r="B298" s="9" t="s">
        <v>27</v>
      </c>
      <c r="C298" s="7">
        <v>6</v>
      </c>
      <c r="D298" s="7">
        <v>7</v>
      </c>
      <c r="E298" s="7">
        <f t="shared" si="12"/>
        <v>1</v>
      </c>
      <c r="F298" s="7">
        <v>50</v>
      </c>
      <c r="G298" s="7">
        <v>50</v>
      </c>
      <c r="H298" s="280" t="str">
        <f t="shared" si="13"/>
        <v>Pass</v>
      </c>
      <c r="I298" s="7" t="s">
        <v>51</v>
      </c>
      <c r="J298" s="302" t="s">
        <v>378</v>
      </c>
      <c r="K298" s="7" t="s">
        <v>381</v>
      </c>
    </row>
    <row r="299" spans="1:11" ht="14.1" customHeight="1" x14ac:dyDescent="0.3">
      <c r="A299" s="278">
        <v>43728</v>
      </c>
      <c r="B299" s="9" t="s">
        <v>27</v>
      </c>
      <c r="C299" s="7">
        <v>6</v>
      </c>
      <c r="D299" s="7">
        <v>6</v>
      </c>
      <c r="E299" s="7">
        <f t="shared" si="12"/>
        <v>0</v>
      </c>
      <c r="F299" s="7">
        <v>50</v>
      </c>
      <c r="G299" s="7">
        <v>50</v>
      </c>
      <c r="H299" s="280" t="str">
        <f t="shared" si="13"/>
        <v>Pass</v>
      </c>
      <c r="I299" s="7" t="s">
        <v>51</v>
      </c>
      <c r="J299" s="302" t="s">
        <v>379</v>
      </c>
      <c r="K299" s="7" t="s">
        <v>381</v>
      </c>
    </row>
    <row r="300" spans="1:11" ht="14.1" customHeight="1" x14ac:dyDescent="0.3">
      <c r="A300" s="278">
        <v>43731</v>
      </c>
      <c r="B300" s="9" t="s">
        <v>27</v>
      </c>
      <c r="C300" s="7">
        <v>13</v>
      </c>
      <c r="D300" s="7">
        <v>19</v>
      </c>
      <c r="E300" s="7">
        <f t="shared" si="12"/>
        <v>6</v>
      </c>
      <c r="F300" s="7">
        <v>50</v>
      </c>
      <c r="G300" s="7">
        <v>50</v>
      </c>
      <c r="H300" s="280" t="str">
        <f t="shared" si="13"/>
        <v>Pass</v>
      </c>
      <c r="I300" s="7">
        <v>1428</v>
      </c>
      <c r="J300" s="302" t="s">
        <v>383</v>
      </c>
      <c r="K300" s="7"/>
    </row>
    <row r="301" spans="1:11" ht="14.1" customHeight="1" x14ac:dyDescent="0.3">
      <c r="A301" s="278">
        <v>43735</v>
      </c>
      <c r="B301" s="9" t="s">
        <v>27</v>
      </c>
      <c r="C301" s="7">
        <v>1</v>
      </c>
      <c r="D301" s="7">
        <v>12</v>
      </c>
      <c r="E301" s="7">
        <f t="shared" si="12"/>
        <v>11</v>
      </c>
      <c r="F301" s="7">
        <v>50</v>
      </c>
      <c r="G301" s="7">
        <v>50</v>
      </c>
      <c r="H301" s="280" t="str">
        <f t="shared" si="13"/>
        <v>Pass</v>
      </c>
      <c r="I301" s="7">
        <v>1428</v>
      </c>
      <c r="J301" s="302" t="s">
        <v>385</v>
      </c>
      <c r="K301" s="7"/>
    </row>
    <row r="302" spans="1:11" ht="14.1" customHeight="1" x14ac:dyDescent="0.3">
      <c r="A302" s="278">
        <v>43739</v>
      </c>
      <c r="B302" s="9" t="s">
        <v>27</v>
      </c>
      <c r="C302" s="7">
        <v>0</v>
      </c>
      <c r="D302" s="7">
        <v>4</v>
      </c>
      <c r="E302" s="7">
        <f t="shared" si="12"/>
        <v>4</v>
      </c>
      <c r="F302" s="7">
        <v>50</v>
      </c>
      <c r="G302" s="7">
        <v>50</v>
      </c>
      <c r="H302" s="280" t="str">
        <f t="shared" si="13"/>
        <v>Pass</v>
      </c>
      <c r="I302" s="7">
        <v>121</v>
      </c>
      <c r="J302" s="302" t="s">
        <v>386</v>
      </c>
      <c r="K302" s="7"/>
    </row>
    <row r="303" spans="1:11" ht="14.1" customHeight="1" x14ac:dyDescent="0.3">
      <c r="A303" s="278">
        <v>43745</v>
      </c>
      <c r="B303" s="9" t="s">
        <v>27</v>
      </c>
      <c r="C303" s="7">
        <v>20</v>
      </c>
      <c r="D303" s="7">
        <v>268</v>
      </c>
      <c r="E303" s="7">
        <f t="shared" si="12"/>
        <v>248</v>
      </c>
      <c r="F303" s="7">
        <v>50</v>
      </c>
      <c r="G303" s="7">
        <v>50</v>
      </c>
      <c r="H303" s="280" t="str">
        <f t="shared" si="13"/>
        <v>Fail</v>
      </c>
      <c r="I303" s="7">
        <v>74</v>
      </c>
      <c r="J303" s="302" t="s">
        <v>388</v>
      </c>
      <c r="K303" s="307" t="s">
        <v>389</v>
      </c>
    </row>
    <row r="304" spans="1:11" ht="14.1" customHeight="1" x14ac:dyDescent="0.3">
      <c r="A304" s="278">
        <v>43745</v>
      </c>
      <c r="B304" s="9" t="s">
        <v>27</v>
      </c>
      <c r="C304" s="7">
        <v>17</v>
      </c>
      <c r="D304" s="7">
        <v>35</v>
      </c>
      <c r="E304" s="7">
        <f t="shared" si="12"/>
        <v>18</v>
      </c>
      <c r="F304" s="7">
        <v>50</v>
      </c>
      <c r="G304" s="7">
        <v>50</v>
      </c>
      <c r="H304" s="280" t="str">
        <f t="shared" si="13"/>
        <v>Pass</v>
      </c>
      <c r="I304" s="7">
        <v>74</v>
      </c>
      <c r="J304" s="302" t="s">
        <v>390</v>
      </c>
      <c r="K304" s="307" t="s">
        <v>392</v>
      </c>
    </row>
    <row r="305" spans="1:11" ht="14.1" customHeight="1" x14ac:dyDescent="0.3">
      <c r="A305" s="278">
        <v>43745</v>
      </c>
      <c r="B305" s="9" t="s">
        <v>27</v>
      </c>
      <c r="C305" s="7">
        <v>11</v>
      </c>
      <c r="D305" s="7">
        <v>26</v>
      </c>
      <c r="E305" s="7">
        <f t="shared" si="12"/>
        <v>15</v>
      </c>
      <c r="F305" s="7">
        <v>50</v>
      </c>
      <c r="G305" s="7">
        <v>50</v>
      </c>
      <c r="H305" s="280" t="str">
        <f t="shared" si="13"/>
        <v>Pass</v>
      </c>
      <c r="I305" s="7" t="s">
        <v>368</v>
      </c>
      <c r="J305" s="302" t="s">
        <v>391</v>
      </c>
      <c r="K305" s="307" t="s">
        <v>393</v>
      </c>
    </row>
    <row r="306" spans="1:11" ht="14.1" customHeight="1" x14ac:dyDescent="0.3">
      <c r="A306" s="278">
        <v>43749</v>
      </c>
      <c r="B306" s="9" t="s">
        <v>27</v>
      </c>
      <c r="C306" s="7">
        <v>27</v>
      </c>
      <c r="D306" s="7">
        <v>30</v>
      </c>
      <c r="E306" s="7">
        <f t="shared" si="12"/>
        <v>3</v>
      </c>
      <c r="F306" s="7">
        <v>50</v>
      </c>
      <c r="G306" s="7">
        <v>50</v>
      </c>
      <c r="H306" s="280" t="str">
        <f t="shared" si="13"/>
        <v>Pass</v>
      </c>
      <c r="I306" s="7">
        <v>1335</v>
      </c>
      <c r="J306" s="302" t="s">
        <v>395</v>
      </c>
      <c r="K306" s="7"/>
    </row>
    <row r="307" spans="1:11" ht="14.1" customHeight="1" x14ac:dyDescent="0.3">
      <c r="A307" s="278">
        <v>43752</v>
      </c>
      <c r="B307" s="9" t="s">
        <v>27</v>
      </c>
      <c r="C307" s="7">
        <v>6</v>
      </c>
      <c r="D307" s="7">
        <v>7</v>
      </c>
      <c r="E307" s="7">
        <f t="shared" si="12"/>
        <v>1</v>
      </c>
      <c r="F307" s="7">
        <v>50</v>
      </c>
      <c r="G307" s="7">
        <v>50</v>
      </c>
      <c r="H307" s="280" t="str">
        <f t="shared" si="13"/>
        <v>Pass</v>
      </c>
      <c r="I307" s="7">
        <v>1340</v>
      </c>
      <c r="J307" s="302" t="s">
        <v>398</v>
      </c>
      <c r="K307" s="7"/>
    </row>
    <row r="308" spans="1:11" ht="14.1" customHeight="1" x14ac:dyDescent="0.3">
      <c r="A308" s="278">
        <v>43755</v>
      </c>
      <c r="B308" s="9" t="s">
        <v>27</v>
      </c>
      <c r="C308" s="7">
        <v>18</v>
      </c>
      <c r="D308" s="7">
        <v>20</v>
      </c>
      <c r="E308" s="7">
        <f t="shared" si="12"/>
        <v>2</v>
      </c>
      <c r="F308" s="7">
        <v>50</v>
      </c>
      <c r="G308" s="7">
        <v>50</v>
      </c>
      <c r="H308" s="280" t="str">
        <f t="shared" si="13"/>
        <v>Pass</v>
      </c>
      <c r="I308" s="7">
        <v>1340</v>
      </c>
      <c r="J308" s="302" t="s">
        <v>400</v>
      </c>
      <c r="K308" s="7"/>
    </row>
    <row r="309" spans="1:11" ht="14.1" customHeight="1" x14ac:dyDescent="0.3">
      <c r="A309" s="278">
        <v>43760</v>
      </c>
      <c r="B309" s="9" t="s">
        <v>27</v>
      </c>
      <c r="C309" s="7">
        <v>34</v>
      </c>
      <c r="D309" s="7">
        <v>31</v>
      </c>
      <c r="E309" s="7">
        <f t="shared" si="12"/>
        <v>-3</v>
      </c>
      <c r="F309" s="7">
        <v>50</v>
      </c>
      <c r="G309" s="7">
        <v>50</v>
      </c>
      <c r="H309" s="280" t="str">
        <f t="shared" si="13"/>
        <v>Pass</v>
      </c>
      <c r="I309" s="7">
        <v>1534</v>
      </c>
      <c r="J309" s="302" t="s">
        <v>385</v>
      </c>
      <c r="K309" s="7"/>
    </row>
    <row r="310" spans="1:11" ht="14.1" customHeight="1" x14ac:dyDescent="0.3">
      <c r="A310" s="278">
        <v>43769</v>
      </c>
      <c r="B310" s="9" t="s">
        <v>27</v>
      </c>
      <c r="C310" s="7">
        <v>32</v>
      </c>
      <c r="D310" s="7">
        <v>71</v>
      </c>
      <c r="E310" s="7">
        <f t="shared" si="12"/>
        <v>39</v>
      </c>
      <c r="F310" s="7">
        <v>50</v>
      </c>
      <c r="G310" s="7">
        <v>50</v>
      </c>
      <c r="H310" s="280" t="str">
        <f t="shared" si="13"/>
        <v>Pass</v>
      </c>
      <c r="I310" s="7">
        <v>1428</v>
      </c>
      <c r="J310" s="302" t="s">
        <v>405</v>
      </c>
      <c r="K310" s="7"/>
    </row>
    <row r="311" spans="1:11" ht="14.1" customHeight="1" x14ac:dyDescent="0.3">
      <c r="A311" s="278">
        <v>43773</v>
      </c>
      <c r="B311" s="9" t="s">
        <v>27</v>
      </c>
      <c r="C311" s="7">
        <v>9</v>
      </c>
      <c r="D311" s="7">
        <v>11</v>
      </c>
      <c r="E311" s="7">
        <f t="shared" si="12"/>
        <v>2</v>
      </c>
      <c r="F311" s="7">
        <v>50</v>
      </c>
      <c r="G311" s="7">
        <v>50</v>
      </c>
      <c r="H311" s="280" t="str">
        <f t="shared" si="13"/>
        <v>Pass</v>
      </c>
      <c r="I311" s="7">
        <v>121</v>
      </c>
      <c r="J311" s="302" t="s">
        <v>406</v>
      </c>
      <c r="K311" s="7"/>
    </row>
    <row r="312" spans="1:11" ht="14.1" customHeight="1" x14ac:dyDescent="0.3">
      <c r="A312" s="278">
        <v>43776</v>
      </c>
      <c r="B312" s="9" t="s">
        <v>27</v>
      </c>
      <c r="C312" s="7">
        <v>134</v>
      </c>
      <c r="D312" s="7">
        <v>38</v>
      </c>
      <c r="E312" s="7">
        <f t="shared" si="12"/>
        <v>-96</v>
      </c>
      <c r="F312" s="7">
        <v>50</v>
      </c>
      <c r="G312" s="7">
        <v>50</v>
      </c>
      <c r="H312" s="280" t="str">
        <f t="shared" si="13"/>
        <v>Pass</v>
      </c>
      <c r="I312" s="7">
        <v>1335</v>
      </c>
      <c r="J312" s="302" t="s">
        <v>408</v>
      </c>
      <c r="K312" s="7"/>
    </row>
    <row r="313" spans="1:11" ht="14.1" customHeight="1" x14ac:dyDescent="0.3">
      <c r="A313" s="278">
        <v>43776</v>
      </c>
      <c r="B313" s="9" t="s">
        <v>27</v>
      </c>
      <c r="C313" s="7">
        <v>3</v>
      </c>
      <c r="D313" s="7">
        <v>6</v>
      </c>
      <c r="E313" s="7">
        <f t="shared" ref="E313" si="14">IF(D313="","",(D313-C313))</f>
        <v>3</v>
      </c>
      <c r="F313" s="7">
        <v>50</v>
      </c>
      <c r="G313" s="7">
        <v>50</v>
      </c>
      <c r="H313" s="280" t="str">
        <f t="shared" ref="H313" si="15">IF(E313="","",IF(E313&lt;=50,"Pass","Fail"))</f>
        <v>Pass</v>
      </c>
      <c r="I313" s="7">
        <v>74</v>
      </c>
      <c r="J313" s="302" t="s">
        <v>409</v>
      </c>
      <c r="K313" s="7"/>
    </row>
    <row r="314" spans="1:11" ht="14.1" customHeight="1" x14ac:dyDescent="0.3">
      <c r="A314" s="278">
        <v>43780</v>
      </c>
      <c r="B314" s="9" t="s">
        <v>27</v>
      </c>
      <c r="C314" s="7">
        <v>12</v>
      </c>
      <c r="D314" s="7">
        <v>28</v>
      </c>
      <c r="E314" s="7">
        <f t="shared" si="12"/>
        <v>16</v>
      </c>
      <c r="F314" s="7">
        <v>50</v>
      </c>
      <c r="G314" s="7">
        <v>50</v>
      </c>
      <c r="H314" s="280" t="str">
        <f t="shared" si="13"/>
        <v>Pass</v>
      </c>
      <c r="I314" s="7">
        <v>1340</v>
      </c>
      <c r="J314" s="302" t="s">
        <v>410</v>
      </c>
      <c r="K314" s="7"/>
    </row>
    <row r="315" spans="1:11" ht="14.1" customHeight="1" x14ac:dyDescent="0.3">
      <c r="A315" s="278">
        <v>43783</v>
      </c>
      <c r="B315" s="9" t="s">
        <v>27</v>
      </c>
      <c r="C315" s="7">
        <v>5</v>
      </c>
      <c r="D315" s="7">
        <v>5</v>
      </c>
      <c r="E315" s="7">
        <f t="shared" si="12"/>
        <v>0</v>
      </c>
      <c r="F315" s="7">
        <v>50</v>
      </c>
      <c r="G315" s="7">
        <v>50</v>
      </c>
      <c r="H315" s="280" t="str">
        <f t="shared" si="13"/>
        <v>Pass</v>
      </c>
      <c r="I315" s="7" t="s">
        <v>412</v>
      </c>
      <c r="J315" s="302" t="s">
        <v>413</v>
      </c>
      <c r="K315" s="7"/>
    </row>
    <row r="316" spans="1:11" ht="14.1" customHeight="1" x14ac:dyDescent="0.3">
      <c r="A316" s="278">
        <v>43787</v>
      </c>
      <c r="B316" s="9" t="s">
        <v>27</v>
      </c>
      <c r="C316" s="7">
        <v>2</v>
      </c>
      <c r="D316" s="7">
        <v>5</v>
      </c>
      <c r="E316" s="7">
        <f t="shared" si="12"/>
        <v>3</v>
      </c>
      <c r="F316" s="7">
        <v>50</v>
      </c>
      <c r="G316" s="7">
        <v>50</v>
      </c>
      <c r="H316" s="280" t="str">
        <f t="shared" si="13"/>
        <v>Pass</v>
      </c>
      <c r="I316" s="7">
        <v>1159</v>
      </c>
      <c r="J316" s="302" t="s">
        <v>415</v>
      </c>
      <c r="K316" s="7"/>
    </row>
    <row r="317" spans="1:11" ht="14.1" customHeight="1" x14ac:dyDescent="0.25">
      <c r="A317" s="278">
        <v>43790</v>
      </c>
      <c r="B317" s="9" t="s">
        <v>27</v>
      </c>
      <c r="C317" s="7">
        <v>4</v>
      </c>
      <c r="D317" s="7">
        <v>13</v>
      </c>
      <c r="E317" s="7">
        <f t="shared" ref="E317" si="16">IF(D317="","",(D317-C317))</f>
        <v>9</v>
      </c>
      <c r="F317" s="7">
        <v>50</v>
      </c>
      <c r="G317" s="7">
        <v>50</v>
      </c>
      <c r="H317" s="280" t="str">
        <f t="shared" ref="H317" si="17">IF(E317="","",IF(E317&lt;=50,"Pass","Fail"))</f>
        <v>Pass</v>
      </c>
      <c r="I317" s="7">
        <v>74</v>
      </c>
      <c r="J317" s="302" t="s">
        <v>417</v>
      </c>
      <c r="K317" s="11"/>
    </row>
    <row r="318" spans="1:11" ht="14.1" customHeight="1" x14ac:dyDescent="0.3">
      <c r="A318" s="278">
        <v>43794</v>
      </c>
      <c r="B318" s="9" t="s">
        <v>27</v>
      </c>
      <c r="C318" s="7">
        <v>3</v>
      </c>
      <c r="D318" s="7">
        <v>12</v>
      </c>
      <c r="E318" s="7">
        <f t="shared" ref="E318:E369" si="18">IF(D318="","",(D318-C318))</f>
        <v>9</v>
      </c>
      <c r="F318" s="7">
        <v>50</v>
      </c>
      <c r="G318" s="7">
        <v>50</v>
      </c>
      <c r="H318" s="280" t="str">
        <f t="shared" ref="H318:H320" si="19">IF(E318="","",IF(E318&lt;=50,"Pass","Fail"))</f>
        <v>Pass</v>
      </c>
      <c r="I318" s="7">
        <v>1428</v>
      </c>
      <c r="J318" s="302" t="s">
        <v>417</v>
      </c>
      <c r="K318" s="7"/>
    </row>
    <row r="319" spans="1:11" ht="14.1" customHeight="1" x14ac:dyDescent="0.3">
      <c r="A319" s="278">
        <v>43797</v>
      </c>
      <c r="B319" s="9" t="s">
        <v>27</v>
      </c>
      <c r="C319" s="7">
        <v>3</v>
      </c>
      <c r="D319" s="7">
        <v>5</v>
      </c>
      <c r="E319" s="7">
        <f t="shared" si="18"/>
        <v>2</v>
      </c>
      <c r="F319" s="7">
        <v>50</v>
      </c>
      <c r="G319" s="7">
        <v>50</v>
      </c>
      <c r="H319" s="280" t="str">
        <f t="shared" si="19"/>
        <v>Pass</v>
      </c>
      <c r="I319" s="7">
        <v>1428</v>
      </c>
      <c r="J319" s="302" t="s">
        <v>422</v>
      </c>
      <c r="K319" s="7"/>
    </row>
    <row r="320" spans="1:11" ht="14.1" customHeight="1" x14ac:dyDescent="0.3">
      <c r="A320" s="278">
        <v>43800</v>
      </c>
      <c r="B320" s="9" t="s">
        <v>27</v>
      </c>
      <c r="C320" s="7">
        <v>3</v>
      </c>
      <c r="D320" s="7">
        <v>25</v>
      </c>
      <c r="E320" s="7">
        <f t="shared" si="18"/>
        <v>22</v>
      </c>
      <c r="F320" s="7">
        <v>50</v>
      </c>
      <c r="G320" s="7">
        <v>50</v>
      </c>
      <c r="H320" s="280" t="str">
        <f t="shared" si="19"/>
        <v>Pass</v>
      </c>
      <c r="I320" s="7">
        <v>1335</v>
      </c>
      <c r="J320" s="302" t="s">
        <v>423</v>
      </c>
      <c r="K320" s="7"/>
    </row>
    <row r="321" spans="1:11" ht="14.1" customHeight="1" x14ac:dyDescent="0.3">
      <c r="A321" s="278">
        <v>43804</v>
      </c>
      <c r="B321" s="9" t="s">
        <v>27</v>
      </c>
      <c r="C321" s="7">
        <v>4</v>
      </c>
      <c r="D321" s="7">
        <v>12</v>
      </c>
      <c r="E321" s="7">
        <f t="shared" ref="E321" si="20">IF(D321="","",(D321-C321))</f>
        <v>8</v>
      </c>
      <c r="F321" s="7">
        <v>50</v>
      </c>
      <c r="G321" s="7">
        <v>50</v>
      </c>
      <c r="H321" s="280" t="str">
        <f t="shared" ref="H321" si="21">IF(E321="","",IF(E321&lt;=50,"Pass","Fail"))</f>
        <v>Pass</v>
      </c>
      <c r="I321" s="7">
        <v>1335</v>
      </c>
      <c r="J321" s="302" t="s">
        <v>426</v>
      </c>
      <c r="K321" s="322" t="s">
        <v>425</v>
      </c>
    </row>
    <row r="322" spans="1:11" ht="14.1" customHeight="1" x14ac:dyDescent="0.3">
      <c r="A322" s="278">
        <v>43807</v>
      </c>
      <c r="B322" s="9" t="s">
        <v>27</v>
      </c>
      <c r="C322" s="7">
        <v>4</v>
      </c>
      <c r="D322" s="7">
        <v>38</v>
      </c>
      <c r="E322" s="7">
        <f t="shared" si="18"/>
        <v>34</v>
      </c>
      <c r="F322" s="7">
        <v>35</v>
      </c>
      <c r="G322" s="7">
        <v>50</v>
      </c>
      <c r="H322" s="280" t="str">
        <f t="shared" ref="H322:H369" si="22">IF(E322="","",IF(E322&lt;=F322,"Pass","Fail"))</f>
        <v>Pass</v>
      </c>
      <c r="I322" s="7">
        <v>102</v>
      </c>
      <c r="J322" s="302" t="s">
        <v>426</v>
      </c>
      <c r="K322" s="7"/>
    </row>
    <row r="323" spans="1:11" ht="14.1" hidden="1" customHeight="1" x14ac:dyDescent="0.3">
      <c r="A323" s="278"/>
      <c r="B323" s="9" t="s">
        <v>27</v>
      </c>
      <c r="C323" s="7"/>
      <c r="D323" s="7"/>
      <c r="E323" s="7" t="str">
        <f t="shared" si="18"/>
        <v/>
      </c>
      <c r="F323" s="7">
        <v>35</v>
      </c>
      <c r="G323" s="7">
        <v>50</v>
      </c>
      <c r="H323" s="280" t="str">
        <f t="shared" si="22"/>
        <v/>
      </c>
      <c r="I323" s="7"/>
      <c r="J323" s="7"/>
      <c r="K323" s="7"/>
    </row>
    <row r="324" spans="1:11" ht="14.1" hidden="1" customHeight="1" x14ac:dyDescent="0.3">
      <c r="A324" s="278"/>
      <c r="B324" s="9" t="s">
        <v>27</v>
      </c>
      <c r="C324" s="7"/>
      <c r="D324" s="7"/>
      <c r="E324" s="7" t="str">
        <f t="shared" si="18"/>
        <v/>
      </c>
      <c r="F324" s="7">
        <v>35</v>
      </c>
      <c r="G324" s="7">
        <v>50</v>
      </c>
      <c r="H324" s="280" t="str">
        <f t="shared" si="22"/>
        <v/>
      </c>
      <c r="I324" s="7"/>
      <c r="J324" s="7"/>
      <c r="K324" s="7"/>
    </row>
    <row r="325" spans="1:11" ht="14.1" hidden="1" customHeight="1" x14ac:dyDescent="0.3">
      <c r="A325" s="278"/>
      <c r="B325" s="9" t="s">
        <v>27</v>
      </c>
      <c r="C325" s="7"/>
      <c r="D325" s="7"/>
      <c r="E325" s="7" t="str">
        <f t="shared" si="18"/>
        <v/>
      </c>
      <c r="F325" s="7">
        <v>35</v>
      </c>
      <c r="G325" s="7">
        <v>50</v>
      </c>
      <c r="H325" s="280" t="str">
        <f t="shared" si="22"/>
        <v/>
      </c>
      <c r="I325" s="7"/>
      <c r="J325" s="7"/>
      <c r="K325" s="7"/>
    </row>
    <row r="326" spans="1:11" ht="14.1" hidden="1" customHeight="1" x14ac:dyDescent="0.3">
      <c r="A326" s="278"/>
      <c r="B326" s="9" t="s">
        <v>27</v>
      </c>
      <c r="C326" s="7"/>
      <c r="D326" s="7"/>
      <c r="E326" s="7" t="str">
        <f t="shared" si="18"/>
        <v/>
      </c>
      <c r="F326" s="7">
        <v>35</v>
      </c>
      <c r="G326" s="7">
        <v>50</v>
      </c>
      <c r="H326" s="280" t="str">
        <f t="shared" si="22"/>
        <v/>
      </c>
      <c r="I326" s="7"/>
      <c r="J326" s="7"/>
      <c r="K326" s="7"/>
    </row>
    <row r="327" spans="1:11" ht="14.1" hidden="1" customHeight="1" x14ac:dyDescent="0.3">
      <c r="A327" s="278"/>
      <c r="B327" s="9" t="s">
        <v>27</v>
      </c>
      <c r="C327" s="7"/>
      <c r="D327" s="7"/>
      <c r="E327" s="7" t="str">
        <f t="shared" si="18"/>
        <v/>
      </c>
      <c r="F327" s="7">
        <v>35</v>
      </c>
      <c r="G327" s="7">
        <v>50</v>
      </c>
      <c r="H327" s="280" t="str">
        <f t="shared" si="22"/>
        <v/>
      </c>
      <c r="I327" s="7"/>
      <c r="J327" s="7"/>
      <c r="K327" s="7"/>
    </row>
    <row r="328" spans="1:11" ht="14.1" hidden="1" customHeight="1" x14ac:dyDescent="0.3">
      <c r="A328" s="278"/>
      <c r="B328" s="9" t="s">
        <v>27</v>
      </c>
      <c r="C328" s="7"/>
      <c r="D328" s="7"/>
      <c r="E328" s="7" t="str">
        <f t="shared" si="18"/>
        <v/>
      </c>
      <c r="F328" s="7">
        <v>35</v>
      </c>
      <c r="G328" s="7">
        <v>50</v>
      </c>
      <c r="H328" s="280" t="str">
        <f t="shared" si="22"/>
        <v/>
      </c>
      <c r="I328" s="7"/>
      <c r="J328" s="7"/>
      <c r="K328" s="7"/>
    </row>
    <row r="329" spans="1:11" ht="14.1" hidden="1" customHeight="1" x14ac:dyDescent="0.3">
      <c r="A329" s="278"/>
      <c r="B329" s="9" t="s">
        <v>27</v>
      </c>
      <c r="C329" s="7"/>
      <c r="D329" s="7"/>
      <c r="E329" s="7" t="str">
        <f t="shared" si="18"/>
        <v/>
      </c>
      <c r="F329" s="7">
        <v>35</v>
      </c>
      <c r="G329" s="7">
        <v>50</v>
      </c>
      <c r="H329" s="280" t="str">
        <f t="shared" si="22"/>
        <v/>
      </c>
      <c r="I329" s="7"/>
      <c r="J329" s="7"/>
      <c r="K329" s="7"/>
    </row>
    <row r="330" spans="1:11" ht="14.1" hidden="1" customHeight="1" x14ac:dyDescent="0.3">
      <c r="A330" s="278"/>
      <c r="B330" s="9" t="s">
        <v>27</v>
      </c>
      <c r="C330" s="7"/>
      <c r="D330" s="7"/>
      <c r="E330" s="7" t="str">
        <f t="shared" si="18"/>
        <v/>
      </c>
      <c r="F330" s="7">
        <v>35</v>
      </c>
      <c r="G330" s="7">
        <v>50</v>
      </c>
      <c r="H330" s="280" t="str">
        <f t="shared" si="22"/>
        <v/>
      </c>
      <c r="I330" s="7"/>
      <c r="J330" s="7"/>
      <c r="K330" s="7"/>
    </row>
    <row r="331" spans="1:11" ht="14.1" hidden="1" customHeight="1" x14ac:dyDescent="0.3">
      <c r="A331" s="278"/>
      <c r="B331" s="9" t="s">
        <v>27</v>
      </c>
      <c r="C331" s="7"/>
      <c r="D331" s="7"/>
      <c r="E331" s="7" t="str">
        <f t="shared" si="18"/>
        <v/>
      </c>
      <c r="F331" s="7">
        <v>35</v>
      </c>
      <c r="G331" s="7">
        <v>50</v>
      </c>
      <c r="H331" s="280" t="str">
        <f t="shared" si="22"/>
        <v/>
      </c>
      <c r="I331" s="7"/>
      <c r="J331" s="7"/>
      <c r="K331" s="7"/>
    </row>
    <row r="332" spans="1:11" ht="14.1" hidden="1" customHeight="1" x14ac:dyDescent="0.3">
      <c r="A332" s="278"/>
      <c r="B332" s="9" t="s">
        <v>27</v>
      </c>
      <c r="C332" s="7"/>
      <c r="D332" s="7"/>
      <c r="E332" s="7" t="str">
        <f t="shared" si="18"/>
        <v/>
      </c>
      <c r="F332" s="7">
        <v>35</v>
      </c>
      <c r="G332" s="7">
        <v>50</v>
      </c>
      <c r="H332" s="280" t="str">
        <f t="shared" si="22"/>
        <v/>
      </c>
      <c r="I332" s="7"/>
      <c r="J332" s="7"/>
      <c r="K332" s="7"/>
    </row>
    <row r="333" spans="1:11" ht="14.1" hidden="1" customHeight="1" x14ac:dyDescent="0.3">
      <c r="A333" s="278"/>
      <c r="B333" s="9" t="s">
        <v>27</v>
      </c>
      <c r="C333" s="7"/>
      <c r="D333" s="7"/>
      <c r="E333" s="7" t="str">
        <f t="shared" si="18"/>
        <v/>
      </c>
      <c r="F333" s="7">
        <v>35</v>
      </c>
      <c r="G333" s="7">
        <v>50</v>
      </c>
      <c r="H333" s="280" t="str">
        <f t="shared" si="22"/>
        <v/>
      </c>
      <c r="I333" s="7"/>
      <c r="J333" s="7"/>
      <c r="K333" s="7"/>
    </row>
    <row r="334" spans="1:11" ht="14.1" hidden="1" customHeight="1" x14ac:dyDescent="0.3">
      <c r="A334" s="278"/>
      <c r="B334" s="9" t="s">
        <v>27</v>
      </c>
      <c r="C334" s="7"/>
      <c r="D334" s="7"/>
      <c r="E334" s="7" t="str">
        <f t="shared" si="18"/>
        <v/>
      </c>
      <c r="F334" s="7">
        <v>35</v>
      </c>
      <c r="G334" s="7">
        <v>50</v>
      </c>
      <c r="H334" s="280" t="str">
        <f t="shared" si="22"/>
        <v/>
      </c>
      <c r="I334" s="7"/>
      <c r="J334" s="7"/>
      <c r="K334" s="7"/>
    </row>
    <row r="335" spans="1:11" ht="14.1" hidden="1" customHeight="1" x14ac:dyDescent="0.3">
      <c r="A335" s="278"/>
      <c r="B335" s="9" t="s">
        <v>27</v>
      </c>
      <c r="C335" s="7"/>
      <c r="D335" s="7"/>
      <c r="E335" s="7" t="str">
        <f t="shared" si="18"/>
        <v/>
      </c>
      <c r="F335" s="7">
        <v>35</v>
      </c>
      <c r="G335" s="7">
        <v>50</v>
      </c>
      <c r="H335" s="280" t="str">
        <f t="shared" si="22"/>
        <v/>
      </c>
      <c r="I335" s="7"/>
      <c r="J335" s="7"/>
      <c r="K335" s="7"/>
    </row>
    <row r="336" spans="1:11" ht="14.1" hidden="1" customHeight="1" x14ac:dyDescent="0.3">
      <c r="A336" s="278"/>
      <c r="B336" s="9" t="s">
        <v>27</v>
      </c>
      <c r="C336" s="7"/>
      <c r="D336" s="7"/>
      <c r="E336" s="7" t="str">
        <f t="shared" si="18"/>
        <v/>
      </c>
      <c r="F336" s="7">
        <v>35</v>
      </c>
      <c r="G336" s="7">
        <v>50</v>
      </c>
      <c r="H336" s="280" t="str">
        <f t="shared" si="22"/>
        <v/>
      </c>
      <c r="I336" s="7"/>
      <c r="J336" s="7"/>
      <c r="K336" s="7"/>
    </row>
    <row r="337" spans="1:11" ht="14.1" hidden="1" customHeight="1" x14ac:dyDescent="0.3">
      <c r="A337" s="278"/>
      <c r="B337" s="9" t="s">
        <v>27</v>
      </c>
      <c r="C337" s="7"/>
      <c r="D337" s="7"/>
      <c r="E337" s="7" t="str">
        <f t="shared" si="18"/>
        <v/>
      </c>
      <c r="F337" s="7">
        <v>35</v>
      </c>
      <c r="G337" s="7">
        <v>50</v>
      </c>
      <c r="H337" s="280" t="str">
        <f t="shared" si="22"/>
        <v/>
      </c>
      <c r="I337" s="7"/>
      <c r="J337" s="7"/>
      <c r="K337" s="7"/>
    </row>
    <row r="338" spans="1:11" ht="14.1" hidden="1" customHeight="1" x14ac:dyDescent="0.3">
      <c r="A338" s="278"/>
      <c r="B338" s="9" t="s">
        <v>27</v>
      </c>
      <c r="C338" s="7"/>
      <c r="D338" s="7"/>
      <c r="E338" s="7" t="str">
        <f t="shared" si="18"/>
        <v/>
      </c>
      <c r="F338" s="7">
        <v>35</v>
      </c>
      <c r="G338" s="7">
        <v>50</v>
      </c>
      <c r="H338" s="280" t="str">
        <f t="shared" si="22"/>
        <v/>
      </c>
      <c r="I338" s="7"/>
      <c r="J338" s="7"/>
      <c r="K338" s="7"/>
    </row>
    <row r="339" spans="1:11" ht="14.1" hidden="1" customHeight="1" x14ac:dyDescent="0.3">
      <c r="A339" s="278"/>
      <c r="B339" s="9" t="s">
        <v>27</v>
      </c>
      <c r="C339" s="7"/>
      <c r="D339" s="7"/>
      <c r="E339" s="7" t="str">
        <f t="shared" si="18"/>
        <v/>
      </c>
      <c r="F339" s="7">
        <v>35</v>
      </c>
      <c r="G339" s="7">
        <v>50</v>
      </c>
      <c r="H339" s="280" t="str">
        <f t="shared" si="22"/>
        <v/>
      </c>
      <c r="I339" s="7"/>
      <c r="J339" s="7"/>
      <c r="K339" s="7"/>
    </row>
    <row r="340" spans="1:11" ht="14.1" hidden="1" customHeight="1" x14ac:dyDescent="0.3">
      <c r="A340" s="278"/>
      <c r="B340" s="9" t="s">
        <v>27</v>
      </c>
      <c r="C340" s="7"/>
      <c r="D340" s="7"/>
      <c r="E340" s="7" t="str">
        <f t="shared" si="18"/>
        <v/>
      </c>
      <c r="F340" s="7">
        <v>35</v>
      </c>
      <c r="G340" s="7">
        <v>50</v>
      </c>
      <c r="H340" s="280" t="str">
        <f t="shared" si="22"/>
        <v/>
      </c>
      <c r="I340" s="7"/>
      <c r="J340" s="7"/>
      <c r="K340" s="7"/>
    </row>
    <row r="341" spans="1:11" ht="14.1" hidden="1" customHeight="1" x14ac:dyDescent="0.3">
      <c r="A341" s="278"/>
      <c r="B341" s="9" t="s">
        <v>27</v>
      </c>
      <c r="C341" s="7"/>
      <c r="D341" s="7"/>
      <c r="E341" s="7" t="str">
        <f t="shared" si="18"/>
        <v/>
      </c>
      <c r="F341" s="7">
        <v>35</v>
      </c>
      <c r="G341" s="7">
        <v>50</v>
      </c>
      <c r="H341" s="280" t="str">
        <f t="shared" si="22"/>
        <v/>
      </c>
      <c r="I341" s="7"/>
      <c r="J341" s="7"/>
      <c r="K341" s="7"/>
    </row>
    <row r="342" spans="1:11" ht="14.1" hidden="1" customHeight="1" x14ac:dyDescent="0.3">
      <c r="A342" s="278"/>
      <c r="B342" s="9" t="s">
        <v>27</v>
      </c>
      <c r="C342" s="7"/>
      <c r="D342" s="7"/>
      <c r="E342" s="7" t="str">
        <f t="shared" si="18"/>
        <v/>
      </c>
      <c r="F342" s="7">
        <v>35</v>
      </c>
      <c r="G342" s="7">
        <v>50</v>
      </c>
      <c r="H342" s="280" t="str">
        <f t="shared" si="22"/>
        <v/>
      </c>
      <c r="I342" s="7"/>
      <c r="J342" s="7"/>
      <c r="K342" s="7"/>
    </row>
    <row r="343" spans="1:11" ht="14.1" hidden="1" customHeight="1" x14ac:dyDescent="0.3">
      <c r="A343" s="278"/>
      <c r="B343" s="9" t="s">
        <v>27</v>
      </c>
      <c r="C343" s="7"/>
      <c r="D343" s="7"/>
      <c r="E343" s="7" t="str">
        <f t="shared" si="18"/>
        <v/>
      </c>
      <c r="F343" s="7">
        <v>35</v>
      </c>
      <c r="G343" s="7">
        <v>50</v>
      </c>
      <c r="H343" s="280" t="str">
        <f t="shared" si="22"/>
        <v/>
      </c>
      <c r="I343" s="7"/>
      <c r="J343" s="7"/>
      <c r="K343" s="7"/>
    </row>
    <row r="344" spans="1:11" ht="14.1" hidden="1" customHeight="1" x14ac:dyDescent="0.3">
      <c r="A344" s="278"/>
      <c r="B344" s="9" t="s">
        <v>27</v>
      </c>
      <c r="C344" s="7"/>
      <c r="D344" s="7"/>
      <c r="E344" s="7" t="str">
        <f t="shared" si="18"/>
        <v/>
      </c>
      <c r="F344" s="7">
        <v>35</v>
      </c>
      <c r="G344" s="7">
        <v>50</v>
      </c>
      <c r="H344" s="280" t="str">
        <f t="shared" si="22"/>
        <v/>
      </c>
      <c r="I344" s="7"/>
      <c r="J344" s="7"/>
      <c r="K344" s="7"/>
    </row>
    <row r="345" spans="1:11" ht="14.1" hidden="1" customHeight="1" x14ac:dyDescent="0.3">
      <c r="A345" s="278"/>
      <c r="B345" s="9" t="s">
        <v>27</v>
      </c>
      <c r="C345" s="7"/>
      <c r="D345" s="7"/>
      <c r="E345" s="7" t="str">
        <f t="shared" si="18"/>
        <v/>
      </c>
      <c r="F345" s="7">
        <v>35</v>
      </c>
      <c r="G345" s="7">
        <v>50</v>
      </c>
      <c r="H345" s="280" t="str">
        <f t="shared" si="22"/>
        <v/>
      </c>
      <c r="I345" s="7"/>
      <c r="J345" s="7"/>
      <c r="K345" s="7"/>
    </row>
    <row r="346" spans="1:11" ht="14.1" hidden="1" customHeight="1" x14ac:dyDescent="0.3">
      <c r="A346" s="278"/>
      <c r="B346" s="9" t="s">
        <v>27</v>
      </c>
      <c r="C346" s="7"/>
      <c r="D346" s="7"/>
      <c r="E346" s="7" t="str">
        <f t="shared" si="18"/>
        <v/>
      </c>
      <c r="F346" s="7">
        <v>35</v>
      </c>
      <c r="G346" s="7">
        <v>50</v>
      </c>
      <c r="H346" s="280" t="str">
        <f t="shared" si="22"/>
        <v/>
      </c>
      <c r="I346" s="7"/>
      <c r="J346" s="7"/>
      <c r="K346" s="7"/>
    </row>
    <row r="347" spans="1:11" ht="14.1" hidden="1" customHeight="1" x14ac:dyDescent="0.3">
      <c r="A347" s="278"/>
      <c r="B347" s="9" t="s">
        <v>27</v>
      </c>
      <c r="C347" s="7"/>
      <c r="D347" s="7"/>
      <c r="E347" s="7" t="str">
        <f t="shared" si="18"/>
        <v/>
      </c>
      <c r="F347" s="7">
        <v>35</v>
      </c>
      <c r="G347" s="7">
        <v>50</v>
      </c>
      <c r="H347" s="280" t="str">
        <f t="shared" si="22"/>
        <v/>
      </c>
      <c r="I347" s="7"/>
      <c r="J347" s="7"/>
      <c r="K347" s="7"/>
    </row>
    <row r="348" spans="1:11" ht="14.1" hidden="1" customHeight="1" x14ac:dyDescent="0.3">
      <c r="A348" s="278"/>
      <c r="B348" s="9" t="s">
        <v>27</v>
      </c>
      <c r="C348" s="7"/>
      <c r="D348" s="7"/>
      <c r="E348" s="7" t="str">
        <f t="shared" si="18"/>
        <v/>
      </c>
      <c r="F348" s="7">
        <v>35</v>
      </c>
      <c r="G348" s="7">
        <v>50</v>
      </c>
      <c r="H348" s="280" t="str">
        <f t="shared" si="22"/>
        <v/>
      </c>
      <c r="I348" s="7"/>
      <c r="J348" s="7"/>
      <c r="K348" s="7"/>
    </row>
    <row r="349" spans="1:11" ht="14.1" hidden="1" customHeight="1" x14ac:dyDescent="0.3">
      <c r="A349" s="278"/>
      <c r="B349" s="9" t="s">
        <v>27</v>
      </c>
      <c r="C349" s="7"/>
      <c r="D349" s="7"/>
      <c r="E349" s="7" t="str">
        <f t="shared" si="18"/>
        <v/>
      </c>
      <c r="F349" s="7">
        <v>35</v>
      </c>
      <c r="G349" s="7">
        <v>50</v>
      </c>
      <c r="H349" s="280" t="str">
        <f t="shared" si="22"/>
        <v/>
      </c>
      <c r="I349" s="7"/>
      <c r="J349" s="7"/>
      <c r="K349" s="7"/>
    </row>
    <row r="350" spans="1:11" ht="14.1" hidden="1" customHeight="1" x14ac:dyDescent="0.3">
      <c r="A350" s="278"/>
      <c r="B350" s="9" t="s">
        <v>27</v>
      </c>
      <c r="C350" s="7"/>
      <c r="D350" s="7"/>
      <c r="E350" s="7" t="str">
        <f t="shared" si="18"/>
        <v/>
      </c>
      <c r="F350" s="7">
        <v>35</v>
      </c>
      <c r="G350" s="7">
        <v>50</v>
      </c>
      <c r="H350" s="280" t="str">
        <f t="shared" si="22"/>
        <v/>
      </c>
      <c r="I350" s="7"/>
      <c r="J350" s="7"/>
      <c r="K350" s="7"/>
    </row>
    <row r="351" spans="1:11" ht="14.1" hidden="1" customHeight="1" x14ac:dyDescent="0.3">
      <c r="A351" s="278"/>
      <c r="B351" s="9" t="s">
        <v>27</v>
      </c>
      <c r="C351" s="7"/>
      <c r="D351" s="7"/>
      <c r="E351" s="7" t="str">
        <f t="shared" si="18"/>
        <v/>
      </c>
      <c r="F351" s="7">
        <v>35</v>
      </c>
      <c r="G351" s="7">
        <v>50</v>
      </c>
      <c r="H351" s="280" t="str">
        <f t="shared" si="22"/>
        <v/>
      </c>
      <c r="I351" s="7"/>
      <c r="J351" s="7"/>
      <c r="K351" s="7"/>
    </row>
    <row r="352" spans="1:11" ht="14.1" hidden="1" customHeight="1" x14ac:dyDescent="0.3">
      <c r="A352" s="278"/>
      <c r="B352" s="9" t="s">
        <v>27</v>
      </c>
      <c r="C352" s="7"/>
      <c r="D352" s="7"/>
      <c r="E352" s="7" t="str">
        <f t="shared" si="18"/>
        <v/>
      </c>
      <c r="F352" s="7">
        <v>35</v>
      </c>
      <c r="G352" s="7">
        <v>50</v>
      </c>
      <c r="H352" s="280" t="str">
        <f t="shared" si="22"/>
        <v/>
      </c>
      <c r="I352" s="7"/>
      <c r="J352" s="7"/>
      <c r="K352" s="7"/>
    </row>
    <row r="353" spans="1:11" ht="14.1" hidden="1" customHeight="1" x14ac:dyDescent="0.3">
      <c r="A353" s="278"/>
      <c r="B353" s="9" t="s">
        <v>27</v>
      </c>
      <c r="C353" s="7"/>
      <c r="D353" s="7"/>
      <c r="E353" s="7" t="str">
        <f t="shared" si="18"/>
        <v/>
      </c>
      <c r="F353" s="7">
        <v>35</v>
      </c>
      <c r="G353" s="7">
        <v>50</v>
      </c>
      <c r="H353" s="280" t="str">
        <f t="shared" si="22"/>
        <v/>
      </c>
      <c r="I353" s="7"/>
      <c r="J353" s="7"/>
      <c r="K353" s="7"/>
    </row>
    <row r="354" spans="1:11" ht="14.1" hidden="1" customHeight="1" x14ac:dyDescent="0.3">
      <c r="A354" s="278"/>
      <c r="B354" s="9" t="s">
        <v>27</v>
      </c>
      <c r="C354" s="7"/>
      <c r="D354" s="7"/>
      <c r="E354" s="7" t="str">
        <f t="shared" si="18"/>
        <v/>
      </c>
      <c r="F354" s="7">
        <v>35</v>
      </c>
      <c r="G354" s="7">
        <v>50</v>
      </c>
      <c r="H354" s="280" t="str">
        <f t="shared" si="22"/>
        <v/>
      </c>
      <c r="I354" s="7"/>
      <c r="J354" s="7"/>
      <c r="K354" s="7"/>
    </row>
    <row r="355" spans="1:11" ht="14.1" hidden="1" customHeight="1" x14ac:dyDescent="0.3">
      <c r="A355" s="278"/>
      <c r="B355" s="9" t="s">
        <v>27</v>
      </c>
      <c r="C355" s="7"/>
      <c r="D355" s="7"/>
      <c r="E355" s="7" t="str">
        <f t="shared" si="18"/>
        <v/>
      </c>
      <c r="F355" s="7">
        <v>35</v>
      </c>
      <c r="G355" s="7">
        <v>50</v>
      </c>
      <c r="H355" s="280" t="str">
        <f t="shared" si="22"/>
        <v/>
      </c>
      <c r="I355" s="7"/>
      <c r="J355" s="7"/>
      <c r="K355" s="7"/>
    </row>
    <row r="356" spans="1:11" ht="14.1" hidden="1" customHeight="1" x14ac:dyDescent="0.3">
      <c r="A356" s="278"/>
      <c r="B356" s="9" t="s">
        <v>27</v>
      </c>
      <c r="C356" s="7"/>
      <c r="D356" s="7"/>
      <c r="E356" s="7" t="str">
        <f t="shared" si="18"/>
        <v/>
      </c>
      <c r="F356" s="7">
        <v>35</v>
      </c>
      <c r="G356" s="7">
        <v>50</v>
      </c>
      <c r="H356" s="280" t="str">
        <f t="shared" si="22"/>
        <v/>
      </c>
      <c r="I356" s="7"/>
      <c r="J356" s="7"/>
      <c r="K356" s="7"/>
    </row>
    <row r="357" spans="1:11" ht="14.1" hidden="1" customHeight="1" x14ac:dyDescent="0.3">
      <c r="A357" s="278"/>
      <c r="B357" s="9" t="s">
        <v>27</v>
      </c>
      <c r="C357" s="7"/>
      <c r="D357" s="7"/>
      <c r="E357" s="7" t="str">
        <f t="shared" si="18"/>
        <v/>
      </c>
      <c r="F357" s="7">
        <v>35</v>
      </c>
      <c r="G357" s="7">
        <v>50</v>
      </c>
      <c r="H357" s="280" t="str">
        <f t="shared" si="22"/>
        <v/>
      </c>
      <c r="I357" s="7"/>
      <c r="J357" s="7"/>
      <c r="K357" s="7"/>
    </row>
    <row r="358" spans="1:11" ht="14.1" hidden="1" customHeight="1" x14ac:dyDescent="0.3">
      <c r="A358" s="278"/>
      <c r="B358" s="9" t="s">
        <v>27</v>
      </c>
      <c r="C358" s="7"/>
      <c r="D358" s="7"/>
      <c r="E358" s="7" t="str">
        <f t="shared" si="18"/>
        <v/>
      </c>
      <c r="F358" s="7">
        <v>35</v>
      </c>
      <c r="G358" s="7">
        <v>50</v>
      </c>
      <c r="H358" s="280" t="str">
        <f t="shared" si="22"/>
        <v/>
      </c>
      <c r="I358" s="7"/>
      <c r="J358" s="7"/>
      <c r="K358" s="7"/>
    </row>
    <row r="359" spans="1:11" ht="14.1" hidden="1" customHeight="1" x14ac:dyDescent="0.3">
      <c r="A359" s="278"/>
      <c r="B359" s="9" t="s">
        <v>27</v>
      </c>
      <c r="C359" s="7"/>
      <c r="D359" s="7"/>
      <c r="E359" s="7" t="str">
        <f t="shared" si="18"/>
        <v/>
      </c>
      <c r="F359" s="7">
        <v>35</v>
      </c>
      <c r="G359" s="7">
        <v>50</v>
      </c>
      <c r="H359" s="280" t="str">
        <f t="shared" si="22"/>
        <v/>
      </c>
      <c r="I359" s="7"/>
      <c r="J359" s="7"/>
      <c r="K359" s="7"/>
    </row>
    <row r="360" spans="1:11" ht="14.1" hidden="1" customHeight="1" x14ac:dyDescent="0.3">
      <c r="A360" s="278"/>
      <c r="B360" s="9" t="s">
        <v>27</v>
      </c>
      <c r="C360" s="7"/>
      <c r="D360" s="7"/>
      <c r="E360" s="7" t="str">
        <f t="shared" si="18"/>
        <v/>
      </c>
      <c r="F360" s="7">
        <v>35</v>
      </c>
      <c r="G360" s="7">
        <v>50</v>
      </c>
      <c r="H360" s="280" t="str">
        <f t="shared" si="22"/>
        <v/>
      </c>
      <c r="I360" s="7"/>
      <c r="J360" s="7"/>
      <c r="K360" s="7"/>
    </row>
    <row r="361" spans="1:11" ht="14.1" hidden="1" customHeight="1" x14ac:dyDescent="0.3">
      <c r="A361" s="278"/>
      <c r="B361" s="9" t="s">
        <v>27</v>
      </c>
      <c r="C361" s="7"/>
      <c r="D361" s="7"/>
      <c r="E361" s="7" t="str">
        <f t="shared" si="18"/>
        <v/>
      </c>
      <c r="F361" s="7">
        <v>35</v>
      </c>
      <c r="G361" s="7">
        <v>50</v>
      </c>
      <c r="H361" s="280" t="str">
        <f t="shared" si="22"/>
        <v/>
      </c>
      <c r="I361" s="7"/>
      <c r="J361" s="7"/>
      <c r="K361" s="7"/>
    </row>
    <row r="362" spans="1:11" ht="14.1" hidden="1" customHeight="1" x14ac:dyDescent="0.3">
      <c r="A362" s="278"/>
      <c r="B362" s="9" t="s">
        <v>27</v>
      </c>
      <c r="C362" s="7"/>
      <c r="D362" s="7"/>
      <c r="E362" s="7" t="str">
        <f t="shared" si="18"/>
        <v/>
      </c>
      <c r="F362" s="7">
        <v>35</v>
      </c>
      <c r="G362" s="7">
        <v>50</v>
      </c>
      <c r="H362" s="280" t="str">
        <f t="shared" si="22"/>
        <v/>
      </c>
      <c r="I362" s="7"/>
      <c r="J362" s="7"/>
      <c r="K362" s="7"/>
    </row>
    <row r="363" spans="1:11" ht="14.1" hidden="1" customHeight="1" x14ac:dyDescent="0.3">
      <c r="A363" s="278"/>
      <c r="B363" s="9" t="s">
        <v>27</v>
      </c>
      <c r="C363" s="7"/>
      <c r="D363" s="7"/>
      <c r="E363" s="7" t="str">
        <f t="shared" si="18"/>
        <v/>
      </c>
      <c r="F363" s="7">
        <v>35</v>
      </c>
      <c r="G363" s="7">
        <v>50</v>
      </c>
      <c r="H363" s="280" t="str">
        <f t="shared" si="22"/>
        <v/>
      </c>
      <c r="I363" s="7"/>
      <c r="J363" s="7"/>
      <c r="K363" s="7"/>
    </row>
    <row r="364" spans="1:11" ht="14.1" hidden="1" customHeight="1" x14ac:dyDescent="0.3">
      <c r="A364" s="278"/>
      <c r="B364" s="9" t="s">
        <v>27</v>
      </c>
      <c r="C364" s="7"/>
      <c r="D364" s="7"/>
      <c r="E364" s="7" t="str">
        <f t="shared" si="18"/>
        <v/>
      </c>
      <c r="F364" s="7">
        <v>35</v>
      </c>
      <c r="G364" s="7">
        <v>50</v>
      </c>
      <c r="H364" s="280" t="str">
        <f t="shared" si="22"/>
        <v/>
      </c>
      <c r="I364" s="7"/>
      <c r="J364" s="7"/>
      <c r="K364" s="7"/>
    </row>
    <row r="365" spans="1:11" ht="14.1" hidden="1" customHeight="1" x14ac:dyDescent="0.3">
      <c r="A365" s="278"/>
      <c r="B365" s="9" t="s">
        <v>27</v>
      </c>
      <c r="C365" s="7"/>
      <c r="D365" s="7"/>
      <c r="E365" s="7" t="str">
        <f t="shared" si="18"/>
        <v/>
      </c>
      <c r="F365" s="7">
        <v>35</v>
      </c>
      <c r="G365" s="7">
        <v>50</v>
      </c>
      <c r="H365" s="280" t="str">
        <f t="shared" si="22"/>
        <v/>
      </c>
      <c r="I365" s="7"/>
      <c r="J365" s="7"/>
      <c r="K365" s="7"/>
    </row>
    <row r="366" spans="1:11" ht="14.1" hidden="1" customHeight="1" x14ac:dyDescent="0.3">
      <c r="A366" s="278"/>
      <c r="B366" s="9" t="s">
        <v>27</v>
      </c>
      <c r="C366" s="7"/>
      <c r="D366" s="7"/>
      <c r="E366" s="7" t="str">
        <f t="shared" si="18"/>
        <v/>
      </c>
      <c r="F366" s="7">
        <v>35</v>
      </c>
      <c r="G366" s="7">
        <v>50</v>
      </c>
      <c r="H366" s="280" t="str">
        <f t="shared" si="22"/>
        <v/>
      </c>
      <c r="I366" s="7"/>
      <c r="J366" s="7"/>
      <c r="K366" s="7"/>
    </row>
    <row r="367" spans="1:11" ht="14.1" hidden="1" customHeight="1" x14ac:dyDescent="0.3">
      <c r="A367" s="278"/>
      <c r="B367" s="9" t="s">
        <v>27</v>
      </c>
      <c r="C367" s="7"/>
      <c r="D367" s="7"/>
      <c r="E367" s="7" t="str">
        <f t="shared" si="18"/>
        <v/>
      </c>
      <c r="F367" s="7">
        <v>35</v>
      </c>
      <c r="G367" s="7">
        <v>50</v>
      </c>
      <c r="H367" s="280" t="str">
        <f t="shared" si="22"/>
        <v/>
      </c>
      <c r="I367" s="7"/>
      <c r="J367" s="7"/>
      <c r="K367" s="7"/>
    </row>
    <row r="368" spans="1:11" ht="14.1" hidden="1" customHeight="1" x14ac:dyDescent="0.3">
      <c r="A368" s="278"/>
      <c r="B368" s="9" t="s">
        <v>27</v>
      </c>
      <c r="C368" s="7"/>
      <c r="D368" s="7"/>
      <c r="E368" s="7" t="str">
        <f t="shared" si="18"/>
        <v/>
      </c>
      <c r="F368" s="7">
        <v>35</v>
      </c>
      <c r="G368" s="7">
        <v>50</v>
      </c>
      <c r="H368" s="280" t="str">
        <f t="shared" si="22"/>
        <v/>
      </c>
      <c r="I368" s="7"/>
      <c r="J368" s="7"/>
      <c r="K368" s="7"/>
    </row>
    <row r="369" spans="1:11" ht="14.1" hidden="1" customHeight="1" x14ac:dyDescent="0.3">
      <c r="A369" s="278"/>
      <c r="B369" s="9" t="s">
        <v>27</v>
      </c>
      <c r="C369" s="7"/>
      <c r="D369" s="7"/>
      <c r="E369" s="7" t="str">
        <f t="shared" si="18"/>
        <v/>
      </c>
      <c r="F369" s="7">
        <v>35</v>
      </c>
      <c r="G369" s="7">
        <v>50</v>
      </c>
      <c r="H369" s="280" t="str">
        <f t="shared" si="22"/>
        <v/>
      </c>
      <c r="I369" s="7"/>
      <c r="J369" s="7"/>
      <c r="K369" s="7"/>
    </row>
  </sheetData>
  <autoFilter ref="A9:K369" xr:uid="{FBBD0CDF-99EF-41F1-8FD0-1CFA4D489939}">
    <filterColumn colId="0">
      <filters>
        <filter val="22/10/2019"/>
        <dateGroupItem year="2019" dateTimeGrouping="year"/>
      </filters>
    </filterColumn>
  </autoFilter>
  <mergeCells count="3">
    <mergeCell ref="A1:J1"/>
    <mergeCell ref="H3:J3"/>
    <mergeCell ref="C8:D8"/>
  </mergeCells>
  <conditionalFormatting sqref="I206 I224 H10:H369">
    <cfRule type="cellIs" dxfId="2404" priority="124" stopIfTrue="1" operator="equal">
      <formula>"Pass"</formula>
    </cfRule>
    <cfRule type="cellIs" dxfId="2403" priority="125" stopIfTrue="1" operator="equal">
      <formula>"Fail"</formula>
    </cfRule>
  </conditionalFormatting>
  <conditionalFormatting sqref="A1:A1048576">
    <cfRule type="timePeriod" dxfId="2402" priority="43" timePeriod="today">
      <formula>FLOOR(A1,1)=TODAY()</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E1639"/>
  <sheetViews>
    <sheetView zoomScale="70" zoomScaleNormal="70" workbookViewId="0">
      <pane ySplit="13" topLeftCell="A1629" activePane="bottomLeft" state="frozen"/>
      <selection pane="bottomLeft" activeCell="O1645" sqref="O1645"/>
    </sheetView>
  </sheetViews>
  <sheetFormatPr defaultColWidth="8.19921875" defaultRowHeight="13.2" x14ac:dyDescent="0.25"/>
  <cols>
    <col min="1" max="1" width="13.3984375" style="68" customWidth="1"/>
    <col min="2" max="2" width="8.19921875" style="69"/>
    <col min="3" max="3" width="9.69921875" style="69" customWidth="1"/>
    <col min="4" max="4" width="10.3984375" style="69" bestFit="1" customWidth="1"/>
    <col min="5" max="5" width="12.5" style="3" customWidth="1"/>
    <col min="6" max="6" width="12" style="3" customWidth="1"/>
    <col min="7" max="7" width="10.8984375" style="3" customWidth="1"/>
    <col min="8" max="8" width="11.8984375" style="3" customWidth="1"/>
    <col min="9" max="9" width="10.8984375" style="3" customWidth="1"/>
    <col min="10" max="10" width="11.09765625" style="3" customWidth="1"/>
    <col min="11" max="11" width="11" style="3" customWidth="1"/>
    <col min="12" max="13" width="10.59765625" style="3" customWidth="1"/>
    <col min="14" max="14" width="10.5" style="3" customWidth="1"/>
    <col min="15" max="16" width="8.19921875" style="69" customWidth="1"/>
    <col min="17" max="17" width="9.5" style="69" customWidth="1"/>
    <col min="18" max="18" width="11.69921875" style="69" customWidth="1"/>
    <col min="19" max="19" width="8.19921875" style="15"/>
    <col min="20" max="20" width="8.19921875" style="3"/>
    <col min="21" max="21" width="11.09765625" style="11" customWidth="1"/>
    <col min="22" max="22" width="15.19921875" style="11" customWidth="1"/>
    <col min="23" max="23" width="25.19921875" style="3" customWidth="1"/>
    <col min="24" max="24" width="12.3984375" style="17" customWidth="1"/>
    <col min="25" max="27" width="8.19921875" style="17"/>
    <col min="28" max="28" width="9.3984375" style="11" customWidth="1"/>
    <col min="29" max="29" width="9.3984375" style="11" bestFit="1" customWidth="1"/>
    <col min="30" max="30" width="28.8984375" style="3" bestFit="1" customWidth="1"/>
    <col min="31" max="16384" width="8.19921875" style="3"/>
  </cols>
  <sheetData>
    <row r="1" spans="1:31" x14ac:dyDescent="0.25">
      <c r="A1" s="12"/>
      <c r="B1" s="13"/>
      <c r="C1" s="13"/>
      <c r="D1" s="13"/>
      <c r="E1" s="14"/>
      <c r="F1" s="14"/>
      <c r="G1" s="14"/>
      <c r="H1" s="14"/>
      <c r="I1" s="14"/>
      <c r="J1" s="14"/>
      <c r="K1" s="14"/>
      <c r="L1" s="14"/>
      <c r="M1" s="14"/>
      <c r="N1" s="14"/>
      <c r="O1" s="13"/>
      <c r="P1" s="13"/>
      <c r="Q1" s="13"/>
      <c r="R1" s="13"/>
      <c r="T1" s="14"/>
      <c r="U1" s="248"/>
      <c r="V1" s="225"/>
      <c r="W1" s="16"/>
    </row>
    <row r="2" spans="1:31" x14ac:dyDescent="0.25">
      <c r="A2" s="18"/>
      <c r="B2" s="19"/>
      <c r="C2" s="19"/>
      <c r="D2" s="20" t="s">
        <v>166</v>
      </c>
      <c r="E2" s="21" t="s">
        <v>167</v>
      </c>
      <c r="F2" s="22" t="s">
        <v>230</v>
      </c>
      <c r="G2" s="23"/>
      <c r="H2" s="14"/>
      <c r="I2" s="14"/>
      <c r="J2" s="14"/>
      <c r="K2" s="14"/>
      <c r="L2" s="14"/>
      <c r="M2" s="14"/>
      <c r="N2" s="14"/>
      <c r="O2" s="13"/>
      <c r="P2" s="13" t="s">
        <v>168</v>
      </c>
      <c r="Q2" s="13"/>
      <c r="R2" s="13"/>
      <c r="T2" s="14"/>
      <c r="U2" s="248"/>
      <c r="V2" s="225"/>
      <c r="W2" s="16"/>
    </row>
    <row r="3" spans="1:31" x14ac:dyDescent="0.25">
      <c r="A3" s="18"/>
      <c r="B3" s="19"/>
      <c r="C3" s="19"/>
      <c r="D3" s="24" t="s">
        <v>169</v>
      </c>
      <c r="E3" s="8" t="s">
        <v>170</v>
      </c>
      <c r="F3" s="25" t="s">
        <v>171</v>
      </c>
      <c r="G3" s="26"/>
      <c r="H3" s="14"/>
      <c r="I3" s="14"/>
      <c r="J3" s="14"/>
      <c r="K3" s="14"/>
      <c r="L3" s="14"/>
      <c r="M3" s="14"/>
      <c r="N3" s="14"/>
      <c r="O3" s="13"/>
      <c r="P3" s="13"/>
      <c r="Q3" s="13"/>
      <c r="R3" s="13"/>
      <c r="T3" s="14"/>
      <c r="U3" s="248"/>
      <c r="V3" s="225"/>
      <c r="W3" s="16"/>
    </row>
    <row r="4" spans="1:31" x14ac:dyDescent="0.25">
      <c r="A4" s="18"/>
      <c r="B4" s="19"/>
      <c r="C4" s="19"/>
      <c r="D4" s="24" t="s">
        <v>172</v>
      </c>
      <c r="E4" s="8" t="s">
        <v>172</v>
      </c>
      <c r="F4" s="25" t="s">
        <v>173</v>
      </c>
      <c r="G4" s="26"/>
      <c r="H4" s="14"/>
      <c r="I4" s="14"/>
      <c r="J4" s="14"/>
      <c r="K4" s="14"/>
      <c r="L4" s="14"/>
      <c r="M4" s="14"/>
      <c r="N4" s="14"/>
      <c r="O4" s="13"/>
      <c r="P4" s="13"/>
      <c r="Q4" s="13"/>
      <c r="R4" s="13"/>
      <c r="T4" s="14"/>
      <c r="U4" s="248"/>
      <c r="V4" s="225"/>
      <c r="W4" s="16"/>
    </row>
    <row r="5" spans="1:31" x14ac:dyDescent="0.25">
      <c r="A5" s="18"/>
      <c r="B5" s="19"/>
      <c r="C5" s="19"/>
      <c r="D5" s="24" t="s">
        <v>174</v>
      </c>
      <c r="E5" s="8" t="s">
        <v>175</v>
      </c>
      <c r="F5" s="25" t="s">
        <v>176</v>
      </c>
      <c r="G5" s="26"/>
      <c r="H5" s="14"/>
      <c r="I5" s="14"/>
      <c r="J5" s="14"/>
      <c r="K5" s="14"/>
      <c r="L5" s="14"/>
      <c r="M5" s="14"/>
      <c r="N5" s="14"/>
      <c r="O5" s="13"/>
      <c r="P5" s="13"/>
      <c r="Q5" s="13"/>
      <c r="R5" s="13"/>
      <c r="T5" s="14"/>
      <c r="U5" s="248"/>
      <c r="V5" s="225"/>
      <c r="W5" s="16"/>
    </row>
    <row r="6" spans="1:31" s="160" customFormat="1" ht="15" thickBot="1" x14ac:dyDescent="0.35">
      <c r="A6" s="157"/>
      <c r="B6" s="158"/>
      <c r="C6" s="158"/>
      <c r="E6" s="354" t="s">
        <v>265</v>
      </c>
      <c r="F6" s="355"/>
      <c r="G6" s="355"/>
      <c r="H6" s="355"/>
      <c r="I6" s="355"/>
      <c r="J6" s="355"/>
      <c r="K6" s="355"/>
      <c r="L6" s="355"/>
      <c r="M6" s="355"/>
      <c r="N6" s="355"/>
      <c r="O6" s="159"/>
      <c r="P6" s="159"/>
      <c r="U6" s="226"/>
      <c r="V6" s="226"/>
      <c r="X6" s="161"/>
      <c r="Y6" s="162"/>
      <c r="Z6" s="163"/>
      <c r="AA6" s="163"/>
      <c r="AB6" s="163"/>
      <c r="AC6" s="163"/>
      <c r="AD6" s="164"/>
      <c r="AE6" s="164"/>
    </row>
    <row r="7" spans="1:31" s="160" customFormat="1" ht="14.4" x14ac:dyDescent="0.3">
      <c r="A7" s="310"/>
      <c r="B7" s="311"/>
      <c r="C7" s="311"/>
      <c r="D7" s="348" t="s">
        <v>169</v>
      </c>
      <c r="E7" s="320" t="s">
        <v>430</v>
      </c>
      <c r="F7" s="319">
        <v>0</v>
      </c>
      <c r="G7" s="319">
        <v>0</v>
      </c>
      <c r="H7" s="319">
        <v>0</v>
      </c>
      <c r="I7" s="319">
        <v>0</v>
      </c>
      <c r="J7" s="319">
        <v>0</v>
      </c>
      <c r="K7" s="319">
        <v>-90</v>
      </c>
      <c r="L7" s="319">
        <v>-45</v>
      </c>
      <c r="M7" s="319">
        <v>45</v>
      </c>
      <c r="N7" s="319">
        <v>90</v>
      </c>
      <c r="O7" s="312"/>
      <c r="P7" s="312"/>
      <c r="U7" s="226"/>
      <c r="V7" s="226"/>
      <c r="X7" s="313"/>
      <c r="Y7" s="314"/>
      <c r="Z7" s="315"/>
      <c r="AA7" s="315"/>
      <c r="AB7" s="316"/>
      <c r="AC7" s="315"/>
      <c r="AD7" s="317"/>
      <c r="AE7" s="317"/>
    </row>
    <row r="8" spans="1:31" s="160" customFormat="1" ht="15" thickBot="1" x14ac:dyDescent="0.35">
      <c r="A8" s="310"/>
      <c r="B8" s="311"/>
      <c r="C8" s="311"/>
      <c r="D8" s="349"/>
      <c r="E8" s="325" t="s">
        <v>431</v>
      </c>
      <c r="F8" s="319">
        <v>90</v>
      </c>
      <c r="G8" s="319">
        <v>45</v>
      </c>
      <c r="H8" s="319">
        <v>0</v>
      </c>
      <c r="I8" s="319">
        <v>-45</v>
      </c>
      <c r="J8" s="319">
        <v>-90</v>
      </c>
      <c r="K8" s="319">
        <v>0</v>
      </c>
      <c r="L8" s="319">
        <v>0</v>
      </c>
      <c r="M8" s="319">
        <v>0</v>
      </c>
      <c r="N8" s="319">
        <v>0</v>
      </c>
      <c r="O8" s="312"/>
      <c r="P8" s="312"/>
      <c r="U8" s="226"/>
      <c r="V8" s="226"/>
      <c r="X8" s="313"/>
      <c r="Y8" s="314"/>
      <c r="Z8" s="315"/>
      <c r="AA8" s="315"/>
      <c r="AB8" s="316"/>
      <c r="AC8" s="315"/>
      <c r="AD8" s="317"/>
      <c r="AE8" s="317"/>
    </row>
    <row r="9" spans="1:31" s="160" customFormat="1" ht="16.5" customHeight="1" x14ac:dyDescent="0.3">
      <c r="A9" s="310"/>
      <c r="B9" s="311"/>
      <c r="C9" s="311"/>
      <c r="D9" s="348" t="s">
        <v>172</v>
      </c>
      <c r="E9" s="320" t="s">
        <v>430</v>
      </c>
      <c r="F9" s="291">
        <v>0</v>
      </c>
      <c r="G9" s="291">
        <v>0</v>
      </c>
      <c r="H9" s="291">
        <v>0</v>
      </c>
      <c r="I9" s="291">
        <v>0</v>
      </c>
      <c r="J9" s="291">
        <v>0</v>
      </c>
      <c r="K9" s="291">
        <v>-85</v>
      </c>
      <c r="L9" s="291">
        <v>-42.5</v>
      </c>
      <c r="M9" s="291">
        <v>42.5</v>
      </c>
      <c r="N9" s="291">
        <v>85</v>
      </c>
      <c r="O9" s="312"/>
      <c r="P9" s="312"/>
      <c r="U9" s="226"/>
      <c r="V9" s="226"/>
      <c r="X9" s="313"/>
      <c r="Y9" s="314"/>
      <c r="Z9" s="315"/>
      <c r="AA9" s="315"/>
      <c r="AB9" s="316"/>
      <c r="AC9" s="315"/>
      <c r="AD9" s="317"/>
      <c r="AE9" s="317"/>
    </row>
    <row r="10" spans="1:31" s="160" customFormat="1" ht="16.2" thickBot="1" x14ac:dyDescent="0.35">
      <c r="A10" s="310"/>
      <c r="B10" s="311"/>
      <c r="C10" s="311"/>
      <c r="D10" s="350"/>
      <c r="E10" s="321" t="s">
        <v>431</v>
      </c>
      <c r="F10" s="291">
        <v>85</v>
      </c>
      <c r="G10" s="291">
        <v>42.5</v>
      </c>
      <c r="H10" s="291">
        <v>0</v>
      </c>
      <c r="I10" s="291">
        <v>-42.5</v>
      </c>
      <c r="J10" s="291">
        <v>-85</v>
      </c>
      <c r="K10" s="291">
        <v>0</v>
      </c>
      <c r="L10" s="291">
        <v>0</v>
      </c>
      <c r="M10" s="291">
        <v>0</v>
      </c>
      <c r="N10" s="291">
        <v>0</v>
      </c>
      <c r="O10" s="312"/>
      <c r="P10" s="312"/>
      <c r="U10" s="226"/>
      <c r="V10" s="226"/>
      <c r="X10" s="313"/>
      <c r="Y10" s="314"/>
      <c r="Z10" s="315"/>
      <c r="AA10" s="315"/>
      <c r="AB10" s="316"/>
      <c r="AC10" s="315"/>
      <c r="AD10" s="317"/>
      <c r="AE10" s="317"/>
    </row>
    <row r="11" spans="1:31" s="160" customFormat="1" ht="15.6" x14ac:dyDescent="0.3">
      <c r="A11" s="310"/>
      <c r="B11" s="311"/>
      <c r="C11" s="311"/>
      <c r="D11" s="351" t="s">
        <v>174</v>
      </c>
      <c r="E11" s="326" t="s">
        <v>430</v>
      </c>
      <c r="F11" s="327">
        <v>-19.472294000000002</v>
      </c>
      <c r="G11" s="327">
        <v>-19.472294000000002</v>
      </c>
      <c r="H11" s="327">
        <v>-19.472294000000002</v>
      </c>
      <c r="I11" s="327">
        <v>-19.472294000000002</v>
      </c>
      <c r="J11" s="327">
        <v>-19.472294000000002</v>
      </c>
      <c r="K11" s="327">
        <v>-85.206175999999999</v>
      </c>
      <c r="L11" s="327">
        <v>-41.383588000000003</v>
      </c>
      <c r="M11" s="327">
        <v>24.350294000000002</v>
      </c>
      <c r="N11" s="327">
        <v>68.172882000000001</v>
      </c>
      <c r="O11" s="312"/>
      <c r="P11" s="312"/>
      <c r="U11" s="226"/>
      <c r="V11" s="226"/>
      <c r="X11" s="313"/>
      <c r="Y11" s="314"/>
      <c r="Z11" s="315"/>
      <c r="AA11" s="315"/>
      <c r="AB11" s="316"/>
      <c r="AC11" s="315"/>
      <c r="AD11" s="317"/>
      <c r="AE11" s="317"/>
    </row>
    <row r="12" spans="1:31" s="160" customFormat="1" ht="16.5" customHeight="1" thickBot="1" x14ac:dyDescent="0.35">
      <c r="A12" s="310"/>
      <c r="B12" s="311"/>
      <c r="C12" s="311"/>
      <c r="D12" s="350"/>
      <c r="E12" s="321" t="s">
        <v>431</v>
      </c>
      <c r="F12" s="327">
        <v>79.875450999999998</v>
      </c>
      <c r="G12" s="327">
        <v>36.039217000000001</v>
      </c>
      <c r="H12" s="327">
        <v>-7.7970170000000003</v>
      </c>
      <c r="I12" s="327">
        <v>-29.715133999999999</v>
      </c>
      <c r="J12" s="327">
        <v>-73.551367999999997</v>
      </c>
      <c r="K12" s="327">
        <v>-7.7970170000000003</v>
      </c>
      <c r="L12" s="327">
        <v>-7.7970170000000003</v>
      </c>
      <c r="M12" s="327">
        <v>-7.7970170000000003</v>
      </c>
      <c r="N12" s="327">
        <v>-7.7970170000000003</v>
      </c>
      <c r="O12" s="312"/>
      <c r="P12" s="312"/>
      <c r="U12" s="226"/>
      <c r="V12" s="226"/>
      <c r="X12" s="313"/>
      <c r="Y12" s="314"/>
      <c r="Z12" s="315"/>
      <c r="AA12" s="315"/>
      <c r="AB12" s="316"/>
      <c r="AC12" s="315"/>
      <c r="AD12" s="317"/>
      <c r="AE12" s="317"/>
    </row>
    <row r="13" spans="1:31" s="172" customFormat="1" ht="39.9" customHeight="1" thickBot="1" x14ac:dyDescent="0.35">
      <c r="A13" s="165" t="s">
        <v>255</v>
      </c>
      <c r="B13" s="175" t="s">
        <v>166</v>
      </c>
      <c r="C13" s="175" t="s">
        <v>177</v>
      </c>
      <c r="D13" s="318" t="s">
        <v>167</v>
      </c>
      <c r="E13" s="318" t="s">
        <v>260</v>
      </c>
      <c r="F13" s="318">
        <v>1</v>
      </c>
      <c r="G13" s="318">
        <v>2</v>
      </c>
      <c r="H13" s="318">
        <v>3</v>
      </c>
      <c r="I13" s="318">
        <v>4</v>
      </c>
      <c r="J13" s="318">
        <v>5</v>
      </c>
      <c r="K13" s="318">
        <v>6</v>
      </c>
      <c r="L13" s="318">
        <v>7</v>
      </c>
      <c r="M13" s="318">
        <v>8</v>
      </c>
      <c r="N13" s="318">
        <v>9</v>
      </c>
      <c r="O13" s="167" t="s">
        <v>178</v>
      </c>
      <c r="P13" s="167" t="s">
        <v>179</v>
      </c>
      <c r="Q13" s="166" t="s">
        <v>261</v>
      </c>
      <c r="R13" s="168" t="s">
        <v>268</v>
      </c>
      <c r="S13" s="176" t="s">
        <v>180</v>
      </c>
      <c r="T13" s="177" t="s">
        <v>23</v>
      </c>
      <c r="U13" s="168" t="s">
        <v>263</v>
      </c>
      <c r="V13" s="168" t="s">
        <v>264</v>
      </c>
      <c r="W13" s="169" t="s">
        <v>24</v>
      </c>
      <c r="X13" s="170" t="s">
        <v>181</v>
      </c>
      <c r="Y13" s="170" t="s">
        <v>22</v>
      </c>
      <c r="Z13" s="170" t="s">
        <v>182</v>
      </c>
      <c r="AA13" s="170" t="s">
        <v>183</v>
      </c>
      <c r="AB13" s="171" t="s">
        <v>262</v>
      </c>
      <c r="AC13" s="170" t="s">
        <v>184</v>
      </c>
    </row>
    <row r="14" spans="1:31" x14ac:dyDescent="0.25">
      <c r="A14" s="189">
        <v>43101</v>
      </c>
      <c r="B14" s="214" t="s">
        <v>185</v>
      </c>
      <c r="C14" s="33" t="s">
        <v>173</v>
      </c>
      <c r="D14" s="34" t="s">
        <v>172</v>
      </c>
      <c r="E14" s="41" t="s">
        <v>186</v>
      </c>
      <c r="F14" s="11">
        <v>27006.2</v>
      </c>
      <c r="G14" s="11">
        <v>26900.26</v>
      </c>
      <c r="H14" s="11">
        <v>26989.47</v>
      </c>
      <c r="I14" s="11">
        <v>26872.66</v>
      </c>
      <c r="J14" s="11">
        <v>27012.05</v>
      </c>
      <c r="K14" s="11">
        <v>26909.23</v>
      </c>
      <c r="L14" s="11">
        <v>26875.09</v>
      </c>
      <c r="M14" s="11">
        <v>26868.959999999999</v>
      </c>
      <c r="N14" s="11">
        <v>27098.42</v>
      </c>
      <c r="O14" s="35">
        <f>IF((N15=""),"",MAX(F16:N16))</f>
        <v>5246.0699999999961</v>
      </c>
      <c r="P14" s="35">
        <f>IF(N15="","",MIN(F16:N16))</f>
        <v>4466.1000000000022</v>
      </c>
      <c r="Q14" s="36">
        <f>IF((N16=""),"",AVERAGE(F16:N16))</f>
        <v>4816.8533333333326</v>
      </c>
      <c r="R14" s="36">
        <f>IF((N15=""),"",(O14-P14)/(O14+P14)*100)</f>
        <v>8.0308520135046439</v>
      </c>
      <c r="S14" s="113">
        <f>STDEV(F16:N16)</f>
        <v>324.79851004122497</v>
      </c>
      <c r="T14" s="114" t="str">
        <f>IF(N15="","",IF(R14&lt;16,IF(Q14&gt;3200,IF(R14,IF(Q14&lt;5240,"Pass","Fail"),"Fail"),"Fail")))</f>
        <v>Pass</v>
      </c>
      <c r="U14" s="117">
        <v>1428</v>
      </c>
      <c r="V14" s="173"/>
      <c r="W14" s="11"/>
      <c r="X14" s="116">
        <v>4200</v>
      </c>
      <c r="Y14" s="116">
        <v>5500</v>
      </c>
      <c r="Z14" s="116">
        <v>3200</v>
      </c>
      <c r="AA14" s="116">
        <v>5240</v>
      </c>
      <c r="AC14" s="31">
        <v>16</v>
      </c>
    </row>
    <row r="15" spans="1:31" ht="15.6" x14ac:dyDescent="0.3">
      <c r="A15"/>
      <c r="B15" s="32"/>
      <c r="C15" s="33"/>
      <c r="D15" s="34"/>
      <c r="E15" s="61" t="s">
        <v>187</v>
      </c>
      <c r="F15" s="11">
        <v>25280.63</v>
      </c>
      <c r="G15" s="11">
        <v>25365.97</v>
      </c>
      <c r="H15" s="11">
        <v>25500.77</v>
      </c>
      <c r="I15" s="11">
        <v>25366.39</v>
      </c>
      <c r="J15" s="11">
        <v>25313.21</v>
      </c>
      <c r="K15" s="11">
        <v>25210.959999999999</v>
      </c>
      <c r="L15" s="11">
        <v>25351.21</v>
      </c>
      <c r="M15" s="11">
        <v>25342.91</v>
      </c>
      <c r="N15" s="11">
        <v>25349.73</v>
      </c>
      <c r="O15" s="35"/>
      <c r="P15" s="35"/>
      <c r="Q15" s="36"/>
      <c r="R15" s="36"/>
      <c r="S15" s="113"/>
      <c r="T15" s="114"/>
      <c r="U15" s="117"/>
      <c r="V15" s="173"/>
      <c r="W15" s="11"/>
      <c r="X15" s="118"/>
      <c r="Y15" s="118"/>
      <c r="Z15" s="118"/>
      <c r="AA15" s="118"/>
    </row>
    <row r="16" spans="1:31" ht="23.4" thickBot="1" x14ac:dyDescent="0.35">
      <c r="A16"/>
      <c r="B16" s="37"/>
      <c r="C16" s="38"/>
      <c r="D16" s="39"/>
      <c r="E16" s="61" t="s">
        <v>188</v>
      </c>
      <c r="F16" s="40">
        <f t="shared" ref="F16:N16" si="0">IF(((F14="")*AND(F15="")),"",(F14-F15)*3)</f>
        <v>5176.7099999999991</v>
      </c>
      <c r="G16" s="40">
        <f t="shared" si="0"/>
        <v>4602.8699999999917</v>
      </c>
      <c r="H16" s="40">
        <f t="shared" si="0"/>
        <v>4466.1000000000022</v>
      </c>
      <c r="I16" s="40">
        <f t="shared" si="0"/>
        <v>4518.8100000000013</v>
      </c>
      <c r="J16" s="40">
        <f t="shared" si="0"/>
        <v>5096.5200000000004</v>
      </c>
      <c r="K16" s="40">
        <f t="shared" si="0"/>
        <v>5094.8100000000013</v>
      </c>
      <c r="L16" s="40">
        <f t="shared" si="0"/>
        <v>4571.6400000000031</v>
      </c>
      <c r="M16" s="40">
        <f t="shared" si="0"/>
        <v>4578.1499999999978</v>
      </c>
      <c r="N16" s="40">
        <f t="shared" si="0"/>
        <v>5246.0699999999961</v>
      </c>
      <c r="O16" s="41"/>
      <c r="P16" s="41"/>
      <c r="Q16" s="42"/>
      <c r="R16" s="42"/>
      <c r="S16" s="113"/>
      <c r="T16" s="119"/>
      <c r="U16" s="120"/>
      <c r="V16" s="173"/>
      <c r="W16" s="11"/>
      <c r="X16" s="118"/>
      <c r="Y16" s="118"/>
      <c r="Z16" s="118"/>
      <c r="AA16" s="118"/>
    </row>
    <row r="17" spans="1:29" x14ac:dyDescent="0.25">
      <c r="A17" s="188">
        <v>43101</v>
      </c>
      <c r="B17" s="215" t="s">
        <v>174</v>
      </c>
      <c r="C17" s="33" t="s">
        <v>176</v>
      </c>
      <c r="D17" s="44" t="s">
        <v>175</v>
      </c>
      <c r="E17" s="41" t="s">
        <v>186</v>
      </c>
      <c r="F17" s="11">
        <v>5006.4399999999996</v>
      </c>
      <c r="G17" s="11">
        <v>4938.82</v>
      </c>
      <c r="H17" s="11">
        <v>4944.38</v>
      </c>
      <c r="I17" s="11">
        <v>4917.6899999999996</v>
      </c>
      <c r="J17" s="11">
        <v>4969.63</v>
      </c>
      <c r="K17" s="11">
        <v>5039.08</v>
      </c>
      <c r="L17" s="11">
        <v>4966.6899999999996</v>
      </c>
      <c r="M17" s="11">
        <v>4917.93</v>
      </c>
      <c r="N17" s="11">
        <v>4926.84</v>
      </c>
      <c r="O17" s="35">
        <f>IF((N18=""),"",MAX(F19:N19))</f>
        <v>4079.5000000000009</v>
      </c>
      <c r="P17" s="35">
        <f>IF(N18="","",MIN(F19:N19))</f>
        <v>3811.5</v>
      </c>
      <c r="Q17" s="36">
        <f>IF((N19=""),"",AVERAGE(F19:N19))</f>
        <v>3988.1622222222222</v>
      </c>
      <c r="R17" s="36">
        <f>IF((N18=""),"",(O17-P17)/(O17+P17)*100)</f>
        <v>3.3962742364719412</v>
      </c>
      <c r="S17" s="113">
        <f>STDEV(F19:N19)</f>
        <v>88.395009160271371</v>
      </c>
      <c r="T17" s="121" t="str">
        <f>IF(N18="","",IF(Q17&gt;3650,IF(R17&lt;6.5,IF(Q17&lt;4450,"Pass","Fail"),"Fail"),"Fail"))</f>
        <v>Pass</v>
      </c>
      <c r="U17" s="117">
        <v>1428</v>
      </c>
      <c r="V17" s="173"/>
      <c r="W17" s="11"/>
      <c r="X17" s="116">
        <v>3650</v>
      </c>
      <c r="Y17" s="116">
        <v>4450</v>
      </c>
      <c r="Z17" s="116">
        <v>3700</v>
      </c>
      <c r="AA17" s="116">
        <v>4100</v>
      </c>
      <c r="AB17" s="31">
        <v>7</v>
      </c>
      <c r="AC17" s="31">
        <v>6.5</v>
      </c>
    </row>
    <row r="18" spans="1:29" ht="15.6" x14ac:dyDescent="0.3">
      <c r="A18"/>
      <c r="B18" s="43"/>
      <c r="C18" s="33"/>
      <c r="D18" s="34"/>
      <c r="E18" s="61" t="s">
        <v>187</v>
      </c>
      <c r="F18" s="11">
        <v>3048.14</v>
      </c>
      <c r="G18" s="11">
        <v>2918.64</v>
      </c>
      <c r="H18" s="11">
        <v>2916.12</v>
      </c>
      <c r="I18" s="11">
        <v>2897.4</v>
      </c>
      <c r="J18" s="11">
        <v>3013.42</v>
      </c>
      <c r="K18" s="11">
        <v>3133.33</v>
      </c>
      <c r="L18" s="11">
        <v>2953.02</v>
      </c>
      <c r="M18" s="11">
        <v>2878.18</v>
      </c>
      <c r="N18" s="11">
        <v>2922.52</v>
      </c>
      <c r="O18" s="35"/>
      <c r="P18" s="35"/>
      <c r="Q18" s="36"/>
      <c r="R18" s="36"/>
      <c r="S18" s="113"/>
      <c r="T18" s="114"/>
      <c r="U18" s="122"/>
      <c r="V18" s="174"/>
      <c r="W18" s="11"/>
      <c r="X18" s="118"/>
      <c r="Y18" s="118"/>
      <c r="Z18" s="118"/>
      <c r="AA18" s="118"/>
    </row>
    <row r="19" spans="1:29" ht="23.4" thickBot="1" x14ac:dyDescent="0.35">
      <c r="A19"/>
      <c r="B19" s="43"/>
      <c r="C19" s="33"/>
      <c r="D19" s="34"/>
      <c r="E19" s="48" t="s">
        <v>188</v>
      </c>
      <c r="F19" s="45">
        <f t="shared" ref="F19:N19" si="1">IF(((F17="")*AND(F18="")),"",(F17-F18)*2)</f>
        <v>3916.5999999999995</v>
      </c>
      <c r="G19" s="45">
        <f t="shared" si="1"/>
        <v>4040.3599999999997</v>
      </c>
      <c r="H19" s="45">
        <f t="shared" si="1"/>
        <v>4056.5200000000004</v>
      </c>
      <c r="I19" s="45">
        <f t="shared" si="1"/>
        <v>4040.579999999999</v>
      </c>
      <c r="J19" s="45">
        <f t="shared" si="1"/>
        <v>3912.42</v>
      </c>
      <c r="K19" s="45">
        <f t="shared" si="1"/>
        <v>3811.5</v>
      </c>
      <c r="L19" s="45">
        <f t="shared" si="1"/>
        <v>4027.3399999999992</v>
      </c>
      <c r="M19" s="45">
        <f t="shared" si="1"/>
        <v>4079.5000000000009</v>
      </c>
      <c r="N19" s="45">
        <f t="shared" si="1"/>
        <v>4008.6400000000003</v>
      </c>
      <c r="O19" s="35"/>
      <c r="P19" s="35"/>
      <c r="Q19" s="36"/>
      <c r="R19" s="36"/>
      <c r="S19" s="113"/>
      <c r="T19" s="114"/>
      <c r="U19" s="122"/>
      <c r="V19" s="174"/>
      <c r="W19" s="11"/>
      <c r="X19" s="118"/>
      <c r="Y19" s="118"/>
      <c r="Z19" s="118"/>
      <c r="AA19" s="118"/>
    </row>
    <row r="20" spans="1:29" x14ac:dyDescent="0.25">
      <c r="A20" s="188">
        <v>43101</v>
      </c>
      <c r="B20" s="215" t="s">
        <v>169</v>
      </c>
      <c r="C20" s="47" t="s">
        <v>171</v>
      </c>
      <c r="D20" s="46" t="s">
        <v>189</v>
      </c>
      <c r="E20" s="61" t="s">
        <v>186</v>
      </c>
      <c r="F20" s="11">
        <v>1936.91</v>
      </c>
      <c r="G20" s="11">
        <v>1898.37</v>
      </c>
      <c r="H20" s="11">
        <v>1772.89</v>
      </c>
      <c r="I20" s="11">
        <v>1929.56</v>
      </c>
      <c r="J20" s="11">
        <v>1941.67</v>
      </c>
      <c r="K20" s="11">
        <v>1934.52</v>
      </c>
      <c r="L20" s="11">
        <v>1928.93</v>
      </c>
      <c r="M20" s="11">
        <v>1843.15</v>
      </c>
      <c r="N20" s="11">
        <v>1940.26</v>
      </c>
      <c r="O20" s="48">
        <f>IF((N21=""),"",MAX(F22:N22))</f>
        <v>2080.56</v>
      </c>
      <c r="P20" s="48">
        <f>IF(N21="","",MIN(F22:N22))</f>
        <v>1651.2000000000003</v>
      </c>
      <c r="Q20" s="49">
        <f>IF((N22=""),"",AVERAGE(F22:N22))</f>
        <v>1961.1566666666663</v>
      </c>
      <c r="R20" s="49">
        <f>IF((N21=""),"",(O20-P20)/(O20+P20)*100)</f>
        <v>11.505563058717593</v>
      </c>
      <c r="S20" s="113">
        <f>STDEV(F22:N22)</f>
        <v>138.47375617784039</v>
      </c>
      <c r="T20" s="123" t="str">
        <f>IF(N21="","",IF(Q20&gt;1940,IF(R20&lt;8.3,IF(Q20&lt;2180,"Pass","Fail"),"Fail"),"Fail"))</f>
        <v>Fail</v>
      </c>
      <c r="U20" s="117">
        <v>1428</v>
      </c>
      <c r="V20" s="173"/>
      <c r="W20" s="11"/>
      <c r="X20" s="116">
        <v>2000</v>
      </c>
      <c r="Y20" s="116">
        <v>3000</v>
      </c>
      <c r="Z20" s="116">
        <v>1940</v>
      </c>
      <c r="AA20" s="116">
        <v>2180</v>
      </c>
      <c r="AB20" s="31">
        <v>5.2</v>
      </c>
      <c r="AC20" s="31">
        <v>5.2</v>
      </c>
    </row>
    <row r="21" spans="1:29" ht="15.6" x14ac:dyDescent="0.3">
      <c r="A21"/>
      <c r="B21" s="32"/>
      <c r="C21" s="33"/>
      <c r="D21" s="34"/>
      <c r="E21" s="61" t="s">
        <v>187</v>
      </c>
      <c r="F21" s="11">
        <v>1263.0999999999999</v>
      </c>
      <c r="G21" s="11">
        <v>1239.42</v>
      </c>
      <c r="H21" s="11">
        <v>1222.49</v>
      </c>
      <c r="I21" s="11">
        <v>1236.04</v>
      </c>
      <c r="J21" s="11">
        <v>1277.93</v>
      </c>
      <c r="K21" s="11">
        <v>1273.8900000000001</v>
      </c>
      <c r="L21" s="11">
        <v>1238.18</v>
      </c>
      <c r="M21" s="11">
        <v>1234.1300000000001</v>
      </c>
      <c r="N21" s="11">
        <v>1257.6099999999999</v>
      </c>
      <c r="O21" s="35"/>
      <c r="P21" s="35"/>
      <c r="Q21" s="36"/>
      <c r="R21" s="36"/>
      <c r="S21" s="113"/>
      <c r="T21" s="114"/>
      <c r="U21" s="117"/>
      <c r="V21" s="173"/>
      <c r="W21" s="11"/>
      <c r="X21" s="118"/>
      <c r="Y21" s="118"/>
      <c r="Z21" s="118"/>
      <c r="AA21" s="118"/>
    </row>
    <row r="22" spans="1:29" ht="16.2" thickBot="1" x14ac:dyDescent="0.35">
      <c r="A22"/>
      <c r="B22" s="32"/>
      <c r="C22" s="33"/>
      <c r="D22" s="34"/>
      <c r="E22" s="48" t="s">
        <v>190</v>
      </c>
      <c r="F22" s="45">
        <f t="shared" ref="F22:N22" si="2">IF(((F20="")*AND(F21="")),"",(F20-F21)*3)</f>
        <v>2021.4300000000005</v>
      </c>
      <c r="G22" s="45">
        <f t="shared" si="2"/>
        <v>1976.8499999999995</v>
      </c>
      <c r="H22" s="45">
        <f t="shared" si="2"/>
        <v>1651.2000000000003</v>
      </c>
      <c r="I22" s="45">
        <f t="shared" si="2"/>
        <v>2080.56</v>
      </c>
      <c r="J22" s="45">
        <f t="shared" si="2"/>
        <v>1991.22</v>
      </c>
      <c r="K22" s="45">
        <f t="shared" si="2"/>
        <v>1981.8899999999996</v>
      </c>
      <c r="L22" s="45">
        <f t="shared" si="2"/>
        <v>2072.25</v>
      </c>
      <c r="M22" s="45">
        <f t="shared" si="2"/>
        <v>1827.06</v>
      </c>
      <c r="N22" s="45">
        <f t="shared" si="2"/>
        <v>2047.9500000000003</v>
      </c>
      <c r="O22" s="35"/>
      <c r="P22" s="35"/>
      <c r="Q22" s="36"/>
      <c r="R22" s="36"/>
      <c r="S22" s="113"/>
      <c r="T22" s="114"/>
      <c r="U22" s="117"/>
      <c r="V22" s="173"/>
      <c r="W22" s="11"/>
      <c r="X22" s="118"/>
      <c r="Y22" s="118"/>
      <c r="Z22" s="118"/>
      <c r="AA22" s="118"/>
    </row>
    <row r="23" spans="1:29" x14ac:dyDescent="0.25">
      <c r="A23" s="188">
        <v>43101</v>
      </c>
      <c r="B23" s="215" t="s">
        <v>169</v>
      </c>
      <c r="C23" s="47" t="s">
        <v>171</v>
      </c>
      <c r="D23" s="46" t="s">
        <v>189</v>
      </c>
      <c r="E23" s="61" t="s">
        <v>186</v>
      </c>
      <c r="F23" s="11">
        <v>1972.17</v>
      </c>
      <c r="G23" s="11">
        <v>1968.16</v>
      </c>
      <c r="H23" s="11">
        <v>1963.28</v>
      </c>
      <c r="I23" s="11">
        <v>1968.19</v>
      </c>
      <c r="J23" s="11">
        <v>1977.2</v>
      </c>
      <c r="K23" s="11">
        <v>1973.32</v>
      </c>
      <c r="L23" s="11">
        <v>1966.42</v>
      </c>
      <c r="M23" s="11">
        <v>1971.28</v>
      </c>
      <c r="N23" s="11">
        <v>1975.94</v>
      </c>
      <c r="O23" s="48">
        <f>IF((N24=""),"",MAX(F25:N25))</f>
        <v>2204.88</v>
      </c>
      <c r="P23" s="48">
        <f>IF(N24="","",MIN(F25:N25))</f>
        <v>2097.66</v>
      </c>
      <c r="Q23" s="49">
        <f>IF((N25=""),"",AVERAGE(F25:N25))</f>
        <v>2140.1733333333341</v>
      </c>
      <c r="R23" s="49">
        <f>IF((N24=""),"",(O23-P23)/(O23+P23)*100)</f>
        <v>2.4920163438341132</v>
      </c>
      <c r="S23" s="113">
        <f>STDEV(F25:N25)</f>
        <v>39.538968436215015</v>
      </c>
      <c r="T23" s="123" t="str">
        <f>IF(N24="","",IF(Q23&gt;1940,IF(R23&lt;8.3,IF(Q23&lt;2180,"Pass","Fail"),"Fail"),"Fail"))</f>
        <v>Pass</v>
      </c>
      <c r="U23" s="117">
        <v>1428</v>
      </c>
      <c r="V23" s="173"/>
      <c r="W23" s="11"/>
      <c r="X23" s="116">
        <v>2000</v>
      </c>
      <c r="Y23" s="116">
        <v>3000</v>
      </c>
      <c r="Z23" s="116">
        <v>1940</v>
      </c>
      <c r="AA23" s="116">
        <v>2180</v>
      </c>
      <c r="AB23" s="31">
        <v>5.2</v>
      </c>
      <c r="AC23" s="31">
        <v>5.2</v>
      </c>
    </row>
    <row r="24" spans="1:29" ht="15.6" x14ac:dyDescent="0.3">
      <c r="A24"/>
      <c r="B24" s="32"/>
      <c r="C24" s="33"/>
      <c r="D24" s="34"/>
      <c r="E24" s="61" t="s">
        <v>187</v>
      </c>
      <c r="F24" s="11">
        <v>1237.21</v>
      </c>
      <c r="G24" s="11">
        <v>1259.05</v>
      </c>
      <c r="H24" s="11">
        <v>1263.21</v>
      </c>
      <c r="I24" s="11">
        <v>1264.44</v>
      </c>
      <c r="J24" s="11">
        <v>1263.49</v>
      </c>
      <c r="K24" s="11">
        <v>1261.25</v>
      </c>
      <c r="L24" s="11">
        <v>1267.2</v>
      </c>
      <c r="M24" s="11">
        <v>1257.8499999999999</v>
      </c>
      <c r="N24" s="11">
        <v>1241.74</v>
      </c>
      <c r="O24" s="35"/>
      <c r="P24" s="35"/>
      <c r="Q24" s="36"/>
      <c r="R24" s="36"/>
      <c r="S24" s="113"/>
      <c r="T24" s="114"/>
      <c r="U24" s="117"/>
      <c r="V24" s="173"/>
      <c r="W24" s="11"/>
      <c r="X24" s="118"/>
      <c r="Y24" s="118"/>
      <c r="Z24" s="118"/>
      <c r="AA24" s="118"/>
    </row>
    <row r="25" spans="1:29" ht="23.25" customHeight="1" thickBot="1" x14ac:dyDescent="0.35">
      <c r="A25"/>
      <c r="B25" s="50"/>
      <c r="C25" s="51"/>
      <c r="D25" s="52"/>
      <c r="E25" s="65" t="s">
        <v>190</v>
      </c>
      <c r="F25" s="53">
        <f t="shared" ref="F25:N25" si="3">IF(((F23="")*AND(F24="")),"",(F23-F24)*3)</f>
        <v>2204.88</v>
      </c>
      <c r="G25" s="53">
        <f t="shared" si="3"/>
        <v>2127.3300000000004</v>
      </c>
      <c r="H25" s="53">
        <f t="shared" si="3"/>
        <v>2100.21</v>
      </c>
      <c r="I25" s="53">
        <f t="shared" si="3"/>
        <v>2111.25</v>
      </c>
      <c r="J25" s="53">
        <f t="shared" si="3"/>
        <v>2141.13</v>
      </c>
      <c r="K25" s="53">
        <f t="shared" si="3"/>
        <v>2136.21</v>
      </c>
      <c r="L25" s="53">
        <f t="shared" si="3"/>
        <v>2097.66</v>
      </c>
      <c r="M25" s="53">
        <f t="shared" si="3"/>
        <v>2140.29</v>
      </c>
      <c r="N25" s="53">
        <f t="shared" si="3"/>
        <v>2202.6000000000004</v>
      </c>
      <c r="O25" s="54"/>
      <c r="P25" s="54"/>
      <c r="Q25" s="55"/>
      <c r="R25" s="55"/>
      <c r="S25" s="113"/>
      <c r="T25" s="124"/>
      <c r="U25" s="125"/>
      <c r="V25" s="173"/>
      <c r="W25" s="11"/>
      <c r="X25" s="118"/>
      <c r="Y25" s="118"/>
      <c r="Z25" s="118"/>
      <c r="AA25" s="118"/>
    </row>
    <row r="26" spans="1:29" x14ac:dyDescent="0.25">
      <c r="A26" s="206">
        <v>43105</v>
      </c>
      <c r="B26" s="216" t="s">
        <v>185</v>
      </c>
      <c r="C26" s="27" t="s">
        <v>173</v>
      </c>
      <c r="D26" s="28" t="s">
        <v>172</v>
      </c>
      <c r="E26" s="59" t="s">
        <v>186</v>
      </c>
      <c r="F26" s="11">
        <v>25260.86</v>
      </c>
      <c r="G26" s="11">
        <v>25351.360000000001</v>
      </c>
      <c r="H26" s="11">
        <v>25483.759999999998</v>
      </c>
      <c r="I26" s="11">
        <v>25362.28</v>
      </c>
      <c r="J26" s="11">
        <v>25302.81</v>
      </c>
      <c r="K26" s="11">
        <v>25201.439999999999</v>
      </c>
      <c r="L26" s="11">
        <v>25346.43</v>
      </c>
      <c r="M26" s="11">
        <v>25338.68</v>
      </c>
      <c r="N26" s="11">
        <v>25332.61</v>
      </c>
      <c r="O26" s="29">
        <f>IF((N27=""),"",MAX(F28:N28))</f>
        <v>5096.6699999999983</v>
      </c>
      <c r="P26" s="29">
        <f>IF(N27="","",MIN(F28:N28))</f>
        <v>4356.8399999999965</v>
      </c>
      <c r="Q26" s="30">
        <f>IF((N28=""),"",AVERAGE(F28:N28))</f>
        <v>4705.3766666666652</v>
      </c>
      <c r="R26" s="30">
        <f>IF((N27=""),"",(O26-P26)/(O26+P26)*100)</f>
        <v>7.8259820955391399</v>
      </c>
      <c r="S26" s="113">
        <f>STDEV(F28:N28)</f>
        <v>318.91898242343859</v>
      </c>
      <c r="T26" s="114" t="str">
        <f>IF(N27="","",IF(R26&lt;16,IF(Q26&gt;3200,IF(R26,IF(Q26&lt;5240,"Pass","Fail"),"Fail"),"Fail")))</f>
        <v>Pass</v>
      </c>
      <c r="U26" s="115" t="s">
        <v>191</v>
      </c>
      <c r="V26" s="173"/>
      <c r="W26" s="11"/>
      <c r="X26" s="116">
        <v>4200</v>
      </c>
      <c r="Y26" s="116">
        <v>5500</v>
      </c>
      <c r="Z26" s="116">
        <v>3200</v>
      </c>
      <c r="AA26" s="116">
        <v>5240</v>
      </c>
      <c r="AB26" s="31">
        <v>16</v>
      </c>
      <c r="AC26" s="31">
        <v>16</v>
      </c>
    </row>
    <row r="27" spans="1:29" ht="15.6" x14ac:dyDescent="0.3">
      <c r="A27"/>
      <c r="B27" s="32"/>
      <c r="C27" s="33"/>
      <c r="D27" s="34"/>
      <c r="E27" s="61" t="s">
        <v>187</v>
      </c>
      <c r="F27" s="11">
        <v>23564.799999999999</v>
      </c>
      <c r="G27" s="11">
        <v>23853.91</v>
      </c>
      <c r="H27" s="11">
        <v>24031.48</v>
      </c>
      <c r="I27" s="11">
        <v>23890.7</v>
      </c>
      <c r="J27" s="11">
        <v>23646.93</v>
      </c>
      <c r="K27" s="11">
        <v>23537.17</v>
      </c>
      <c r="L27" s="11">
        <v>23858.9</v>
      </c>
      <c r="M27" s="11">
        <v>23846.49</v>
      </c>
      <c r="N27" s="11">
        <v>23633.72</v>
      </c>
      <c r="O27" s="35"/>
      <c r="P27" s="35"/>
      <c r="Q27" s="36"/>
      <c r="R27" s="36"/>
      <c r="S27" s="113"/>
      <c r="T27" s="114"/>
      <c r="U27" s="117"/>
      <c r="V27" s="173"/>
      <c r="W27" s="11"/>
      <c r="X27" s="118"/>
      <c r="Y27" s="118"/>
      <c r="Z27" s="118"/>
      <c r="AA27" s="118"/>
    </row>
    <row r="28" spans="1:29" ht="23.4" thickBot="1" x14ac:dyDescent="0.35">
      <c r="A28"/>
      <c r="B28" s="37"/>
      <c r="C28" s="38"/>
      <c r="D28" s="39"/>
      <c r="E28" s="61" t="s">
        <v>188</v>
      </c>
      <c r="F28" s="40">
        <f t="shared" ref="F28:N28" si="4">IF(((F26="")*AND(F27="")),"",(F26-F27)*3)</f>
        <v>5088.1800000000039</v>
      </c>
      <c r="G28" s="40">
        <f t="shared" si="4"/>
        <v>4492.3500000000022</v>
      </c>
      <c r="H28" s="40">
        <f t="shared" si="4"/>
        <v>4356.8399999999965</v>
      </c>
      <c r="I28" s="40">
        <f t="shared" si="4"/>
        <v>4414.7399999999943</v>
      </c>
      <c r="J28" s="40">
        <f t="shared" si="4"/>
        <v>4967.6400000000031</v>
      </c>
      <c r="K28" s="40">
        <f t="shared" si="4"/>
        <v>4992.8100000000013</v>
      </c>
      <c r="L28" s="40">
        <f t="shared" si="4"/>
        <v>4462.5899999999965</v>
      </c>
      <c r="M28" s="40">
        <f t="shared" si="4"/>
        <v>4476.5699999999961</v>
      </c>
      <c r="N28" s="40">
        <f t="shared" si="4"/>
        <v>5096.6699999999983</v>
      </c>
      <c r="O28" s="41"/>
      <c r="P28" s="41"/>
      <c r="Q28" s="42"/>
      <c r="R28" s="42"/>
      <c r="S28" s="113"/>
      <c r="T28" s="119"/>
      <c r="U28" s="120"/>
      <c r="V28" s="173"/>
      <c r="W28" s="11"/>
      <c r="X28" s="118"/>
      <c r="Y28" s="118"/>
      <c r="Z28" s="118"/>
      <c r="AA28" s="118"/>
    </row>
    <row r="29" spans="1:29" x14ac:dyDescent="0.25">
      <c r="A29" s="188">
        <v>43105</v>
      </c>
      <c r="B29" s="215" t="s">
        <v>174</v>
      </c>
      <c r="C29" s="33" t="s">
        <v>176</v>
      </c>
      <c r="D29" s="44" t="s">
        <v>175</v>
      </c>
      <c r="E29" s="41" t="s">
        <v>186</v>
      </c>
      <c r="F29" s="11">
        <v>6871.91</v>
      </c>
      <c r="G29" s="11">
        <v>6867.18</v>
      </c>
      <c r="H29" s="11">
        <v>6881.18</v>
      </c>
      <c r="I29" s="11">
        <v>6844.27</v>
      </c>
      <c r="J29" s="11">
        <v>6838.7</v>
      </c>
      <c r="K29" s="11">
        <v>6864.9</v>
      </c>
      <c r="L29" s="11">
        <v>6891.75</v>
      </c>
      <c r="M29" s="11">
        <v>6866.4</v>
      </c>
      <c r="N29" s="11">
        <v>6838.22</v>
      </c>
      <c r="O29" s="35">
        <f>IF((N30=""),"",MAX(F31:N31))</f>
        <v>4037.3599999999988</v>
      </c>
      <c r="P29" s="35">
        <f>IF(N30="","",MIN(F31:N31))</f>
        <v>3787.16</v>
      </c>
      <c r="Q29" s="36">
        <f>IF((N31=""),"",AVERAGE(F31:N31))</f>
        <v>3951.6644444444441</v>
      </c>
      <c r="R29" s="36">
        <f>IF((N30=""),"",(O29-P29)/(O29+P29)*100)</f>
        <v>3.1976402386344334</v>
      </c>
      <c r="S29" s="113">
        <f>STDEV(F31:N31)</f>
        <v>83.9048644464539</v>
      </c>
      <c r="T29" s="121" t="str">
        <f>IF(N30="","",IF(Q29&gt;3650,IF(R29&lt;6.5,IF(Q29&lt;4450,"Pass","Fail"),"Fail"),"Fail"))</f>
        <v>Pass</v>
      </c>
      <c r="U29" s="115" t="s">
        <v>191</v>
      </c>
      <c r="V29" s="173"/>
      <c r="W29" s="11"/>
      <c r="X29" s="116">
        <v>3650</v>
      </c>
      <c r="Y29" s="116">
        <v>4450</v>
      </c>
      <c r="Z29" s="116">
        <v>3700</v>
      </c>
      <c r="AA29" s="116">
        <v>4100</v>
      </c>
      <c r="AB29" s="31">
        <v>7</v>
      </c>
      <c r="AC29" s="31">
        <v>6.5</v>
      </c>
    </row>
    <row r="30" spans="1:29" ht="15.6" x14ac:dyDescent="0.3">
      <c r="A30"/>
      <c r="B30" s="43"/>
      <c r="C30" s="33"/>
      <c r="D30" s="34"/>
      <c r="E30" s="61" t="s">
        <v>187</v>
      </c>
      <c r="F30" s="11">
        <v>4927.8999999999996</v>
      </c>
      <c r="G30" s="11">
        <v>4862.95</v>
      </c>
      <c r="H30" s="11">
        <v>4871.5600000000004</v>
      </c>
      <c r="I30" s="11">
        <v>4846.37</v>
      </c>
      <c r="J30" s="11">
        <v>4901.8900000000003</v>
      </c>
      <c r="K30" s="11">
        <v>4971.32</v>
      </c>
      <c r="L30" s="11">
        <v>4893.6899999999996</v>
      </c>
      <c r="M30" s="11">
        <v>4847.72</v>
      </c>
      <c r="N30" s="11">
        <v>4858.62</v>
      </c>
      <c r="O30" s="35"/>
      <c r="P30" s="35"/>
      <c r="Q30" s="36"/>
      <c r="R30" s="36"/>
      <c r="S30" s="113"/>
      <c r="T30" s="114"/>
      <c r="U30" s="122"/>
      <c r="V30" s="174"/>
      <c r="W30" s="11"/>
      <c r="X30" s="118"/>
      <c r="Y30" s="118"/>
      <c r="Z30" s="118"/>
      <c r="AA30" s="118"/>
    </row>
    <row r="31" spans="1:29" ht="23.4" thickBot="1" x14ac:dyDescent="0.35">
      <c r="A31"/>
      <c r="B31" s="43"/>
      <c r="C31" s="33"/>
      <c r="D31" s="34"/>
      <c r="E31" s="48" t="s">
        <v>188</v>
      </c>
      <c r="F31" s="45">
        <f t="shared" ref="F31:N31" si="5">IF(((F29="")*AND(F30="")),"",(F29-F30)*2)</f>
        <v>3888.0200000000004</v>
      </c>
      <c r="G31" s="45">
        <f t="shared" si="5"/>
        <v>4008.4600000000009</v>
      </c>
      <c r="H31" s="45">
        <f t="shared" si="5"/>
        <v>4019.24</v>
      </c>
      <c r="I31" s="45">
        <f t="shared" si="5"/>
        <v>3995.8000000000011</v>
      </c>
      <c r="J31" s="45">
        <f t="shared" si="5"/>
        <v>3873.619999999999</v>
      </c>
      <c r="K31" s="45">
        <f t="shared" si="5"/>
        <v>3787.16</v>
      </c>
      <c r="L31" s="45">
        <f t="shared" si="5"/>
        <v>3996.1200000000008</v>
      </c>
      <c r="M31" s="45">
        <f t="shared" si="5"/>
        <v>4037.3599999999988</v>
      </c>
      <c r="N31" s="45">
        <f t="shared" si="5"/>
        <v>3959.2000000000007</v>
      </c>
      <c r="O31" s="35"/>
      <c r="P31" s="35"/>
      <c r="Q31" s="36"/>
      <c r="R31" s="36"/>
      <c r="S31" s="113"/>
      <c r="T31" s="114"/>
      <c r="U31" s="122"/>
      <c r="V31" s="174"/>
      <c r="W31" s="11"/>
      <c r="X31" s="118"/>
      <c r="Y31" s="118"/>
      <c r="Z31" s="118"/>
      <c r="AA31" s="118"/>
    </row>
    <row r="32" spans="1:29" x14ac:dyDescent="0.25">
      <c r="A32" s="188">
        <v>43105</v>
      </c>
      <c r="B32" s="215" t="s">
        <v>169</v>
      </c>
      <c r="C32" s="47" t="s">
        <v>171</v>
      </c>
      <c r="D32" s="46" t="s">
        <v>189</v>
      </c>
      <c r="E32" s="61" t="s">
        <v>186</v>
      </c>
      <c r="F32" s="11">
        <v>1241.3499999999999</v>
      </c>
      <c r="G32" s="11">
        <v>1261.3</v>
      </c>
      <c r="H32" s="11">
        <v>1260.69</v>
      </c>
      <c r="I32" s="11">
        <v>1267.1199999999999</v>
      </c>
      <c r="J32" s="11">
        <v>1264.3399999999999</v>
      </c>
      <c r="K32" s="11">
        <v>1257.9100000000001</v>
      </c>
      <c r="L32" s="11">
        <v>1268.75</v>
      </c>
      <c r="M32" s="11">
        <v>1258.72</v>
      </c>
      <c r="N32" s="11">
        <v>1246.2</v>
      </c>
      <c r="O32" s="48">
        <f>IF((N33=""),"",MAX(F34:N34))</f>
        <v>2102.52</v>
      </c>
      <c r="P32" s="48">
        <f>IF(N33="","",MIN(F34:N34))</f>
        <v>1969.29</v>
      </c>
      <c r="Q32" s="49">
        <f>IF((N34=""),"",AVERAGE(F34:N34))</f>
        <v>2059.5233333333326</v>
      </c>
      <c r="R32" s="49">
        <f>IF((N33=""),"",(O32-P32)/(O32+P32)*100)</f>
        <v>3.2720092538699008</v>
      </c>
      <c r="S32" s="113">
        <f>STDEV(F34:N34)</f>
        <v>44.640410224369525</v>
      </c>
      <c r="T32" s="123" t="str">
        <f>IF(N33="","",IF(Q32&gt;1940,IF(R32&lt;8.3,IF(Q32&lt;2180,"Pass","Fail"),"Fail"),"Fail"))</f>
        <v>Pass</v>
      </c>
      <c r="U32" s="115" t="s">
        <v>191</v>
      </c>
      <c r="V32" s="173"/>
      <c r="W32" s="11"/>
      <c r="X32" s="116">
        <v>2000</v>
      </c>
      <c r="Y32" s="116">
        <v>3000</v>
      </c>
      <c r="Z32" s="116">
        <v>1940</v>
      </c>
      <c r="AA32" s="116">
        <v>2180</v>
      </c>
      <c r="AB32" s="31">
        <v>5.2</v>
      </c>
      <c r="AC32" s="31">
        <v>5.2</v>
      </c>
    </row>
    <row r="33" spans="1:29" ht="15.6" x14ac:dyDescent="0.3">
      <c r="A33"/>
      <c r="B33" s="32"/>
      <c r="C33" s="33"/>
      <c r="D33" s="34"/>
      <c r="E33" s="61" t="s">
        <v>187</v>
      </c>
      <c r="F33" s="11">
        <v>554.39</v>
      </c>
      <c r="G33" s="11">
        <v>561.47</v>
      </c>
      <c r="H33" s="11">
        <v>567.94000000000005</v>
      </c>
      <c r="I33" s="11">
        <v>572.88</v>
      </c>
      <c r="J33" s="11">
        <v>607.91</v>
      </c>
      <c r="K33" s="11">
        <v>586.49</v>
      </c>
      <c r="L33" s="11">
        <v>571.97</v>
      </c>
      <c r="M33" s="11">
        <v>557.88</v>
      </c>
      <c r="N33" s="11">
        <v>566.88</v>
      </c>
      <c r="O33" s="35"/>
      <c r="P33" s="35"/>
      <c r="Q33" s="36"/>
      <c r="R33" s="36"/>
      <c r="S33" s="113"/>
      <c r="T33" s="114"/>
      <c r="U33" s="117"/>
      <c r="V33" s="173"/>
      <c r="W33" s="11"/>
      <c r="X33" s="118"/>
      <c r="Y33" s="118"/>
      <c r="Z33" s="118"/>
      <c r="AA33" s="118"/>
    </row>
    <row r="34" spans="1:29" ht="16.2" thickBot="1" x14ac:dyDescent="0.35">
      <c r="A34"/>
      <c r="B34" s="50"/>
      <c r="C34" s="51"/>
      <c r="D34" s="52"/>
      <c r="E34" s="65" t="s">
        <v>190</v>
      </c>
      <c r="F34" s="53">
        <f t="shared" ref="F34:N34" si="6">IF(((F32="")*AND(F33="")),"",(F32-F33)*3)</f>
        <v>2060.8799999999997</v>
      </c>
      <c r="G34" s="53">
        <f t="shared" si="6"/>
        <v>2099.4899999999998</v>
      </c>
      <c r="H34" s="53">
        <f t="shared" si="6"/>
        <v>2078.25</v>
      </c>
      <c r="I34" s="53">
        <f t="shared" si="6"/>
        <v>2082.7199999999998</v>
      </c>
      <c r="J34" s="53">
        <f t="shared" si="6"/>
        <v>1969.29</v>
      </c>
      <c r="K34" s="53">
        <f t="shared" si="6"/>
        <v>2014.2600000000002</v>
      </c>
      <c r="L34" s="53">
        <f t="shared" si="6"/>
        <v>2090.34</v>
      </c>
      <c r="M34" s="53">
        <f t="shared" si="6"/>
        <v>2102.52</v>
      </c>
      <c r="N34" s="53">
        <f t="shared" si="6"/>
        <v>2037.96</v>
      </c>
      <c r="O34" s="54"/>
      <c r="P34" s="54"/>
      <c r="Q34" s="55"/>
      <c r="R34" s="55"/>
      <c r="S34" s="113"/>
      <c r="T34" s="124"/>
      <c r="U34" s="125"/>
      <c r="V34" s="173"/>
      <c r="W34" s="11"/>
      <c r="X34" s="118"/>
      <c r="Y34" s="118"/>
      <c r="Z34" s="118"/>
      <c r="AA34" s="118"/>
    </row>
    <row r="35" spans="1:29" x14ac:dyDescent="0.25">
      <c r="A35" s="188">
        <v>43109</v>
      </c>
      <c r="B35" s="216" t="s">
        <v>185</v>
      </c>
      <c r="C35" s="27" t="s">
        <v>173</v>
      </c>
      <c r="D35" s="28" t="s">
        <v>172</v>
      </c>
      <c r="E35" s="59" t="s">
        <v>186</v>
      </c>
      <c r="F35" s="11">
        <v>23520.94</v>
      </c>
      <c r="G35" s="11">
        <v>23817.93</v>
      </c>
      <c r="H35" s="11">
        <v>24001.83</v>
      </c>
      <c r="I35" s="11">
        <v>23862.7</v>
      </c>
      <c r="J35" s="11">
        <v>23608.01</v>
      </c>
      <c r="K35" s="11">
        <v>23501.75</v>
      </c>
      <c r="L35" s="11">
        <v>23830</v>
      </c>
      <c r="M35" s="11">
        <v>23811</v>
      </c>
      <c r="N35" s="11">
        <v>23587.06</v>
      </c>
      <c r="O35" s="29">
        <f>IF((N36=""),"",MAX(F37:N37))</f>
        <v>5027.6699999999983</v>
      </c>
      <c r="P35" s="29">
        <f>IF(N36="","",MIN(F37:N37))</f>
        <v>4368.96000000001</v>
      </c>
      <c r="Q35" s="30">
        <f>IF((N37=""),"",AVERAGE(F37:N37))</f>
        <v>4673.4600000000028</v>
      </c>
      <c r="R35" s="30">
        <f>IF((N36=""),"",(O35-P35)/(O35+P35)*100)</f>
        <v>7.0100663748597913</v>
      </c>
      <c r="S35" s="113">
        <f>STDEV(F37:N37)</f>
        <v>302.75820525627074</v>
      </c>
      <c r="T35" s="114" t="str">
        <f>IF(N36="","",IF(R35&lt;16,IF(Q35&gt;3200,IF(R35,IF(Q35&lt;5240,"Pass","Fail"),"Fail"),"Fail")))</f>
        <v>Pass</v>
      </c>
      <c r="U35" s="115">
        <v>1335</v>
      </c>
      <c r="V35" s="173"/>
      <c r="W35" s="11"/>
      <c r="X35" s="116">
        <v>4200</v>
      </c>
      <c r="Y35" s="116">
        <v>5500</v>
      </c>
      <c r="Z35" s="116">
        <v>3200</v>
      </c>
      <c r="AA35" s="116">
        <v>5240</v>
      </c>
      <c r="AB35" s="31">
        <v>16</v>
      </c>
      <c r="AC35" s="31">
        <v>16</v>
      </c>
    </row>
    <row r="36" spans="1:29" ht="15.6" x14ac:dyDescent="0.3">
      <c r="A36"/>
      <c r="B36" s="32"/>
      <c r="C36" s="33"/>
      <c r="D36" s="34"/>
      <c r="E36" s="61" t="s">
        <v>187</v>
      </c>
      <c r="F36" s="11">
        <v>21873.14</v>
      </c>
      <c r="G36" s="11">
        <v>22341.01</v>
      </c>
      <c r="H36" s="11">
        <v>22545.51</v>
      </c>
      <c r="I36" s="11">
        <v>22384.92</v>
      </c>
      <c r="J36" s="11">
        <v>21932.12</v>
      </c>
      <c r="K36" s="11">
        <v>21840.16</v>
      </c>
      <c r="L36" s="11">
        <v>22342.75</v>
      </c>
      <c r="M36" s="11">
        <v>22343.119999999999</v>
      </c>
      <c r="N36" s="11">
        <v>21918.11</v>
      </c>
      <c r="O36" s="35"/>
      <c r="P36" s="35"/>
      <c r="Q36" s="36"/>
      <c r="R36" s="36"/>
      <c r="S36" s="113"/>
      <c r="T36" s="114"/>
      <c r="U36" s="117"/>
      <c r="V36" s="173"/>
      <c r="W36" s="11"/>
      <c r="X36" s="118"/>
      <c r="Y36" s="118"/>
      <c r="Z36" s="118"/>
      <c r="AA36" s="118"/>
    </row>
    <row r="37" spans="1:29" ht="23.4" thickBot="1" x14ac:dyDescent="0.35">
      <c r="A37"/>
      <c r="B37" s="37"/>
      <c r="C37" s="38"/>
      <c r="D37" s="39"/>
      <c r="E37" s="61" t="s">
        <v>188</v>
      </c>
      <c r="F37" s="40">
        <f t="shared" ref="F37:N37" si="7">IF(((F35="")*AND(F36="")),"",(F35-F36)*3)</f>
        <v>4943.3999999999978</v>
      </c>
      <c r="G37" s="40">
        <f t="shared" si="7"/>
        <v>4430.7600000000057</v>
      </c>
      <c r="H37" s="40">
        <f t="shared" si="7"/>
        <v>4368.96000000001</v>
      </c>
      <c r="I37" s="40">
        <f t="shared" si="7"/>
        <v>4433.3400000000074</v>
      </c>
      <c r="J37" s="40">
        <f t="shared" si="7"/>
        <v>5027.6699999999983</v>
      </c>
      <c r="K37" s="40">
        <f t="shared" si="7"/>
        <v>4984.7700000000004</v>
      </c>
      <c r="L37" s="40">
        <f t="shared" si="7"/>
        <v>4461.75</v>
      </c>
      <c r="M37" s="40">
        <f t="shared" si="7"/>
        <v>4403.6400000000031</v>
      </c>
      <c r="N37" s="40">
        <f t="shared" si="7"/>
        <v>5006.8500000000022</v>
      </c>
      <c r="O37" s="41"/>
      <c r="P37" s="41"/>
      <c r="Q37" s="42"/>
      <c r="R37" s="42"/>
      <c r="S37" s="113"/>
      <c r="T37" s="119"/>
      <c r="U37" s="120"/>
      <c r="V37" s="173"/>
      <c r="W37" s="11"/>
      <c r="X37" s="118"/>
      <c r="Y37" s="118"/>
      <c r="Z37" s="118"/>
      <c r="AA37" s="118"/>
    </row>
    <row r="38" spans="1:29" x14ac:dyDescent="0.25">
      <c r="A38" s="188">
        <v>43109</v>
      </c>
      <c r="B38" s="215" t="s">
        <v>174</v>
      </c>
      <c r="C38" s="33" t="s">
        <v>176</v>
      </c>
      <c r="D38" s="44" t="s">
        <v>175</v>
      </c>
      <c r="E38" s="41" t="s">
        <v>186</v>
      </c>
      <c r="F38" s="11">
        <v>4934.08</v>
      </c>
      <c r="G38" s="11">
        <v>4870.7</v>
      </c>
      <c r="H38" s="11">
        <v>4878.93</v>
      </c>
      <c r="I38" s="11">
        <v>4854.3500000000004</v>
      </c>
      <c r="J38" s="11">
        <v>4908.2</v>
      </c>
      <c r="K38" s="11">
        <v>4976.6400000000003</v>
      </c>
      <c r="L38" s="11">
        <v>4900.54</v>
      </c>
      <c r="M38" s="11">
        <v>4855.75</v>
      </c>
      <c r="N38" s="11">
        <v>4866.63</v>
      </c>
      <c r="O38" s="35">
        <f>IF((N39=""),"",MAX(F40:N40))</f>
        <v>4034.0600000000004</v>
      </c>
      <c r="P38" s="35">
        <f>IF(N39="","",MIN(F40:N40))</f>
        <v>3787.6000000000004</v>
      </c>
      <c r="Q38" s="36">
        <f>IF((N40=""),"",AVERAGE(F40:N40))</f>
        <v>3954.4000000000005</v>
      </c>
      <c r="R38" s="36">
        <f>IF((N39=""),"",(O38-P38)/(O38+P38)*100)</f>
        <v>3.1509935231140194</v>
      </c>
      <c r="S38" s="113">
        <f>STDEV(F40:N40)</f>
        <v>87.898112607723334</v>
      </c>
      <c r="T38" s="121" t="str">
        <f>IF(N39="","",IF(Q38&gt;3650,IF(R38&lt;6.5,IF(Q38&lt;4450,"Pass","Fail"),"Fail"),"Fail"))</f>
        <v>Pass</v>
      </c>
      <c r="U38" s="117">
        <v>1335</v>
      </c>
      <c r="V38" s="173"/>
      <c r="W38" s="11"/>
      <c r="X38" s="116">
        <v>3650</v>
      </c>
      <c r="Y38" s="116">
        <v>4450</v>
      </c>
      <c r="Z38" s="116">
        <v>3700</v>
      </c>
      <c r="AA38" s="116">
        <v>4100</v>
      </c>
      <c r="AB38" s="31">
        <v>7</v>
      </c>
      <c r="AC38" s="31">
        <v>6.5</v>
      </c>
    </row>
    <row r="39" spans="1:29" ht="15.6" x14ac:dyDescent="0.3">
      <c r="A39"/>
      <c r="B39" s="43"/>
      <c r="C39" s="33"/>
      <c r="D39" s="34"/>
      <c r="E39" s="61" t="s">
        <v>187</v>
      </c>
      <c r="F39" s="11">
        <v>2994.16</v>
      </c>
      <c r="G39" s="11">
        <v>2863.28</v>
      </c>
      <c r="H39" s="11">
        <v>2864.1</v>
      </c>
      <c r="I39" s="11">
        <v>2848.08</v>
      </c>
      <c r="J39" s="11">
        <v>2970.88</v>
      </c>
      <c r="K39" s="11">
        <v>3082.84</v>
      </c>
      <c r="L39" s="11">
        <v>2896.07</v>
      </c>
      <c r="M39" s="11">
        <v>2838.72</v>
      </c>
      <c r="N39" s="11">
        <v>2892.89</v>
      </c>
      <c r="O39" s="35"/>
      <c r="P39" s="35"/>
      <c r="Q39" s="36"/>
      <c r="R39" s="36"/>
      <c r="S39" s="113"/>
      <c r="T39" s="114"/>
      <c r="U39" s="122"/>
      <c r="V39" s="174"/>
      <c r="W39" s="11"/>
      <c r="X39" s="118"/>
      <c r="Y39" s="118"/>
      <c r="Z39" s="118"/>
      <c r="AA39" s="118"/>
    </row>
    <row r="40" spans="1:29" ht="23.4" thickBot="1" x14ac:dyDescent="0.35">
      <c r="A40"/>
      <c r="B40" s="43"/>
      <c r="C40" s="33"/>
      <c r="D40" s="34"/>
      <c r="E40" s="48" t="s">
        <v>188</v>
      </c>
      <c r="F40" s="45">
        <f t="shared" ref="F40:N40" si="8">IF(((F38="")*AND(F39="")),"",(F38-F39)*2)</f>
        <v>3879.84</v>
      </c>
      <c r="G40" s="45">
        <f t="shared" si="8"/>
        <v>4014.8399999999992</v>
      </c>
      <c r="H40" s="45">
        <f t="shared" si="8"/>
        <v>4029.6600000000008</v>
      </c>
      <c r="I40" s="45">
        <f t="shared" si="8"/>
        <v>4012.5400000000009</v>
      </c>
      <c r="J40" s="45">
        <f t="shared" si="8"/>
        <v>3874.6399999999994</v>
      </c>
      <c r="K40" s="45">
        <f t="shared" si="8"/>
        <v>3787.6000000000004</v>
      </c>
      <c r="L40" s="45">
        <f t="shared" si="8"/>
        <v>4008.9399999999996</v>
      </c>
      <c r="M40" s="45">
        <f t="shared" si="8"/>
        <v>4034.0600000000004</v>
      </c>
      <c r="N40" s="45">
        <f t="shared" si="8"/>
        <v>3947.4800000000005</v>
      </c>
      <c r="O40" s="35"/>
      <c r="P40" s="35"/>
      <c r="Q40" s="36"/>
      <c r="R40" s="36"/>
      <c r="S40" s="113"/>
      <c r="T40" s="114"/>
      <c r="U40" s="122"/>
      <c r="V40" s="174"/>
      <c r="W40" s="11"/>
      <c r="X40" s="118"/>
      <c r="Y40" s="118"/>
      <c r="Z40" s="118"/>
      <c r="AA40" s="118"/>
    </row>
    <row r="41" spans="1:29" x14ac:dyDescent="0.25">
      <c r="A41" s="188">
        <v>43109</v>
      </c>
      <c r="B41" s="215" t="s">
        <v>169</v>
      </c>
      <c r="C41" s="47" t="s">
        <v>171</v>
      </c>
      <c r="D41" s="46" t="s">
        <v>189</v>
      </c>
      <c r="E41" s="61" t="s">
        <v>186</v>
      </c>
      <c r="F41" s="11">
        <v>1997.29</v>
      </c>
      <c r="G41" s="11">
        <v>1984.86</v>
      </c>
      <c r="H41" s="11">
        <v>1983.45</v>
      </c>
      <c r="I41" s="11">
        <v>1985.15</v>
      </c>
      <c r="J41" s="11">
        <v>2004.59</v>
      </c>
      <c r="K41" s="11">
        <v>2001.53</v>
      </c>
      <c r="L41" s="11">
        <v>1988.45</v>
      </c>
      <c r="M41" s="11">
        <v>1986.23</v>
      </c>
      <c r="N41" s="11">
        <v>2003.12</v>
      </c>
      <c r="O41" s="48">
        <f>IF((N42=""),"",MAX(F43:N43))</f>
        <v>2192.6699999999996</v>
      </c>
      <c r="P41" s="48">
        <f>IF(N42="","",MIN(F43:N43))</f>
        <v>2127.21</v>
      </c>
      <c r="Q41" s="49">
        <f>IF((N43=""),"",AVERAGE(F43:N43))</f>
        <v>2164.8033333333328</v>
      </c>
      <c r="R41" s="49">
        <f>IF((N42=""),"",(O41-P41)/(O41+P41)*100)</f>
        <v>1.5153198699963792</v>
      </c>
      <c r="S41" s="113">
        <f>STDEV(F43:N43)</f>
        <v>23.04076387622597</v>
      </c>
      <c r="T41" s="123" t="str">
        <f>IF(N42="","",IF(Q41&gt;1940,IF(R41&lt;8.3,IF(Q41&lt;2180,"Pass","Fail"),"Fail"),"Fail"))</f>
        <v>Pass</v>
      </c>
      <c r="U41" s="117">
        <v>1335</v>
      </c>
      <c r="V41" s="173"/>
      <c r="W41" s="11"/>
      <c r="X41" s="116">
        <v>2000</v>
      </c>
      <c r="Y41" s="116">
        <v>3000</v>
      </c>
      <c r="Z41" s="116">
        <v>1940</v>
      </c>
      <c r="AA41" s="116">
        <v>2180</v>
      </c>
      <c r="AB41" s="31">
        <v>5.2</v>
      </c>
      <c r="AC41" s="31">
        <v>5.2</v>
      </c>
    </row>
    <row r="42" spans="1:29" ht="15.6" x14ac:dyDescent="0.3">
      <c r="A42"/>
      <c r="B42" s="32"/>
      <c r="C42" s="33"/>
      <c r="D42" s="34"/>
      <c r="E42" s="61" t="s">
        <v>187</v>
      </c>
      <c r="F42" s="11">
        <v>1271.5899999999999</v>
      </c>
      <c r="G42" s="11">
        <v>1260.22</v>
      </c>
      <c r="H42" s="11">
        <v>1261.3699999999999</v>
      </c>
      <c r="I42" s="11">
        <v>1263.42</v>
      </c>
      <c r="J42" s="11">
        <v>1295.4000000000001</v>
      </c>
      <c r="K42" s="11">
        <v>1292.46</v>
      </c>
      <c r="L42" s="11">
        <v>1265.81</v>
      </c>
      <c r="M42" s="11">
        <v>1257.76</v>
      </c>
      <c r="N42" s="11">
        <v>1272.23</v>
      </c>
      <c r="O42" s="35"/>
      <c r="P42" s="35"/>
      <c r="Q42" s="36"/>
      <c r="R42" s="36"/>
      <c r="S42" s="113"/>
      <c r="T42" s="114"/>
      <c r="U42" s="117"/>
      <c r="V42" s="173"/>
      <c r="W42" s="11"/>
      <c r="X42" s="118"/>
      <c r="Y42" s="118"/>
      <c r="Z42" s="118"/>
      <c r="AA42" s="118"/>
    </row>
    <row r="43" spans="1:29" ht="16.2" thickBot="1" x14ac:dyDescent="0.35">
      <c r="A43"/>
      <c r="B43" s="50"/>
      <c r="C43" s="51"/>
      <c r="D43" s="52"/>
      <c r="E43" s="65" t="s">
        <v>190</v>
      </c>
      <c r="F43" s="53">
        <f t="shared" ref="F43:N43" si="9">IF(((F41="")*AND(F42="")),"",(F41-F42)*3)</f>
        <v>2177.1000000000004</v>
      </c>
      <c r="G43" s="53">
        <f t="shared" si="9"/>
        <v>2173.9199999999996</v>
      </c>
      <c r="H43" s="53">
        <f t="shared" si="9"/>
        <v>2166.2400000000007</v>
      </c>
      <c r="I43" s="53">
        <f t="shared" si="9"/>
        <v>2165.19</v>
      </c>
      <c r="J43" s="53">
        <f t="shared" si="9"/>
        <v>2127.5699999999997</v>
      </c>
      <c r="K43" s="53">
        <f t="shared" si="9"/>
        <v>2127.21</v>
      </c>
      <c r="L43" s="53">
        <f t="shared" si="9"/>
        <v>2167.92</v>
      </c>
      <c r="M43" s="53">
        <f t="shared" si="9"/>
        <v>2185.41</v>
      </c>
      <c r="N43" s="53">
        <f t="shared" si="9"/>
        <v>2192.6699999999996</v>
      </c>
      <c r="O43" s="54"/>
      <c r="P43" s="54"/>
      <c r="Q43" s="55"/>
      <c r="R43" s="55"/>
      <c r="S43" s="113"/>
      <c r="T43" s="124"/>
      <c r="U43" s="125"/>
      <c r="V43" s="173"/>
      <c r="W43" s="11"/>
      <c r="X43" s="118"/>
      <c r="Y43" s="118"/>
      <c r="Z43" s="118"/>
      <c r="AA43" s="118"/>
    </row>
    <row r="44" spans="1:29" x14ac:dyDescent="0.25">
      <c r="A44" s="188">
        <v>43112</v>
      </c>
      <c r="B44" s="216" t="s">
        <v>185</v>
      </c>
      <c r="C44" s="27" t="s">
        <v>173</v>
      </c>
      <c r="D44" s="28" t="s">
        <v>172</v>
      </c>
      <c r="E44" s="59" t="s">
        <v>186</v>
      </c>
      <c r="F44" s="11">
        <v>21825.39</v>
      </c>
      <c r="G44" s="11">
        <v>22306.080000000002</v>
      </c>
      <c r="H44" s="11">
        <v>22519.56</v>
      </c>
      <c r="I44" s="11">
        <v>22359.25</v>
      </c>
      <c r="J44" s="11">
        <v>21896.59</v>
      </c>
      <c r="K44" s="11">
        <v>21794.63</v>
      </c>
      <c r="L44" s="11">
        <v>22316.19</v>
      </c>
      <c r="M44" s="11">
        <v>22309.51</v>
      </c>
      <c r="N44" s="11">
        <v>21884.23</v>
      </c>
      <c r="O44" s="29">
        <f>IF((N45=""),"",MAX(F46:N46))</f>
        <v>5004.0899999999965</v>
      </c>
      <c r="P44" s="29">
        <f>IF(N45="","",MIN(F46:N46))</f>
        <v>4278.8400000000074</v>
      </c>
      <c r="Q44" s="30">
        <f>IF((N46=""),"",AVERAGE(F46:N46))</f>
        <v>4611.786666666665</v>
      </c>
      <c r="R44" s="30">
        <f>IF((N45=""),"",(O44-P44)/(O44+P44)*100)</f>
        <v>7.8127272315959377</v>
      </c>
      <c r="S44" s="113">
        <f>STDEV(F46:N46)</f>
        <v>316.7750784862958</v>
      </c>
      <c r="T44" s="114" t="str">
        <f>IF(N45="","",IF(R44&lt;16,IF(Q44&gt;3200,IF(R44,IF(Q44&lt;5240,"Pass","Fail"),"Fail"),"Fail")))</f>
        <v>Pass</v>
      </c>
      <c r="U44" s="115" t="s">
        <v>99</v>
      </c>
      <c r="V44" s="173"/>
      <c r="W44" s="11"/>
      <c r="X44" s="116">
        <v>4200</v>
      </c>
      <c r="Y44" s="116">
        <v>5500</v>
      </c>
      <c r="Z44" s="116">
        <v>3200</v>
      </c>
      <c r="AA44" s="116">
        <v>5240</v>
      </c>
      <c r="AB44" s="31">
        <v>16</v>
      </c>
      <c r="AC44" s="31">
        <v>16</v>
      </c>
    </row>
    <row r="45" spans="1:29" ht="15.6" x14ac:dyDescent="0.3">
      <c r="A45"/>
      <c r="B45" s="32"/>
      <c r="C45" s="33"/>
      <c r="D45" s="34"/>
      <c r="E45" s="61" t="s">
        <v>187</v>
      </c>
      <c r="F45" s="11">
        <v>20181.59</v>
      </c>
      <c r="G45" s="11">
        <v>20838.59</v>
      </c>
      <c r="H45" s="11">
        <v>21093.279999999999</v>
      </c>
      <c r="I45" s="11">
        <v>20915.11</v>
      </c>
      <c r="J45" s="11">
        <v>20245.740000000002</v>
      </c>
      <c r="K45" s="11">
        <v>20167.560000000001</v>
      </c>
      <c r="L45" s="11">
        <v>20864.150000000001</v>
      </c>
      <c r="M45" s="11">
        <v>20853.849999999999</v>
      </c>
      <c r="N45" s="11">
        <v>20216.2</v>
      </c>
      <c r="O45" s="35"/>
      <c r="P45" s="35"/>
      <c r="Q45" s="36"/>
      <c r="R45" s="36"/>
      <c r="S45" s="113"/>
      <c r="T45" s="114"/>
      <c r="U45" s="117"/>
      <c r="V45" s="173"/>
      <c r="W45" s="11"/>
      <c r="X45" s="118"/>
      <c r="Y45" s="118"/>
      <c r="Z45" s="118"/>
      <c r="AA45" s="118"/>
    </row>
    <row r="46" spans="1:29" ht="23.4" thickBot="1" x14ac:dyDescent="0.35">
      <c r="A46"/>
      <c r="B46" s="37"/>
      <c r="C46" s="38"/>
      <c r="D46" s="39"/>
      <c r="E46" s="61" t="s">
        <v>188</v>
      </c>
      <c r="F46" s="40">
        <f t="shared" ref="F46:N46" si="10">IF(((F44="")*AND(F45="")),"",(F44-F45)*3)</f>
        <v>4931.3999999999978</v>
      </c>
      <c r="G46" s="40">
        <f t="shared" si="10"/>
        <v>4402.4700000000048</v>
      </c>
      <c r="H46" s="40">
        <f t="shared" si="10"/>
        <v>4278.8400000000074</v>
      </c>
      <c r="I46" s="40">
        <f t="shared" si="10"/>
        <v>4332.4199999999983</v>
      </c>
      <c r="J46" s="40">
        <f t="shared" si="10"/>
        <v>4952.5499999999956</v>
      </c>
      <c r="K46" s="40">
        <f t="shared" si="10"/>
        <v>4881.2099999999991</v>
      </c>
      <c r="L46" s="40">
        <f t="shared" si="10"/>
        <v>4356.1199999999917</v>
      </c>
      <c r="M46" s="40">
        <f t="shared" si="10"/>
        <v>4366.9799999999996</v>
      </c>
      <c r="N46" s="40">
        <f t="shared" si="10"/>
        <v>5004.0899999999965</v>
      </c>
      <c r="O46" s="41"/>
      <c r="P46" s="41"/>
      <c r="Q46" s="42"/>
      <c r="R46" s="42"/>
      <c r="S46" s="113"/>
      <c r="T46" s="119"/>
      <c r="U46" s="120"/>
      <c r="V46" s="173"/>
      <c r="W46" s="11"/>
      <c r="X46" s="118"/>
      <c r="Y46" s="118"/>
      <c r="Z46" s="118"/>
      <c r="AA46" s="118"/>
    </row>
    <row r="47" spans="1:29" x14ac:dyDescent="0.25">
      <c r="A47" s="188">
        <v>43112</v>
      </c>
      <c r="B47" s="215" t="s">
        <v>174</v>
      </c>
      <c r="C47" s="33" t="s">
        <v>176</v>
      </c>
      <c r="D47" s="44" t="s">
        <v>175</v>
      </c>
      <c r="E47" s="41" t="s">
        <v>186</v>
      </c>
      <c r="F47" s="11">
        <v>3000.74</v>
      </c>
      <c r="G47" s="11">
        <v>2869.49</v>
      </c>
      <c r="H47" s="11">
        <v>2870.67</v>
      </c>
      <c r="I47" s="11">
        <v>2853.94</v>
      </c>
      <c r="J47" s="11">
        <v>2976.28</v>
      </c>
      <c r="K47" s="11">
        <v>3089.63</v>
      </c>
      <c r="L47" s="11">
        <v>2902.31</v>
      </c>
      <c r="M47" s="11">
        <v>2844.48</v>
      </c>
      <c r="N47" s="11">
        <v>2898.61</v>
      </c>
      <c r="O47" s="35">
        <f>IF((N48=""),"",MAX(F49:N49))</f>
        <v>3993.1000000000004</v>
      </c>
      <c r="P47" s="35">
        <f>IF(N48="","",MIN(F49:N49))</f>
        <v>3760.2200000000003</v>
      </c>
      <c r="Q47" s="36">
        <f>IF((N49=""),"",AVERAGE(F49:N49))</f>
        <v>3917.0911111111118</v>
      </c>
      <c r="R47" s="36">
        <f>IF((N48=""),"",(O47-P47)/(O47+P47)*100)</f>
        <v>3.0036165152476628</v>
      </c>
      <c r="S47" s="113">
        <f>STDEV(F49:N49)</f>
        <v>82.911870749073671</v>
      </c>
      <c r="T47" s="121" t="str">
        <f>IF(N48="","",IF(Q47&gt;3650,IF(R47&lt;6.5,IF(Q47&lt;4450,"Pass","Fail"),"Fail"),"Fail"))</f>
        <v>Pass</v>
      </c>
      <c r="U47" s="115" t="s">
        <v>99</v>
      </c>
      <c r="V47" s="173"/>
      <c r="W47" s="11"/>
      <c r="X47" s="116">
        <v>3650</v>
      </c>
      <c r="Y47" s="116">
        <v>4450</v>
      </c>
      <c r="Z47" s="116">
        <v>3700</v>
      </c>
      <c r="AA47" s="116">
        <v>4100</v>
      </c>
      <c r="AB47" s="31">
        <v>7</v>
      </c>
      <c r="AC47" s="31">
        <v>6.5</v>
      </c>
    </row>
    <row r="48" spans="1:29" ht="15.6" x14ac:dyDescent="0.3">
      <c r="A48"/>
      <c r="B48" s="43"/>
      <c r="C48" s="33"/>
      <c r="D48" s="34"/>
      <c r="E48" s="61" t="s">
        <v>187</v>
      </c>
      <c r="F48" s="11">
        <v>1076.27</v>
      </c>
      <c r="G48" s="11">
        <v>884.29</v>
      </c>
      <c r="H48" s="11">
        <v>874.12</v>
      </c>
      <c r="I48" s="11">
        <v>869.47</v>
      </c>
      <c r="J48" s="11">
        <v>1055.02</v>
      </c>
      <c r="K48" s="11">
        <v>1209.52</v>
      </c>
      <c r="L48" s="11">
        <v>914.63</v>
      </c>
      <c r="M48" s="11">
        <v>849.48</v>
      </c>
      <c r="N48" s="11">
        <v>946.44</v>
      </c>
      <c r="O48" s="35"/>
      <c r="P48" s="35"/>
      <c r="Q48" s="36"/>
      <c r="R48" s="36"/>
      <c r="S48" s="113"/>
      <c r="T48" s="114"/>
      <c r="U48" s="122"/>
      <c r="V48" s="174"/>
      <c r="W48" s="11"/>
      <c r="X48" s="118"/>
      <c r="Y48" s="118"/>
      <c r="Z48" s="118"/>
      <c r="AA48" s="118"/>
    </row>
    <row r="49" spans="1:29" ht="23.4" thickBot="1" x14ac:dyDescent="0.35">
      <c r="A49"/>
      <c r="B49" s="43"/>
      <c r="C49" s="33"/>
      <c r="D49" s="34"/>
      <c r="E49" s="48" t="s">
        <v>188</v>
      </c>
      <c r="F49" s="45">
        <f t="shared" ref="F49:N49" si="11">IF(((F47="")*AND(F48="")),"",(F47-F48)*2)</f>
        <v>3848.9399999999996</v>
      </c>
      <c r="G49" s="45">
        <f t="shared" si="11"/>
        <v>3970.3999999999996</v>
      </c>
      <c r="H49" s="45">
        <f t="shared" si="11"/>
        <v>3993.1000000000004</v>
      </c>
      <c r="I49" s="45">
        <f t="shared" si="11"/>
        <v>3968.94</v>
      </c>
      <c r="J49" s="45">
        <f t="shared" si="11"/>
        <v>3842.5200000000004</v>
      </c>
      <c r="K49" s="45">
        <f t="shared" si="11"/>
        <v>3760.2200000000003</v>
      </c>
      <c r="L49" s="45">
        <f t="shared" si="11"/>
        <v>3975.3599999999997</v>
      </c>
      <c r="M49" s="45">
        <f t="shared" si="11"/>
        <v>3990</v>
      </c>
      <c r="N49" s="45">
        <f t="shared" si="11"/>
        <v>3904.34</v>
      </c>
      <c r="O49" s="35"/>
      <c r="P49" s="35"/>
      <c r="Q49" s="36"/>
      <c r="R49" s="36"/>
      <c r="S49" s="113"/>
      <c r="T49" s="114"/>
      <c r="U49" s="122"/>
      <c r="V49" s="174"/>
      <c r="W49" s="11"/>
      <c r="X49" s="118"/>
      <c r="Y49" s="118"/>
      <c r="Z49" s="118"/>
      <c r="AA49" s="118"/>
    </row>
    <row r="50" spans="1:29" x14ac:dyDescent="0.25">
      <c r="A50" s="188">
        <v>43112</v>
      </c>
      <c r="B50" s="215" t="s">
        <v>169</v>
      </c>
      <c r="C50" s="47" t="s">
        <v>171</v>
      </c>
      <c r="D50" s="46" t="s">
        <v>189</v>
      </c>
      <c r="E50" s="61" t="s">
        <v>186</v>
      </c>
      <c r="F50" s="11">
        <v>1272.6600000000001</v>
      </c>
      <c r="G50" s="11">
        <v>1263.22</v>
      </c>
      <c r="H50" s="11">
        <v>1258.07</v>
      </c>
      <c r="I50" s="11">
        <v>1264.29</v>
      </c>
      <c r="J50" s="11">
        <v>1298.04</v>
      </c>
      <c r="K50" s="11">
        <v>1295.42</v>
      </c>
      <c r="L50" s="11">
        <v>1270.83</v>
      </c>
      <c r="M50" s="11">
        <v>1260.01</v>
      </c>
      <c r="N50" s="11">
        <v>1275.19</v>
      </c>
      <c r="O50" s="48">
        <f>IF((N51=""),"",MAX(F52:N52))</f>
        <v>2093.67</v>
      </c>
      <c r="P50" s="48">
        <f>IF(N51="","",MIN(F52:N52))</f>
        <v>1981.98</v>
      </c>
      <c r="Q50" s="49">
        <f>IF((N52=""),"",AVERAGE(F52:N52))</f>
        <v>2046.7799999999997</v>
      </c>
      <c r="R50" s="49">
        <f>IF((N51=""),"",(O50-P50)/(O50+P50)*100)</f>
        <v>2.7404217732140896</v>
      </c>
      <c r="S50" s="113">
        <f>STDEV(F52:N52)</f>
        <v>43.927865586663643</v>
      </c>
      <c r="T50" s="123" t="str">
        <f>IF(N51="","",IF(Q50&gt;1940,IF(R50&lt;8.3,IF(Q50&lt;2180,"Pass","Fail"),"Fail"),"Fail"))</f>
        <v>Pass</v>
      </c>
      <c r="U50" s="115" t="s">
        <v>99</v>
      </c>
      <c r="V50" s="173"/>
      <c r="W50" s="11"/>
      <c r="X50" s="116">
        <v>2000</v>
      </c>
      <c r="Y50" s="116">
        <v>3000</v>
      </c>
      <c r="Z50" s="116">
        <v>1940</v>
      </c>
      <c r="AA50" s="116">
        <v>2180</v>
      </c>
      <c r="AB50" s="31">
        <v>5.2</v>
      </c>
      <c r="AC50" s="31">
        <v>5.2</v>
      </c>
    </row>
    <row r="51" spans="1:29" ht="15.6" x14ac:dyDescent="0.3">
      <c r="A51"/>
      <c r="B51" s="32"/>
      <c r="C51" s="33"/>
      <c r="D51" s="34"/>
      <c r="E51" s="61" t="s">
        <v>187</v>
      </c>
      <c r="F51" s="11">
        <v>602.71</v>
      </c>
      <c r="G51" s="11">
        <v>569.46</v>
      </c>
      <c r="H51" s="11">
        <v>569.15</v>
      </c>
      <c r="I51" s="11">
        <v>568.32000000000005</v>
      </c>
      <c r="J51" s="11">
        <v>637.38</v>
      </c>
      <c r="K51" s="11">
        <v>631.23</v>
      </c>
      <c r="L51" s="11">
        <v>577.62</v>
      </c>
      <c r="M51" s="11">
        <v>562.12</v>
      </c>
      <c r="N51" s="11">
        <v>599.4</v>
      </c>
      <c r="O51" s="35"/>
      <c r="P51" s="35"/>
      <c r="Q51" s="36"/>
      <c r="R51" s="36"/>
      <c r="S51" s="113"/>
      <c r="T51" s="114"/>
      <c r="U51" s="117"/>
      <c r="V51" s="173"/>
      <c r="W51" s="11"/>
      <c r="X51" s="118"/>
      <c r="Y51" s="118"/>
      <c r="Z51" s="118"/>
      <c r="AA51" s="118"/>
    </row>
    <row r="52" spans="1:29" ht="16.2" thickBot="1" x14ac:dyDescent="0.35">
      <c r="A52"/>
      <c r="B52" s="50"/>
      <c r="C52" s="51"/>
      <c r="D52" s="52"/>
      <c r="E52" s="65" t="s">
        <v>190</v>
      </c>
      <c r="F52" s="53">
        <f t="shared" ref="F52:N52" si="12">IF(((F50="")*AND(F51="")),"",(F50-F51)*3)</f>
        <v>2009.8500000000001</v>
      </c>
      <c r="G52" s="53">
        <f t="shared" si="12"/>
        <v>2081.2799999999997</v>
      </c>
      <c r="H52" s="53">
        <f t="shared" si="12"/>
        <v>2066.7599999999998</v>
      </c>
      <c r="I52" s="53">
        <f t="shared" si="12"/>
        <v>2087.91</v>
      </c>
      <c r="J52" s="53">
        <f t="shared" si="12"/>
        <v>1981.98</v>
      </c>
      <c r="K52" s="53">
        <f t="shared" si="12"/>
        <v>1992.5700000000002</v>
      </c>
      <c r="L52" s="53">
        <f t="shared" si="12"/>
        <v>2079.6299999999997</v>
      </c>
      <c r="M52" s="53">
        <f t="shared" si="12"/>
        <v>2093.67</v>
      </c>
      <c r="N52" s="53">
        <f t="shared" si="12"/>
        <v>2027.3700000000003</v>
      </c>
      <c r="O52" s="54"/>
      <c r="P52" s="54"/>
      <c r="Q52" s="55"/>
      <c r="R52" s="55"/>
      <c r="S52" s="113"/>
      <c r="T52" s="124"/>
      <c r="U52" s="125"/>
      <c r="V52" s="173"/>
      <c r="W52" s="11"/>
      <c r="X52" s="118"/>
      <c r="Y52" s="118"/>
      <c r="Z52" s="118"/>
      <c r="AA52" s="118"/>
    </row>
    <row r="53" spans="1:29" x14ac:dyDescent="0.25">
      <c r="A53" s="188">
        <v>43117</v>
      </c>
      <c r="B53" s="216" t="s">
        <v>185</v>
      </c>
      <c r="C53" s="27" t="s">
        <v>173</v>
      </c>
      <c r="D53" s="28" t="s">
        <v>172</v>
      </c>
      <c r="E53" s="59" t="s">
        <v>186</v>
      </c>
      <c r="F53" s="11">
        <v>29273.24</v>
      </c>
      <c r="G53" s="11">
        <v>29088.080000000002</v>
      </c>
      <c r="H53" s="11">
        <v>29090.71</v>
      </c>
      <c r="I53" s="11">
        <v>29105.9</v>
      </c>
      <c r="J53" s="11">
        <v>29320.54</v>
      </c>
      <c r="K53" s="11">
        <v>29262.65</v>
      </c>
      <c r="L53" s="11">
        <v>29079.57</v>
      </c>
      <c r="M53" s="11">
        <v>29085.07</v>
      </c>
      <c r="N53" s="11">
        <v>29309.11</v>
      </c>
      <c r="O53" s="29">
        <f>IF((N54=""),"",MAX(F55:N55))</f>
        <v>4665.9599999999991</v>
      </c>
      <c r="P53" s="29">
        <f>IF(N54="","",MIN(F55:N55))</f>
        <v>3969.75</v>
      </c>
      <c r="Q53" s="30">
        <f>IF((N55=""),"",AVERAGE(F55:N55))</f>
        <v>4287.3100000000013</v>
      </c>
      <c r="R53" s="30">
        <f>IF((N54=""),"",(O53-P53)/(O53+P53)*100)</f>
        <v>8.061989112649675</v>
      </c>
      <c r="S53" s="113">
        <f>STDEV(F55:N55)</f>
        <v>293.31326286923996</v>
      </c>
      <c r="T53" s="114" t="str">
        <f>IF(N54="","",IF(R53&lt;16,IF(Q53&gt;3200,IF(R53,IF(Q53&lt;5240,"Pass","Fail"),"Fail"),"Fail")))</f>
        <v>Pass</v>
      </c>
      <c r="U53" s="115">
        <v>1428</v>
      </c>
      <c r="V53" s="173"/>
      <c r="W53" s="11"/>
      <c r="X53" s="116">
        <v>4200</v>
      </c>
      <c r="Y53" s="116">
        <v>5500</v>
      </c>
      <c r="Z53" s="116">
        <v>3200</v>
      </c>
      <c r="AA53" s="116">
        <v>5240</v>
      </c>
      <c r="AB53" s="31">
        <v>16</v>
      </c>
      <c r="AC53" s="31">
        <v>16</v>
      </c>
    </row>
    <row r="54" spans="1:29" ht="15.6" x14ac:dyDescent="0.3">
      <c r="A54"/>
      <c r="B54" s="32"/>
      <c r="C54" s="33"/>
      <c r="D54" s="34"/>
      <c r="E54" s="61" t="s">
        <v>187</v>
      </c>
      <c r="F54" s="11">
        <v>27768.29</v>
      </c>
      <c r="G54" s="11">
        <v>27739.24</v>
      </c>
      <c r="H54" s="11">
        <v>27767.46</v>
      </c>
      <c r="I54" s="11">
        <v>27741.91</v>
      </c>
      <c r="J54" s="11">
        <v>27767.84</v>
      </c>
      <c r="K54" s="11">
        <v>27755.81</v>
      </c>
      <c r="L54" s="11">
        <v>27728.39</v>
      </c>
      <c r="M54" s="11">
        <v>27730.21</v>
      </c>
      <c r="N54" s="11">
        <v>27753.79</v>
      </c>
      <c r="O54" s="35"/>
      <c r="P54" s="35"/>
      <c r="Q54" s="36"/>
      <c r="R54" s="36"/>
      <c r="S54" s="113"/>
      <c r="T54" s="114"/>
      <c r="U54" s="117"/>
      <c r="V54" s="173"/>
      <c r="W54" s="11"/>
      <c r="X54" s="118"/>
      <c r="Y54" s="118"/>
      <c r="Z54" s="118"/>
      <c r="AA54" s="118"/>
    </row>
    <row r="55" spans="1:29" ht="23.4" thickBot="1" x14ac:dyDescent="0.35">
      <c r="A55"/>
      <c r="B55" s="37"/>
      <c r="C55" s="38"/>
      <c r="D55" s="39"/>
      <c r="E55" s="61" t="s">
        <v>188</v>
      </c>
      <c r="F55" s="40">
        <f t="shared" ref="F55:N55" si="13">IF(((F53="")*AND(F54="")),"",(F53-F54)*3)</f>
        <v>4514.8500000000022</v>
      </c>
      <c r="G55" s="40">
        <f t="shared" si="13"/>
        <v>4046.5200000000004</v>
      </c>
      <c r="H55" s="40">
        <f t="shared" si="13"/>
        <v>3969.75</v>
      </c>
      <c r="I55" s="40">
        <f t="shared" si="13"/>
        <v>4091.9700000000048</v>
      </c>
      <c r="J55" s="40">
        <f t="shared" si="13"/>
        <v>4658.1000000000022</v>
      </c>
      <c r="K55" s="40">
        <f t="shared" si="13"/>
        <v>4520.5200000000004</v>
      </c>
      <c r="L55" s="40">
        <f t="shared" si="13"/>
        <v>4053.5400000000009</v>
      </c>
      <c r="M55" s="40">
        <f t="shared" si="13"/>
        <v>4064.5800000000017</v>
      </c>
      <c r="N55" s="40">
        <f t="shared" si="13"/>
        <v>4665.9599999999991</v>
      </c>
      <c r="O55" s="41"/>
      <c r="P55" s="41"/>
      <c r="Q55" s="42"/>
      <c r="R55" s="42"/>
      <c r="S55" s="113"/>
      <c r="T55" s="119"/>
      <c r="U55" s="120"/>
      <c r="V55" s="173"/>
      <c r="W55" s="11"/>
      <c r="X55" s="118"/>
      <c r="Y55" s="118"/>
      <c r="Z55" s="118"/>
      <c r="AA55" s="118"/>
    </row>
    <row r="56" spans="1:29" x14ac:dyDescent="0.25">
      <c r="A56" s="188">
        <v>43117</v>
      </c>
      <c r="B56" s="215" t="s">
        <v>174</v>
      </c>
      <c r="C56" s="33" t="s">
        <v>176</v>
      </c>
      <c r="D56" s="44" t="s">
        <v>175</v>
      </c>
      <c r="E56" s="41" t="s">
        <v>186</v>
      </c>
      <c r="F56" s="11">
        <v>7011.87</v>
      </c>
      <c r="G56" s="11">
        <v>6985.21</v>
      </c>
      <c r="H56" s="11">
        <v>7001.31</v>
      </c>
      <c r="I56" s="11">
        <v>6976.16</v>
      </c>
      <c r="J56" s="11">
        <v>7008.16</v>
      </c>
      <c r="K56" s="11">
        <v>7025.95</v>
      </c>
      <c r="L56" s="11">
        <v>7020.98</v>
      </c>
      <c r="M56" s="11">
        <v>6989.85</v>
      </c>
      <c r="N56" s="11">
        <v>6990.55</v>
      </c>
      <c r="O56" s="35">
        <f>IF((N57=""),"",MAX(F58:N58))</f>
        <v>4046.1000000000004</v>
      </c>
      <c r="P56" s="35">
        <f>IF(N57="","",MIN(F58:N58))</f>
        <v>3776.8799999999992</v>
      </c>
      <c r="Q56" s="36">
        <f>IF((N58=""),"",AVERAGE(F58:N58))</f>
        <v>3953.8844444444444</v>
      </c>
      <c r="R56" s="36">
        <f>IF((N57=""),"",(O56-P56)/(O56+P56)*100)</f>
        <v>3.4413995689622263</v>
      </c>
      <c r="S56" s="113">
        <f>STDEV(F58:N58)</f>
        <v>90.811766185763773</v>
      </c>
      <c r="T56" s="121" t="str">
        <f>IF(N57="","",IF(Q56&gt;3650,IF(R56&lt;6.5,IF(Q56&lt;4450,"Pass","Fail"),"Fail"),"Fail"))</f>
        <v>Pass</v>
      </c>
      <c r="U56" s="117">
        <v>1428</v>
      </c>
      <c r="V56" s="173"/>
      <c r="W56" s="11"/>
      <c r="X56" s="116">
        <v>3650</v>
      </c>
      <c r="Y56" s="116">
        <v>4450</v>
      </c>
      <c r="Z56" s="116">
        <v>3700</v>
      </c>
      <c r="AA56" s="116">
        <v>4100</v>
      </c>
      <c r="AB56" s="31">
        <v>7</v>
      </c>
      <c r="AC56" s="31">
        <v>6.5</v>
      </c>
    </row>
    <row r="57" spans="1:29" ht="15.6" x14ac:dyDescent="0.3">
      <c r="A57"/>
      <c r="B57" s="43"/>
      <c r="C57" s="33"/>
      <c r="D57" s="34"/>
      <c r="E57" s="61" t="s">
        <v>187</v>
      </c>
      <c r="F57" s="11">
        <v>5077.16</v>
      </c>
      <c r="G57" s="11">
        <v>4983.58</v>
      </c>
      <c r="H57" s="11">
        <v>4985.83</v>
      </c>
      <c r="I57" s="11">
        <v>4969.2700000000004</v>
      </c>
      <c r="J57" s="11">
        <v>5065.67</v>
      </c>
      <c r="K57" s="11">
        <v>5137.51</v>
      </c>
      <c r="L57" s="11">
        <v>5020.1899999999996</v>
      </c>
      <c r="M57" s="11">
        <v>4966.8</v>
      </c>
      <c r="N57" s="11">
        <v>5011.55</v>
      </c>
      <c r="O57" s="35"/>
      <c r="P57" s="35"/>
      <c r="Q57" s="36"/>
      <c r="R57" s="36"/>
      <c r="S57" s="113"/>
      <c r="T57" s="114"/>
      <c r="U57" s="122"/>
      <c r="V57" s="174"/>
      <c r="W57" s="11"/>
      <c r="X57" s="118"/>
      <c r="Y57" s="118"/>
      <c r="Z57" s="118"/>
      <c r="AA57" s="118"/>
    </row>
    <row r="58" spans="1:29" ht="23.4" thickBot="1" x14ac:dyDescent="0.35">
      <c r="A58"/>
      <c r="B58" s="43"/>
      <c r="C58" s="33"/>
      <c r="D58" s="34"/>
      <c r="E58" s="48" t="s">
        <v>188</v>
      </c>
      <c r="F58" s="45">
        <f t="shared" ref="F58:N58" si="14">IF(((F56="")*AND(F57="")),"",(F56-F57)*2)</f>
        <v>3869.42</v>
      </c>
      <c r="G58" s="45">
        <f t="shared" si="14"/>
        <v>4003.26</v>
      </c>
      <c r="H58" s="45">
        <f t="shared" si="14"/>
        <v>4030.9600000000009</v>
      </c>
      <c r="I58" s="45">
        <f t="shared" si="14"/>
        <v>4013.7799999999988</v>
      </c>
      <c r="J58" s="45">
        <f t="shared" si="14"/>
        <v>3884.9799999999996</v>
      </c>
      <c r="K58" s="45">
        <f t="shared" si="14"/>
        <v>3776.8799999999992</v>
      </c>
      <c r="L58" s="45">
        <f t="shared" si="14"/>
        <v>4001.58</v>
      </c>
      <c r="M58" s="45">
        <f t="shared" si="14"/>
        <v>4046.1000000000004</v>
      </c>
      <c r="N58" s="45">
        <f t="shared" si="14"/>
        <v>3958</v>
      </c>
      <c r="O58" s="35"/>
      <c r="P58" s="35"/>
      <c r="Q58" s="36"/>
      <c r="R58" s="36"/>
      <c r="S58" s="113"/>
      <c r="T58" s="114"/>
      <c r="U58" s="122"/>
      <c r="V58" s="174"/>
      <c r="W58" s="11"/>
      <c r="X58" s="118"/>
      <c r="Y58" s="118"/>
      <c r="Z58" s="118"/>
      <c r="AA58" s="118"/>
    </row>
    <row r="59" spans="1:29" x14ac:dyDescent="0.25">
      <c r="A59" s="188">
        <v>43117</v>
      </c>
      <c r="B59" s="215" t="s">
        <v>169</v>
      </c>
      <c r="C59" s="47" t="s">
        <v>171</v>
      </c>
      <c r="D59" s="46" t="s">
        <v>189</v>
      </c>
      <c r="E59" s="61" t="s">
        <v>186</v>
      </c>
      <c r="F59" s="11">
        <v>1947.66</v>
      </c>
      <c r="G59" s="11">
        <v>1939.62</v>
      </c>
      <c r="H59" s="11">
        <v>1926.84</v>
      </c>
      <c r="I59" s="11">
        <v>1937.07</v>
      </c>
      <c r="J59" s="11">
        <v>1942.13</v>
      </c>
      <c r="K59" s="11">
        <v>1949.39</v>
      </c>
      <c r="L59" s="11">
        <v>1939.63</v>
      </c>
      <c r="M59" s="11">
        <v>1935.65</v>
      </c>
      <c r="N59" s="11">
        <v>1947.1</v>
      </c>
      <c r="O59" s="48">
        <f>IF((N60=""),"",MAX(F61:N61))</f>
        <v>2092.3199999999997</v>
      </c>
      <c r="P59" s="48">
        <f>IF(N60="","",MIN(F61:N61))</f>
        <v>1965.8700000000006</v>
      </c>
      <c r="Q59" s="49">
        <f>IF((N61=""),"",AVERAGE(F61:N61))</f>
        <v>2048.6566666666672</v>
      </c>
      <c r="R59" s="49">
        <f>IF((N60=""),"",(O59-P59)/(O59+P59)*100)</f>
        <v>3.11592113725575</v>
      </c>
      <c r="S59" s="113">
        <f>STDEV(F61:N61)</f>
        <v>45.486933288582811</v>
      </c>
      <c r="T59" s="123" t="str">
        <f>IF(N60="","",IF(Q59&gt;1940,IF(R59&lt;8.3,IF(Q59&lt;2180,"Pass","Fail"),"Fail"),"Fail"))</f>
        <v>Pass</v>
      </c>
      <c r="U59" s="117">
        <v>1428</v>
      </c>
      <c r="V59" s="173"/>
      <c r="W59" s="11"/>
      <c r="X59" s="116">
        <v>2000</v>
      </c>
      <c r="Y59" s="116">
        <v>3000</v>
      </c>
      <c r="Z59" s="116">
        <v>1940</v>
      </c>
      <c r="AA59" s="116">
        <v>2180</v>
      </c>
      <c r="AB59" s="31">
        <v>5.2</v>
      </c>
      <c r="AC59" s="31">
        <v>5.2</v>
      </c>
    </row>
    <row r="60" spans="1:29" ht="15.6" x14ac:dyDescent="0.3">
      <c r="A60"/>
      <c r="B60" s="32"/>
      <c r="C60" s="33"/>
      <c r="D60" s="34"/>
      <c r="E60" s="61" t="s">
        <v>187</v>
      </c>
      <c r="F60" s="11">
        <v>1267</v>
      </c>
      <c r="G60" s="11">
        <v>1242.18</v>
      </c>
      <c r="H60" s="11">
        <v>1235.92</v>
      </c>
      <c r="I60" s="11">
        <v>1242.42</v>
      </c>
      <c r="J60" s="11">
        <v>1286.8399999999999</v>
      </c>
      <c r="K60" s="11">
        <v>1281.5999999999999</v>
      </c>
      <c r="L60" s="11">
        <v>1243.58</v>
      </c>
      <c r="M60" s="11">
        <v>1242.81</v>
      </c>
      <c r="N60" s="11">
        <v>1276.77</v>
      </c>
      <c r="O60" s="35"/>
      <c r="P60" s="35"/>
      <c r="Q60" s="36"/>
      <c r="R60" s="36"/>
      <c r="S60" s="113"/>
      <c r="T60" s="114"/>
      <c r="U60" s="117"/>
      <c r="V60" s="173"/>
      <c r="W60" s="11"/>
      <c r="X60" s="118"/>
      <c r="Y60" s="118"/>
      <c r="Z60" s="118"/>
      <c r="AA60" s="118"/>
    </row>
    <row r="61" spans="1:29" ht="16.2" thickBot="1" x14ac:dyDescent="0.35">
      <c r="A61"/>
      <c r="B61" s="50"/>
      <c r="C61" s="51"/>
      <c r="D61" s="52"/>
      <c r="E61" s="65" t="s">
        <v>190</v>
      </c>
      <c r="F61" s="53">
        <f t="shared" ref="F61:N61" si="15">IF(((F59="")*AND(F60="")),"",(F59-F60)*3)</f>
        <v>2041.9800000000002</v>
      </c>
      <c r="G61" s="53">
        <f t="shared" si="15"/>
        <v>2092.3199999999997</v>
      </c>
      <c r="H61" s="53">
        <f t="shared" si="15"/>
        <v>2072.7599999999993</v>
      </c>
      <c r="I61" s="53">
        <f t="shared" si="15"/>
        <v>2083.9499999999998</v>
      </c>
      <c r="J61" s="53">
        <f t="shared" si="15"/>
        <v>1965.8700000000006</v>
      </c>
      <c r="K61" s="53">
        <f t="shared" si="15"/>
        <v>2003.3700000000006</v>
      </c>
      <c r="L61" s="53">
        <f t="shared" si="15"/>
        <v>2088.1500000000005</v>
      </c>
      <c r="M61" s="53">
        <f t="shared" si="15"/>
        <v>2078.5200000000004</v>
      </c>
      <c r="N61" s="53">
        <f t="shared" si="15"/>
        <v>2010.9899999999998</v>
      </c>
      <c r="O61" s="54"/>
      <c r="P61" s="54"/>
      <c r="Q61" s="55"/>
      <c r="R61" s="55"/>
      <c r="S61" s="113"/>
      <c r="T61" s="124"/>
      <c r="U61" s="125"/>
      <c r="V61" s="173"/>
      <c r="W61" s="11"/>
      <c r="X61" s="118"/>
      <c r="Y61" s="118"/>
      <c r="Z61" s="118"/>
      <c r="AA61" s="118"/>
    </row>
    <row r="62" spans="1:29" x14ac:dyDescent="0.25">
      <c r="A62" s="188">
        <v>43122</v>
      </c>
      <c r="B62" s="216" t="s">
        <v>185</v>
      </c>
      <c r="C62" s="27" t="s">
        <v>173</v>
      </c>
      <c r="D62" s="28" t="s">
        <v>172</v>
      </c>
      <c r="E62" s="59" t="s">
        <v>186</v>
      </c>
      <c r="F62" s="11">
        <v>27705.279999999999</v>
      </c>
      <c r="G62" s="11">
        <v>27686.35</v>
      </c>
      <c r="H62" s="11">
        <v>27708.09</v>
      </c>
      <c r="I62" s="11">
        <v>27675.91</v>
      </c>
      <c r="J62" s="11">
        <v>27697.54</v>
      </c>
      <c r="K62" s="11">
        <v>27694.9</v>
      </c>
      <c r="L62" s="11">
        <v>27670.02</v>
      </c>
      <c r="M62" s="11">
        <v>27670.22</v>
      </c>
      <c r="N62" s="11">
        <v>27693.45</v>
      </c>
      <c r="O62" s="29">
        <f>IF((N63=""),"",MAX(F64:N64))</f>
        <v>4892.1899999999987</v>
      </c>
      <c r="P62" s="29">
        <f>IF(N63="","",MIN(F64:N64))</f>
        <v>4114.2000000000044</v>
      </c>
      <c r="Q62" s="30">
        <f>IF((N64=""),"",AVERAGE(F64:N64))</f>
        <v>4439.9733333333361</v>
      </c>
      <c r="R62" s="30">
        <f>IF((N63=""),"",(O62-P62)/(O62+P62)*100)</f>
        <v>8.638200211183328</v>
      </c>
      <c r="S62" s="113">
        <f>STDEV(F64:N64)</f>
        <v>318.49842499610492</v>
      </c>
      <c r="T62" s="114" t="str">
        <f>IF(N63="","",IF(R62&lt;16,IF(Q62&gt;3200,IF(R62,IF(Q62&lt;5240,"Pass","Fail"),"Fail"),"Fail")))</f>
        <v>Pass</v>
      </c>
      <c r="U62" s="115"/>
      <c r="V62" s="173"/>
      <c r="W62" s="11"/>
      <c r="X62" s="116">
        <v>4200</v>
      </c>
      <c r="Y62" s="116">
        <v>5500</v>
      </c>
      <c r="Z62" s="116">
        <v>3200</v>
      </c>
      <c r="AA62" s="116">
        <v>5240</v>
      </c>
      <c r="AB62" s="31">
        <v>16</v>
      </c>
      <c r="AC62" s="31">
        <v>16</v>
      </c>
    </row>
    <row r="63" spans="1:29" ht="15.6" x14ac:dyDescent="0.3">
      <c r="A63"/>
      <c r="B63" s="32"/>
      <c r="C63" s="33"/>
      <c r="D63" s="34"/>
      <c r="E63" s="61" t="s">
        <v>187</v>
      </c>
      <c r="F63" s="11">
        <v>26161.55</v>
      </c>
      <c r="G63" s="11">
        <v>26296.38</v>
      </c>
      <c r="H63" s="11">
        <v>26336.69</v>
      </c>
      <c r="I63" s="11">
        <v>26275.01</v>
      </c>
      <c r="J63" s="11">
        <v>26082.29</v>
      </c>
      <c r="K63" s="11">
        <v>26132.21</v>
      </c>
      <c r="L63" s="11">
        <v>26275.42</v>
      </c>
      <c r="M63" s="11">
        <v>26259.57</v>
      </c>
      <c r="N63" s="11">
        <v>26062.720000000001</v>
      </c>
      <c r="O63" s="35"/>
      <c r="P63" s="35"/>
      <c r="Q63" s="36"/>
      <c r="R63" s="36"/>
      <c r="S63" s="113"/>
      <c r="T63" s="114"/>
      <c r="U63" s="117"/>
      <c r="V63" s="173"/>
      <c r="W63" s="11"/>
      <c r="X63" s="118"/>
      <c r="Y63" s="118"/>
      <c r="Z63" s="118"/>
      <c r="AA63" s="118"/>
    </row>
    <row r="64" spans="1:29" ht="23.4" thickBot="1" x14ac:dyDescent="0.35">
      <c r="A64"/>
      <c r="B64" s="37"/>
      <c r="C64" s="38"/>
      <c r="D64" s="39"/>
      <c r="E64" s="61" t="s">
        <v>188</v>
      </c>
      <c r="F64" s="40">
        <f t="shared" ref="F64:N64" si="16">IF(((F62="")*AND(F63="")),"",(F62-F63)*3)</f>
        <v>4631.1899999999987</v>
      </c>
      <c r="G64" s="40">
        <f t="shared" si="16"/>
        <v>4169.9099999999926</v>
      </c>
      <c r="H64" s="40">
        <f t="shared" si="16"/>
        <v>4114.2000000000044</v>
      </c>
      <c r="I64" s="40">
        <f t="shared" si="16"/>
        <v>4202.7000000000044</v>
      </c>
      <c r="J64" s="40">
        <f t="shared" si="16"/>
        <v>4845.75</v>
      </c>
      <c r="K64" s="40">
        <f t="shared" si="16"/>
        <v>4688.070000000007</v>
      </c>
      <c r="L64" s="40">
        <f t="shared" si="16"/>
        <v>4183.8000000000065</v>
      </c>
      <c r="M64" s="40">
        <f t="shared" si="16"/>
        <v>4231.9500000000044</v>
      </c>
      <c r="N64" s="40">
        <f t="shared" si="16"/>
        <v>4892.1899999999987</v>
      </c>
      <c r="O64" s="41"/>
      <c r="P64" s="41"/>
      <c r="Q64" s="42"/>
      <c r="R64" s="42"/>
      <c r="S64" s="113"/>
      <c r="T64" s="119"/>
      <c r="U64" s="120"/>
      <c r="V64" s="173"/>
      <c r="W64" s="11"/>
      <c r="X64" s="118"/>
      <c r="Y64" s="118"/>
      <c r="Z64" s="118"/>
      <c r="AA64" s="118"/>
    </row>
    <row r="65" spans="1:29" x14ac:dyDescent="0.25">
      <c r="A65" s="188">
        <v>43122</v>
      </c>
      <c r="B65" s="215" t="s">
        <v>174</v>
      </c>
      <c r="C65" s="33" t="s">
        <v>176</v>
      </c>
      <c r="D65" s="44" t="s">
        <v>175</v>
      </c>
      <c r="E65" s="41" t="s">
        <v>186</v>
      </c>
      <c r="F65" s="11">
        <v>5077.16</v>
      </c>
      <c r="G65" s="11">
        <v>4983.58</v>
      </c>
      <c r="H65" s="11">
        <v>4985.83</v>
      </c>
      <c r="I65" s="11">
        <v>4969.2700000000004</v>
      </c>
      <c r="J65" s="11">
        <v>5065.67</v>
      </c>
      <c r="K65" s="11">
        <v>5137.51</v>
      </c>
      <c r="L65" s="11">
        <v>5020.1899999999996</v>
      </c>
      <c r="M65" s="11">
        <v>4966.8</v>
      </c>
      <c r="N65" s="11">
        <v>5011.55</v>
      </c>
      <c r="O65" s="35">
        <f>IF((N66=""),"",MAX(F67:N67))</f>
        <v>4059.9000000000005</v>
      </c>
      <c r="P65" s="35">
        <f>IF(N66="","",MIN(F67:N67))</f>
        <v>3748.5800000000008</v>
      </c>
      <c r="Q65" s="36">
        <f>IF((N67=""),"",AVERAGE(F67:N67))</f>
        <v>3968.9244444444444</v>
      </c>
      <c r="R65" s="36">
        <f>IF((N66=""),"",(O65-P65)/(O65+P65)*100)</f>
        <v>3.9869475237178</v>
      </c>
      <c r="S65" s="113">
        <f>STDEV(F67:N67)</f>
        <v>101.97547537411985</v>
      </c>
      <c r="T65" s="121" t="str">
        <f>IF(N66="","",IF(Q65&gt;3650,IF(R65&lt;6.5,IF(Q65&lt;4450,"Pass","Fail"),"Fail"),"Fail"))</f>
        <v>Pass</v>
      </c>
      <c r="U65" s="117"/>
      <c r="V65" s="173"/>
      <c r="W65" s="11"/>
      <c r="X65" s="116">
        <v>3650</v>
      </c>
      <c r="Y65" s="116">
        <v>4450</v>
      </c>
      <c r="Z65" s="116">
        <v>3700</v>
      </c>
      <c r="AA65" s="116">
        <v>4100</v>
      </c>
      <c r="AB65" s="31">
        <v>7</v>
      </c>
      <c r="AC65" s="31">
        <v>6.5</v>
      </c>
    </row>
    <row r="66" spans="1:29" ht="15.6" x14ac:dyDescent="0.3">
      <c r="A66"/>
      <c r="B66" s="43"/>
      <c r="C66" s="33"/>
      <c r="D66" s="34"/>
      <c r="E66" s="61" t="s">
        <v>187</v>
      </c>
      <c r="F66" s="11">
        <v>3137.12</v>
      </c>
      <c r="G66" s="11">
        <v>2972.23</v>
      </c>
      <c r="H66" s="11">
        <v>2961.51</v>
      </c>
      <c r="I66" s="11">
        <v>2952.67</v>
      </c>
      <c r="J66" s="11">
        <v>3105.95</v>
      </c>
      <c r="K66" s="11">
        <v>3263.22</v>
      </c>
      <c r="L66" s="11">
        <v>3013.26</v>
      </c>
      <c r="M66" s="11">
        <v>2936.85</v>
      </c>
      <c r="N66" s="11">
        <v>3014.59</v>
      </c>
      <c r="O66" s="35"/>
      <c r="P66" s="35"/>
      <c r="Q66" s="36"/>
      <c r="R66" s="36"/>
      <c r="S66" s="113"/>
      <c r="T66" s="114"/>
      <c r="U66" s="122"/>
      <c r="V66" s="174"/>
      <c r="W66" s="11"/>
      <c r="X66" s="118"/>
      <c r="Y66" s="118"/>
      <c r="Z66" s="118"/>
      <c r="AA66" s="118"/>
    </row>
    <row r="67" spans="1:29" ht="23.4" thickBot="1" x14ac:dyDescent="0.35">
      <c r="A67"/>
      <c r="B67" s="43"/>
      <c r="C67" s="33"/>
      <c r="D67" s="34"/>
      <c r="E67" s="48" t="s">
        <v>188</v>
      </c>
      <c r="F67" s="45">
        <f t="shared" ref="F67:N67" si="17">IF(((F65="")*AND(F66="")),"",(F65-F66)*2)</f>
        <v>3880.08</v>
      </c>
      <c r="G67" s="45">
        <f t="shared" si="17"/>
        <v>4022.7</v>
      </c>
      <c r="H67" s="45">
        <f t="shared" si="17"/>
        <v>4048.6399999999994</v>
      </c>
      <c r="I67" s="45">
        <f t="shared" si="17"/>
        <v>4033.2000000000007</v>
      </c>
      <c r="J67" s="45">
        <f t="shared" si="17"/>
        <v>3919.4400000000005</v>
      </c>
      <c r="K67" s="45">
        <f t="shared" si="17"/>
        <v>3748.5800000000008</v>
      </c>
      <c r="L67" s="45">
        <f t="shared" si="17"/>
        <v>4013.8599999999988</v>
      </c>
      <c r="M67" s="45">
        <f t="shared" si="17"/>
        <v>4059.9000000000005</v>
      </c>
      <c r="N67" s="45">
        <f t="shared" si="17"/>
        <v>3993.92</v>
      </c>
      <c r="O67" s="35"/>
      <c r="P67" s="35"/>
      <c r="Q67" s="36"/>
      <c r="R67" s="36"/>
      <c r="S67" s="113"/>
      <c r="T67" s="114"/>
      <c r="U67" s="122"/>
      <c r="V67" s="174"/>
      <c r="W67" s="11"/>
      <c r="X67" s="118"/>
      <c r="Y67" s="118"/>
      <c r="Z67" s="118"/>
      <c r="AA67" s="118"/>
    </row>
    <row r="68" spans="1:29" x14ac:dyDescent="0.25">
      <c r="A68" s="188">
        <v>43122</v>
      </c>
      <c r="B68" s="215" t="s">
        <v>169</v>
      </c>
      <c r="C68" s="47" t="s">
        <v>171</v>
      </c>
      <c r="D68" s="46" t="s">
        <v>189</v>
      </c>
      <c r="E68" s="61" t="s">
        <v>186</v>
      </c>
      <c r="F68" s="11">
        <v>1270.03</v>
      </c>
      <c r="G68" s="11">
        <v>1243.93</v>
      </c>
      <c r="H68" s="11">
        <v>1239.57</v>
      </c>
      <c r="I68" s="11">
        <v>1246.3399999999999</v>
      </c>
      <c r="J68" s="11">
        <v>1289.8499999999999</v>
      </c>
      <c r="K68" s="11">
        <v>1286.8499999999999</v>
      </c>
      <c r="L68" s="11">
        <v>1245.51</v>
      </c>
      <c r="M68" s="11">
        <v>1242.6199999999999</v>
      </c>
      <c r="N68" s="11">
        <v>1276.4000000000001</v>
      </c>
      <c r="O68" s="48">
        <f>IF((N69=""),"",MAX(F70:N70))</f>
        <v>2107.77</v>
      </c>
      <c r="P68" s="48">
        <f>IF(N69="","",MIN(F70:N70))</f>
        <v>1977.8399999999997</v>
      </c>
      <c r="Q68" s="49">
        <f>IF((N70=""),"",AVERAGE(F70:N70))</f>
        <v>2063.41</v>
      </c>
      <c r="R68" s="49">
        <f>IF((N69=""),"",(O68-P68)/(O68+P68)*100)</f>
        <v>3.1801860676863503</v>
      </c>
      <c r="S68" s="113">
        <f>STDEV(F70:N70)</f>
        <v>44.62619494198448</v>
      </c>
      <c r="T68" s="123" t="str">
        <f>IF(N69="","",IF(Q68&gt;1940,IF(R68&lt;8.3,IF(Q68&lt;2180,"Pass","Fail"),"Fail"),"Fail"))</f>
        <v>Pass</v>
      </c>
      <c r="U68" s="117"/>
      <c r="V68" s="173"/>
      <c r="W68" s="11"/>
      <c r="X68" s="116">
        <v>2000</v>
      </c>
      <c r="Y68" s="116">
        <v>3000</v>
      </c>
      <c r="Z68" s="116">
        <v>1940</v>
      </c>
      <c r="AA68" s="116">
        <v>2180</v>
      </c>
      <c r="AB68" s="31">
        <v>5.2</v>
      </c>
      <c r="AC68" s="31">
        <v>5.2</v>
      </c>
    </row>
    <row r="69" spans="1:29" ht="15.6" x14ac:dyDescent="0.3">
      <c r="A69"/>
      <c r="B69" s="32"/>
      <c r="C69" s="33"/>
      <c r="D69" s="34"/>
      <c r="E69" s="61" t="s">
        <v>187</v>
      </c>
      <c r="F69" s="11">
        <v>585.41</v>
      </c>
      <c r="G69" s="11">
        <v>541.34</v>
      </c>
      <c r="H69" s="11">
        <v>539.26</v>
      </c>
      <c r="I69" s="11">
        <v>550.66</v>
      </c>
      <c r="J69" s="11">
        <v>630.57000000000005</v>
      </c>
      <c r="K69" s="11">
        <v>610.30999999999995</v>
      </c>
      <c r="L69" s="11">
        <v>550.20000000000005</v>
      </c>
      <c r="M69" s="11">
        <v>541.9</v>
      </c>
      <c r="N69" s="11">
        <v>601.22</v>
      </c>
      <c r="O69" s="35"/>
      <c r="P69" s="35"/>
      <c r="Q69" s="36"/>
      <c r="R69" s="36"/>
      <c r="S69" s="113"/>
      <c r="T69" s="114"/>
      <c r="U69" s="117"/>
      <c r="V69" s="173"/>
      <c r="W69" s="11"/>
      <c r="X69" s="118"/>
      <c r="Y69" s="118"/>
      <c r="Z69" s="118"/>
      <c r="AA69" s="118"/>
    </row>
    <row r="70" spans="1:29" ht="16.2" thickBot="1" x14ac:dyDescent="0.35">
      <c r="A70"/>
      <c r="B70" s="50"/>
      <c r="C70" s="51"/>
      <c r="D70" s="52"/>
      <c r="E70" s="65" t="s">
        <v>190</v>
      </c>
      <c r="F70" s="53">
        <f t="shared" ref="F70:N70" si="18">IF(((F68="")*AND(F69="")),"",(F68-F69)*3)</f>
        <v>2053.86</v>
      </c>
      <c r="G70" s="53">
        <f t="shared" si="18"/>
        <v>2107.77</v>
      </c>
      <c r="H70" s="53">
        <f t="shared" si="18"/>
        <v>2100.9299999999998</v>
      </c>
      <c r="I70" s="53">
        <f t="shared" si="18"/>
        <v>2087.04</v>
      </c>
      <c r="J70" s="53">
        <f t="shared" si="18"/>
        <v>1977.8399999999997</v>
      </c>
      <c r="K70" s="53">
        <f t="shared" si="18"/>
        <v>2029.62</v>
      </c>
      <c r="L70" s="53">
        <f t="shared" si="18"/>
        <v>2085.9299999999998</v>
      </c>
      <c r="M70" s="53">
        <f t="shared" si="18"/>
        <v>2102.16</v>
      </c>
      <c r="N70" s="53">
        <f t="shared" si="18"/>
        <v>2025.5400000000002</v>
      </c>
      <c r="O70" s="54"/>
      <c r="P70" s="54"/>
      <c r="Q70" s="55"/>
      <c r="R70" s="55"/>
      <c r="S70" s="113"/>
      <c r="T70" s="124"/>
      <c r="U70" s="125"/>
      <c r="V70" s="173"/>
      <c r="W70" s="11"/>
      <c r="X70" s="118"/>
      <c r="Y70" s="118"/>
      <c r="Z70" s="118"/>
      <c r="AA70" s="118"/>
    </row>
    <row r="71" spans="1:29" x14ac:dyDescent="0.25">
      <c r="A71" s="188">
        <v>43125</v>
      </c>
      <c r="B71" s="216" t="s">
        <v>185</v>
      </c>
      <c r="C71" s="27" t="s">
        <v>173</v>
      </c>
      <c r="D71" s="28" t="s">
        <v>172</v>
      </c>
      <c r="E71" s="59" t="s">
        <v>186</v>
      </c>
      <c r="F71" s="11">
        <v>29187.08</v>
      </c>
      <c r="G71" s="11">
        <v>29020.92</v>
      </c>
      <c r="H71" s="11">
        <v>29039.75</v>
      </c>
      <c r="I71" s="11">
        <v>29061.119999999999</v>
      </c>
      <c r="J71" s="11">
        <v>29208.66</v>
      </c>
      <c r="K71" s="11">
        <v>29194.57</v>
      </c>
      <c r="L71" s="11">
        <v>29008.81</v>
      </c>
      <c r="M71" s="11">
        <v>29014.94</v>
      </c>
      <c r="N71" s="11">
        <v>29240.11</v>
      </c>
      <c r="O71" s="29">
        <f>IF((N72=""),"",MAX(F73:N73))</f>
        <v>4543.4399999999987</v>
      </c>
      <c r="P71" s="29">
        <f>IF(N72="","",MIN(F73:N73))</f>
        <v>3897.75</v>
      </c>
      <c r="Q71" s="30">
        <f>IF((N73=""),"",AVERAGE(F73:N73))</f>
        <v>4198.4333333333325</v>
      </c>
      <c r="R71" s="30">
        <f>IF((N72=""),"",(O71-P71)/(O71+P71)*100)</f>
        <v>7.6492769384411297</v>
      </c>
      <c r="S71" s="113">
        <f>STDEV(F73:N73)</f>
        <v>260.02913730964917</v>
      </c>
      <c r="T71" s="114" t="str">
        <f>IF(N72="","",IF(R71&lt;16,IF(Q71&gt;3200,IF(R71,IF(Q71&lt;5240,"Pass","Fail"),"Fail"),"Fail")))</f>
        <v>Pass</v>
      </c>
      <c r="U71" s="115">
        <v>1428</v>
      </c>
      <c r="V71" s="173"/>
      <c r="W71" s="11"/>
      <c r="X71" s="116">
        <v>4200</v>
      </c>
      <c r="Y71" s="116">
        <v>5500</v>
      </c>
      <c r="Z71" s="116">
        <v>3200</v>
      </c>
      <c r="AA71" s="116">
        <v>5240</v>
      </c>
      <c r="AB71" s="31">
        <v>16</v>
      </c>
      <c r="AC71" s="31">
        <v>16</v>
      </c>
    </row>
    <row r="72" spans="1:29" ht="15.6" x14ac:dyDescent="0.3">
      <c r="A72"/>
      <c r="B72" s="32"/>
      <c r="C72" s="33"/>
      <c r="D72" s="34"/>
      <c r="E72" s="61" t="s">
        <v>187</v>
      </c>
      <c r="F72" s="11">
        <v>27713.51</v>
      </c>
      <c r="G72" s="11">
        <v>27681.78</v>
      </c>
      <c r="H72" s="11">
        <v>27720.28</v>
      </c>
      <c r="I72" s="11">
        <v>27696.92</v>
      </c>
      <c r="J72" s="11">
        <v>27695.43</v>
      </c>
      <c r="K72" s="11">
        <v>27750.49</v>
      </c>
      <c r="L72" s="11">
        <v>27709.56</v>
      </c>
      <c r="M72" s="11">
        <v>27687.06</v>
      </c>
      <c r="N72" s="11">
        <v>27725.63</v>
      </c>
      <c r="O72" s="35"/>
      <c r="P72" s="35"/>
      <c r="Q72" s="36"/>
      <c r="R72" s="36"/>
      <c r="S72" s="113"/>
      <c r="T72" s="114"/>
      <c r="U72" s="117"/>
      <c r="V72" s="173"/>
      <c r="W72" s="11"/>
      <c r="X72" s="118"/>
      <c r="Y72" s="118"/>
      <c r="Z72" s="118"/>
      <c r="AA72" s="118"/>
    </row>
    <row r="73" spans="1:29" ht="23.4" thickBot="1" x14ac:dyDescent="0.35">
      <c r="A73"/>
      <c r="B73" s="37"/>
      <c r="C73" s="38"/>
      <c r="D73" s="39"/>
      <c r="E73" s="61" t="s">
        <v>188</v>
      </c>
      <c r="F73" s="40">
        <f t="shared" ref="F73:N73" si="19">IF(((F71="")*AND(F72="")),"",(F71-F72)*3)</f>
        <v>4420.71000000001</v>
      </c>
      <c r="G73" s="40">
        <f t="shared" si="19"/>
        <v>4017.4199999999983</v>
      </c>
      <c r="H73" s="40">
        <f t="shared" si="19"/>
        <v>3958.4100000000035</v>
      </c>
      <c r="I73" s="40">
        <f t="shared" si="19"/>
        <v>4092.6000000000022</v>
      </c>
      <c r="J73" s="40">
        <f t="shared" si="19"/>
        <v>4539.6899999999987</v>
      </c>
      <c r="K73" s="40">
        <f t="shared" si="19"/>
        <v>4332.2399999999943</v>
      </c>
      <c r="L73" s="40">
        <f t="shared" si="19"/>
        <v>3897.75</v>
      </c>
      <c r="M73" s="40">
        <f t="shared" si="19"/>
        <v>3983.6399999999921</v>
      </c>
      <c r="N73" s="40">
        <f t="shared" si="19"/>
        <v>4543.4399999999987</v>
      </c>
      <c r="O73" s="41"/>
      <c r="P73" s="41"/>
      <c r="Q73" s="42"/>
      <c r="R73" s="42"/>
      <c r="S73" s="113"/>
      <c r="T73" s="119"/>
      <c r="U73" s="120"/>
      <c r="V73" s="173"/>
      <c r="W73" s="11"/>
      <c r="X73" s="118"/>
      <c r="Y73" s="118"/>
      <c r="Z73" s="118"/>
      <c r="AA73" s="118"/>
    </row>
    <row r="74" spans="1:29" x14ac:dyDescent="0.25">
      <c r="A74" s="188">
        <v>43125</v>
      </c>
      <c r="B74" s="215" t="s">
        <v>174</v>
      </c>
      <c r="C74" s="33" t="s">
        <v>176</v>
      </c>
      <c r="D74" s="44" t="s">
        <v>175</v>
      </c>
      <c r="E74" s="41" t="s">
        <v>186</v>
      </c>
      <c r="F74" s="11">
        <v>6882.67</v>
      </c>
      <c r="G74" s="11">
        <v>6881.03</v>
      </c>
      <c r="H74" s="11">
        <v>6899.28</v>
      </c>
      <c r="I74" s="11">
        <v>6863.66</v>
      </c>
      <c r="J74" s="11">
        <v>6863.4</v>
      </c>
      <c r="K74" s="11">
        <v>6887.16</v>
      </c>
      <c r="L74" s="11">
        <v>6910.22</v>
      </c>
      <c r="M74" s="11">
        <v>6881.89</v>
      </c>
      <c r="N74" s="11">
        <v>6859.54</v>
      </c>
      <c r="O74" s="35">
        <f>IF((N75=""),"",MAX(F76:N76))</f>
        <v>3961.1200000000008</v>
      </c>
      <c r="P74" s="35">
        <f>IF(N75="","",MIN(F76:N76))</f>
        <v>3670.8600000000006</v>
      </c>
      <c r="Q74" s="36">
        <f>IF((N76=""),"",AVERAGE(F76:N76))</f>
        <v>3869.6244444444446</v>
      </c>
      <c r="R74" s="36">
        <f>IF((N75=""),"",(O74-P74)/(O74+P74)*100)</f>
        <v>3.8032070314649697</v>
      </c>
      <c r="S74" s="113">
        <f>STDEV(F76:N76)</f>
        <v>97.870439243817515</v>
      </c>
      <c r="T74" s="121" t="str">
        <f>IF(N75="","",IF(Q74&gt;3650,IF(R74&lt;6.5,IF(Q74&lt;4450,"Pass","Fail"),"Fail"),"Fail"))</f>
        <v>Pass</v>
      </c>
      <c r="U74" s="117">
        <v>1428</v>
      </c>
      <c r="V74" s="173"/>
      <c r="W74" s="11"/>
      <c r="X74" s="116">
        <v>3650</v>
      </c>
      <c r="Y74" s="116">
        <v>4450</v>
      </c>
      <c r="Z74" s="116">
        <v>3700</v>
      </c>
      <c r="AA74" s="116">
        <v>4100</v>
      </c>
      <c r="AB74" s="31">
        <v>7</v>
      </c>
      <c r="AC74" s="31">
        <v>6.5</v>
      </c>
    </row>
    <row r="75" spans="1:29" ht="15.6" x14ac:dyDescent="0.3">
      <c r="A75"/>
      <c r="B75" s="43"/>
      <c r="C75" s="33"/>
      <c r="D75" s="34"/>
      <c r="E75" s="61" t="s">
        <v>187</v>
      </c>
      <c r="F75" s="11">
        <v>4988.84</v>
      </c>
      <c r="G75" s="11">
        <v>4917.51</v>
      </c>
      <c r="H75" s="11">
        <v>4923.53</v>
      </c>
      <c r="I75" s="11">
        <v>4900.67</v>
      </c>
      <c r="J75" s="11">
        <v>4967.01</v>
      </c>
      <c r="K75" s="11">
        <v>5051.7299999999996</v>
      </c>
      <c r="L75" s="11">
        <v>4950.13</v>
      </c>
      <c r="M75" s="11">
        <v>4901.33</v>
      </c>
      <c r="N75" s="11">
        <v>4914.79</v>
      </c>
      <c r="O75" s="35"/>
      <c r="P75" s="35"/>
      <c r="Q75" s="36"/>
      <c r="R75" s="36"/>
      <c r="S75" s="113"/>
      <c r="T75" s="114"/>
      <c r="U75" s="122"/>
      <c r="V75" s="174"/>
      <c r="W75" s="11"/>
      <c r="X75" s="118"/>
      <c r="Y75" s="118"/>
      <c r="Z75" s="118"/>
      <c r="AA75" s="118"/>
    </row>
    <row r="76" spans="1:29" ht="23.4" thickBot="1" x14ac:dyDescent="0.35">
      <c r="A76"/>
      <c r="B76" s="43"/>
      <c r="C76" s="33"/>
      <c r="D76" s="34"/>
      <c r="E76" s="48" t="s">
        <v>188</v>
      </c>
      <c r="F76" s="45">
        <f t="shared" ref="F76:N76" si="20">IF(((F74="")*AND(F75="")),"",(F74-F75)*2)</f>
        <v>3787.66</v>
      </c>
      <c r="G76" s="45">
        <f t="shared" si="20"/>
        <v>3927.0399999999991</v>
      </c>
      <c r="H76" s="45">
        <f t="shared" si="20"/>
        <v>3951.5</v>
      </c>
      <c r="I76" s="45">
        <f t="shared" si="20"/>
        <v>3925.9799999999996</v>
      </c>
      <c r="J76" s="45">
        <f t="shared" si="20"/>
        <v>3792.7799999999988</v>
      </c>
      <c r="K76" s="45">
        <f t="shared" si="20"/>
        <v>3670.8600000000006</v>
      </c>
      <c r="L76" s="45">
        <f t="shared" si="20"/>
        <v>3920.1800000000003</v>
      </c>
      <c r="M76" s="45">
        <f t="shared" si="20"/>
        <v>3961.1200000000008</v>
      </c>
      <c r="N76" s="45">
        <f t="shared" si="20"/>
        <v>3889.5</v>
      </c>
      <c r="O76" s="35"/>
      <c r="P76" s="35"/>
      <c r="Q76" s="36"/>
      <c r="R76" s="36"/>
      <c r="S76" s="113"/>
      <c r="T76" s="114"/>
      <c r="U76" s="122"/>
      <c r="V76" s="174"/>
      <c r="W76" s="11"/>
      <c r="X76" s="118"/>
      <c r="Y76" s="118"/>
      <c r="Z76" s="118"/>
      <c r="AA76" s="118"/>
    </row>
    <row r="77" spans="1:29" x14ac:dyDescent="0.25">
      <c r="A77" s="188">
        <v>43125</v>
      </c>
      <c r="B77" s="215" t="s">
        <v>169</v>
      </c>
      <c r="C77" s="47" t="s">
        <v>171</v>
      </c>
      <c r="D77" s="46" t="s">
        <v>189</v>
      </c>
      <c r="E77" s="61" t="s">
        <v>186</v>
      </c>
      <c r="F77" s="11">
        <v>1938.78</v>
      </c>
      <c r="G77" s="11">
        <v>1927.01</v>
      </c>
      <c r="H77" s="11">
        <v>1921.77</v>
      </c>
      <c r="I77" s="11">
        <v>1928.63</v>
      </c>
      <c r="J77" s="11">
        <v>1941.29</v>
      </c>
      <c r="K77" s="11">
        <v>1944.77</v>
      </c>
      <c r="L77" s="11">
        <v>1925.85</v>
      </c>
      <c r="M77" s="11">
        <v>1928.22</v>
      </c>
      <c r="N77" s="11">
        <v>1944.22</v>
      </c>
      <c r="O77" s="48">
        <f>IF((N78=""),"",MAX(F79:N79))</f>
        <v>2073</v>
      </c>
      <c r="P77" s="48">
        <f>IF(N78="","",MIN(F79:N79))</f>
        <v>1966.7999999999997</v>
      </c>
      <c r="Q77" s="49">
        <f>IF((N79=""),"",AVERAGE(F79:N79))</f>
        <v>2037.2699999999995</v>
      </c>
      <c r="R77" s="49">
        <f>IF((N78=""),"",(O77-P77)/(O77+P77)*100)</f>
        <v>2.6288430120303055</v>
      </c>
      <c r="S77" s="113">
        <f>STDEV(F79:N79)</f>
        <v>40.111755758131679</v>
      </c>
      <c r="T77" s="123" t="str">
        <f>IF(N78="","",IF(Q77&gt;1940,IF(R77&lt;8.3,IF(Q77&lt;2180,"Pass","Fail"),"Fail"),"Fail"))</f>
        <v>Pass</v>
      </c>
      <c r="U77" s="117">
        <v>1428</v>
      </c>
      <c r="V77" s="173"/>
      <c r="W77" s="11"/>
      <c r="X77" s="116">
        <v>2000</v>
      </c>
      <c r="Y77" s="116">
        <v>3000</v>
      </c>
      <c r="Z77" s="116">
        <v>1940</v>
      </c>
      <c r="AA77" s="116">
        <v>2180</v>
      </c>
      <c r="AB77" s="31">
        <v>5.2</v>
      </c>
      <c r="AC77" s="31">
        <v>5.2</v>
      </c>
    </row>
    <row r="78" spans="1:29" ht="15.6" x14ac:dyDescent="0.3">
      <c r="A78"/>
      <c r="B78" s="32"/>
      <c r="C78" s="33"/>
      <c r="D78" s="34"/>
      <c r="E78" s="61" t="s">
        <v>187</v>
      </c>
      <c r="F78" s="11">
        <v>1262</v>
      </c>
      <c r="G78" s="11">
        <v>1237.27</v>
      </c>
      <c r="H78" s="11">
        <v>1232.0999999999999</v>
      </c>
      <c r="I78" s="11">
        <v>1238.17</v>
      </c>
      <c r="J78" s="11">
        <v>1285.69</v>
      </c>
      <c r="K78" s="11">
        <v>1282.73</v>
      </c>
      <c r="L78" s="11">
        <v>1241.0899999999999</v>
      </c>
      <c r="M78" s="11">
        <v>1237.22</v>
      </c>
      <c r="N78" s="11">
        <v>1272.46</v>
      </c>
      <c r="O78" s="35"/>
      <c r="P78" s="35"/>
      <c r="Q78" s="36"/>
      <c r="R78" s="36"/>
      <c r="S78" s="113"/>
      <c r="T78" s="114"/>
      <c r="U78" s="117"/>
      <c r="V78" s="173"/>
      <c r="W78" s="11"/>
      <c r="X78" s="118"/>
      <c r="Y78" s="118"/>
      <c r="Z78" s="118"/>
      <c r="AA78" s="118"/>
    </row>
    <row r="79" spans="1:29" ht="16.2" thickBot="1" x14ac:dyDescent="0.35">
      <c r="A79"/>
      <c r="B79" s="50"/>
      <c r="C79" s="51"/>
      <c r="D79" s="52"/>
      <c r="E79" s="65" t="s">
        <v>190</v>
      </c>
      <c r="F79" s="53">
        <f t="shared" ref="F79:N79" si="21">IF(((F77="")*AND(F78="")),"",(F77-F78)*3)</f>
        <v>2030.34</v>
      </c>
      <c r="G79" s="53">
        <f t="shared" si="21"/>
        <v>2069.2200000000003</v>
      </c>
      <c r="H79" s="53">
        <f t="shared" si="21"/>
        <v>2069.0100000000002</v>
      </c>
      <c r="I79" s="53">
        <f t="shared" si="21"/>
        <v>2071.38</v>
      </c>
      <c r="J79" s="53">
        <f t="shared" si="21"/>
        <v>1966.7999999999997</v>
      </c>
      <c r="K79" s="53">
        <f t="shared" si="21"/>
        <v>1986.12</v>
      </c>
      <c r="L79" s="53">
        <f t="shared" si="21"/>
        <v>2054.2799999999997</v>
      </c>
      <c r="M79" s="53">
        <f t="shared" si="21"/>
        <v>2073</v>
      </c>
      <c r="N79" s="53">
        <f t="shared" si="21"/>
        <v>2015.28</v>
      </c>
      <c r="O79" s="54"/>
      <c r="P79" s="54"/>
      <c r="Q79" s="55"/>
      <c r="R79" s="55"/>
      <c r="S79" s="113"/>
      <c r="T79" s="124"/>
      <c r="U79" s="125"/>
      <c r="V79" s="173"/>
      <c r="W79" s="11"/>
      <c r="X79" s="118"/>
      <c r="Y79" s="118"/>
      <c r="Z79" s="118"/>
      <c r="AA79" s="118"/>
    </row>
    <row r="80" spans="1:29" x14ac:dyDescent="0.25">
      <c r="A80" s="188">
        <v>43128</v>
      </c>
      <c r="B80" s="216" t="s">
        <v>185</v>
      </c>
      <c r="C80" s="27" t="s">
        <v>173</v>
      </c>
      <c r="D80" s="28" t="s">
        <v>172</v>
      </c>
      <c r="E80" s="59" t="s">
        <v>186</v>
      </c>
      <c r="F80" s="11">
        <v>27660.14</v>
      </c>
      <c r="G80" s="11">
        <v>27686.12</v>
      </c>
      <c r="H80" s="11">
        <v>27705.87</v>
      </c>
      <c r="I80" s="11">
        <v>27651.54</v>
      </c>
      <c r="J80" s="11">
        <v>27683.34</v>
      </c>
      <c r="K80" s="11">
        <v>27702.41</v>
      </c>
      <c r="L80" s="11">
        <v>27639.07</v>
      </c>
      <c r="M80" s="11">
        <v>27626.49</v>
      </c>
      <c r="N80" s="11">
        <v>27696.89</v>
      </c>
      <c r="O80" s="29">
        <f>IF((N81=""),"",MAX(F82:N82))</f>
        <v>4848.6000000000022</v>
      </c>
      <c r="P80" s="29">
        <f>IF(N81="","",MIN(F82:N82))</f>
        <v>4073.4599999999991</v>
      </c>
      <c r="Q80" s="30">
        <f>IF((N82=""),"",AVERAGE(F82:N82))</f>
        <v>4376.8133333333326</v>
      </c>
      <c r="R80" s="30">
        <f>IF((N81=""),"",(O80-P80)/(O80+P80)*100)</f>
        <v>8.6879039145668475</v>
      </c>
      <c r="S80" s="113">
        <f>STDEV(F82:N82)</f>
        <v>301.10140883097773</v>
      </c>
      <c r="T80" s="114" t="str">
        <f>IF(N81="","",IF(R80&lt;16,IF(Q80&gt;3200,IF(R80,IF(Q80&lt;5240,"Pass","Fail"),"Fail"),"Fail")))</f>
        <v>Pass</v>
      </c>
      <c r="U80" s="115"/>
      <c r="V80" s="173"/>
      <c r="W80" s="11"/>
      <c r="X80" s="116">
        <v>4200</v>
      </c>
      <c r="Y80" s="116">
        <v>5500</v>
      </c>
      <c r="Z80" s="116">
        <v>3200</v>
      </c>
      <c r="AA80" s="116">
        <v>5240</v>
      </c>
      <c r="AB80" s="31">
        <v>16</v>
      </c>
      <c r="AC80" s="31">
        <v>16</v>
      </c>
    </row>
    <row r="81" spans="1:29" ht="15.6" x14ac:dyDescent="0.3">
      <c r="A81"/>
      <c r="B81" s="32"/>
      <c r="C81" s="33"/>
      <c r="D81" s="34"/>
      <c r="E81" s="61" t="s">
        <v>187</v>
      </c>
      <c r="F81" s="11">
        <v>26182.52</v>
      </c>
      <c r="G81" s="11">
        <v>26289.57</v>
      </c>
      <c r="H81" s="11">
        <v>26348.05</v>
      </c>
      <c r="I81" s="11">
        <v>26233.61</v>
      </c>
      <c r="J81" s="11">
        <v>26067.14</v>
      </c>
      <c r="K81" s="11">
        <v>26144.63</v>
      </c>
      <c r="L81" s="11">
        <v>26275.52</v>
      </c>
      <c r="M81" s="11">
        <v>26256.3</v>
      </c>
      <c r="N81" s="11">
        <v>26124.09</v>
      </c>
      <c r="O81" s="35"/>
      <c r="P81" s="35"/>
      <c r="Q81" s="36"/>
      <c r="R81" s="36"/>
      <c r="S81" s="113"/>
      <c r="T81" s="114"/>
      <c r="U81" s="117"/>
      <c r="V81" s="173"/>
      <c r="W81" s="11"/>
      <c r="X81" s="118"/>
      <c r="Y81" s="118"/>
      <c r="Z81" s="118"/>
      <c r="AA81" s="118"/>
    </row>
    <row r="82" spans="1:29" ht="23.4" thickBot="1" x14ac:dyDescent="0.35">
      <c r="A82"/>
      <c r="B82" s="37"/>
      <c r="C82" s="38"/>
      <c r="D82" s="39"/>
      <c r="E82" s="61" t="s">
        <v>188</v>
      </c>
      <c r="F82" s="40">
        <f t="shared" ref="F82:N82" si="22">IF(((F80="")*AND(F81="")),"",(F80-F81)*3)</f>
        <v>4432.8599999999969</v>
      </c>
      <c r="G82" s="40">
        <f t="shared" si="22"/>
        <v>4189.6499999999978</v>
      </c>
      <c r="H82" s="40">
        <f t="shared" si="22"/>
        <v>4073.4599999999991</v>
      </c>
      <c r="I82" s="40">
        <f t="shared" si="22"/>
        <v>4253.7900000000009</v>
      </c>
      <c r="J82" s="40">
        <f t="shared" si="22"/>
        <v>4848.6000000000022</v>
      </c>
      <c r="K82" s="40">
        <f t="shared" si="22"/>
        <v>4673.3399999999965</v>
      </c>
      <c r="L82" s="40">
        <f t="shared" si="22"/>
        <v>4090.6499999999978</v>
      </c>
      <c r="M82" s="40">
        <f t="shared" si="22"/>
        <v>4110.570000000007</v>
      </c>
      <c r="N82" s="40">
        <f t="shared" si="22"/>
        <v>4718.3999999999978</v>
      </c>
      <c r="O82" s="41"/>
      <c r="P82" s="41"/>
      <c r="Q82" s="42"/>
      <c r="R82" s="42"/>
      <c r="S82" s="113"/>
      <c r="T82" s="119"/>
      <c r="U82" s="120"/>
      <c r="V82" s="173"/>
      <c r="W82" s="11"/>
      <c r="X82" s="118"/>
      <c r="Y82" s="118"/>
      <c r="Z82" s="118"/>
      <c r="AA82" s="118"/>
    </row>
    <row r="83" spans="1:29" x14ac:dyDescent="0.25">
      <c r="A83" s="188">
        <v>43128</v>
      </c>
      <c r="B83" s="215" t="s">
        <v>174</v>
      </c>
      <c r="C83" s="33" t="s">
        <v>176</v>
      </c>
      <c r="D83" s="44" t="s">
        <v>175</v>
      </c>
      <c r="E83" s="41" t="s">
        <v>186</v>
      </c>
      <c r="F83" s="11">
        <v>3074.32</v>
      </c>
      <c r="G83" s="11">
        <v>2939.89</v>
      </c>
      <c r="H83" s="11">
        <v>2937.74</v>
      </c>
      <c r="I83" s="11">
        <v>2919.62</v>
      </c>
      <c r="J83" s="11">
        <v>3034.45</v>
      </c>
      <c r="K83" s="11">
        <v>3180.34</v>
      </c>
      <c r="L83" s="11">
        <v>2976.15</v>
      </c>
      <c r="M83" s="11">
        <v>2900.09</v>
      </c>
      <c r="N83" s="11">
        <v>2938.64</v>
      </c>
      <c r="O83" s="35">
        <f>IF((N84=""),"",MAX(F85:N85))</f>
        <v>3992.6400000000003</v>
      </c>
      <c r="P83" s="35">
        <f>IF(N84="","",MIN(F85:N85))</f>
        <v>3796.9600000000005</v>
      </c>
      <c r="Q83" s="36">
        <f>IF((N85=""),"",AVERAGE(F85:N85))</f>
        <v>3920.815555555555</v>
      </c>
      <c r="R83" s="36">
        <f>IF((N84=""),"",(O83-P83)/(O83+P83)*100)</f>
        <v>2.5120673718804536</v>
      </c>
      <c r="S83" s="113">
        <f>STDEV(F85:N85)</f>
        <v>75.042685038434982</v>
      </c>
      <c r="T83" s="121" t="str">
        <f>IF(N84="","",IF(Q83&gt;3650,IF(R83&lt;6.5,IF(Q83&lt;4450,"Pass","Fail"),"Fail"),"Fail"))</f>
        <v>Pass</v>
      </c>
      <c r="U83" s="117"/>
      <c r="V83" s="173"/>
      <c r="W83" s="11"/>
      <c r="X83" s="116">
        <v>3650</v>
      </c>
      <c r="Y83" s="116">
        <v>4450</v>
      </c>
      <c r="Z83" s="116">
        <v>3700</v>
      </c>
      <c r="AA83" s="116">
        <v>4100</v>
      </c>
      <c r="AB83" s="31">
        <v>7</v>
      </c>
      <c r="AC83" s="31">
        <v>6.5</v>
      </c>
    </row>
    <row r="84" spans="1:29" ht="15.6" x14ac:dyDescent="0.3">
      <c r="A84"/>
      <c r="B84" s="43"/>
      <c r="C84" s="33"/>
      <c r="D84" s="34"/>
      <c r="E84" s="61" t="s">
        <v>187</v>
      </c>
      <c r="F84" s="11">
        <v>1144.08</v>
      </c>
      <c r="G84" s="11">
        <v>951.15</v>
      </c>
      <c r="H84" s="11">
        <v>943.58</v>
      </c>
      <c r="I84" s="11">
        <v>937.56</v>
      </c>
      <c r="J84" s="11">
        <v>1121.57</v>
      </c>
      <c r="K84" s="11">
        <v>1281.8599999999999</v>
      </c>
      <c r="L84" s="11">
        <v>992.36</v>
      </c>
      <c r="M84" s="11">
        <v>903.77</v>
      </c>
      <c r="N84" s="11">
        <v>981.64</v>
      </c>
      <c r="O84" s="35"/>
      <c r="P84" s="35"/>
      <c r="Q84" s="36"/>
      <c r="R84" s="36"/>
      <c r="S84" s="113"/>
      <c r="T84" s="114"/>
      <c r="U84" s="122"/>
      <c r="V84" s="174"/>
      <c r="W84" s="11"/>
      <c r="X84" s="118"/>
      <c r="Y84" s="118"/>
      <c r="Z84" s="118"/>
      <c r="AA84" s="118"/>
    </row>
    <row r="85" spans="1:29" ht="23.4" thickBot="1" x14ac:dyDescent="0.35">
      <c r="A85"/>
      <c r="B85" s="43"/>
      <c r="C85" s="33"/>
      <c r="D85" s="34"/>
      <c r="E85" s="48" t="s">
        <v>188</v>
      </c>
      <c r="F85" s="45">
        <f t="shared" ref="F85:N85" si="23">IF(((F83="")*AND(F84="")),"",(F83-F84)*2)</f>
        <v>3860.4800000000005</v>
      </c>
      <c r="G85" s="45">
        <f t="shared" si="23"/>
        <v>3977.4799999999996</v>
      </c>
      <c r="H85" s="45">
        <f t="shared" si="23"/>
        <v>3988.3199999999997</v>
      </c>
      <c r="I85" s="45">
        <f t="shared" si="23"/>
        <v>3964.12</v>
      </c>
      <c r="J85" s="45">
        <f t="shared" si="23"/>
        <v>3825.7599999999998</v>
      </c>
      <c r="K85" s="45">
        <f t="shared" si="23"/>
        <v>3796.9600000000005</v>
      </c>
      <c r="L85" s="45">
        <f t="shared" si="23"/>
        <v>3967.58</v>
      </c>
      <c r="M85" s="45">
        <f t="shared" si="23"/>
        <v>3992.6400000000003</v>
      </c>
      <c r="N85" s="45">
        <f t="shared" si="23"/>
        <v>3914</v>
      </c>
      <c r="O85" s="35"/>
      <c r="P85" s="35"/>
      <c r="Q85" s="36"/>
      <c r="R85" s="36"/>
      <c r="S85" s="113"/>
      <c r="T85" s="114"/>
      <c r="U85" s="122"/>
      <c r="V85" s="174"/>
      <c r="W85" s="11"/>
      <c r="X85" s="118"/>
      <c r="Y85" s="118"/>
      <c r="Z85" s="118"/>
      <c r="AA85" s="118"/>
    </row>
    <row r="86" spans="1:29" x14ac:dyDescent="0.25">
      <c r="A86" s="188">
        <v>43128</v>
      </c>
      <c r="B86" s="215" t="s">
        <v>169</v>
      </c>
      <c r="C86" s="47" t="s">
        <v>171</v>
      </c>
      <c r="D86" s="46" t="s">
        <v>189</v>
      </c>
      <c r="E86" s="61" t="s">
        <v>186</v>
      </c>
      <c r="F86" s="11">
        <v>1266.6099999999999</v>
      </c>
      <c r="G86" s="11">
        <v>1241.1300000000001</v>
      </c>
      <c r="H86" s="11">
        <v>1233.74</v>
      </c>
      <c r="I86" s="11">
        <v>1242.04</v>
      </c>
      <c r="J86" s="11">
        <v>1286.7</v>
      </c>
      <c r="K86" s="11">
        <v>1286.8699999999999</v>
      </c>
      <c r="L86" s="11">
        <v>1241.55</v>
      </c>
      <c r="M86" s="11">
        <v>1240.3699999999999</v>
      </c>
      <c r="N86" s="11">
        <v>1274.46</v>
      </c>
      <c r="O86" s="48">
        <f>IF((N87=""),"",MAX(F88:N88))</f>
        <v>2087.85</v>
      </c>
      <c r="P86" s="48">
        <f>IF(N87="","",MIN(F88:N88))</f>
        <v>1993.83</v>
      </c>
      <c r="Q86" s="49">
        <f>IF((N88=""),"",AVERAGE(F88:N88))</f>
        <v>2053.8666666666668</v>
      </c>
      <c r="R86" s="49">
        <f>IF((N87=""),"",(O86-P86)/(O86+P86)*100)</f>
        <v>2.3034632798259538</v>
      </c>
      <c r="S86" s="113">
        <f>STDEV(F88:N88)</f>
        <v>35.908354529273609</v>
      </c>
      <c r="T86" s="123" t="str">
        <f>IF(N87="","",IF(Q86&gt;1940,IF(R86&lt;8.3,IF(Q86&lt;2180,"Pass","Fail"),"Fail"),"Fail"))</f>
        <v>Pass</v>
      </c>
      <c r="U86" s="117"/>
      <c r="V86" s="173"/>
      <c r="W86" s="11"/>
      <c r="X86" s="116">
        <v>2000</v>
      </c>
      <c r="Y86" s="116">
        <v>3000</v>
      </c>
      <c r="Z86" s="116">
        <v>1940</v>
      </c>
      <c r="AA86" s="116">
        <v>2180</v>
      </c>
      <c r="AB86" s="31">
        <v>5.2</v>
      </c>
      <c r="AC86" s="31">
        <v>5.2</v>
      </c>
    </row>
    <row r="87" spans="1:29" ht="15.6" x14ac:dyDescent="0.3">
      <c r="A87"/>
      <c r="B87" s="32"/>
      <c r="C87" s="33"/>
      <c r="D87" s="34"/>
      <c r="E87" s="61" t="s">
        <v>187</v>
      </c>
      <c r="F87" s="11">
        <v>584.76</v>
      </c>
      <c r="G87" s="11">
        <v>547.04999999999995</v>
      </c>
      <c r="H87" s="11">
        <v>539.99</v>
      </c>
      <c r="I87" s="11">
        <v>548.38</v>
      </c>
      <c r="J87" s="11">
        <v>622.09</v>
      </c>
      <c r="K87" s="11">
        <v>607.91999999999996</v>
      </c>
      <c r="L87" s="11">
        <v>550.6</v>
      </c>
      <c r="M87" s="11">
        <v>544.41999999999996</v>
      </c>
      <c r="N87" s="11">
        <v>606.66</v>
      </c>
      <c r="O87" s="35"/>
      <c r="P87" s="35"/>
      <c r="Q87" s="36"/>
      <c r="R87" s="36"/>
      <c r="S87" s="113"/>
      <c r="T87" s="114"/>
      <c r="U87" s="117"/>
      <c r="V87" s="173"/>
      <c r="W87" s="11"/>
      <c r="X87" s="118"/>
      <c r="Y87" s="118"/>
      <c r="Z87" s="118"/>
      <c r="AA87" s="118"/>
    </row>
    <row r="88" spans="1:29" ht="16.2" thickBot="1" x14ac:dyDescent="0.35">
      <c r="A88"/>
      <c r="B88" s="50"/>
      <c r="C88" s="51"/>
      <c r="D88" s="52"/>
      <c r="E88" s="65" t="s">
        <v>190</v>
      </c>
      <c r="F88" s="53">
        <f t="shared" ref="F88:N88" si="24">IF(((F86="")*AND(F87="")),"",(F86-F87)*3)</f>
        <v>2045.5499999999997</v>
      </c>
      <c r="G88" s="53">
        <f t="shared" si="24"/>
        <v>2082.2400000000007</v>
      </c>
      <c r="H88" s="53">
        <f t="shared" si="24"/>
        <v>2081.25</v>
      </c>
      <c r="I88" s="53">
        <f t="shared" si="24"/>
        <v>2080.98</v>
      </c>
      <c r="J88" s="53">
        <f t="shared" si="24"/>
        <v>1993.83</v>
      </c>
      <c r="K88" s="53">
        <f t="shared" si="24"/>
        <v>2036.85</v>
      </c>
      <c r="L88" s="53">
        <f t="shared" si="24"/>
        <v>2072.85</v>
      </c>
      <c r="M88" s="53">
        <f t="shared" si="24"/>
        <v>2087.85</v>
      </c>
      <c r="N88" s="53">
        <f t="shared" si="24"/>
        <v>2003.4</v>
      </c>
      <c r="O88" s="54"/>
      <c r="P88" s="54"/>
      <c r="Q88" s="55"/>
      <c r="R88" s="55"/>
      <c r="S88" s="113"/>
      <c r="T88" s="124"/>
      <c r="U88" s="125"/>
      <c r="V88" s="173"/>
      <c r="W88" s="11"/>
      <c r="X88" s="118"/>
      <c r="Y88" s="118"/>
      <c r="Z88" s="118"/>
      <c r="AA88" s="118"/>
    </row>
    <row r="89" spans="1:29" x14ac:dyDescent="0.25">
      <c r="A89" s="188">
        <v>43131</v>
      </c>
      <c r="B89" s="216" t="s">
        <v>185</v>
      </c>
      <c r="C89" s="27" t="s">
        <v>173</v>
      </c>
      <c r="D89" s="28" t="s">
        <v>172</v>
      </c>
      <c r="E89" s="59" t="s">
        <v>186</v>
      </c>
      <c r="F89" s="11">
        <v>26143.84</v>
      </c>
      <c r="G89" s="11">
        <v>26227.17</v>
      </c>
      <c r="H89" s="11">
        <v>26282.78</v>
      </c>
      <c r="I89" s="11">
        <v>26218.12</v>
      </c>
      <c r="J89" s="11">
        <v>26011.71</v>
      </c>
      <c r="K89" s="11">
        <v>26106.21</v>
      </c>
      <c r="L89" s="11">
        <v>26221.81</v>
      </c>
      <c r="M89" s="11">
        <v>26207.24</v>
      </c>
      <c r="N89" s="11">
        <v>26036.55</v>
      </c>
      <c r="O89" s="29">
        <f>IF((N90=""),"",MAX(F91:N91))</f>
        <v>4803.6000000000022</v>
      </c>
      <c r="P89" s="29">
        <f>IF(N90="","",MIN(F91:N91))</f>
        <v>3947.7299999999996</v>
      </c>
      <c r="Q89" s="30">
        <f>IF((N91=""),"",AVERAGE(F91:N91))</f>
        <v>4366.319999999997</v>
      </c>
      <c r="R89" s="30">
        <f>IF((N90=""),"",(O89-P89)/(O89+P89)*100)</f>
        <v>9.779884886068773</v>
      </c>
      <c r="S89" s="113">
        <f>STDEV(F91:N91)</f>
        <v>357.41635857218358</v>
      </c>
      <c r="T89" s="114" t="str">
        <f>IF(N90="","",IF(R89&lt;16,IF(Q89&gt;3200,IF(R89,IF(Q89&lt;5240,"Pass","Fail"),"Fail"),"Fail")))</f>
        <v>Pass</v>
      </c>
      <c r="U89" s="115">
        <v>1335</v>
      </c>
      <c r="V89" s="173"/>
      <c r="W89" s="11"/>
      <c r="X89" s="116">
        <v>4200</v>
      </c>
      <c r="Y89" s="116">
        <v>5500</v>
      </c>
      <c r="Z89" s="116">
        <v>3200</v>
      </c>
      <c r="AA89" s="116">
        <v>5240</v>
      </c>
      <c r="AB89" s="31">
        <v>16</v>
      </c>
      <c r="AC89" s="31">
        <v>16</v>
      </c>
    </row>
    <row r="90" spans="1:29" ht="15.6" x14ac:dyDescent="0.3">
      <c r="A90"/>
      <c r="B90" s="32"/>
      <c r="C90" s="33"/>
      <c r="D90" s="34"/>
      <c r="E90" s="61" t="s">
        <v>187</v>
      </c>
      <c r="F90" s="11">
        <v>24615.63</v>
      </c>
      <c r="G90" s="11">
        <v>24892.5</v>
      </c>
      <c r="H90" s="11">
        <v>24966.87</v>
      </c>
      <c r="I90" s="11">
        <v>24794.31</v>
      </c>
      <c r="J90" s="11">
        <v>24420.52</v>
      </c>
      <c r="K90" s="11">
        <v>24527.49</v>
      </c>
      <c r="L90" s="11">
        <v>24835.72</v>
      </c>
      <c r="M90" s="11">
        <v>24868.080000000002</v>
      </c>
      <c r="N90" s="11">
        <v>24435.35</v>
      </c>
      <c r="O90" s="35"/>
      <c r="P90" s="35"/>
      <c r="Q90" s="36"/>
      <c r="R90" s="36"/>
      <c r="S90" s="113"/>
      <c r="T90" s="114"/>
      <c r="U90" s="117"/>
      <c r="V90" s="173"/>
      <c r="W90" s="11"/>
      <c r="X90" s="118"/>
      <c r="Y90" s="118"/>
      <c r="Z90" s="118"/>
      <c r="AA90" s="118"/>
    </row>
    <row r="91" spans="1:29" ht="23.4" thickBot="1" x14ac:dyDescent="0.35">
      <c r="A91"/>
      <c r="B91" s="37"/>
      <c r="C91" s="38"/>
      <c r="D91" s="39"/>
      <c r="E91" s="61" t="s">
        <v>188</v>
      </c>
      <c r="F91" s="40">
        <f t="shared" ref="F91:N91" si="25">IF(((F89="")*AND(F90="")),"",(F89-F90)*3)</f>
        <v>4584.6299999999974</v>
      </c>
      <c r="G91" s="40">
        <f t="shared" si="25"/>
        <v>4004.0099999999948</v>
      </c>
      <c r="H91" s="40">
        <f t="shared" si="25"/>
        <v>3947.7299999999996</v>
      </c>
      <c r="I91" s="40">
        <f t="shared" si="25"/>
        <v>4271.429999999993</v>
      </c>
      <c r="J91" s="40">
        <f t="shared" si="25"/>
        <v>4773.5699999999961</v>
      </c>
      <c r="K91" s="40">
        <f t="shared" si="25"/>
        <v>4736.1599999999926</v>
      </c>
      <c r="L91" s="40">
        <f t="shared" si="25"/>
        <v>4158.2700000000004</v>
      </c>
      <c r="M91" s="40">
        <f t="shared" si="25"/>
        <v>4017.4799999999996</v>
      </c>
      <c r="N91" s="40">
        <f t="shared" si="25"/>
        <v>4803.6000000000022</v>
      </c>
      <c r="O91" s="41"/>
      <c r="P91" s="41"/>
      <c r="Q91" s="42"/>
      <c r="R91" s="42"/>
      <c r="S91" s="113"/>
      <c r="T91" s="119"/>
      <c r="U91" s="120"/>
      <c r="V91" s="173"/>
      <c r="W91" s="11"/>
      <c r="X91" s="118"/>
      <c r="Y91" s="118"/>
      <c r="Z91" s="118"/>
      <c r="AA91" s="118"/>
    </row>
    <row r="92" spans="1:29" x14ac:dyDescent="0.25">
      <c r="A92" s="188">
        <v>43131</v>
      </c>
      <c r="B92" s="215" t="s">
        <v>174</v>
      </c>
      <c r="C92" s="33" t="s">
        <v>176</v>
      </c>
      <c r="D92" s="44" t="s">
        <v>175</v>
      </c>
      <c r="E92" s="41" t="s">
        <v>186</v>
      </c>
      <c r="F92" s="11">
        <v>6774.82</v>
      </c>
      <c r="G92" s="11">
        <v>6669.36</v>
      </c>
      <c r="H92" s="11">
        <v>6780.36</v>
      </c>
      <c r="I92" s="11">
        <v>6778.2</v>
      </c>
      <c r="J92" s="11">
        <v>6985.17</v>
      </c>
      <c r="K92" s="11">
        <v>6859.91</v>
      </c>
      <c r="L92" s="11">
        <v>6748.62</v>
      </c>
      <c r="M92" s="11">
        <v>6761.48</v>
      </c>
      <c r="N92" s="11">
        <v>6886.79</v>
      </c>
      <c r="O92" s="35">
        <f>IF((N93=""),"",MAX(F94:N94))</f>
        <v>4026.66</v>
      </c>
      <c r="P92" s="35">
        <f>IF(N93="","",MIN(F94:N94))</f>
        <v>3780.8600000000006</v>
      </c>
      <c r="Q92" s="36">
        <f>IF((N94=""),"",AVERAGE(F94:N94))</f>
        <v>3944.3088888888888</v>
      </c>
      <c r="R92" s="36">
        <f>IF((N93=""),"",(O92-P92)/(O92+P92)*100)</f>
        <v>3.1482468184519448</v>
      </c>
      <c r="S92" s="113">
        <f>STDEV(F94:N94)</f>
        <v>85.209581686046661</v>
      </c>
      <c r="T92" s="121" t="str">
        <f>IF(N93="","",IF(Q92&gt;3650,IF(R92&lt;6.5,IF(Q92&lt;4450,"Pass","Fail"),"Fail"),"Fail"))</f>
        <v>Pass</v>
      </c>
      <c r="U92" s="117">
        <v>1335</v>
      </c>
      <c r="V92" s="173"/>
      <c r="W92" s="11"/>
      <c r="X92" s="116">
        <v>3650</v>
      </c>
      <c r="Y92" s="116">
        <v>4450</v>
      </c>
      <c r="Z92" s="116">
        <v>3700</v>
      </c>
      <c r="AA92" s="116">
        <v>4100</v>
      </c>
      <c r="AB92" s="31">
        <v>7</v>
      </c>
      <c r="AC92" s="31">
        <v>6.5</v>
      </c>
    </row>
    <row r="93" spans="1:29" ht="15.6" x14ac:dyDescent="0.3">
      <c r="A93"/>
      <c r="B93" s="43"/>
      <c r="C93" s="33"/>
      <c r="D93" s="34"/>
      <c r="E93" s="61" t="s">
        <v>187</v>
      </c>
      <c r="F93" s="11">
        <v>4849.42</v>
      </c>
      <c r="G93" s="11">
        <v>4683.1099999999997</v>
      </c>
      <c r="H93" s="11">
        <v>4767.03</v>
      </c>
      <c r="I93" s="11">
        <v>4777.05</v>
      </c>
      <c r="J93" s="11">
        <v>5040.78</v>
      </c>
      <c r="K93" s="11">
        <v>4969.4799999999996</v>
      </c>
      <c r="L93" s="11">
        <v>4748.2</v>
      </c>
      <c r="M93" s="11">
        <v>4753.3900000000003</v>
      </c>
      <c r="N93" s="11">
        <v>4906.8599999999997</v>
      </c>
      <c r="O93" s="35"/>
      <c r="P93" s="35"/>
      <c r="Q93" s="36"/>
      <c r="R93" s="36"/>
      <c r="S93" s="113"/>
      <c r="T93" s="114"/>
      <c r="U93" s="122"/>
      <c r="V93" s="174"/>
      <c r="W93" s="11"/>
      <c r="X93" s="118"/>
      <c r="Y93" s="118"/>
      <c r="Z93" s="118"/>
      <c r="AA93" s="118"/>
    </row>
    <row r="94" spans="1:29" ht="23.4" thickBot="1" x14ac:dyDescent="0.35">
      <c r="A94"/>
      <c r="B94" s="43"/>
      <c r="C94" s="33"/>
      <c r="D94" s="34"/>
      <c r="E94" s="48" t="s">
        <v>188</v>
      </c>
      <c r="F94" s="45">
        <f t="shared" ref="F94:N94" si="26">IF(((F92="")*AND(F93="")),"",(F92-F93)*2)</f>
        <v>3850.7999999999993</v>
      </c>
      <c r="G94" s="45">
        <f t="shared" si="26"/>
        <v>3972.5</v>
      </c>
      <c r="H94" s="45">
        <f t="shared" si="26"/>
        <v>4026.66</v>
      </c>
      <c r="I94" s="45">
        <f t="shared" si="26"/>
        <v>4002.2999999999993</v>
      </c>
      <c r="J94" s="45">
        <f t="shared" si="26"/>
        <v>3888.7800000000007</v>
      </c>
      <c r="K94" s="45">
        <f t="shared" si="26"/>
        <v>3780.8600000000006</v>
      </c>
      <c r="L94" s="45">
        <f t="shared" si="26"/>
        <v>4000.84</v>
      </c>
      <c r="M94" s="45">
        <f t="shared" si="26"/>
        <v>4016.1799999999985</v>
      </c>
      <c r="N94" s="45">
        <f t="shared" si="26"/>
        <v>3959.8600000000006</v>
      </c>
      <c r="O94" s="35"/>
      <c r="P94" s="35"/>
      <c r="Q94" s="36"/>
      <c r="R94" s="36"/>
      <c r="S94" s="113"/>
      <c r="T94" s="114"/>
      <c r="U94" s="122"/>
      <c r="V94" s="174"/>
      <c r="W94" s="11"/>
      <c r="X94" s="118"/>
      <c r="Y94" s="118"/>
      <c r="Z94" s="118"/>
      <c r="AA94" s="118"/>
    </row>
    <row r="95" spans="1:29" x14ac:dyDescent="0.25">
      <c r="A95" s="188">
        <v>43131</v>
      </c>
      <c r="B95" s="215" t="s">
        <v>169</v>
      </c>
      <c r="C95" s="47" t="s">
        <v>171</v>
      </c>
      <c r="D95" s="46" t="s">
        <v>189</v>
      </c>
      <c r="E95" s="61" t="s">
        <v>186</v>
      </c>
      <c r="F95" s="11">
        <v>1938.04</v>
      </c>
      <c r="G95" s="11">
        <v>1926.12</v>
      </c>
      <c r="H95" s="11">
        <v>1915.2</v>
      </c>
      <c r="I95" s="11">
        <v>1927.06</v>
      </c>
      <c r="J95" s="11">
        <v>1939.87</v>
      </c>
      <c r="K95" s="11">
        <v>1937.44</v>
      </c>
      <c r="L95" s="11">
        <v>1927.09</v>
      </c>
      <c r="M95" s="11">
        <v>1925.33</v>
      </c>
      <c r="N95" s="11">
        <v>1934.06</v>
      </c>
      <c r="O95" s="48">
        <f>IF((N96=""),"",MAX(F97:N97))</f>
        <v>2072.31</v>
      </c>
      <c r="P95" s="48">
        <f>IF(N96="","",MIN(F97:N97))</f>
        <v>1969.1399999999996</v>
      </c>
      <c r="Q95" s="49">
        <f>IF((N97=""),"",AVERAGE(F97:N97))</f>
        <v>2041.9366666666663</v>
      </c>
      <c r="R95" s="49">
        <f>IF((N96=""),"",(O95-P95)/(O95+P95)*100)</f>
        <v>2.552796644768593</v>
      </c>
      <c r="S95" s="113">
        <f>STDEV(F97:N97)</f>
        <v>37.764742816547816</v>
      </c>
      <c r="T95" s="123" t="str">
        <f>IF(N96="","",IF(Q95&gt;1940,IF(R95&lt;8.3,IF(Q95&lt;2180,"Pass","Fail"),"Fail"),"Fail"))</f>
        <v>Pass</v>
      </c>
      <c r="U95" s="117">
        <v>1335</v>
      </c>
      <c r="V95" s="173"/>
      <c r="W95" s="11"/>
      <c r="X95" s="116">
        <v>2000</v>
      </c>
      <c r="Y95" s="116">
        <v>3000</v>
      </c>
      <c r="Z95" s="116">
        <v>1940</v>
      </c>
      <c r="AA95" s="116">
        <v>2180</v>
      </c>
      <c r="AB95" s="31">
        <v>5.2</v>
      </c>
      <c r="AC95" s="31">
        <v>5.2</v>
      </c>
    </row>
    <row r="96" spans="1:29" ht="15.6" x14ac:dyDescent="0.3">
      <c r="A96"/>
      <c r="B96" s="32"/>
      <c r="C96" s="33"/>
      <c r="D96" s="34"/>
      <c r="E96" s="61" t="s">
        <v>187</v>
      </c>
      <c r="F96" s="11">
        <v>1256.92</v>
      </c>
      <c r="G96" s="11">
        <v>1235.8900000000001</v>
      </c>
      <c r="H96" s="11">
        <v>1226.31</v>
      </c>
      <c r="I96" s="11">
        <v>1236.29</v>
      </c>
      <c r="J96" s="11">
        <v>1283.49</v>
      </c>
      <c r="K96" s="11">
        <v>1269.8599999999999</v>
      </c>
      <c r="L96" s="11">
        <v>1238.3599999999999</v>
      </c>
      <c r="M96" s="11">
        <v>1234.79</v>
      </c>
      <c r="N96" s="11">
        <v>1262.49</v>
      </c>
      <c r="O96" s="35"/>
      <c r="P96" s="35"/>
      <c r="Q96" s="36"/>
      <c r="R96" s="36"/>
      <c r="S96" s="113"/>
      <c r="T96" s="114"/>
      <c r="U96" s="117"/>
      <c r="V96" s="173"/>
      <c r="W96" s="11"/>
      <c r="X96" s="118"/>
      <c r="Y96" s="118"/>
      <c r="Z96" s="118"/>
      <c r="AA96" s="118"/>
    </row>
    <row r="97" spans="1:29" ht="16.2" thickBot="1" x14ac:dyDescent="0.35">
      <c r="A97"/>
      <c r="B97" s="32"/>
      <c r="C97" s="33"/>
      <c r="D97" s="34"/>
      <c r="E97" s="48" t="s">
        <v>190</v>
      </c>
      <c r="F97" s="45">
        <f t="shared" ref="F97:N97" si="27">IF(((F95="")*AND(F96="")),"",(F95-F96)*3)</f>
        <v>2043.3599999999997</v>
      </c>
      <c r="G97" s="45">
        <f t="shared" si="27"/>
        <v>2070.6899999999996</v>
      </c>
      <c r="H97" s="45">
        <f t="shared" si="27"/>
        <v>2066.67</v>
      </c>
      <c r="I97" s="45">
        <f t="shared" si="27"/>
        <v>2072.31</v>
      </c>
      <c r="J97" s="45">
        <f t="shared" si="27"/>
        <v>1969.1399999999996</v>
      </c>
      <c r="K97" s="45">
        <f t="shared" si="27"/>
        <v>2002.7400000000005</v>
      </c>
      <c r="L97" s="45">
        <f t="shared" si="27"/>
        <v>2066.19</v>
      </c>
      <c r="M97" s="45">
        <f t="shared" si="27"/>
        <v>2071.62</v>
      </c>
      <c r="N97" s="45">
        <f t="shared" si="27"/>
        <v>2014.7099999999998</v>
      </c>
      <c r="O97" s="35"/>
      <c r="P97" s="35"/>
      <c r="Q97" s="36"/>
      <c r="R97" s="36"/>
      <c r="S97" s="113"/>
      <c r="T97" s="114"/>
      <c r="U97" s="117"/>
      <c r="V97" s="173"/>
      <c r="W97" s="11"/>
      <c r="X97" s="118"/>
      <c r="Y97" s="118"/>
      <c r="Z97" s="118"/>
      <c r="AA97" s="118"/>
    </row>
    <row r="98" spans="1:29" x14ac:dyDescent="0.25">
      <c r="A98" s="206">
        <v>43134</v>
      </c>
      <c r="B98" s="216" t="s">
        <v>185</v>
      </c>
      <c r="C98" s="27" t="s">
        <v>173</v>
      </c>
      <c r="D98" s="28" t="s">
        <v>172</v>
      </c>
      <c r="E98" s="59" t="s">
        <v>186</v>
      </c>
      <c r="F98" s="126">
        <v>24521.43</v>
      </c>
      <c r="G98" s="126">
        <v>24797.03</v>
      </c>
      <c r="H98" s="126">
        <v>24887.55</v>
      </c>
      <c r="I98" s="126">
        <v>24812.57</v>
      </c>
      <c r="J98" s="126">
        <v>24417.43</v>
      </c>
      <c r="K98" s="126">
        <v>24466.959999999999</v>
      </c>
      <c r="L98" s="126">
        <v>24811.26</v>
      </c>
      <c r="M98" s="126">
        <v>24798.66</v>
      </c>
      <c r="N98" s="126">
        <v>24408.43</v>
      </c>
      <c r="O98" s="29">
        <f>IF((N99=""),"",MAX(F100:N100))</f>
        <v>4984.2600000000057</v>
      </c>
      <c r="P98" s="29">
        <f>IF(N99="","",MIN(F100:N100))</f>
        <v>4108.2599999999948</v>
      </c>
      <c r="Q98" s="30">
        <f>IF((N100=""),"",AVERAGE(F100:N100))</f>
        <v>4525.1866666666647</v>
      </c>
      <c r="R98" s="30">
        <f>IF((N99=""),"",(O98-P98)/(O98+P98)*100)</f>
        <v>9.6342928033153719</v>
      </c>
      <c r="S98" s="113">
        <f>STDEV(F100:N100)</f>
        <v>349.61423598017547</v>
      </c>
      <c r="T98" s="114" t="str">
        <f>IF(N99="","",IF(R98&lt;16,IF(Q98&gt;3200,IF(R98,IF(Q98&lt;5240,"Pass","Fail"),"Fail"),"Fail")))</f>
        <v>Pass</v>
      </c>
      <c r="U98" s="115">
        <v>1335</v>
      </c>
      <c r="V98" s="173"/>
      <c r="W98" s="11"/>
      <c r="X98" s="116">
        <v>4200</v>
      </c>
      <c r="Y98" s="116">
        <v>5500</v>
      </c>
      <c r="Z98" s="116">
        <v>3200</v>
      </c>
      <c r="AA98" s="116">
        <v>5240</v>
      </c>
      <c r="AB98" s="31">
        <v>16</v>
      </c>
      <c r="AC98" s="31">
        <v>16</v>
      </c>
    </row>
    <row r="99" spans="1:29" ht="15.6" x14ac:dyDescent="0.3">
      <c r="A99"/>
      <c r="B99" s="32"/>
      <c r="C99" s="33"/>
      <c r="D99" s="34"/>
      <c r="E99" s="61" t="s">
        <v>187</v>
      </c>
      <c r="F99" s="127">
        <v>22900.54</v>
      </c>
      <c r="G99" s="127">
        <v>23414.9</v>
      </c>
      <c r="H99" s="127">
        <v>23518.13</v>
      </c>
      <c r="I99" s="127">
        <v>23357.01</v>
      </c>
      <c r="J99" s="127">
        <v>22756.01</v>
      </c>
      <c r="K99" s="127">
        <v>22882.47</v>
      </c>
      <c r="L99" s="127">
        <v>23370.400000000001</v>
      </c>
      <c r="M99" s="127">
        <v>23375.99</v>
      </c>
      <c r="N99" s="127">
        <v>22770.31</v>
      </c>
      <c r="O99" s="35"/>
      <c r="P99" s="35"/>
      <c r="Q99" s="36"/>
      <c r="R99" s="36"/>
      <c r="S99" s="113"/>
      <c r="T99" s="114"/>
      <c r="U99" s="117"/>
      <c r="V99" s="173"/>
      <c r="W99" s="11"/>
      <c r="X99" s="118"/>
      <c r="Y99" s="118"/>
      <c r="Z99" s="118"/>
      <c r="AA99" s="118"/>
    </row>
    <row r="100" spans="1:29" ht="23.4" thickBot="1" x14ac:dyDescent="0.35">
      <c r="A100"/>
      <c r="B100" s="37"/>
      <c r="C100" s="38"/>
      <c r="D100" s="39"/>
      <c r="E100" s="61" t="s">
        <v>188</v>
      </c>
      <c r="F100" s="40">
        <f t="shared" ref="F100:N100" si="28">IF(((F98="")*AND(F99="")),"",(F98-F99)*3)</f>
        <v>4862.6699999999983</v>
      </c>
      <c r="G100" s="40">
        <f t="shared" si="28"/>
        <v>4146.3899999999921</v>
      </c>
      <c r="H100" s="40">
        <f t="shared" si="28"/>
        <v>4108.2599999999948</v>
      </c>
      <c r="I100" s="40">
        <f t="shared" si="28"/>
        <v>4366.6800000000039</v>
      </c>
      <c r="J100" s="40">
        <f t="shared" si="28"/>
        <v>4984.2600000000057</v>
      </c>
      <c r="K100" s="40">
        <f t="shared" si="28"/>
        <v>4753.4699999999939</v>
      </c>
      <c r="L100" s="40">
        <f t="shared" si="28"/>
        <v>4322.5799999999908</v>
      </c>
      <c r="M100" s="40">
        <f t="shared" si="28"/>
        <v>4268.0099999999948</v>
      </c>
      <c r="N100" s="40">
        <f t="shared" si="28"/>
        <v>4914.3599999999969</v>
      </c>
      <c r="O100" s="41"/>
      <c r="P100" s="41"/>
      <c r="Q100" s="42"/>
      <c r="R100" s="42"/>
      <c r="S100" s="113"/>
      <c r="T100" s="119"/>
      <c r="U100" s="120"/>
      <c r="V100" s="173"/>
      <c r="W100" s="11"/>
      <c r="X100" s="118"/>
      <c r="Y100" s="118"/>
      <c r="Z100" s="118"/>
      <c r="AA100" s="118"/>
    </row>
    <row r="101" spans="1:29" x14ac:dyDescent="0.25">
      <c r="A101" s="188">
        <v>43134</v>
      </c>
      <c r="B101" s="215" t="s">
        <v>174</v>
      </c>
      <c r="C101" s="33" t="s">
        <v>176</v>
      </c>
      <c r="D101" s="44" t="s">
        <v>175</v>
      </c>
      <c r="E101" s="41" t="s">
        <v>186</v>
      </c>
      <c r="F101" s="127">
        <v>4862.43</v>
      </c>
      <c r="G101" s="127">
        <v>4702.49</v>
      </c>
      <c r="H101" s="127">
        <v>4785.13</v>
      </c>
      <c r="I101" s="127">
        <v>4795.45</v>
      </c>
      <c r="J101" s="127">
        <v>5046.18</v>
      </c>
      <c r="K101" s="127">
        <v>4975.95</v>
      </c>
      <c r="L101" s="127">
        <v>4766.88</v>
      </c>
      <c r="M101" s="127">
        <v>4772.4799999999996</v>
      </c>
      <c r="N101" s="127">
        <v>4918.28</v>
      </c>
      <c r="O101" s="35">
        <f>IF((N102=""),"",MAX(F103:N103))</f>
        <v>4059.5199999999995</v>
      </c>
      <c r="P101" s="35">
        <f>IF(N102="","",MIN(F103:N103))</f>
        <v>3760.2199999999993</v>
      </c>
      <c r="Q101" s="36">
        <f>IF((N103=""),"",AVERAGE(F103:N103))</f>
        <v>3960.3511111111115</v>
      </c>
      <c r="R101" s="36">
        <f>IF((N102=""),"",(O101-P101)/(O101+P101)*100)</f>
        <v>3.8274929857002946</v>
      </c>
      <c r="S101" s="113">
        <f>STDEV(F103:N103)</f>
        <v>99.947547299126327</v>
      </c>
      <c r="T101" s="121" t="str">
        <f>IF(N102="","",IF(Q101&gt;3650,IF(R101&lt;6.5,IF(Q101&lt;4450,"Pass","Fail"),"Fail"),"Fail"))</f>
        <v>Pass</v>
      </c>
      <c r="U101" s="117">
        <v>1335</v>
      </c>
      <c r="V101" s="173"/>
      <c r="W101" s="11"/>
      <c r="X101" s="116">
        <v>3650</v>
      </c>
      <c r="Y101" s="116">
        <v>4450</v>
      </c>
      <c r="Z101" s="116">
        <v>3700</v>
      </c>
      <c r="AA101" s="116">
        <v>4100</v>
      </c>
      <c r="AB101" s="31">
        <v>7</v>
      </c>
      <c r="AC101" s="31">
        <v>6.5</v>
      </c>
    </row>
    <row r="102" spans="1:29" ht="15.6" x14ac:dyDescent="0.3">
      <c r="A102"/>
      <c r="B102" s="43"/>
      <c r="C102" s="33"/>
      <c r="D102" s="34"/>
      <c r="E102" s="61" t="s">
        <v>187</v>
      </c>
      <c r="F102" s="127">
        <v>2928.16</v>
      </c>
      <c r="G102" s="127">
        <v>2697.02</v>
      </c>
      <c r="H102" s="127">
        <v>2765.78</v>
      </c>
      <c r="I102" s="127">
        <v>2781.36</v>
      </c>
      <c r="J102" s="127">
        <v>3101.84</v>
      </c>
      <c r="K102" s="127">
        <v>3095.84</v>
      </c>
      <c r="L102" s="127">
        <v>2759.33</v>
      </c>
      <c r="M102" s="127">
        <v>2742.72</v>
      </c>
      <c r="N102" s="127">
        <v>2931.64</v>
      </c>
      <c r="O102" s="35"/>
      <c r="P102" s="35"/>
      <c r="Q102" s="36"/>
      <c r="R102" s="36"/>
      <c r="S102" s="113"/>
      <c r="T102" s="114"/>
      <c r="U102" s="122"/>
      <c r="V102" s="174"/>
      <c r="W102" s="11"/>
      <c r="X102" s="118"/>
      <c r="Y102" s="118"/>
      <c r="Z102" s="118"/>
      <c r="AA102" s="118"/>
    </row>
    <row r="103" spans="1:29" ht="23.4" thickBot="1" x14ac:dyDescent="0.35">
      <c r="A103"/>
      <c r="B103" s="43"/>
      <c r="C103" s="33"/>
      <c r="D103" s="34"/>
      <c r="E103" s="48" t="s">
        <v>188</v>
      </c>
      <c r="F103" s="45">
        <f t="shared" ref="F103:N103" si="29">IF(((F101="")*AND(F102="")),"",(F101-F102)*2)</f>
        <v>3868.5400000000009</v>
      </c>
      <c r="G103" s="45">
        <f t="shared" si="29"/>
        <v>4010.9399999999996</v>
      </c>
      <c r="H103" s="45">
        <f t="shared" si="29"/>
        <v>4038.7</v>
      </c>
      <c r="I103" s="45">
        <f t="shared" si="29"/>
        <v>4028.1799999999994</v>
      </c>
      <c r="J103" s="45">
        <f t="shared" si="29"/>
        <v>3888.6800000000003</v>
      </c>
      <c r="K103" s="45">
        <f t="shared" si="29"/>
        <v>3760.2199999999993</v>
      </c>
      <c r="L103" s="45">
        <f t="shared" si="29"/>
        <v>4015.1000000000004</v>
      </c>
      <c r="M103" s="45">
        <f t="shared" si="29"/>
        <v>4059.5199999999995</v>
      </c>
      <c r="N103" s="45">
        <f t="shared" si="29"/>
        <v>3973.2799999999997</v>
      </c>
      <c r="O103" s="35"/>
      <c r="P103" s="35"/>
      <c r="Q103" s="36"/>
      <c r="R103" s="36"/>
      <c r="S103" s="113"/>
      <c r="T103" s="114"/>
      <c r="U103" s="122"/>
      <c r="V103" s="174"/>
      <c r="W103" s="11"/>
      <c r="X103" s="118"/>
      <c r="Y103" s="118"/>
      <c r="Z103" s="118"/>
      <c r="AA103" s="118"/>
    </row>
    <row r="104" spans="1:29" x14ac:dyDescent="0.25">
      <c r="A104" s="188">
        <v>43134</v>
      </c>
      <c r="B104" s="215" t="s">
        <v>169</v>
      </c>
      <c r="C104" s="47" t="s">
        <v>171</v>
      </c>
      <c r="D104" s="46" t="s">
        <v>189</v>
      </c>
      <c r="E104" s="61" t="s">
        <v>186</v>
      </c>
      <c r="F104" s="127">
        <v>1259.6199999999999</v>
      </c>
      <c r="G104" s="127">
        <v>1237.4100000000001</v>
      </c>
      <c r="H104" s="127">
        <v>1228.43</v>
      </c>
      <c r="I104" s="127">
        <v>1238.28</v>
      </c>
      <c r="J104" s="127">
        <v>1280.6500000000001</v>
      </c>
      <c r="K104" s="127">
        <v>1266.95</v>
      </c>
      <c r="L104" s="127">
        <v>1239.3399999999999</v>
      </c>
      <c r="M104" s="127">
        <v>1236.94</v>
      </c>
      <c r="N104" s="127">
        <v>1269.83</v>
      </c>
      <c r="O104" s="48">
        <f>IF((N105=""),"",MAX(F106:N106))</f>
        <v>2100.2400000000002</v>
      </c>
      <c r="P104" s="48">
        <f>IF(N105="","",MIN(F106:N106))</f>
        <v>1945.0500000000004</v>
      </c>
      <c r="Q104" s="49">
        <f>IF((N106=""),"",AVERAGE(F106:N106))</f>
        <v>2053.0633333333335</v>
      </c>
      <c r="R104" s="49">
        <f>IF((N105=""),"",(O104-P104)/(O104+P104)*100)</f>
        <v>3.8363133421831264</v>
      </c>
      <c r="S104" s="113">
        <f>STDEV(F106:N106)</f>
        <v>58.121829806020287</v>
      </c>
      <c r="T104" s="123" t="str">
        <f>IF(N105="","",IF(Q104&gt;1940,IF(R104&lt;8.3,IF(Q104&lt;2180,"Pass","Fail"),"Fail"),"Fail"))</f>
        <v>Pass</v>
      </c>
      <c r="U104" s="117"/>
      <c r="V104" s="173"/>
      <c r="W104" s="11"/>
      <c r="X104" s="116">
        <v>2000</v>
      </c>
      <c r="Y104" s="116">
        <v>3000</v>
      </c>
      <c r="Z104" s="116">
        <v>1940</v>
      </c>
      <c r="AA104" s="116">
        <v>2180</v>
      </c>
      <c r="AB104" s="31">
        <v>5.2</v>
      </c>
      <c r="AC104" s="31">
        <v>5.2</v>
      </c>
    </row>
    <row r="105" spans="1:29" ht="15.6" x14ac:dyDescent="0.3">
      <c r="A105"/>
      <c r="B105" s="32"/>
      <c r="C105" s="33"/>
      <c r="D105" s="34"/>
      <c r="E105" s="61" t="s">
        <v>187</v>
      </c>
      <c r="F105" s="127">
        <v>572.25</v>
      </c>
      <c r="G105" s="127">
        <v>541.33000000000004</v>
      </c>
      <c r="H105" s="127">
        <v>531.35</v>
      </c>
      <c r="I105" s="127">
        <v>544.49</v>
      </c>
      <c r="J105" s="127">
        <v>632.29999999999995</v>
      </c>
      <c r="K105" s="127">
        <v>613.52</v>
      </c>
      <c r="L105" s="127">
        <v>546.6</v>
      </c>
      <c r="M105" s="127">
        <v>536.86</v>
      </c>
      <c r="N105" s="127">
        <v>579.55999999999995</v>
      </c>
      <c r="O105" s="35"/>
      <c r="P105" s="35"/>
      <c r="Q105" s="36"/>
      <c r="R105" s="36"/>
      <c r="S105" s="113"/>
      <c r="T105" s="114"/>
      <c r="U105" s="117">
        <v>1335</v>
      </c>
      <c r="V105" s="173"/>
      <c r="W105" s="11"/>
      <c r="X105" s="118"/>
      <c r="Y105" s="118"/>
      <c r="Z105" s="118"/>
      <c r="AA105" s="118"/>
    </row>
    <row r="106" spans="1:29" ht="16.2" thickBot="1" x14ac:dyDescent="0.35">
      <c r="A106"/>
      <c r="B106" s="50"/>
      <c r="C106" s="51"/>
      <c r="D106" s="52"/>
      <c r="E106" s="65" t="s">
        <v>190</v>
      </c>
      <c r="F106" s="53">
        <f t="shared" ref="F106:N106" si="30">IF(((F104="")*AND(F105="")),"",(F104-F105)*3)</f>
        <v>2062.1099999999997</v>
      </c>
      <c r="G106" s="53">
        <f t="shared" si="30"/>
        <v>2088.2400000000002</v>
      </c>
      <c r="H106" s="53">
        <f t="shared" si="30"/>
        <v>2091.2400000000002</v>
      </c>
      <c r="I106" s="53">
        <f t="shared" si="30"/>
        <v>2081.37</v>
      </c>
      <c r="J106" s="53">
        <f t="shared" si="30"/>
        <v>1945.0500000000004</v>
      </c>
      <c r="K106" s="53">
        <f t="shared" si="30"/>
        <v>1960.2900000000002</v>
      </c>
      <c r="L106" s="53">
        <f t="shared" si="30"/>
        <v>2078.2199999999998</v>
      </c>
      <c r="M106" s="53">
        <f t="shared" si="30"/>
        <v>2100.2400000000002</v>
      </c>
      <c r="N106" s="53">
        <f t="shared" si="30"/>
        <v>2070.81</v>
      </c>
      <c r="O106" s="54"/>
      <c r="P106" s="54"/>
      <c r="Q106" s="55"/>
      <c r="R106" s="55"/>
      <c r="S106" s="113"/>
      <c r="T106" s="124"/>
      <c r="U106" s="125"/>
      <c r="V106" s="173"/>
      <c r="W106" s="11"/>
      <c r="X106" s="118"/>
      <c r="Y106" s="118"/>
      <c r="Z106" s="118"/>
      <c r="AA106" s="118"/>
    </row>
    <row r="107" spans="1:29" x14ac:dyDescent="0.25">
      <c r="A107" s="206">
        <v>43137</v>
      </c>
      <c r="B107" s="216" t="s">
        <v>185</v>
      </c>
      <c r="C107" s="27" t="s">
        <v>173</v>
      </c>
      <c r="D107" s="28" t="s">
        <v>172</v>
      </c>
      <c r="E107" s="59" t="s">
        <v>186</v>
      </c>
      <c r="F107" s="11">
        <v>23328.78</v>
      </c>
      <c r="G107" s="11">
        <v>23328.78</v>
      </c>
      <c r="H107" s="11">
        <v>23457.48</v>
      </c>
      <c r="I107" s="11">
        <v>23289.3</v>
      </c>
      <c r="J107" s="11">
        <v>22713.78</v>
      </c>
      <c r="K107" s="11">
        <v>22821.3</v>
      </c>
      <c r="L107" s="11">
        <v>23285.67</v>
      </c>
      <c r="M107" s="11">
        <v>23296.65</v>
      </c>
      <c r="N107" s="11">
        <v>22729.33</v>
      </c>
      <c r="O107" s="29">
        <f>IF((N108=""),"",MAX(F109:N109))</f>
        <v>5127.4799999999996</v>
      </c>
      <c r="P107" s="29">
        <f>IF(N108="","",MIN(F109:N109))</f>
        <v>4315.1999999999935</v>
      </c>
      <c r="Q107" s="30">
        <f>IF((N109=""),"",AVERAGE(F109:N109))</f>
        <v>4691.0433333333303</v>
      </c>
      <c r="R107" s="30">
        <f>IF((N108=""),"",(O107-P107)/(O107+P107)*100)</f>
        <v>8.6022188615944497</v>
      </c>
      <c r="S107" s="113">
        <f>STDEV(F109:N109)</f>
        <v>380.43292003979053</v>
      </c>
      <c r="T107" s="114" t="str">
        <f>IF(N108="","",IF(R107&lt;16,IF(Q107&gt;3200,IF(R107,IF(Q107&lt;5240,"Pass","Fail"),"Fail"),"Fail")))</f>
        <v>Pass</v>
      </c>
      <c r="U107" s="115">
        <v>102</v>
      </c>
      <c r="V107" s="173"/>
      <c r="W107" s="11"/>
      <c r="X107" s="116">
        <v>4200</v>
      </c>
      <c r="Y107" s="116">
        <v>5500</v>
      </c>
      <c r="Z107" s="116">
        <v>3200</v>
      </c>
      <c r="AA107" s="116">
        <v>5240</v>
      </c>
      <c r="AB107" s="31">
        <v>16</v>
      </c>
      <c r="AC107" s="31">
        <v>16</v>
      </c>
    </row>
    <row r="108" spans="1:29" ht="15.6" x14ac:dyDescent="0.3">
      <c r="A108"/>
      <c r="B108" s="32"/>
      <c r="C108" s="33"/>
      <c r="D108" s="34"/>
      <c r="E108" s="61" t="s">
        <v>187</v>
      </c>
      <c r="F108" s="11">
        <v>21619.62</v>
      </c>
      <c r="G108" s="11">
        <v>21890.38</v>
      </c>
      <c r="H108" s="11">
        <v>22003.24</v>
      </c>
      <c r="I108" s="11">
        <v>21817.02</v>
      </c>
      <c r="J108" s="11">
        <v>21008.91</v>
      </c>
      <c r="K108" s="11">
        <v>21158.43</v>
      </c>
      <c r="L108" s="11">
        <v>21818.400000000001</v>
      </c>
      <c r="M108" s="11">
        <v>21840.560000000001</v>
      </c>
      <c r="N108" s="11">
        <v>21021.38</v>
      </c>
      <c r="O108" s="35"/>
      <c r="P108" s="35"/>
      <c r="Q108" s="36"/>
      <c r="R108" s="36"/>
      <c r="S108" s="113"/>
      <c r="T108" s="114"/>
      <c r="U108" s="117"/>
      <c r="V108" s="173"/>
      <c r="W108" s="11"/>
      <c r="X108" s="118"/>
      <c r="Y108" s="118"/>
      <c r="Z108" s="118"/>
      <c r="AA108" s="118"/>
    </row>
    <row r="109" spans="1:29" ht="23.4" thickBot="1" x14ac:dyDescent="0.35">
      <c r="A109"/>
      <c r="B109" s="37"/>
      <c r="C109" s="38"/>
      <c r="D109" s="39"/>
      <c r="E109" s="61" t="s">
        <v>188</v>
      </c>
      <c r="F109" s="40">
        <f t="shared" ref="F109:N109" si="31">IF(((F107="")*AND(F108="")),"",(F107-F108)*3)</f>
        <v>5127.4799999999996</v>
      </c>
      <c r="G109" s="40">
        <f t="shared" si="31"/>
        <v>4315.1999999999935</v>
      </c>
      <c r="H109" s="40">
        <f t="shared" si="31"/>
        <v>4362.7199999999939</v>
      </c>
      <c r="I109" s="40">
        <f t="shared" si="31"/>
        <v>4416.8399999999965</v>
      </c>
      <c r="J109" s="40">
        <f t="shared" si="31"/>
        <v>5114.6099999999969</v>
      </c>
      <c r="K109" s="40">
        <f t="shared" si="31"/>
        <v>4988.6099999999969</v>
      </c>
      <c r="L109" s="40">
        <f t="shared" si="31"/>
        <v>4401.8099999999904</v>
      </c>
      <c r="M109" s="40">
        <f t="shared" si="31"/>
        <v>4368.2700000000004</v>
      </c>
      <c r="N109" s="40">
        <f t="shared" si="31"/>
        <v>5123.8500000000022</v>
      </c>
      <c r="O109" s="41"/>
      <c r="P109" s="41"/>
      <c r="Q109" s="42"/>
      <c r="R109" s="42"/>
      <c r="S109" s="113"/>
      <c r="T109" s="119"/>
      <c r="U109" s="120"/>
      <c r="V109" s="173"/>
      <c r="W109" s="11"/>
      <c r="X109" s="118"/>
      <c r="Y109" s="118"/>
      <c r="Z109" s="118"/>
      <c r="AA109" s="118"/>
    </row>
    <row r="110" spans="1:29" x14ac:dyDescent="0.25">
      <c r="A110" s="208">
        <v>43137</v>
      </c>
      <c r="B110" s="215" t="s">
        <v>174</v>
      </c>
      <c r="C110" s="33" t="s">
        <v>176</v>
      </c>
      <c r="D110" s="44" t="s">
        <v>175</v>
      </c>
      <c r="E110" s="41" t="s">
        <v>186</v>
      </c>
      <c r="F110" s="11">
        <v>6720.03</v>
      </c>
      <c r="G110" s="11">
        <v>6637.98</v>
      </c>
      <c r="H110" s="11">
        <v>6738.71</v>
      </c>
      <c r="I110" s="11">
        <v>6747.14</v>
      </c>
      <c r="J110" s="11">
        <v>6897.17</v>
      </c>
      <c r="K110" s="11">
        <v>6766.19</v>
      </c>
      <c r="L110" s="11">
        <v>6712.1</v>
      </c>
      <c r="M110" s="11">
        <v>6728.93</v>
      </c>
      <c r="N110" s="11">
        <v>6824.22</v>
      </c>
      <c r="O110" s="35">
        <f>IF((N111=""),"",MAX(F112:N112))</f>
        <v>3983.08</v>
      </c>
      <c r="P110" s="35">
        <f>IF(N111="","",MIN(F112:N112))</f>
        <v>3708.24</v>
      </c>
      <c r="Q110" s="36">
        <f>IF((N112=""),"",AVERAGE(F112:N112))</f>
        <v>3895.7488888888888</v>
      </c>
      <c r="R110" s="36">
        <f>IF((N111=""),"",(O110-P110)/(O110+P110)*100)</f>
        <v>3.5733788218407265</v>
      </c>
      <c r="S110" s="113">
        <f>STDEV(F112:N112)</f>
        <v>90.483122244488925</v>
      </c>
      <c r="T110" s="121" t="str">
        <f>IF(N111="","",IF(Q110&gt;3650,IF(R110&lt;6.5,IF(Q110&lt;4450,"Pass","Fail"),"Fail"),"Fail"))</f>
        <v>Pass</v>
      </c>
      <c r="U110" s="117">
        <v>102</v>
      </c>
      <c r="V110" s="173"/>
      <c r="W110" s="11"/>
      <c r="X110" s="116">
        <v>3650</v>
      </c>
      <c r="Y110" s="116">
        <v>4450</v>
      </c>
      <c r="Z110" s="116">
        <v>3700</v>
      </c>
      <c r="AA110" s="116">
        <v>4100</v>
      </c>
      <c r="AB110" s="31">
        <v>7</v>
      </c>
      <c r="AC110" s="31">
        <v>6.5</v>
      </c>
    </row>
    <row r="111" spans="1:29" ht="15.6" x14ac:dyDescent="0.3">
      <c r="A111"/>
      <c r="B111" s="43"/>
      <c r="C111" s="33"/>
      <c r="D111" s="34"/>
      <c r="E111" s="61" t="s">
        <v>187</v>
      </c>
      <c r="F111" s="11">
        <v>4811.45</v>
      </c>
      <c r="G111" s="11">
        <v>4669.2</v>
      </c>
      <c r="H111" s="11">
        <v>4752.8100000000004</v>
      </c>
      <c r="I111" s="11">
        <v>4770.95</v>
      </c>
      <c r="J111" s="11">
        <v>4978.59</v>
      </c>
      <c r="K111" s="11">
        <v>4912.07</v>
      </c>
      <c r="L111" s="11">
        <v>4741.55</v>
      </c>
      <c r="M111" s="11">
        <v>4737.3900000000003</v>
      </c>
      <c r="N111" s="11">
        <v>4867.59</v>
      </c>
      <c r="O111" s="35"/>
      <c r="P111" s="35"/>
      <c r="Q111" s="36"/>
      <c r="R111" s="36"/>
      <c r="S111" s="113"/>
      <c r="T111" s="114"/>
      <c r="U111" s="122"/>
      <c r="V111" s="174"/>
      <c r="W111" s="11"/>
      <c r="X111" s="118"/>
      <c r="Y111" s="118"/>
      <c r="Z111" s="118"/>
      <c r="AA111" s="118"/>
    </row>
    <row r="112" spans="1:29" ht="23.4" thickBot="1" x14ac:dyDescent="0.35">
      <c r="A112"/>
      <c r="B112" s="43"/>
      <c r="C112" s="33"/>
      <c r="D112" s="34"/>
      <c r="E112" s="48" t="s">
        <v>188</v>
      </c>
      <c r="F112" s="45">
        <f t="shared" ref="F112:N112" si="32">IF(((F110="")*AND(F111="")),"",(F110-F111)*2)</f>
        <v>3817.16</v>
      </c>
      <c r="G112" s="45">
        <f t="shared" si="32"/>
        <v>3937.5599999999995</v>
      </c>
      <c r="H112" s="45">
        <f t="shared" si="32"/>
        <v>3971.7999999999993</v>
      </c>
      <c r="I112" s="45">
        <f t="shared" si="32"/>
        <v>3952.380000000001</v>
      </c>
      <c r="J112" s="45">
        <f t="shared" si="32"/>
        <v>3837.16</v>
      </c>
      <c r="K112" s="45">
        <f t="shared" si="32"/>
        <v>3708.24</v>
      </c>
      <c r="L112" s="45">
        <f t="shared" si="32"/>
        <v>3941.1000000000004</v>
      </c>
      <c r="M112" s="45">
        <f t="shared" si="32"/>
        <v>3983.08</v>
      </c>
      <c r="N112" s="45">
        <f t="shared" si="32"/>
        <v>3913.26</v>
      </c>
      <c r="O112" s="35"/>
      <c r="P112" s="35"/>
      <c r="Q112" s="36"/>
      <c r="R112" s="36"/>
      <c r="S112" s="113"/>
      <c r="T112" s="114"/>
      <c r="U112" s="122"/>
      <c r="V112" s="174"/>
      <c r="W112" s="11"/>
      <c r="X112" s="118"/>
      <c r="Y112" s="118"/>
      <c r="Z112" s="118"/>
      <c r="AA112" s="118"/>
    </row>
    <row r="113" spans="1:29" x14ac:dyDescent="0.25">
      <c r="A113" s="189">
        <v>43137</v>
      </c>
      <c r="B113" s="215" t="s">
        <v>169</v>
      </c>
      <c r="C113" s="47" t="s">
        <v>171</v>
      </c>
      <c r="D113" s="46" t="s">
        <v>189</v>
      </c>
      <c r="E113" s="61" t="s">
        <v>186</v>
      </c>
      <c r="F113" s="11">
        <v>1918.72</v>
      </c>
      <c r="G113" s="11">
        <v>1914.06</v>
      </c>
      <c r="H113" s="11">
        <v>1907.01</v>
      </c>
      <c r="I113" s="11">
        <v>1913.87</v>
      </c>
      <c r="J113" s="11">
        <v>1925.23</v>
      </c>
      <c r="K113" s="11">
        <v>1917.95</v>
      </c>
      <c r="L113" s="11">
        <v>1912.51</v>
      </c>
      <c r="M113" s="11">
        <v>1917.88</v>
      </c>
      <c r="N113" s="11">
        <v>1924.66</v>
      </c>
      <c r="O113" s="48">
        <f>IF((N114=""),"",MAX(F115:N115))</f>
        <v>2103.7200000000003</v>
      </c>
      <c r="P113" s="48">
        <f>IF(N114="","",MIN(F115:N115))</f>
        <v>1963.62</v>
      </c>
      <c r="Q113" s="49">
        <f>IF((N115=""),"",AVERAGE(F115:N115))</f>
        <v>2042.5833333333333</v>
      </c>
      <c r="R113" s="49">
        <f>IF((N114=""),"",(O113-P113)/(O113+P113)*100)</f>
        <v>3.4445116464323209</v>
      </c>
      <c r="S113" s="113">
        <f>STDEV(F115:N115)</f>
        <v>50.785304961179456</v>
      </c>
      <c r="T113" s="123" t="str">
        <f>IF(N114="","",IF(Q113&gt;1940,IF(R113&lt;8.3,IF(Q113&lt;2180,"Pass","Fail"),"Fail"),"Fail"))</f>
        <v>Pass</v>
      </c>
      <c r="U113" s="117">
        <v>102</v>
      </c>
      <c r="V113" s="173"/>
      <c r="W113" s="11"/>
      <c r="X113" s="116">
        <v>2000</v>
      </c>
      <c r="Y113" s="116">
        <v>3000</v>
      </c>
      <c r="Z113" s="116">
        <v>1940</v>
      </c>
      <c r="AA113" s="116">
        <v>2180</v>
      </c>
      <c r="AB113" s="31">
        <v>5.2</v>
      </c>
      <c r="AC113" s="31">
        <v>5.2</v>
      </c>
    </row>
    <row r="114" spans="1:29" ht="15.6" x14ac:dyDescent="0.3">
      <c r="A114"/>
      <c r="B114" s="32"/>
      <c r="C114" s="33"/>
      <c r="D114" s="34"/>
      <c r="E114" s="61" t="s">
        <v>187</v>
      </c>
      <c r="F114" s="11">
        <v>1249.28</v>
      </c>
      <c r="G114" s="11">
        <v>1217.54</v>
      </c>
      <c r="H114" s="11">
        <v>1212.1099999999999</v>
      </c>
      <c r="I114" s="11">
        <v>1222.6500000000001</v>
      </c>
      <c r="J114" s="11">
        <v>1270.69</v>
      </c>
      <c r="K114" s="11">
        <v>1256.45</v>
      </c>
      <c r="L114" s="11">
        <v>1225.44</v>
      </c>
      <c r="M114" s="11">
        <v>1216.6400000000001</v>
      </c>
      <c r="N114" s="11">
        <v>1253.3399999999999</v>
      </c>
      <c r="O114" s="35"/>
      <c r="P114" s="35"/>
      <c r="Q114" s="36"/>
      <c r="R114" s="36"/>
      <c r="S114" s="113"/>
      <c r="T114" s="114"/>
      <c r="U114" s="117"/>
      <c r="V114" s="173"/>
      <c r="W114" s="11"/>
      <c r="X114" s="118"/>
      <c r="Y114" s="118"/>
      <c r="Z114" s="118"/>
      <c r="AA114" s="118"/>
    </row>
    <row r="115" spans="1:29" ht="16.2" thickBot="1" x14ac:dyDescent="0.35">
      <c r="A115"/>
      <c r="B115" s="50"/>
      <c r="C115" s="51"/>
      <c r="D115" s="52"/>
      <c r="E115" s="65" t="s">
        <v>190</v>
      </c>
      <c r="F115" s="53">
        <f t="shared" ref="F115:N115" si="33">IF(((F113="")*AND(F114="")),"",(F113-F114)*3)</f>
        <v>2008.3200000000002</v>
      </c>
      <c r="G115" s="53">
        <f t="shared" si="33"/>
        <v>2089.56</v>
      </c>
      <c r="H115" s="53">
        <f t="shared" si="33"/>
        <v>2084.7000000000003</v>
      </c>
      <c r="I115" s="53">
        <f t="shared" si="33"/>
        <v>2073.6599999999994</v>
      </c>
      <c r="J115" s="53">
        <f t="shared" si="33"/>
        <v>1963.62</v>
      </c>
      <c r="K115" s="53">
        <f t="shared" si="33"/>
        <v>1984.5</v>
      </c>
      <c r="L115" s="53">
        <f t="shared" si="33"/>
        <v>2061.21</v>
      </c>
      <c r="M115" s="53">
        <f t="shared" si="33"/>
        <v>2103.7200000000003</v>
      </c>
      <c r="N115" s="53">
        <f t="shared" si="33"/>
        <v>2013.9600000000005</v>
      </c>
      <c r="O115" s="54"/>
      <c r="P115" s="54"/>
      <c r="Q115" s="55"/>
      <c r="R115" s="55"/>
      <c r="S115" s="113"/>
      <c r="T115" s="124"/>
      <c r="U115" s="125"/>
      <c r="V115" s="173"/>
      <c r="W115" s="11"/>
      <c r="X115" s="118"/>
      <c r="Y115" s="118"/>
      <c r="Z115" s="118"/>
      <c r="AA115" s="118"/>
    </row>
    <row r="116" spans="1:29" x14ac:dyDescent="0.25">
      <c r="A116" s="206">
        <v>43140</v>
      </c>
      <c r="B116" s="214" t="s">
        <v>185</v>
      </c>
      <c r="C116" s="33" t="s">
        <v>173</v>
      </c>
      <c r="D116" s="34" t="s">
        <v>172</v>
      </c>
      <c r="E116" s="41" t="s">
        <v>186</v>
      </c>
      <c r="F116" s="11">
        <v>26905.74</v>
      </c>
      <c r="G116" s="11">
        <v>26810.880000000001</v>
      </c>
      <c r="H116" s="11">
        <v>26951.52</v>
      </c>
      <c r="I116" s="11">
        <v>26800.22</v>
      </c>
      <c r="J116" s="11">
        <v>26884.82</v>
      </c>
      <c r="K116" s="11">
        <v>26787.59</v>
      </c>
      <c r="L116" s="11">
        <v>26788.959999999999</v>
      </c>
      <c r="M116" s="11">
        <v>26775.83</v>
      </c>
      <c r="N116" s="11">
        <v>26963</v>
      </c>
      <c r="O116" s="35">
        <f>IF((N117=""),"",MAX(F118:N118))</f>
        <v>5222.7299999999996</v>
      </c>
      <c r="P116" s="35">
        <f>IF(N117="","",MIN(F118:N118))</f>
        <v>4415.0100000000057</v>
      </c>
      <c r="Q116" s="36">
        <f>IF((N118=""),"",AVERAGE(F118:N118))</f>
        <v>4743.3100000000022</v>
      </c>
      <c r="R116" s="36">
        <f>IF((N117=""),"",(O116-P116)/(O116+P116)*100)</f>
        <v>8.3808029683306824</v>
      </c>
      <c r="S116" s="113">
        <f>STDEV(F118:N118)</f>
        <v>333.73809787766123</v>
      </c>
      <c r="T116" s="114" t="str">
        <f>IF(N117="","",IF(R116&lt;16,IF(Q116&gt;3200,IF(R116,IF(Q116&lt;5240,"Pass","Fail"),"Fail"),"Fail")))</f>
        <v>Pass</v>
      </c>
      <c r="U116" s="117"/>
      <c r="V116" s="173"/>
      <c r="W116" s="11"/>
      <c r="X116" s="116">
        <v>4200</v>
      </c>
      <c r="Y116" s="116">
        <v>5500</v>
      </c>
      <c r="Z116" s="116">
        <v>3200</v>
      </c>
      <c r="AA116" s="116">
        <v>5240</v>
      </c>
      <c r="AB116" s="31">
        <v>16</v>
      </c>
      <c r="AC116" s="31">
        <v>16</v>
      </c>
    </row>
    <row r="117" spans="1:29" ht="15.6" x14ac:dyDescent="0.3">
      <c r="A117"/>
      <c r="B117" s="32"/>
      <c r="C117" s="33"/>
      <c r="D117" s="34"/>
      <c r="E117" s="61" t="s">
        <v>187</v>
      </c>
      <c r="F117" s="11">
        <v>25246.89</v>
      </c>
      <c r="G117" s="11">
        <v>25318.62</v>
      </c>
      <c r="H117" s="11">
        <v>25479.85</v>
      </c>
      <c r="I117" s="11">
        <v>25303.759999999998</v>
      </c>
      <c r="J117" s="11">
        <v>25163.43</v>
      </c>
      <c r="K117" s="11">
        <v>25130.28</v>
      </c>
      <c r="L117" s="11">
        <v>25304.81</v>
      </c>
      <c r="M117" s="11">
        <v>25268.9</v>
      </c>
      <c r="N117" s="11">
        <v>25222.09</v>
      </c>
      <c r="O117" s="35"/>
      <c r="P117" s="35"/>
      <c r="Q117" s="36"/>
      <c r="R117" s="36"/>
      <c r="S117" s="113"/>
      <c r="T117" s="114"/>
      <c r="U117" s="117"/>
      <c r="V117" s="173"/>
      <c r="W117" s="11"/>
      <c r="X117" s="118"/>
      <c r="Y117" s="118"/>
      <c r="Z117" s="118"/>
      <c r="AA117" s="118"/>
    </row>
    <row r="118" spans="1:29" ht="23.4" thickBot="1" x14ac:dyDescent="0.35">
      <c r="A118"/>
      <c r="B118" s="37"/>
      <c r="C118" s="38"/>
      <c r="D118" s="39"/>
      <c r="E118" s="61" t="s">
        <v>188</v>
      </c>
      <c r="F118" s="40">
        <f t="shared" ref="F118:N118" si="34">IF(((F116="")*AND(F117="")),"",(F116-F117)*3)</f>
        <v>4976.5500000000065</v>
      </c>
      <c r="G118" s="40">
        <f t="shared" si="34"/>
        <v>4476.7800000000061</v>
      </c>
      <c r="H118" s="40">
        <f t="shared" si="34"/>
        <v>4415.0100000000057</v>
      </c>
      <c r="I118" s="40">
        <f t="shared" si="34"/>
        <v>4489.3800000000083</v>
      </c>
      <c r="J118" s="40">
        <f t="shared" si="34"/>
        <v>5164.1699999999983</v>
      </c>
      <c r="K118" s="40">
        <f t="shared" si="34"/>
        <v>4971.9300000000039</v>
      </c>
      <c r="L118" s="40">
        <f t="shared" si="34"/>
        <v>4452.4499999999935</v>
      </c>
      <c r="M118" s="40">
        <f t="shared" si="34"/>
        <v>4520.7900000000009</v>
      </c>
      <c r="N118" s="40">
        <f t="shared" si="34"/>
        <v>5222.7299999999996</v>
      </c>
      <c r="O118" s="41"/>
      <c r="P118" s="41"/>
      <c r="Q118" s="42"/>
      <c r="R118" s="42"/>
      <c r="S118" s="113"/>
      <c r="T118" s="119"/>
      <c r="U118" s="120"/>
      <c r="V118" s="173"/>
      <c r="W118" s="11"/>
      <c r="X118" s="118"/>
      <c r="Y118" s="118"/>
      <c r="Z118" s="118"/>
      <c r="AA118" s="118"/>
    </row>
    <row r="119" spans="1:29" x14ac:dyDescent="0.25">
      <c r="A119" s="188">
        <v>43140</v>
      </c>
      <c r="B119" s="215" t="s">
        <v>174</v>
      </c>
      <c r="C119" s="33" t="s">
        <v>176</v>
      </c>
      <c r="D119" s="44" t="s">
        <v>175</v>
      </c>
      <c r="E119" s="41" t="s">
        <v>186</v>
      </c>
      <c r="F119" s="11">
        <v>4823.32</v>
      </c>
      <c r="G119" s="11">
        <v>4683.57</v>
      </c>
      <c r="H119" s="11">
        <v>4766.54</v>
      </c>
      <c r="I119" s="11">
        <v>4783.84</v>
      </c>
      <c r="J119" s="11">
        <v>4983.95</v>
      </c>
      <c r="K119" s="11">
        <v>4919.51</v>
      </c>
      <c r="L119" s="11">
        <v>4755.2299999999996</v>
      </c>
      <c r="M119" s="11">
        <v>4751.1899999999996</v>
      </c>
      <c r="N119" s="11">
        <v>4877.05</v>
      </c>
      <c r="O119" s="35">
        <f>IF((N120=""),"",MAX(F121:N121))</f>
        <v>4044.5199999999995</v>
      </c>
      <c r="P119" s="35">
        <f>IF(N120="","",MIN(F121:N121))</f>
        <v>3763.1200000000008</v>
      </c>
      <c r="Q119" s="36">
        <f>IF((N121=""),"",AVERAGE(F121:N121))</f>
        <v>3954.7866666666669</v>
      </c>
      <c r="R119" s="36">
        <f>IF((N120=""),"",(O119-P119)/(O119+P119)*100)</f>
        <v>3.6041620771449336</v>
      </c>
      <c r="S119" s="113">
        <f>STDEV(F121:N121)</f>
        <v>96.488510196810253</v>
      </c>
      <c r="T119" s="121" t="str">
        <f>IF(N120="","",IF(Q119&gt;3650,IF(R119&lt;6.5,IF(Q119&lt;4450,"Pass","Fail"),"Fail"),"Fail"))</f>
        <v>Pass</v>
      </c>
      <c r="U119" s="117"/>
      <c r="V119" s="173"/>
      <c r="W119" s="11"/>
      <c r="X119" s="116">
        <v>3650</v>
      </c>
      <c r="Y119" s="116">
        <v>4450</v>
      </c>
      <c r="Z119" s="116">
        <v>3700</v>
      </c>
      <c r="AA119" s="116">
        <v>4100</v>
      </c>
      <c r="AB119" s="31">
        <v>7</v>
      </c>
      <c r="AC119" s="31">
        <v>6.5</v>
      </c>
    </row>
    <row r="120" spans="1:29" ht="15.6" x14ac:dyDescent="0.3">
      <c r="A120"/>
      <c r="B120" s="43"/>
      <c r="C120" s="33"/>
      <c r="D120" s="34"/>
      <c r="E120" s="61" t="s">
        <v>187</v>
      </c>
      <c r="F120" s="11">
        <v>2886.01</v>
      </c>
      <c r="G120" s="11">
        <v>2678.26</v>
      </c>
      <c r="H120" s="11">
        <v>2748.94</v>
      </c>
      <c r="I120" s="11">
        <v>2773.39</v>
      </c>
      <c r="J120" s="11">
        <v>3043.51</v>
      </c>
      <c r="K120" s="11">
        <v>3037.95</v>
      </c>
      <c r="L120" s="11">
        <v>2747.07</v>
      </c>
      <c r="M120" s="11">
        <v>2728.93</v>
      </c>
      <c r="N120" s="11">
        <v>2903.6</v>
      </c>
      <c r="O120" s="35"/>
      <c r="P120" s="35"/>
      <c r="Q120" s="36"/>
      <c r="R120" s="36"/>
      <c r="S120" s="113"/>
      <c r="T120" s="114"/>
      <c r="U120" s="122"/>
      <c r="V120" s="174"/>
      <c r="W120" s="11"/>
      <c r="X120" s="118"/>
      <c r="Y120" s="118"/>
      <c r="Z120" s="118"/>
      <c r="AA120" s="118"/>
    </row>
    <row r="121" spans="1:29" ht="23.4" thickBot="1" x14ac:dyDescent="0.35">
      <c r="A121"/>
      <c r="B121" s="43"/>
      <c r="C121" s="33"/>
      <c r="D121" s="34"/>
      <c r="E121" s="48" t="s">
        <v>188</v>
      </c>
      <c r="F121" s="45">
        <f t="shared" ref="F121:N121" si="35">IF(((F119="")*AND(F120="")),"",(F119-F120)*2)</f>
        <v>3874.619999999999</v>
      </c>
      <c r="G121" s="45">
        <f t="shared" si="35"/>
        <v>4010.619999999999</v>
      </c>
      <c r="H121" s="45">
        <f t="shared" si="35"/>
        <v>4035.2</v>
      </c>
      <c r="I121" s="45">
        <f t="shared" si="35"/>
        <v>4020.9000000000005</v>
      </c>
      <c r="J121" s="45">
        <f t="shared" si="35"/>
        <v>3880.8799999999992</v>
      </c>
      <c r="K121" s="45">
        <f t="shared" si="35"/>
        <v>3763.1200000000008</v>
      </c>
      <c r="L121" s="45">
        <f t="shared" si="35"/>
        <v>4016.3199999999988</v>
      </c>
      <c r="M121" s="45">
        <f t="shared" si="35"/>
        <v>4044.5199999999995</v>
      </c>
      <c r="N121" s="45">
        <f t="shared" si="35"/>
        <v>3946.9000000000005</v>
      </c>
      <c r="O121" s="35"/>
      <c r="P121" s="35"/>
      <c r="Q121" s="36"/>
      <c r="R121" s="36"/>
      <c r="S121" s="113"/>
      <c r="T121" s="114"/>
      <c r="U121" s="122"/>
      <c r="V121" s="174"/>
      <c r="W121" s="11"/>
      <c r="X121" s="118"/>
      <c r="Y121" s="118"/>
      <c r="Z121" s="118"/>
      <c r="AA121" s="118"/>
    </row>
    <row r="122" spans="1:29" x14ac:dyDescent="0.25">
      <c r="A122" s="188">
        <v>43140</v>
      </c>
      <c r="B122" s="215" t="s">
        <v>169</v>
      </c>
      <c r="C122" s="47" t="s">
        <v>171</v>
      </c>
      <c r="D122" s="46" t="s">
        <v>189</v>
      </c>
      <c r="E122" s="61" t="s">
        <v>186</v>
      </c>
      <c r="F122" s="11">
        <v>1248.46</v>
      </c>
      <c r="G122" s="11">
        <v>1219.57</v>
      </c>
      <c r="H122" s="11">
        <v>1219.21</v>
      </c>
      <c r="I122" s="11">
        <v>1225.98</v>
      </c>
      <c r="J122" s="11">
        <v>1276.04</v>
      </c>
      <c r="K122" s="11">
        <v>1262.8699999999999</v>
      </c>
      <c r="L122" s="11">
        <v>1226.0999999999999</v>
      </c>
      <c r="M122" s="11">
        <v>1220.23</v>
      </c>
      <c r="N122" s="11">
        <v>1250.2</v>
      </c>
      <c r="O122" s="48">
        <f>IF((N123=""),"",MAX(F124:N124))</f>
        <v>2114.1</v>
      </c>
      <c r="P122" s="48">
        <f>IF(N123="","",MIN(F124:N124))</f>
        <v>1985.04</v>
      </c>
      <c r="Q122" s="49">
        <f>IF((N124=""),"",AVERAGE(F124:N124))</f>
        <v>2068.9433333333341</v>
      </c>
      <c r="R122" s="49">
        <f>IF((N123=""),"",(O122-P122)/(O122+P122)*100)</f>
        <v>3.1484652878408634</v>
      </c>
      <c r="S122" s="113">
        <f>STDEV(F124:N124)</f>
        <v>48.110031958002331</v>
      </c>
      <c r="T122" s="123" t="str">
        <f>IF(N123="","",IF(Q122&gt;1940,IF(R122&lt;8.3,IF(Q122&lt;2180,"Pass","Fail"),"Fail"),"Fail"))</f>
        <v>Pass</v>
      </c>
      <c r="U122" s="117"/>
      <c r="V122" s="173"/>
      <c r="W122" s="11"/>
      <c r="X122" s="116">
        <v>2000</v>
      </c>
      <c r="Y122" s="116">
        <v>3000</v>
      </c>
      <c r="Z122" s="116">
        <v>1940</v>
      </c>
      <c r="AA122" s="116">
        <v>2180</v>
      </c>
      <c r="AB122" s="31">
        <v>5.2</v>
      </c>
      <c r="AC122" s="31">
        <v>5.2</v>
      </c>
    </row>
    <row r="123" spans="1:29" ht="15.6" x14ac:dyDescent="0.3">
      <c r="A123"/>
      <c r="B123" s="32"/>
      <c r="C123" s="33"/>
      <c r="D123" s="34"/>
      <c r="E123" s="61" t="s">
        <v>187</v>
      </c>
      <c r="F123" s="11">
        <v>562.24</v>
      </c>
      <c r="G123" s="11">
        <v>514.87</v>
      </c>
      <c r="H123" s="11">
        <v>516.17999999999995</v>
      </c>
      <c r="I123" s="11">
        <v>525.87</v>
      </c>
      <c r="J123" s="11">
        <v>614.36</v>
      </c>
      <c r="K123" s="11">
        <v>583.08000000000004</v>
      </c>
      <c r="L123" s="11">
        <v>528.41999999999996</v>
      </c>
      <c r="M123" s="11">
        <v>516.53</v>
      </c>
      <c r="N123" s="11">
        <v>580.28</v>
      </c>
      <c r="O123" s="35"/>
      <c r="P123" s="35"/>
      <c r="Q123" s="36"/>
      <c r="R123" s="36"/>
      <c r="S123" s="113"/>
      <c r="T123" s="114"/>
      <c r="U123" s="117"/>
      <c r="V123" s="173"/>
      <c r="W123" s="11"/>
      <c r="X123" s="118"/>
      <c r="Y123" s="118"/>
      <c r="Z123" s="118"/>
      <c r="AA123" s="118"/>
    </row>
    <row r="124" spans="1:29" ht="16.2" thickBot="1" x14ac:dyDescent="0.35">
      <c r="A124"/>
      <c r="B124" s="50"/>
      <c r="C124" s="51"/>
      <c r="D124" s="52"/>
      <c r="E124" s="65" t="s">
        <v>190</v>
      </c>
      <c r="F124" s="53">
        <f t="shared" ref="F124:N124" si="36">IF(((F122="")*AND(F123="")),"",(F122-F123)*3)</f>
        <v>2058.66</v>
      </c>
      <c r="G124" s="53">
        <f t="shared" si="36"/>
        <v>2114.1</v>
      </c>
      <c r="H124" s="53">
        <f t="shared" si="36"/>
        <v>2109.09</v>
      </c>
      <c r="I124" s="53">
        <f t="shared" si="36"/>
        <v>2100.33</v>
      </c>
      <c r="J124" s="53">
        <f t="shared" si="36"/>
        <v>1985.04</v>
      </c>
      <c r="K124" s="53">
        <f t="shared" si="36"/>
        <v>2039.3699999999994</v>
      </c>
      <c r="L124" s="53">
        <f t="shared" si="36"/>
        <v>2093.04</v>
      </c>
      <c r="M124" s="53">
        <f t="shared" si="36"/>
        <v>2111.1000000000004</v>
      </c>
      <c r="N124" s="53">
        <f t="shared" si="36"/>
        <v>2009.7600000000002</v>
      </c>
      <c r="O124" s="54"/>
      <c r="P124" s="54"/>
      <c r="Q124" s="55"/>
      <c r="R124" s="55"/>
      <c r="S124" s="113"/>
      <c r="T124" s="124"/>
      <c r="U124" s="125"/>
      <c r="V124" s="173"/>
      <c r="W124" s="11"/>
      <c r="X124" s="118"/>
      <c r="Y124" s="118"/>
      <c r="Z124" s="118"/>
      <c r="AA124" s="118"/>
    </row>
    <row r="125" spans="1:29" x14ac:dyDescent="0.25">
      <c r="A125" s="188">
        <v>43143</v>
      </c>
      <c r="B125" s="216" t="s">
        <v>185</v>
      </c>
      <c r="C125" s="27" t="s">
        <v>173</v>
      </c>
      <c r="D125" s="28" t="s">
        <v>172</v>
      </c>
      <c r="E125" s="59" t="s">
        <v>186</v>
      </c>
      <c r="F125" s="11">
        <v>25235.25</v>
      </c>
      <c r="G125" s="11">
        <v>25311.72</v>
      </c>
      <c r="H125" s="11">
        <v>25477.94</v>
      </c>
      <c r="I125" s="11">
        <v>25293.69</v>
      </c>
      <c r="J125" s="11">
        <v>25156.6</v>
      </c>
      <c r="K125" s="11">
        <v>25123.42</v>
      </c>
      <c r="L125" s="11">
        <v>25294.87</v>
      </c>
      <c r="M125" s="11">
        <v>25264.95</v>
      </c>
      <c r="N125" s="11">
        <v>25211.17</v>
      </c>
      <c r="O125" s="29">
        <f>IF((N126=""),"",MAX(F127:N127))</f>
        <v>5090.8199999999961</v>
      </c>
      <c r="P125" s="29">
        <f>IF(N126="","",MIN(F127:N127))</f>
        <v>4358.6399999999921</v>
      </c>
      <c r="Q125" s="30">
        <f>IF((N127=""),"",AVERAGE(F127:N127))</f>
        <v>4678.9899999999971</v>
      </c>
      <c r="R125" s="30">
        <f>IF((N126=""),"",(O125-P125)/(O125+P125)*100)</f>
        <v>7.7483792724664147</v>
      </c>
      <c r="S125" s="113">
        <f>STDEV(F127:N127)</f>
        <v>308.41336729298826</v>
      </c>
      <c r="T125" s="114" t="str">
        <f>IF(N126="","",IF(R125&lt;16,IF(Q125&gt;3200,IF(R125,IF(Q125&lt;5240,"Pass","Fail"),"Fail"),"Fail")))</f>
        <v>Pass</v>
      </c>
      <c r="U125" s="115"/>
      <c r="V125" s="173"/>
      <c r="W125" s="11"/>
      <c r="X125" s="116">
        <v>4200</v>
      </c>
      <c r="Y125" s="116">
        <v>5500</v>
      </c>
      <c r="Z125" s="116">
        <v>3200</v>
      </c>
      <c r="AA125" s="116">
        <v>5240</v>
      </c>
      <c r="AB125" s="31">
        <v>16</v>
      </c>
      <c r="AC125" s="31">
        <v>16</v>
      </c>
    </row>
    <row r="126" spans="1:29" ht="15.6" x14ac:dyDescent="0.3">
      <c r="A126"/>
      <c r="B126" s="32"/>
      <c r="C126" s="33"/>
      <c r="D126" s="34"/>
      <c r="E126" s="61" t="s">
        <v>187</v>
      </c>
      <c r="F126" s="11">
        <v>23601.63</v>
      </c>
      <c r="G126" s="11">
        <v>23839.279999999999</v>
      </c>
      <c r="H126" s="11">
        <v>24025.06</v>
      </c>
      <c r="I126" s="11">
        <v>23803.11</v>
      </c>
      <c r="J126" s="11">
        <v>23469.23</v>
      </c>
      <c r="K126" s="11">
        <v>23478.92</v>
      </c>
      <c r="L126" s="11">
        <v>23819.8</v>
      </c>
      <c r="M126" s="11">
        <v>23781.38</v>
      </c>
      <c r="N126" s="11">
        <v>23514.23</v>
      </c>
      <c r="O126" s="35"/>
      <c r="P126" s="35"/>
      <c r="Q126" s="36"/>
      <c r="R126" s="36"/>
      <c r="S126" s="113"/>
      <c r="T126" s="114"/>
      <c r="U126" s="117"/>
      <c r="V126" s="173"/>
      <c r="W126" s="11"/>
      <c r="X126" s="118"/>
      <c r="Y126" s="118"/>
      <c r="Z126" s="118"/>
      <c r="AA126" s="118"/>
    </row>
    <row r="127" spans="1:29" ht="23.4" thickBot="1" x14ac:dyDescent="0.35">
      <c r="A127"/>
      <c r="B127" s="37"/>
      <c r="C127" s="38"/>
      <c r="D127" s="39"/>
      <c r="E127" s="61" t="s">
        <v>188</v>
      </c>
      <c r="F127" s="40">
        <f t="shared" ref="F127:N127" si="37">IF(((F125="")*AND(F126="")),"",(F125-F126)*3)</f>
        <v>4900.8599999999969</v>
      </c>
      <c r="G127" s="40">
        <f t="shared" si="37"/>
        <v>4417.320000000007</v>
      </c>
      <c r="H127" s="40">
        <f t="shared" si="37"/>
        <v>4358.6399999999921</v>
      </c>
      <c r="I127" s="40">
        <f t="shared" si="37"/>
        <v>4471.7399999999943</v>
      </c>
      <c r="J127" s="40">
        <f t="shared" si="37"/>
        <v>5062.1099999999969</v>
      </c>
      <c r="K127" s="40">
        <f t="shared" si="37"/>
        <v>4933.5</v>
      </c>
      <c r="L127" s="40">
        <f t="shared" si="37"/>
        <v>4425.2099999999991</v>
      </c>
      <c r="M127" s="40">
        <f t="shared" si="37"/>
        <v>4450.7099999999991</v>
      </c>
      <c r="N127" s="40">
        <f t="shared" si="37"/>
        <v>5090.8199999999961</v>
      </c>
      <c r="O127" s="41"/>
      <c r="P127" s="41"/>
      <c r="Q127" s="42"/>
      <c r="R127" s="42"/>
      <c r="S127" s="113"/>
      <c r="T127" s="119"/>
      <c r="U127" s="120"/>
      <c r="V127" s="173"/>
      <c r="W127" s="11"/>
      <c r="X127" s="118"/>
      <c r="Y127" s="118"/>
      <c r="Z127" s="118"/>
      <c r="AA127" s="118"/>
    </row>
    <row r="128" spans="1:29" x14ac:dyDescent="0.25">
      <c r="A128" s="188">
        <v>43143</v>
      </c>
      <c r="B128" s="215" t="s">
        <v>174</v>
      </c>
      <c r="C128" s="33" t="s">
        <v>176</v>
      </c>
      <c r="D128" s="44" t="s">
        <v>175</v>
      </c>
      <c r="E128" s="41" t="s">
        <v>186</v>
      </c>
      <c r="F128" s="11">
        <v>2889</v>
      </c>
      <c r="G128" s="11">
        <v>2679</v>
      </c>
      <c r="H128" s="128">
        <v>2752</v>
      </c>
      <c r="I128" s="128">
        <v>2777</v>
      </c>
      <c r="J128" s="128">
        <v>3050</v>
      </c>
      <c r="K128" s="128">
        <v>3044</v>
      </c>
      <c r="L128" s="128">
        <v>2750</v>
      </c>
      <c r="M128" s="128">
        <v>2732</v>
      </c>
      <c r="N128" s="128">
        <v>2908</v>
      </c>
      <c r="O128" s="35">
        <f>IF((N129=""),"",MAX(F130:N130))</f>
        <v>4017.38</v>
      </c>
      <c r="P128" s="35">
        <f>IF(N129="","",MIN(F130:N130))</f>
        <v>3840.34</v>
      </c>
      <c r="Q128" s="36">
        <f>IF((N130=""),"",AVERAGE(F130:N130))</f>
        <v>3944.8333333333339</v>
      </c>
      <c r="R128" s="36">
        <f>IF((N129=""),"",(O128-P128)/(O128+P128)*100)</f>
        <v>2.2530708653400726</v>
      </c>
      <c r="S128" s="113">
        <f>STDEV(F130:N130)</f>
        <v>64.388099832189496</v>
      </c>
      <c r="T128" s="121" t="str">
        <f>IF(N129="","",IF(Q128&gt;3650,IF(R128&lt;6.5,IF(Q128&lt;4450,"Pass","Fail"),"Fail"),"Fail"))</f>
        <v>Pass</v>
      </c>
      <c r="U128" s="117"/>
      <c r="V128" s="173"/>
      <c r="W128" s="11"/>
      <c r="X128" s="116">
        <v>3650</v>
      </c>
      <c r="Y128" s="116">
        <v>4450</v>
      </c>
      <c r="Z128" s="116">
        <v>3700</v>
      </c>
      <c r="AA128" s="116">
        <v>4100</v>
      </c>
      <c r="AB128" s="31">
        <v>7</v>
      </c>
      <c r="AC128" s="31">
        <v>6.5</v>
      </c>
    </row>
    <row r="129" spans="1:29" ht="15.6" x14ac:dyDescent="0.3">
      <c r="A129"/>
      <c r="B129" s="43"/>
      <c r="C129" s="33"/>
      <c r="D129" s="34"/>
      <c r="E129" s="61" t="s">
        <v>187</v>
      </c>
      <c r="F129" s="11">
        <v>951.05</v>
      </c>
      <c r="G129" s="11">
        <v>692.74</v>
      </c>
      <c r="H129" s="11">
        <v>752.74</v>
      </c>
      <c r="I129" s="11">
        <v>777.1</v>
      </c>
      <c r="J129" s="11">
        <v>1111.98</v>
      </c>
      <c r="K129" s="11">
        <v>1123.83</v>
      </c>
      <c r="L129" s="11">
        <v>763.39</v>
      </c>
      <c r="M129" s="11">
        <v>723.31</v>
      </c>
      <c r="N129" s="11">
        <v>933.11</v>
      </c>
      <c r="O129" s="35"/>
      <c r="P129" s="35"/>
      <c r="Q129" s="36"/>
      <c r="R129" s="36"/>
      <c r="S129" s="113"/>
      <c r="T129" s="114"/>
      <c r="U129" s="122"/>
      <c r="V129" s="174"/>
      <c r="W129" s="11"/>
      <c r="X129" s="118"/>
      <c r="Y129" s="118"/>
      <c r="Z129" s="118"/>
      <c r="AA129" s="118"/>
    </row>
    <row r="130" spans="1:29" ht="23.4" thickBot="1" x14ac:dyDescent="0.35">
      <c r="A130"/>
      <c r="B130" s="43"/>
      <c r="C130" s="33"/>
      <c r="D130" s="34"/>
      <c r="E130" s="48" t="s">
        <v>188</v>
      </c>
      <c r="F130" s="45">
        <f t="shared" ref="F130:N130" si="38">IF(((F128="")*AND(F129="")),"",(F128-F129)*2)</f>
        <v>3875.9</v>
      </c>
      <c r="G130" s="45">
        <f t="shared" si="38"/>
        <v>3972.52</v>
      </c>
      <c r="H130" s="45">
        <f t="shared" si="38"/>
        <v>3998.52</v>
      </c>
      <c r="I130" s="45">
        <f t="shared" si="38"/>
        <v>3999.8</v>
      </c>
      <c r="J130" s="45">
        <f t="shared" si="38"/>
        <v>3876.04</v>
      </c>
      <c r="K130" s="45">
        <f t="shared" si="38"/>
        <v>3840.34</v>
      </c>
      <c r="L130" s="45">
        <f t="shared" si="38"/>
        <v>3973.2200000000003</v>
      </c>
      <c r="M130" s="45">
        <f t="shared" si="38"/>
        <v>4017.38</v>
      </c>
      <c r="N130" s="45">
        <f t="shared" si="38"/>
        <v>3949.7799999999997</v>
      </c>
      <c r="O130" s="35"/>
      <c r="P130" s="35"/>
      <c r="Q130" s="36"/>
      <c r="R130" s="36"/>
      <c r="S130" s="113"/>
      <c r="T130" s="114"/>
      <c r="U130" s="122"/>
      <c r="V130" s="174"/>
      <c r="W130" s="11"/>
      <c r="X130" s="118"/>
      <c r="Y130" s="118"/>
      <c r="Z130" s="118"/>
      <c r="AA130" s="118"/>
    </row>
    <row r="131" spans="1:29" x14ac:dyDescent="0.25">
      <c r="A131" s="188">
        <v>43143</v>
      </c>
      <c r="B131" s="215" t="s">
        <v>169</v>
      </c>
      <c r="C131" s="47" t="s">
        <v>171</v>
      </c>
      <c r="D131" s="46" t="s">
        <v>189</v>
      </c>
      <c r="E131" s="61" t="s">
        <v>186</v>
      </c>
      <c r="F131" s="11">
        <v>1949.67</v>
      </c>
      <c r="G131" s="11">
        <v>1945.36</v>
      </c>
      <c r="H131" s="11">
        <v>1931.4</v>
      </c>
      <c r="I131" s="11">
        <v>1943.13</v>
      </c>
      <c r="J131" s="11">
        <v>1949.69</v>
      </c>
      <c r="K131" s="11">
        <v>1951.23</v>
      </c>
      <c r="L131" s="11">
        <v>1943.53</v>
      </c>
      <c r="M131" s="11">
        <v>1942.29</v>
      </c>
      <c r="N131" s="11">
        <v>1949.09</v>
      </c>
      <c r="O131" s="48">
        <f>IF((N132=""),"",MAX(F133:N133))</f>
        <v>2112.69</v>
      </c>
      <c r="P131" s="48">
        <f>IF(N132="","",MIN(F133:N133))</f>
        <v>2044.7100000000005</v>
      </c>
      <c r="Q131" s="49">
        <f>IF((N133=""),"",AVERAGE(F133:N133))</f>
        <v>2085.2366666666667</v>
      </c>
      <c r="R131" s="49">
        <f>IF((N132=""),"",(O131-P131)/(O131+P131)*100)</f>
        <v>1.6351565882522623</v>
      </c>
      <c r="S131" s="113">
        <f>STDEV(F133:N133)</f>
        <v>20.305603906311013</v>
      </c>
      <c r="T131" s="123" t="str">
        <f>IF(N132="","",IF(Q131&gt;1940,IF(R131&lt;8.3,IF(Q131&lt;2180,"Pass","Fail"),"Fail"),"Fail"))</f>
        <v>Pass</v>
      </c>
      <c r="U131" s="117"/>
      <c r="V131" s="173"/>
      <c r="W131" s="11"/>
      <c r="X131" s="116">
        <v>2000</v>
      </c>
      <c r="Y131" s="116">
        <v>3000</v>
      </c>
      <c r="Z131" s="116">
        <v>1940</v>
      </c>
      <c r="AA131" s="116">
        <v>2180</v>
      </c>
      <c r="AB131" s="31">
        <v>5.2</v>
      </c>
      <c r="AC131" s="31">
        <v>5.2</v>
      </c>
    </row>
    <row r="132" spans="1:29" ht="15.6" x14ac:dyDescent="0.3">
      <c r="A132"/>
      <c r="B132" s="32"/>
      <c r="C132" s="33"/>
      <c r="D132" s="34"/>
      <c r="E132" s="61" t="s">
        <v>187</v>
      </c>
      <c r="F132" s="11">
        <v>1245.44</v>
      </c>
      <c r="G132" s="11">
        <v>1243.05</v>
      </c>
      <c r="H132" s="11">
        <v>1237.25</v>
      </c>
      <c r="I132" s="11">
        <v>1246.57</v>
      </c>
      <c r="J132" s="11">
        <v>1268.1199999999999</v>
      </c>
      <c r="K132" s="11">
        <v>1260.8499999999999</v>
      </c>
      <c r="L132" s="11">
        <v>1245.97</v>
      </c>
      <c r="M132" s="11">
        <v>1244.99</v>
      </c>
      <c r="N132" s="11">
        <v>1257.44</v>
      </c>
      <c r="O132" s="35"/>
      <c r="P132" s="35"/>
      <c r="Q132" s="36"/>
      <c r="R132" s="36"/>
      <c r="S132" s="113"/>
      <c r="T132" s="114"/>
      <c r="U132" s="117"/>
      <c r="V132" s="173"/>
      <c r="W132" s="11"/>
      <c r="X132" s="118"/>
      <c r="Y132" s="118"/>
      <c r="Z132" s="118"/>
      <c r="AA132" s="118"/>
    </row>
    <row r="133" spans="1:29" ht="16.2" thickBot="1" x14ac:dyDescent="0.35">
      <c r="A133"/>
      <c r="B133" s="50"/>
      <c r="C133" s="51"/>
      <c r="D133" s="52"/>
      <c r="E133" s="65" t="s">
        <v>190</v>
      </c>
      <c r="F133" s="53">
        <f t="shared" ref="F133:N133" si="39">IF(((F131="")*AND(F132="")),"",(F131-F132)*3)</f>
        <v>2112.69</v>
      </c>
      <c r="G133" s="53">
        <f t="shared" si="39"/>
        <v>2106.9299999999998</v>
      </c>
      <c r="H133" s="53">
        <f t="shared" si="39"/>
        <v>2082.4500000000003</v>
      </c>
      <c r="I133" s="53">
        <f t="shared" si="39"/>
        <v>2089.6800000000003</v>
      </c>
      <c r="J133" s="53">
        <f t="shared" si="39"/>
        <v>2044.7100000000005</v>
      </c>
      <c r="K133" s="53">
        <f t="shared" si="39"/>
        <v>2071.1400000000003</v>
      </c>
      <c r="L133" s="53">
        <f t="shared" si="39"/>
        <v>2092.6799999999998</v>
      </c>
      <c r="M133" s="53">
        <f t="shared" si="39"/>
        <v>2091.8999999999996</v>
      </c>
      <c r="N133" s="53">
        <f t="shared" si="39"/>
        <v>2074.9499999999998</v>
      </c>
      <c r="O133" s="54"/>
      <c r="P133" s="54"/>
      <c r="Q133" s="55"/>
      <c r="R133" s="55"/>
      <c r="S133" s="113"/>
      <c r="T133" s="124"/>
      <c r="U133" s="125"/>
      <c r="V133" s="173"/>
      <c r="W133" s="11"/>
      <c r="X133" s="118"/>
      <c r="Y133" s="118"/>
      <c r="Z133" s="118"/>
      <c r="AA133" s="118"/>
    </row>
    <row r="134" spans="1:29" x14ac:dyDescent="0.25">
      <c r="A134" s="188">
        <v>43146</v>
      </c>
      <c r="B134" s="216" t="s">
        <v>185</v>
      </c>
      <c r="C134" s="27" t="s">
        <v>173</v>
      </c>
      <c r="D134" s="28" t="s">
        <v>172</v>
      </c>
      <c r="E134" s="59" t="s">
        <v>186</v>
      </c>
      <c r="F134" s="11">
        <v>23577.86</v>
      </c>
      <c r="G134" s="11">
        <v>23818.720000000001</v>
      </c>
      <c r="H134" s="11">
        <v>24011.09</v>
      </c>
      <c r="I134" s="11">
        <v>23789.65</v>
      </c>
      <c r="J134" s="11">
        <v>23445.84</v>
      </c>
      <c r="K134" s="11">
        <v>23458.89</v>
      </c>
      <c r="L134" s="11">
        <v>23802.58</v>
      </c>
      <c r="M134" s="11">
        <v>23762.63</v>
      </c>
      <c r="N134" s="11">
        <v>23489.48</v>
      </c>
      <c r="O134" s="29">
        <f>IF((N135=""),"",MAX(F136:N136))</f>
        <v>4974.75</v>
      </c>
      <c r="P134" s="29">
        <f>IF(N135="","",MIN(F136:N136))</f>
        <v>4274.5200000000004</v>
      </c>
      <c r="Q134" s="30">
        <f>IF((N136=""),"",AVERAGE(F136:N136))</f>
        <v>4569.96</v>
      </c>
      <c r="R134" s="30">
        <f>IF((N135=""),"",(O134-P134)/(O134+P134)*100)</f>
        <v>7.570651521687652</v>
      </c>
      <c r="S134" s="113">
        <f>STDEV(F136:N136)</f>
        <v>296.48876150707429</v>
      </c>
      <c r="T134" s="114" t="str">
        <f>IF(N135="","",IF(R134&lt;16,IF(Q134&gt;3200,IF(R134,IF(Q134&lt;5240,"Pass","Fail"),"Fail"),"Fail")))</f>
        <v>Pass</v>
      </c>
      <c r="U134" s="115" t="s">
        <v>104</v>
      </c>
      <c r="V134" s="173"/>
      <c r="W134" s="11"/>
      <c r="X134" s="116">
        <v>4200</v>
      </c>
      <c r="Y134" s="116">
        <v>5500</v>
      </c>
      <c r="Z134" s="116">
        <v>3200</v>
      </c>
      <c r="AA134" s="116">
        <v>5240</v>
      </c>
      <c r="AB134" s="31">
        <v>16</v>
      </c>
      <c r="AC134" s="31">
        <v>16</v>
      </c>
    </row>
    <row r="135" spans="1:29" ht="15.6" x14ac:dyDescent="0.3">
      <c r="A135"/>
      <c r="B135" s="32"/>
      <c r="C135" s="33"/>
      <c r="D135" s="34"/>
      <c r="E135" s="61" t="s">
        <v>187</v>
      </c>
      <c r="F135" s="11">
        <v>21990.880000000001</v>
      </c>
      <c r="G135" s="11">
        <v>22380.74</v>
      </c>
      <c r="H135" s="11">
        <v>22586.25</v>
      </c>
      <c r="I135" s="11">
        <v>22336.11</v>
      </c>
      <c r="J135" s="11">
        <v>21787.59</v>
      </c>
      <c r="K135" s="11">
        <v>21862.73</v>
      </c>
      <c r="L135" s="11">
        <v>22360.13</v>
      </c>
      <c r="M135" s="11">
        <v>22308.28</v>
      </c>
      <c r="N135" s="11">
        <v>21834.15</v>
      </c>
      <c r="O135" s="35"/>
      <c r="P135" s="35"/>
      <c r="Q135" s="36"/>
      <c r="R135" s="36"/>
      <c r="S135" s="113"/>
      <c r="T135" s="114"/>
      <c r="U135" s="117"/>
      <c r="V135" s="173"/>
      <c r="W135" s="11"/>
      <c r="X135" s="118"/>
      <c r="Y135" s="118"/>
      <c r="Z135" s="118"/>
      <c r="AA135" s="118"/>
    </row>
    <row r="136" spans="1:29" ht="23.4" thickBot="1" x14ac:dyDescent="0.35">
      <c r="A136"/>
      <c r="B136" s="37"/>
      <c r="C136" s="38"/>
      <c r="D136" s="39"/>
      <c r="E136" s="61" t="s">
        <v>188</v>
      </c>
      <c r="F136" s="40">
        <f t="shared" ref="F136:N136" si="40">IF(((F134="")*AND(F135="")),"",(F134-F135)*3)</f>
        <v>4760.9399999999987</v>
      </c>
      <c r="G136" s="40">
        <f t="shared" si="40"/>
        <v>4313.9399999999987</v>
      </c>
      <c r="H136" s="40">
        <f t="shared" si="40"/>
        <v>4274.5200000000004</v>
      </c>
      <c r="I136" s="40">
        <f t="shared" si="40"/>
        <v>4360.6200000000026</v>
      </c>
      <c r="J136" s="40">
        <f t="shared" si="40"/>
        <v>4974.75</v>
      </c>
      <c r="K136" s="40">
        <f t="shared" si="40"/>
        <v>4788.4799999999996</v>
      </c>
      <c r="L136" s="40">
        <f t="shared" si="40"/>
        <v>4327.3500000000022</v>
      </c>
      <c r="M136" s="40">
        <f t="shared" si="40"/>
        <v>4363.0500000000065</v>
      </c>
      <c r="N136" s="40">
        <f t="shared" si="40"/>
        <v>4965.9899999999943</v>
      </c>
      <c r="O136" s="41"/>
      <c r="P136" s="41"/>
      <c r="Q136" s="42"/>
      <c r="R136" s="42"/>
      <c r="S136" s="113"/>
      <c r="T136" s="119"/>
      <c r="U136" s="120"/>
      <c r="V136" s="173"/>
      <c r="W136" s="11"/>
      <c r="X136" s="118"/>
      <c r="Y136" s="118"/>
      <c r="Z136" s="118"/>
      <c r="AA136" s="118"/>
    </row>
    <row r="137" spans="1:29" x14ac:dyDescent="0.25">
      <c r="A137" s="188">
        <v>43146</v>
      </c>
      <c r="B137" s="215" t="s">
        <v>174</v>
      </c>
      <c r="C137" s="33" t="s">
        <v>176</v>
      </c>
      <c r="D137" s="44" t="s">
        <v>175</v>
      </c>
      <c r="E137" s="41" t="s">
        <v>186</v>
      </c>
      <c r="F137" s="11">
        <v>6754.54</v>
      </c>
      <c r="G137" s="11">
        <v>6663.66</v>
      </c>
      <c r="H137" s="11">
        <v>6768.7</v>
      </c>
      <c r="I137" s="11">
        <v>6776.49</v>
      </c>
      <c r="J137" s="11">
        <v>6961.24</v>
      </c>
      <c r="K137" s="11">
        <v>6830.94</v>
      </c>
      <c r="L137" s="11">
        <v>6740.29</v>
      </c>
      <c r="M137" s="11">
        <v>6759.85</v>
      </c>
      <c r="N137" s="11">
        <v>6854.33</v>
      </c>
      <c r="O137" s="35">
        <f>IF((N138=""),"",MAX(F139:N139))</f>
        <v>3976.9000000000015</v>
      </c>
      <c r="P137" s="35">
        <f>IF(N138="","",MIN(F139:N139))</f>
        <v>3711.9799999999996</v>
      </c>
      <c r="Q137" s="36">
        <f>IF((N139=""),"",AVERAGE(F139:N139))</f>
        <v>3903.2488888888888</v>
      </c>
      <c r="R137" s="36">
        <f>IF((N138=""),"",(O137-P137)/(O137+P137)*100)</f>
        <v>3.4454953127113686</v>
      </c>
      <c r="S137" s="113">
        <f>STDEV(F139:N139)</f>
        <v>86.466291762230483</v>
      </c>
      <c r="T137" s="121" t="str">
        <f>IF(N138="","",IF(Q137&gt;3650,IF(R137&lt;6.5,IF(Q137&lt;4450,"Pass","Fail"),"Fail"),"Fail"))</f>
        <v>Pass</v>
      </c>
      <c r="U137" s="117" t="s">
        <v>104</v>
      </c>
      <c r="V137" s="173"/>
      <c r="W137" s="11"/>
      <c r="X137" s="116">
        <v>3650</v>
      </c>
      <c r="Y137" s="116">
        <v>4450</v>
      </c>
      <c r="Z137" s="116">
        <v>3700</v>
      </c>
      <c r="AA137" s="116">
        <v>4100</v>
      </c>
      <c r="AB137" s="31">
        <v>7</v>
      </c>
      <c r="AC137" s="31">
        <v>6.5</v>
      </c>
    </row>
    <row r="138" spans="1:29" ht="15.6" x14ac:dyDescent="0.3">
      <c r="A138"/>
      <c r="B138" s="43"/>
      <c r="C138" s="33"/>
      <c r="D138" s="34"/>
      <c r="E138" s="61" t="s">
        <v>187</v>
      </c>
      <c r="F138" s="11">
        <v>4838.3500000000004</v>
      </c>
      <c r="G138" s="11">
        <v>4693.93</v>
      </c>
      <c r="H138" s="11">
        <v>4783.54</v>
      </c>
      <c r="I138" s="11">
        <v>4797.28</v>
      </c>
      <c r="J138" s="11">
        <v>5028.22</v>
      </c>
      <c r="K138" s="11">
        <v>4974.95</v>
      </c>
      <c r="L138" s="11">
        <v>4765.92</v>
      </c>
      <c r="M138" s="11">
        <v>4771.3999999999996</v>
      </c>
      <c r="N138" s="11">
        <v>4891.83</v>
      </c>
      <c r="O138" s="35"/>
      <c r="P138" s="35"/>
      <c r="Q138" s="36"/>
      <c r="R138" s="36"/>
      <c r="S138" s="113"/>
      <c r="T138" s="114"/>
      <c r="U138" s="122"/>
      <c r="V138" s="174"/>
      <c r="W138" s="11"/>
      <c r="X138" s="118"/>
      <c r="Y138" s="118"/>
      <c r="Z138" s="118"/>
      <c r="AA138" s="118"/>
    </row>
    <row r="139" spans="1:29" ht="23.4" thickBot="1" x14ac:dyDescent="0.35">
      <c r="A139"/>
      <c r="B139" s="43"/>
      <c r="C139" s="33"/>
      <c r="D139" s="34"/>
      <c r="E139" s="48" t="s">
        <v>188</v>
      </c>
      <c r="F139" s="45">
        <f t="shared" ref="F139:N139" si="41">IF(((F137="")*AND(F138="")),"",(F137-F138)*2)</f>
        <v>3832.3799999999992</v>
      </c>
      <c r="G139" s="45">
        <f t="shared" si="41"/>
        <v>3939.4599999999991</v>
      </c>
      <c r="H139" s="45">
        <f t="shared" si="41"/>
        <v>3970.3199999999997</v>
      </c>
      <c r="I139" s="45">
        <f t="shared" si="41"/>
        <v>3958.42</v>
      </c>
      <c r="J139" s="45">
        <f t="shared" si="41"/>
        <v>3866.0399999999991</v>
      </c>
      <c r="K139" s="45">
        <f t="shared" si="41"/>
        <v>3711.9799999999996</v>
      </c>
      <c r="L139" s="45">
        <f t="shared" si="41"/>
        <v>3948.74</v>
      </c>
      <c r="M139" s="45">
        <f t="shared" si="41"/>
        <v>3976.9000000000015</v>
      </c>
      <c r="N139" s="45">
        <f t="shared" si="41"/>
        <v>3925</v>
      </c>
      <c r="O139" s="35"/>
      <c r="P139" s="35"/>
      <c r="Q139" s="36"/>
      <c r="R139" s="36"/>
      <c r="S139" s="113"/>
      <c r="T139" s="114"/>
      <c r="U139" s="122"/>
      <c r="V139" s="174"/>
      <c r="W139" s="11"/>
      <c r="X139" s="118"/>
      <c r="Y139" s="118"/>
      <c r="Z139" s="118"/>
      <c r="AA139" s="118"/>
    </row>
    <row r="140" spans="1:29" x14ac:dyDescent="0.25">
      <c r="A140" s="188">
        <v>43146</v>
      </c>
      <c r="B140" s="215" t="s">
        <v>169</v>
      </c>
      <c r="C140" s="47" t="s">
        <v>171</v>
      </c>
      <c r="D140" s="46" t="s">
        <v>189</v>
      </c>
      <c r="E140" s="61" t="s">
        <v>186</v>
      </c>
      <c r="F140" s="11">
        <v>1246.55</v>
      </c>
      <c r="G140" s="11">
        <v>1244.57</v>
      </c>
      <c r="H140" s="11">
        <v>1236.49</v>
      </c>
      <c r="I140" s="11">
        <v>1247.48</v>
      </c>
      <c r="J140" s="11">
        <v>1274.3399999999999</v>
      </c>
      <c r="K140" s="11">
        <v>1267.01</v>
      </c>
      <c r="L140" s="11">
        <v>1247.3699999999999</v>
      </c>
      <c r="M140" s="11">
        <v>1246.02</v>
      </c>
      <c r="N140" s="11">
        <v>1252.23</v>
      </c>
      <c r="O140" s="48">
        <f>IF((N141=""),"",MAX(F142:N142))</f>
        <v>2117.04</v>
      </c>
      <c r="P140" s="48">
        <f>IF(N141="","",MIN(F142:N142))</f>
        <v>2062.0499999999997</v>
      </c>
      <c r="Q140" s="49">
        <f>IF((N142=""),"",AVERAGE(F142:N142))</f>
        <v>2095.6566666666663</v>
      </c>
      <c r="R140" s="49">
        <f>IF((N141=""),"",(O140-P140)/(O140+P140)*100)</f>
        <v>1.3158367012914352</v>
      </c>
      <c r="S140" s="113">
        <f>STDEV(F142:N142)</f>
        <v>16.415351808596789</v>
      </c>
      <c r="T140" s="123" t="str">
        <f>IF(N141="","",IF(Q140&gt;1940,IF(R140&lt;8.3,IF(Q140&lt;2180,"Pass","Fail"),"Fail"),"Fail"))</f>
        <v>Pass</v>
      </c>
      <c r="U140" s="117" t="s">
        <v>104</v>
      </c>
      <c r="V140" s="173"/>
      <c r="W140" s="11"/>
      <c r="X140" s="116">
        <v>2000</v>
      </c>
      <c r="Y140" s="116">
        <v>3000</v>
      </c>
      <c r="Z140" s="116">
        <v>1940</v>
      </c>
      <c r="AA140" s="116">
        <v>2180</v>
      </c>
      <c r="AB140" s="31">
        <v>5.2</v>
      </c>
      <c r="AC140" s="31">
        <v>5.2</v>
      </c>
    </row>
    <row r="141" spans="1:29" ht="15.6" x14ac:dyDescent="0.3">
      <c r="A141"/>
      <c r="B141" s="32"/>
      <c r="C141" s="33"/>
      <c r="D141" s="34"/>
      <c r="E141" s="61" t="s">
        <v>187</v>
      </c>
      <c r="F141" s="11">
        <v>549.09</v>
      </c>
      <c r="G141" s="11">
        <v>543.52</v>
      </c>
      <c r="H141" s="11">
        <v>533.91</v>
      </c>
      <c r="I141" s="11">
        <v>545.96</v>
      </c>
      <c r="J141" s="11">
        <v>586.99</v>
      </c>
      <c r="K141" s="11">
        <v>571.22</v>
      </c>
      <c r="L141" s="11">
        <v>546.29</v>
      </c>
      <c r="M141" s="11">
        <v>540.34</v>
      </c>
      <c r="N141" s="11">
        <v>557.77</v>
      </c>
      <c r="O141" s="35"/>
      <c r="P141" s="35"/>
      <c r="Q141" s="36"/>
      <c r="R141" s="36"/>
      <c r="S141" s="113"/>
      <c r="T141" s="114"/>
      <c r="U141" s="117"/>
      <c r="V141" s="173"/>
      <c r="W141" s="11"/>
      <c r="X141" s="118"/>
      <c r="Y141" s="118"/>
      <c r="Z141" s="118"/>
      <c r="AA141" s="118"/>
    </row>
    <row r="142" spans="1:29" ht="16.2" thickBot="1" x14ac:dyDescent="0.35">
      <c r="A142"/>
      <c r="B142" s="50"/>
      <c r="C142" s="51"/>
      <c r="D142" s="52"/>
      <c r="E142" s="65" t="s">
        <v>190</v>
      </c>
      <c r="F142" s="53">
        <f t="shared" ref="F142:N142" si="42">IF(((F140="")*AND(F141="")),"",(F140-F141)*3)</f>
        <v>2092.3799999999997</v>
      </c>
      <c r="G142" s="53">
        <f t="shared" si="42"/>
        <v>2103.1499999999996</v>
      </c>
      <c r="H142" s="53">
        <f t="shared" si="42"/>
        <v>2107.7400000000002</v>
      </c>
      <c r="I142" s="53">
        <f t="shared" si="42"/>
        <v>2104.56</v>
      </c>
      <c r="J142" s="53">
        <f t="shared" si="42"/>
        <v>2062.0499999999997</v>
      </c>
      <c r="K142" s="53">
        <f t="shared" si="42"/>
        <v>2087.37</v>
      </c>
      <c r="L142" s="53">
        <f t="shared" si="42"/>
        <v>2103.2399999999998</v>
      </c>
      <c r="M142" s="53">
        <f t="shared" si="42"/>
        <v>2117.04</v>
      </c>
      <c r="N142" s="53">
        <f t="shared" si="42"/>
        <v>2083.38</v>
      </c>
      <c r="O142" s="54"/>
      <c r="P142" s="54"/>
      <c r="Q142" s="55"/>
      <c r="R142" s="55"/>
      <c r="S142" s="113"/>
      <c r="T142" s="124"/>
      <c r="U142" s="125"/>
      <c r="V142" s="173"/>
      <c r="W142" s="11"/>
      <c r="X142" s="118"/>
      <c r="Y142" s="118"/>
      <c r="Z142" s="118"/>
      <c r="AA142" s="118"/>
    </row>
    <row r="143" spans="1:29" x14ac:dyDescent="0.25">
      <c r="A143" s="188">
        <v>43159</v>
      </c>
      <c r="B143" s="216" t="s">
        <v>185</v>
      </c>
      <c r="C143" s="27" t="s">
        <v>173</v>
      </c>
      <c r="D143" s="28" t="s">
        <v>172</v>
      </c>
      <c r="E143" s="59" t="s">
        <v>186</v>
      </c>
      <c r="F143" s="11">
        <v>29326.97</v>
      </c>
      <c r="G143" s="11">
        <v>29113.95</v>
      </c>
      <c r="H143" s="11">
        <v>29186.53</v>
      </c>
      <c r="I143" s="11">
        <v>29134.27</v>
      </c>
      <c r="J143" s="11">
        <v>29349.23</v>
      </c>
      <c r="K143" s="11">
        <v>29292.25</v>
      </c>
      <c r="L143" s="11">
        <v>29117.23</v>
      </c>
      <c r="M143" s="11">
        <v>29118</v>
      </c>
      <c r="N143" s="11">
        <v>29375.759999999998</v>
      </c>
      <c r="O143" s="29">
        <f>IF((N144=""),"",MAX(F145:N145))</f>
        <v>4901.7299999999996</v>
      </c>
      <c r="P143" s="29">
        <f>IF(N144="","",MIN(F145:N145))</f>
        <v>4217.5200000000004</v>
      </c>
      <c r="Q143" s="30">
        <f>IF((N145=""),"",AVERAGE(F145:N145))</f>
        <v>4525.8900000000012</v>
      </c>
      <c r="R143" s="30">
        <f>IF((N144=""),"",(O143-P143)/(O143+P143)*100)</f>
        <v>7.5029196479973583</v>
      </c>
      <c r="S143" s="113">
        <f>STDEV(F145:N145)</f>
        <v>298.32927001888328</v>
      </c>
      <c r="T143" s="114" t="str">
        <f>IF(N144="","",IF(R143&lt;16,IF(Q143&gt;3200,IF(R143,IF(Q143&lt;5240,"Pass","Fail"),"Fail"),"Fail")))</f>
        <v>Pass</v>
      </c>
      <c r="U143" s="115">
        <v>1428</v>
      </c>
      <c r="V143" s="173"/>
      <c r="W143" s="11"/>
      <c r="X143" s="116">
        <v>4200</v>
      </c>
      <c r="Y143" s="116">
        <v>5500</v>
      </c>
      <c r="Z143" s="116">
        <v>3200</v>
      </c>
      <c r="AA143" s="116">
        <v>5240</v>
      </c>
      <c r="AB143" s="31">
        <v>16</v>
      </c>
      <c r="AC143" s="31">
        <v>16</v>
      </c>
    </row>
    <row r="144" spans="1:29" ht="15.6" x14ac:dyDescent="0.3">
      <c r="A144"/>
      <c r="B144" s="32"/>
      <c r="C144" s="33"/>
      <c r="D144" s="34"/>
      <c r="E144" s="61" t="s">
        <v>187</v>
      </c>
      <c r="F144" s="11">
        <v>27698.61</v>
      </c>
      <c r="G144" s="11">
        <v>27668.35</v>
      </c>
      <c r="H144" s="11">
        <v>27780.69</v>
      </c>
      <c r="I144" s="11">
        <v>27717.11</v>
      </c>
      <c r="J144" s="11">
        <v>27758.66</v>
      </c>
      <c r="K144" s="11">
        <v>27697.84</v>
      </c>
      <c r="L144" s="11">
        <v>27682.959999999999</v>
      </c>
      <c r="M144" s="11">
        <v>27690.45</v>
      </c>
      <c r="N144" s="11">
        <v>27741.85</v>
      </c>
      <c r="O144" s="35"/>
      <c r="P144" s="35"/>
      <c r="Q144" s="36"/>
      <c r="R144" s="36"/>
      <c r="S144" s="113"/>
      <c r="T144" s="114"/>
      <c r="U144" s="117"/>
      <c r="V144" s="173"/>
      <c r="W144" s="11"/>
      <c r="X144" s="118"/>
      <c r="Y144" s="118"/>
      <c r="Z144" s="118"/>
      <c r="AA144" s="118"/>
    </row>
    <row r="145" spans="1:29" ht="23.4" thickBot="1" x14ac:dyDescent="0.35">
      <c r="A145"/>
      <c r="B145" s="37"/>
      <c r="C145" s="38"/>
      <c r="D145" s="39"/>
      <c r="E145" s="61" t="s">
        <v>188</v>
      </c>
      <c r="F145" s="40">
        <f t="shared" ref="F145:N145" si="43">IF(((F143="")*AND(F144="")),"",(F143-F144)*3)</f>
        <v>4885.0800000000017</v>
      </c>
      <c r="G145" s="40">
        <f t="shared" si="43"/>
        <v>4336.8000000000065</v>
      </c>
      <c r="H145" s="40">
        <f t="shared" si="43"/>
        <v>4217.5200000000004</v>
      </c>
      <c r="I145" s="40">
        <f t="shared" si="43"/>
        <v>4251.4799999999996</v>
      </c>
      <c r="J145" s="40">
        <f t="shared" si="43"/>
        <v>4771.7099999999991</v>
      </c>
      <c r="K145" s="40">
        <f t="shared" si="43"/>
        <v>4783.2299999999996</v>
      </c>
      <c r="L145" s="40">
        <f t="shared" si="43"/>
        <v>4302.8100000000013</v>
      </c>
      <c r="M145" s="40">
        <f t="shared" si="43"/>
        <v>4282.6499999999978</v>
      </c>
      <c r="N145" s="40">
        <f t="shared" si="43"/>
        <v>4901.7299999999996</v>
      </c>
      <c r="O145" s="41"/>
      <c r="P145" s="41"/>
      <c r="Q145" s="42"/>
      <c r="R145" s="42"/>
      <c r="S145" s="113"/>
      <c r="T145" s="119"/>
      <c r="U145" s="120"/>
      <c r="V145" s="173"/>
      <c r="W145" s="11"/>
      <c r="X145" s="118"/>
      <c r="Y145" s="118"/>
      <c r="Z145" s="118"/>
      <c r="AA145" s="118"/>
    </row>
    <row r="146" spans="1:29" x14ac:dyDescent="0.25">
      <c r="A146" s="188">
        <v>43159</v>
      </c>
      <c r="B146" s="215" t="s">
        <v>174</v>
      </c>
      <c r="C146" s="33" t="s">
        <v>176</v>
      </c>
      <c r="D146" s="44" t="s">
        <v>175</v>
      </c>
      <c r="E146" s="41" t="s">
        <v>186</v>
      </c>
      <c r="F146" s="11">
        <v>6769.72</v>
      </c>
      <c r="G146" s="11">
        <v>6666.42</v>
      </c>
      <c r="H146" s="11">
        <v>6769.02</v>
      </c>
      <c r="I146" s="11">
        <v>6775.98</v>
      </c>
      <c r="J146" s="11">
        <v>6979</v>
      </c>
      <c r="K146" s="11">
        <v>6853.84</v>
      </c>
      <c r="L146" s="11">
        <v>6742.09</v>
      </c>
      <c r="M146" s="11">
        <v>6761.4</v>
      </c>
      <c r="N146" s="11">
        <v>6870.12</v>
      </c>
      <c r="O146" s="35">
        <f>IF((N147=""),"",MAX(F148:N148))</f>
        <v>4041.5999999999985</v>
      </c>
      <c r="P146" s="35">
        <f>IF(N147="","",MIN(F148:N148))</f>
        <v>3755.4799999999996</v>
      </c>
      <c r="Q146" s="36">
        <f>IF((N148=""),"",AVERAGE(F148:N148))</f>
        <v>3955.7644444444441</v>
      </c>
      <c r="R146" s="36">
        <f>IF((N147=""),"",(O146-P146)/(O146+P146)*100)</f>
        <v>3.6695788679864649</v>
      </c>
      <c r="S146" s="113">
        <f>STDEV(F148:N148)</f>
        <v>91.969765563351004</v>
      </c>
      <c r="T146" s="121" t="str">
        <f>IF(N147="","",IF(Q146&gt;3650,IF(R146&lt;6.5,IF(Q146&lt;4450,"Pass","Fail"),"Fail"),"Fail"))</f>
        <v>Pass</v>
      </c>
      <c r="U146" s="117">
        <v>1428</v>
      </c>
      <c r="V146" s="173"/>
      <c r="W146" s="11"/>
      <c r="X146" s="116">
        <v>3650</v>
      </c>
      <c r="Y146" s="116">
        <v>4450</v>
      </c>
      <c r="Z146" s="116">
        <v>3700</v>
      </c>
      <c r="AA146" s="116">
        <v>4100</v>
      </c>
      <c r="AB146" s="31">
        <v>7</v>
      </c>
      <c r="AC146" s="31">
        <v>6.5</v>
      </c>
    </row>
    <row r="147" spans="1:29" ht="15.6" x14ac:dyDescent="0.3">
      <c r="A147"/>
      <c r="B147" s="43"/>
      <c r="C147" s="33"/>
      <c r="D147" s="34"/>
      <c r="E147" s="61" t="s">
        <v>187</v>
      </c>
      <c r="F147" s="11">
        <v>4834.59</v>
      </c>
      <c r="G147" s="11">
        <v>4675.22</v>
      </c>
      <c r="H147" s="11">
        <v>4757.25</v>
      </c>
      <c r="I147" s="11">
        <v>4768.5200000000004</v>
      </c>
      <c r="J147" s="11">
        <v>5017.03</v>
      </c>
      <c r="K147" s="11">
        <v>4976.1000000000004</v>
      </c>
      <c r="L147" s="11">
        <v>4744.26</v>
      </c>
      <c r="M147" s="11">
        <v>4740.6000000000004</v>
      </c>
      <c r="N147" s="11">
        <v>4873.08</v>
      </c>
      <c r="O147" s="35"/>
      <c r="P147" s="35"/>
      <c r="Q147" s="36"/>
      <c r="R147" s="36"/>
      <c r="S147" s="113"/>
      <c r="T147" s="114"/>
      <c r="U147" s="122"/>
      <c r="V147" s="174"/>
      <c r="W147" s="11"/>
      <c r="X147" s="118"/>
      <c r="Y147" s="118"/>
      <c r="Z147" s="118"/>
      <c r="AA147" s="118"/>
    </row>
    <row r="148" spans="1:29" ht="23.4" thickBot="1" x14ac:dyDescent="0.35">
      <c r="A148"/>
      <c r="B148" s="43"/>
      <c r="C148" s="33"/>
      <c r="D148" s="34"/>
      <c r="E148" s="48" t="s">
        <v>188</v>
      </c>
      <c r="F148" s="45">
        <f t="shared" ref="F148:N148" si="44">IF(((F146="")*AND(F147="")),"",(F146-F147)*2)</f>
        <v>3870.26</v>
      </c>
      <c r="G148" s="45">
        <f t="shared" si="44"/>
        <v>3982.3999999999996</v>
      </c>
      <c r="H148" s="45">
        <f t="shared" si="44"/>
        <v>4023.5400000000009</v>
      </c>
      <c r="I148" s="45">
        <f t="shared" si="44"/>
        <v>4014.9199999999983</v>
      </c>
      <c r="J148" s="45">
        <f t="shared" si="44"/>
        <v>3923.9400000000005</v>
      </c>
      <c r="K148" s="45">
        <f t="shared" si="44"/>
        <v>3755.4799999999996</v>
      </c>
      <c r="L148" s="45">
        <f t="shared" si="44"/>
        <v>3995.66</v>
      </c>
      <c r="M148" s="45">
        <f t="shared" si="44"/>
        <v>4041.5999999999985</v>
      </c>
      <c r="N148" s="45">
        <f t="shared" si="44"/>
        <v>3994.08</v>
      </c>
      <c r="O148" s="35"/>
      <c r="P148" s="35"/>
      <c r="Q148" s="36"/>
      <c r="R148" s="36"/>
      <c r="S148" s="113"/>
      <c r="T148" s="114"/>
      <c r="U148" s="122"/>
      <c r="V148" s="174"/>
      <c r="W148" s="11"/>
      <c r="X148" s="118"/>
      <c r="Y148" s="118"/>
      <c r="Z148" s="118"/>
      <c r="AA148" s="118"/>
    </row>
    <row r="149" spans="1:29" x14ac:dyDescent="0.25">
      <c r="A149" s="188">
        <v>43159</v>
      </c>
      <c r="B149" s="215" t="s">
        <v>169</v>
      </c>
      <c r="C149" s="47" t="s">
        <v>171</v>
      </c>
      <c r="D149" s="46" t="s">
        <v>189</v>
      </c>
      <c r="E149" s="61" t="s">
        <v>186</v>
      </c>
      <c r="F149" s="11">
        <v>1949.44</v>
      </c>
      <c r="G149" s="11">
        <v>1940.18</v>
      </c>
      <c r="H149" s="11">
        <v>1939.08</v>
      </c>
      <c r="I149" s="11">
        <v>1937.95</v>
      </c>
      <c r="J149" s="11">
        <v>1947</v>
      </c>
      <c r="K149" s="11">
        <v>1944.99</v>
      </c>
      <c r="L149" s="11">
        <v>1938.72</v>
      </c>
      <c r="M149" s="11">
        <v>1941.03</v>
      </c>
      <c r="N149" s="11">
        <v>1948.23</v>
      </c>
      <c r="O149" s="48">
        <f>IF((N150=""),"",MAX(F151:N151))</f>
        <v>2097.84</v>
      </c>
      <c r="P149" s="48">
        <f>IF(N150="","",MIN(F151:N151))</f>
        <v>1954.7399999999998</v>
      </c>
      <c r="Q149" s="49">
        <f>IF((N151=""),"",AVERAGE(F151:N151))</f>
        <v>2044.5233333333335</v>
      </c>
      <c r="R149" s="49">
        <f>IF((N150=""),"",(O149-P149)/(O149+P149)*100)</f>
        <v>3.5310839021068152</v>
      </c>
      <c r="S149" s="113">
        <f>STDEV(F151:N151)</f>
        <v>50.332364836156948</v>
      </c>
      <c r="T149" s="123" t="str">
        <f>IF(N150="","",IF(Q149&gt;1940,IF(R149&lt;8.3,IF(Q149&lt;2180,"Pass","Fail"),"Fail"),"Fail"))</f>
        <v>Pass</v>
      </c>
      <c r="U149" s="117">
        <v>1428</v>
      </c>
      <c r="V149" s="173"/>
      <c r="W149" s="11"/>
      <c r="X149" s="116">
        <v>2000</v>
      </c>
      <c r="Y149" s="116">
        <v>3000</v>
      </c>
      <c r="Z149" s="116">
        <v>1940</v>
      </c>
      <c r="AA149" s="116">
        <v>2180</v>
      </c>
      <c r="AB149" s="31">
        <v>5.2</v>
      </c>
      <c r="AC149" s="31">
        <v>5.2</v>
      </c>
    </row>
    <row r="150" spans="1:29" ht="15.6" x14ac:dyDescent="0.3">
      <c r="A150"/>
      <c r="B150" s="32"/>
      <c r="C150" s="33"/>
      <c r="D150" s="34"/>
      <c r="E150" s="61" t="s">
        <v>187</v>
      </c>
      <c r="F150" s="11">
        <v>1270.28</v>
      </c>
      <c r="G150" s="11">
        <v>1243.48</v>
      </c>
      <c r="H150" s="11">
        <v>1244.55</v>
      </c>
      <c r="I150" s="11">
        <v>1248.24</v>
      </c>
      <c r="J150" s="11">
        <v>1295.42</v>
      </c>
      <c r="K150" s="11">
        <v>1283.28</v>
      </c>
      <c r="L150" s="11">
        <v>1248.97</v>
      </c>
      <c r="M150" s="11">
        <v>1241.75</v>
      </c>
      <c r="N150" s="11">
        <v>1277.08</v>
      </c>
      <c r="O150" s="35"/>
      <c r="P150" s="35"/>
      <c r="Q150" s="36"/>
      <c r="R150" s="36"/>
      <c r="S150" s="113"/>
      <c r="T150" s="114"/>
      <c r="U150" s="117"/>
      <c r="V150" s="173"/>
      <c r="W150" s="11"/>
      <c r="X150" s="118"/>
      <c r="Y150" s="118"/>
      <c r="Z150" s="118"/>
      <c r="AA150" s="118"/>
    </row>
    <row r="151" spans="1:29" ht="16.2" thickBot="1" x14ac:dyDescent="0.35">
      <c r="A151"/>
      <c r="B151" s="50"/>
      <c r="C151" s="51"/>
      <c r="D151" s="52"/>
      <c r="E151" s="65" t="s">
        <v>190</v>
      </c>
      <c r="F151" s="53">
        <f t="shared" ref="F151:N151" si="45">IF(((F149="")*AND(F150="")),"",(F149-F150)*3)</f>
        <v>2037.4800000000002</v>
      </c>
      <c r="G151" s="53">
        <f t="shared" si="45"/>
        <v>2090.1000000000004</v>
      </c>
      <c r="H151" s="53">
        <f t="shared" si="45"/>
        <v>2083.59</v>
      </c>
      <c r="I151" s="53">
        <f t="shared" si="45"/>
        <v>2069.13</v>
      </c>
      <c r="J151" s="53">
        <f t="shared" si="45"/>
        <v>1954.7399999999998</v>
      </c>
      <c r="K151" s="53">
        <f t="shared" si="45"/>
        <v>1985.13</v>
      </c>
      <c r="L151" s="53">
        <f t="shared" si="45"/>
        <v>2069.25</v>
      </c>
      <c r="M151" s="53">
        <f t="shared" si="45"/>
        <v>2097.84</v>
      </c>
      <c r="N151" s="53">
        <f t="shared" si="45"/>
        <v>2013.4500000000003</v>
      </c>
      <c r="O151" s="54"/>
      <c r="P151" s="54"/>
      <c r="Q151" s="55"/>
      <c r="R151" s="55"/>
      <c r="S151" s="113"/>
      <c r="T151" s="124"/>
      <c r="U151" s="125"/>
      <c r="V151" s="173"/>
      <c r="W151" s="11"/>
      <c r="X151" s="118"/>
      <c r="Y151" s="118"/>
      <c r="Z151" s="118"/>
      <c r="AA151" s="118"/>
    </row>
    <row r="152" spans="1:29" x14ac:dyDescent="0.25">
      <c r="A152" s="188">
        <v>43167</v>
      </c>
      <c r="B152" s="216" t="s">
        <v>185</v>
      </c>
      <c r="C152" s="27" t="s">
        <v>173</v>
      </c>
      <c r="D152" s="28" t="s">
        <v>172</v>
      </c>
      <c r="E152" s="59" t="s">
        <v>186</v>
      </c>
      <c r="F152" s="11">
        <v>27525.37</v>
      </c>
      <c r="G152" s="11">
        <v>27513.41</v>
      </c>
      <c r="H152" s="11">
        <v>27610.41</v>
      </c>
      <c r="I152" s="11">
        <v>27537.54</v>
      </c>
      <c r="J152" s="11">
        <v>27568.26</v>
      </c>
      <c r="K152" s="11">
        <v>27518.13</v>
      </c>
      <c r="L152" s="11">
        <v>27519.35</v>
      </c>
      <c r="M152" s="11">
        <v>27523.89</v>
      </c>
      <c r="N152" s="11">
        <v>27553.48</v>
      </c>
      <c r="O152" s="29">
        <f>IF((N153=""),"",MAX(F154:N154))</f>
        <v>4887.0600000000013</v>
      </c>
      <c r="P152" s="29">
        <f>IF(N153="","",MIN(F154:N154))</f>
        <v>4166.7900000000009</v>
      </c>
      <c r="Q152" s="30">
        <f>IF((N154=""),"",AVERAGE(F154:N154))</f>
        <v>4512.2533333333304</v>
      </c>
      <c r="R152" s="30">
        <f>IF((N153=""),"",(O152-P152)/(O152+P152)*100)</f>
        <v>7.9554001888699304</v>
      </c>
      <c r="S152" s="113">
        <f>STDEV(F154:N154)</f>
        <v>312.42770375720397</v>
      </c>
      <c r="T152" s="114" t="str">
        <f>IF(N153="","",IF(R152&lt;16,IF(Q152&gt;3200,IF(R152,IF(Q152&lt;5240,"Pass","Fail"),"Fail"),"Fail")))</f>
        <v>Pass</v>
      </c>
      <c r="U152" s="115">
        <v>121</v>
      </c>
      <c r="V152" s="173"/>
      <c r="W152" s="11"/>
      <c r="X152" s="116">
        <v>4200</v>
      </c>
      <c r="Y152" s="116">
        <v>5500</v>
      </c>
      <c r="Z152" s="116">
        <v>3200</v>
      </c>
      <c r="AA152" s="116">
        <v>5240</v>
      </c>
      <c r="AB152" s="31">
        <v>16</v>
      </c>
      <c r="AC152" s="31">
        <v>16</v>
      </c>
    </row>
    <row r="153" spans="1:29" ht="15.6" x14ac:dyDescent="0.3">
      <c r="A153"/>
      <c r="B153" s="32"/>
      <c r="C153" s="33"/>
      <c r="D153" s="34"/>
      <c r="E153" s="61" t="s">
        <v>187</v>
      </c>
      <c r="F153" s="11">
        <v>25911.24</v>
      </c>
      <c r="G153" s="11">
        <v>26075.52</v>
      </c>
      <c r="H153" s="11">
        <v>26221.48</v>
      </c>
      <c r="I153" s="11">
        <v>26130.07</v>
      </c>
      <c r="J153" s="11">
        <v>25963.65</v>
      </c>
      <c r="K153" s="11">
        <v>25915.31</v>
      </c>
      <c r="L153" s="11">
        <v>26091.95</v>
      </c>
      <c r="M153" s="11">
        <v>26099.4</v>
      </c>
      <c r="N153" s="11">
        <v>25924.46</v>
      </c>
      <c r="O153" s="35"/>
      <c r="P153" s="35"/>
      <c r="Q153" s="36"/>
      <c r="R153" s="36"/>
      <c r="S153" s="113"/>
      <c r="T153" s="114"/>
      <c r="U153" s="117"/>
      <c r="V153" s="173"/>
      <c r="W153" s="11"/>
      <c r="X153" s="118"/>
      <c r="Y153" s="118"/>
      <c r="Z153" s="118"/>
      <c r="AA153" s="118"/>
    </row>
    <row r="154" spans="1:29" ht="23.4" thickBot="1" x14ac:dyDescent="0.35">
      <c r="A154"/>
      <c r="B154" s="37"/>
      <c r="C154" s="38"/>
      <c r="D154" s="39"/>
      <c r="E154" s="61" t="s">
        <v>188</v>
      </c>
      <c r="F154" s="40">
        <f t="shared" ref="F154:N154" si="46">IF(((F152="")*AND(F153="")),"",(F152-F153)*3)</f>
        <v>4842.3899999999921</v>
      </c>
      <c r="G154" s="40">
        <f t="shared" si="46"/>
        <v>4313.6699999999983</v>
      </c>
      <c r="H154" s="40">
        <f t="shared" si="46"/>
        <v>4166.7900000000009</v>
      </c>
      <c r="I154" s="40">
        <f t="shared" si="46"/>
        <v>4222.4100000000035</v>
      </c>
      <c r="J154" s="40">
        <f t="shared" si="46"/>
        <v>4813.8299999999908</v>
      </c>
      <c r="K154" s="40">
        <f t="shared" si="46"/>
        <v>4808.4599999999991</v>
      </c>
      <c r="L154" s="40">
        <f t="shared" si="46"/>
        <v>4282.1999999999935</v>
      </c>
      <c r="M154" s="40">
        <f t="shared" si="46"/>
        <v>4273.4699999999939</v>
      </c>
      <c r="N154" s="40">
        <f t="shared" si="46"/>
        <v>4887.0600000000013</v>
      </c>
      <c r="O154" s="41"/>
      <c r="P154" s="41"/>
      <c r="Q154" s="42"/>
      <c r="R154" s="42"/>
      <c r="S154" s="113"/>
      <c r="T154" s="119"/>
      <c r="U154" s="120"/>
      <c r="V154" s="173"/>
      <c r="W154" s="11"/>
      <c r="X154" s="118"/>
      <c r="Y154" s="118"/>
      <c r="Z154" s="118"/>
      <c r="AA154" s="118"/>
    </row>
    <row r="155" spans="1:29" x14ac:dyDescent="0.25">
      <c r="A155" s="188">
        <v>43167</v>
      </c>
      <c r="B155" s="215" t="s">
        <v>174</v>
      </c>
      <c r="C155" s="33" t="s">
        <v>176</v>
      </c>
      <c r="D155" s="44" t="s">
        <v>175</v>
      </c>
      <c r="E155" s="41" t="s">
        <v>186</v>
      </c>
      <c r="F155" s="11">
        <v>4855.3</v>
      </c>
      <c r="G155" s="11">
        <v>4699.79</v>
      </c>
      <c r="H155" s="11">
        <v>4781.28</v>
      </c>
      <c r="I155" s="11">
        <v>4792.9399999999996</v>
      </c>
      <c r="J155" s="11">
        <v>5030.82</v>
      </c>
      <c r="K155" s="11">
        <v>4989.47</v>
      </c>
      <c r="L155" s="11">
        <v>4768.6099999999997</v>
      </c>
      <c r="M155" s="11">
        <v>4765.3</v>
      </c>
      <c r="N155" s="11">
        <v>4893.57</v>
      </c>
      <c r="O155" s="35">
        <f>IF((N156=""),"",MAX(F157:N157))</f>
        <v>3801.5600000000004</v>
      </c>
      <c r="P155" s="35">
        <f>IF(N156="","",MIN(F157:N157))</f>
        <v>3505.9599999999991</v>
      </c>
      <c r="Q155" s="36">
        <f>IF((N157=""),"",AVERAGE(F157:N157))</f>
        <v>3651.8666666666663</v>
      </c>
      <c r="R155" s="36">
        <f>IF((N156=""),"",(O155-P155)/(O155+P155)*100)</f>
        <v>4.045148011911035</v>
      </c>
      <c r="S155" s="113">
        <f>STDEV(F157:N157)</f>
        <v>90.549827167146105</v>
      </c>
      <c r="T155" s="121" t="str">
        <f>IF(N156="","",IF(Q155&gt;3650,IF(R155&lt;6.5,IF(Q155&lt;4450,"Pass","Fail"),"Fail"),"Fail"))</f>
        <v>Pass</v>
      </c>
      <c r="U155" s="117">
        <v>121</v>
      </c>
      <c r="V155" s="173"/>
      <c r="W155" s="11"/>
      <c r="X155" s="116">
        <v>3650</v>
      </c>
      <c r="Y155" s="116">
        <v>4450</v>
      </c>
      <c r="Z155" s="116">
        <v>3700</v>
      </c>
      <c r="AA155" s="116">
        <v>4100</v>
      </c>
      <c r="AB155" s="31">
        <v>7</v>
      </c>
      <c r="AC155" s="31">
        <v>6.5</v>
      </c>
    </row>
    <row r="156" spans="1:29" ht="15.6" x14ac:dyDescent="0.3">
      <c r="A156"/>
      <c r="B156" s="43"/>
      <c r="C156" s="33"/>
      <c r="D156" s="34"/>
      <c r="E156" s="61" t="s">
        <v>187</v>
      </c>
      <c r="F156" s="11">
        <v>3088.69</v>
      </c>
      <c r="G156" s="11">
        <v>2865.98</v>
      </c>
      <c r="H156" s="11">
        <v>2934.46</v>
      </c>
      <c r="I156" s="11">
        <v>2956.28</v>
      </c>
      <c r="J156" s="11">
        <v>3277.84</v>
      </c>
      <c r="K156" s="11">
        <v>3088.69</v>
      </c>
      <c r="L156" s="11">
        <v>2934.14</v>
      </c>
      <c r="M156" s="11">
        <v>2909.92</v>
      </c>
      <c r="N156" s="11">
        <v>3087.68</v>
      </c>
      <c r="O156" s="35"/>
      <c r="P156" s="35"/>
      <c r="Q156" s="36"/>
      <c r="R156" s="36"/>
      <c r="S156" s="113"/>
      <c r="T156" s="114"/>
      <c r="U156" s="122"/>
      <c r="V156" s="174"/>
      <c r="W156" s="11"/>
      <c r="X156" s="118"/>
      <c r="Y156" s="118"/>
      <c r="Z156" s="118"/>
      <c r="AA156" s="118"/>
    </row>
    <row r="157" spans="1:29" ht="23.4" thickBot="1" x14ac:dyDescent="0.35">
      <c r="A157"/>
      <c r="B157" s="43"/>
      <c r="C157" s="33"/>
      <c r="D157" s="34"/>
      <c r="E157" s="48" t="s">
        <v>188</v>
      </c>
      <c r="F157" s="45">
        <f t="shared" ref="F157:N157" si="47">IF(((F155="")*AND(F156="")),"",(F155-F156)*2)</f>
        <v>3533.2200000000003</v>
      </c>
      <c r="G157" s="45">
        <f t="shared" si="47"/>
        <v>3667.62</v>
      </c>
      <c r="H157" s="45">
        <f t="shared" si="47"/>
        <v>3693.6399999999994</v>
      </c>
      <c r="I157" s="45">
        <f t="shared" si="47"/>
        <v>3673.3199999999988</v>
      </c>
      <c r="J157" s="45">
        <f t="shared" si="47"/>
        <v>3505.9599999999991</v>
      </c>
      <c r="K157" s="45">
        <f t="shared" si="47"/>
        <v>3801.5600000000004</v>
      </c>
      <c r="L157" s="45">
        <f t="shared" si="47"/>
        <v>3668.9399999999996</v>
      </c>
      <c r="M157" s="45">
        <f t="shared" si="47"/>
        <v>3710.76</v>
      </c>
      <c r="N157" s="45">
        <f t="shared" si="47"/>
        <v>3611.7799999999997</v>
      </c>
      <c r="O157" s="35"/>
      <c r="P157" s="35"/>
      <c r="Q157" s="36"/>
      <c r="R157" s="36"/>
      <c r="S157" s="113"/>
      <c r="T157" s="114"/>
      <c r="U157" s="122"/>
      <c r="V157" s="174"/>
      <c r="W157" s="11"/>
      <c r="X157" s="118"/>
      <c r="Y157" s="118"/>
      <c r="Z157" s="118"/>
      <c r="AA157" s="118"/>
    </row>
    <row r="158" spans="1:29" x14ac:dyDescent="0.25">
      <c r="A158" s="188">
        <v>43167</v>
      </c>
      <c r="B158" s="215" t="s">
        <v>169</v>
      </c>
      <c r="C158" s="47" t="s">
        <v>171</v>
      </c>
      <c r="D158" s="46" t="s">
        <v>189</v>
      </c>
      <c r="E158" s="61" t="s">
        <v>186</v>
      </c>
      <c r="F158" s="11">
        <v>1273.96</v>
      </c>
      <c r="G158" s="11">
        <v>1247.06</v>
      </c>
      <c r="H158" s="11">
        <v>1242.6400000000001</v>
      </c>
      <c r="I158" s="11">
        <v>1252.6199999999999</v>
      </c>
      <c r="J158" s="11">
        <v>1297.99</v>
      </c>
      <c r="K158" s="11">
        <v>1285.97</v>
      </c>
      <c r="L158" s="11">
        <v>1251.3499999999999</v>
      </c>
      <c r="M158" s="11">
        <v>1244.8800000000001</v>
      </c>
      <c r="N158" s="11">
        <v>1281.26</v>
      </c>
      <c r="O158" s="48">
        <f>IF((N159=""),"",MAX(F160:N160))</f>
        <v>2136.0000000000005</v>
      </c>
      <c r="P158" s="48">
        <f>IF(N159="","",MIN(F160:N160))</f>
        <v>1992.48</v>
      </c>
      <c r="Q158" s="49">
        <f>IF((N160=""),"",AVERAGE(F160:N160))</f>
        <v>2079.3233333333328</v>
      </c>
      <c r="R158" s="49">
        <f>IF((N159=""),"",(O158-P158)/(O158+P158)*100)</f>
        <v>3.4763399604697232</v>
      </c>
      <c r="S158" s="113">
        <f>STDEV(F160:N160)</f>
        <v>49.159356942498732</v>
      </c>
      <c r="T158" s="123" t="str">
        <f>IF(N159="","",IF(Q158&gt;1940,IF(R158&lt;8.3,IF(Q158&lt;2180,"Pass","Fail"),"Fail"),"Fail"))</f>
        <v>Pass</v>
      </c>
      <c r="U158" s="117"/>
      <c r="V158" s="173"/>
      <c r="W158" s="11"/>
      <c r="X158" s="116">
        <v>2000</v>
      </c>
      <c r="Y158" s="116">
        <v>3000</v>
      </c>
      <c r="Z158" s="116">
        <v>1940</v>
      </c>
      <c r="AA158" s="116">
        <v>2180</v>
      </c>
      <c r="AB158" s="31">
        <v>5.2</v>
      </c>
      <c r="AC158" s="31">
        <v>5.2</v>
      </c>
    </row>
    <row r="159" spans="1:29" ht="15.6" x14ac:dyDescent="0.3">
      <c r="A159"/>
      <c r="B159" s="32"/>
      <c r="C159" s="33"/>
      <c r="D159" s="34"/>
      <c r="E159" s="61" t="s">
        <v>187</v>
      </c>
      <c r="F159" s="11">
        <v>587.74</v>
      </c>
      <c r="G159" s="11">
        <v>541.69000000000005</v>
      </c>
      <c r="H159" s="11">
        <v>542.69000000000005</v>
      </c>
      <c r="I159" s="11">
        <v>546.42999999999995</v>
      </c>
      <c r="J159" s="11">
        <v>633.83000000000004</v>
      </c>
      <c r="K159" s="11">
        <v>614.80999999999995</v>
      </c>
      <c r="L159" s="11">
        <v>550.80999999999995</v>
      </c>
      <c r="M159" s="11">
        <v>532.88</v>
      </c>
      <c r="N159" s="11">
        <v>588.88</v>
      </c>
      <c r="O159" s="35"/>
      <c r="P159" s="35"/>
      <c r="Q159" s="36"/>
      <c r="R159" s="36"/>
      <c r="S159" s="113"/>
      <c r="T159" s="114"/>
      <c r="U159" s="117">
        <v>121</v>
      </c>
      <c r="V159" s="173"/>
      <c r="W159" s="11"/>
      <c r="X159" s="118"/>
      <c r="Y159" s="118"/>
      <c r="Z159" s="118"/>
      <c r="AA159" s="118"/>
    </row>
    <row r="160" spans="1:29" ht="16.2" thickBot="1" x14ac:dyDescent="0.35">
      <c r="A160"/>
      <c r="B160" s="32"/>
      <c r="C160" s="33"/>
      <c r="D160" s="34"/>
      <c r="E160" s="48" t="s">
        <v>190</v>
      </c>
      <c r="F160" s="53">
        <f t="shared" ref="F160:N160" si="48">IF(((F158="")*AND(F159="")),"",(F158-F159)*3)</f>
        <v>2058.66</v>
      </c>
      <c r="G160" s="53">
        <f t="shared" si="48"/>
        <v>2116.1099999999997</v>
      </c>
      <c r="H160" s="53">
        <f t="shared" si="48"/>
        <v>2099.8500000000004</v>
      </c>
      <c r="I160" s="53">
        <f t="shared" si="48"/>
        <v>2118.5699999999997</v>
      </c>
      <c r="J160" s="53">
        <f t="shared" si="48"/>
        <v>1992.48</v>
      </c>
      <c r="K160" s="53">
        <f t="shared" si="48"/>
        <v>2013.4800000000002</v>
      </c>
      <c r="L160" s="53">
        <f t="shared" si="48"/>
        <v>2101.62</v>
      </c>
      <c r="M160" s="53">
        <f t="shared" si="48"/>
        <v>2136.0000000000005</v>
      </c>
      <c r="N160" s="53">
        <f t="shared" si="48"/>
        <v>2077.14</v>
      </c>
      <c r="O160" s="35"/>
      <c r="P160" s="35"/>
      <c r="Q160" s="36"/>
      <c r="R160" s="36"/>
      <c r="S160" s="113"/>
      <c r="T160" s="114"/>
      <c r="U160" s="117"/>
      <c r="V160" s="173"/>
      <c r="W160" s="11"/>
      <c r="X160" s="118"/>
      <c r="Y160" s="118"/>
      <c r="Z160" s="118"/>
      <c r="AA160" s="118"/>
    </row>
    <row r="161" spans="1:29" x14ac:dyDescent="0.25">
      <c r="A161" s="206">
        <v>43173</v>
      </c>
      <c r="B161" s="216" t="s">
        <v>185</v>
      </c>
      <c r="C161" s="27" t="s">
        <v>173</v>
      </c>
      <c r="D161" s="28" t="s">
        <v>172</v>
      </c>
      <c r="E161" s="59" t="s">
        <v>186</v>
      </c>
      <c r="F161" s="11">
        <v>25845.02</v>
      </c>
      <c r="G161" s="11">
        <v>26024.39</v>
      </c>
      <c r="H161" s="11">
        <v>26172.28</v>
      </c>
      <c r="I161" s="11">
        <v>26062.31</v>
      </c>
      <c r="J161" s="11">
        <v>25899.5</v>
      </c>
      <c r="K161" s="11">
        <v>25844.19</v>
      </c>
      <c r="L161" s="11">
        <v>26036</v>
      </c>
      <c r="M161" s="11">
        <v>26043.38</v>
      </c>
      <c r="N161" s="11">
        <v>25869.33</v>
      </c>
      <c r="O161" s="29">
        <f>IF((N162=""),"",MAX(F163:N163))</f>
        <v>4874.4000000000087</v>
      </c>
      <c r="P161" s="29">
        <f>IF(N162="","",MIN(F163:N163))</f>
        <v>4188.9599999999991</v>
      </c>
      <c r="Q161" s="30">
        <f>IF((N163=""),"",AVERAGE(F163:N163))</f>
        <v>4498.92</v>
      </c>
      <c r="R161" s="30">
        <f>IF((N162=""),"",(O161-P161)/(O161+P161)*100)</f>
        <v>7.5627581823960313</v>
      </c>
      <c r="S161" s="113">
        <f>STDEV(F163:N163)</f>
        <v>298.41105898575614</v>
      </c>
      <c r="T161" s="114" t="str">
        <f>IF(N162="","",IF(R161&lt;16,IF(Q161&gt;3200,IF(R161,IF(Q161&lt;5240,"Pass","Fail"),"Fail"),"Fail")))</f>
        <v>Pass</v>
      </c>
      <c r="U161" s="115">
        <v>121</v>
      </c>
      <c r="V161" s="173"/>
      <c r="W161" s="11"/>
      <c r="X161" s="116">
        <v>4200</v>
      </c>
      <c r="Y161" s="116">
        <v>5500</v>
      </c>
      <c r="Z161" s="116">
        <v>3200</v>
      </c>
      <c r="AA161" s="116">
        <v>5240</v>
      </c>
      <c r="AB161" s="31">
        <v>16</v>
      </c>
      <c r="AC161" s="31">
        <v>16</v>
      </c>
    </row>
    <row r="162" spans="1:29" ht="15.6" x14ac:dyDescent="0.3">
      <c r="A162"/>
      <c r="B162" s="32"/>
      <c r="C162" s="33"/>
      <c r="D162" s="34"/>
      <c r="E162" s="61" t="s">
        <v>187</v>
      </c>
      <c r="F162" s="11">
        <v>24268.13</v>
      </c>
      <c r="G162" s="11">
        <v>24606.21</v>
      </c>
      <c r="H162" s="11">
        <v>24775.96</v>
      </c>
      <c r="I162" s="11">
        <v>24642.080000000002</v>
      </c>
      <c r="J162" s="11">
        <v>24281.59</v>
      </c>
      <c r="K162" s="11">
        <v>24251.38</v>
      </c>
      <c r="L162" s="11">
        <v>24606.83</v>
      </c>
      <c r="M162" s="11">
        <v>24622.93</v>
      </c>
      <c r="N162" s="11">
        <v>24244.53</v>
      </c>
      <c r="O162" s="35"/>
      <c r="P162" s="35"/>
      <c r="Q162" s="36"/>
      <c r="R162" s="36"/>
      <c r="S162" s="113"/>
      <c r="T162" s="114"/>
      <c r="U162" s="117"/>
      <c r="V162" s="173"/>
      <c r="W162" s="11"/>
      <c r="X162" s="118"/>
      <c r="Y162" s="118"/>
      <c r="Z162" s="118"/>
      <c r="AA162" s="118"/>
    </row>
    <row r="163" spans="1:29" ht="23.4" thickBot="1" x14ac:dyDescent="0.35">
      <c r="A163"/>
      <c r="B163" s="37"/>
      <c r="C163" s="38"/>
      <c r="D163" s="39"/>
      <c r="E163" s="61" t="s">
        <v>188</v>
      </c>
      <c r="F163" s="40">
        <f t="shared" ref="F163:N163" si="49">IF(((F161="")*AND(F162="")),"",(F161-F162)*3)</f>
        <v>4730.6699999999983</v>
      </c>
      <c r="G163" s="40">
        <f t="shared" si="49"/>
        <v>4254.5400000000009</v>
      </c>
      <c r="H163" s="40">
        <f t="shared" si="49"/>
        <v>4188.9599999999991</v>
      </c>
      <c r="I163" s="40">
        <f t="shared" si="49"/>
        <v>4260.6899999999987</v>
      </c>
      <c r="J163" s="40">
        <f t="shared" si="49"/>
        <v>4853.7299999999996</v>
      </c>
      <c r="K163" s="40">
        <f t="shared" si="49"/>
        <v>4778.429999999993</v>
      </c>
      <c r="L163" s="40">
        <f t="shared" si="49"/>
        <v>4287.5099999999948</v>
      </c>
      <c r="M163" s="40">
        <f t="shared" si="49"/>
        <v>4261.3500000000022</v>
      </c>
      <c r="N163" s="40">
        <f t="shared" si="49"/>
        <v>4874.4000000000087</v>
      </c>
      <c r="O163" s="41"/>
      <c r="P163" s="41"/>
      <c r="Q163" s="42"/>
      <c r="R163" s="42"/>
      <c r="S163" s="113"/>
      <c r="T163" s="119"/>
      <c r="U163" s="120"/>
      <c r="V163" s="173"/>
      <c r="W163" s="11"/>
      <c r="X163" s="118"/>
      <c r="Y163" s="118"/>
      <c r="Z163" s="118"/>
      <c r="AA163" s="118"/>
    </row>
    <row r="164" spans="1:29" x14ac:dyDescent="0.25">
      <c r="A164" s="188">
        <v>43173</v>
      </c>
      <c r="B164" s="215" t="s">
        <v>174</v>
      </c>
      <c r="C164" s="33" t="s">
        <v>176</v>
      </c>
      <c r="D164" s="44" t="s">
        <v>175</v>
      </c>
      <c r="E164" s="41" t="s">
        <v>186</v>
      </c>
      <c r="F164" s="11">
        <v>3104.76</v>
      </c>
      <c r="G164" s="11">
        <v>2880.54</v>
      </c>
      <c r="H164" s="11">
        <v>2949.87</v>
      </c>
      <c r="I164" s="11">
        <v>2971.38</v>
      </c>
      <c r="J164" s="11">
        <v>3293.55</v>
      </c>
      <c r="K164" s="11">
        <v>3324.66</v>
      </c>
      <c r="L164" s="11">
        <v>2949.43</v>
      </c>
      <c r="M164" s="11">
        <v>2924.63</v>
      </c>
      <c r="N164" s="11">
        <v>3104.16</v>
      </c>
      <c r="O164" s="35">
        <f>IF((N165=""),"",MAX(F166:N166))</f>
        <v>3944.1800000000003</v>
      </c>
      <c r="P164" s="35">
        <f>IF(N165="","",MIN(F166:N166))</f>
        <v>3634.2599999999998</v>
      </c>
      <c r="Q164" s="36">
        <f>IF((N166=""),"",AVERAGE(F166:N166))</f>
        <v>3852.5533333333328</v>
      </c>
      <c r="R164" s="36">
        <f>IF((N165=""),"",(O164-P164)/(O164+P164)*100)</f>
        <v>4.0894959912594215</v>
      </c>
      <c r="S164" s="113">
        <f>STDEV(F166:N166)</f>
        <v>100.22380854866765</v>
      </c>
      <c r="T164" s="121" t="str">
        <f>IF(N165="","",IF(Q164&gt;3650,IF(R164&lt;6.5,IF(Q164&lt;4450,"Pass","Fail"),"Fail"),"Fail"))</f>
        <v>Pass</v>
      </c>
      <c r="U164" s="115">
        <v>121</v>
      </c>
      <c r="V164" s="173"/>
      <c r="W164" s="11"/>
      <c r="X164" s="116">
        <v>3650</v>
      </c>
      <c r="Y164" s="116">
        <v>4450</v>
      </c>
      <c r="Z164" s="116">
        <v>3700</v>
      </c>
      <c r="AA164" s="116">
        <v>4100</v>
      </c>
      <c r="AB164" s="31">
        <v>7</v>
      </c>
      <c r="AC164" s="31">
        <v>6.5</v>
      </c>
    </row>
    <row r="165" spans="1:29" ht="15.6" x14ac:dyDescent="0.3">
      <c r="A165"/>
      <c r="B165" s="43"/>
      <c r="C165" s="33"/>
      <c r="D165" s="34"/>
      <c r="E165" s="61" t="s">
        <v>187</v>
      </c>
      <c r="F165" s="11">
        <v>1219.3900000000001</v>
      </c>
      <c r="G165" s="11">
        <v>937.24</v>
      </c>
      <c r="H165" s="11">
        <v>985.38</v>
      </c>
      <c r="I165" s="11">
        <v>1011.32</v>
      </c>
      <c r="J165" s="11">
        <v>1392.59</v>
      </c>
      <c r="K165" s="11">
        <v>1507.53</v>
      </c>
      <c r="L165" s="11">
        <v>997.86</v>
      </c>
      <c r="M165" s="11">
        <v>952.54</v>
      </c>
      <c r="N165" s="11">
        <v>1162.6400000000001</v>
      </c>
      <c r="O165" s="35"/>
      <c r="P165" s="35"/>
      <c r="Q165" s="36"/>
      <c r="R165" s="36"/>
      <c r="S165" s="113"/>
      <c r="T165" s="114"/>
      <c r="U165" s="122"/>
      <c r="V165" s="174"/>
      <c r="W165" s="11"/>
      <c r="X165" s="118"/>
      <c r="Y165" s="118"/>
      <c r="Z165" s="118"/>
      <c r="AA165" s="118"/>
    </row>
    <row r="166" spans="1:29" ht="23.4" thickBot="1" x14ac:dyDescent="0.35">
      <c r="A166"/>
      <c r="B166" s="43"/>
      <c r="C166" s="33"/>
      <c r="D166" s="34"/>
      <c r="E166" s="48" t="s">
        <v>188</v>
      </c>
      <c r="F166" s="45">
        <f t="shared" ref="F166:N166" si="50">IF(((F164="")*AND(F165="")),"",(F164-F165)*2)</f>
        <v>3770.7400000000002</v>
      </c>
      <c r="G166" s="45">
        <f t="shared" si="50"/>
        <v>3886.6</v>
      </c>
      <c r="H166" s="45">
        <f t="shared" si="50"/>
        <v>3928.9799999999996</v>
      </c>
      <c r="I166" s="45">
        <f t="shared" si="50"/>
        <v>3920.12</v>
      </c>
      <c r="J166" s="45">
        <f t="shared" si="50"/>
        <v>3801.9200000000005</v>
      </c>
      <c r="K166" s="45">
        <f t="shared" si="50"/>
        <v>3634.2599999999998</v>
      </c>
      <c r="L166" s="45">
        <f t="shared" si="50"/>
        <v>3903.1399999999994</v>
      </c>
      <c r="M166" s="45">
        <f t="shared" si="50"/>
        <v>3944.1800000000003</v>
      </c>
      <c r="N166" s="45">
        <f t="shared" si="50"/>
        <v>3883.0399999999995</v>
      </c>
      <c r="O166" s="35"/>
      <c r="P166" s="35"/>
      <c r="Q166" s="36"/>
      <c r="R166" s="36"/>
      <c r="S166" s="113"/>
      <c r="T166" s="114"/>
      <c r="U166" s="122"/>
      <c r="V166" s="174"/>
      <c r="W166" s="11"/>
      <c r="X166" s="118"/>
      <c r="Y166" s="118"/>
      <c r="Z166" s="118"/>
      <c r="AA166" s="118"/>
    </row>
    <row r="167" spans="1:29" x14ac:dyDescent="0.25">
      <c r="A167" s="188">
        <v>43173</v>
      </c>
      <c r="B167" s="215" t="s">
        <v>169</v>
      </c>
      <c r="C167" s="47" t="s">
        <v>171</v>
      </c>
      <c r="D167" s="46" t="s">
        <v>189</v>
      </c>
      <c r="E167" s="61" t="s">
        <v>186</v>
      </c>
      <c r="F167" s="11">
        <v>1970.14</v>
      </c>
      <c r="G167" s="11">
        <v>1974.8</v>
      </c>
      <c r="H167" s="11">
        <v>1975.38</v>
      </c>
      <c r="I167" s="11">
        <v>1974.52</v>
      </c>
      <c r="J167" s="11">
        <v>1969.11</v>
      </c>
      <c r="K167" s="11">
        <v>1967.62</v>
      </c>
      <c r="L167" s="11">
        <v>1976.33</v>
      </c>
      <c r="M167" s="11">
        <v>1980.92</v>
      </c>
      <c r="N167" s="11">
        <v>1972.79</v>
      </c>
      <c r="O167" s="48">
        <f>IF((N168=""),"",MAX(F169:N169))</f>
        <v>2115.9600000000005</v>
      </c>
      <c r="P167" s="48">
        <f>IF(N168="","",MIN(F169:N169))</f>
        <v>1970.6999999999996</v>
      </c>
      <c r="Q167" s="49">
        <f>IF((N169=""),"",AVERAGE(F169:N169))</f>
        <v>2055.8966666666665</v>
      </c>
      <c r="R167" s="49">
        <f>IF((N168=""),"",(O167-P167)/(O167+P167)*100)</f>
        <v>3.5544919322870245</v>
      </c>
      <c r="S167" s="113">
        <f>STDEV(F169:N169)</f>
        <v>45.758798607481133</v>
      </c>
      <c r="T167" s="123" t="str">
        <f>IF(N168="","",IF(Q167&gt;1940,IF(R167&lt;8.3,IF(Q167&lt;2180,"Pass","Fail"),"Fail"),"Fail"))</f>
        <v>Pass</v>
      </c>
      <c r="U167" s="115">
        <v>121</v>
      </c>
      <c r="V167" s="173"/>
      <c r="W167" s="11"/>
      <c r="X167" s="116">
        <v>2000</v>
      </c>
      <c r="Y167" s="116">
        <v>3000</v>
      </c>
      <c r="Z167" s="116">
        <v>1940</v>
      </c>
      <c r="AA167" s="116">
        <v>2180</v>
      </c>
      <c r="AB167" s="31">
        <v>5.2</v>
      </c>
      <c r="AC167" s="31">
        <v>5.2</v>
      </c>
    </row>
    <row r="168" spans="1:29" ht="15.6" x14ac:dyDescent="0.3">
      <c r="A168"/>
      <c r="B168" s="32"/>
      <c r="C168" s="33"/>
      <c r="D168" s="34"/>
      <c r="E168" s="61" t="s">
        <v>187</v>
      </c>
      <c r="F168" s="11">
        <v>1287.27</v>
      </c>
      <c r="G168" s="11">
        <v>1280.17</v>
      </c>
      <c r="H168" s="11">
        <v>1280.21</v>
      </c>
      <c r="I168" s="11">
        <v>1282.74</v>
      </c>
      <c r="J168" s="11">
        <v>1312.21</v>
      </c>
      <c r="K168" s="11">
        <v>1300.25</v>
      </c>
      <c r="L168" s="11">
        <v>1282.5999999999999</v>
      </c>
      <c r="M168" s="11">
        <v>1275.5999999999999</v>
      </c>
      <c r="N168" s="11">
        <v>1292.8699999999999</v>
      </c>
      <c r="O168" s="35"/>
      <c r="P168" s="35"/>
      <c r="Q168" s="36"/>
      <c r="R168" s="36"/>
      <c r="S168" s="113"/>
      <c r="T168" s="114"/>
      <c r="U168" s="117"/>
      <c r="V168" s="173"/>
      <c r="W168" s="11"/>
      <c r="X168" s="118"/>
      <c r="Y168" s="118"/>
      <c r="Z168" s="118"/>
      <c r="AA168" s="118"/>
    </row>
    <row r="169" spans="1:29" ht="16.2" thickBot="1" x14ac:dyDescent="0.35">
      <c r="A169"/>
      <c r="B169" s="50"/>
      <c r="C169" s="51"/>
      <c r="D169" s="52"/>
      <c r="E169" s="65" t="s">
        <v>190</v>
      </c>
      <c r="F169" s="53">
        <f t="shared" ref="F169:N169" si="51">IF(((F167="")*AND(F168="")),"",(F167-F168)*3)</f>
        <v>2048.6100000000006</v>
      </c>
      <c r="G169" s="53">
        <f t="shared" si="51"/>
        <v>2083.8899999999994</v>
      </c>
      <c r="H169" s="53">
        <f t="shared" si="51"/>
        <v>2085.5100000000002</v>
      </c>
      <c r="I169" s="53">
        <f t="shared" si="51"/>
        <v>2075.34</v>
      </c>
      <c r="J169" s="53">
        <f t="shared" si="51"/>
        <v>1970.6999999999996</v>
      </c>
      <c r="K169" s="53">
        <f t="shared" si="51"/>
        <v>2002.1099999999997</v>
      </c>
      <c r="L169" s="53">
        <f t="shared" si="51"/>
        <v>2081.19</v>
      </c>
      <c r="M169" s="53">
        <f t="shared" si="51"/>
        <v>2115.9600000000005</v>
      </c>
      <c r="N169" s="53">
        <f t="shared" si="51"/>
        <v>2039.7600000000002</v>
      </c>
      <c r="O169" s="54"/>
      <c r="P169" s="54"/>
      <c r="Q169" s="55"/>
      <c r="R169" s="55"/>
      <c r="S169" s="113"/>
      <c r="T169" s="124"/>
      <c r="U169" s="125"/>
      <c r="V169" s="173"/>
      <c r="W169" s="11"/>
      <c r="X169" s="118"/>
      <c r="Y169" s="118"/>
      <c r="Z169" s="118"/>
      <c r="AA169" s="118"/>
    </row>
    <row r="170" spans="1:29" x14ac:dyDescent="0.25">
      <c r="A170" s="206">
        <v>43187</v>
      </c>
      <c r="B170" s="216" t="s">
        <v>185</v>
      </c>
      <c r="C170" s="27" t="s">
        <v>173</v>
      </c>
      <c r="D170" s="28" t="s">
        <v>172</v>
      </c>
      <c r="E170" s="59" t="s">
        <v>186</v>
      </c>
      <c r="F170" s="11">
        <v>24165.21</v>
      </c>
      <c r="G170" s="11">
        <v>24516.17</v>
      </c>
      <c r="H170" s="11">
        <v>24690.11</v>
      </c>
      <c r="I170" s="11">
        <v>24542.51</v>
      </c>
      <c r="J170" s="11">
        <v>24176.959999999999</v>
      </c>
      <c r="K170" s="11">
        <v>24152.51</v>
      </c>
      <c r="L170" s="11">
        <v>24516.43</v>
      </c>
      <c r="M170" s="11">
        <v>24527.54</v>
      </c>
      <c r="N170" s="11">
        <v>24147.360000000001</v>
      </c>
      <c r="O170" s="29">
        <f>IF((N171=""),"",MAX(F172:N172))</f>
        <v>4470.8700000000026</v>
      </c>
      <c r="P170" s="29">
        <f>IF(N171="","",MIN(F172:N172))</f>
        <v>3910.1699999999983</v>
      </c>
      <c r="Q170" s="30">
        <f>IF((N172=""),"",AVERAGE(F172:N172))</f>
        <v>4166.6066666666638</v>
      </c>
      <c r="R170" s="30">
        <f>IF((N171=""),"",(O170-P170)/(O170+P170)*100)</f>
        <v>6.6901005125856017</v>
      </c>
      <c r="S170" s="113">
        <f>STDEV(F172:N172)</f>
        <v>246.57043364929169</v>
      </c>
      <c r="T170" s="114" t="str">
        <f>IF(N171="","",IF(R170&lt;16,IF(Q170&gt;3200,IF(R170,IF(Q170&lt;5240,"Pass","Fail"),"Fail"),"Fail")))</f>
        <v>Pass</v>
      </c>
      <c r="U170" s="115">
        <v>1335</v>
      </c>
      <c r="V170" s="173"/>
      <c r="W170" s="11"/>
      <c r="X170" s="116">
        <v>4200</v>
      </c>
      <c r="Y170" s="116">
        <v>5500</v>
      </c>
      <c r="Z170" s="116">
        <v>3200</v>
      </c>
      <c r="AA170" s="116">
        <v>5240</v>
      </c>
      <c r="AB170" s="31">
        <v>16</v>
      </c>
      <c r="AC170" s="31">
        <v>16</v>
      </c>
    </row>
    <row r="171" spans="1:29" ht="15.6" x14ac:dyDescent="0.3">
      <c r="A171"/>
      <c r="B171" s="32"/>
      <c r="C171" s="33"/>
      <c r="D171" s="34"/>
      <c r="E171" s="61" t="s">
        <v>187</v>
      </c>
      <c r="F171" s="11">
        <v>22674.92</v>
      </c>
      <c r="G171" s="11">
        <v>23172.15</v>
      </c>
      <c r="H171" s="11">
        <v>23386.720000000001</v>
      </c>
      <c r="I171" s="11">
        <v>23234.639999999999</v>
      </c>
      <c r="J171" s="11">
        <v>22717.24</v>
      </c>
      <c r="K171" s="11">
        <v>22685.13</v>
      </c>
      <c r="L171" s="11">
        <v>23189.66</v>
      </c>
      <c r="M171" s="11">
        <v>23206.66</v>
      </c>
      <c r="N171" s="11">
        <v>22667.86</v>
      </c>
      <c r="O171" s="35"/>
      <c r="P171" s="35"/>
      <c r="Q171" s="36"/>
      <c r="R171" s="36"/>
      <c r="S171" s="113"/>
      <c r="T171" s="114"/>
      <c r="U171" s="117"/>
      <c r="V171" s="173"/>
      <c r="W171" s="11"/>
      <c r="X171" s="118"/>
      <c r="Y171" s="118"/>
      <c r="Z171" s="118"/>
      <c r="AA171" s="118"/>
    </row>
    <row r="172" spans="1:29" ht="23.4" thickBot="1" x14ac:dyDescent="0.35">
      <c r="A172"/>
      <c r="B172" s="37"/>
      <c r="C172" s="38"/>
      <c r="D172" s="39"/>
      <c r="E172" s="61" t="s">
        <v>188</v>
      </c>
      <c r="F172" s="40">
        <f t="shared" ref="F172:N172" si="52">IF(((F170="")*AND(F171="")),"",(F170-F171)*3)</f>
        <v>4470.8700000000026</v>
      </c>
      <c r="G172" s="40">
        <f t="shared" si="52"/>
        <v>4032.0599999999904</v>
      </c>
      <c r="H172" s="40">
        <f t="shared" si="52"/>
        <v>3910.1699999999983</v>
      </c>
      <c r="I172" s="40">
        <f t="shared" si="52"/>
        <v>3923.6099999999969</v>
      </c>
      <c r="J172" s="40">
        <f t="shared" si="52"/>
        <v>4379.1599999999926</v>
      </c>
      <c r="K172" s="40">
        <f t="shared" si="52"/>
        <v>4402.1399999999921</v>
      </c>
      <c r="L172" s="40">
        <f t="shared" si="52"/>
        <v>3980.3100000000013</v>
      </c>
      <c r="M172" s="40">
        <f t="shared" si="52"/>
        <v>3962.6400000000031</v>
      </c>
      <c r="N172" s="40">
        <f t="shared" si="52"/>
        <v>4438.5</v>
      </c>
      <c r="O172" s="41"/>
      <c r="P172" s="41"/>
      <c r="Q172" s="42"/>
      <c r="R172" s="42"/>
      <c r="S172" s="113"/>
      <c r="T172" s="119"/>
      <c r="U172" s="120"/>
      <c r="V172" s="173"/>
      <c r="W172" s="11"/>
      <c r="X172" s="118"/>
      <c r="Y172" s="118"/>
      <c r="Z172" s="118"/>
      <c r="AA172" s="118"/>
    </row>
    <row r="173" spans="1:29" x14ac:dyDescent="0.25">
      <c r="A173" s="188">
        <v>43187</v>
      </c>
      <c r="B173" s="215" t="s">
        <v>174</v>
      </c>
      <c r="C173" s="33" t="s">
        <v>176</v>
      </c>
      <c r="D173" s="44" t="s">
        <v>175</v>
      </c>
      <c r="E173" s="41" t="s">
        <v>186</v>
      </c>
      <c r="F173" s="11">
        <v>6926.6</v>
      </c>
      <c r="G173" s="11">
        <v>6815.11</v>
      </c>
      <c r="H173" s="11">
        <v>6921.39</v>
      </c>
      <c r="I173" s="11">
        <v>6923.23</v>
      </c>
      <c r="J173" s="11">
        <v>6923.23</v>
      </c>
      <c r="K173" s="11">
        <v>6923.23</v>
      </c>
      <c r="L173" s="11">
        <v>6888.62</v>
      </c>
      <c r="M173" s="11">
        <v>6909.03</v>
      </c>
      <c r="N173" s="11">
        <v>6923.23</v>
      </c>
      <c r="O173" s="35">
        <f>IF((N174=""),"",MAX(F175:N175))</f>
        <v>3960.1999999999989</v>
      </c>
      <c r="P173" s="35">
        <f>IF(N174="","",MIN(F175:N175))</f>
        <v>3463.619999999999</v>
      </c>
      <c r="Q173" s="36">
        <f>IF((N175=""),"",AVERAGE(F175:N175))</f>
        <v>3793.3422222222216</v>
      </c>
      <c r="R173" s="36">
        <f>IF((N174=""),"",(O173-P173)/(O173+P173)*100)</f>
        <v>6.6890091623988734</v>
      </c>
      <c r="S173" s="113">
        <f>STDEV(F175:N175)</f>
        <v>183.93572693863601</v>
      </c>
      <c r="T173" s="121" t="str">
        <f>IF(N174="","",IF(Q173&gt;3650,IF(R173&lt;6.5,IF(Q173&lt;4450,"Pass","Fail"),"Fail"),"Fail"))</f>
        <v>Fail</v>
      </c>
      <c r="U173" s="115">
        <v>1335</v>
      </c>
      <c r="V173" s="173"/>
      <c r="W173" s="11"/>
      <c r="X173" s="116">
        <v>3650</v>
      </c>
      <c r="Y173" s="116">
        <v>4450</v>
      </c>
      <c r="Z173" s="116">
        <v>3700</v>
      </c>
      <c r="AA173" s="116">
        <v>4100</v>
      </c>
      <c r="AB173" s="31">
        <v>7</v>
      </c>
      <c r="AC173" s="31">
        <v>6.5</v>
      </c>
    </row>
    <row r="174" spans="1:29" ht="15.6" x14ac:dyDescent="0.3">
      <c r="A174"/>
      <c r="B174" s="43"/>
      <c r="C174" s="33"/>
      <c r="D174" s="34"/>
      <c r="E174" s="61" t="s">
        <v>187</v>
      </c>
      <c r="F174" s="11">
        <v>5034.4399999999996</v>
      </c>
      <c r="G174" s="11">
        <v>4863.7700000000004</v>
      </c>
      <c r="H174" s="11">
        <v>4949.54</v>
      </c>
      <c r="I174" s="11">
        <v>4960.96</v>
      </c>
      <c r="J174" s="11">
        <v>5148.53</v>
      </c>
      <c r="K174" s="11">
        <v>5191.42</v>
      </c>
      <c r="L174" s="11">
        <v>4932.7700000000004</v>
      </c>
      <c r="M174" s="11">
        <v>4928.93</v>
      </c>
      <c r="N174" s="11">
        <v>5073.2700000000004</v>
      </c>
      <c r="O174" s="35"/>
      <c r="P174" s="35"/>
      <c r="Q174" s="36"/>
      <c r="R174" s="36"/>
      <c r="S174" s="113"/>
      <c r="T174" s="114"/>
      <c r="U174" s="122"/>
      <c r="V174" s="174"/>
      <c r="W174" s="11"/>
      <c r="X174" s="118"/>
      <c r="Y174" s="118"/>
      <c r="Z174" s="118"/>
      <c r="AA174" s="118"/>
    </row>
    <row r="175" spans="1:29" ht="23.4" thickBot="1" x14ac:dyDescent="0.35">
      <c r="A175"/>
      <c r="B175" s="43"/>
      <c r="C175" s="33"/>
      <c r="D175" s="34"/>
      <c r="E175" s="48" t="s">
        <v>188</v>
      </c>
      <c r="F175" s="45">
        <f t="shared" ref="F175:N175" si="53">IF(((F173="")*AND(F174="")),"",(F173-F174)*2)</f>
        <v>3784.3200000000015</v>
      </c>
      <c r="G175" s="45">
        <f t="shared" si="53"/>
        <v>3902.6799999999985</v>
      </c>
      <c r="H175" s="45">
        <f t="shared" si="53"/>
        <v>3943.7000000000007</v>
      </c>
      <c r="I175" s="45">
        <f t="shared" si="53"/>
        <v>3924.5399999999991</v>
      </c>
      <c r="J175" s="45">
        <f t="shared" si="53"/>
        <v>3549.3999999999996</v>
      </c>
      <c r="K175" s="45">
        <f t="shared" si="53"/>
        <v>3463.619999999999</v>
      </c>
      <c r="L175" s="45">
        <f t="shared" si="53"/>
        <v>3911.6999999999989</v>
      </c>
      <c r="M175" s="45">
        <f t="shared" si="53"/>
        <v>3960.1999999999989</v>
      </c>
      <c r="N175" s="45">
        <f t="shared" si="53"/>
        <v>3699.9199999999983</v>
      </c>
      <c r="O175" s="35"/>
      <c r="P175" s="35"/>
      <c r="Q175" s="36"/>
      <c r="R175" s="36"/>
      <c r="S175" s="113"/>
      <c r="T175" s="114"/>
      <c r="U175" s="122"/>
      <c r="V175" s="174"/>
      <c r="W175" s="11"/>
      <c r="X175" s="118"/>
      <c r="Y175" s="118"/>
      <c r="Z175" s="118"/>
      <c r="AA175" s="118"/>
    </row>
    <row r="176" spans="1:29" x14ac:dyDescent="0.25">
      <c r="A176" s="188">
        <v>43187</v>
      </c>
      <c r="B176" s="215" t="s">
        <v>169</v>
      </c>
      <c r="C176" s="47" t="s">
        <v>171</v>
      </c>
      <c r="D176" s="46" t="s">
        <v>189</v>
      </c>
      <c r="E176" s="61" t="s">
        <v>186</v>
      </c>
      <c r="F176" s="11">
        <v>1288.24</v>
      </c>
      <c r="G176" s="11">
        <v>1283.99</v>
      </c>
      <c r="H176" s="11">
        <v>1283.72</v>
      </c>
      <c r="I176" s="11">
        <v>1284.43</v>
      </c>
      <c r="J176" s="11">
        <v>1319.14</v>
      </c>
      <c r="K176" s="11">
        <v>1309.94</v>
      </c>
      <c r="L176" s="11">
        <v>1285.75</v>
      </c>
      <c r="M176" s="11">
        <v>1276.6600000000001</v>
      </c>
      <c r="N176" s="11">
        <v>1293.27</v>
      </c>
      <c r="O176" s="48">
        <f>IF((N177=""),"",MAX(F178:N178))</f>
        <v>2116.56</v>
      </c>
      <c r="P176" s="48">
        <f>IF(N177="","",MIN(F178:N178))</f>
        <v>1932.15</v>
      </c>
      <c r="Q176" s="49">
        <f>IF((N178=""),"",AVERAGE(F178:N178))</f>
        <v>2061.23</v>
      </c>
      <c r="R176" s="49">
        <f>IF((N177=""),"",(O176-P176)/(O176+P176)*100)</f>
        <v>4.5547841164222644</v>
      </c>
      <c r="S176" s="113">
        <f>STDEV(F178:N178)</f>
        <v>64.160053576972643</v>
      </c>
      <c r="T176" s="123" t="str">
        <f>IF(N177="","",IF(Q176&gt;1940,IF(R176&lt;8.3,IF(Q176&lt;2180,"Pass","Fail"),"Fail"),"Fail"))</f>
        <v>Pass</v>
      </c>
      <c r="U176" s="115">
        <v>1335</v>
      </c>
      <c r="V176" s="173"/>
      <c r="W176" s="11"/>
      <c r="X176" s="116">
        <v>2000</v>
      </c>
      <c r="Y176" s="116">
        <v>3000</v>
      </c>
      <c r="Z176" s="116">
        <v>1940</v>
      </c>
      <c r="AA176" s="116">
        <v>2180</v>
      </c>
      <c r="AB176" s="31">
        <v>5.2</v>
      </c>
      <c r="AC176" s="31">
        <v>5.2</v>
      </c>
    </row>
    <row r="177" spans="1:29" ht="15.6" x14ac:dyDescent="0.3">
      <c r="A177"/>
      <c r="B177" s="32"/>
      <c r="C177" s="33"/>
      <c r="D177" s="34"/>
      <c r="E177" s="61" t="s">
        <v>187</v>
      </c>
      <c r="F177" s="11">
        <v>600.28</v>
      </c>
      <c r="G177" s="11">
        <v>578.47</v>
      </c>
      <c r="H177" s="11">
        <v>582.45000000000005</v>
      </c>
      <c r="I177" s="11">
        <v>587.47</v>
      </c>
      <c r="J177" s="11">
        <v>675.09</v>
      </c>
      <c r="K177" s="11">
        <v>649.95000000000005</v>
      </c>
      <c r="L177" s="11">
        <v>588.45000000000005</v>
      </c>
      <c r="M177" s="11">
        <v>571.5</v>
      </c>
      <c r="N177" s="11">
        <v>607.79</v>
      </c>
      <c r="O177" s="35"/>
      <c r="P177" s="35"/>
      <c r="Q177" s="36"/>
      <c r="R177" s="36"/>
      <c r="S177" s="113"/>
      <c r="T177" s="114"/>
      <c r="U177" s="117"/>
      <c r="V177" s="173"/>
      <c r="W177" s="11"/>
      <c r="X177" s="118"/>
      <c r="Y177" s="118"/>
      <c r="Z177" s="118"/>
      <c r="AA177" s="118"/>
    </row>
    <row r="178" spans="1:29" ht="16.2" thickBot="1" x14ac:dyDescent="0.35">
      <c r="A178"/>
      <c r="B178" s="50"/>
      <c r="C178" s="51"/>
      <c r="D178" s="52"/>
      <c r="E178" s="65" t="s">
        <v>190</v>
      </c>
      <c r="F178" s="53">
        <f t="shared" ref="F178:N178" si="54">IF(((F176="")*AND(F177="")),"",(F176-F177)*3)</f>
        <v>2063.88</v>
      </c>
      <c r="G178" s="53">
        <f t="shared" si="54"/>
        <v>2116.56</v>
      </c>
      <c r="H178" s="53">
        <f t="shared" si="54"/>
        <v>2103.81</v>
      </c>
      <c r="I178" s="53">
        <f t="shared" si="54"/>
        <v>2090.88</v>
      </c>
      <c r="J178" s="53">
        <f t="shared" si="54"/>
        <v>1932.15</v>
      </c>
      <c r="K178" s="53">
        <f t="shared" si="54"/>
        <v>1979.97</v>
      </c>
      <c r="L178" s="53">
        <f t="shared" si="54"/>
        <v>2091.8999999999996</v>
      </c>
      <c r="M178" s="53">
        <f t="shared" si="54"/>
        <v>2115.4800000000005</v>
      </c>
      <c r="N178" s="53">
        <f t="shared" si="54"/>
        <v>2056.44</v>
      </c>
      <c r="O178" s="54"/>
      <c r="P178" s="54"/>
      <c r="Q178" s="55"/>
      <c r="R178" s="55"/>
      <c r="S178" s="113"/>
      <c r="T178" s="124"/>
      <c r="U178" s="125"/>
      <c r="V178" s="173"/>
      <c r="W178" s="11"/>
      <c r="X178" s="118"/>
      <c r="Y178" s="118"/>
      <c r="Z178" s="118"/>
      <c r="AA178" s="118"/>
    </row>
    <row r="179" spans="1:29" x14ac:dyDescent="0.25">
      <c r="A179" s="188">
        <v>43192</v>
      </c>
      <c r="B179" s="216" t="s">
        <v>185</v>
      </c>
      <c r="C179" s="27" t="s">
        <v>173</v>
      </c>
      <c r="D179" s="28" t="s">
        <v>172</v>
      </c>
      <c r="E179" s="59" t="s">
        <v>186</v>
      </c>
      <c r="F179" s="11">
        <v>22642.58</v>
      </c>
      <c r="G179" s="11">
        <v>23137.08</v>
      </c>
      <c r="H179" s="11">
        <v>23350.14</v>
      </c>
      <c r="I179" s="11">
        <v>23199.040000000001</v>
      </c>
      <c r="J179" s="11">
        <v>22692.46</v>
      </c>
      <c r="K179" s="11">
        <v>22651.69</v>
      </c>
      <c r="L179" s="11">
        <v>23157.79</v>
      </c>
      <c r="M179" s="11">
        <v>23171.46</v>
      </c>
      <c r="N179" s="11">
        <v>22629.99</v>
      </c>
      <c r="O179" s="29">
        <f>IF((N180=""),"",MAX(F181:N181))</f>
        <v>4564.5900000000074</v>
      </c>
      <c r="P179" s="29">
        <f>IF(N180="","",MIN(F181:N181))</f>
        <v>3902.6400000000031</v>
      </c>
      <c r="Q179" s="30">
        <f>IF((N181=""),"",AVERAGE(F181:N181))</f>
        <v>4181.0266666666703</v>
      </c>
      <c r="R179" s="30">
        <f>IF((N180=""),"",(O179-P179)/(O179+P179)*100)</f>
        <v>7.8177869267753861</v>
      </c>
      <c r="S179" s="113">
        <f>STDEV(F181:N181)</f>
        <v>250.53190714956924</v>
      </c>
      <c r="T179" s="114" t="str">
        <f>IF(N180="","",IF(R179&lt;16,IF(Q179&gt;3200,IF(R179,IF(Q179&lt;5240,"Pass","Fail"),"Fail"),"Fail")))</f>
        <v>Pass</v>
      </c>
      <c r="U179" s="115">
        <v>1335</v>
      </c>
      <c r="V179" s="173"/>
      <c r="W179" s="11"/>
      <c r="X179" s="116">
        <v>4200</v>
      </c>
      <c r="Y179" s="116">
        <v>5500</v>
      </c>
      <c r="Z179" s="116">
        <v>3200</v>
      </c>
      <c r="AA179" s="116">
        <v>5240</v>
      </c>
      <c r="AB179" s="31">
        <v>16</v>
      </c>
      <c r="AC179" s="31">
        <v>16</v>
      </c>
    </row>
    <row r="180" spans="1:29" ht="15.6" x14ac:dyDescent="0.3">
      <c r="A180"/>
      <c r="B180" s="32"/>
      <c r="C180" s="33"/>
      <c r="D180" s="34"/>
      <c r="E180" s="61" t="s">
        <v>187</v>
      </c>
      <c r="F180" s="11">
        <v>21151.69</v>
      </c>
      <c r="G180" s="11">
        <v>21790.22</v>
      </c>
      <c r="H180" s="11">
        <v>22049.26</v>
      </c>
      <c r="I180" s="11">
        <v>21878.91</v>
      </c>
      <c r="J180" s="11">
        <v>21234.23</v>
      </c>
      <c r="K180" s="11">
        <v>21212.91</v>
      </c>
      <c r="L180" s="11">
        <v>21834.69</v>
      </c>
      <c r="M180" s="11">
        <v>21828.78</v>
      </c>
      <c r="N180" s="11">
        <v>21108.46</v>
      </c>
      <c r="O180" s="35"/>
      <c r="P180" s="35"/>
      <c r="Q180" s="36"/>
      <c r="R180" s="36"/>
      <c r="S180" s="113"/>
      <c r="T180" s="114"/>
      <c r="U180" s="117"/>
      <c r="V180" s="173"/>
      <c r="W180" s="11"/>
      <c r="X180" s="118"/>
      <c r="Y180" s="118"/>
      <c r="Z180" s="118"/>
      <c r="AA180" s="118"/>
    </row>
    <row r="181" spans="1:29" ht="23.4" thickBot="1" x14ac:dyDescent="0.35">
      <c r="A181"/>
      <c r="B181" s="37"/>
      <c r="C181" s="38"/>
      <c r="D181" s="39"/>
      <c r="E181" s="61" t="s">
        <v>188</v>
      </c>
      <c r="F181" s="40">
        <f t="shared" ref="F181:N181" si="55">IF(((F179="")*AND(F180="")),"",(F179-F180)*3)</f>
        <v>4472.6700000000092</v>
      </c>
      <c r="G181" s="40">
        <f t="shared" si="55"/>
        <v>4040.5800000000017</v>
      </c>
      <c r="H181" s="40">
        <f t="shared" si="55"/>
        <v>3902.6400000000031</v>
      </c>
      <c r="I181" s="40">
        <f t="shared" si="55"/>
        <v>3960.3900000000031</v>
      </c>
      <c r="J181" s="40">
        <f t="shared" si="55"/>
        <v>4374.6899999999987</v>
      </c>
      <c r="K181" s="40">
        <f t="shared" si="55"/>
        <v>4316.3399999999965</v>
      </c>
      <c r="L181" s="40">
        <f t="shared" si="55"/>
        <v>3969.3000000000065</v>
      </c>
      <c r="M181" s="40">
        <f t="shared" si="55"/>
        <v>4028.0400000000009</v>
      </c>
      <c r="N181" s="40">
        <f t="shared" si="55"/>
        <v>4564.5900000000074</v>
      </c>
      <c r="O181" s="41"/>
      <c r="P181" s="41"/>
      <c r="Q181" s="42"/>
      <c r="R181" s="42"/>
      <c r="S181" s="113"/>
      <c r="T181" s="119"/>
      <c r="U181" s="120"/>
      <c r="V181" s="173"/>
      <c r="W181" s="11"/>
      <c r="X181" s="118"/>
      <c r="Y181" s="118"/>
      <c r="Z181" s="118"/>
      <c r="AA181" s="118"/>
    </row>
    <row r="182" spans="1:29" x14ac:dyDescent="0.25">
      <c r="A182" s="188">
        <v>43192</v>
      </c>
      <c r="B182" s="215" t="s">
        <v>174</v>
      </c>
      <c r="C182" s="33" t="s">
        <v>176</v>
      </c>
      <c r="D182" s="44" t="s">
        <v>175</v>
      </c>
      <c r="E182" s="41" t="s">
        <v>186</v>
      </c>
      <c r="F182" s="11">
        <v>5043.41</v>
      </c>
      <c r="G182" s="11">
        <v>4875.82</v>
      </c>
      <c r="H182" s="11">
        <v>4959.53</v>
      </c>
      <c r="I182" s="11">
        <v>4970.3999999999996</v>
      </c>
      <c r="J182" s="11">
        <v>5257.94</v>
      </c>
      <c r="K182" s="11">
        <v>5199.42</v>
      </c>
      <c r="L182" s="11">
        <v>4943.2700000000004</v>
      </c>
      <c r="M182" s="11">
        <v>4939.13</v>
      </c>
      <c r="N182" s="11">
        <v>5082.3100000000004</v>
      </c>
      <c r="O182" s="35">
        <f>IF((N183=""),"",MAX(F184:N184))</f>
        <v>4046.8200000000006</v>
      </c>
      <c r="P182" s="35">
        <f>IF(N183="","",MIN(F184:N184))</f>
        <v>3738.3199999999997</v>
      </c>
      <c r="Q182" s="36">
        <f>IF((N184=""),"",AVERAGE(F184:N184))</f>
        <v>3960.9755555555553</v>
      </c>
      <c r="R182" s="36">
        <f>IF((N183=""),"",(O182-P182)/(O182+P182)*100)</f>
        <v>3.9626776140185136</v>
      </c>
      <c r="S182" s="113">
        <f>STDEV(F184:N184)</f>
        <v>104.95246913616569</v>
      </c>
      <c r="T182" s="121" t="str">
        <f>IF(N183="","",IF(Q182&gt;3650,IF(R182&lt;6.5,IF(Q182&lt;4450,"Pass","Fail"),"Fail"),"Fail"))</f>
        <v>Pass</v>
      </c>
      <c r="U182" s="115">
        <v>1335</v>
      </c>
      <c r="V182" s="173"/>
      <c r="W182" s="11"/>
      <c r="X182" s="116">
        <v>3650</v>
      </c>
      <c r="Y182" s="116">
        <v>4450</v>
      </c>
      <c r="Z182" s="116">
        <v>3700</v>
      </c>
      <c r="AA182" s="116">
        <v>4100</v>
      </c>
      <c r="AB182" s="31">
        <v>7</v>
      </c>
      <c r="AC182" s="31">
        <v>6.5</v>
      </c>
    </row>
    <row r="183" spans="1:29" ht="15.6" x14ac:dyDescent="0.3">
      <c r="A183"/>
      <c r="B183" s="43"/>
      <c r="C183" s="33"/>
      <c r="D183" s="34"/>
      <c r="E183" s="61" t="s">
        <v>187</v>
      </c>
      <c r="F183" s="11">
        <v>3090.66</v>
      </c>
      <c r="G183" s="11">
        <v>2860.18</v>
      </c>
      <c r="H183" s="11">
        <v>2937.45</v>
      </c>
      <c r="I183" s="11">
        <v>2957.81</v>
      </c>
      <c r="J183" s="11">
        <v>3320.95</v>
      </c>
      <c r="K183" s="11">
        <v>3330.26</v>
      </c>
      <c r="L183" s="11">
        <v>2929.19</v>
      </c>
      <c r="M183" s="11">
        <v>2915.72</v>
      </c>
      <c r="N183" s="11">
        <v>3104.62</v>
      </c>
      <c r="O183" s="35"/>
      <c r="P183" s="35"/>
      <c r="Q183" s="36"/>
      <c r="R183" s="36"/>
      <c r="S183" s="113"/>
      <c r="T183" s="114"/>
      <c r="U183" s="122"/>
      <c r="V183" s="174"/>
      <c r="W183" s="11"/>
      <c r="X183" s="118"/>
      <c r="Y183" s="118"/>
      <c r="Z183" s="118"/>
      <c r="AA183" s="118"/>
    </row>
    <row r="184" spans="1:29" ht="23.4" thickBot="1" x14ac:dyDescent="0.35">
      <c r="A184"/>
      <c r="B184" s="43"/>
      <c r="C184" s="33"/>
      <c r="D184" s="34"/>
      <c r="E184" s="48" t="s">
        <v>188</v>
      </c>
      <c r="F184" s="45">
        <f t="shared" ref="F184:N184" si="56">IF(((F182="")*AND(F183="")),"",(F182-F183)*2)</f>
        <v>3905.5</v>
      </c>
      <c r="G184" s="45">
        <f t="shared" si="56"/>
        <v>4031.2799999999997</v>
      </c>
      <c r="H184" s="45">
        <f t="shared" si="56"/>
        <v>4044.16</v>
      </c>
      <c r="I184" s="45">
        <f t="shared" si="56"/>
        <v>4025.1799999999994</v>
      </c>
      <c r="J184" s="45">
        <f t="shared" si="56"/>
        <v>3873.9799999999996</v>
      </c>
      <c r="K184" s="45">
        <f t="shared" si="56"/>
        <v>3738.3199999999997</v>
      </c>
      <c r="L184" s="45">
        <f t="shared" si="56"/>
        <v>4028.1600000000008</v>
      </c>
      <c r="M184" s="45">
        <f t="shared" si="56"/>
        <v>4046.8200000000006</v>
      </c>
      <c r="N184" s="45">
        <f t="shared" si="56"/>
        <v>3955.380000000001</v>
      </c>
      <c r="O184" s="35"/>
      <c r="P184" s="35"/>
      <c r="Q184" s="36"/>
      <c r="R184" s="36"/>
      <c r="S184" s="113"/>
      <c r="T184" s="114"/>
      <c r="U184" s="122"/>
      <c r="V184" s="174"/>
      <c r="W184" s="11"/>
      <c r="X184" s="118"/>
      <c r="Y184" s="118"/>
      <c r="Z184" s="118"/>
      <c r="AA184" s="118"/>
    </row>
    <row r="185" spans="1:29" x14ac:dyDescent="0.25">
      <c r="A185" s="188">
        <v>43192</v>
      </c>
      <c r="B185" s="215" t="s">
        <v>169</v>
      </c>
      <c r="C185" s="47" t="s">
        <v>171</v>
      </c>
      <c r="D185" s="46" t="s">
        <v>189</v>
      </c>
      <c r="E185" s="61" t="s">
        <v>186</v>
      </c>
      <c r="F185" s="11">
        <v>1972.45</v>
      </c>
      <c r="G185" s="11">
        <v>1954.27</v>
      </c>
      <c r="H185" s="11">
        <v>1950.72</v>
      </c>
      <c r="I185" s="11">
        <v>1958.19</v>
      </c>
      <c r="J185" s="11">
        <v>1982.22</v>
      </c>
      <c r="K185" s="11">
        <v>1978.04</v>
      </c>
      <c r="L185" s="11">
        <v>1956.83</v>
      </c>
      <c r="M185" s="11">
        <v>1956.39</v>
      </c>
      <c r="N185" s="11">
        <v>1968.15</v>
      </c>
      <c r="O185" s="48">
        <f>IF((N186=""),"",MAX(F187:N187))</f>
        <v>2188.9500000000003</v>
      </c>
      <c r="P185" s="48">
        <f>IF(N186="","",MIN(F187:N187))</f>
        <v>2103.7200000000003</v>
      </c>
      <c r="Q185" s="49">
        <f>IF((N187=""),"",AVERAGE(F187:N187))</f>
        <v>2154.66</v>
      </c>
      <c r="R185" s="49">
        <f>IF((N186=""),"",(O185-P185)/(O185+P185)*100)</f>
        <v>1.9854775699040463</v>
      </c>
      <c r="S185" s="113">
        <f>STDEV(F187:N187)</f>
        <v>33.245895235351789</v>
      </c>
      <c r="T185" s="123" t="str">
        <f>IF(N186="","",IF(Q185&gt;1940,IF(R185&lt;8.3,IF(Q185&lt;2180,"Pass","Fail"),"Fail"),"Fail"))</f>
        <v>Pass</v>
      </c>
      <c r="U185" s="115">
        <v>1335</v>
      </c>
      <c r="V185" s="173"/>
      <c r="W185" s="11"/>
      <c r="X185" s="116">
        <v>2000</v>
      </c>
      <c r="Y185" s="116">
        <v>3000</v>
      </c>
      <c r="Z185" s="116">
        <v>1940</v>
      </c>
      <c r="AA185" s="116">
        <v>2180</v>
      </c>
      <c r="AB185" s="31">
        <v>5.2</v>
      </c>
      <c r="AC185" s="31">
        <v>5.2</v>
      </c>
    </row>
    <row r="186" spans="1:29" ht="15.6" x14ac:dyDescent="0.3">
      <c r="A186"/>
      <c r="B186" s="32"/>
      <c r="C186" s="33"/>
      <c r="D186" s="34"/>
      <c r="E186" s="61" t="s">
        <v>187</v>
      </c>
      <c r="F186" s="11">
        <v>1256.31</v>
      </c>
      <c r="G186" s="11">
        <v>1229.8399999999999</v>
      </c>
      <c r="H186" s="11">
        <v>1226.46</v>
      </c>
      <c r="I186" s="11">
        <v>1228.54</v>
      </c>
      <c r="J186" s="11">
        <v>1280.98</v>
      </c>
      <c r="K186" s="11">
        <v>1270.8499999999999</v>
      </c>
      <c r="L186" s="11">
        <v>1229.3800000000001</v>
      </c>
      <c r="M186" s="11">
        <v>1227.8900000000001</v>
      </c>
      <c r="N186" s="11">
        <v>1263.03</v>
      </c>
      <c r="O186" s="35"/>
      <c r="P186" s="35"/>
      <c r="Q186" s="36"/>
      <c r="R186" s="36"/>
      <c r="S186" s="113"/>
      <c r="T186" s="114"/>
      <c r="U186" s="117"/>
      <c r="V186" s="173"/>
      <c r="W186" s="11"/>
      <c r="X186" s="118"/>
      <c r="Y186" s="118"/>
      <c r="Z186" s="118"/>
      <c r="AA186" s="118"/>
    </row>
    <row r="187" spans="1:29" ht="16.2" thickBot="1" x14ac:dyDescent="0.35">
      <c r="A187"/>
      <c r="B187" s="50"/>
      <c r="C187" s="51"/>
      <c r="D187" s="52"/>
      <c r="E187" s="65" t="s">
        <v>190</v>
      </c>
      <c r="F187" s="53">
        <f t="shared" ref="F187:N187" si="57">IF(((F185="")*AND(F186="")),"",(F185-F186)*3)</f>
        <v>2148.42</v>
      </c>
      <c r="G187" s="53">
        <f t="shared" si="57"/>
        <v>2173.29</v>
      </c>
      <c r="H187" s="53">
        <f t="shared" si="57"/>
        <v>2172.7799999999997</v>
      </c>
      <c r="I187" s="53">
        <f t="shared" si="57"/>
        <v>2188.9500000000003</v>
      </c>
      <c r="J187" s="53">
        <f t="shared" si="57"/>
        <v>2103.7200000000003</v>
      </c>
      <c r="K187" s="53">
        <f t="shared" si="57"/>
        <v>2121.5700000000002</v>
      </c>
      <c r="L187" s="53">
        <f t="shared" si="57"/>
        <v>2182.3499999999995</v>
      </c>
      <c r="M187" s="53">
        <f t="shared" si="57"/>
        <v>2185.5</v>
      </c>
      <c r="N187" s="53">
        <f t="shared" si="57"/>
        <v>2115.3600000000006</v>
      </c>
      <c r="O187" s="54"/>
      <c r="P187" s="54"/>
      <c r="Q187" s="55"/>
      <c r="R187" s="55"/>
      <c r="S187" s="113"/>
      <c r="T187" s="124"/>
      <c r="U187" s="125"/>
      <c r="V187" s="173"/>
      <c r="W187" s="11"/>
      <c r="X187" s="118"/>
      <c r="Y187" s="118"/>
      <c r="Z187" s="118"/>
      <c r="AA187" s="118"/>
    </row>
    <row r="188" spans="1:29" x14ac:dyDescent="0.25">
      <c r="A188" s="206">
        <v>43199</v>
      </c>
      <c r="B188" s="216" t="s">
        <v>185</v>
      </c>
      <c r="C188" s="27" t="s">
        <v>173</v>
      </c>
      <c r="D188" s="28" t="s">
        <v>172</v>
      </c>
      <c r="E188" s="59" t="s">
        <v>186</v>
      </c>
      <c r="F188" s="11">
        <v>29368.28</v>
      </c>
      <c r="G188" s="11">
        <v>29182.09</v>
      </c>
      <c r="H188" s="11">
        <v>29226.47</v>
      </c>
      <c r="I188" s="11">
        <v>29165.39</v>
      </c>
      <c r="J188" s="11">
        <v>29358.97</v>
      </c>
      <c r="K188" s="11">
        <v>29348.42</v>
      </c>
      <c r="L188" s="11">
        <v>29161.21</v>
      </c>
      <c r="M188" s="11">
        <v>29153.48</v>
      </c>
      <c r="N188" s="11">
        <v>29363.919999999998</v>
      </c>
      <c r="O188" s="29">
        <f>IF((N189=""),"",MAX(F190:N190))</f>
        <v>4607.9099999999926</v>
      </c>
      <c r="P188" s="29">
        <f>IF(N189="","",MIN(F190:N190))</f>
        <v>3945.9900000000052</v>
      </c>
      <c r="Q188" s="30">
        <f>IF((N190=""),"",AVERAGE(F190:N190))</f>
        <v>4240.2533333333331</v>
      </c>
      <c r="R188" s="30">
        <f>IF((N189=""),"",(O188-P188)/(O188+P188)*100)</f>
        <v>7.7382246694488774</v>
      </c>
      <c r="S188" s="113">
        <f>STDEV(F190:N190)</f>
        <v>282.51905559625317</v>
      </c>
      <c r="T188" s="114" t="str">
        <f>IF(N189="","",IF(R188&lt;16,IF(Q188&gt;3200,IF(R188,IF(Q188&lt;5240,"Pass","Fail"),"Fail"),"Fail")))</f>
        <v>Pass</v>
      </c>
      <c r="U188" s="115"/>
      <c r="V188" s="173"/>
      <c r="W188" s="11"/>
      <c r="X188" s="116">
        <v>4200</v>
      </c>
      <c r="Y188" s="116">
        <v>5500</v>
      </c>
      <c r="Z188" s="116">
        <v>3200</v>
      </c>
      <c r="AA188" s="116">
        <v>5240</v>
      </c>
      <c r="AB188" s="31">
        <v>16</v>
      </c>
      <c r="AC188" s="31">
        <v>16</v>
      </c>
    </row>
    <row r="189" spans="1:29" ht="15.6" x14ac:dyDescent="0.3">
      <c r="A189"/>
      <c r="B189" s="32"/>
      <c r="C189" s="33"/>
      <c r="D189" s="34"/>
      <c r="E189" s="61" t="s">
        <v>187</v>
      </c>
      <c r="F189" s="11">
        <v>27849.59</v>
      </c>
      <c r="G189" s="11">
        <v>27828.16</v>
      </c>
      <c r="H189" s="11">
        <v>27911.14</v>
      </c>
      <c r="I189" s="11">
        <v>27832.91</v>
      </c>
      <c r="J189" s="11">
        <v>27848.69</v>
      </c>
      <c r="K189" s="11">
        <v>27869.94</v>
      </c>
      <c r="L189" s="11">
        <v>27829.919999999998</v>
      </c>
      <c r="M189" s="11">
        <v>27809.17</v>
      </c>
      <c r="N189" s="11">
        <v>27827.95</v>
      </c>
      <c r="O189" s="35"/>
      <c r="P189" s="35"/>
      <c r="Q189" s="36"/>
      <c r="R189" s="36"/>
      <c r="S189" s="113"/>
      <c r="T189" s="114"/>
      <c r="U189" s="117"/>
      <c r="V189" s="173"/>
      <c r="W189" s="11"/>
      <c r="X189" s="118"/>
      <c r="Y189" s="118"/>
      <c r="Z189" s="118"/>
      <c r="AA189" s="118"/>
    </row>
    <row r="190" spans="1:29" ht="23.4" thickBot="1" x14ac:dyDescent="0.35">
      <c r="A190"/>
      <c r="B190" s="37"/>
      <c r="C190" s="38"/>
      <c r="D190" s="39"/>
      <c r="E190" s="61" t="s">
        <v>188</v>
      </c>
      <c r="F190" s="40">
        <f t="shared" ref="F190:N190" si="58">IF(((F188="")*AND(F189="")),"",(F188-F189)*3)</f>
        <v>4556.0699999999961</v>
      </c>
      <c r="G190" s="40">
        <f t="shared" si="58"/>
        <v>4061.7900000000009</v>
      </c>
      <c r="H190" s="40">
        <f t="shared" si="58"/>
        <v>3945.9900000000052</v>
      </c>
      <c r="I190" s="40">
        <f t="shared" si="58"/>
        <v>3997.4399999999987</v>
      </c>
      <c r="J190" s="40">
        <f t="shared" si="58"/>
        <v>4530.8400000000074</v>
      </c>
      <c r="K190" s="40">
        <f t="shared" si="58"/>
        <v>4435.4399999999987</v>
      </c>
      <c r="L190" s="40">
        <f t="shared" si="58"/>
        <v>3993.8700000000026</v>
      </c>
      <c r="M190" s="40">
        <f t="shared" si="58"/>
        <v>4032.9300000000039</v>
      </c>
      <c r="N190" s="40">
        <f t="shared" si="58"/>
        <v>4607.9099999999926</v>
      </c>
      <c r="O190" s="41"/>
      <c r="P190" s="41"/>
      <c r="Q190" s="42"/>
      <c r="R190" s="42"/>
      <c r="S190" s="113"/>
      <c r="T190" s="119"/>
      <c r="U190" s="120"/>
      <c r="V190" s="173"/>
      <c r="W190" s="11"/>
      <c r="X190" s="118"/>
      <c r="Y190" s="118"/>
      <c r="Z190" s="118"/>
      <c r="AA190" s="118"/>
    </row>
    <row r="191" spans="1:29" ht="14.4" x14ac:dyDescent="0.3">
      <c r="A191" s="206">
        <v>43199</v>
      </c>
      <c r="B191" s="215" t="s">
        <v>174</v>
      </c>
      <c r="C191" s="33" t="s">
        <v>176</v>
      </c>
      <c r="D191" s="44" t="s">
        <v>175</v>
      </c>
      <c r="E191" s="41" t="s">
        <v>186</v>
      </c>
      <c r="F191" s="129">
        <v>3105.97</v>
      </c>
      <c r="G191" s="129">
        <v>2870.93</v>
      </c>
      <c r="H191" s="129">
        <v>2948.58</v>
      </c>
      <c r="I191" s="129">
        <v>2969.01</v>
      </c>
      <c r="J191" s="129">
        <v>3339.9</v>
      </c>
      <c r="K191" s="129">
        <v>3348.87</v>
      </c>
      <c r="L191" s="129">
        <v>2940.72</v>
      </c>
      <c r="M191" s="129">
        <v>2926.4</v>
      </c>
      <c r="N191" s="129">
        <v>3118.88</v>
      </c>
      <c r="O191" s="35">
        <f>IF((N192=""),"",MAX(F193:N193))</f>
        <v>4029.32</v>
      </c>
      <c r="P191" s="35">
        <f>IF(N192="","",MIN(F193:N193))</f>
        <v>3776.66</v>
      </c>
      <c r="Q191" s="36">
        <f>IF((N193=""),"",AVERAGE(F193:N193))</f>
        <v>3960.3133333333335</v>
      </c>
      <c r="R191" s="36">
        <f>IF((N192=""),"",(O191-P191)/(O191+P191)*100)</f>
        <v>3.2367492614636513</v>
      </c>
      <c r="S191" s="113">
        <f>STDEV(F193:N193)</f>
        <v>83.248212593424569</v>
      </c>
      <c r="T191" s="114" t="str">
        <f>IF(N192="","",IF(Q191&gt;3650,IF(R191&lt;7,IF(Q191&lt;4450,"Pass","Fail"),"Fail"),"Fail"))</f>
        <v>Pass</v>
      </c>
      <c r="U191" s="115"/>
      <c r="V191" s="173"/>
      <c r="W191" s="11"/>
      <c r="X191" s="116">
        <v>3650</v>
      </c>
      <c r="Y191" s="116">
        <v>4450</v>
      </c>
      <c r="Z191" s="116">
        <v>3700</v>
      </c>
      <c r="AA191" s="116">
        <v>4100</v>
      </c>
      <c r="AB191" s="31">
        <v>7</v>
      </c>
      <c r="AC191" s="31">
        <v>6.5</v>
      </c>
    </row>
    <row r="192" spans="1:29" ht="15.6" x14ac:dyDescent="0.3">
      <c r="A192"/>
      <c r="B192" s="43"/>
      <c r="C192" s="33"/>
      <c r="D192" s="34"/>
      <c r="E192" s="61" t="s">
        <v>187</v>
      </c>
      <c r="F192" s="130">
        <v>1155.95</v>
      </c>
      <c r="G192" s="130">
        <v>867.99</v>
      </c>
      <c r="H192" s="130">
        <v>935.01</v>
      </c>
      <c r="I192" s="130">
        <v>962.87</v>
      </c>
      <c r="J192" s="130">
        <v>1378.4</v>
      </c>
      <c r="K192" s="130">
        <v>1460.54</v>
      </c>
      <c r="L192" s="130">
        <v>934.73</v>
      </c>
      <c r="M192" s="130">
        <v>911.74</v>
      </c>
      <c r="N192" s="130">
        <v>1140.6199999999999</v>
      </c>
      <c r="O192" s="35"/>
      <c r="P192" s="35"/>
      <c r="Q192" s="36"/>
      <c r="R192" s="36"/>
      <c r="S192" s="113"/>
      <c r="T192" s="114"/>
      <c r="U192" s="122"/>
      <c r="V192" s="174"/>
      <c r="W192" s="11"/>
      <c r="X192" s="118"/>
      <c r="Y192" s="118"/>
      <c r="Z192" s="118"/>
      <c r="AA192" s="118"/>
    </row>
    <row r="193" spans="1:29" ht="23.4" thickBot="1" x14ac:dyDescent="0.35">
      <c r="A193"/>
      <c r="B193" s="43"/>
      <c r="C193" s="33"/>
      <c r="D193" s="34"/>
      <c r="E193" s="48" t="s">
        <v>188</v>
      </c>
      <c r="F193" s="45">
        <f t="shared" ref="F193:N193" si="59">IF(((F191="")*AND(F192="")),"",(F191-F192)*2)</f>
        <v>3900.0399999999995</v>
      </c>
      <c r="G193" s="45">
        <f t="shared" si="59"/>
        <v>4005.8799999999997</v>
      </c>
      <c r="H193" s="45">
        <f t="shared" si="59"/>
        <v>4027.14</v>
      </c>
      <c r="I193" s="45">
        <f t="shared" si="59"/>
        <v>4012.2800000000007</v>
      </c>
      <c r="J193" s="45">
        <f t="shared" si="59"/>
        <v>3923</v>
      </c>
      <c r="K193" s="45">
        <f t="shared" si="59"/>
        <v>3776.66</v>
      </c>
      <c r="L193" s="45">
        <f t="shared" si="59"/>
        <v>4011.9799999999996</v>
      </c>
      <c r="M193" s="45">
        <f t="shared" si="59"/>
        <v>4029.32</v>
      </c>
      <c r="N193" s="45">
        <f t="shared" si="59"/>
        <v>3956.5200000000004</v>
      </c>
      <c r="O193" s="35"/>
      <c r="P193" s="35"/>
      <c r="Q193" s="36"/>
      <c r="R193" s="36"/>
      <c r="S193" s="113"/>
      <c r="T193" s="114"/>
      <c r="U193" s="122"/>
      <c r="V193" s="174"/>
      <c r="W193" s="11"/>
      <c r="X193" s="118"/>
      <c r="Y193" s="118"/>
      <c r="Z193" s="118"/>
      <c r="AA193" s="118"/>
    </row>
    <row r="194" spans="1:29" x14ac:dyDescent="0.25">
      <c r="A194" s="206">
        <v>43199</v>
      </c>
      <c r="B194" s="215" t="s">
        <v>169</v>
      </c>
      <c r="C194" s="47" t="s">
        <v>171</v>
      </c>
      <c r="D194" s="46" t="s">
        <v>189</v>
      </c>
      <c r="E194" s="61" t="s">
        <v>186</v>
      </c>
      <c r="F194" s="11">
        <v>1258.24</v>
      </c>
      <c r="G194" s="11">
        <v>1231.49</v>
      </c>
      <c r="H194" s="11">
        <v>1231.49</v>
      </c>
      <c r="I194" s="11">
        <v>1232.3699999999999</v>
      </c>
      <c r="J194" s="11">
        <v>1285.1500000000001</v>
      </c>
      <c r="K194" s="11">
        <v>1274.46</v>
      </c>
      <c r="L194" s="11">
        <v>1232.44</v>
      </c>
      <c r="M194" s="11">
        <v>1229.8599999999999</v>
      </c>
      <c r="N194" s="11">
        <v>1263.57</v>
      </c>
      <c r="O194" s="48">
        <f>IF((N195=""),"",MAX(F196:N196))</f>
        <v>2099.91</v>
      </c>
      <c r="P194" s="48">
        <f>IF(N195="","",MIN(F196:N196))</f>
        <v>1974.42</v>
      </c>
      <c r="Q194" s="49">
        <f>IF((N196=""),"",AVERAGE(F196:N196))</f>
        <v>2048.4866666666667</v>
      </c>
      <c r="R194" s="49">
        <f>IF((N195=""),"",(O194-P194)/(O194+P194)*100)</f>
        <v>3.0800156099284983</v>
      </c>
      <c r="S194" s="113">
        <f>STDEV(F196:N196)</f>
        <v>49.547580415192776</v>
      </c>
      <c r="T194" s="123" t="str">
        <f>IF(N195="","",IF(Q194&gt;1940,IF(R194&lt;8.3,IF(Q194&lt;2180,"Pass","Fail"),"Fail"),"Fail"))</f>
        <v>Pass</v>
      </c>
      <c r="U194" s="115"/>
      <c r="V194" s="173"/>
      <c r="W194" s="11"/>
      <c r="X194" s="116">
        <v>2000</v>
      </c>
      <c r="Y194" s="116">
        <v>3000</v>
      </c>
      <c r="Z194" s="116">
        <v>1940</v>
      </c>
      <c r="AA194" s="116">
        <v>2180</v>
      </c>
      <c r="AB194" s="31">
        <v>5.2</v>
      </c>
      <c r="AC194" s="31">
        <v>5.2</v>
      </c>
    </row>
    <row r="195" spans="1:29" ht="15.6" x14ac:dyDescent="0.3">
      <c r="A195"/>
      <c r="B195" s="32"/>
      <c r="C195" s="33"/>
      <c r="D195" s="34"/>
      <c r="E195" s="61" t="s">
        <v>187</v>
      </c>
      <c r="F195" s="11">
        <v>586.99</v>
      </c>
      <c r="G195" s="11">
        <v>535.49</v>
      </c>
      <c r="H195" s="11">
        <v>531.52</v>
      </c>
      <c r="I195" s="11">
        <v>537.54</v>
      </c>
      <c r="J195" s="11">
        <v>624.5</v>
      </c>
      <c r="K195" s="11">
        <v>616.32000000000005</v>
      </c>
      <c r="L195" s="11">
        <v>538.77</v>
      </c>
      <c r="M195" s="11">
        <v>534.29</v>
      </c>
      <c r="N195" s="11">
        <v>588.19000000000005</v>
      </c>
      <c r="O195" s="35"/>
      <c r="P195" s="35"/>
      <c r="Q195" s="36"/>
      <c r="R195" s="36"/>
      <c r="S195" s="113"/>
      <c r="T195" s="114"/>
      <c r="U195" s="117"/>
      <c r="V195" s="173"/>
      <c r="W195" s="11"/>
      <c r="X195" s="118"/>
      <c r="Y195" s="118"/>
      <c r="Z195" s="118"/>
      <c r="AA195" s="118"/>
    </row>
    <row r="196" spans="1:29" ht="16.2" thickBot="1" x14ac:dyDescent="0.35">
      <c r="A196"/>
      <c r="B196" s="50"/>
      <c r="C196" s="51"/>
      <c r="D196" s="52"/>
      <c r="E196" s="65" t="s">
        <v>190</v>
      </c>
      <c r="F196" s="53">
        <f t="shared" ref="F196:N196" si="60">IF(((F194="")*AND(F195="")),"",(F194-F195)*3)</f>
        <v>2013.75</v>
      </c>
      <c r="G196" s="53">
        <f t="shared" si="60"/>
        <v>2088</v>
      </c>
      <c r="H196" s="53">
        <f t="shared" si="60"/>
        <v>2099.91</v>
      </c>
      <c r="I196" s="53">
        <f t="shared" si="60"/>
        <v>2084.4899999999998</v>
      </c>
      <c r="J196" s="53">
        <f t="shared" si="60"/>
        <v>1981.9500000000003</v>
      </c>
      <c r="K196" s="53">
        <f t="shared" si="60"/>
        <v>1974.42</v>
      </c>
      <c r="L196" s="53">
        <f t="shared" si="60"/>
        <v>2081.0100000000002</v>
      </c>
      <c r="M196" s="53">
        <f t="shared" si="60"/>
        <v>2086.71</v>
      </c>
      <c r="N196" s="53">
        <f t="shared" si="60"/>
        <v>2026.1399999999996</v>
      </c>
      <c r="O196" s="54"/>
      <c r="P196" s="54"/>
      <c r="Q196" s="55"/>
      <c r="R196" s="55"/>
      <c r="S196" s="113"/>
      <c r="T196" s="124"/>
      <c r="U196" s="125"/>
      <c r="V196" s="173"/>
      <c r="W196" s="11"/>
      <c r="X196" s="118"/>
      <c r="Y196" s="118"/>
      <c r="Z196" s="118"/>
      <c r="AA196" s="118"/>
    </row>
    <row r="197" spans="1:29" x14ac:dyDescent="0.25">
      <c r="A197" s="206">
        <v>43203</v>
      </c>
      <c r="B197" s="216" t="s">
        <v>185</v>
      </c>
      <c r="C197" s="27" t="s">
        <v>173</v>
      </c>
      <c r="D197" s="28" t="s">
        <v>172</v>
      </c>
      <c r="E197" s="59" t="s">
        <v>186</v>
      </c>
      <c r="F197" s="11">
        <v>27776.080000000002</v>
      </c>
      <c r="G197" s="11">
        <v>27751.71</v>
      </c>
      <c r="H197" s="11">
        <v>27842.959999999999</v>
      </c>
      <c r="I197" s="11">
        <v>27762.91</v>
      </c>
      <c r="J197" s="11">
        <v>27773.5</v>
      </c>
      <c r="K197" s="11">
        <v>27793.56</v>
      </c>
      <c r="L197" s="11">
        <v>27761.71</v>
      </c>
      <c r="M197" s="11">
        <v>27742.33</v>
      </c>
      <c r="N197" s="11">
        <v>27749.14</v>
      </c>
      <c r="O197" s="29">
        <f>IF((N198=""),"",MAX(F199:N199))</f>
        <v>4760.25</v>
      </c>
      <c r="P197" s="29">
        <f>IF(N198="","",MIN(F199:N199))</f>
        <v>4045.0200000000004</v>
      </c>
      <c r="Q197" s="30">
        <f>IF((N199=""),"",AVERAGE(F199:N199))</f>
        <v>4329.3933333333343</v>
      </c>
      <c r="R197" s="30">
        <f>IF((N198=""),"",(O197-P197)/(O197+P197)*100)</f>
        <v>8.1227492172301314</v>
      </c>
      <c r="S197" s="113">
        <f>STDEV(F199:N199)</f>
        <v>291.69601754223658</v>
      </c>
      <c r="T197" s="114" t="str">
        <f>IF(N198="","",IF(R197&lt;16,IF(Q197&gt;3200,IF(R197,IF(Q197&lt;5240,"Pass","Fail"),"Fail"),"Fail")))</f>
        <v>Pass</v>
      </c>
      <c r="U197" s="115">
        <v>1428</v>
      </c>
      <c r="V197" s="173"/>
      <c r="W197" s="11"/>
      <c r="X197" s="116">
        <v>4200</v>
      </c>
      <c r="Y197" s="116">
        <v>5500</v>
      </c>
      <c r="Z197" s="116">
        <v>3200</v>
      </c>
      <c r="AA197" s="116">
        <v>5240</v>
      </c>
      <c r="AB197" s="31">
        <v>16</v>
      </c>
      <c r="AC197" s="31">
        <v>16</v>
      </c>
    </row>
    <row r="198" spans="1:29" ht="15.6" x14ac:dyDescent="0.3">
      <c r="A198"/>
      <c r="B198" s="32"/>
      <c r="C198" s="33"/>
      <c r="D198" s="34"/>
      <c r="E198" s="61" t="s">
        <v>187</v>
      </c>
      <c r="F198" s="11">
        <v>26222.36</v>
      </c>
      <c r="G198" s="11">
        <v>26382.2</v>
      </c>
      <c r="H198" s="11">
        <v>26494.62</v>
      </c>
      <c r="I198" s="11">
        <v>26402.94</v>
      </c>
      <c r="J198" s="11">
        <v>26252.76</v>
      </c>
      <c r="K198" s="11">
        <v>26284.68</v>
      </c>
      <c r="L198" s="11">
        <v>26406.61</v>
      </c>
      <c r="M198" s="11">
        <v>26357.16</v>
      </c>
      <c r="N198" s="11">
        <v>26162.39</v>
      </c>
      <c r="O198" s="35"/>
      <c r="P198" s="35"/>
      <c r="Q198" s="36"/>
      <c r="R198" s="36"/>
      <c r="S198" s="113"/>
      <c r="T198" s="114"/>
      <c r="U198" s="117"/>
      <c r="V198" s="173"/>
      <c r="W198" s="11"/>
      <c r="X198" s="118"/>
      <c r="Y198" s="118"/>
      <c r="Z198" s="118"/>
      <c r="AA198" s="118"/>
    </row>
    <row r="199" spans="1:29" ht="23.4" thickBot="1" x14ac:dyDescent="0.35">
      <c r="A199"/>
      <c r="B199" s="37"/>
      <c r="C199" s="38"/>
      <c r="D199" s="39"/>
      <c r="E199" s="61" t="s">
        <v>188</v>
      </c>
      <c r="F199" s="40">
        <f t="shared" ref="F199:N199" si="61">IF(((F197="")*AND(F198="")),"",(F197-F198)*3)</f>
        <v>4661.1600000000035</v>
      </c>
      <c r="G199" s="40">
        <f t="shared" si="61"/>
        <v>4108.5299999999952</v>
      </c>
      <c r="H199" s="40">
        <f t="shared" si="61"/>
        <v>4045.0200000000004</v>
      </c>
      <c r="I199" s="40">
        <f t="shared" si="61"/>
        <v>4079.9100000000035</v>
      </c>
      <c r="J199" s="40">
        <f t="shared" si="61"/>
        <v>4562.2200000000048</v>
      </c>
      <c r="K199" s="40">
        <f t="shared" si="61"/>
        <v>4526.6400000000031</v>
      </c>
      <c r="L199" s="40">
        <f t="shared" si="61"/>
        <v>4065.2999999999956</v>
      </c>
      <c r="M199" s="40">
        <f t="shared" si="61"/>
        <v>4155.5100000000057</v>
      </c>
      <c r="N199" s="40">
        <f t="shared" si="61"/>
        <v>4760.25</v>
      </c>
      <c r="O199" s="41"/>
      <c r="P199" s="41"/>
      <c r="Q199" s="42"/>
      <c r="R199" s="42"/>
      <c r="S199" s="113"/>
      <c r="T199" s="119"/>
      <c r="U199" s="120"/>
      <c r="V199" s="173"/>
      <c r="W199" s="11"/>
      <c r="X199" s="118"/>
      <c r="Y199" s="118"/>
      <c r="Z199" s="118"/>
      <c r="AA199" s="118"/>
    </row>
    <row r="200" spans="1:29" x14ac:dyDescent="0.25">
      <c r="A200" s="206">
        <v>43203</v>
      </c>
      <c r="B200" s="215" t="s">
        <v>174</v>
      </c>
      <c r="C200" s="33" t="s">
        <v>176</v>
      </c>
      <c r="D200" s="44" t="s">
        <v>175</v>
      </c>
      <c r="E200" s="41" t="s">
        <v>186</v>
      </c>
      <c r="F200" s="11">
        <v>4966.41</v>
      </c>
      <c r="G200" s="11">
        <v>4917.5</v>
      </c>
      <c r="H200" s="11">
        <v>5021.6400000000003</v>
      </c>
      <c r="I200" s="11">
        <v>5033.07</v>
      </c>
      <c r="J200" s="11">
        <v>5171.09</v>
      </c>
      <c r="K200" s="11">
        <v>5006.6099999999997</v>
      </c>
      <c r="L200" s="11">
        <v>4992.93</v>
      </c>
      <c r="M200" s="11">
        <v>5015.71</v>
      </c>
      <c r="N200" s="11">
        <v>5092.57</v>
      </c>
      <c r="O200" s="35">
        <f>IF((N201=""),"",MAX(F202:N202))</f>
        <v>4028.76</v>
      </c>
      <c r="P200" s="35">
        <f>IF(N201="","",MIN(F202:N202))</f>
        <v>3698.9599999999991</v>
      </c>
      <c r="Q200" s="36">
        <f>IF((N202=""),"",AVERAGE(F202:N202))</f>
        <v>3930.6755555555555</v>
      </c>
      <c r="R200" s="36">
        <f>IF((N201=""),"",(O200-P200)/(O200+P200)*100)</f>
        <v>4.2677529724161989</v>
      </c>
      <c r="S200" s="113">
        <f>STDEV(F202:N202)</f>
        <v>105.84754167092321</v>
      </c>
      <c r="T200" s="114" t="str">
        <f>IF(N201="","",IF(Q200&gt;3650,IF(R200&lt;7,IF(Q200&lt;4450,"Pass","Fail"),"Fail"),"Fail"))</f>
        <v>Pass</v>
      </c>
      <c r="U200" s="115">
        <v>1428</v>
      </c>
      <c r="V200" s="173"/>
      <c r="W200" s="11"/>
      <c r="X200" s="116">
        <v>3650</v>
      </c>
      <c r="Y200" s="116">
        <v>4450</v>
      </c>
      <c r="Z200" s="116">
        <v>3700</v>
      </c>
      <c r="AA200" s="116">
        <v>4100</v>
      </c>
      <c r="AB200" s="31">
        <v>7</v>
      </c>
      <c r="AC200" s="31">
        <v>6.5</v>
      </c>
    </row>
    <row r="201" spans="1:29" ht="15.6" x14ac:dyDescent="0.3">
      <c r="A201"/>
      <c r="B201" s="43"/>
      <c r="C201" s="33"/>
      <c r="D201" s="34"/>
      <c r="E201" s="61" t="s">
        <v>187</v>
      </c>
      <c r="F201" s="11">
        <v>3034.86</v>
      </c>
      <c r="G201" s="11">
        <v>2919.61</v>
      </c>
      <c r="H201" s="11">
        <v>3018.03</v>
      </c>
      <c r="I201" s="11">
        <v>3038.4</v>
      </c>
      <c r="J201" s="11">
        <v>3241.74</v>
      </c>
      <c r="K201" s="11">
        <v>3157.13</v>
      </c>
      <c r="L201" s="11">
        <v>3002.52</v>
      </c>
      <c r="M201" s="11">
        <v>3001.33</v>
      </c>
      <c r="N201" s="11">
        <v>3115.87</v>
      </c>
      <c r="O201" s="35"/>
      <c r="P201" s="35"/>
      <c r="Q201" s="36"/>
      <c r="R201" s="36"/>
      <c r="S201" s="113"/>
      <c r="T201" s="114"/>
      <c r="U201" s="122"/>
      <c r="V201" s="174"/>
      <c r="W201" s="11"/>
      <c r="X201" s="118"/>
      <c r="Y201" s="118"/>
      <c r="Z201" s="118"/>
      <c r="AA201" s="118"/>
    </row>
    <row r="202" spans="1:29" ht="23.4" thickBot="1" x14ac:dyDescent="0.35">
      <c r="A202"/>
      <c r="B202" s="43"/>
      <c r="C202" s="33"/>
      <c r="D202" s="34"/>
      <c r="E202" s="48" t="s">
        <v>188</v>
      </c>
      <c r="F202" s="45">
        <f t="shared" ref="F202:N202" si="62">IF(((F200="")*AND(F201="")),"",(F200-F201)*2)</f>
        <v>3863.0999999999995</v>
      </c>
      <c r="G202" s="45">
        <f t="shared" si="62"/>
        <v>3995.7799999999997</v>
      </c>
      <c r="H202" s="45">
        <f t="shared" si="62"/>
        <v>4007.2200000000003</v>
      </c>
      <c r="I202" s="45">
        <f t="shared" si="62"/>
        <v>3989.3399999999992</v>
      </c>
      <c r="J202" s="45">
        <f t="shared" si="62"/>
        <v>3858.7000000000007</v>
      </c>
      <c r="K202" s="45">
        <f t="shared" si="62"/>
        <v>3698.9599999999991</v>
      </c>
      <c r="L202" s="45">
        <f t="shared" si="62"/>
        <v>3980.8200000000006</v>
      </c>
      <c r="M202" s="45">
        <f t="shared" si="62"/>
        <v>4028.76</v>
      </c>
      <c r="N202" s="45">
        <f t="shared" si="62"/>
        <v>3953.3999999999996</v>
      </c>
      <c r="O202" s="35"/>
      <c r="P202" s="35"/>
      <c r="Q202" s="36"/>
      <c r="R202" s="36"/>
      <c r="S202" s="113"/>
      <c r="T202" s="114"/>
      <c r="U202" s="122"/>
      <c r="V202" s="174"/>
      <c r="W202" s="11"/>
      <c r="X202" s="118"/>
      <c r="Y202" s="118"/>
      <c r="Z202" s="118"/>
      <c r="AA202" s="118"/>
    </row>
    <row r="203" spans="1:29" x14ac:dyDescent="0.25">
      <c r="A203" s="206">
        <v>43203</v>
      </c>
      <c r="B203" s="215" t="s">
        <v>169</v>
      </c>
      <c r="C203" s="47" t="s">
        <v>171</v>
      </c>
      <c r="D203" s="46" t="s">
        <v>189</v>
      </c>
      <c r="E203" s="61" t="s">
        <v>186</v>
      </c>
      <c r="F203" s="11">
        <v>1946.05</v>
      </c>
      <c r="G203" s="11">
        <v>1943.2</v>
      </c>
      <c r="H203" s="11">
        <v>1938.97</v>
      </c>
      <c r="I203" s="11">
        <v>1945.66</v>
      </c>
      <c r="J203" s="11">
        <v>1955.16</v>
      </c>
      <c r="K203" s="11">
        <v>1950.97</v>
      </c>
      <c r="L203" s="11">
        <v>1941.95</v>
      </c>
      <c r="M203" s="11">
        <v>1944</v>
      </c>
      <c r="N203" s="11">
        <v>1946.29</v>
      </c>
      <c r="O203" s="48">
        <f>IF((N204=""),"",MAX(F205:N205))</f>
        <v>2090.4300000000003</v>
      </c>
      <c r="P203" s="48">
        <f>IF(N204="","",MIN(F205:N205))</f>
        <v>1966.2900000000002</v>
      </c>
      <c r="Q203" s="49">
        <f>IF((N205=""),"",AVERAGE(F205:N205))</f>
        <v>2041.3333333333333</v>
      </c>
      <c r="R203" s="49">
        <f>IF((N204=""),"",(O203-P203)/(O203+P203)*100)</f>
        <v>3.0601076731941101</v>
      </c>
      <c r="S203" s="113">
        <f>STDEV(F205:N205)</f>
        <v>52.608355562590958</v>
      </c>
      <c r="T203" s="123" t="str">
        <f>IF(N204="","",IF(Q203&gt;1940,IF(R203&lt;8.3,IF(Q203&lt;2180,"Pass","Fail"),"Fail"),"Fail"))</f>
        <v>Pass</v>
      </c>
      <c r="U203" s="115">
        <v>1428</v>
      </c>
      <c r="V203" s="173"/>
      <c r="W203" s="11"/>
      <c r="X203" s="116">
        <v>2000</v>
      </c>
      <c r="Y203" s="116">
        <v>3000</v>
      </c>
      <c r="Z203" s="116">
        <v>1940</v>
      </c>
      <c r="AA203" s="116">
        <v>2180</v>
      </c>
      <c r="AB203" s="31">
        <v>5.2</v>
      </c>
      <c r="AC203" s="31">
        <v>5.2</v>
      </c>
    </row>
    <row r="204" spans="1:29" ht="15.6" x14ac:dyDescent="0.3">
      <c r="A204"/>
      <c r="B204" s="32"/>
      <c r="C204" s="33"/>
      <c r="D204" s="34"/>
      <c r="E204" s="61" t="s">
        <v>187</v>
      </c>
      <c r="F204" s="11">
        <v>1277.68</v>
      </c>
      <c r="G204" s="11">
        <v>1247.5899999999999</v>
      </c>
      <c r="H204" s="11">
        <v>1246.6300000000001</v>
      </c>
      <c r="I204" s="11">
        <v>1248.8499999999999</v>
      </c>
      <c r="J204" s="11">
        <v>1297.0999999999999</v>
      </c>
      <c r="K204" s="11">
        <v>1282.73</v>
      </c>
      <c r="L204" s="11">
        <v>1247.7</v>
      </c>
      <c r="M204" s="11">
        <v>1249.1099999999999</v>
      </c>
      <c r="N204" s="11">
        <v>1290.8599999999999</v>
      </c>
      <c r="O204" s="35"/>
      <c r="P204" s="35"/>
      <c r="Q204" s="36"/>
      <c r="R204" s="36"/>
      <c r="S204" s="113"/>
      <c r="T204" s="114"/>
      <c r="U204" s="117"/>
      <c r="V204" s="173"/>
      <c r="W204" s="11"/>
      <c r="X204" s="118"/>
      <c r="Y204" s="118"/>
      <c r="Z204" s="118"/>
      <c r="AA204" s="118"/>
    </row>
    <row r="205" spans="1:29" ht="16.2" thickBot="1" x14ac:dyDescent="0.35">
      <c r="A205"/>
      <c r="B205" s="32"/>
      <c r="C205" s="33"/>
      <c r="D205" s="34"/>
      <c r="E205" s="48" t="s">
        <v>190</v>
      </c>
      <c r="F205" s="45">
        <f t="shared" ref="F205:N205" si="63">IF(((F203="")*AND(F204="")),"",(F203-F204)*3)</f>
        <v>2005.1099999999997</v>
      </c>
      <c r="G205" s="45">
        <f t="shared" si="63"/>
        <v>2086.8300000000004</v>
      </c>
      <c r="H205" s="45">
        <f t="shared" si="63"/>
        <v>2077.0199999999995</v>
      </c>
      <c r="I205" s="45">
        <f t="shared" si="63"/>
        <v>2090.4300000000003</v>
      </c>
      <c r="J205" s="45">
        <f t="shared" si="63"/>
        <v>1974.1800000000005</v>
      </c>
      <c r="K205" s="45">
        <f t="shared" si="63"/>
        <v>2004.72</v>
      </c>
      <c r="L205" s="45">
        <f t="shared" si="63"/>
        <v>2082.75</v>
      </c>
      <c r="M205" s="45">
        <f t="shared" si="63"/>
        <v>2084.67</v>
      </c>
      <c r="N205" s="45">
        <f t="shared" si="63"/>
        <v>1966.2900000000002</v>
      </c>
      <c r="O205" s="35"/>
      <c r="P205" s="35"/>
      <c r="Q205" s="36"/>
      <c r="R205" s="36"/>
      <c r="S205" s="113"/>
      <c r="T205" s="114"/>
      <c r="U205" s="117"/>
      <c r="V205" s="173"/>
      <c r="W205" s="11"/>
      <c r="X205" s="118"/>
      <c r="Y205" s="118"/>
      <c r="Z205" s="118"/>
      <c r="AA205" s="118"/>
    </row>
    <row r="206" spans="1:29" x14ac:dyDescent="0.25">
      <c r="A206" s="206">
        <v>43208</v>
      </c>
      <c r="B206" s="216" t="s">
        <v>185</v>
      </c>
      <c r="C206" s="27" t="s">
        <v>173</v>
      </c>
      <c r="D206" s="28" t="s">
        <v>172</v>
      </c>
      <c r="E206" s="59" t="s">
        <v>186</v>
      </c>
      <c r="F206" s="126">
        <v>26148.94</v>
      </c>
      <c r="G206" s="126">
        <v>26317.08</v>
      </c>
      <c r="H206" s="126">
        <v>26438.720000000001</v>
      </c>
      <c r="I206" s="126">
        <v>26334.09</v>
      </c>
      <c r="J206" s="126">
        <v>26179.7</v>
      </c>
      <c r="K206" s="126">
        <v>26215.77</v>
      </c>
      <c r="L206" s="126">
        <v>26337.34</v>
      </c>
      <c r="M206" s="126">
        <v>26288.87</v>
      </c>
      <c r="N206" s="126">
        <v>26078.62</v>
      </c>
      <c r="O206" s="29">
        <f>IF((N207=""),"",MAX(F208:N208))</f>
        <v>4905.5400000000009</v>
      </c>
      <c r="P206" s="29">
        <f>IF(N207="","",MIN(F208:N208))</f>
        <v>4190.7000000000044</v>
      </c>
      <c r="Q206" s="30">
        <f>IF((N208=""),"",AVERAGE(F208:N208))</f>
        <v>4539.7333333333336</v>
      </c>
      <c r="R206" s="30">
        <f>IF((N207=""),"",(O206-P206)/(O206+P206)*100)</f>
        <v>7.8586316983720312</v>
      </c>
      <c r="S206" s="131">
        <f>STDEV(F208:N208)</f>
        <v>317.32517517524468</v>
      </c>
      <c r="T206" s="123" t="str">
        <f>IF(N207="","",IF(R206&lt;16,IF(Q206&gt;3200,IF(R206,IF(Q206&lt;5240,"Pass","Fail"),"Fail"),"Fail")))</f>
        <v>Pass</v>
      </c>
      <c r="U206" s="115">
        <v>74</v>
      </c>
      <c r="V206" s="173"/>
      <c r="W206" s="11"/>
      <c r="X206" s="116">
        <v>4200</v>
      </c>
      <c r="Y206" s="116">
        <v>5500</v>
      </c>
      <c r="Z206" s="116">
        <v>3200</v>
      </c>
      <c r="AA206" s="116">
        <v>5240</v>
      </c>
      <c r="AB206" s="31">
        <v>16</v>
      </c>
      <c r="AC206" s="31">
        <v>16</v>
      </c>
    </row>
    <row r="207" spans="1:29" ht="15.6" x14ac:dyDescent="0.3">
      <c r="A207"/>
      <c r="B207" s="32"/>
      <c r="C207" s="33"/>
      <c r="D207" s="34"/>
      <c r="E207" s="61" t="s">
        <v>187</v>
      </c>
      <c r="F207" s="127">
        <v>24513.759999999998</v>
      </c>
      <c r="G207" s="127">
        <v>24873.71</v>
      </c>
      <c r="H207" s="127">
        <v>25041.82</v>
      </c>
      <c r="I207" s="127">
        <v>24918.3</v>
      </c>
      <c r="J207" s="127">
        <v>24573.17</v>
      </c>
      <c r="K207" s="127">
        <v>24596.48</v>
      </c>
      <c r="L207" s="127">
        <v>24906.16</v>
      </c>
      <c r="M207" s="127">
        <v>24850.99</v>
      </c>
      <c r="N207" s="127">
        <v>24445.54</v>
      </c>
      <c r="O207" s="35"/>
      <c r="P207" s="35"/>
      <c r="Q207" s="36"/>
      <c r="R207" s="36"/>
      <c r="S207" s="113"/>
      <c r="T207" s="114"/>
      <c r="U207" s="117"/>
      <c r="V207" s="173"/>
      <c r="W207" s="11"/>
      <c r="X207" s="118"/>
      <c r="Y207" s="118"/>
      <c r="Z207" s="118"/>
      <c r="AA207" s="118"/>
    </row>
    <row r="208" spans="1:29" ht="23.4" thickBot="1" x14ac:dyDescent="0.35">
      <c r="A208"/>
      <c r="B208" s="37"/>
      <c r="C208" s="38"/>
      <c r="D208" s="39"/>
      <c r="E208" s="61" t="s">
        <v>188</v>
      </c>
      <c r="F208" s="40">
        <f t="shared" ref="F208:N208" si="64">IF(((F206="")*AND(F207="")),"",(F206-F207)*3)</f>
        <v>4905.5400000000009</v>
      </c>
      <c r="G208" s="40">
        <f t="shared" si="64"/>
        <v>4330.1100000000079</v>
      </c>
      <c r="H208" s="40">
        <f t="shared" si="64"/>
        <v>4190.7000000000044</v>
      </c>
      <c r="I208" s="40">
        <f t="shared" si="64"/>
        <v>4247.3700000000026</v>
      </c>
      <c r="J208" s="40">
        <f t="shared" si="64"/>
        <v>4819.5900000000074</v>
      </c>
      <c r="K208" s="40">
        <f t="shared" si="64"/>
        <v>4857.8700000000026</v>
      </c>
      <c r="L208" s="40">
        <f t="shared" si="64"/>
        <v>4293.5400000000009</v>
      </c>
      <c r="M208" s="40">
        <f t="shared" si="64"/>
        <v>4313.6399999999921</v>
      </c>
      <c r="N208" s="40">
        <f t="shared" si="64"/>
        <v>4899.2399999999943</v>
      </c>
      <c r="O208" s="41"/>
      <c r="P208" s="41"/>
      <c r="Q208" s="42"/>
      <c r="R208" s="42"/>
      <c r="S208" s="113"/>
      <c r="T208" s="119"/>
      <c r="U208" s="120"/>
      <c r="V208" s="173"/>
      <c r="W208" s="11"/>
      <c r="X208" s="118"/>
      <c r="Y208" s="118"/>
      <c r="Z208" s="118"/>
      <c r="AA208" s="118"/>
    </row>
    <row r="209" spans="1:29" x14ac:dyDescent="0.25">
      <c r="A209" s="188">
        <v>43208</v>
      </c>
      <c r="B209" s="215" t="s">
        <v>174</v>
      </c>
      <c r="C209" s="33" t="s">
        <v>176</v>
      </c>
      <c r="D209" s="44" t="s">
        <v>175</v>
      </c>
      <c r="E209" s="41" t="s">
        <v>186</v>
      </c>
      <c r="F209" s="127">
        <v>3043.9</v>
      </c>
      <c r="G209" s="127">
        <v>2927.89</v>
      </c>
      <c r="H209" s="127">
        <v>3027.23</v>
      </c>
      <c r="I209" s="127">
        <v>3047.56</v>
      </c>
      <c r="J209" s="127">
        <v>3251.96</v>
      </c>
      <c r="K209" s="127">
        <v>3166.29</v>
      </c>
      <c r="L209" s="127">
        <v>3011.57</v>
      </c>
      <c r="M209" s="127">
        <v>3010.15</v>
      </c>
      <c r="N209" s="127">
        <v>3125.35</v>
      </c>
      <c r="O209" s="35">
        <f>IF((N210=""),"",MAX(F211:N211))</f>
        <v>3992.84</v>
      </c>
      <c r="P209" s="35">
        <f>IF(N210="","",MIN(F211:N211))</f>
        <v>3691.46</v>
      </c>
      <c r="Q209" s="36">
        <f>IF((N211=""),"",AVERAGE(F211:N211))</f>
        <v>3906.1199999999994</v>
      </c>
      <c r="R209" s="36">
        <f>IF((N210=""),"",(O209-P209)/(O209+P209)*100)</f>
        <v>3.9220228257616196</v>
      </c>
      <c r="S209" s="113">
        <f>STDEV(F211:N211)</f>
        <v>95.496132905997797</v>
      </c>
      <c r="T209" s="114" t="str">
        <f>IF(N210="","",IF(Q209&gt;3650,IF(R209&lt;7,IF(Q209&lt;4450,"Pass","Fail"),"Fail"),"Fail"))</f>
        <v>Pass</v>
      </c>
      <c r="U209" s="117">
        <v>74</v>
      </c>
      <c r="V209" s="173"/>
      <c r="W209" s="11"/>
      <c r="X209" s="116">
        <v>3650</v>
      </c>
      <c r="Y209" s="116">
        <v>4450</v>
      </c>
      <c r="Z209" s="116">
        <v>3700</v>
      </c>
      <c r="AA209" s="116">
        <v>4100</v>
      </c>
      <c r="AB209" s="31">
        <v>7</v>
      </c>
      <c r="AC209" s="31">
        <v>6.5</v>
      </c>
    </row>
    <row r="210" spans="1:29" ht="15.6" x14ac:dyDescent="0.3">
      <c r="A210"/>
      <c r="B210" s="43"/>
      <c r="C210" s="33"/>
      <c r="D210" s="34"/>
      <c r="E210" s="61" t="s">
        <v>187</v>
      </c>
      <c r="F210" s="127">
        <v>1123.8599999999999</v>
      </c>
      <c r="G210" s="127">
        <v>951.13</v>
      </c>
      <c r="H210" s="127">
        <v>1040.49</v>
      </c>
      <c r="I210" s="127">
        <v>1067.99</v>
      </c>
      <c r="J210" s="127">
        <v>1323.69</v>
      </c>
      <c r="K210" s="127">
        <v>1320.56</v>
      </c>
      <c r="L210" s="127">
        <v>1036.5899999999999</v>
      </c>
      <c r="M210" s="127">
        <v>1013.73</v>
      </c>
      <c r="N210" s="127">
        <v>1156.32</v>
      </c>
      <c r="O210" s="35"/>
      <c r="P210" s="35"/>
      <c r="Q210" s="36"/>
      <c r="R210" s="36"/>
      <c r="S210" s="113"/>
      <c r="T210" s="114"/>
      <c r="U210" s="122"/>
      <c r="V210" s="174"/>
      <c r="W210" s="11"/>
      <c r="X210" s="118"/>
      <c r="Y210" s="118"/>
      <c r="Z210" s="118"/>
      <c r="AA210" s="118"/>
    </row>
    <row r="211" spans="1:29" ht="22.8" x14ac:dyDescent="0.3">
      <c r="A211"/>
      <c r="B211" s="43"/>
      <c r="C211" s="33"/>
      <c r="D211" s="34"/>
      <c r="E211" s="48" t="s">
        <v>188</v>
      </c>
      <c r="F211" s="45">
        <f t="shared" ref="F211:N211" si="65">IF(((F209="")*AND(F210="")),"",(F209-F210)*2)</f>
        <v>3840.0800000000004</v>
      </c>
      <c r="G211" s="45">
        <f t="shared" si="65"/>
        <v>3953.5199999999995</v>
      </c>
      <c r="H211" s="45">
        <f t="shared" si="65"/>
        <v>3973.48</v>
      </c>
      <c r="I211" s="45">
        <f t="shared" si="65"/>
        <v>3959.14</v>
      </c>
      <c r="J211" s="45">
        <f t="shared" si="65"/>
        <v>3856.54</v>
      </c>
      <c r="K211" s="45">
        <f t="shared" si="65"/>
        <v>3691.46</v>
      </c>
      <c r="L211" s="45">
        <f t="shared" si="65"/>
        <v>3949.9600000000005</v>
      </c>
      <c r="M211" s="45">
        <f t="shared" si="65"/>
        <v>3992.84</v>
      </c>
      <c r="N211" s="45">
        <f t="shared" si="65"/>
        <v>3938.06</v>
      </c>
      <c r="O211" s="35"/>
      <c r="P211" s="35"/>
      <c r="Q211" s="36"/>
      <c r="R211" s="36"/>
      <c r="S211" s="113"/>
      <c r="T211" s="119"/>
      <c r="U211" s="132"/>
      <c r="V211" s="174"/>
      <c r="W211" s="11"/>
      <c r="X211" s="118"/>
      <c r="Y211" s="118"/>
      <c r="Z211" s="118"/>
      <c r="AA211" s="118"/>
    </row>
    <row r="212" spans="1:29" x14ac:dyDescent="0.25">
      <c r="A212" s="189">
        <v>43208</v>
      </c>
      <c r="B212" s="215" t="s">
        <v>169</v>
      </c>
      <c r="C212" s="47" t="s">
        <v>171</v>
      </c>
      <c r="D212" s="46" t="s">
        <v>189</v>
      </c>
      <c r="E212" s="61" t="s">
        <v>186</v>
      </c>
      <c r="F212" s="127">
        <v>1279.25</v>
      </c>
      <c r="G212" s="127">
        <v>1251.8800000000001</v>
      </c>
      <c r="H212" s="127">
        <v>1247.6500000000001</v>
      </c>
      <c r="I212" s="127">
        <v>1251.77</v>
      </c>
      <c r="J212" s="127">
        <v>1304.1400000000001</v>
      </c>
      <c r="K212" s="127">
        <v>1289.47</v>
      </c>
      <c r="L212" s="127">
        <v>1251.22</v>
      </c>
      <c r="M212" s="127">
        <v>1253.1300000000001</v>
      </c>
      <c r="N212" s="127">
        <v>1289.9000000000001</v>
      </c>
      <c r="O212" s="48">
        <f>IF((N213=""),"",MAX(F214:N214))</f>
        <v>2120.1900000000005</v>
      </c>
      <c r="P212" s="48">
        <f>IF(N213="","",MIN(F214:N214))</f>
        <v>1961.7300000000002</v>
      </c>
      <c r="Q212" s="49">
        <f>IF((N214=""),"",AVERAGE(F214:N214))</f>
        <v>2062.0033333333336</v>
      </c>
      <c r="R212" s="49">
        <f>IF((N213=""),"",(O212-P212)/(O212+P212)*100)</f>
        <v>3.881996707431802</v>
      </c>
      <c r="S212" s="113">
        <f>STDEV(F214:N214)</f>
        <v>57.155186991208453</v>
      </c>
      <c r="T212" s="114" t="str">
        <f>IF(N213="","",IF(Q212&gt;1940,IF(R212&lt;8.3,IF(Q212&lt;2180,"Pass","Fail"),"Fail"),"Fail"))</f>
        <v>Pass</v>
      </c>
      <c r="U212" s="117">
        <v>74</v>
      </c>
      <c r="V212" s="173"/>
      <c r="W212" s="11"/>
      <c r="X212" s="116">
        <v>2000</v>
      </c>
      <c r="Y212" s="116">
        <v>3000</v>
      </c>
      <c r="Z212" s="116">
        <v>1940</v>
      </c>
      <c r="AA212" s="116">
        <v>2180</v>
      </c>
      <c r="AB212" s="31">
        <v>5.2</v>
      </c>
      <c r="AC212" s="31">
        <v>5.2</v>
      </c>
    </row>
    <row r="213" spans="1:29" ht="15.6" x14ac:dyDescent="0.3">
      <c r="A213"/>
      <c r="B213" s="32"/>
      <c r="C213" s="33"/>
      <c r="D213" s="34"/>
      <c r="E213" s="61" t="s">
        <v>187</v>
      </c>
      <c r="F213" s="127">
        <v>597.71</v>
      </c>
      <c r="G213" s="127">
        <v>545.15</v>
      </c>
      <c r="H213" s="127">
        <v>548.24</v>
      </c>
      <c r="I213" s="127">
        <v>553.41999999999996</v>
      </c>
      <c r="J213" s="127">
        <v>650.23</v>
      </c>
      <c r="K213" s="127">
        <v>613.79999999999995</v>
      </c>
      <c r="L213" s="127">
        <v>552.54</v>
      </c>
      <c r="M213" s="127">
        <v>546.77</v>
      </c>
      <c r="N213" s="127">
        <v>624.54</v>
      </c>
      <c r="O213" s="35"/>
      <c r="P213" s="35"/>
      <c r="Q213" s="36"/>
      <c r="R213" s="36"/>
      <c r="S213" s="113"/>
      <c r="T213" s="114"/>
      <c r="U213" s="117"/>
      <c r="V213" s="173"/>
      <c r="W213" s="11"/>
      <c r="X213" s="118"/>
      <c r="Y213" s="118"/>
      <c r="Z213" s="118"/>
      <c r="AA213" s="118"/>
    </row>
    <row r="214" spans="1:29" ht="16.2" thickBot="1" x14ac:dyDescent="0.35">
      <c r="A214"/>
      <c r="B214" s="50"/>
      <c r="C214" s="51"/>
      <c r="D214" s="52"/>
      <c r="E214" s="65" t="s">
        <v>190</v>
      </c>
      <c r="F214" s="53">
        <f t="shared" ref="F214:N214" si="66">IF(((F212="")*AND(F213="")),"",(F212-F213)*3)</f>
        <v>2044.62</v>
      </c>
      <c r="G214" s="53">
        <f t="shared" si="66"/>
        <v>2120.1900000000005</v>
      </c>
      <c r="H214" s="53">
        <f t="shared" si="66"/>
        <v>2098.2300000000005</v>
      </c>
      <c r="I214" s="53">
        <f t="shared" si="66"/>
        <v>2095.0500000000002</v>
      </c>
      <c r="J214" s="53">
        <f t="shared" si="66"/>
        <v>1961.7300000000002</v>
      </c>
      <c r="K214" s="53">
        <f t="shared" si="66"/>
        <v>2027.0100000000002</v>
      </c>
      <c r="L214" s="53">
        <f t="shared" si="66"/>
        <v>2096.04</v>
      </c>
      <c r="M214" s="53">
        <f t="shared" si="66"/>
        <v>2119.0800000000004</v>
      </c>
      <c r="N214" s="53">
        <f t="shared" si="66"/>
        <v>1996.0800000000004</v>
      </c>
      <c r="O214" s="54"/>
      <c r="P214" s="54"/>
      <c r="Q214" s="55"/>
      <c r="R214" s="55"/>
      <c r="S214" s="133"/>
      <c r="T214" s="124"/>
      <c r="U214" s="125"/>
      <c r="V214" s="173"/>
      <c r="W214" s="11"/>
      <c r="X214" s="118"/>
      <c r="Y214" s="118"/>
      <c r="Z214" s="118"/>
      <c r="AA214" s="118"/>
    </row>
    <row r="215" spans="1:29" ht="12.75" customHeight="1" x14ac:dyDescent="0.25">
      <c r="A215" s="189">
        <v>43215</v>
      </c>
      <c r="B215" s="214" t="s">
        <v>185</v>
      </c>
      <c r="C215" s="33" t="s">
        <v>173</v>
      </c>
      <c r="D215" s="34" t="s">
        <v>172</v>
      </c>
      <c r="E215" s="41" t="s">
        <v>186</v>
      </c>
      <c r="F215" s="11">
        <v>24445.45</v>
      </c>
      <c r="G215" s="11">
        <v>24800.19</v>
      </c>
      <c r="H215" s="11">
        <v>24973.75</v>
      </c>
      <c r="I215" s="11">
        <v>24849.72</v>
      </c>
      <c r="J215" s="11">
        <v>24494.51</v>
      </c>
      <c r="K215" s="11">
        <v>24521.09</v>
      </c>
      <c r="L215" s="11">
        <v>24837.73</v>
      </c>
      <c r="M215" s="11">
        <v>24788.61</v>
      </c>
      <c r="N215" s="11">
        <v>24368.02</v>
      </c>
      <c r="O215" s="35">
        <f>IF((N216=""),"",MAX(F217:N217))</f>
        <v>5072.3399999999965</v>
      </c>
      <c r="P215" s="35">
        <f>IF(N216="","",MIN(F217:N217))</f>
        <v>4341.5699999999961</v>
      </c>
      <c r="Q215" s="36">
        <f>IF((N217=""),"",AVERAGE(F217:N217))</f>
        <v>4672.8466666666664</v>
      </c>
      <c r="R215" s="36">
        <f>IF((N216=""),"",(O215-P215)/(O215+P215)*100)</f>
        <v>7.7626618482649716</v>
      </c>
      <c r="S215" s="113">
        <f>STDEV(F217:N217)</f>
        <v>310.5894404193412</v>
      </c>
      <c r="T215" s="114" t="str">
        <f>IF(N216="","",IF(R215&lt;16,IF(Q215&gt;3200,IF(R215,IF(Q215&lt;5240,"Pass","Fail"),"Fail"),"Fail")))</f>
        <v>Pass</v>
      </c>
      <c r="U215" s="117">
        <v>121</v>
      </c>
      <c r="V215" s="173"/>
      <c r="W215" s="11" t="s">
        <v>192</v>
      </c>
      <c r="X215" s="116">
        <v>4200</v>
      </c>
      <c r="Y215" s="116">
        <v>5500</v>
      </c>
      <c r="Z215" s="116">
        <v>3200</v>
      </c>
      <c r="AA215" s="116">
        <v>5240</v>
      </c>
      <c r="AB215" s="31">
        <v>16</v>
      </c>
      <c r="AC215" s="31">
        <v>16</v>
      </c>
    </row>
    <row r="216" spans="1:29" ht="12.75" customHeight="1" x14ac:dyDescent="0.3">
      <c r="A216"/>
      <c r="B216" s="32"/>
      <c r="C216" s="33"/>
      <c r="D216" s="34"/>
      <c r="E216" s="61" t="s">
        <v>187</v>
      </c>
      <c r="F216" s="11">
        <v>22801.19</v>
      </c>
      <c r="G216" s="11">
        <v>23336.3</v>
      </c>
      <c r="H216" s="11">
        <v>23526.560000000001</v>
      </c>
      <c r="I216" s="11">
        <v>23364.21</v>
      </c>
      <c r="J216" s="11">
        <v>22816.68</v>
      </c>
      <c r="K216" s="11">
        <v>22873.65</v>
      </c>
      <c r="L216" s="11">
        <v>23359.63</v>
      </c>
      <c r="M216" s="11">
        <v>23305.07</v>
      </c>
      <c r="N216" s="11">
        <v>22677.24</v>
      </c>
      <c r="O216" s="35"/>
      <c r="P216" s="35"/>
      <c r="Q216" s="36"/>
      <c r="R216" s="36"/>
      <c r="S216" s="113"/>
      <c r="T216" s="114"/>
      <c r="U216" s="117"/>
      <c r="V216" s="173"/>
      <c r="W216" s="11"/>
      <c r="X216" s="118"/>
      <c r="Y216" s="118"/>
      <c r="Z216" s="118"/>
      <c r="AA216" s="118"/>
    </row>
    <row r="217" spans="1:29" ht="23.4" thickBot="1" x14ac:dyDescent="0.35">
      <c r="A217"/>
      <c r="B217" s="37"/>
      <c r="C217" s="38"/>
      <c r="D217" s="39"/>
      <c r="E217" s="61" t="s">
        <v>188</v>
      </c>
      <c r="F217" s="40">
        <f t="shared" ref="F217:N217" si="67">IF(((F215="")*AND(F216="")),"",(F215-F216)*3)</f>
        <v>4932.7800000000061</v>
      </c>
      <c r="G217" s="40">
        <f t="shared" si="67"/>
        <v>4391.6699999999983</v>
      </c>
      <c r="H217" s="40">
        <f t="shared" si="67"/>
        <v>4341.5699999999961</v>
      </c>
      <c r="I217" s="40">
        <f t="shared" si="67"/>
        <v>4456.5300000000061</v>
      </c>
      <c r="J217" s="40">
        <f t="shared" si="67"/>
        <v>5033.4899999999943</v>
      </c>
      <c r="K217" s="40">
        <f t="shared" si="67"/>
        <v>4942.3199999999961</v>
      </c>
      <c r="L217" s="40">
        <f t="shared" si="67"/>
        <v>4434.2999999999956</v>
      </c>
      <c r="M217" s="40">
        <f t="shared" si="67"/>
        <v>4450.6200000000026</v>
      </c>
      <c r="N217" s="40">
        <f t="shared" si="67"/>
        <v>5072.3399999999965</v>
      </c>
      <c r="O217" s="41"/>
      <c r="P217" s="41"/>
      <c r="Q217" s="42"/>
      <c r="R217" s="42"/>
      <c r="S217" s="113"/>
      <c r="T217" s="119"/>
      <c r="U217" s="120"/>
      <c r="V217" s="173"/>
      <c r="W217" s="11"/>
      <c r="X217" s="118"/>
      <c r="Y217" s="118"/>
      <c r="Z217" s="118"/>
      <c r="AA217" s="118"/>
    </row>
    <row r="218" spans="1:29" ht="12.75" customHeight="1" x14ac:dyDescent="0.25">
      <c r="A218" s="188">
        <v>43215</v>
      </c>
      <c r="B218" s="215" t="s">
        <v>174</v>
      </c>
      <c r="C218" s="33" t="s">
        <v>176</v>
      </c>
      <c r="D218" s="44" t="s">
        <v>175</v>
      </c>
      <c r="E218" s="41" t="s">
        <v>186</v>
      </c>
      <c r="F218" s="11">
        <v>6818.35</v>
      </c>
      <c r="G218" s="11">
        <v>6711.59</v>
      </c>
      <c r="H218" s="11">
        <v>6816.14</v>
      </c>
      <c r="I218" s="11">
        <v>6820.52</v>
      </c>
      <c r="J218" s="11">
        <v>7000</v>
      </c>
      <c r="K218" s="11">
        <v>6902.34</v>
      </c>
      <c r="L218" s="11">
        <v>6787.37</v>
      </c>
      <c r="M218" s="11">
        <v>6806.13</v>
      </c>
      <c r="N218" s="11">
        <v>6923.55</v>
      </c>
      <c r="O218" s="35">
        <f>IF((N219=""),"",MAX(F220:N220))</f>
        <v>4007.0599999999995</v>
      </c>
      <c r="P218" s="35">
        <f>IF(N219="","",MIN(F220:N220))</f>
        <v>3733.8000000000011</v>
      </c>
      <c r="Q218" s="36">
        <f>IF((N220=""),"",AVERAGE(F220:N220))</f>
        <v>3923.4066666666672</v>
      </c>
      <c r="R218" s="36">
        <f>IF((N219=""),"",(O218-P218)/(O218+P218)*100)</f>
        <v>3.5300987228808993</v>
      </c>
      <c r="S218" s="113">
        <f>STDEV(F220:N220)</f>
        <v>91.060989452124574</v>
      </c>
      <c r="T218" s="114" t="str">
        <f>IF(N219="","",IF(Q218&gt;3650,IF(R218&lt;7,IF(Q218&lt;4450,"Pass","Fail"),"Fail"),"Fail"))</f>
        <v>Pass</v>
      </c>
      <c r="U218" s="115">
        <v>121</v>
      </c>
      <c r="V218" s="173"/>
      <c r="W218" s="11" t="s">
        <v>192</v>
      </c>
      <c r="X218" s="116">
        <v>3650</v>
      </c>
      <c r="Y218" s="116">
        <v>4450</v>
      </c>
      <c r="Z218" s="116">
        <v>3700</v>
      </c>
      <c r="AA218" s="116">
        <v>4100</v>
      </c>
      <c r="AB218" s="31">
        <v>7</v>
      </c>
      <c r="AC218" s="31">
        <v>6.5</v>
      </c>
    </row>
    <row r="219" spans="1:29" ht="12.75" customHeight="1" x14ac:dyDescent="0.3">
      <c r="A219"/>
      <c r="B219" s="43"/>
      <c r="C219" s="33"/>
      <c r="D219" s="34"/>
      <c r="E219" s="61" t="s">
        <v>187</v>
      </c>
      <c r="F219" s="11">
        <v>4882.7700000000004</v>
      </c>
      <c r="G219" s="11">
        <v>4731.0200000000004</v>
      </c>
      <c r="H219" s="11">
        <v>4820.93</v>
      </c>
      <c r="I219" s="11">
        <v>4830.8900000000003</v>
      </c>
      <c r="J219" s="11">
        <v>5082.7</v>
      </c>
      <c r="K219" s="11">
        <v>5035.4399999999996</v>
      </c>
      <c r="L219" s="11">
        <v>4804.83</v>
      </c>
      <c r="M219" s="11">
        <v>4802.6000000000004</v>
      </c>
      <c r="N219" s="11">
        <v>4939.4799999999996</v>
      </c>
      <c r="O219" s="35"/>
      <c r="P219" s="35"/>
      <c r="Q219" s="36"/>
      <c r="R219" s="36"/>
      <c r="S219" s="113"/>
      <c r="T219" s="114"/>
      <c r="U219" s="122"/>
      <c r="V219" s="174"/>
      <c r="W219" s="11"/>
      <c r="X219" s="118"/>
      <c r="Y219" s="118"/>
      <c r="Z219" s="118"/>
      <c r="AA219" s="118"/>
    </row>
    <row r="220" spans="1:29" ht="23.4" thickBot="1" x14ac:dyDescent="0.35">
      <c r="A220"/>
      <c r="B220" s="43"/>
      <c r="C220" s="33"/>
      <c r="D220" s="34"/>
      <c r="E220" s="48" t="s">
        <v>188</v>
      </c>
      <c r="F220" s="45">
        <f t="shared" ref="F220:N220" si="68">IF(((F218="")*AND(F219="")),"",(F218-F219)*2)</f>
        <v>3871.16</v>
      </c>
      <c r="G220" s="45">
        <f t="shared" si="68"/>
        <v>3961.1399999999994</v>
      </c>
      <c r="H220" s="45">
        <f t="shared" si="68"/>
        <v>3990.42</v>
      </c>
      <c r="I220" s="45">
        <f t="shared" si="68"/>
        <v>3979.26</v>
      </c>
      <c r="J220" s="45">
        <f t="shared" si="68"/>
        <v>3834.6000000000004</v>
      </c>
      <c r="K220" s="45">
        <f t="shared" si="68"/>
        <v>3733.8000000000011</v>
      </c>
      <c r="L220" s="45">
        <f t="shared" si="68"/>
        <v>3965.08</v>
      </c>
      <c r="M220" s="45">
        <f t="shared" si="68"/>
        <v>4007.0599999999995</v>
      </c>
      <c r="N220" s="45">
        <f t="shared" si="68"/>
        <v>3968.1400000000012</v>
      </c>
      <c r="O220" s="35"/>
      <c r="P220" s="35"/>
      <c r="Q220" s="36"/>
      <c r="R220" s="36"/>
      <c r="S220" s="113"/>
      <c r="T220" s="114"/>
      <c r="U220" s="122"/>
      <c r="V220" s="174"/>
      <c r="W220" s="11"/>
      <c r="X220" s="118"/>
      <c r="Y220" s="118"/>
      <c r="Z220" s="118"/>
      <c r="AA220" s="118"/>
    </row>
    <row r="221" spans="1:29" ht="12.75" customHeight="1" x14ac:dyDescent="0.25">
      <c r="A221" s="188">
        <v>43215</v>
      </c>
      <c r="B221" s="215" t="s">
        <v>169</v>
      </c>
      <c r="C221" s="47" t="s">
        <v>171</v>
      </c>
      <c r="D221" s="46" t="s">
        <v>189</v>
      </c>
      <c r="E221" s="61" t="s">
        <v>186</v>
      </c>
      <c r="F221" s="11">
        <v>1953.17</v>
      </c>
      <c r="G221" s="11">
        <v>1961.87</v>
      </c>
      <c r="H221" s="11">
        <v>1968.17</v>
      </c>
      <c r="I221" s="11">
        <v>1965.54</v>
      </c>
      <c r="J221" s="11">
        <v>1960.68</v>
      </c>
      <c r="K221" s="11">
        <v>1959.03</v>
      </c>
      <c r="L221" s="11">
        <v>1960.99</v>
      </c>
      <c r="M221" s="11">
        <v>1964.59</v>
      </c>
      <c r="N221" s="11">
        <v>1956.12</v>
      </c>
      <c r="O221" s="48">
        <f>IF((N222=""),"",MAX(F223:N223))</f>
        <v>2170.7699999999995</v>
      </c>
      <c r="P221" s="48">
        <f>IF(N222="","",MIN(F223:N223))</f>
        <v>2024.5200000000004</v>
      </c>
      <c r="Q221" s="49">
        <f>IF((N223=""),"",AVERAGE(F223:N223))</f>
        <v>2114.6733333333332</v>
      </c>
      <c r="R221" s="49">
        <f>IF((N222=""),"",(O221-P221)/(O221+P221)*100)</f>
        <v>3.4860522156990119</v>
      </c>
      <c r="S221" s="113">
        <f>STDEV(F223:N223)</f>
        <v>53.788043281011582</v>
      </c>
      <c r="T221" s="123" t="str">
        <f>IF(N222="","",IF(Q221&gt;1940,IF(R221&lt;8.3,IF(Q221&lt;2180,"Pass","Fail"),"Fail"),"Fail"))</f>
        <v>Pass</v>
      </c>
      <c r="U221" s="115">
        <v>121</v>
      </c>
      <c r="V221" s="173"/>
      <c r="W221" s="11" t="s">
        <v>192</v>
      </c>
      <c r="X221" s="116">
        <v>2000</v>
      </c>
      <c r="Y221" s="116">
        <v>3000</v>
      </c>
      <c r="Z221" s="116">
        <v>1940</v>
      </c>
      <c r="AA221" s="116">
        <v>2180</v>
      </c>
      <c r="AB221" s="31">
        <v>5.2</v>
      </c>
      <c r="AC221" s="31">
        <v>5.2</v>
      </c>
    </row>
    <row r="222" spans="1:29" ht="12.75" customHeight="1" x14ac:dyDescent="0.3">
      <c r="A222"/>
      <c r="B222" s="32"/>
      <c r="C222" s="33"/>
      <c r="D222" s="34"/>
      <c r="E222" s="61" t="s">
        <v>187</v>
      </c>
      <c r="F222" s="11">
        <v>1259.8900000000001</v>
      </c>
      <c r="G222" s="11">
        <v>1243.1300000000001</v>
      </c>
      <c r="H222" s="11">
        <v>1247.4000000000001</v>
      </c>
      <c r="I222" s="11">
        <v>1247.23</v>
      </c>
      <c r="J222" s="11">
        <v>1285.8399999999999</v>
      </c>
      <c r="K222" s="11">
        <v>1267.04</v>
      </c>
      <c r="L222" s="11">
        <v>1246.19</v>
      </c>
      <c r="M222" s="11">
        <v>1241</v>
      </c>
      <c r="N222" s="11">
        <v>1268.42</v>
      </c>
      <c r="O222" s="35"/>
      <c r="P222" s="35"/>
      <c r="Q222" s="36"/>
      <c r="R222" s="36"/>
      <c r="S222" s="113"/>
      <c r="T222" s="114"/>
      <c r="U222" s="117"/>
      <c r="V222" s="173"/>
      <c r="W222" s="11"/>
      <c r="X222" s="118"/>
      <c r="Y222" s="118"/>
      <c r="Z222" s="118"/>
      <c r="AA222" s="118"/>
    </row>
    <row r="223" spans="1:29" ht="16.2" thickBot="1" x14ac:dyDescent="0.35">
      <c r="A223"/>
      <c r="B223" s="50"/>
      <c r="C223" s="51"/>
      <c r="D223" s="52"/>
      <c r="E223" s="65" t="s">
        <v>190</v>
      </c>
      <c r="F223" s="53">
        <f t="shared" ref="F223:N223" si="69">IF(((F221="")*AND(F222="")),"",(F221-F222)*3)</f>
        <v>2079.84</v>
      </c>
      <c r="G223" s="53">
        <f t="shared" si="69"/>
        <v>2156.2199999999993</v>
      </c>
      <c r="H223" s="53">
        <f t="shared" si="69"/>
        <v>2162.31</v>
      </c>
      <c r="I223" s="53">
        <f t="shared" si="69"/>
        <v>2154.9299999999998</v>
      </c>
      <c r="J223" s="53">
        <f t="shared" si="69"/>
        <v>2024.5200000000004</v>
      </c>
      <c r="K223" s="53">
        <f t="shared" si="69"/>
        <v>2075.9700000000003</v>
      </c>
      <c r="L223" s="53">
        <f t="shared" si="69"/>
        <v>2144.3999999999996</v>
      </c>
      <c r="M223" s="53">
        <f t="shared" si="69"/>
        <v>2170.7699999999995</v>
      </c>
      <c r="N223" s="53">
        <f t="shared" si="69"/>
        <v>2063.0999999999995</v>
      </c>
      <c r="O223" s="54"/>
      <c r="P223" s="54"/>
      <c r="Q223" s="55"/>
      <c r="R223" s="55"/>
      <c r="S223" s="113"/>
      <c r="T223" s="124"/>
      <c r="U223" s="125"/>
      <c r="V223" s="173"/>
      <c r="W223" s="11"/>
      <c r="X223" s="118"/>
      <c r="Y223" s="118"/>
      <c r="Z223" s="118"/>
      <c r="AA223" s="118"/>
    </row>
    <row r="224" spans="1:29" x14ac:dyDescent="0.25">
      <c r="A224" s="188">
        <v>43220</v>
      </c>
      <c r="B224" s="216" t="s">
        <v>185</v>
      </c>
      <c r="C224" s="27" t="s">
        <v>173</v>
      </c>
      <c r="D224" s="28" t="s">
        <v>172</v>
      </c>
      <c r="E224" s="59" t="s">
        <v>186</v>
      </c>
      <c r="F224" s="11">
        <v>22737.97</v>
      </c>
      <c r="G224" s="11">
        <v>23274.84</v>
      </c>
      <c r="H224" s="11">
        <v>23468.9</v>
      </c>
      <c r="I224" s="11">
        <v>23308.87</v>
      </c>
      <c r="J224" s="11">
        <v>22755.88</v>
      </c>
      <c r="K224" s="11">
        <v>22820.27</v>
      </c>
      <c r="L224" s="11">
        <v>23307.96</v>
      </c>
      <c r="M224" s="11">
        <v>23251.09</v>
      </c>
      <c r="N224" s="11">
        <v>22613.599999999999</v>
      </c>
      <c r="O224" s="29">
        <f>IF((N225=""),"",MAX(F226:N226))</f>
        <v>4553.9100000000035</v>
      </c>
      <c r="P224" s="29">
        <f>IF(N225="","",MIN(F226:N226))</f>
        <v>3812.7600000000057</v>
      </c>
      <c r="Q224" s="30">
        <f>IF((N226=""),"",AVERAGE(F226:N226))</f>
        <v>4174.2400000000016</v>
      </c>
      <c r="R224" s="30">
        <f>IF((N225=""),"",(O224-P224)/(O224+P224)*100)</f>
        <v>8.8583630046362174</v>
      </c>
      <c r="S224" s="113">
        <f>STDEV(F226:N226)</f>
        <v>296.78276411375452</v>
      </c>
      <c r="T224" s="114" t="str">
        <f>IF(N225="","",IF(R224&lt;16,IF(Q224&gt;3200,IF(R224,IF(Q224&lt;5240,"Pass","Fail"),"Fail"),"Fail")))</f>
        <v>Pass</v>
      </c>
      <c r="U224" s="115"/>
      <c r="V224" s="173"/>
      <c r="W224" s="11"/>
      <c r="X224" s="116">
        <v>4200</v>
      </c>
      <c r="Y224" s="116">
        <v>5500</v>
      </c>
      <c r="Z224" s="116">
        <v>3200</v>
      </c>
      <c r="AA224" s="116">
        <v>5240</v>
      </c>
      <c r="AB224" s="31">
        <v>16</v>
      </c>
      <c r="AC224" s="31">
        <v>16</v>
      </c>
    </row>
    <row r="225" spans="1:29" ht="15.6" x14ac:dyDescent="0.3">
      <c r="A225"/>
      <c r="B225" s="32"/>
      <c r="C225" s="33"/>
      <c r="D225" s="34"/>
      <c r="E225" s="61" t="s">
        <v>187</v>
      </c>
      <c r="F225" s="11">
        <v>21277.71</v>
      </c>
      <c r="G225" s="11">
        <v>21963.78</v>
      </c>
      <c r="H225" s="11">
        <v>22197.98</v>
      </c>
      <c r="I225" s="11">
        <v>21980.240000000002</v>
      </c>
      <c r="J225" s="11">
        <v>21237.91</v>
      </c>
      <c r="K225" s="11">
        <v>21345.94</v>
      </c>
      <c r="L225" s="11">
        <v>21994.27</v>
      </c>
      <c r="M225" s="11">
        <v>21922.28</v>
      </c>
      <c r="N225" s="11">
        <v>21096.55</v>
      </c>
      <c r="O225" s="35"/>
      <c r="P225" s="35"/>
      <c r="Q225" s="36"/>
      <c r="R225" s="36"/>
      <c r="S225" s="113"/>
      <c r="T225" s="114"/>
      <c r="U225" s="117"/>
      <c r="V225" s="173"/>
      <c r="W225" s="11"/>
      <c r="X225" s="118"/>
      <c r="Y225" s="118"/>
      <c r="Z225" s="118"/>
      <c r="AA225" s="118"/>
    </row>
    <row r="226" spans="1:29" ht="23.4" thickBot="1" x14ac:dyDescent="0.35">
      <c r="A226"/>
      <c r="B226" s="37"/>
      <c r="C226" s="38"/>
      <c r="D226" s="39"/>
      <c r="E226" s="61" t="s">
        <v>188</v>
      </c>
      <c r="F226" s="40">
        <f t="shared" ref="F226:N226" si="70">IF(((F224="")*AND(F225="")),"",(F224-F225)*3)</f>
        <v>4380.7800000000061</v>
      </c>
      <c r="G226" s="40">
        <f t="shared" si="70"/>
        <v>3933.1800000000039</v>
      </c>
      <c r="H226" s="40">
        <f t="shared" si="70"/>
        <v>3812.7600000000057</v>
      </c>
      <c r="I226" s="40">
        <f t="shared" si="70"/>
        <v>3985.8899999999921</v>
      </c>
      <c r="J226" s="40">
        <f t="shared" si="70"/>
        <v>4553.9100000000035</v>
      </c>
      <c r="K226" s="40">
        <f t="shared" si="70"/>
        <v>4422.9900000000052</v>
      </c>
      <c r="L226" s="40">
        <f t="shared" si="70"/>
        <v>3941.0699999999961</v>
      </c>
      <c r="M226" s="40">
        <f t="shared" si="70"/>
        <v>3986.4300000000039</v>
      </c>
      <c r="N226" s="40">
        <f t="shared" si="70"/>
        <v>4551.1499999999978</v>
      </c>
      <c r="O226" s="41"/>
      <c r="P226" s="41"/>
      <c r="Q226" s="42"/>
      <c r="R226" s="42"/>
      <c r="S226" s="113"/>
      <c r="T226" s="119"/>
      <c r="U226" s="120"/>
      <c r="V226" s="173"/>
      <c r="W226" s="11"/>
      <c r="X226" s="118"/>
      <c r="Y226" s="118"/>
      <c r="Z226" s="118"/>
      <c r="AA226" s="118"/>
    </row>
    <row r="227" spans="1:29" x14ac:dyDescent="0.25">
      <c r="A227" s="188">
        <v>43220</v>
      </c>
      <c r="B227" s="215" t="s">
        <v>174</v>
      </c>
      <c r="C227" s="33" t="s">
        <v>176</v>
      </c>
      <c r="D227" s="44" t="s">
        <v>175</v>
      </c>
      <c r="E227" s="41" t="s">
        <v>186</v>
      </c>
      <c r="F227" s="11">
        <v>6674.81</v>
      </c>
      <c r="G227" s="11">
        <v>6695.13</v>
      </c>
      <c r="H227" s="11">
        <v>6763.6</v>
      </c>
      <c r="I227" s="11">
        <v>6743.99</v>
      </c>
      <c r="J227" s="11">
        <v>6820.87</v>
      </c>
      <c r="K227" s="11">
        <v>6722.84</v>
      </c>
      <c r="L227" s="11">
        <v>6742.74</v>
      </c>
      <c r="M227" s="11">
        <v>6738.08</v>
      </c>
      <c r="N227" s="11">
        <v>6788.84</v>
      </c>
      <c r="O227" s="35">
        <f>IF((N228=""),"",MAX(F229:N229))</f>
        <v>3988.2800000000007</v>
      </c>
      <c r="P227" s="35">
        <f>IF(N228="","",MIN(F229:N229))</f>
        <v>3749.24</v>
      </c>
      <c r="Q227" s="36">
        <f>IF((N229=""),"",AVERAGE(F229:N229))</f>
        <v>3923.5422222222228</v>
      </c>
      <c r="R227" s="36">
        <f>IF((N228=""),"",(O227-P227)/(O227+P227)*100)</f>
        <v>3.0893619661080147</v>
      </c>
      <c r="S227" s="113">
        <f>STDEV(F229:N229)</f>
        <v>79.444793060618181</v>
      </c>
      <c r="T227" s="114" t="str">
        <f>IF(N228="","",IF(Q227&gt;3650,IF(R227&lt;7,IF(Q227&lt;4450,"Pass","Fail"),"Fail"),"Fail"))</f>
        <v>Pass</v>
      </c>
      <c r="U227" s="115"/>
      <c r="V227" s="173"/>
      <c r="W227" s="11"/>
      <c r="X227" s="116">
        <v>3650</v>
      </c>
      <c r="Y227" s="116">
        <v>4450</v>
      </c>
      <c r="Z227" s="116">
        <v>3700</v>
      </c>
      <c r="AA227" s="116">
        <v>4100</v>
      </c>
      <c r="AB227" s="31">
        <v>7</v>
      </c>
      <c r="AC227" s="31">
        <v>6.5</v>
      </c>
    </row>
    <row r="228" spans="1:29" ht="15.6" x14ac:dyDescent="0.3">
      <c r="A228"/>
      <c r="B228" s="43"/>
      <c r="C228" s="33"/>
      <c r="D228" s="34"/>
      <c r="E228" s="61" t="s">
        <v>187</v>
      </c>
      <c r="F228" s="11">
        <v>4749.42</v>
      </c>
      <c r="G228" s="11">
        <v>4718.3100000000004</v>
      </c>
      <c r="H228" s="11">
        <v>4771.46</v>
      </c>
      <c r="I228" s="11">
        <v>4756.41</v>
      </c>
      <c r="J228" s="11">
        <v>4873.6499999999996</v>
      </c>
      <c r="K228" s="11">
        <v>4848.22</v>
      </c>
      <c r="L228" s="11">
        <v>4759.54</v>
      </c>
      <c r="M228" s="11">
        <v>4743.9399999999996</v>
      </c>
      <c r="N228" s="11">
        <v>4814.01</v>
      </c>
      <c r="O228" s="35"/>
      <c r="P228" s="35"/>
      <c r="Q228" s="36"/>
      <c r="R228" s="36"/>
      <c r="S228" s="113"/>
      <c r="T228" s="114"/>
      <c r="U228" s="122"/>
      <c r="V228" s="174"/>
      <c r="W228" s="11"/>
      <c r="X228" s="118"/>
      <c r="Y228" s="118"/>
      <c r="Z228" s="118"/>
      <c r="AA228" s="118"/>
    </row>
    <row r="229" spans="1:29" ht="23.4" thickBot="1" x14ac:dyDescent="0.35">
      <c r="A229"/>
      <c r="B229" s="43"/>
      <c r="C229" s="33"/>
      <c r="D229" s="34"/>
      <c r="E229" s="48" t="s">
        <v>188</v>
      </c>
      <c r="F229" s="45">
        <f t="shared" ref="F229:N229" si="71">IF(((F227="")*AND(F228="")),"",(F227-F228)*2)</f>
        <v>3850.7800000000007</v>
      </c>
      <c r="G229" s="45">
        <f t="shared" si="71"/>
        <v>3953.6399999999994</v>
      </c>
      <c r="H229" s="45">
        <f t="shared" si="71"/>
        <v>3984.2800000000007</v>
      </c>
      <c r="I229" s="45">
        <f t="shared" si="71"/>
        <v>3975.16</v>
      </c>
      <c r="J229" s="45">
        <f t="shared" si="71"/>
        <v>3894.4400000000005</v>
      </c>
      <c r="K229" s="45">
        <f t="shared" si="71"/>
        <v>3749.24</v>
      </c>
      <c r="L229" s="45">
        <f t="shared" si="71"/>
        <v>3966.3999999999996</v>
      </c>
      <c r="M229" s="45">
        <f t="shared" si="71"/>
        <v>3988.2800000000007</v>
      </c>
      <c r="N229" s="45">
        <f t="shared" si="71"/>
        <v>3949.66</v>
      </c>
      <c r="O229" s="35"/>
      <c r="P229" s="35"/>
      <c r="Q229" s="36"/>
      <c r="R229" s="36"/>
      <c r="S229" s="113"/>
      <c r="T229" s="114"/>
      <c r="U229" s="122"/>
      <c r="V229" s="174"/>
      <c r="W229" s="11"/>
      <c r="X229" s="118"/>
      <c r="Y229" s="118"/>
      <c r="Z229" s="118"/>
      <c r="AA229" s="118"/>
    </row>
    <row r="230" spans="1:29" x14ac:dyDescent="0.25">
      <c r="A230" s="188">
        <v>43220</v>
      </c>
      <c r="B230" s="215" t="s">
        <v>169</v>
      </c>
      <c r="C230" s="47" t="s">
        <v>171</v>
      </c>
      <c r="D230" s="46" t="s">
        <v>189</v>
      </c>
      <c r="E230" s="61" t="s">
        <v>186</v>
      </c>
      <c r="F230" s="11">
        <v>1897.29</v>
      </c>
      <c r="G230" s="11">
        <v>1920.05</v>
      </c>
      <c r="H230" s="11">
        <v>1919.57</v>
      </c>
      <c r="I230" s="11">
        <v>1919.92</v>
      </c>
      <c r="J230" s="11">
        <v>1916</v>
      </c>
      <c r="K230" s="11">
        <v>1912.88</v>
      </c>
      <c r="L230" s="11">
        <v>1916.93</v>
      </c>
      <c r="M230" s="11">
        <v>1918.73</v>
      </c>
      <c r="N230" s="11">
        <v>1911.24</v>
      </c>
      <c r="O230" s="48">
        <f>IF((N231=""),"",MAX(F232:N232))</f>
        <v>2085.1499999999996</v>
      </c>
      <c r="P230" s="48">
        <f>IF(N231="","",MIN(F232:N232))</f>
        <v>1957.9500000000003</v>
      </c>
      <c r="Q230" s="49">
        <f>IF((N232=""),"",AVERAGE(F232:N232))</f>
        <v>2029.7066666666667</v>
      </c>
      <c r="R230" s="49">
        <f>IF((N231=""),"",(O230-P230)/(O230+P230)*100)</f>
        <v>3.1461007642650287</v>
      </c>
      <c r="S230" s="113">
        <f>STDEV(F232:N232)</f>
        <v>50.587874041117665</v>
      </c>
      <c r="T230" s="123" t="str">
        <f>IF(N231="","",IF(Q230&gt;1940,IF(R230&lt;8.3,IF(Q230&lt;2180,"Pass","Fail"),"Fail"),"Fail"))</f>
        <v>Pass</v>
      </c>
      <c r="U230" s="115"/>
      <c r="V230" s="173"/>
      <c r="W230" s="11"/>
      <c r="X230" s="116">
        <v>2000</v>
      </c>
      <c r="Y230" s="116">
        <v>3000</v>
      </c>
      <c r="Z230" s="116">
        <v>1940</v>
      </c>
      <c r="AA230" s="116">
        <v>2180</v>
      </c>
      <c r="AB230" s="31">
        <v>5.2</v>
      </c>
      <c r="AC230" s="31">
        <v>5.2</v>
      </c>
    </row>
    <row r="231" spans="1:29" ht="15.6" x14ac:dyDescent="0.3">
      <c r="A231"/>
      <c r="B231" s="32"/>
      <c r="C231" s="33"/>
      <c r="D231" s="34"/>
      <c r="E231" s="61" t="s">
        <v>187</v>
      </c>
      <c r="F231" s="11">
        <v>1241.96</v>
      </c>
      <c r="G231" s="11">
        <v>1228.18</v>
      </c>
      <c r="H231" s="11">
        <v>1231.18</v>
      </c>
      <c r="I231" s="11">
        <v>1228.48</v>
      </c>
      <c r="J231" s="11">
        <v>1263.3499999999999</v>
      </c>
      <c r="K231" s="11">
        <v>1252.19</v>
      </c>
      <c r="L231" s="11">
        <v>1234.48</v>
      </c>
      <c r="M231" s="11">
        <v>1223.68</v>
      </c>
      <c r="N231" s="11">
        <v>1239.99</v>
      </c>
      <c r="O231" s="35"/>
      <c r="P231" s="35"/>
      <c r="Q231" s="36"/>
      <c r="R231" s="36"/>
      <c r="S231" s="113"/>
      <c r="T231" s="114"/>
      <c r="U231" s="117"/>
      <c r="V231" s="173"/>
      <c r="W231" s="11"/>
      <c r="X231" s="118"/>
      <c r="Y231" s="118"/>
      <c r="Z231" s="118"/>
      <c r="AA231" s="118"/>
    </row>
    <row r="232" spans="1:29" ht="16.2" thickBot="1" x14ac:dyDescent="0.35">
      <c r="A232"/>
      <c r="B232" s="50"/>
      <c r="C232" s="51"/>
      <c r="D232" s="52"/>
      <c r="E232" s="65" t="s">
        <v>190</v>
      </c>
      <c r="F232" s="53">
        <f t="shared" ref="F232:N232" si="72">IF(((F230="")*AND(F231="")),"",(F230-F231)*3)</f>
        <v>1965.9899999999998</v>
      </c>
      <c r="G232" s="53">
        <f t="shared" si="72"/>
        <v>2075.6099999999997</v>
      </c>
      <c r="H232" s="53">
        <f t="shared" si="72"/>
        <v>2065.1699999999996</v>
      </c>
      <c r="I232" s="53">
        <f t="shared" si="72"/>
        <v>2074.3200000000002</v>
      </c>
      <c r="J232" s="53">
        <f t="shared" si="72"/>
        <v>1957.9500000000003</v>
      </c>
      <c r="K232" s="53">
        <f t="shared" si="72"/>
        <v>1982.0700000000002</v>
      </c>
      <c r="L232" s="53">
        <f t="shared" si="72"/>
        <v>2047.3500000000001</v>
      </c>
      <c r="M232" s="53">
        <f t="shared" si="72"/>
        <v>2085.1499999999996</v>
      </c>
      <c r="N232" s="53">
        <f t="shared" si="72"/>
        <v>2013.75</v>
      </c>
      <c r="O232" s="54"/>
      <c r="P232" s="54"/>
      <c r="Q232" s="55"/>
      <c r="R232" s="55"/>
      <c r="S232" s="113"/>
      <c r="T232" s="124"/>
      <c r="U232" s="125"/>
      <c r="V232" s="173"/>
      <c r="W232" s="11"/>
      <c r="X232" s="118"/>
      <c r="Y232" s="118"/>
      <c r="Z232" s="118"/>
      <c r="AA232" s="118"/>
    </row>
    <row r="233" spans="1:29" x14ac:dyDescent="0.25">
      <c r="A233" s="206">
        <v>43224</v>
      </c>
      <c r="B233" s="216" t="s">
        <v>185</v>
      </c>
      <c r="C233" s="27" t="s">
        <v>173</v>
      </c>
      <c r="D233" s="28" t="s">
        <v>172</v>
      </c>
      <c r="E233" s="59" t="s">
        <v>186</v>
      </c>
      <c r="F233" s="11">
        <v>29190.7</v>
      </c>
      <c r="G233" s="11">
        <v>29031.79</v>
      </c>
      <c r="H233" s="11">
        <v>29008.53</v>
      </c>
      <c r="I233" s="11">
        <v>29033.75</v>
      </c>
      <c r="J233" s="11">
        <v>29265</v>
      </c>
      <c r="K233" s="11">
        <v>29159.42</v>
      </c>
      <c r="L233" s="11">
        <v>29014.240000000002</v>
      </c>
      <c r="M233" s="11">
        <v>29035.48</v>
      </c>
      <c r="N233" s="11">
        <v>29277.88</v>
      </c>
      <c r="O233" s="29">
        <f>IF((N234=""),"",MAX(F235:N235))</f>
        <v>4659.3900000000031</v>
      </c>
      <c r="P233" s="29">
        <f>IF(N234="","",MIN(F235:N235))</f>
        <v>4019.3100000000013</v>
      </c>
      <c r="Q233" s="30">
        <f>IF((N235=""),"",AVERAGE(F235:N235))</f>
        <v>4294.1966666666667</v>
      </c>
      <c r="R233" s="30">
        <f>IF((N234=""),"",(O233-P233)/(O233+P233)*100)</f>
        <v>7.3752981437312206</v>
      </c>
      <c r="S233" s="113">
        <f>STDEV(F235:N235)</f>
        <v>254.34448573735693</v>
      </c>
      <c r="T233" s="114" t="str">
        <f>IF(N234="","",IF(R233&lt;16,IF(Q233&gt;3200,IF(R233,IF(Q233&lt;5240,"Pass","Fail"),"Fail"),"Fail")))</f>
        <v>Pass</v>
      </c>
      <c r="U233" s="115">
        <v>1159</v>
      </c>
      <c r="V233" s="11" t="s">
        <v>193</v>
      </c>
      <c r="X233" s="116">
        <v>4200</v>
      </c>
      <c r="Y233" s="116">
        <v>5500</v>
      </c>
      <c r="Z233" s="116">
        <v>3200</v>
      </c>
      <c r="AA233" s="116">
        <v>5240</v>
      </c>
      <c r="AB233" s="31">
        <v>16</v>
      </c>
      <c r="AC233" s="31">
        <v>16</v>
      </c>
    </row>
    <row r="234" spans="1:29" ht="15.6" x14ac:dyDescent="0.3">
      <c r="A234"/>
      <c r="B234" s="32"/>
      <c r="C234" s="33"/>
      <c r="D234" s="34"/>
      <c r="E234" s="61" t="s">
        <v>187</v>
      </c>
      <c r="F234" s="11">
        <v>27652.35</v>
      </c>
      <c r="G234" s="11">
        <v>27640</v>
      </c>
      <c r="H234" s="11">
        <v>27668.76</v>
      </c>
      <c r="I234" s="11">
        <v>27683.24</v>
      </c>
      <c r="J234" s="11">
        <v>27778.5</v>
      </c>
      <c r="K234" s="11">
        <v>27671.29</v>
      </c>
      <c r="L234" s="11">
        <v>27658.04</v>
      </c>
      <c r="M234" s="11">
        <v>27657.27</v>
      </c>
      <c r="N234" s="11">
        <v>27724.75</v>
      </c>
      <c r="O234" s="35"/>
      <c r="P234" s="35"/>
      <c r="Q234" s="36"/>
      <c r="R234" s="36"/>
      <c r="S234" s="113"/>
      <c r="T234" s="114"/>
      <c r="U234" s="117"/>
      <c r="X234" s="118"/>
      <c r="Y234" s="118"/>
      <c r="Z234" s="118"/>
      <c r="AA234" s="118"/>
    </row>
    <row r="235" spans="1:29" ht="23.4" thickBot="1" x14ac:dyDescent="0.35">
      <c r="A235"/>
      <c r="B235" s="37"/>
      <c r="C235" s="38"/>
      <c r="D235" s="39"/>
      <c r="E235" s="61" t="s">
        <v>188</v>
      </c>
      <c r="F235" s="40">
        <f t="shared" ref="F235:N235" si="73">IF(((F233="")*AND(F234="")),"",(F233-F234)*3)</f>
        <v>4615.0500000000065</v>
      </c>
      <c r="G235" s="40">
        <f t="shared" si="73"/>
        <v>4175.3700000000026</v>
      </c>
      <c r="H235" s="40">
        <f t="shared" si="73"/>
        <v>4019.3100000000013</v>
      </c>
      <c r="I235" s="40">
        <f t="shared" si="73"/>
        <v>4051.5299999999952</v>
      </c>
      <c r="J235" s="40">
        <f t="shared" si="73"/>
        <v>4459.5</v>
      </c>
      <c r="K235" s="40">
        <f t="shared" si="73"/>
        <v>4464.3899999999921</v>
      </c>
      <c r="L235" s="40">
        <f t="shared" si="73"/>
        <v>4068.6000000000022</v>
      </c>
      <c r="M235" s="40">
        <f t="shared" si="73"/>
        <v>4134.6299999999974</v>
      </c>
      <c r="N235" s="40">
        <f t="shared" si="73"/>
        <v>4659.3900000000031</v>
      </c>
      <c r="O235" s="41"/>
      <c r="P235" s="41"/>
      <c r="Q235" s="42"/>
      <c r="R235" s="42"/>
      <c r="S235" s="113"/>
      <c r="T235" s="119"/>
      <c r="U235" s="120"/>
      <c r="X235" s="118"/>
      <c r="Y235" s="118"/>
      <c r="Z235" s="118"/>
      <c r="AA235" s="118"/>
    </row>
    <row r="236" spans="1:29" x14ac:dyDescent="0.25">
      <c r="A236" s="206">
        <v>43224</v>
      </c>
      <c r="B236" s="215" t="s">
        <v>174</v>
      </c>
      <c r="C236" s="33" t="s">
        <v>176</v>
      </c>
      <c r="D236" s="44" t="s">
        <v>175</v>
      </c>
      <c r="E236" s="41" t="s">
        <v>186</v>
      </c>
      <c r="F236" s="11">
        <v>4766.8500000000004</v>
      </c>
      <c r="G236" s="11">
        <v>4736.25</v>
      </c>
      <c r="H236" s="11">
        <v>4787.97</v>
      </c>
      <c r="I236" s="11">
        <v>4773.7299999999996</v>
      </c>
      <c r="J236" s="11">
        <v>4884.82</v>
      </c>
      <c r="K236" s="11">
        <v>4861.59</v>
      </c>
      <c r="L236" s="11">
        <v>4776.5200000000004</v>
      </c>
      <c r="M236" s="11">
        <v>4761.55</v>
      </c>
      <c r="N236" s="11">
        <v>4829.58</v>
      </c>
      <c r="O236" s="35">
        <f>IF((N237=""),"",MAX(F238:N238))</f>
        <v>4054.88</v>
      </c>
      <c r="P236" s="35">
        <f>IF(N237="","",MIN(F238:N238))</f>
        <v>3749.9000000000005</v>
      </c>
      <c r="Q236" s="36">
        <f>IF((N238=""),"",AVERAGE(F238:N238))</f>
        <v>3960.9333333333343</v>
      </c>
      <c r="R236" s="36">
        <f>IF((N237=""),"",(O236-P236)/(O236+P236)*100)</f>
        <v>3.9076053392920689</v>
      </c>
      <c r="S236" s="113">
        <f>STDEV(F238:N238)</f>
        <v>103.92545742021062</v>
      </c>
      <c r="T236" s="114" t="str">
        <f>IF(N237="","",IF(Q236&gt;3650,IF(R236&lt;7,IF(Q236&lt;4450,"Pass","Fail"),"Fail"),"Fail"))</f>
        <v>Pass</v>
      </c>
      <c r="U236" s="115">
        <v>1159</v>
      </c>
      <c r="V236" s="11" t="s">
        <v>193</v>
      </c>
      <c r="X236" s="116">
        <v>3650</v>
      </c>
      <c r="Y236" s="116">
        <v>4450</v>
      </c>
      <c r="Z236" s="116">
        <v>3700</v>
      </c>
      <c r="AA236" s="116">
        <v>4100</v>
      </c>
      <c r="AB236" s="31">
        <v>7</v>
      </c>
      <c r="AC236" s="31">
        <v>6.5</v>
      </c>
    </row>
    <row r="237" spans="1:29" ht="15.6" x14ac:dyDescent="0.3">
      <c r="A237"/>
      <c r="B237" s="43"/>
      <c r="C237" s="33"/>
      <c r="D237" s="34"/>
      <c r="E237" s="61" t="s">
        <v>187</v>
      </c>
      <c r="F237" s="11">
        <v>2827.07</v>
      </c>
      <c r="G237" s="11">
        <v>2727.89</v>
      </c>
      <c r="H237" s="11">
        <v>2767.06</v>
      </c>
      <c r="I237" s="11">
        <v>2756.47</v>
      </c>
      <c r="J237" s="11">
        <v>2946.76</v>
      </c>
      <c r="K237" s="11">
        <v>2986.64</v>
      </c>
      <c r="L237" s="11">
        <v>2764.14</v>
      </c>
      <c r="M237" s="11">
        <v>2734.11</v>
      </c>
      <c r="N237" s="11">
        <v>2844.52</v>
      </c>
      <c r="O237" s="35"/>
      <c r="P237" s="35"/>
      <c r="Q237" s="36"/>
      <c r="R237" s="36"/>
      <c r="S237" s="113"/>
      <c r="T237" s="114"/>
      <c r="U237" s="122"/>
      <c r="X237" s="118"/>
      <c r="Y237" s="118"/>
      <c r="Z237" s="118"/>
      <c r="AA237" s="118"/>
    </row>
    <row r="238" spans="1:29" ht="23.4" thickBot="1" x14ac:dyDescent="0.35">
      <c r="A238"/>
      <c r="B238" s="43"/>
      <c r="C238" s="33"/>
      <c r="D238" s="34"/>
      <c r="E238" s="48" t="s">
        <v>188</v>
      </c>
      <c r="F238" s="45">
        <f t="shared" ref="F238:N238" si="74">IF(((F236="")*AND(F237="")),"",(F236-F237)*2)</f>
        <v>3879.5600000000004</v>
      </c>
      <c r="G238" s="45">
        <f t="shared" si="74"/>
        <v>4016.7200000000003</v>
      </c>
      <c r="H238" s="45">
        <f t="shared" si="74"/>
        <v>4041.8200000000006</v>
      </c>
      <c r="I238" s="45">
        <f t="shared" si="74"/>
        <v>4034.5199999999995</v>
      </c>
      <c r="J238" s="45">
        <f t="shared" si="74"/>
        <v>3876.119999999999</v>
      </c>
      <c r="K238" s="45">
        <f t="shared" si="74"/>
        <v>3749.9000000000005</v>
      </c>
      <c r="L238" s="45">
        <f t="shared" si="74"/>
        <v>4024.7600000000011</v>
      </c>
      <c r="M238" s="45">
        <f t="shared" si="74"/>
        <v>4054.88</v>
      </c>
      <c r="N238" s="45">
        <f t="shared" si="74"/>
        <v>3970.12</v>
      </c>
      <c r="O238" s="35"/>
      <c r="P238" s="35"/>
      <c r="Q238" s="36"/>
      <c r="R238" s="36"/>
      <c r="S238" s="113"/>
      <c r="T238" s="114"/>
      <c r="U238" s="122"/>
      <c r="X238" s="118"/>
      <c r="Y238" s="118"/>
      <c r="Z238" s="118"/>
      <c r="AA238" s="118"/>
    </row>
    <row r="239" spans="1:29" x14ac:dyDescent="0.25">
      <c r="A239" s="206">
        <v>43224</v>
      </c>
      <c r="B239" s="215" t="s">
        <v>169</v>
      </c>
      <c r="C239" s="47" t="s">
        <v>171</v>
      </c>
      <c r="D239" s="46" t="s">
        <v>189</v>
      </c>
      <c r="E239" s="61" t="s">
        <v>186</v>
      </c>
      <c r="F239" s="11">
        <v>1244.54</v>
      </c>
      <c r="G239" s="11">
        <v>1230.57</v>
      </c>
      <c r="H239" s="11">
        <v>1233.68</v>
      </c>
      <c r="I239" s="11">
        <v>1231.43</v>
      </c>
      <c r="J239" s="11">
        <v>1266.32</v>
      </c>
      <c r="K239" s="11">
        <v>1256.6099999999999</v>
      </c>
      <c r="L239" s="11">
        <v>1236.9100000000001</v>
      </c>
      <c r="M239" s="11">
        <v>1224.79</v>
      </c>
      <c r="N239" s="11">
        <v>1242.81</v>
      </c>
      <c r="O239" s="48">
        <f>IF((N240=""),"",MAX(F241:N241))</f>
        <v>2126.79</v>
      </c>
      <c r="P239" s="48">
        <f>IF(N240="","",MIN(F241:N241))</f>
        <v>1920.3899999999996</v>
      </c>
      <c r="Q239" s="49">
        <f>IF((N241=""),"",AVERAGE(F241:N241))</f>
        <v>2064.5299999999997</v>
      </c>
      <c r="R239" s="49">
        <f>IF((N240=""),"",(O239-P239)/(O239+P239)*100)</f>
        <v>5.0998473010837264</v>
      </c>
      <c r="S239" s="113">
        <f>STDEV(F241:N241)</f>
        <v>75.123369533055566</v>
      </c>
      <c r="T239" s="123" t="str">
        <f>IF(N240="","",IF(Q239&gt;1940,IF(R239&lt;8.3,IF(Q239&lt;2180,"Pass","Fail"),"Fail"),"Fail"))</f>
        <v>Pass</v>
      </c>
      <c r="U239" s="115">
        <v>1159</v>
      </c>
      <c r="V239" s="11" t="s">
        <v>193</v>
      </c>
      <c r="X239" s="116">
        <v>2000</v>
      </c>
      <c r="Y239" s="116">
        <v>3000</v>
      </c>
      <c r="Z239" s="116">
        <v>1940</v>
      </c>
      <c r="AA239" s="116">
        <v>2180</v>
      </c>
      <c r="AB239" s="31">
        <v>5.2</v>
      </c>
      <c r="AC239" s="31">
        <v>5.2</v>
      </c>
    </row>
    <row r="240" spans="1:29" ht="15.6" x14ac:dyDescent="0.3">
      <c r="A240"/>
      <c r="B240" s="32"/>
      <c r="C240" s="33"/>
      <c r="D240" s="34"/>
      <c r="E240" s="61" t="s">
        <v>187</v>
      </c>
      <c r="F240" s="11">
        <v>558.58000000000004</v>
      </c>
      <c r="G240" s="11">
        <v>521.65</v>
      </c>
      <c r="H240" s="11">
        <v>527.51</v>
      </c>
      <c r="I240" s="11">
        <v>527.63</v>
      </c>
      <c r="J240" s="11">
        <v>626.19000000000005</v>
      </c>
      <c r="K240" s="11">
        <v>599.29</v>
      </c>
      <c r="L240" s="11">
        <v>533.4</v>
      </c>
      <c r="M240" s="11">
        <v>515.86</v>
      </c>
      <c r="N240" s="11">
        <v>563.96</v>
      </c>
      <c r="O240" s="35"/>
      <c r="P240" s="35"/>
      <c r="Q240" s="36"/>
      <c r="R240" s="36"/>
      <c r="S240" s="113"/>
      <c r="T240" s="114"/>
      <c r="U240" s="117"/>
      <c r="X240" s="118"/>
      <c r="Y240" s="118"/>
      <c r="Z240" s="118"/>
      <c r="AA240" s="118"/>
    </row>
    <row r="241" spans="1:29" ht="16.2" thickBot="1" x14ac:dyDescent="0.35">
      <c r="A241"/>
      <c r="B241" s="50"/>
      <c r="C241" s="51"/>
      <c r="D241" s="52"/>
      <c r="E241" s="65" t="s">
        <v>190</v>
      </c>
      <c r="F241" s="53">
        <f t="shared" ref="F241:N241" si="75">IF(((F239="")*AND(F240="")),"",(F239-F240)*3)</f>
        <v>2057.8799999999997</v>
      </c>
      <c r="G241" s="53">
        <f t="shared" si="75"/>
        <v>2126.7599999999998</v>
      </c>
      <c r="H241" s="53">
        <f t="shared" si="75"/>
        <v>2118.5100000000002</v>
      </c>
      <c r="I241" s="53">
        <f t="shared" si="75"/>
        <v>2111.4</v>
      </c>
      <c r="J241" s="53">
        <f t="shared" si="75"/>
        <v>1920.3899999999996</v>
      </c>
      <c r="K241" s="53">
        <f t="shared" si="75"/>
        <v>1971.9599999999998</v>
      </c>
      <c r="L241" s="53">
        <f t="shared" si="75"/>
        <v>2110.5300000000002</v>
      </c>
      <c r="M241" s="53">
        <f t="shared" si="75"/>
        <v>2126.79</v>
      </c>
      <c r="N241" s="53">
        <f t="shared" si="75"/>
        <v>2036.5499999999997</v>
      </c>
      <c r="O241" s="54"/>
      <c r="P241" s="54"/>
      <c r="Q241" s="55"/>
      <c r="R241" s="55"/>
      <c r="S241" s="113"/>
      <c r="T241" s="124"/>
      <c r="U241" s="125"/>
      <c r="X241" s="118"/>
      <c r="Y241" s="118"/>
      <c r="Z241" s="118"/>
      <c r="AA241" s="118"/>
    </row>
    <row r="242" spans="1:29" x14ac:dyDescent="0.25">
      <c r="A242" s="206">
        <v>43227</v>
      </c>
      <c r="B242" s="216" t="s">
        <v>185</v>
      </c>
      <c r="C242" s="27" t="s">
        <v>173</v>
      </c>
      <c r="D242" s="28" t="s">
        <v>172</v>
      </c>
      <c r="E242" s="59" t="s">
        <v>186</v>
      </c>
      <c r="F242" s="11">
        <v>29011.78</v>
      </c>
      <c r="G242" s="11">
        <v>28861.73</v>
      </c>
      <c r="H242" s="11">
        <v>28932.7</v>
      </c>
      <c r="I242" s="11">
        <v>28896.83</v>
      </c>
      <c r="J242" s="11">
        <v>29018.63</v>
      </c>
      <c r="K242" s="11">
        <v>28907.61</v>
      </c>
      <c r="L242" s="11">
        <v>28865.71</v>
      </c>
      <c r="M242" s="11">
        <v>28869.32</v>
      </c>
      <c r="N242" s="11">
        <v>29032.83</v>
      </c>
      <c r="O242" s="29">
        <f>IF((N243=""),"",MAX(F244:N244))</f>
        <v>4587.7200000000048</v>
      </c>
      <c r="P242" s="29">
        <f>IF(N243="","",MIN(F244:N244))</f>
        <v>4052.4900000000052</v>
      </c>
      <c r="Q242" s="30">
        <f>IF((N244=""),"",AVERAGE(F244:N244))</f>
        <v>4305.7266666666656</v>
      </c>
      <c r="R242" s="30">
        <f>IF((N243=""),"",(O242-P242)/(O242+P242)*100)</f>
        <v>6.1946411024731916</v>
      </c>
      <c r="S242" s="113">
        <f>STDEV(F244:N244)</f>
        <v>232.4621034168793</v>
      </c>
      <c r="T242" s="114" t="str">
        <f>IF(N243="","",IF(R242&lt;16,IF(Q242&gt;3200,IF(R242,IF(Q242&lt;5240,"Pass","Fail"),"Fail"),"Fail")))</f>
        <v>Pass</v>
      </c>
      <c r="U242" s="115" t="s">
        <v>194</v>
      </c>
      <c r="V242" s="173"/>
      <c r="W242" s="11"/>
      <c r="X242" s="116">
        <v>4200</v>
      </c>
      <c r="Y242" s="116">
        <v>5500</v>
      </c>
      <c r="Z242" s="116">
        <v>3200</v>
      </c>
      <c r="AA242" s="116">
        <v>5240</v>
      </c>
      <c r="AB242" s="31">
        <v>16</v>
      </c>
      <c r="AC242" s="31">
        <v>16</v>
      </c>
    </row>
    <row r="243" spans="1:29" ht="15.6" x14ac:dyDescent="0.3">
      <c r="A243"/>
      <c r="B243" s="32"/>
      <c r="C243" s="33"/>
      <c r="D243" s="34"/>
      <c r="E243" s="61" t="s">
        <v>187</v>
      </c>
      <c r="F243" s="11">
        <v>27522.33</v>
      </c>
      <c r="G243" s="11">
        <v>27485.74</v>
      </c>
      <c r="H243" s="11">
        <v>27581.87</v>
      </c>
      <c r="I243" s="11">
        <v>27513.33</v>
      </c>
      <c r="J243" s="11">
        <v>27504.86</v>
      </c>
      <c r="K243" s="11">
        <v>27380.58</v>
      </c>
      <c r="L243" s="11">
        <v>27472.32</v>
      </c>
      <c r="M243" s="11">
        <v>27515.34</v>
      </c>
      <c r="N243" s="11">
        <v>27503.59</v>
      </c>
      <c r="O243" s="35"/>
      <c r="P243" s="35"/>
      <c r="Q243" s="36"/>
      <c r="R243" s="36"/>
      <c r="S243" s="113"/>
      <c r="T243" s="114"/>
      <c r="U243" s="117"/>
      <c r="V243" s="173"/>
      <c r="W243" s="11"/>
      <c r="X243" s="118"/>
      <c r="Y243" s="118"/>
      <c r="Z243" s="118"/>
      <c r="AA243" s="118"/>
    </row>
    <row r="244" spans="1:29" ht="23.4" thickBot="1" x14ac:dyDescent="0.35">
      <c r="A244"/>
      <c r="B244" s="37"/>
      <c r="C244" s="38"/>
      <c r="D244" s="39"/>
      <c r="E244" s="61" t="s">
        <v>188</v>
      </c>
      <c r="F244" s="40">
        <f t="shared" ref="F244:N244" si="76">IF(((F242="")*AND(F243="")),"",(F242-F243)*3)</f>
        <v>4468.3499999999913</v>
      </c>
      <c r="G244" s="40">
        <f t="shared" si="76"/>
        <v>4127.9699999999939</v>
      </c>
      <c r="H244" s="40">
        <f t="shared" si="76"/>
        <v>4052.4900000000052</v>
      </c>
      <c r="I244" s="40">
        <f t="shared" si="76"/>
        <v>4150.5</v>
      </c>
      <c r="J244" s="40">
        <f t="shared" si="76"/>
        <v>4541.3100000000013</v>
      </c>
      <c r="K244" s="40">
        <f t="shared" si="76"/>
        <v>4581.0899999999965</v>
      </c>
      <c r="L244" s="40">
        <f t="shared" si="76"/>
        <v>4180.1699999999983</v>
      </c>
      <c r="M244" s="40">
        <f t="shared" si="76"/>
        <v>4061.9399999999987</v>
      </c>
      <c r="N244" s="40">
        <f t="shared" si="76"/>
        <v>4587.7200000000048</v>
      </c>
      <c r="O244" s="41"/>
      <c r="P244" s="41"/>
      <c r="Q244" s="42"/>
      <c r="R244" s="42"/>
      <c r="S244" s="134"/>
      <c r="T244" s="119"/>
      <c r="U244" s="120"/>
      <c r="V244" s="173"/>
      <c r="W244" s="11"/>
      <c r="X244" s="118"/>
      <c r="Y244" s="118"/>
      <c r="Z244" s="118"/>
      <c r="AA244" s="118"/>
    </row>
    <row r="245" spans="1:29" x14ac:dyDescent="0.25">
      <c r="A245" s="206">
        <v>43227</v>
      </c>
      <c r="B245" s="215" t="s">
        <v>174</v>
      </c>
      <c r="C245" s="33" t="s">
        <v>176</v>
      </c>
      <c r="D245" s="44" t="s">
        <v>175</v>
      </c>
      <c r="E245" s="41" t="s">
        <v>186</v>
      </c>
      <c r="F245" s="11">
        <v>6822.34</v>
      </c>
      <c r="G245" s="11">
        <v>6816.37</v>
      </c>
      <c r="H245" s="11">
        <v>6884.97</v>
      </c>
      <c r="I245" s="11">
        <v>6861.31</v>
      </c>
      <c r="J245" s="11">
        <v>6992.8</v>
      </c>
      <c r="K245" s="11">
        <v>6904.45</v>
      </c>
      <c r="L245" s="11">
        <v>6865.48</v>
      </c>
      <c r="M245" s="11">
        <v>6856.36</v>
      </c>
      <c r="N245" s="11">
        <v>6941.24</v>
      </c>
      <c r="O245" s="35">
        <f>IF((N246=""),"",MAX(F247:N247))</f>
        <v>4057.6799999999985</v>
      </c>
      <c r="P245" s="35">
        <f>IF(N246="","",MIN(F247:N247))</f>
        <v>3767.0399999999991</v>
      </c>
      <c r="Q245" s="36">
        <f>IF((N247=""),"",AVERAGE(F247:N247))</f>
        <v>3966.8777777777786</v>
      </c>
      <c r="R245" s="36">
        <f>IF((N246=""),"",(O245-P245)/(O245+P245)*100)</f>
        <v>3.7143821120755698</v>
      </c>
      <c r="S245" s="113">
        <f>STDEV(F247:N247)</f>
        <v>96.126456527037547</v>
      </c>
      <c r="T245" s="114" t="str">
        <f>IF(N246="","",IF(Q245&gt;3650,IF(R245&lt;7,IF(Q245&lt;4450,"Pass","Fail"),"Fail"),"Fail"))</f>
        <v>Pass</v>
      </c>
      <c r="U245" s="115"/>
      <c r="V245" s="173"/>
      <c r="W245" s="11"/>
      <c r="X245" s="116">
        <v>3650</v>
      </c>
      <c r="Y245" s="116">
        <v>4450</v>
      </c>
      <c r="Z245" s="116">
        <v>3700</v>
      </c>
      <c r="AA245" s="116">
        <v>4100</v>
      </c>
      <c r="AB245" s="31">
        <v>7</v>
      </c>
      <c r="AC245" s="31">
        <v>6.5</v>
      </c>
    </row>
    <row r="246" spans="1:29" ht="15.6" x14ac:dyDescent="0.3">
      <c r="A246"/>
      <c r="B246" s="43"/>
      <c r="C246" s="33"/>
      <c r="D246" s="34"/>
      <c r="E246" s="61" t="s">
        <v>187</v>
      </c>
      <c r="F246" s="11">
        <v>4878.49</v>
      </c>
      <c r="G246" s="11">
        <v>4812.32</v>
      </c>
      <c r="H246" s="11">
        <v>4862.92</v>
      </c>
      <c r="I246" s="11">
        <v>4848.26</v>
      </c>
      <c r="J246" s="11">
        <v>5044.38</v>
      </c>
      <c r="K246" s="11">
        <v>5020.93</v>
      </c>
      <c r="L246" s="11">
        <v>4857.55</v>
      </c>
      <c r="M246" s="11">
        <v>4827.5200000000004</v>
      </c>
      <c r="N246" s="11">
        <v>4942</v>
      </c>
      <c r="O246" s="35"/>
      <c r="P246" s="35"/>
      <c r="Q246" s="36"/>
      <c r="R246" s="36"/>
      <c r="S246" s="113"/>
      <c r="T246" s="114"/>
      <c r="U246" s="122" t="s">
        <v>194</v>
      </c>
      <c r="V246" s="174"/>
      <c r="W246" s="11"/>
      <c r="X246" s="118"/>
      <c r="Y246" s="118"/>
      <c r="Z246" s="118"/>
      <c r="AA246" s="118"/>
    </row>
    <row r="247" spans="1:29" ht="23.4" thickBot="1" x14ac:dyDescent="0.35">
      <c r="A247"/>
      <c r="B247" s="43"/>
      <c r="C247" s="33"/>
      <c r="D247" s="34"/>
      <c r="E247" s="48" t="s">
        <v>188</v>
      </c>
      <c r="F247" s="45">
        <f t="shared" ref="F247:N247" si="77">IF(((F245="")*AND(F246="")),"",(F245-F246)*2)</f>
        <v>3887.7000000000007</v>
      </c>
      <c r="G247" s="45">
        <f t="shared" si="77"/>
        <v>4008.1000000000004</v>
      </c>
      <c r="H247" s="45">
        <f t="shared" si="77"/>
        <v>4044.1000000000004</v>
      </c>
      <c r="I247" s="45">
        <f t="shared" si="77"/>
        <v>4026.1000000000004</v>
      </c>
      <c r="J247" s="45">
        <f t="shared" si="77"/>
        <v>3896.84</v>
      </c>
      <c r="K247" s="45">
        <f t="shared" si="77"/>
        <v>3767.0399999999991</v>
      </c>
      <c r="L247" s="45">
        <f t="shared" si="77"/>
        <v>4015.8599999999988</v>
      </c>
      <c r="M247" s="45">
        <f t="shared" si="77"/>
        <v>4057.6799999999985</v>
      </c>
      <c r="N247" s="45">
        <f t="shared" si="77"/>
        <v>3998.4799999999996</v>
      </c>
      <c r="O247" s="35"/>
      <c r="P247" s="35"/>
      <c r="Q247" s="36"/>
      <c r="R247" s="36"/>
      <c r="S247" s="113"/>
      <c r="T247" s="114"/>
      <c r="U247" s="122"/>
      <c r="V247" s="174"/>
      <c r="W247" s="11"/>
      <c r="X247" s="118"/>
      <c r="Y247" s="118"/>
      <c r="Z247" s="118"/>
      <c r="AA247" s="118"/>
    </row>
    <row r="248" spans="1:29" x14ac:dyDescent="0.25">
      <c r="A248" s="206">
        <v>43227</v>
      </c>
      <c r="B248" s="215" t="s">
        <v>169</v>
      </c>
      <c r="C248" s="47" t="s">
        <v>171</v>
      </c>
      <c r="D248" s="46" t="s">
        <v>189</v>
      </c>
      <c r="E248" s="61" t="s">
        <v>186</v>
      </c>
      <c r="F248" s="11">
        <v>1933.24</v>
      </c>
      <c r="G248" s="11">
        <v>1938.35</v>
      </c>
      <c r="H248" s="11">
        <v>1944.65</v>
      </c>
      <c r="I248" s="11">
        <v>1940.78</v>
      </c>
      <c r="J248" s="11">
        <v>1937.24</v>
      </c>
      <c r="K248" s="11">
        <v>1934.04</v>
      </c>
      <c r="L248" s="11">
        <v>1940.9</v>
      </c>
      <c r="M248" s="11">
        <v>1940.78</v>
      </c>
      <c r="N248" s="11">
        <v>1937.57</v>
      </c>
      <c r="O248" s="48">
        <f>IF((N249=""),"",MAX(F250:N250))</f>
        <v>2113.6799999999998</v>
      </c>
      <c r="P248" s="48">
        <f>IF(N249="","",MIN(F250:N250))</f>
        <v>1944.06</v>
      </c>
      <c r="Q248" s="49">
        <f>IF((N250=""),"",AVERAGE(F250:N250))</f>
        <v>2050.2133333333331</v>
      </c>
      <c r="R248" s="49">
        <f>IF((N249=""),"",(O248-P248)/(O248+P248)*100)</f>
        <v>4.1801593990743591</v>
      </c>
      <c r="S248" s="113">
        <f>STDEV(F250:N250)</f>
        <v>65.841542926939397</v>
      </c>
      <c r="T248" s="123" t="str">
        <f>IF(N249="","",IF(Q248&gt;1940,IF(R248&lt;8.3,IF(Q248&lt;2180,"Pass","Fail"),"Fail"),"Fail"))</f>
        <v>Pass</v>
      </c>
      <c r="U248" s="115"/>
      <c r="V248" s="173"/>
      <c r="W248" s="11"/>
      <c r="X248" s="116">
        <v>2000</v>
      </c>
      <c r="Y248" s="116">
        <v>3000</v>
      </c>
      <c r="Z248" s="116">
        <v>1940</v>
      </c>
      <c r="AA248" s="116">
        <v>2180</v>
      </c>
      <c r="AB248" s="31">
        <v>5.2</v>
      </c>
      <c r="AC248" s="31">
        <v>5.2</v>
      </c>
    </row>
    <row r="249" spans="1:29" ht="15.6" x14ac:dyDescent="0.3">
      <c r="A249"/>
      <c r="B249" s="32"/>
      <c r="C249" s="33"/>
      <c r="D249" s="34"/>
      <c r="E249" s="61" t="s">
        <v>187</v>
      </c>
      <c r="F249" s="11">
        <v>1257.22</v>
      </c>
      <c r="G249" s="11">
        <v>1236.8900000000001</v>
      </c>
      <c r="H249" s="11">
        <v>1243.31</v>
      </c>
      <c r="I249" s="11">
        <v>1244.25</v>
      </c>
      <c r="J249" s="11">
        <v>1289.22</v>
      </c>
      <c r="K249" s="11">
        <v>1282.02</v>
      </c>
      <c r="L249" s="11">
        <v>1243.58</v>
      </c>
      <c r="M249" s="11">
        <v>1236.22</v>
      </c>
      <c r="N249" s="11">
        <v>1264.2</v>
      </c>
      <c r="O249" s="35"/>
      <c r="P249" s="35"/>
      <c r="Q249" s="36"/>
      <c r="R249" s="36"/>
      <c r="S249" s="113"/>
      <c r="T249" s="114"/>
      <c r="U249" s="117" t="s">
        <v>194</v>
      </c>
      <c r="V249" s="173"/>
      <c r="W249" s="11"/>
      <c r="X249" s="118"/>
      <c r="Y249" s="118"/>
      <c r="Z249" s="118"/>
      <c r="AA249" s="118"/>
    </row>
    <row r="250" spans="1:29" ht="16.2" thickBot="1" x14ac:dyDescent="0.35">
      <c r="A250"/>
      <c r="B250" s="50"/>
      <c r="C250" s="51"/>
      <c r="D250" s="52"/>
      <c r="E250" s="65" t="s">
        <v>190</v>
      </c>
      <c r="F250" s="53">
        <f t="shared" ref="F250:N250" si="78">IF(((F248="")*AND(F249="")),"",(F248-F249)*3)</f>
        <v>2028.06</v>
      </c>
      <c r="G250" s="53">
        <f t="shared" si="78"/>
        <v>2104.3799999999992</v>
      </c>
      <c r="H250" s="53">
        <f t="shared" si="78"/>
        <v>2104.0200000000004</v>
      </c>
      <c r="I250" s="53">
        <f t="shared" si="78"/>
        <v>2089.59</v>
      </c>
      <c r="J250" s="53">
        <f t="shared" si="78"/>
        <v>1944.06</v>
      </c>
      <c r="K250" s="53">
        <f t="shared" si="78"/>
        <v>1956.06</v>
      </c>
      <c r="L250" s="53">
        <f t="shared" si="78"/>
        <v>2091.9600000000005</v>
      </c>
      <c r="M250" s="53">
        <f t="shared" si="78"/>
        <v>2113.6799999999998</v>
      </c>
      <c r="N250" s="53">
        <f t="shared" si="78"/>
        <v>2020.1099999999997</v>
      </c>
      <c r="O250" s="54"/>
      <c r="P250" s="54"/>
      <c r="Q250" s="55"/>
      <c r="R250" s="55"/>
      <c r="S250" s="133"/>
      <c r="T250" s="124"/>
      <c r="U250" s="125"/>
      <c r="V250" s="173"/>
      <c r="W250" s="11"/>
      <c r="X250" s="118"/>
      <c r="Y250" s="118"/>
      <c r="Z250" s="118"/>
      <c r="AA250" s="118"/>
    </row>
    <row r="251" spans="1:29" x14ac:dyDescent="0.25">
      <c r="A251" s="206">
        <v>43230</v>
      </c>
      <c r="B251" s="216" t="s">
        <v>185</v>
      </c>
      <c r="C251" s="27" t="s">
        <v>173</v>
      </c>
      <c r="D251" s="28" t="s">
        <v>172</v>
      </c>
      <c r="E251" s="59" t="s">
        <v>186</v>
      </c>
      <c r="F251" s="11">
        <v>27488.76</v>
      </c>
      <c r="G251" s="11">
        <v>27506.080000000002</v>
      </c>
      <c r="H251" s="11">
        <v>27584.39</v>
      </c>
      <c r="I251" s="11">
        <v>27474.07</v>
      </c>
      <c r="J251" s="11">
        <v>27452.87</v>
      </c>
      <c r="K251" s="11">
        <v>27393.52</v>
      </c>
      <c r="L251" s="11">
        <v>27482.34</v>
      </c>
      <c r="M251" s="11">
        <v>27485.79</v>
      </c>
      <c r="N251" s="11">
        <v>27488.11</v>
      </c>
      <c r="O251" s="29">
        <f>IF((N252=""),"",MAX(F253:N253))</f>
        <v>4449.3900000000031</v>
      </c>
      <c r="P251" s="29">
        <f>IF(N252="","",MIN(F253:N253))</f>
        <v>3864.5699999999961</v>
      </c>
      <c r="Q251" s="30">
        <f>IF((N253=""),"",AVERAGE(F253:N253))</f>
        <v>4107.1833333333343</v>
      </c>
      <c r="R251" s="30">
        <f>IF((N252=""),"",(O251-P251)/(O251+P251)*100)</f>
        <v>7.0341930921006002</v>
      </c>
      <c r="S251" s="113">
        <f>STDEV(F253:N253)</f>
        <v>223.23718664236995</v>
      </c>
      <c r="T251" s="114" t="str">
        <f>IF(N252="","",IF(R251&lt;16,IF(Q251&gt;3200,IF(R251,IF(Q251&lt;5240,"Pass","Fail"),"Fail"),"Fail")))</f>
        <v>Pass</v>
      </c>
      <c r="U251" s="115">
        <v>1335</v>
      </c>
      <c r="V251" s="173"/>
      <c r="W251" s="11"/>
      <c r="X251" s="116">
        <v>4200</v>
      </c>
      <c r="Y251" s="116">
        <v>5500</v>
      </c>
      <c r="Z251" s="116">
        <v>3200</v>
      </c>
      <c r="AA251" s="116">
        <v>5240</v>
      </c>
      <c r="AB251" s="31">
        <v>16</v>
      </c>
      <c r="AC251" s="31">
        <v>16</v>
      </c>
    </row>
    <row r="252" spans="1:29" ht="15.6" x14ac:dyDescent="0.3">
      <c r="A252"/>
      <c r="B252" s="32"/>
      <c r="C252" s="33"/>
      <c r="D252" s="34"/>
      <c r="E252" s="61" t="s">
        <v>187</v>
      </c>
      <c r="F252" s="11">
        <v>26061.73</v>
      </c>
      <c r="G252" s="11">
        <v>26183.1</v>
      </c>
      <c r="H252" s="11">
        <v>26296.2</v>
      </c>
      <c r="I252" s="11">
        <v>26164.15</v>
      </c>
      <c r="J252" s="11">
        <v>26006.55</v>
      </c>
      <c r="K252" s="11">
        <v>25971.67</v>
      </c>
      <c r="L252" s="11">
        <v>26159.41</v>
      </c>
      <c r="M252" s="11">
        <v>26186.59</v>
      </c>
      <c r="N252" s="11">
        <v>26004.98</v>
      </c>
      <c r="O252" s="35"/>
      <c r="P252" s="35"/>
      <c r="Q252" s="36"/>
      <c r="R252" s="36"/>
      <c r="S252" s="113"/>
      <c r="T252" s="114"/>
      <c r="U252" s="117"/>
      <c r="V252" s="173"/>
      <c r="W252" s="11"/>
      <c r="X252" s="118"/>
      <c r="Y252" s="118"/>
      <c r="Z252" s="118"/>
      <c r="AA252" s="118"/>
    </row>
    <row r="253" spans="1:29" ht="23.4" thickBot="1" x14ac:dyDescent="0.35">
      <c r="A253"/>
      <c r="B253" s="37"/>
      <c r="C253" s="38"/>
      <c r="D253" s="39"/>
      <c r="E253" s="61" t="s">
        <v>188</v>
      </c>
      <c r="F253" s="40">
        <f t="shared" ref="F253:N253" si="79">IF(((F251="")*AND(F252="")),"",(F251-F252)*3)</f>
        <v>4281.0899999999965</v>
      </c>
      <c r="G253" s="40">
        <f t="shared" si="79"/>
        <v>3968.9400000000096</v>
      </c>
      <c r="H253" s="40">
        <f t="shared" si="79"/>
        <v>3864.5699999999961</v>
      </c>
      <c r="I253" s="40">
        <f t="shared" si="79"/>
        <v>3929.7599999999948</v>
      </c>
      <c r="J253" s="40">
        <f t="shared" si="79"/>
        <v>4338.9599999999991</v>
      </c>
      <c r="K253" s="40">
        <f t="shared" si="79"/>
        <v>4265.5500000000065</v>
      </c>
      <c r="L253" s="40">
        <f t="shared" si="79"/>
        <v>3968.7900000000009</v>
      </c>
      <c r="M253" s="40">
        <f t="shared" si="79"/>
        <v>3897.6000000000022</v>
      </c>
      <c r="N253" s="40">
        <f t="shared" si="79"/>
        <v>4449.3900000000031</v>
      </c>
      <c r="O253" s="41"/>
      <c r="P253" s="41"/>
      <c r="Q253" s="42"/>
      <c r="R253" s="42"/>
      <c r="S253" s="134"/>
      <c r="T253" s="119"/>
      <c r="U253" s="120"/>
      <c r="V253" s="173"/>
      <c r="W253" s="11"/>
      <c r="X253" s="118"/>
      <c r="Y253" s="118"/>
      <c r="Z253" s="118"/>
      <c r="AA253" s="118"/>
    </row>
    <row r="254" spans="1:29" x14ac:dyDescent="0.25">
      <c r="A254" s="206">
        <v>43230</v>
      </c>
      <c r="B254" s="215" t="s">
        <v>174</v>
      </c>
      <c r="C254" s="33" t="s">
        <v>176</v>
      </c>
      <c r="D254" s="44" t="s">
        <v>175</v>
      </c>
      <c r="E254" s="41" t="s">
        <v>186</v>
      </c>
      <c r="F254" s="11">
        <v>4892.07</v>
      </c>
      <c r="G254" s="11">
        <v>4827.83</v>
      </c>
      <c r="H254" s="11">
        <v>4876.88</v>
      </c>
      <c r="I254" s="11">
        <v>4862.62</v>
      </c>
      <c r="J254" s="11">
        <v>5052.88</v>
      </c>
      <c r="K254" s="11">
        <v>5028.8999999999996</v>
      </c>
      <c r="L254" s="11">
        <v>4871.62</v>
      </c>
      <c r="M254" s="11">
        <v>4842.83</v>
      </c>
      <c r="N254" s="11">
        <v>4953.4399999999996</v>
      </c>
      <c r="O254" s="35">
        <f>IF((N255=""),"",MAX(F256:N256))</f>
        <v>4083.8599999999997</v>
      </c>
      <c r="P254" s="35">
        <f>IF(N255="","",MIN(F256:N256))</f>
        <v>3755.079999999999</v>
      </c>
      <c r="Q254" s="36">
        <f>IF((N256=""),"",AVERAGE(F256:N256))</f>
        <v>3979.1888888888884</v>
      </c>
      <c r="R254" s="36">
        <f>IF((N255=""),"",(O254-P254)/(O254+P254)*100)</f>
        <v>4.194189520521916</v>
      </c>
      <c r="S254" s="113">
        <f>STDEV(F256:N256)</f>
        <v>112.15670426288008</v>
      </c>
      <c r="T254" s="114" t="str">
        <f>IF(N255="","",IF(Q254&gt;3650,IF(R254&lt;7,IF(Q254&lt;4450,"Pass","Fail"),"Fail"),"Fail"))</f>
        <v>Pass</v>
      </c>
      <c r="U254" s="115">
        <v>1335</v>
      </c>
      <c r="V254" s="173"/>
      <c r="W254" s="11"/>
      <c r="X254" s="116">
        <v>3650</v>
      </c>
      <c r="Y254" s="116">
        <v>4450</v>
      </c>
      <c r="Z254" s="116">
        <v>3700</v>
      </c>
      <c r="AA254" s="116">
        <v>4100</v>
      </c>
      <c r="AB254" s="31">
        <v>7</v>
      </c>
      <c r="AC254" s="31">
        <v>6.5</v>
      </c>
    </row>
    <row r="255" spans="1:29" ht="15.6" x14ac:dyDescent="0.3">
      <c r="A255"/>
      <c r="B255" s="43"/>
      <c r="C255" s="33"/>
      <c r="D255" s="34"/>
      <c r="E255" s="61" t="s">
        <v>187</v>
      </c>
      <c r="F255" s="11">
        <v>2935.9</v>
      </c>
      <c r="G255" s="11">
        <v>2804.31</v>
      </c>
      <c r="H255" s="11">
        <v>2843.61</v>
      </c>
      <c r="I255" s="11">
        <v>2834.13</v>
      </c>
      <c r="J255" s="11">
        <v>3119.6</v>
      </c>
      <c r="K255" s="11">
        <v>3151.36</v>
      </c>
      <c r="L255" s="11">
        <v>2850.38</v>
      </c>
      <c r="M255" s="11">
        <v>2800.9</v>
      </c>
      <c r="N255" s="11">
        <v>2962.53</v>
      </c>
      <c r="O255" s="35"/>
      <c r="P255" s="35"/>
      <c r="Q255" s="36"/>
      <c r="R255" s="36"/>
      <c r="S255" s="113"/>
      <c r="T255" s="114"/>
      <c r="U255" s="122"/>
      <c r="V255" s="174"/>
      <c r="W255" s="11"/>
      <c r="X255" s="118"/>
      <c r="Y255" s="118"/>
      <c r="Z255" s="118"/>
      <c r="AA255" s="118"/>
    </row>
    <row r="256" spans="1:29" ht="23.4" thickBot="1" x14ac:dyDescent="0.35">
      <c r="A256"/>
      <c r="B256" s="43"/>
      <c r="C256" s="33"/>
      <c r="D256" s="34"/>
      <c r="E256" s="48" t="s">
        <v>188</v>
      </c>
      <c r="F256" s="45">
        <f t="shared" ref="F256:N256" si="80">IF(((F254="")*AND(F255="")),"",(F254-F255)*2)</f>
        <v>3912.3399999999992</v>
      </c>
      <c r="G256" s="45">
        <f t="shared" si="80"/>
        <v>4047.04</v>
      </c>
      <c r="H256" s="45">
        <f t="shared" si="80"/>
        <v>4066.54</v>
      </c>
      <c r="I256" s="45">
        <f t="shared" si="80"/>
        <v>4056.9799999999996</v>
      </c>
      <c r="J256" s="45">
        <f t="shared" si="80"/>
        <v>3866.5600000000004</v>
      </c>
      <c r="K256" s="45">
        <f t="shared" si="80"/>
        <v>3755.079999999999</v>
      </c>
      <c r="L256" s="45">
        <f t="shared" si="80"/>
        <v>4042.4799999999996</v>
      </c>
      <c r="M256" s="45">
        <f t="shared" si="80"/>
        <v>4083.8599999999997</v>
      </c>
      <c r="N256" s="45">
        <f t="shared" si="80"/>
        <v>3981.8199999999988</v>
      </c>
      <c r="O256" s="35"/>
      <c r="P256" s="35"/>
      <c r="Q256" s="36"/>
      <c r="R256" s="36"/>
      <c r="S256" s="113"/>
      <c r="T256" s="114"/>
      <c r="U256" s="122"/>
      <c r="V256" s="174"/>
      <c r="W256" s="11"/>
      <c r="X256" s="118"/>
      <c r="Y256" s="118"/>
      <c r="Z256" s="118"/>
      <c r="AA256" s="118"/>
    </row>
    <row r="257" spans="1:29" x14ac:dyDescent="0.25">
      <c r="A257" s="206">
        <v>43230</v>
      </c>
      <c r="B257" s="215" t="s">
        <v>169</v>
      </c>
      <c r="C257" s="47" t="s">
        <v>171</v>
      </c>
      <c r="D257" s="46" t="s">
        <v>189</v>
      </c>
      <c r="E257" s="61" t="s">
        <v>186</v>
      </c>
      <c r="F257" s="11">
        <v>1263.1300000000001</v>
      </c>
      <c r="G257" s="11">
        <v>1241.54</v>
      </c>
      <c r="H257" s="11">
        <v>1246.29</v>
      </c>
      <c r="I257" s="11">
        <v>1247.3</v>
      </c>
      <c r="J257" s="11">
        <v>1293.4000000000001</v>
      </c>
      <c r="K257" s="11">
        <v>1284.27</v>
      </c>
      <c r="L257" s="11">
        <v>1249.56</v>
      </c>
      <c r="M257" s="11">
        <v>1239.75</v>
      </c>
      <c r="N257" s="11">
        <v>1265.07</v>
      </c>
      <c r="O257" s="48">
        <f>IF((N258=""),"",MAX(F259:N259))</f>
        <v>2129.2200000000003</v>
      </c>
      <c r="P257" s="48">
        <f>IF(N258="","",MIN(F259:N259))</f>
        <v>1957.7400000000002</v>
      </c>
      <c r="Q257" s="49">
        <f>IF((N259=""),"",AVERAGE(F259:N259))</f>
        <v>2068.4299999999998</v>
      </c>
      <c r="R257" s="49">
        <f>IF((N258=""),"",(O257-P257)/(O257+P257)*100)</f>
        <v>4.1957836631628398</v>
      </c>
      <c r="S257" s="113">
        <f>STDEV(F259:N259)</f>
        <v>66.008590350044528</v>
      </c>
      <c r="T257" s="123" t="str">
        <f>IF(N258="","",IF(Q257&gt;1940,IF(R257&lt;8.3,IF(Q257&lt;2180,"Pass","Fail"),"Fail"),"Fail"))</f>
        <v>Pass</v>
      </c>
      <c r="U257" s="115"/>
      <c r="V257" s="173"/>
      <c r="W257" s="11"/>
      <c r="X257" s="116">
        <v>2000</v>
      </c>
      <c r="Y257" s="116">
        <v>3000</v>
      </c>
      <c r="Z257" s="116">
        <v>1940</v>
      </c>
      <c r="AA257" s="116">
        <v>2180</v>
      </c>
      <c r="AB257" s="31">
        <v>5.2</v>
      </c>
      <c r="AC257" s="31">
        <v>5.2</v>
      </c>
    </row>
    <row r="258" spans="1:29" ht="15.6" x14ac:dyDescent="0.3">
      <c r="A258"/>
      <c r="B258" s="32"/>
      <c r="C258" s="33"/>
      <c r="D258" s="34"/>
      <c r="E258" s="61" t="s">
        <v>187</v>
      </c>
      <c r="F258" s="11">
        <v>579</v>
      </c>
      <c r="G258" s="11">
        <v>531.79999999999995</v>
      </c>
      <c r="H258" s="11">
        <v>539.62</v>
      </c>
      <c r="I258" s="11">
        <v>544.83000000000004</v>
      </c>
      <c r="J258" s="11">
        <v>640.82000000000005</v>
      </c>
      <c r="K258" s="11">
        <v>617.96</v>
      </c>
      <c r="L258" s="11">
        <v>544.54999999999995</v>
      </c>
      <c r="M258" s="11">
        <v>530.19000000000005</v>
      </c>
      <c r="N258" s="11">
        <v>596.25</v>
      </c>
      <c r="O258" s="35"/>
      <c r="P258" s="35"/>
      <c r="Q258" s="36"/>
      <c r="R258" s="36"/>
      <c r="S258" s="113"/>
      <c r="T258" s="114"/>
      <c r="U258" s="117">
        <v>1335</v>
      </c>
      <c r="V258" s="173"/>
      <c r="W258" s="11"/>
      <c r="X258" s="118"/>
      <c r="Y258" s="118"/>
      <c r="Z258" s="118"/>
      <c r="AA258" s="118"/>
    </row>
    <row r="259" spans="1:29" ht="16.2" thickBot="1" x14ac:dyDescent="0.35">
      <c r="A259"/>
      <c r="B259" s="50"/>
      <c r="C259" s="51"/>
      <c r="D259" s="52"/>
      <c r="E259" s="65" t="s">
        <v>190</v>
      </c>
      <c r="F259" s="53">
        <f t="shared" ref="F259:N259" si="81">IF(((F257="")*AND(F258="")),"",(F257-F258)*3)</f>
        <v>2052.3900000000003</v>
      </c>
      <c r="G259" s="53">
        <f t="shared" si="81"/>
        <v>2129.2200000000003</v>
      </c>
      <c r="H259" s="53">
        <f t="shared" si="81"/>
        <v>2120.0099999999998</v>
      </c>
      <c r="I259" s="53">
        <f t="shared" si="81"/>
        <v>2107.41</v>
      </c>
      <c r="J259" s="53">
        <f t="shared" si="81"/>
        <v>1957.7400000000002</v>
      </c>
      <c r="K259" s="53">
        <f t="shared" si="81"/>
        <v>1998.9299999999998</v>
      </c>
      <c r="L259" s="53">
        <f t="shared" si="81"/>
        <v>2115.0299999999997</v>
      </c>
      <c r="M259" s="53">
        <f t="shared" si="81"/>
        <v>2128.6799999999998</v>
      </c>
      <c r="N259" s="53">
        <f t="shared" si="81"/>
        <v>2006.4599999999998</v>
      </c>
      <c r="O259" s="54"/>
      <c r="P259" s="54"/>
      <c r="Q259" s="55"/>
      <c r="R259" s="55"/>
      <c r="S259" s="133"/>
      <c r="T259" s="124"/>
      <c r="U259" s="125"/>
      <c r="V259" s="173"/>
      <c r="W259" s="11"/>
      <c r="X259" s="118"/>
      <c r="Y259" s="118"/>
      <c r="Z259" s="118"/>
      <c r="AA259" s="118"/>
    </row>
    <row r="260" spans="1:29" x14ac:dyDescent="0.25">
      <c r="A260" s="206">
        <v>43234</v>
      </c>
      <c r="B260" s="216" t="s">
        <v>185</v>
      </c>
      <c r="C260" s="27" t="s">
        <v>173</v>
      </c>
      <c r="D260" s="28" t="s">
        <v>172</v>
      </c>
      <c r="E260" s="59" t="s">
        <v>186</v>
      </c>
      <c r="F260" s="11">
        <v>29312.080000000002</v>
      </c>
      <c r="G260" s="11">
        <v>29194.47</v>
      </c>
      <c r="H260" s="11">
        <v>29251.5</v>
      </c>
      <c r="I260" s="11">
        <v>29160.23</v>
      </c>
      <c r="J260" s="11">
        <v>29373.65</v>
      </c>
      <c r="K260" s="11">
        <v>29317.1</v>
      </c>
      <c r="L260" s="11">
        <v>29127.09</v>
      </c>
      <c r="M260" s="11">
        <v>29215.58</v>
      </c>
      <c r="N260" s="11">
        <v>29436.59</v>
      </c>
      <c r="O260" s="29">
        <f>IF((N261=""),"",MAX(F262:N262))</f>
        <v>4378.5300000000061</v>
      </c>
      <c r="P260" s="29">
        <f>IF(N261="","",MIN(F262:N262))</f>
        <v>3795.6299999999974</v>
      </c>
      <c r="Q260" s="30">
        <f>IF((N262=""),"",AVERAGE(F262:N262))</f>
        <v>4075.6666666666683</v>
      </c>
      <c r="R260" s="30">
        <f>IF((N261=""),"",(O260-P260)/(O260+P260)*100)</f>
        <v>7.1310079567809836</v>
      </c>
      <c r="S260" s="113">
        <f>STDEV(F262:N262)</f>
        <v>213.64811682998857</v>
      </c>
      <c r="T260" s="123" t="str">
        <f>IF(N261="","",IF(Q260&gt;3200,IF(R260,IF(Q260&lt;5240,"Pass","Fail"),"Fail"),"Fail"))</f>
        <v>Pass</v>
      </c>
      <c r="U260" s="115">
        <v>1335</v>
      </c>
      <c r="V260" s="173"/>
      <c r="W260" s="11"/>
      <c r="X260" s="116">
        <v>4200</v>
      </c>
      <c r="Y260" s="116">
        <v>5500</v>
      </c>
      <c r="Z260" s="116">
        <v>3200</v>
      </c>
      <c r="AA260" s="116">
        <v>5240</v>
      </c>
      <c r="AB260" s="31">
        <v>16</v>
      </c>
      <c r="AC260" s="31">
        <v>16</v>
      </c>
    </row>
    <row r="261" spans="1:29" ht="15.6" x14ac:dyDescent="0.3">
      <c r="A261"/>
      <c r="B261" s="32"/>
      <c r="C261" s="33"/>
      <c r="D261" s="34"/>
      <c r="E261" s="61" t="s">
        <v>187</v>
      </c>
      <c r="F261" s="11">
        <v>27919.19</v>
      </c>
      <c r="G261" s="11">
        <v>27872.82</v>
      </c>
      <c r="H261" s="11">
        <v>27936.99</v>
      </c>
      <c r="I261" s="11">
        <v>27856.59</v>
      </c>
      <c r="J261" s="11">
        <v>27914.14</v>
      </c>
      <c r="K261" s="11">
        <v>27907.119999999999</v>
      </c>
      <c r="L261" s="11">
        <v>27861.88</v>
      </c>
      <c r="M261" s="11">
        <v>27908.66</v>
      </c>
      <c r="N261" s="11">
        <v>27983.9</v>
      </c>
      <c r="O261" s="35"/>
      <c r="P261" s="35"/>
      <c r="Q261" s="36"/>
      <c r="R261" s="36"/>
      <c r="S261" s="113"/>
      <c r="T261" s="114"/>
      <c r="U261" s="117"/>
      <c r="V261" s="173"/>
      <c r="W261" s="11"/>
      <c r="X261" s="118"/>
      <c r="Y261" s="118"/>
      <c r="Z261" s="118"/>
      <c r="AA261" s="118"/>
    </row>
    <row r="262" spans="1:29" ht="23.4" thickBot="1" x14ac:dyDescent="0.35">
      <c r="A262"/>
      <c r="B262" s="37"/>
      <c r="C262" s="38"/>
      <c r="D262" s="39"/>
      <c r="E262" s="61" t="s">
        <v>188</v>
      </c>
      <c r="F262" s="40">
        <f t="shared" ref="F262:N262" si="82">IF(((F260="")*AND(F261="")),"",(F260-F261)*3)</f>
        <v>4178.6700000000092</v>
      </c>
      <c r="G262" s="40">
        <f t="shared" si="82"/>
        <v>3964.9500000000044</v>
      </c>
      <c r="H262" s="40">
        <f t="shared" si="82"/>
        <v>3943.5299999999952</v>
      </c>
      <c r="I262" s="40">
        <f t="shared" si="82"/>
        <v>3910.9199999999983</v>
      </c>
      <c r="J262" s="40">
        <f t="shared" si="82"/>
        <v>4378.5300000000061</v>
      </c>
      <c r="K262" s="40">
        <f t="shared" si="82"/>
        <v>4229.9399999999987</v>
      </c>
      <c r="L262" s="40">
        <f t="shared" si="82"/>
        <v>3795.6299999999974</v>
      </c>
      <c r="M262" s="40">
        <f t="shared" si="82"/>
        <v>3920.7600000000057</v>
      </c>
      <c r="N262" s="40">
        <f t="shared" si="82"/>
        <v>4358.0699999999961</v>
      </c>
      <c r="O262" s="41"/>
      <c r="P262" s="41"/>
      <c r="Q262" s="42"/>
      <c r="R262" s="42"/>
      <c r="S262" s="134"/>
      <c r="T262" s="119"/>
      <c r="U262" s="120"/>
      <c r="V262" s="173"/>
      <c r="W262" s="11"/>
      <c r="X262" s="118"/>
      <c r="Y262" s="118"/>
      <c r="Z262" s="118"/>
      <c r="AA262" s="118"/>
    </row>
    <row r="263" spans="1:29" x14ac:dyDescent="0.25">
      <c r="A263" s="206">
        <v>43234</v>
      </c>
      <c r="B263" s="215" t="s">
        <v>174</v>
      </c>
      <c r="C263" s="33" t="s">
        <v>176</v>
      </c>
      <c r="D263" s="44" t="s">
        <v>175</v>
      </c>
      <c r="E263" s="41" t="s">
        <v>186</v>
      </c>
      <c r="F263" s="11">
        <v>6868.33</v>
      </c>
      <c r="G263" s="11">
        <v>6885.98</v>
      </c>
      <c r="H263" s="11">
        <v>6956.29</v>
      </c>
      <c r="I263" s="11">
        <v>6921.16</v>
      </c>
      <c r="J263" s="11">
        <v>7000</v>
      </c>
      <c r="K263" s="11">
        <v>6930.7</v>
      </c>
      <c r="L263" s="11">
        <v>6923.27</v>
      </c>
      <c r="M263" s="11">
        <v>6925.92</v>
      </c>
      <c r="N263" s="11">
        <v>6981.98</v>
      </c>
      <c r="O263" s="35">
        <f>IF((N264=""),"",MAX(F265:N265))</f>
        <v>4051.2199999999993</v>
      </c>
      <c r="P263" s="35">
        <f>IF(N264="","",MIN(F265:N265))</f>
        <v>3764.8799999999992</v>
      </c>
      <c r="Q263" s="36">
        <f>IF((N265=""),"",AVERAGE(F265:N265))</f>
        <v>3960.4466666666663</v>
      </c>
      <c r="R263" s="36">
        <f>IF((N264=""),"",(O263-P263)/(O263+P263)*100)</f>
        <v>3.6634638758460127</v>
      </c>
      <c r="S263" s="113">
        <f>STDEV(F265:N265)</f>
        <v>97.536987855890047</v>
      </c>
      <c r="T263" s="114" t="str">
        <f>IF(N264="","",IF(Q263&gt;3650,IF(R263&lt;7,IF(Q263&lt;4450,"Pass","Fail"),"Fail"),"Fail"))</f>
        <v>Pass</v>
      </c>
      <c r="U263" s="115">
        <v>1335</v>
      </c>
      <c r="V263" s="173"/>
      <c r="W263" s="11"/>
      <c r="X263" s="116">
        <v>3650</v>
      </c>
      <c r="Y263" s="116">
        <v>4450</v>
      </c>
      <c r="Z263" s="116">
        <v>3700</v>
      </c>
      <c r="AA263" s="116">
        <v>4100</v>
      </c>
      <c r="AB263" s="31">
        <v>7</v>
      </c>
      <c r="AC263" s="31">
        <v>6.5</v>
      </c>
    </row>
    <row r="264" spans="1:29" ht="15.6" x14ac:dyDescent="0.3">
      <c r="A264"/>
      <c r="B264" s="43"/>
      <c r="C264" s="33"/>
      <c r="D264" s="34"/>
      <c r="E264" s="61" t="s">
        <v>187</v>
      </c>
      <c r="F264" s="11">
        <v>4927.3100000000004</v>
      </c>
      <c r="G264" s="11">
        <v>4883.28</v>
      </c>
      <c r="H264" s="11">
        <v>4935.4399999999996</v>
      </c>
      <c r="I264" s="11">
        <v>4907.59</v>
      </c>
      <c r="J264" s="11">
        <v>5061.82</v>
      </c>
      <c r="K264" s="11">
        <v>5048.26</v>
      </c>
      <c r="L264" s="11">
        <v>4916.04</v>
      </c>
      <c r="M264" s="11">
        <v>4900.3100000000004</v>
      </c>
      <c r="N264" s="11">
        <v>4991.57</v>
      </c>
      <c r="O264" s="35"/>
      <c r="P264" s="35"/>
      <c r="Q264" s="36"/>
      <c r="R264" s="36"/>
      <c r="S264" s="113"/>
      <c r="T264" s="114"/>
      <c r="U264" s="122"/>
      <c r="V264" s="174"/>
      <c r="W264" s="11"/>
      <c r="X264" s="118"/>
      <c r="Y264" s="118"/>
      <c r="Z264" s="118"/>
      <c r="AA264" s="118"/>
    </row>
    <row r="265" spans="1:29" ht="23.4" thickBot="1" x14ac:dyDescent="0.35">
      <c r="A265"/>
      <c r="B265" s="43"/>
      <c r="C265" s="33"/>
      <c r="D265" s="34"/>
      <c r="E265" s="48" t="s">
        <v>188</v>
      </c>
      <c r="F265" s="45">
        <f t="shared" ref="F265:N265" si="83">IF(((F263="")*AND(F264="")),"",(F263-F264)*2)</f>
        <v>3882.0399999999991</v>
      </c>
      <c r="G265" s="45">
        <f t="shared" si="83"/>
        <v>4005.3999999999996</v>
      </c>
      <c r="H265" s="45">
        <f t="shared" si="83"/>
        <v>4041.7000000000007</v>
      </c>
      <c r="I265" s="45">
        <f t="shared" si="83"/>
        <v>4027.1399999999994</v>
      </c>
      <c r="J265" s="45">
        <f t="shared" si="83"/>
        <v>3876.3600000000006</v>
      </c>
      <c r="K265" s="45">
        <f t="shared" si="83"/>
        <v>3764.8799999999992</v>
      </c>
      <c r="L265" s="45">
        <f t="shared" si="83"/>
        <v>4014.4600000000009</v>
      </c>
      <c r="M265" s="45">
        <f t="shared" si="83"/>
        <v>4051.2199999999993</v>
      </c>
      <c r="N265" s="45">
        <f t="shared" si="83"/>
        <v>3980.8199999999997</v>
      </c>
      <c r="O265" s="35"/>
      <c r="P265" s="35"/>
      <c r="Q265" s="36"/>
      <c r="R265" s="36"/>
      <c r="S265" s="113"/>
      <c r="T265" s="114"/>
      <c r="U265" s="122"/>
      <c r="V265" s="174"/>
      <c r="W265" s="11"/>
      <c r="X265" s="118"/>
      <c r="Y265" s="118"/>
      <c r="Z265" s="118"/>
      <c r="AA265" s="118"/>
    </row>
    <row r="266" spans="1:29" x14ac:dyDescent="0.25">
      <c r="A266" s="206">
        <v>43234</v>
      </c>
      <c r="B266" s="215" t="s">
        <v>169</v>
      </c>
      <c r="C266" s="47" t="s">
        <v>171</v>
      </c>
      <c r="D266" s="46" t="s">
        <v>189</v>
      </c>
      <c r="E266" s="61" t="s">
        <v>186</v>
      </c>
      <c r="F266" s="11">
        <v>1955.25</v>
      </c>
      <c r="G266" s="11">
        <v>1955.12</v>
      </c>
      <c r="H266" s="11">
        <v>1954.01</v>
      </c>
      <c r="I266" s="11">
        <v>1952.64</v>
      </c>
      <c r="J266" s="11">
        <v>1953.18</v>
      </c>
      <c r="K266" s="11">
        <v>1950.18</v>
      </c>
      <c r="L266" s="11">
        <v>1950.44</v>
      </c>
      <c r="M266" s="11">
        <v>1954.85</v>
      </c>
      <c r="N266" s="11">
        <v>1960.13</v>
      </c>
      <c r="O266" s="48">
        <f>IF((N267=""),"",MAX(F268:N268))</f>
        <v>2095.83</v>
      </c>
      <c r="P266" s="48">
        <f>IF(N267="","",MIN(F268:N268))</f>
        <v>1947.78</v>
      </c>
      <c r="Q266" s="49">
        <f>IF((N268=""),"",AVERAGE(F268:N268))</f>
        <v>2044.846666666667</v>
      </c>
      <c r="R266" s="49">
        <f>IF((N267=""),"",(O266-P266)/(O266+P266)*100)</f>
        <v>3.6613323243339484</v>
      </c>
      <c r="S266" s="113">
        <f>STDEV(F268:N268)</f>
        <v>54.219649344126125</v>
      </c>
      <c r="T266" s="121" t="str">
        <f>IF(N267="","",IF(Q266&gt;2000,IF(R266&lt;5.5,IF(Q266&lt;3000,"Pass","Fail"),"Fail"),"Fail"))</f>
        <v>Pass</v>
      </c>
      <c r="U266" s="115">
        <v>1335</v>
      </c>
      <c r="V266" s="173"/>
      <c r="W266" s="11"/>
      <c r="X266" s="116">
        <v>2000</v>
      </c>
      <c r="Y266" s="116">
        <v>3000</v>
      </c>
      <c r="Z266" s="116">
        <v>1940</v>
      </c>
      <c r="AA266" s="116">
        <v>2180</v>
      </c>
      <c r="AB266" s="31">
        <v>5.2</v>
      </c>
      <c r="AC266" s="31">
        <v>5.2</v>
      </c>
    </row>
    <row r="267" spans="1:29" ht="15.6" x14ac:dyDescent="0.3">
      <c r="A267"/>
      <c r="B267" s="32"/>
      <c r="C267" s="33"/>
      <c r="D267" s="34"/>
      <c r="E267" s="61" t="s">
        <v>187</v>
      </c>
      <c r="F267" s="11">
        <v>1279.17</v>
      </c>
      <c r="G267" s="11">
        <v>1260.78</v>
      </c>
      <c r="H267" s="11">
        <v>1255.4000000000001</v>
      </c>
      <c r="I267" s="11">
        <v>1259.4000000000001</v>
      </c>
      <c r="J267" s="11">
        <v>1303.92</v>
      </c>
      <c r="K267" s="11">
        <v>1293.93</v>
      </c>
      <c r="L267" s="11">
        <v>1262.8</v>
      </c>
      <c r="M267" s="11">
        <v>1256.81</v>
      </c>
      <c r="N267" s="11">
        <v>1279.05</v>
      </c>
      <c r="O267" s="35"/>
      <c r="P267" s="35"/>
      <c r="Q267" s="36"/>
      <c r="R267" s="36"/>
      <c r="S267" s="113"/>
      <c r="T267" s="114"/>
      <c r="U267" s="117"/>
      <c r="V267" s="173"/>
      <c r="W267" s="11"/>
      <c r="X267" s="118"/>
      <c r="Y267" s="118"/>
      <c r="Z267" s="118"/>
      <c r="AA267" s="118"/>
    </row>
    <row r="268" spans="1:29" ht="16.2" thickBot="1" x14ac:dyDescent="0.35">
      <c r="A268"/>
      <c r="B268" s="50"/>
      <c r="C268" s="51"/>
      <c r="D268" s="52"/>
      <c r="E268" s="65" t="s">
        <v>190</v>
      </c>
      <c r="F268" s="53">
        <f t="shared" ref="F268:N268" si="84">IF(((F266="")*AND(F267="")),"",(F266-F267)*3)</f>
        <v>2028.2399999999998</v>
      </c>
      <c r="G268" s="53">
        <f t="shared" si="84"/>
        <v>2083.0199999999995</v>
      </c>
      <c r="H268" s="53">
        <f t="shared" si="84"/>
        <v>2095.83</v>
      </c>
      <c r="I268" s="53">
        <f t="shared" si="84"/>
        <v>2079.7200000000003</v>
      </c>
      <c r="J268" s="53">
        <f t="shared" si="84"/>
        <v>1947.78</v>
      </c>
      <c r="K268" s="53">
        <f t="shared" si="84"/>
        <v>1968.75</v>
      </c>
      <c r="L268" s="53">
        <f t="shared" si="84"/>
        <v>2062.92</v>
      </c>
      <c r="M268" s="53">
        <f t="shared" si="84"/>
        <v>2094.12</v>
      </c>
      <c r="N268" s="53">
        <f t="shared" si="84"/>
        <v>2043.2400000000005</v>
      </c>
      <c r="O268" s="54"/>
      <c r="P268" s="54"/>
      <c r="Q268" s="55"/>
      <c r="R268" s="55"/>
      <c r="S268" s="133"/>
      <c r="T268" s="124"/>
      <c r="U268" s="125"/>
      <c r="V268" s="173"/>
      <c r="W268" s="11"/>
      <c r="X268" s="118"/>
      <c r="Y268" s="118"/>
      <c r="Z268" s="118"/>
      <c r="AA268" s="118"/>
    </row>
    <row r="269" spans="1:29" x14ac:dyDescent="0.25">
      <c r="A269" s="206">
        <v>43237</v>
      </c>
      <c r="B269" s="216" t="s">
        <v>185</v>
      </c>
      <c r="C269" s="27" t="s">
        <v>173</v>
      </c>
      <c r="D269" s="28" t="s">
        <v>172</v>
      </c>
      <c r="E269" s="59" t="s">
        <v>186</v>
      </c>
      <c r="F269" s="11">
        <v>27885</v>
      </c>
      <c r="G269" s="11">
        <v>27893</v>
      </c>
      <c r="H269" s="128">
        <v>27940</v>
      </c>
      <c r="I269" s="128">
        <v>27846</v>
      </c>
      <c r="J269" s="128">
        <v>27839</v>
      </c>
      <c r="K269" s="128">
        <v>27865</v>
      </c>
      <c r="L269" s="128">
        <v>27850</v>
      </c>
      <c r="M269" s="128">
        <v>27840</v>
      </c>
      <c r="N269" s="128">
        <v>27934</v>
      </c>
      <c r="O269" s="29">
        <f>IF((N270=""),"",MAX(F271:N271))</f>
        <v>4851</v>
      </c>
      <c r="P269" s="29">
        <f>IF(N270="","",MIN(F271:N271))</f>
        <v>4170</v>
      </c>
      <c r="Q269" s="30">
        <f>IF((N271=""),"",AVERAGE(F271:N271))</f>
        <v>4470</v>
      </c>
      <c r="R269" s="30">
        <f>IF((N270=""),"",(O269-P269)/(O269+P269)*100)</f>
        <v>7.5490522115064849</v>
      </c>
      <c r="S269" s="113">
        <f>STDEV(F271:N271)</f>
        <v>289.57770977753103</v>
      </c>
      <c r="T269" s="114" t="str">
        <f>IF(N270="","",IF(R269&lt;16,IF(Q269&gt;3200,IF(R269,IF(Q269&lt;5240,"Pass","Fail"),"Fail"),"Fail")))</f>
        <v>Pass</v>
      </c>
      <c r="U269" s="115">
        <v>121</v>
      </c>
      <c r="V269" s="173"/>
      <c r="W269" s="11"/>
      <c r="X269" s="116">
        <v>4200</v>
      </c>
      <c r="Y269" s="116">
        <v>5500</v>
      </c>
      <c r="Z269" s="116">
        <v>3200</v>
      </c>
      <c r="AA269" s="116">
        <v>5240</v>
      </c>
      <c r="AB269" s="31">
        <v>16</v>
      </c>
      <c r="AC269" s="31">
        <v>16</v>
      </c>
    </row>
    <row r="270" spans="1:29" ht="15.6" x14ac:dyDescent="0.3">
      <c r="A270"/>
      <c r="B270" s="32"/>
      <c r="C270" s="33"/>
      <c r="D270" s="34"/>
      <c r="E270" s="61" t="s">
        <v>187</v>
      </c>
      <c r="F270" s="11">
        <v>26268</v>
      </c>
      <c r="G270" s="11">
        <v>26444</v>
      </c>
      <c r="H270" s="128">
        <v>26543</v>
      </c>
      <c r="I270" s="128">
        <v>26419</v>
      </c>
      <c r="J270" s="128">
        <v>26280</v>
      </c>
      <c r="K270" s="128">
        <v>26289</v>
      </c>
      <c r="L270" s="128">
        <v>26457</v>
      </c>
      <c r="M270" s="128">
        <v>26450</v>
      </c>
      <c r="N270" s="128">
        <v>26332</v>
      </c>
      <c r="O270" s="35"/>
      <c r="P270" s="35"/>
      <c r="Q270" s="36"/>
      <c r="R270" s="36"/>
      <c r="S270" s="113"/>
      <c r="T270" s="114"/>
      <c r="U270" s="117"/>
      <c r="V270" s="173"/>
      <c r="W270" s="135"/>
      <c r="X270" s="118"/>
      <c r="Y270" s="118"/>
      <c r="Z270" s="118"/>
      <c r="AA270" s="118"/>
    </row>
    <row r="271" spans="1:29" ht="23.4" thickBot="1" x14ac:dyDescent="0.35">
      <c r="A271"/>
      <c r="B271" s="37"/>
      <c r="C271" s="38"/>
      <c r="D271" s="39"/>
      <c r="E271" s="61" t="s">
        <v>188</v>
      </c>
      <c r="F271" s="40">
        <f t="shared" ref="F271:N271" si="85">IF(((F269="")*AND(F270="")),"",(F269-F270)*3)</f>
        <v>4851</v>
      </c>
      <c r="G271" s="40">
        <f t="shared" si="85"/>
        <v>4347</v>
      </c>
      <c r="H271" s="40">
        <f t="shared" si="85"/>
        <v>4191</v>
      </c>
      <c r="I271" s="40">
        <f t="shared" si="85"/>
        <v>4281</v>
      </c>
      <c r="J271" s="40">
        <f t="shared" si="85"/>
        <v>4677</v>
      </c>
      <c r="K271" s="40">
        <f t="shared" si="85"/>
        <v>4728</v>
      </c>
      <c r="L271" s="40">
        <f t="shared" si="85"/>
        <v>4179</v>
      </c>
      <c r="M271" s="40">
        <f t="shared" si="85"/>
        <v>4170</v>
      </c>
      <c r="N271" s="40">
        <f t="shared" si="85"/>
        <v>4806</v>
      </c>
      <c r="O271" s="41"/>
      <c r="P271" s="41"/>
      <c r="Q271" s="42"/>
      <c r="R271" s="42"/>
      <c r="S271" s="134"/>
      <c r="T271" s="119"/>
      <c r="U271" s="120"/>
      <c r="V271" s="173"/>
      <c r="W271" s="11"/>
      <c r="X271" s="118"/>
      <c r="Y271" s="118"/>
      <c r="Z271" s="118"/>
      <c r="AA271" s="118"/>
    </row>
    <row r="272" spans="1:29" x14ac:dyDescent="0.25">
      <c r="A272" s="206">
        <v>43237</v>
      </c>
      <c r="B272" s="215" t="s">
        <v>174</v>
      </c>
      <c r="C272" s="33" t="s">
        <v>176</v>
      </c>
      <c r="D272" s="44" t="s">
        <v>175</v>
      </c>
      <c r="E272" s="41" t="s">
        <v>186</v>
      </c>
      <c r="F272" s="11">
        <v>4942</v>
      </c>
      <c r="G272" s="11">
        <v>4898</v>
      </c>
      <c r="H272" s="128">
        <v>4950</v>
      </c>
      <c r="I272" s="128">
        <v>4923</v>
      </c>
      <c r="J272" s="128">
        <v>5073</v>
      </c>
      <c r="K272" s="128">
        <v>5059</v>
      </c>
      <c r="L272" s="128">
        <v>4931</v>
      </c>
      <c r="M272" s="128">
        <v>4916</v>
      </c>
      <c r="N272" s="128">
        <v>5005</v>
      </c>
      <c r="O272" s="35">
        <f>IF((N273=""),"",MAX(F274:N274))</f>
        <v>4072</v>
      </c>
      <c r="P272" s="35">
        <f>IF(N273="","",MIN(F274:N274))</f>
        <v>3772</v>
      </c>
      <c r="Q272" s="36">
        <f>IF((N274=""),"",AVERAGE(F274:N274))</f>
        <v>3984.6666666666665</v>
      </c>
      <c r="R272" s="36">
        <f>IF((N273=""),"",(O272-P272)/(O272+P272)*100)</f>
        <v>3.8245792962774097</v>
      </c>
      <c r="S272" s="113">
        <f>STDEV(F274:N274)</f>
        <v>98.483501156285058</v>
      </c>
      <c r="T272" s="114" t="str">
        <f>IF(N273="","",IF(Q272&gt;3650,IF(R272&lt;7,IF(Q272&lt;4450,"Pass","Fail"),"Fail"),"Fail"))</f>
        <v>Pass</v>
      </c>
      <c r="U272" s="115">
        <v>121</v>
      </c>
      <c r="V272" s="173"/>
      <c r="W272" s="11"/>
      <c r="X272" s="116">
        <v>3650</v>
      </c>
      <c r="Y272" s="116">
        <v>4450</v>
      </c>
      <c r="Z272" s="116">
        <v>3700</v>
      </c>
      <c r="AA272" s="116">
        <v>4100</v>
      </c>
      <c r="AB272" s="31">
        <v>7</v>
      </c>
      <c r="AC272" s="31">
        <v>6.5</v>
      </c>
    </row>
    <row r="273" spans="1:29" ht="15.6" x14ac:dyDescent="0.3">
      <c r="A273"/>
      <c r="B273" s="43"/>
      <c r="C273" s="33"/>
      <c r="D273" s="34"/>
      <c r="E273" s="61" t="s">
        <v>187</v>
      </c>
      <c r="F273" s="57">
        <v>2978</v>
      </c>
      <c r="G273" s="58">
        <v>2874</v>
      </c>
      <c r="H273" s="128">
        <v>2922</v>
      </c>
      <c r="I273" s="128">
        <v>2900</v>
      </c>
      <c r="J273" s="128">
        <v>3118</v>
      </c>
      <c r="K273" s="128">
        <v>3173</v>
      </c>
      <c r="L273" s="128">
        <v>2911</v>
      </c>
      <c r="M273" s="128">
        <v>2880</v>
      </c>
      <c r="N273" s="128">
        <v>3010</v>
      </c>
      <c r="O273" s="35"/>
      <c r="P273" s="35"/>
      <c r="Q273" s="36"/>
      <c r="R273" s="36"/>
      <c r="S273" s="113"/>
      <c r="T273" s="114"/>
      <c r="U273" s="122"/>
      <c r="V273" s="174"/>
      <c r="W273" s="11"/>
      <c r="X273" s="118"/>
      <c r="Y273" s="118"/>
      <c r="Z273" s="118"/>
      <c r="AA273" s="118"/>
    </row>
    <row r="274" spans="1:29" ht="23.4" thickBot="1" x14ac:dyDescent="0.35">
      <c r="A274"/>
      <c r="B274" s="43"/>
      <c r="C274" s="33"/>
      <c r="D274" s="34"/>
      <c r="E274" s="48" t="s">
        <v>188</v>
      </c>
      <c r="F274" s="45">
        <f t="shared" ref="F274:N274" si="86">IF(((F272="")*AND(F273="")),"",(F272-F273)*2)</f>
        <v>3928</v>
      </c>
      <c r="G274" s="45">
        <f t="shared" si="86"/>
        <v>4048</v>
      </c>
      <c r="H274" s="45">
        <f t="shared" si="86"/>
        <v>4056</v>
      </c>
      <c r="I274" s="45">
        <f t="shared" si="86"/>
        <v>4046</v>
      </c>
      <c r="J274" s="45">
        <f t="shared" si="86"/>
        <v>3910</v>
      </c>
      <c r="K274" s="45">
        <f t="shared" si="86"/>
        <v>3772</v>
      </c>
      <c r="L274" s="45">
        <f t="shared" si="86"/>
        <v>4040</v>
      </c>
      <c r="M274" s="45">
        <f t="shared" si="86"/>
        <v>4072</v>
      </c>
      <c r="N274" s="45">
        <f t="shared" si="86"/>
        <v>3990</v>
      </c>
      <c r="O274" s="35"/>
      <c r="P274" s="35"/>
      <c r="Q274" s="36"/>
      <c r="R274" s="36"/>
      <c r="S274" s="113"/>
      <c r="T274" s="114"/>
      <c r="U274" s="122"/>
      <c r="V274" s="174"/>
      <c r="W274" s="11"/>
      <c r="X274" s="118"/>
      <c r="Y274" s="118"/>
      <c r="Z274" s="118"/>
      <c r="AA274" s="118"/>
    </row>
    <row r="275" spans="1:29" x14ac:dyDescent="0.25">
      <c r="A275" s="206">
        <v>43237</v>
      </c>
      <c r="B275" s="215" t="s">
        <v>169</v>
      </c>
      <c r="C275" s="47" t="s">
        <v>171</v>
      </c>
      <c r="D275" s="46" t="s">
        <v>189</v>
      </c>
      <c r="E275" s="61" t="s">
        <v>186</v>
      </c>
      <c r="F275" s="57">
        <v>1284</v>
      </c>
      <c r="G275" s="58">
        <v>1261</v>
      </c>
      <c r="H275" s="128">
        <v>1264</v>
      </c>
      <c r="I275" s="128">
        <v>1261</v>
      </c>
      <c r="J275" s="128">
        <v>1304</v>
      </c>
      <c r="K275" s="128">
        <v>1296</v>
      </c>
      <c r="L275" s="128">
        <v>1263</v>
      </c>
      <c r="M275" s="128">
        <v>1259</v>
      </c>
      <c r="N275" s="128">
        <v>1285</v>
      </c>
      <c r="O275" s="48">
        <f>IF((N276=""),"",MAX(F277:N277))</f>
        <v>2124</v>
      </c>
      <c r="P275" s="48">
        <f>IF(N276="","",MIN(F277:N277))</f>
        <v>1971</v>
      </c>
      <c r="Q275" s="49">
        <f>IF((N277=""),"",AVERAGE(F277:N277))</f>
        <v>2061.6666666666665</v>
      </c>
      <c r="R275" s="49">
        <f>IF((N276=""),"",(O275-P275)/(O275+P275)*100)</f>
        <v>3.7362637362637363</v>
      </c>
      <c r="S275" s="113">
        <f>STDEV(F277:N277)</f>
        <v>53.82843114934709</v>
      </c>
      <c r="T275" s="123" t="str">
        <f>IF(N276="","",IF(Q275&gt;1940,IF(R275&lt;8.3,IF(Q275&lt;2180,"Pass","Fail"),"Fail"),"Fail"))</f>
        <v>Pass</v>
      </c>
      <c r="U275" s="115">
        <v>121</v>
      </c>
      <c r="V275" s="173"/>
      <c r="W275" s="11"/>
      <c r="X275" s="116">
        <v>2000</v>
      </c>
      <c r="Y275" s="116">
        <v>3000</v>
      </c>
      <c r="Z275" s="116">
        <v>1940</v>
      </c>
      <c r="AA275" s="116">
        <v>2180</v>
      </c>
      <c r="AB275" s="31">
        <v>5.2</v>
      </c>
      <c r="AC275" s="31">
        <v>5.2</v>
      </c>
    </row>
    <row r="276" spans="1:29" ht="15.6" x14ac:dyDescent="0.3">
      <c r="A276"/>
      <c r="B276" s="32"/>
      <c r="C276" s="33"/>
      <c r="D276" s="34"/>
      <c r="E276" s="61" t="s">
        <v>187</v>
      </c>
      <c r="F276" s="57">
        <v>609</v>
      </c>
      <c r="G276" s="58">
        <v>564</v>
      </c>
      <c r="H276" s="128">
        <v>556</v>
      </c>
      <c r="I276" s="128">
        <v>560</v>
      </c>
      <c r="J276" s="128">
        <v>647</v>
      </c>
      <c r="K276" s="128">
        <v>617</v>
      </c>
      <c r="L276" s="128">
        <v>567</v>
      </c>
      <c r="M276" s="128">
        <v>555</v>
      </c>
      <c r="N276" s="128">
        <v>617</v>
      </c>
      <c r="O276" s="35"/>
      <c r="P276" s="35"/>
      <c r="Q276" s="36"/>
      <c r="R276" s="36"/>
      <c r="S276" s="113"/>
      <c r="T276" s="114"/>
      <c r="U276" s="117"/>
      <c r="V276" s="173"/>
      <c r="W276" s="11"/>
      <c r="X276" s="118"/>
      <c r="Y276" s="118"/>
      <c r="Z276" s="118"/>
      <c r="AA276" s="118"/>
    </row>
    <row r="277" spans="1:29" ht="16.2" thickBot="1" x14ac:dyDescent="0.35">
      <c r="A277"/>
      <c r="B277" s="50"/>
      <c r="C277" s="51"/>
      <c r="D277" s="52"/>
      <c r="E277" s="65" t="s">
        <v>190</v>
      </c>
      <c r="F277" s="53">
        <f t="shared" ref="F277:N277" si="87">IF(((F275="")*AND(F276="")),"",(F275-F276)*3)</f>
        <v>2025</v>
      </c>
      <c r="G277" s="53">
        <f t="shared" si="87"/>
        <v>2091</v>
      </c>
      <c r="H277" s="53">
        <f t="shared" si="87"/>
        <v>2124</v>
      </c>
      <c r="I277" s="53">
        <f t="shared" si="87"/>
        <v>2103</v>
      </c>
      <c r="J277" s="53">
        <f t="shared" si="87"/>
        <v>1971</v>
      </c>
      <c r="K277" s="53">
        <f t="shared" si="87"/>
        <v>2037</v>
      </c>
      <c r="L277" s="53">
        <f t="shared" si="87"/>
        <v>2088</v>
      </c>
      <c r="M277" s="53">
        <f t="shared" si="87"/>
        <v>2112</v>
      </c>
      <c r="N277" s="53">
        <f t="shared" si="87"/>
        <v>2004</v>
      </c>
      <c r="O277" s="54"/>
      <c r="P277" s="54"/>
      <c r="Q277" s="55"/>
      <c r="R277" s="55"/>
      <c r="S277" s="133"/>
      <c r="T277" s="124"/>
      <c r="U277" s="125"/>
      <c r="V277" s="173"/>
      <c r="W277" s="11"/>
      <c r="X277" s="118"/>
      <c r="Y277" s="118"/>
      <c r="Z277" s="118"/>
      <c r="AA277" s="118"/>
    </row>
    <row r="278" spans="1:29" x14ac:dyDescent="0.25">
      <c r="A278" s="206">
        <v>43241</v>
      </c>
      <c r="B278" s="216" t="s">
        <v>185</v>
      </c>
      <c r="C278" s="27" t="s">
        <v>173</v>
      </c>
      <c r="D278" s="28" t="s">
        <v>172</v>
      </c>
      <c r="E278" s="59" t="s">
        <v>186</v>
      </c>
      <c r="F278" s="11">
        <v>29382.49</v>
      </c>
      <c r="G278" s="11">
        <v>29235.49</v>
      </c>
      <c r="H278" s="11">
        <v>29287.95</v>
      </c>
      <c r="I278" s="11">
        <v>29202.19</v>
      </c>
      <c r="J278" s="11">
        <v>29437.08</v>
      </c>
      <c r="K278" s="11">
        <v>29362.13</v>
      </c>
      <c r="L278" s="11">
        <v>29215.040000000001</v>
      </c>
      <c r="M278" s="11">
        <v>29209.759999999998</v>
      </c>
      <c r="N278" s="11">
        <v>29438.03</v>
      </c>
      <c r="O278" s="29">
        <f>IF((N279=""),"",MAX(F280:N280))</f>
        <v>4716.9900000000052</v>
      </c>
      <c r="P278" s="29">
        <f>IF(N279="","",MIN(F280:N280))</f>
        <v>4100.8799999999974</v>
      </c>
      <c r="Q278" s="30">
        <f>IF((N280=""),"",AVERAGE(F280:N280))</f>
        <v>4384.71</v>
      </c>
      <c r="R278" s="30">
        <f>IF((N279=""),"",(O278-P278)/(O278+P278)*100)</f>
        <v>6.9870615012469868</v>
      </c>
      <c r="S278" s="113">
        <f>STDEV(F280:N280)</f>
        <v>253.22934382689721</v>
      </c>
      <c r="T278" s="114" t="str">
        <f>IF(N279="","",IF(R278&lt;16,IF(Q278&gt;3200,IF(R278,IF(Q278&lt;5240,"Pass","Fail"),"Fail"),"Fail")))</f>
        <v>Pass</v>
      </c>
      <c r="U278" s="115">
        <v>102</v>
      </c>
      <c r="V278" s="173"/>
      <c r="W278" s="11"/>
      <c r="X278" s="116">
        <v>4200</v>
      </c>
      <c r="Y278" s="116">
        <v>5500</v>
      </c>
      <c r="Z278" s="116">
        <v>3200</v>
      </c>
      <c r="AA278" s="116">
        <v>5240</v>
      </c>
      <c r="AB278" s="31">
        <v>16</v>
      </c>
      <c r="AC278" s="31">
        <v>16</v>
      </c>
    </row>
    <row r="279" spans="1:29" ht="15.6" x14ac:dyDescent="0.3">
      <c r="A279"/>
      <c r="B279" s="32"/>
      <c r="C279" s="33"/>
      <c r="D279" s="34"/>
      <c r="E279" s="61" t="s">
        <v>187</v>
      </c>
      <c r="F279" s="11">
        <v>27852.77</v>
      </c>
      <c r="G279" s="11">
        <v>27840.73</v>
      </c>
      <c r="H279" s="11">
        <v>27920.99</v>
      </c>
      <c r="I279" s="11">
        <v>27800.02</v>
      </c>
      <c r="J279" s="11">
        <v>27864.75</v>
      </c>
      <c r="K279" s="11">
        <v>27825.67</v>
      </c>
      <c r="L279" s="11">
        <v>27819.64</v>
      </c>
      <c r="M279" s="11">
        <v>27810.99</v>
      </c>
      <c r="N279" s="11">
        <v>27880.47</v>
      </c>
      <c r="O279" s="35"/>
      <c r="P279" s="35"/>
      <c r="Q279" s="36"/>
      <c r="R279" s="36"/>
      <c r="S279" s="113"/>
      <c r="T279" s="114"/>
      <c r="U279" s="117"/>
      <c r="V279" s="173"/>
      <c r="W279" s="11"/>
      <c r="X279" s="118"/>
      <c r="Y279" s="118"/>
      <c r="Z279" s="118"/>
      <c r="AA279" s="118"/>
    </row>
    <row r="280" spans="1:29" ht="23.4" thickBot="1" x14ac:dyDescent="0.35">
      <c r="A280"/>
      <c r="B280" s="37"/>
      <c r="C280" s="38"/>
      <c r="D280" s="39"/>
      <c r="E280" s="61" t="s">
        <v>188</v>
      </c>
      <c r="F280" s="40">
        <f t="shared" ref="F280:N280" si="88">IF(((F278="")*AND(F279="")),"",(F278-F279)*3)</f>
        <v>4589.1600000000035</v>
      </c>
      <c r="G280" s="40">
        <f t="shared" si="88"/>
        <v>4184.2800000000061</v>
      </c>
      <c r="H280" s="40">
        <f t="shared" si="88"/>
        <v>4100.8799999999974</v>
      </c>
      <c r="I280" s="40">
        <f t="shared" si="88"/>
        <v>4206.5099999999948</v>
      </c>
      <c r="J280" s="40">
        <f t="shared" si="88"/>
        <v>4716.9900000000052</v>
      </c>
      <c r="K280" s="40">
        <f t="shared" si="88"/>
        <v>4609.3800000000083</v>
      </c>
      <c r="L280" s="40">
        <f t="shared" si="88"/>
        <v>4186.2000000000044</v>
      </c>
      <c r="M280" s="40">
        <f t="shared" si="88"/>
        <v>4196.3099999999904</v>
      </c>
      <c r="N280" s="40">
        <f t="shared" si="88"/>
        <v>4672.679999999993</v>
      </c>
      <c r="O280" s="41"/>
      <c r="P280" s="41"/>
      <c r="Q280" s="42"/>
      <c r="R280" s="42"/>
      <c r="S280" s="134"/>
      <c r="T280" s="119"/>
      <c r="U280" s="120"/>
      <c r="V280" s="173"/>
      <c r="W280" s="11"/>
      <c r="X280" s="118"/>
      <c r="Y280" s="118"/>
      <c r="Z280" s="118"/>
      <c r="AA280" s="118"/>
    </row>
    <row r="281" spans="1:29" x14ac:dyDescent="0.25">
      <c r="A281" s="206">
        <v>43241</v>
      </c>
      <c r="B281" s="215" t="s">
        <v>174</v>
      </c>
      <c r="C281" s="33" t="s">
        <v>176</v>
      </c>
      <c r="D281" s="44" t="s">
        <v>175</v>
      </c>
      <c r="E281" s="41" t="s">
        <v>186</v>
      </c>
      <c r="F281" s="11">
        <v>6990.52</v>
      </c>
      <c r="G281" s="11">
        <v>6987.59</v>
      </c>
      <c r="H281" s="11">
        <v>6999.97</v>
      </c>
      <c r="I281" s="11">
        <v>6999.94</v>
      </c>
      <c r="J281" s="11">
        <v>6999.95</v>
      </c>
      <c r="K281" s="11">
        <v>7000</v>
      </c>
      <c r="L281" s="11">
        <v>6999.94</v>
      </c>
      <c r="M281" s="11">
        <v>6999.99</v>
      </c>
      <c r="N281" s="11">
        <v>6999.91</v>
      </c>
      <c r="O281" s="35">
        <f>IF((N282=""),"",MAX(F283:N283))</f>
        <v>4030.4600000000009</v>
      </c>
      <c r="P281" s="35">
        <f>IF(N282="","",MIN(F283:N283))</f>
        <v>3570.8199999999997</v>
      </c>
      <c r="Q281" s="36">
        <f>IF((N283=""),"",AVERAGE(F283:N283))</f>
        <v>3860.6000000000004</v>
      </c>
      <c r="R281" s="36">
        <f>IF((N282=""),"",(O281-P281)/(O281+P281)*100)</f>
        <v>6.0468763155679204</v>
      </c>
      <c r="S281" s="113">
        <f>STDEV(F283:N283)</f>
        <v>164.95196421989056</v>
      </c>
      <c r="T281" s="114" t="str">
        <f>IF(N282="","",IF(Q281&gt;3650,IF(R281&lt;7,IF(Q281&lt;4450,"Pass","Fail"),"Fail"),"Fail"))</f>
        <v>Pass</v>
      </c>
      <c r="U281" s="115">
        <v>102</v>
      </c>
      <c r="V281" s="173"/>
      <c r="W281" s="11"/>
      <c r="X281" s="116">
        <v>3650</v>
      </c>
      <c r="Y281" s="116">
        <v>4450</v>
      </c>
      <c r="Z281" s="116">
        <v>3700</v>
      </c>
      <c r="AA281" s="116">
        <v>4100</v>
      </c>
      <c r="AB281" s="31">
        <v>7</v>
      </c>
      <c r="AC281" s="31">
        <v>6.5</v>
      </c>
    </row>
    <row r="282" spans="1:29" ht="15.6" x14ac:dyDescent="0.3">
      <c r="A282"/>
      <c r="B282" s="43"/>
      <c r="C282" s="33"/>
      <c r="D282" s="34"/>
      <c r="E282" s="61" t="s">
        <v>187</v>
      </c>
      <c r="F282" s="11">
        <v>5027.46</v>
      </c>
      <c r="G282" s="11">
        <v>4972.3599999999997</v>
      </c>
      <c r="H282" s="11">
        <v>5038.13</v>
      </c>
      <c r="I282" s="11">
        <v>5021.1899999999996</v>
      </c>
      <c r="J282" s="11">
        <v>5214.54</v>
      </c>
      <c r="K282" s="11">
        <v>5182.05</v>
      </c>
      <c r="L282" s="11">
        <v>5026.01</v>
      </c>
      <c r="M282" s="11">
        <v>5001.96</v>
      </c>
      <c r="N282" s="11">
        <v>5121.41</v>
      </c>
      <c r="O282" s="35"/>
      <c r="P282" s="35"/>
      <c r="Q282" s="36"/>
      <c r="R282" s="36"/>
      <c r="S282" s="113"/>
      <c r="T282" s="114"/>
      <c r="U282" s="122"/>
      <c r="V282" s="174"/>
      <c r="W282" s="11"/>
      <c r="X282" s="118"/>
      <c r="Y282" s="118"/>
      <c r="Z282" s="118"/>
      <c r="AA282" s="118"/>
    </row>
    <row r="283" spans="1:29" ht="23.4" thickBot="1" x14ac:dyDescent="0.35">
      <c r="A283"/>
      <c r="B283" s="43"/>
      <c r="C283" s="33"/>
      <c r="D283" s="34"/>
      <c r="E283" s="48" t="s">
        <v>188</v>
      </c>
      <c r="F283" s="45">
        <f t="shared" ref="F283:N283" si="89">IF(((F281="")*AND(F282="")),"",(F281-F282)*2)</f>
        <v>3926.1200000000008</v>
      </c>
      <c r="G283" s="45">
        <f t="shared" si="89"/>
        <v>4030.4600000000009</v>
      </c>
      <c r="H283" s="45">
        <f t="shared" si="89"/>
        <v>3923.6800000000003</v>
      </c>
      <c r="I283" s="45">
        <f t="shared" si="89"/>
        <v>3957.5</v>
      </c>
      <c r="J283" s="45">
        <f t="shared" si="89"/>
        <v>3570.8199999999997</v>
      </c>
      <c r="K283" s="45">
        <f t="shared" si="89"/>
        <v>3635.8999999999996</v>
      </c>
      <c r="L283" s="45">
        <f t="shared" si="89"/>
        <v>3947.8599999999988</v>
      </c>
      <c r="M283" s="45">
        <f t="shared" si="89"/>
        <v>3996.0599999999995</v>
      </c>
      <c r="N283" s="45">
        <f t="shared" si="89"/>
        <v>3757</v>
      </c>
      <c r="O283" s="35"/>
      <c r="P283" s="35"/>
      <c r="Q283" s="36"/>
      <c r="R283" s="36"/>
      <c r="S283" s="113"/>
      <c r="T283" s="114"/>
      <c r="U283" s="122"/>
      <c r="V283" s="174"/>
      <c r="W283" s="11"/>
      <c r="X283" s="118"/>
      <c r="Y283" s="118"/>
      <c r="Z283" s="118"/>
      <c r="AA283" s="118"/>
    </row>
    <row r="284" spans="1:29" x14ac:dyDescent="0.25">
      <c r="A284" s="206">
        <v>43241</v>
      </c>
      <c r="B284" s="215" t="s">
        <v>169</v>
      </c>
      <c r="C284" s="47" t="s">
        <v>171</v>
      </c>
      <c r="D284" s="46" t="s">
        <v>189</v>
      </c>
      <c r="E284" s="61" t="s">
        <v>186</v>
      </c>
      <c r="F284" s="11">
        <v>1941.42</v>
      </c>
      <c r="G284" s="11">
        <v>1947.21</v>
      </c>
      <c r="H284" s="11">
        <v>1952.48</v>
      </c>
      <c r="I284" s="11">
        <v>1948.02</v>
      </c>
      <c r="J284" s="11">
        <v>1944.39</v>
      </c>
      <c r="K284" s="11">
        <v>1938.73</v>
      </c>
      <c r="L284" s="11">
        <v>1944.64</v>
      </c>
      <c r="M284" s="11">
        <v>1950.86</v>
      </c>
      <c r="N284" s="11">
        <v>1943.61</v>
      </c>
      <c r="O284" s="48">
        <f>IF((N285=""),"",MAX(F286:N286))</f>
        <v>2145.9899999999998</v>
      </c>
      <c r="P284" s="48">
        <f>IF(N285="","",MIN(F286:N286))</f>
        <v>1981.3500000000001</v>
      </c>
      <c r="Q284" s="49">
        <f>IF((N286=""),"",AVERAGE(F286:N286))</f>
        <v>2091.25</v>
      </c>
      <c r="R284" s="49">
        <f>IF((N285=""),"",(O284-P284)/(O284+P284)*100)</f>
        <v>3.9890098707642125</v>
      </c>
      <c r="S284" s="113">
        <f>STDEV(F286:N286)</f>
        <v>52.981409947263543</v>
      </c>
      <c r="T284" s="123" t="str">
        <f>IF(N285="","",IF(Q284&gt;1940,IF(R284&lt;8.3,IF(Q284&lt;2180,"Pass","Fail"),"Fail"),"Fail"))</f>
        <v>Pass</v>
      </c>
      <c r="U284" s="115">
        <v>102</v>
      </c>
      <c r="V284" s="173"/>
      <c r="W284" s="11"/>
      <c r="X284" s="116">
        <v>2000</v>
      </c>
      <c r="Y284" s="116">
        <v>3000</v>
      </c>
      <c r="Z284" s="116">
        <v>1940</v>
      </c>
      <c r="AA284" s="116">
        <v>2180</v>
      </c>
      <c r="AB284" s="31">
        <v>5.2</v>
      </c>
      <c r="AC284" s="31">
        <v>5.2</v>
      </c>
    </row>
    <row r="285" spans="1:29" ht="15.6" x14ac:dyDescent="0.3">
      <c r="A285"/>
      <c r="B285" s="32"/>
      <c r="C285" s="33"/>
      <c r="D285" s="34"/>
      <c r="E285" s="61" t="s">
        <v>187</v>
      </c>
      <c r="F285" s="11">
        <v>1248.95</v>
      </c>
      <c r="G285" s="11">
        <v>1238.93</v>
      </c>
      <c r="H285" s="11">
        <v>1242.9100000000001</v>
      </c>
      <c r="I285" s="11">
        <v>1239.43</v>
      </c>
      <c r="J285" s="11">
        <v>1283.94</v>
      </c>
      <c r="K285" s="11">
        <v>1257.01</v>
      </c>
      <c r="L285" s="11">
        <v>1237.48</v>
      </c>
      <c r="M285" s="11">
        <v>1235.53</v>
      </c>
      <c r="N285" s="11">
        <v>1253.43</v>
      </c>
      <c r="O285" s="35"/>
      <c r="P285" s="35"/>
      <c r="Q285" s="36"/>
      <c r="R285" s="36"/>
      <c r="S285" s="113"/>
      <c r="T285" s="114"/>
      <c r="U285" s="117"/>
      <c r="V285" s="173"/>
      <c r="W285" s="11"/>
      <c r="X285" s="118"/>
      <c r="Y285" s="118"/>
      <c r="Z285" s="118"/>
      <c r="AA285" s="118"/>
    </row>
    <row r="286" spans="1:29" ht="16.2" thickBot="1" x14ac:dyDescent="0.35">
      <c r="A286"/>
      <c r="B286" s="50"/>
      <c r="C286" s="51"/>
      <c r="D286" s="52"/>
      <c r="E286" s="65" t="s">
        <v>190</v>
      </c>
      <c r="F286" s="53">
        <f t="shared" ref="F286:N286" si="90">IF(((F284="")*AND(F285="")),"",(F284-F285)*3)</f>
        <v>2077.41</v>
      </c>
      <c r="G286" s="53">
        <f t="shared" si="90"/>
        <v>2124.84</v>
      </c>
      <c r="H286" s="53">
        <f t="shared" si="90"/>
        <v>2128.71</v>
      </c>
      <c r="I286" s="53">
        <f t="shared" si="90"/>
        <v>2125.7699999999995</v>
      </c>
      <c r="J286" s="53">
        <f t="shared" si="90"/>
        <v>1981.3500000000001</v>
      </c>
      <c r="K286" s="53">
        <f t="shared" si="90"/>
        <v>2045.16</v>
      </c>
      <c r="L286" s="53">
        <f t="shared" si="90"/>
        <v>2121.4800000000005</v>
      </c>
      <c r="M286" s="53">
        <f t="shared" si="90"/>
        <v>2145.9899999999998</v>
      </c>
      <c r="N286" s="53">
        <f t="shared" si="90"/>
        <v>2070.5399999999995</v>
      </c>
      <c r="O286" s="54"/>
      <c r="P286" s="54"/>
      <c r="Q286" s="55"/>
      <c r="R286" s="55"/>
      <c r="S286" s="133"/>
      <c r="T286" s="124"/>
      <c r="U286" s="125"/>
      <c r="V286" s="173"/>
      <c r="W286" s="11"/>
      <c r="X286" s="118"/>
      <c r="Y286" s="118"/>
      <c r="Z286" s="118"/>
      <c r="AA286" s="118"/>
    </row>
    <row r="287" spans="1:29" x14ac:dyDescent="0.25">
      <c r="A287" s="206">
        <v>43244</v>
      </c>
      <c r="B287" s="216" t="s">
        <v>185</v>
      </c>
      <c r="C287" s="27" t="s">
        <v>173</v>
      </c>
      <c r="D287" s="28" t="s">
        <v>172</v>
      </c>
      <c r="E287" s="59" t="s">
        <v>186</v>
      </c>
      <c r="F287" s="11">
        <v>27782.15</v>
      </c>
      <c r="G287" s="11">
        <v>27766.92</v>
      </c>
      <c r="H287" s="11">
        <v>27854.12</v>
      </c>
      <c r="I287" s="11">
        <v>27729.18</v>
      </c>
      <c r="J287" s="11">
        <v>27793.83</v>
      </c>
      <c r="K287" s="11">
        <v>27755.96</v>
      </c>
      <c r="L287" s="11">
        <v>27750.92</v>
      </c>
      <c r="M287" s="11">
        <v>27742.2</v>
      </c>
      <c r="N287" s="11">
        <v>27808.63</v>
      </c>
      <c r="O287" s="29">
        <f>IF((N288=""),"",MAX(F289:N289))</f>
        <v>4606.1400000000031</v>
      </c>
      <c r="P287" s="29">
        <f>IF(N288="","",MIN(F289:N289))</f>
        <v>4012.5600000000013</v>
      </c>
      <c r="Q287" s="30">
        <f>IF((N289=""),"",AVERAGE(F289:N289))</f>
        <v>4283.4300000000021</v>
      </c>
      <c r="R287" s="30">
        <f>IF((N288=""),"",(O287-P287)/(O287+P287)*100)</f>
        <v>6.8871175467298027</v>
      </c>
      <c r="S287" s="113">
        <f>STDEV(F289:N289)</f>
        <v>263.7261411957511</v>
      </c>
      <c r="T287" s="114" t="str">
        <f>IF(N288="","",IF(R287&lt;16,IF(Q287&gt;3200,IF(R287,IF(Q287&lt;5240,"Pass","Fail"),"Fail"),"Fail")))</f>
        <v>Pass</v>
      </c>
      <c r="U287" s="115">
        <v>1159</v>
      </c>
      <c r="V287" s="11" t="s">
        <v>195</v>
      </c>
      <c r="X287" s="116">
        <v>4200</v>
      </c>
      <c r="Y287" s="116">
        <v>5500</v>
      </c>
      <c r="Z287" s="116">
        <v>3200</v>
      </c>
      <c r="AA287" s="116">
        <v>5240</v>
      </c>
      <c r="AB287" s="31">
        <v>16</v>
      </c>
      <c r="AC287" s="31">
        <v>16</v>
      </c>
    </row>
    <row r="288" spans="1:29" ht="15.6" x14ac:dyDescent="0.3">
      <c r="A288"/>
      <c r="B288" s="32"/>
      <c r="C288" s="33"/>
      <c r="D288" s="34"/>
      <c r="E288" s="61" t="s">
        <v>187</v>
      </c>
      <c r="F288" s="11">
        <v>26288.12</v>
      </c>
      <c r="G288" s="11">
        <v>26409.07</v>
      </c>
      <c r="H288" s="11">
        <v>26516.6</v>
      </c>
      <c r="I288" s="11">
        <v>26371.040000000001</v>
      </c>
      <c r="J288" s="11">
        <v>26258.45</v>
      </c>
      <c r="K288" s="11">
        <v>26241.759999999998</v>
      </c>
      <c r="L288" s="11">
        <v>26386.71</v>
      </c>
      <c r="M288" s="11">
        <v>26386.89</v>
      </c>
      <c r="N288" s="11">
        <v>26274.98</v>
      </c>
      <c r="O288" s="35"/>
      <c r="P288" s="35"/>
      <c r="Q288" s="36"/>
      <c r="R288" s="36"/>
      <c r="S288" s="113"/>
      <c r="T288" s="114"/>
      <c r="U288" s="117"/>
      <c r="X288" s="118"/>
      <c r="Y288" s="118"/>
      <c r="Z288" s="118"/>
      <c r="AA288" s="118"/>
    </row>
    <row r="289" spans="1:29" ht="23.4" thickBot="1" x14ac:dyDescent="0.35">
      <c r="A289"/>
      <c r="B289" s="37"/>
      <c r="C289" s="38"/>
      <c r="D289" s="39"/>
      <c r="E289" s="61" t="s">
        <v>188</v>
      </c>
      <c r="F289" s="40">
        <f t="shared" ref="F289:N289" si="91">IF(((F287="")*AND(F288="")),"",(F287-F288)*3)</f>
        <v>4482.0900000000074</v>
      </c>
      <c r="G289" s="40">
        <f t="shared" si="91"/>
        <v>4073.5499999999956</v>
      </c>
      <c r="H289" s="40">
        <f t="shared" si="91"/>
        <v>4012.5600000000013</v>
      </c>
      <c r="I289" s="40">
        <f t="shared" si="91"/>
        <v>4074.4199999999983</v>
      </c>
      <c r="J289" s="40">
        <f t="shared" si="91"/>
        <v>4606.1400000000031</v>
      </c>
      <c r="K289" s="40">
        <f t="shared" si="91"/>
        <v>4542.6000000000022</v>
      </c>
      <c r="L289" s="40">
        <f t="shared" si="91"/>
        <v>4092.6299999999974</v>
      </c>
      <c r="M289" s="40">
        <f t="shared" si="91"/>
        <v>4065.9300000000039</v>
      </c>
      <c r="N289" s="40">
        <f t="shared" si="91"/>
        <v>4600.9500000000044</v>
      </c>
      <c r="O289" s="41"/>
      <c r="P289" s="41"/>
      <c r="Q289" s="42"/>
      <c r="R289" s="42"/>
      <c r="S289" s="134"/>
      <c r="T289" s="119"/>
      <c r="U289" s="120"/>
      <c r="X289" s="118"/>
      <c r="Y289" s="118"/>
      <c r="Z289" s="118"/>
      <c r="AA289" s="118"/>
    </row>
    <row r="290" spans="1:29" x14ac:dyDescent="0.25">
      <c r="A290" s="206">
        <v>43244</v>
      </c>
      <c r="B290" s="215" t="s">
        <v>174</v>
      </c>
      <c r="C290" s="33" t="s">
        <v>176</v>
      </c>
      <c r="D290" s="44" t="s">
        <v>175</v>
      </c>
      <c r="E290" s="41" t="s">
        <v>186</v>
      </c>
      <c r="F290" s="11">
        <v>6855.3</v>
      </c>
      <c r="G290" s="11">
        <v>6847.12</v>
      </c>
      <c r="H290" s="11">
        <v>6915.85</v>
      </c>
      <c r="I290" s="11">
        <v>6889.95</v>
      </c>
      <c r="J290" s="11">
        <v>7000</v>
      </c>
      <c r="K290" s="11">
        <v>6934.37</v>
      </c>
      <c r="L290" s="11">
        <v>6894.35</v>
      </c>
      <c r="M290" s="11">
        <v>6886.61</v>
      </c>
      <c r="N290" s="11">
        <v>6975.03</v>
      </c>
      <c r="O290" s="35">
        <f>IF((N291=""),"",MAX(F292:N292))</f>
        <v>4069.26</v>
      </c>
      <c r="P290" s="35">
        <f>IF(N291="","",MIN(F292:N292))</f>
        <v>3806.76</v>
      </c>
      <c r="Q290" s="36">
        <f>IF((N292=""),"",AVERAGE(F292:N292))</f>
        <v>3988.284444444444</v>
      </c>
      <c r="R290" s="36">
        <f>IF((N291=""),"",(O290-P290)/(O290+P290)*100)</f>
        <v>3.3329016432157355</v>
      </c>
      <c r="S290" s="113">
        <f>STDEV(F292:N292)</f>
        <v>91.663049140740299</v>
      </c>
      <c r="T290" s="114" t="str">
        <f>IF(N291="","",IF(Q290&gt;3650,IF(R290&lt;7,IF(Q290&lt;4450,"Pass","Fail"),"Fail"),"Fail"))</f>
        <v>Pass</v>
      </c>
      <c r="U290" s="115">
        <v>1159</v>
      </c>
      <c r="V290" s="11" t="s">
        <v>195</v>
      </c>
      <c r="X290" s="116">
        <v>3650</v>
      </c>
      <c r="Y290" s="116">
        <v>4450</v>
      </c>
      <c r="Z290" s="116">
        <v>3700</v>
      </c>
      <c r="AA290" s="116">
        <v>4100</v>
      </c>
      <c r="AB290" s="31">
        <v>7</v>
      </c>
      <c r="AC290" s="31">
        <v>6.5</v>
      </c>
    </row>
    <row r="291" spans="1:29" ht="16.649999999999999" customHeight="1" x14ac:dyDescent="0.3">
      <c r="A291"/>
      <c r="B291" s="43"/>
      <c r="C291" s="33"/>
      <c r="D291" s="34"/>
      <c r="E291" s="61" t="s">
        <v>187</v>
      </c>
      <c r="F291" s="11">
        <v>4891.8</v>
      </c>
      <c r="G291" s="11">
        <v>4828.8999999999996</v>
      </c>
      <c r="H291" s="11">
        <v>4881.22</v>
      </c>
      <c r="I291" s="11">
        <v>4863.8900000000003</v>
      </c>
      <c r="J291" s="11">
        <v>5050.01</v>
      </c>
      <c r="K291" s="11">
        <v>5030.99</v>
      </c>
      <c r="L291" s="11">
        <v>4869.18</v>
      </c>
      <c r="M291" s="11">
        <v>4854.03</v>
      </c>
      <c r="N291" s="11">
        <v>4981.28</v>
      </c>
      <c r="O291" s="35"/>
      <c r="P291" s="35"/>
      <c r="Q291" s="36"/>
      <c r="R291" s="36"/>
      <c r="S291" s="113"/>
      <c r="T291" s="114"/>
      <c r="U291" s="122"/>
      <c r="X291" s="118"/>
      <c r="Y291" s="118"/>
      <c r="Z291" s="118"/>
      <c r="AA291" s="118"/>
    </row>
    <row r="292" spans="1:29" ht="22.65" customHeight="1" thickBot="1" x14ac:dyDescent="0.35">
      <c r="A292"/>
      <c r="B292" s="43"/>
      <c r="C292" s="33"/>
      <c r="D292" s="34"/>
      <c r="E292" s="48" t="s">
        <v>188</v>
      </c>
      <c r="F292" s="45">
        <f t="shared" ref="F292:N292" si="92">IF(((F290="")*AND(F291="")),"",(F290-F291)*2)</f>
        <v>3927</v>
      </c>
      <c r="G292" s="45">
        <f t="shared" si="92"/>
        <v>4036.4400000000005</v>
      </c>
      <c r="H292" s="45">
        <f t="shared" si="92"/>
        <v>4069.26</v>
      </c>
      <c r="I292" s="45">
        <f t="shared" si="92"/>
        <v>4052.119999999999</v>
      </c>
      <c r="J292" s="45">
        <f t="shared" si="92"/>
        <v>3899.9799999999996</v>
      </c>
      <c r="K292" s="45">
        <f t="shared" si="92"/>
        <v>3806.76</v>
      </c>
      <c r="L292" s="45">
        <f t="shared" si="92"/>
        <v>4050.34</v>
      </c>
      <c r="M292" s="45">
        <f t="shared" si="92"/>
        <v>4065.16</v>
      </c>
      <c r="N292" s="45">
        <f t="shared" si="92"/>
        <v>3987.5</v>
      </c>
      <c r="O292" s="35"/>
      <c r="P292" s="35"/>
      <c r="Q292" s="36"/>
      <c r="R292" s="36"/>
      <c r="S292" s="113"/>
      <c r="T292" s="114"/>
      <c r="U292" s="122"/>
      <c r="X292" s="118"/>
      <c r="Y292" s="118"/>
      <c r="Z292" s="118"/>
      <c r="AA292" s="118"/>
    </row>
    <row r="293" spans="1:29" ht="13.35" customHeight="1" x14ac:dyDescent="0.25">
      <c r="A293" s="206">
        <v>43244</v>
      </c>
      <c r="B293" s="215" t="s">
        <v>169</v>
      </c>
      <c r="C293" s="47" t="s">
        <v>171</v>
      </c>
      <c r="D293" s="46" t="s">
        <v>189</v>
      </c>
      <c r="E293" s="61" t="s">
        <v>186</v>
      </c>
      <c r="F293" s="11">
        <v>1254.3499999999999</v>
      </c>
      <c r="G293" s="11">
        <v>1243.99</v>
      </c>
      <c r="H293" s="11">
        <v>1246.74</v>
      </c>
      <c r="I293" s="11">
        <v>1245.3499999999999</v>
      </c>
      <c r="J293" s="11">
        <v>1287.3800000000001</v>
      </c>
      <c r="K293" s="11">
        <v>1258.81</v>
      </c>
      <c r="L293" s="11">
        <v>1241.5899999999999</v>
      </c>
      <c r="M293" s="11">
        <v>1240.3499999999999</v>
      </c>
      <c r="N293" s="11">
        <v>1272.76</v>
      </c>
      <c r="O293" s="48">
        <f>IF((N294=""),"",MAX(F295:N295))</f>
        <v>2135.46</v>
      </c>
      <c r="P293" s="48">
        <f>IF(N294="","",MIN(F295:N295))</f>
        <v>1954.8900000000003</v>
      </c>
      <c r="Q293" s="49">
        <f>IF((N295=""),"",AVERAGE(F295:N295))</f>
        <v>2074.2833333333328</v>
      </c>
      <c r="R293" s="49">
        <f>IF((N294=""),"",(O293-P293)/(O293+P293)*100)</f>
        <v>4.4145366533426165</v>
      </c>
      <c r="S293" s="113">
        <f>STDEV(F295:N295)</f>
        <v>64.695978623095115</v>
      </c>
      <c r="T293" s="123" t="str">
        <f>IF(N294="","",IF(Q293&gt;1940,IF(R293&lt;8.3,IF(Q293&lt;2180,"Pass","Fail"),"Fail"),"Fail"))</f>
        <v>Pass</v>
      </c>
      <c r="U293" s="115">
        <v>1159</v>
      </c>
      <c r="V293" s="11" t="s">
        <v>195</v>
      </c>
      <c r="X293" s="116">
        <v>2000</v>
      </c>
      <c r="Y293" s="116">
        <v>3000</v>
      </c>
      <c r="Z293" s="116">
        <v>1940</v>
      </c>
      <c r="AA293" s="116">
        <v>2180</v>
      </c>
      <c r="AB293" s="31">
        <v>5.2</v>
      </c>
      <c r="AC293" s="31">
        <v>5.2</v>
      </c>
    </row>
    <row r="294" spans="1:29" ht="16.649999999999999" customHeight="1" x14ac:dyDescent="0.3">
      <c r="A294"/>
      <c r="B294" s="32"/>
      <c r="C294" s="33"/>
      <c r="D294" s="34"/>
      <c r="E294" s="61" t="s">
        <v>187</v>
      </c>
      <c r="F294" s="11">
        <v>567.49</v>
      </c>
      <c r="G294" s="11">
        <v>532.16999999999996</v>
      </c>
      <c r="H294" s="11">
        <v>536.88</v>
      </c>
      <c r="I294" s="11">
        <v>542.66</v>
      </c>
      <c r="J294" s="11">
        <v>635.75</v>
      </c>
      <c r="K294" s="11">
        <v>580.99</v>
      </c>
      <c r="L294" s="11">
        <v>534</v>
      </c>
      <c r="M294" s="11">
        <v>533.66</v>
      </c>
      <c r="N294" s="11">
        <v>604.87</v>
      </c>
      <c r="O294" s="35"/>
      <c r="P294" s="35"/>
      <c r="Q294" s="36"/>
      <c r="R294" s="36"/>
      <c r="S294" s="113"/>
      <c r="T294" s="114"/>
      <c r="U294" s="117"/>
      <c r="X294" s="118"/>
      <c r="Y294" s="118"/>
      <c r="Z294" s="118"/>
      <c r="AA294" s="118"/>
    </row>
    <row r="295" spans="1:29" ht="16.649999999999999" customHeight="1" thickBot="1" x14ac:dyDescent="0.35">
      <c r="A295"/>
      <c r="B295" s="50"/>
      <c r="C295" s="51"/>
      <c r="D295" s="52"/>
      <c r="E295" s="65" t="s">
        <v>190</v>
      </c>
      <c r="F295" s="53">
        <f t="shared" ref="F295:N295" si="93">IF(((F293="")*AND(F294="")),"",(F293-F294)*3)</f>
        <v>2060.58</v>
      </c>
      <c r="G295" s="53">
        <f t="shared" si="93"/>
        <v>2135.46</v>
      </c>
      <c r="H295" s="53">
        <f t="shared" si="93"/>
        <v>2129.58</v>
      </c>
      <c r="I295" s="53">
        <f t="shared" si="93"/>
        <v>2108.0699999999997</v>
      </c>
      <c r="J295" s="53">
        <f t="shared" si="93"/>
        <v>1954.8900000000003</v>
      </c>
      <c r="K295" s="53">
        <f t="shared" si="93"/>
        <v>2033.4599999999998</v>
      </c>
      <c r="L295" s="53">
        <f t="shared" si="93"/>
        <v>2122.7699999999995</v>
      </c>
      <c r="M295" s="53">
        <f t="shared" si="93"/>
        <v>2120.0699999999997</v>
      </c>
      <c r="N295" s="53">
        <f t="shared" si="93"/>
        <v>2003.67</v>
      </c>
      <c r="O295" s="54"/>
      <c r="P295" s="54"/>
      <c r="Q295" s="55"/>
      <c r="R295" s="55"/>
      <c r="S295" s="133"/>
      <c r="T295" s="124"/>
      <c r="U295" s="125"/>
      <c r="X295" s="118"/>
      <c r="Y295" s="118"/>
      <c r="Z295" s="118"/>
      <c r="AA295" s="118"/>
    </row>
    <row r="296" spans="1:29" ht="13.35" customHeight="1" x14ac:dyDescent="0.25">
      <c r="A296" s="206">
        <v>43248</v>
      </c>
      <c r="B296" s="216" t="s">
        <v>185</v>
      </c>
      <c r="C296" s="27" t="s">
        <v>173</v>
      </c>
      <c r="D296" s="28" t="s">
        <v>172</v>
      </c>
      <c r="E296" s="59" t="s">
        <v>186</v>
      </c>
      <c r="F296" s="11">
        <v>26215.79</v>
      </c>
      <c r="G296" s="11">
        <v>26337.64</v>
      </c>
      <c r="H296" s="11">
        <v>26455.16</v>
      </c>
      <c r="I296" s="11">
        <v>26306.33</v>
      </c>
      <c r="J296" s="11">
        <v>26182.84</v>
      </c>
      <c r="K296" s="11">
        <v>26163.97</v>
      </c>
      <c r="L296" s="11">
        <v>26316.35</v>
      </c>
      <c r="M296" s="11">
        <v>26314.46</v>
      </c>
      <c r="N296" s="11">
        <v>26201.75</v>
      </c>
      <c r="O296" s="29">
        <f>IF((N297=""),"",MAX(F298:N298))</f>
        <v>4581.2700000000004</v>
      </c>
      <c r="P296" s="29">
        <f>IF(N297="","",MIN(F298:N298))</f>
        <v>3976.9199999999983</v>
      </c>
      <c r="Q296" s="30">
        <f>IF((N298=""),"",AVERAGE(F298:N298))</f>
        <v>4247.8266666666668</v>
      </c>
      <c r="R296" s="30">
        <f>IF((N297=""),"",(O296-P296)/(O296+P296)*100)</f>
        <v>7.0616567288176846</v>
      </c>
      <c r="S296" s="113">
        <f>STDEV(F298:N298)</f>
        <v>253.70306915762816</v>
      </c>
      <c r="T296" s="114" t="str">
        <f>IF(N297="","",IF(R296&lt;16,IF(Q296&gt;3200,IF(R296,IF(Q296&lt;5240,"Pass","Fail"),"Fail"),"Fail")))</f>
        <v>Pass</v>
      </c>
      <c r="U296" s="115">
        <v>1428</v>
      </c>
      <c r="W296" s="11"/>
      <c r="X296" s="116">
        <v>4200</v>
      </c>
      <c r="Y296" s="116">
        <v>5500</v>
      </c>
      <c r="Z296" s="116">
        <v>3200</v>
      </c>
      <c r="AA296" s="116">
        <v>5240</v>
      </c>
      <c r="AB296" s="31">
        <v>16</v>
      </c>
      <c r="AC296" s="31">
        <v>16</v>
      </c>
    </row>
    <row r="297" spans="1:29" ht="16.649999999999999" customHeight="1" x14ac:dyDescent="0.3">
      <c r="A297"/>
      <c r="B297" s="32"/>
      <c r="C297" s="33"/>
      <c r="D297" s="34"/>
      <c r="E297" s="61" t="s">
        <v>187</v>
      </c>
      <c r="F297" s="11">
        <v>24738.75</v>
      </c>
      <c r="G297" s="11">
        <v>24988.21</v>
      </c>
      <c r="H297" s="11">
        <v>25129.52</v>
      </c>
      <c r="I297" s="11">
        <v>24949.25</v>
      </c>
      <c r="J297" s="11">
        <v>24657.34</v>
      </c>
      <c r="K297" s="11">
        <v>24682.080000000002</v>
      </c>
      <c r="L297" s="11">
        <v>24964.23</v>
      </c>
      <c r="M297" s="11">
        <v>24966.77</v>
      </c>
      <c r="N297" s="11">
        <v>24674.66</v>
      </c>
      <c r="O297" s="35"/>
      <c r="P297" s="35"/>
      <c r="Q297" s="36"/>
      <c r="R297" s="36"/>
      <c r="S297" s="113"/>
      <c r="T297" s="114"/>
      <c r="U297" s="117"/>
      <c r="W297" s="11"/>
      <c r="X297" s="118"/>
      <c r="Y297" s="118"/>
      <c r="Z297" s="118"/>
      <c r="AA297" s="118"/>
    </row>
    <row r="298" spans="1:29" ht="22.65" customHeight="1" thickBot="1" x14ac:dyDescent="0.35">
      <c r="A298"/>
      <c r="B298" s="37"/>
      <c r="C298" s="38"/>
      <c r="D298" s="39"/>
      <c r="E298" s="61" t="s">
        <v>188</v>
      </c>
      <c r="F298" s="40">
        <f t="shared" ref="F298:N298" si="94">IF(((F296="")*AND(F297="")),"",(F296-F297)*3)</f>
        <v>4431.1200000000026</v>
      </c>
      <c r="G298" s="40">
        <f t="shared" si="94"/>
        <v>4048.2900000000009</v>
      </c>
      <c r="H298" s="40">
        <f t="shared" si="94"/>
        <v>3976.9199999999983</v>
      </c>
      <c r="I298" s="40">
        <f t="shared" si="94"/>
        <v>4071.2400000000052</v>
      </c>
      <c r="J298" s="40">
        <f t="shared" si="94"/>
        <v>4576.5</v>
      </c>
      <c r="K298" s="40">
        <f t="shared" si="94"/>
        <v>4445.6699999999983</v>
      </c>
      <c r="L298" s="40">
        <f t="shared" si="94"/>
        <v>4056.3599999999969</v>
      </c>
      <c r="M298" s="40">
        <f t="shared" si="94"/>
        <v>4043.0699999999961</v>
      </c>
      <c r="N298" s="40">
        <f t="shared" si="94"/>
        <v>4581.2700000000004</v>
      </c>
      <c r="O298" s="41"/>
      <c r="P298" s="41"/>
      <c r="Q298" s="42"/>
      <c r="R298" s="42"/>
      <c r="S298" s="134"/>
      <c r="T298" s="119"/>
      <c r="U298" s="120"/>
      <c r="W298" s="11"/>
      <c r="X298" s="118"/>
      <c r="Y298" s="118"/>
      <c r="Z298" s="118"/>
      <c r="AA298" s="118"/>
    </row>
    <row r="299" spans="1:29" x14ac:dyDescent="0.25">
      <c r="A299" s="206">
        <v>43248</v>
      </c>
      <c r="B299" s="215" t="s">
        <v>174</v>
      </c>
      <c r="C299" s="33" t="s">
        <v>176</v>
      </c>
      <c r="D299" s="44" t="s">
        <v>175</v>
      </c>
      <c r="E299" s="41" t="s">
        <v>186</v>
      </c>
      <c r="F299" s="11">
        <v>4904.3900000000003</v>
      </c>
      <c r="G299" s="11">
        <v>4842.66</v>
      </c>
      <c r="H299" s="11">
        <v>4894.71</v>
      </c>
      <c r="I299" s="11">
        <v>4876.95</v>
      </c>
      <c r="J299" s="11">
        <v>5060.51</v>
      </c>
      <c r="K299" s="11">
        <v>5040.1899999999996</v>
      </c>
      <c r="L299" s="11">
        <v>4882.38</v>
      </c>
      <c r="M299" s="11">
        <v>4867.34</v>
      </c>
      <c r="N299" s="11">
        <v>4992.62</v>
      </c>
      <c r="O299" s="35">
        <f>IF((N300=""),"",MAX(F301:N301))</f>
        <v>4123.6000000000004</v>
      </c>
      <c r="P299" s="35">
        <f>IF(N300="","",MIN(F301:N301))</f>
        <v>3807.5199999999995</v>
      </c>
      <c r="Q299" s="36">
        <f>IF((N301=""),"",AVERAGE(F301:N301))</f>
        <v>4029.2511111111112</v>
      </c>
      <c r="R299" s="36">
        <f>IF((N300=""),"",(O299-P299)/(O299+P299)*100)</f>
        <v>3.9853135496626058</v>
      </c>
      <c r="S299" s="113">
        <f>STDEV(F301:N301)</f>
        <v>102.70881077644286</v>
      </c>
      <c r="T299" s="114" t="str">
        <f>IF(N300="","",IF(Q299&gt;3650,IF(R299&lt;7,IF(Q299&lt;4450,"Pass","Fail"),"Fail"),"Fail"))</f>
        <v>Pass</v>
      </c>
      <c r="U299" s="115">
        <v>1428</v>
      </c>
      <c r="W299" s="11"/>
      <c r="X299" s="116">
        <v>3650</v>
      </c>
      <c r="Y299" s="116">
        <v>4450</v>
      </c>
      <c r="Z299" s="116">
        <v>3700</v>
      </c>
      <c r="AA299" s="116">
        <v>4100</v>
      </c>
      <c r="AB299" s="31">
        <v>7</v>
      </c>
      <c r="AC299" s="31">
        <v>6.5</v>
      </c>
    </row>
    <row r="300" spans="1:29" ht="16.649999999999999" customHeight="1" x14ac:dyDescent="0.3">
      <c r="A300"/>
      <c r="B300" s="43"/>
      <c r="C300" s="33"/>
      <c r="D300" s="34"/>
      <c r="E300" s="61" t="s">
        <v>187</v>
      </c>
      <c r="F300" s="11">
        <v>2921.55</v>
      </c>
      <c r="G300" s="11">
        <v>2800.74</v>
      </c>
      <c r="H300" s="11">
        <v>2840.73</v>
      </c>
      <c r="I300" s="11">
        <v>2831.04</v>
      </c>
      <c r="J300" s="11">
        <v>3084.51</v>
      </c>
      <c r="K300" s="11">
        <v>3136.43</v>
      </c>
      <c r="L300" s="11">
        <v>2840.93</v>
      </c>
      <c r="M300" s="11">
        <v>2805.54</v>
      </c>
      <c r="N300" s="11">
        <v>2968.65</v>
      </c>
      <c r="O300" s="35"/>
      <c r="P300" s="35"/>
      <c r="Q300" s="36"/>
      <c r="R300" s="36"/>
      <c r="S300" s="113"/>
      <c r="T300" s="114"/>
      <c r="U300" s="122"/>
      <c r="W300" s="11"/>
      <c r="X300" s="118"/>
      <c r="Y300" s="118"/>
      <c r="Z300" s="118"/>
      <c r="AA300" s="118"/>
    </row>
    <row r="301" spans="1:29" ht="22.65" customHeight="1" thickBot="1" x14ac:dyDescent="0.35">
      <c r="A301"/>
      <c r="B301" s="43"/>
      <c r="C301" s="33"/>
      <c r="D301" s="34"/>
      <c r="E301" s="48" t="s">
        <v>188</v>
      </c>
      <c r="F301" s="45">
        <f t="shared" ref="F301:N301" si="95">IF(((F299="")*AND(F300="")),"",(F299-F300)*2)</f>
        <v>3965.6800000000003</v>
      </c>
      <c r="G301" s="45">
        <f t="shared" si="95"/>
        <v>4083.84</v>
      </c>
      <c r="H301" s="45">
        <f t="shared" si="95"/>
        <v>4107.96</v>
      </c>
      <c r="I301" s="45">
        <f t="shared" si="95"/>
        <v>4091.8199999999997</v>
      </c>
      <c r="J301" s="45">
        <f t="shared" si="95"/>
        <v>3952</v>
      </c>
      <c r="K301" s="45">
        <f t="shared" si="95"/>
        <v>3807.5199999999995</v>
      </c>
      <c r="L301" s="45">
        <f t="shared" si="95"/>
        <v>4082.9000000000005</v>
      </c>
      <c r="M301" s="45">
        <f t="shared" si="95"/>
        <v>4123.6000000000004</v>
      </c>
      <c r="N301" s="45">
        <f t="shared" si="95"/>
        <v>4047.9399999999996</v>
      </c>
      <c r="O301" s="35"/>
      <c r="P301" s="35"/>
      <c r="Q301" s="36"/>
      <c r="R301" s="36"/>
      <c r="S301" s="113"/>
      <c r="T301" s="114"/>
      <c r="U301" s="122"/>
      <c r="W301" s="11"/>
      <c r="X301" s="118"/>
      <c r="Y301" s="118"/>
      <c r="Z301" s="118"/>
      <c r="AA301" s="118"/>
    </row>
    <row r="302" spans="1:29" ht="13.35" customHeight="1" x14ac:dyDescent="0.25">
      <c r="A302" s="206">
        <v>43248</v>
      </c>
      <c r="B302" s="215" t="s">
        <v>169</v>
      </c>
      <c r="C302" s="47" t="s">
        <v>171</v>
      </c>
      <c r="D302" s="46" t="s">
        <v>189</v>
      </c>
      <c r="E302" s="61" t="s">
        <v>186</v>
      </c>
      <c r="F302" s="11">
        <v>1956.4</v>
      </c>
      <c r="G302" s="11">
        <v>1964.54</v>
      </c>
      <c r="H302" s="11">
        <v>1969.77</v>
      </c>
      <c r="I302" s="11">
        <v>1967.39</v>
      </c>
      <c r="J302" s="11">
        <v>1963.15</v>
      </c>
      <c r="K302" s="11">
        <v>1952.13</v>
      </c>
      <c r="L302" s="11">
        <v>1968.03</v>
      </c>
      <c r="M302" s="11">
        <v>1965.9</v>
      </c>
      <c r="N302" s="11">
        <v>1962.57</v>
      </c>
      <c r="O302" s="48">
        <f>IF((N303=""),"",MAX(F304:N304))</f>
        <v>2153.0700000000002</v>
      </c>
      <c r="P302" s="48">
        <f>IF(N303="","",MIN(F304:N304))</f>
        <v>1981.6500000000005</v>
      </c>
      <c r="Q302" s="49">
        <f>IF((N304=""),"",AVERAGE(F304:N304))</f>
        <v>2090.5166666666669</v>
      </c>
      <c r="R302" s="49">
        <f>IF((N303=""),"",(O302-P302)/(O302+P302)*100)</f>
        <v>4.1458671929417124</v>
      </c>
      <c r="S302" s="113">
        <f>STDEV(F304:N304)</f>
        <v>71.145038653443706</v>
      </c>
      <c r="T302" s="123" t="str">
        <f>IF(N303="","",IF(Q302&gt;1940,IF(R302&lt;8.3,IF(Q302&lt;2180,"Pass","Fail"),"Fail"),"Fail"))</f>
        <v>Pass</v>
      </c>
      <c r="U302" s="115">
        <v>1428</v>
      </c>
      <c r="W302" s="11"/>
      <c r="X302" s="116">
        <v>2000</v>
      </c>
      <c r="Y302" s="116">
        <v>3000</v>
      </c>
      <c r="Z302" s="116">
        <v>1940</v>
      </c>
      <c r="AA302" s="116">
        <v>2180</v>
      </c>
      <c r="AB302" s="31">
        <v>5.2</v>
      </c>
      <c r="AC302" s="31">
        <v>5.2</v>
      </c>
    </row>
    <row r="303" spans="1:29" ht="16.649999999999999" customHeight="1" x14ac:dyDescent="0.3">
      <c r="A303"/>
      <c r="B303" s="32"/>
      <c r="C303" s="33"/>
      <c r="D303" s="34"/>
      <c r="E303" s="61" t="s">
        <v>187</v>
      </c>
      <c r="F303" s="11">
        <v>1263.8699999999999</v>
      </c>
      <c r="G303" s="11">
        <v>1246.8499999999999</v>
      </c>
      <c r="H303" s="11">
        <v>1253.26</v>
      </c>
      <c r="I303" s="11">
        <v>1255.3599999999999</v>
      </c>
      <c r="J303" s="11">
        <v>1302.5999999999999</v>
      </c>
      <c r="K303" s="11">
        <v>1287.3800000000001</v>
      </c>
      <c r="L303" s="11">
        <v>1251.56</v>
      </c>
      <c r="M303" s="11">
        <v>1251.78</v>
      </c>
      <c r="N303" s="11">
        <v>1285.67</v>
      </c>
      <c r="O303" s="35"/>
      <c r="P303" s="35"/>
      <c r="Q303" s="36"/>
      <c r="R303" s="36"/>
      <c r="S303" s="113"/>
      <c r="T303" s="114"/>
      <c r="U303" s="117"/>
      <c r="W303" s="11"/>
      <c r="X303" s="118"/>
      <c r="Y303" s="118"/>
      <c r="Z303" s="118"/>
      <c r="AA303" s="118"/>
    </row>
    <row r="304" spans="1:29" ht="16.649999999999999" customHeight="1" thickBot="1" x14ac:dyDescent="0.35">
      <c r="A304"/>
      <c r="B304" s="50"/>
      <c r="C304" s="51"/>
      <c r="D304" s="52"/>
      <c r="E304" s="65" t="s">
        <v>190</v>
      </c>
      <c r="F304" s="53">
        <f t="shared" ref="F304:N304" si="96">IF(((F302="")*AND(F303="")),"",(F302-F303)*3)</f>
        <v>2077.5900000000006</v>
      </c>
      <c r="G304" s="53">
        <f t="shared" si="96"/>
        <v>2153.0700000000002</v>
      </c>
      <c r="H304" s="53">
        <f t="shared" si="96"/>
        <v>2149.5299999999997</v>
      </c>
      <c r="I304" s="53">
        <f t="shared" si="96"/>
        <v>2136.0900000000006</v>
      </c>
      <c r="J304" s="53">
        <f t="shared" si="96"/>
        <v>1981.6500000000005</v>
      </c>
      <c r="K304" s="53">
        <f t="shared" si="96"/>
        <v>1994.25</v>
      </c>
      <c r="L304" s="53">
        <f t="shared" si="96"/>
        <v>2149.41</v>
      </c>
      <c r="M304" s="53">
        <f t="shared" si="96"/>
        <v>2142.3600000000006</v>
      </c>
      <c r="N304" s="53">
        <f t="shared" si="96"/>
        <v>2030.6999999999996</v>
      </c>
      <c r="O304" s="54"/>
      <c r="P304" s="54"/>
      <c r="Q304" s="55"/>
      <c r="R304" s="55"/>
      <c r="S304" s="133"/>
      <c r="T304" s="124"/>
      <c r="U304" s="125"/>
      <c r="W304" s="11"/>
      <c r="X304" s="118"/>
      <c r="Y304" s="118"/>
      <c r="Z304" s="118"/>
      <c r="AA304" s="118"/>
    </row>
    <row r="305" spans="1:29" ht="13.35" customHeight="1" x14ac:dyDescent="0.25">
      <c r="A305" s="206">
        <v>43252</v>
      </c>
      <c r="B305" s="216" t="s">
        <v>185</v>
      </c>
      <c r="C305" s="27" t="s">
        <v>173</v>
      </c>
      <c r="D305" s="28" t="s">
        <v>172</v>
      </c>
      <c r="E305" s="59" t="s">
        <v>186</v>
      </c>
      <c r="F305" s="11">
        <v>24738.75</v>
      </c>
      <c r="G305" s="11">
        <v>24988.21</v>
      </c>
      <c r="H305" s="11">
        <v>25129.52</v>
      </c>
      <c r="I305" s="11">
        <v>24949.25</v>
      </c>
      <c r="J305" s="11">
        <v>24657.34</v>
      </c>
      <c r="K305" s="11">
        <v>24682.080000000002</v>
      </c>
      <c r="L305" s="11">
        <v>24964.23</v>
      </c>
      <c r="M305" s="11">
        <v>24966.77</v>
      </c>
      <c r="N305" s="11">
        <v>24674.66</v>
      </c>
      <c r="O305" s="29">
        <f>IF((N306=""),"",MAX(F307:N307))</f>
        <v>5165.1000000000022</v>
      </c>
      <c r="P305" s="29">
        <f>IF(N306="","",MIN(F307:N307))</f>
        <v>4240.4700000000048</v>
      </c>
      <c r="Q305" s="30">
        <f>IF((N307=""),"",AVERAGE(F307:N307))</f>
        <v>4599.8133333333353</v>
      </c>
      <c r="R305" s="30">
        <f>IF((N306=""),"",(O305-P305)/(O305+P305)*100)</f>
        <v>9.8306641702735362</v>
      </c>
      <c r="S305" s="113">
        <f>STDEV(F307:N307)</f>
        <v>371.18153169978763</v>
      </c>
      <c r="T305" s="114" t="str">
        <f>IF(N306="","",IF(R305&lt;16,IF(Q305&gt;3200,IF(R305,IF(Q305&lt;5240,"Pass","Fail"),"Fail"),"Fail")))</f>
        <v>Pass</v>
      </c>
      <c r="U305" s="115" t="s">
        <v>51</v>
      </c>
      <c r="W305" s="11"/>
      <c r="X305" s="116">
        <v>4200</v>
      </c>
      <c r="Y305" s="116">
        <v>5500</v>
      </c>
      <c r="Z305" s="116">
        <v>3200</v>
      </c>
      <c r="AA305" s="116">
        <v>5240</v>
      </c>
      <c r="AB305" s="31">
        <v>16</v>
      </c>
      <c r="AC305" s="31">
        <v>16</v>
      </c>
    </row>
    <row r="306" spans="1:29" ht="16.649999999999999" customHeight="1" x14ac:dyDescent="0.3">
      <c r="A306"/>
      <c r="B306" s="32"/>
      <c r="C306" s="33"/>
      <c r="D306" s="34"/>
      <c r="E306" s="61" t="s">
        <v>187</v>
      </c>
      <c r="F306" s="11">
        <v>23114.37</v>
      </c>
      <c r="G306" s="11">
        <v>23556.55</v>
      </c>
      <c r="H306" s="11">
        <v>23716.03</v>
      </c>
      <c r="I306" s="11">
        <v>23511.09</v>
      </c>
      <c r="J306" s="11">
        <v>22972.12</v>
      </c>
      <c r="K306" s="11">
        <v>23082.38</v>
      </c>
      <c r="L306" s="11">
        <v>23543.87</v>
      </c>
      <c r="M306" s="11">
        <v>23502</v>
      </c>
      <c r="N306" s="11">
        <v>22952.959999999999</v>
      </c>
      <c r="O306" s="35"/>
      <c r="P306" s="35"/>
      <c r="Q306" s="36"/>
      <c r="R306" s="36"/>
      <c r="S306" s="113"/>
      <c r="T306" s="114"/>
      <c r="U306" s="117"/>
      <c r="W306" s="11"/>
      <c r="X306" s="118"/>
      <c r="Y306" s="118"/>
      <c r="Z306" s="118"/>
      <c r="AA306" s="118"/>
    </row>
    <row r="307" spans="1:29" ht="22.65" customHeight="1" thickBot="1" x14ac:dyDescent="0.35">
      <c r="A307"/>
      <c r="B307" s="37"/>
      <c r="C307" s="38"/>
      <c r="D307" s="39"/>
      <c r="E307" s="61" t="s">
        <v>188</v>
      </c>
      <c r="F307" s="40">
        <f t="shared" ref="F307:N307" si="97">IF(((F305="")*AND(F306="")),"",(F305-F306)*3)</f>
        <v>4873.1400000000031</v>
      </c>
      <c r="G307" s="40">
        <f t="shared" si="97"/>
        <v>4294.9799999999996</v>
      </c>
      <c r="H307" s="40">
        <f t="shared" si="97"/>
        <v>4240.4700000000048</v>
      </c>
      <c r="I307" s="40">
        <f t="shared" si="97"/>
        <v>4314.4799999999996</v>
      </c>
      <c r="J307" s="40">
        <f t="shared" si="97"/>
        <v>5055.6600000000035</v>
      </c>
      <c r="K307" s="40">
        <f t="shared" si="97"/>
        <v>4799.1000000000022</v>
      </c>
      <c r="L307" s="40">
        <f t="shared" si="97"/>
        <v>4261.0800000000017</v>
      </c>
      <c r="M307" s="40">
        <f t="shared" si="97"/>
        <v>4394.3100000000013</v>
      </c>
      <c r="N307" s="40">
        <f t="shared" si="97"/>
        <v>5165.1000000000022</v>
      </c>
      <c r="O307" s="41"/>
      <c r="P307" s="41"/>
      <c r="Q307" s="42"/>
      <c r="R307" s="42"/>
      <c r="S307" s="134"/>
      <c r="T307" s="119"/>
      <c r="U307" s="120"/>
      <c r="W307" s="11"/>
      <c r="X307" s="118"/>
      <c r="Y307" s="118"/>
      <c r="Z307" s="118"/>
      <c r="AA307" s="118"/>
    </row>
    <row r="308" spans="1:29" x14ac:dyDescent="0.25">
      <c r="A308" s="206">
        <v>43252</v>
      </c>
      <c r="B308" s="215" t="s">
        <v>174</v>
      </c>
      <c r="C308" s="33" t="s">
        <v>176</v>
      </c>
      <c r="D308" s="44" t="s">
        <v>175</v>
      </c>
      <c r="E308" s="41" t="s">
        <v>186</v>
      </c>
      <c r="F308" s="11">
        <v>2921.55</v>
      </c>
      <c r="G308" s="11">
        <v>2800.74</v>
      </c>
      <c r="H308" s="11">
        <v>2840.73</v>
      </c>
      <c r="I308" s="11">
        <v>2831.04</v>
      </c>
      <c r="J308" s="11">
        <v>3084.51</v>
      </c>
      <c r="K308" s="11">
        <v>3136.43</v>
      </c>
      <c r="L308" s="11">
        <v>2840.93</v>
      </c>
      <c r="M308" s="11">
        <v>2805.54</v>
      </c>
      <c r="N308" s="11">
        <v>2968.65</v>
      </c>
      <c r="O308" s="35">
        <f>IF((N309=""),"",MAX(F310:N310))</f>
        <v>3826.84</v>
      </c>
      <c r="P308" s="35">
        <f>IF(N309="","",MIN(F310:N310))</f>
        <v>3493.7599999999998</v>
      </c>
      <c r="Q308" s="36">
        <f>IF((N310=""),"",AVERAGE(F310:N310))</f>
        <v>3698.6555555555551</v>
      </c>
      <c r="R308" s="36">
        <f>IF((N309=""),"",(O308-P308)/(O308+P308)*100)</f>
        <v>4.5499002813977052</v>
      </c>
      <c r="S308" s="113">
        <f>STDEV(F310:N310)</f>
        <v>119.24296238259832</v>
      </c>
      <c r="T308" s="114" t="str">
        <f>IF(N309="","",IF(Q308&gt;3650,IF(R308&lt;7,IF(Q308&lt;4450,"Pass","Fail"),"Fail"),"Fail"))</f>
        <v>Pass</v>
      </c>
      <c r="U308" s="115" t="s">
        <v>51</v>
      </c>
      <c r="W308" s="11"/>
      <c r="X308" s="116">
        <v>3650</v>
      </c>
      <c r="Y308" s="116">
        <v>4450</v>
      </c>
      <c r="Z308" s="116">
        <v>3700</v>
      </c>
      <c r="AA308" s="116">
        <v>4100</v>
      </c>
      <c r="AB308" s="31">
        <v>7</v>
      </c>
      <c r="AC308" s="31">
        <v>6.5</v>
      </c>
    </row>
    <row r="309" spans="1:29" ht="16.649999999999999" customHeight="1" x14ac:dyDescent="0.3">
      <c r="A309"/>
      <c r="B309" s="43"/>
      <c r="C309" s="33"/>
      <c r="D309" s="34"/>
      <c r="E309" s="61" t="s">
        <v>187</v>
      </c>
      <c r="F309" s="11">
        <v>1126.78</v>
      </c>
      <c r="G309" s="11">
        <v>914.76</v>
      </c>
      <c r="H309" s="11">
        <v>930.66</v>
      </c>
      <c r="I309" s="11">
        <v>947.96</v>
      </c>
      <c r="J309" s="11">
        <v>1296.77</v>
      </c>
      <c r="K309" s="11">
        <v>1389.55</v>
      </c>
      <c r="L309" s="11">
        <v>962.32</v>
      </c>
      <c r="M309" s="11">
        <v>892.12</v>
      </c>
      <c r="N309" s="11">
        <v>1125.25</v>
      </c>
      <c r="O309" s="35"/>
      <c r="P309" s="35"/>
      <c r="Q309" s="36"/>
      <c r="R309" s="36"/>
      <c r="S309" s="113"/>
      <c r="T309" s="114"/>
      <c r="U309" s="122"/>
      <c r="W309" s="11"/>
      <c r="X309" s="118"/>
      <c r="Y309" s="118"/>
      <c r="Z309" s="118"/>
      <c r="AA309" s="118"/>
    </row>
    <row r="310" spans="1:29" ht="22.65" customHeight="1" thickBot="1" x14ac:dyDescent="0.35">
      <c r="A310"/>
      <c r="B310" s="43"/>
      <c r="C310" s="33"/>
      <c r="D310" s="34"/>
      <c r="E310" s="48" t="s">
        <v>188</v>
      </c>
      <c r="F310" s="45">
        <f t="shared" ref="F310:N310" si="98">IF(((F308="")*AND(F309="")),"",(F308-F309)*2)</f>
        <v>3589.5400000000004</v>
      </c>
      <c r="G310" s="45">
        <f t="shared" si="98"/>
        <v>3771.9599999999996</v>
      </c>
      <c r="H310" s="45">
        <f t="shared" si="98"/>
        <v>3820.1400000000003</v>
      </c>
      <c r="I310" s="45">
        <f t="shared" si="98"/>
        <v>3766.16</v>
      </c>
      <c r="J310" s="45">
        <f t="shared" si="98"/>
        <v>3575.4800000000005</v>
      </c>
      <c r="K310" s="45">
        <f t="shared" si="98"/>
        <v>3493.7599999999998</v>
      </c>
      <c r="L310" s="45">
        <f t="shared" si="98"/>
        <v>3757.2199999999993</v>
      </c>
      <c r="M310" s="45">
        <f t="shared" si="98"/>
        <v>3826.84</v>
      </c>
      <c r="N310" s="45">
        <f t="shared" si="98"/>
        <v>3686.8</v>
      </c>
      <c r="O310" s="35"/>
      <c r="P310" s="35"/>
      <c r="Q310" s="36"/>
      <c r="R310" s="36"/>
      <c r="S310" s="113"/>
      <c r="T310" s="114"/>
      <c r="U310" s="122"/>
      <c r="W310" s="11"/>
      <c r="X310" s="118"/>
      <c r="Y310" s="118"/>
      <c r="Z310" s="118"/>
      <c r="AA310" s="118"/>
    </row>
    <row r="311" spans="1:29" ht="13.35" customHeight="1" x14ac:dyDescent="0.25">
      <c r="A311" s="206">
        <v>43252</v>
      </c>
      <c r="B311" s="215" t="s">
        <v>169</v>
      </c>
      <c r="C311" s="47" t="s">
        <v>171</v>
      </c>
      <c r="D311" s="46" t="s">
        <v>189</v>
      </c>
      <c r="E311" s="61" t="s">
        <v>186</v>
      </c>
      <c r="F311" s="11">
        <v>1263.8699999999999</v>
      </c>
      <c r="G311" s="11">
        <v>1246.8499999999999</v>
      </c>
      <c r="H311" s="11">
        <v>1253.26</v>
      </c>
      <c r="I311" s="11">
        <v>1255.3599999999999</v>
      </c>
      <c r="J311" s="11">
        <v>1302.5999999999999</v>
      </c>
      <c r="K311" s="11">
        <v>1287.3800000000001</v>
      </c>
      <c r="L311" s="11">
        <v>1251.56</v>
      </c>
      <c r="M311" s="11">
        <v>1251.78</v>
      </c>
      <c r="N311" s="11">
        <v>1285.67</v>
      </c>
      <c r="O311" s="48">
        <f>IF((N312=""),"",MAX(F313:N313))</f>
        <v>2070.4199999999996</v>
      </c>
      <c r="P311" s="48">
        <f>IF(N312="","",MIN(F313:N313))</f>
        <v>2000.73</v>
      </c>
      <c r="Q311" s="49">
        <f>IF((N313=""),"",AVERAGE(F313:N313))</f>
        <v>2033.1000000000001</v>
      </c>
      <c r="R311" s="49">
        <f>IF((N312=""),"",(O311-P311)/(O311+P311)*100)</f>
        <v>1.7118013337754594</v>
      </c>
      <c r="S311" s="113">
        <f>STDEV(F313:N313)</f>
        <v>24.606863371831903</v>
      </c>
      <c r="T311" s="123" t="str">
        <f>IF(N312="","",IF(Q311&gt;1940,IF(R311&lt;8.3,IF(Q311&lt;2180,"Pass","Fail"),"Fail"),"Fail"))</f>
        <v>Pass</v>
      </c>
      <c r="U311" s="115" t="s">
        <v>51</v>
      </c>
      <c r="W311" s="11"/>
      <c r="X311" s="116">
        <v>2000</v>
      </c>
      <c r="Y311" s="116">
        <v>3000</v>
      </c>
      <c r="Z311" s="116">
        <v>1940</v>
      </c>
      <c r="AA311" s="116">
        <v>2180</v>
      </c>
      <c r="AB311" s="31">
        <v>5.2</v>
      </c>
      <c r="AC311" s="31">
        <v>5.2</v>
      </c>
    </row>
    <row r="312" spans="1:29" ht="16.649999999999999" customHeight="1" x14ac:dyDescent="0.3">
      <c r="A312"/>
      <c r="B312" s="32"/>
      <c r="C312" s="33"/>
      <c r="D312" s="34"/>
      <c r="E312" s="61" t="s">
        <v>187</v>
      </c>
      <c r="F312" s="11">
        <v>573.73</v>
      </c>
      <c r="G312" s="11">
        <v>571.07000000000005</v>
      </c>
      <c r="H312" s="11">
        <v>586.35</v>
      </c>
      <c r="I312" s="11">
        <v>585.64</v>
      </c>
      <c r="J312" s="11">
        <v>624.42999999999995</v>
      </c>
      <c r="K312" s="11">
        <v>598.72</v>
      </c>
      <c r="L312" s="11">
        <v>581.29999999999995</v>
      </c>
      <c r="M312" s="11">
        <v>574.67999999999995</v>
      </c>
      <c r="N312" s="11">
        <v>603.11</v>
      </c>
      <c r="O312" s="35"/>
      <c r="P312" s="35"/>
      <c r="Q312" s="36"/>
      <c r="R312" s="36"/>
      <c r="S312" s="113"/>
      <c r="T312" s="114"/>
      <c r="U312" s="117"/>
      <c r="W312" s="11"/>
      <c r="X312" s="118"/>
      <c r="Y312" s="118"/>
      <c r="Z312" s="118"/>
      <c r="AA312" s="118"/>
    </row>
    <row r="313" spans="1:29" ht="16.649999999999999" customHeight="1" thickBot="1" x14ac:dyDescent="0.35">
      <c r="A313"/>
      <c r="B313" s="32"/>
      <c r="C313" s="33"/>
      <c r="D313" s="34"/>
      <c r="E313" s="48" t="s">
        <v>190</v>
      </c>
      <c r="F313" s="45">
        <f t="shared" ref="F313:N313" si="99">IF(((F311="")*AND(F312="")),"",(F311-F312)*3)</f>
        <v>2070.4199999999996</v>
      </c>
      <c r="G313" s="45">
        <f t="shared" si="99"/>
        <v>2027.3399999999997</v>
      </c>
      <c r="H313" s="45">
        <f t="shared" si="99"/>
        <v>2000.73</v>
      </c>
      <c r="I313" s="45">
        <f t="shared" si="99"/>
        <v>2009.1599999999999</v>
      </c>
      <c r="J313" s="45">
        <f t="shared" si="99"/>
        <v>2034.5099999999998</v>
      </c>
      <c r="K313" s="45">
        <f t="shared" si="99"/>
        <v>2065.9800000000005</v>
      </c>
      <c r="L313" s="45">
        <f t="shared" si="99"/>
        <v>2010.78</v>
      </c>
      <c r="M313" s="45">
        <f t="shared" si="99"/>
        <v>2031.3000000000002</v>
      </c>
      <c r="N313" s="45">
        <f t="shared" si="99"/>
        <v>2047.6800000000003</v>
      </c>
      <c r="O313" s="35"/>
      <c r="P313" s="35"/>
      <c r="Q313" s="36"/>
      <c r="R313" s="36"/>
      <c r="S313" s="113"/>
      <c r="T313" s="114"/>
      <c r="U313" s="117"/>
      <c r="W313" s="11"/>
      <c r="X313" s="118"/>
      <c r="Y313" s="118"/>
      <c r="Z313" s="118"/>
      <c r="AA313" s="118"/>
    </row>
    <row r="314" spans="1:29" ht="13.35" customHeight="1" x14ac:dyDescent="0.25">
      <c r="A314" s="209">
        <v>43256</v>
      </c>
      <c r="B314" s="217" t="s">
        <v>185</v>
      </c>
      <c r="C314" s="44" t="s">
        <v>173</v>
      </c>
      <c r="D314" s="44" t="s">
        <v>172</v>
      </c>
      <c r="E314" s="59" t="s">
        <v>186</v>
      </c>
      <c r="F314" s="136">
        <v>29280.45</v>
      </c>
      <c r="G314" s="136">
        <v>29222</v>
      </c>
      <c r="H314" s="136">
        <v>29174.83</v>
      </c>
      <c r="I314" s="136">
        <v>29222</v>
      </c>
      <c r="J314" s="136">
        <v>29316.43</v>
      </c>
      <c r="K314" s="136">
        <v>29281.82</v>
      </c>
      <c r="L314" s="136">
        <v>29111.01</v>
      </c>
      <c r="M314" s="136">
        <v>29125.79</v>
      </c>
      <c r="N314" s="136">
        <v>29266.46</v>
      </c>
      <c r="O314" s="59">
        <f>IF((N315=""),"",MAX(F316:N316))</f>
        <v>5059.5900000000074</v>
      </c>
      <c r="P314" s="59">
        <f>IF(N315="","",MIN(F316:N316))</f>
        <v>3915.0299999999952</v>
      </c>
      <c r="Q314" s="60">
        <f>IF((N316=""),"",AVERAGE(F316:N316))</f>
        <v>4554.1800000000012</v>
      </c>
      <c r="R314" s="60">
        <f>IF((N315=""),"",(O314-P314)/(O314+P314)*100)</f>
        <v>12.75329763265756</v>
      </c>
      <c r="S314" s="113">
        <f>STDEV(F316:N316)</f>
        <v>442.43309290784208</v>
      </c>
      <c r="T314" s="137" t="str">
        <f>IF(N315="","",IF(R314&lt;16,IF(Q314&gt;3200,IF(R314,IF(Q314&lt;5240,"Pass","Fail"),"Fail"),"Fail")))</f>
        <v>Pass</v>
      </c>
      <c r="U314" s="138">
        <v>1335</v>
      </c>
      <c r="W314" s="11"/>
      <c r="X314" s="116">
        <v>4200</v>
      </c>
      <c r="Y314" s="116">
        <v>5500</v>
      </c>
      <c r="Z314" s="116">
        <v>3200</v>
      </c>
      <c r="AA314" s="116">
        <v>5240</v>
      </c>
      <c r="AB314" s="31">
        <v>16</v>
      </c>
      <c r="AC314" s="31">
        <v>16</v>
      </c>
    </row>
    <row r="315" spans="1:29" ht="16.649999999999999" customHeight="1" x14ac:dyDescent="0.3">
      <c r="A315"/>
      <c r="B315" s="24"/>
      <c r="C315" s="6"/>
      <c r="D315" s="6"/>
      <c r="E315" s="61" t="s">
        <v>187</v>
      </c>
      <c r="F315" s="8">
        <v>27593.919999999998</v>
      </c>
      <c r="G315" s="8">
        <v>27755.65</v>
      </c>
      <c r="H315" s="8">
        <v>27818.42</v>
      </c>
      <c r="I315" s="8">
        <v>27712.87</v>
      </c>
      <c r="J315" s="8">
        <v>27642.38</v>
      </c>
      <c r="K315" s="8">
        <v>27627.56</v>
      </c>
      <c r="L315" s="8">
        <v>27806</v>
      </c>
      <c r="M315" s="8">
        <v>27739</v>
      </c>
      <c r="N315" s="8">
        <v>27642.45</v>
      </c>
      <c r="O315" s="61"/>
      <c r="P315" s="61"/>
      <c r="Q315" s="62"/>
      <c r="R315" s="62"/>
      <c r="S315" s="139"/>
      <c r="T315" s="5"/>
      <c r="U315" s="140"/>
      <c r="W315" s="11"/>
      <c r="X315" s="118"/>
      <c r="Y315" s="118"/>
      <c r="Z315" s="118"/>
      <c r="AA315" s="118"/>
    </row>
    <row r="316" spans="1:29" ht="22.65" customHeight="1" thickBot="1" x14ac:dyDescent="0.35">
      <c r="A316"/>
      <c r="B316" s="24"/>
      <c r="C316" s="6"/>
      <c r="D316" s="6"/>
      <c r="E316" s="61" t="s">
        <v>188</v>
      </c>
      <c r="F316" s="40">
        <f t="shared" ref="F316:N316" si="100">IF(((F314="")*AND(F315="")),"",(F314-F315)*3)</f>
        <v>5059.5900000000074</v>
      </c>
      <c r="G316" s="40">
        <f t="shared" si="100"/>
        <v>4399.0499999999956</v>
      </c>
      <c r="H316" s="40">
        <f t="shared" si="100"/>
        <v>4069.2300000000105</v>
      </c>
      <c r="I316" s="40">
        <f t="shared" si="100"/>
        <v>4527.3900000000031</v>
      </c>
      <c r="J316" s="40">
        <f t="shared" si="100"/>
        <v>5022.1499999999978</v>
      </c>
      <c r="K316" s="40">
        <f t="shared" si="100"/>
        <v>4962.7799999999952</v>
      </c>
      <c r="L316" s="40">
        <f t="shared" si="100"/>
        <v>3915.0299999999952</v>
      </c>
      <c r="M316" s="40">
        <f t="shared" si="100"/>
        <v>4160.3700000000026</v>
      </c>
      <c r="N316" s="40">
        <f t="shared" si="100"/>
        <v>4872.0299999999952</v>
      </c>
      <c r="O316" s="61"/>
      <c r="P316" s="61"/>
      <c r="Q316" s="62"/>
      <c r="R316" s="62"/>
      <c r="S316" s="139"/>
      <c r="T316" s="5"/>
      <c r="U316" s="140"/>
      <c r="W316" s="11"/>
      <c r="X316" s="118"/>
      <c r="Y316" s="118"/>
      <c r="Z316" s="118"/>
      <c r="AA316" s="118"/>
    </row>
    <row r="317" spans="1:29" x14ac:dyDescent="0.25">
      <c r="A317" s="210">
        <v>43256</v>
      </c>
      <c r="B317" s="218" t="s">
        <v>174</v>
      </c>
      <c r="C317" s="6" t="s">
        <v>176</v>
      </c>
      <c r="D317" s="44" t="s">
        <v>175</v>
      </c>
      <c r="E317" s="61" t="s">
        <v>186</v>
      </c>
      <c r="F317" s="8">
        <v>3011.83</v>
      </c>
      <c r="G317" s="8">
        <v>2902.24</v>
      </c>
      <c r="H317" s="8">
        <v>2951.89</v>
      </c>
      <c r="I317" s="8">
        <v>2930.35</v>
      </c>
      <c r="J317" s="8">
        <v>3156.22</v>
      </c>
      <c r="K317" s="8">
        <v>3216.95</v>
      </c>
      <c r="L317" s="8">
        <v>2942.93</v>
      </c>
      <c r="M317" s="8">
        <v>2908.77</v>
      </c>
      <c r="N317" s="8">
        <v>3041.83</v>
      </c>
      <c r="O317" s="61">
        <f>IF((N318=""),"",MAX(F319:N319))</f>
        <v>3992.8999999999996</v>
      </c>
      <c r="P317" s="61">
        <f>IF(N318="","",MIN(F319:N319))</f>
        <v>3669.68</v>
      </c>
      <c r="Q317" s="62">
        <f>IF((N319=""),"",AVERAGE(F319:N319))</f>
        <v>3865.8599999999997</v>
      </c>
      <c r="R317" s="62">
        <f>IF((N318=""),"",(O317-P317)/(O317+P317)*100)</f>
        <v>4.2181615069597944</v>
      </c>
      <c r="S317" s="113">
        <f>STDEV(F319:N319)</f>
        <v>120.80607600613475</v>
      </c>
      <c r="T317" s="5" t="str">
        <f>IF(N318="","",IF(Q317&gt;3650,IF(R317&lt;7,IF(Q317&lt;4450,"Pass","Fail"),"Fail"),"Fail"))</f>
        <v>Pass</v>
      </c>
      <c r="U317" s="140">
        <v>1335</v>
      </c>
      <c r="W317" s="11"/>
      <c r="X317" s="116">
        <v>3650</v>
      </c>
      <c r="Y317" s="116">
        <v>4450</v>
      </c>
      <c r="Z317" s="116">
        <v>3700</v>
      </c>
      <c r="AA317" s="116">
        <v>4100</v>
      </c>
      <c r="AB317" s="31">
        <v>7</v>
      </c>
      <c r="AC317" s="31">
        <v>6.5</v>
      </c>
    </row>
    <row r="318" spans="1:29" ht="16.649999999999999" customHeight="1" x14ac:dyDescent="0.3">
      <c r="A318"/>
      <c r="B318" s="24"/>
      <c r="C318" s="6"/>
      <c r="D318" s="6"/>
      <c r="E318" s="61" t="s">
        <v>187</v>
      </c>
      <c r="F318" s="8">
        <v>1149.9000000000001</v>
      </c>
      <c r="G318" s="8">
        <v>933.37</v>
      </c>
      <c r="H318" s="8">
        <v>955.44</v>
      </c>
      <c r="I318" s="8">
        <v>955.63</v>
      </c>
      <c r="J318" s="8">
        <v>1269.1500000000001</v>
      </c>
      <c r="K318" s="8">
        <v>1382.11</v>
      </c>
      <c r="L318" s="8">
        <v>978.19</v>
      </c>
      <c r="M318" s="8">
        <v>913.3</v>
      </c>
      <c r="N318" s="8">
        <v>1129.55</v>
      </c>
      <c r="O318" s="61"/>
      <c r="P318" s="61"/>
      <c r="Q318" s="62"/>
      <c r="R318" s="62"/>
      <c r="S318" s="139"/>
      <c r="T318" s="5"/>
      <c r="U318" s="141"/>
      <c r="W318" s="11"/>
      <c r="X318" s="118"/>
      <c r="Y318" s="118"/>
      <c r="Z318" s="118"/>
      <c r="AA318" s="118"/>
    </row>
    <row r="319" spans="1:29" ht="22.65" customHeight="1" x14ac:dyDescent="0.3">
      <c r="A319"/>
      <c r="B319" s="24"/>
      <c r="C319" s="6"/>
      <c r="D319" s="6"/>
      <c r="E319" s="61" t="s">
        <v>188</v>
      </c>
      <c r="F319" s="40">
        <f t="shared" ref="F319:N319" si="101">IF(((F317="")*AND(F318="")),"",(F317-F318)*2)</f>
        <v>3723.8599999999997</v>
      </c>
      <c r="G319" s="40">
        <f t="shared" si="101"/>
        <v>3937.74</v>
      </c>
      <c r="H319" s="40">
        <f t="shared" si="101"/>
        <v>3992.8999999999996</v>
      </c>
      <c r="I319" s="40">
        <f t="shared" si="101"/>
        <v>3949.4399999999996</v>
      </c>
      <c r="J319" s="40">
        <f t="shared" si="101"/>
        <v>3774.1399999999994</v>
      </c>
      <c r="K319" s="40">
        <f t="shared" si="101"/>
        <v>3669.68</v>
      </c>
      <c r="L319" s="40">
        <f t="shared" si="101"/>
        <v>3929.4799999999996</v>
      </c>
      <c r="M319" s="40">
        <f t="shared" si="101"/>
        <v>3990.94</v>
      </c>
      <c r="N319" s="40">
        <f t="shared" si="101"/>
        <v>3824.56</v>
      </c>
      <c r="O319" s="61"/>
      <c r="P319" s="61"/>
      <c r="Q319" s="62"/>
      <c r="R319" s="62"/>
      <c r="S319" s="139"/>
      <c r="T319" s="5"/>
      <c r="U319" s="141"/>
      <c r="W319" s="11"/>
      <c r="X319" s="118"/>
      <c r="Y319" s="118"/>
      <c r="Z319" s="118"/>
      <c r="AA319" s="118"/>
    </row>
    <row r="320" spans="1:29" ht="13.35" customHeight="1" x14ac:dyDescent="0.25">
      <c r="A320" s="210">
        <v>43256</v>
      </c>
      <c r="B320" s="215" t="s">
        <v>169</v>
      </c>
      <c r="C320" s="6" t="s">
        <v>171</v>
      </c>
      <c r="D320" s="6" t="s">
        <v>189</v>
      </c>
      <c r="E320" s="61" t="s">
        <v>186</v>
      </c>
      <c r="F320" s="8">
        <v>1989.09</v>
      </c>
      <c r="G320" s="8">
        <v>1988.91</v>
      </c>
      <c r="H320" s="8">
        <v>1991.89</v>
      </c>
      <c r="I320" s="8">
        <v>1986.51</v>
      </c>
      <c r="J320" s="8">
        <v>1988.51</v>
      </c>
      <c r="K320" s="8">
        <v>1989.22</v>
      </c>
      <c r="L320" s="8">
        <v>1987.84</v>
      </c>
      <c r="M320" s="8">
        <v>1989.36</v>
      </c>
      <c r="N320" s="8">
        <v>1988.57</v>
      </c>
      <c r="O320" s="61">
        <f>IF((N321=""),"",MAX(F322:N322))</f>
        <v>2142.7200000000003</v>
      </c>
      <c r="P320" s="61">
        <f>IF(N321="","",MIN(F322:N322))</f>
        <v>2078.1000000000004</v>
      </c>
      <c r="Q320" s="62">
        <f>IF((N322=""),"",AVERAGE(F322:N322))</f>
        <v>2106.5333333333328</v>
      </c>
      <c r="R320" s="62">
        <f>IF((N321=""),"",(O320-P320)/(O320+P320)*100)</f>
        <v>1.5309821314341734</v>
      </c>
      <c r="S320" s="113">
        <f>STDEV(F322:N322)</f>
        <v>20.96954815917594</v>
      </c>
      <c r="T320" s="5" t="str">
        <f>IF(N321="","",IF(Q320&gt;1940,IF(R320&lt;8.3,IF(Q320&lt;2180,"Pass","Fail"),"Fail"),"Fail"))</f>
        <v>Pass</v>
      </c>
      <c r="U320" s="140">
        <v>1335</v>
      </c>
      <c r="W320" s="11"/>
      <c r="X320" s="116">
        <v>2000</v>
      </c>
      <c r="Y320" s="116">
        <v>3000</v>
      </c>
      <c r="Z320" s="116">
        <v>1940</v>
      </c>
      <c r="AA320" s="116">
        <v>2180</v>
      </c>
      <c r="AB320" s="31">
        <v>5.2</v>
      </c>
      <c r="AC320" s="31">
        <v>5.2</v>
      </c>
    </row>
    <row r="321" spans="1:29" ht="16.649999999999999" customHeight="1" x14ac:dyDescent="0.3">
      <c r="A321"/>
      <c r="B321" s="24"/>
      <c r="C321" s="6"/>
      <c r="D321" s="6"/>
      <c r="E321" s="61" t="s">
        <v>187</v>
      </c>
      <c r="F321" s="8">
        <v>1274.8499999999999</v>
      </c>
      <c r="G321" s="8">
        <v>1283.68</v>
      </c>
      <c r="H321" s="8">
        <v>1285.53</v>
      </c>
      <c r="I321" s="8">
        <v>1291.04</v>
      </c>
      <c r="J321" s="8">
        <v>1295.81</v>
      </c>
      <c r="K321" s="8">
        <v>1291.1500000000001</v>
      </c>
      <c r="L321" s="8">
        <v>1291.77</v>
      </c>
      <c r="M321" s="8">
        <v>1282.1600000000001</v>
      </c>
      <c r="N321" s="8">
        <v>1284.31</v>
      </c>
      <c r="O321" s="61"/>
      <c r="P321" s="61"/>
      <c r="Q321" s="62"/>
      <c r="R321" s="62"/>
      <c r="S321" s="139"/>
      <c r="T321" s="5"/>
      <c r="U321" s="140"/>
      <c r="W321" s="11"/>
      <c r="X321" s="118"/>
      <c r="Y321" s="118"/>
      <c r="Z321" s="118"/>
      <c r="AA321" s="118"/>
    </row>
    <row r="322" spans="1:29" ht="32.25" customHeight="1" thickBot="1" x14ac:dyDescent="0.35">
      <c r="A322"/>
      <c r="B322" s="63"/>
      <c r="C322" s="64"/>
      <c r="D322" s="64"/>
      <c r="E322" s="65" t="s">
        <v>190</v>
      </c>
      <c r="F322" s="53">
        <f t="shared" ref="F322:N322" si="102">IF(((F320="")*AND(F321="")),"",(F320-F321)*3)</f>
        <v>2142.7200000000003</v>
      </c>
      <c r="G322" s="53">
        <f t="shared" si="102"/>
        <v>2115.69</v>
      </c>
      <c r="H322" s="53">
        <f t="shared" si="102"/>
        <v>2119.0800000000004</v>
      </c>
      <c r="I322" s="53">
        <f t="shared" si="102"/>
        <v>2086.41</v>
      </c>
      <c r="J322" s="53">
        <f t="shared" si="102"/>
        <v>2078.1000000000004</v>
      </c>
      <c r="K322" s="53">
        <f t="shared" si="102"/>
        <v>2094.21</v>
      </c>
      <c r="L322" s="53">
        <f t="shared" si="102"/>
        <v>2088.21</v>
      </c>
      <c r="M322" s="53">
        <f t="shared" si="102"/>
        <v>2121.5999999999995</v>
      </c>
      <c r="N322" s="53">
        <f t="shared" si="102"/>
        <v>2112.7799999999997</v>
      </c>
      <c r="O322" s="65"/>
      <c r="P322" s="65"/>
      <c r="Q322" s="66"/>
      <c r="R322" s="66"/>
      <c r="S322" s="142"/>
      <c r="T322" s="143"/>
      <c r="U322" s="144"/>
      <c r="W322" s="11"/>
      <c r="X322" s="118"/>
      <c r="Y322" s="118"/>
      <c r="Z322" s="118"/>
      <c r="AA322" s="118"/>
    </row>
    <row r="323" spans="1:29" ht="13.35" customHeight="1" x14ac:dyDescent="0.25">
      <c r="A323" s="207">
        <v>43259</v>
      </c>
      <c r="B323" s="219" t="s">
        <v>185</v>
      </c>
      <c r="C323" s="39" t="s">
        <v>173</v>
      </c>
      <c r="D323" s="39" t="s">
        <v>172</v>
      </c>
      <c r="E323" s="41" t="s">
        <v>186</v>
      </c>
      <c r="F323" s="111">
        <v>27574.79</v>
      </c>
      <c r="G323" s="111">
        <v>27701</v>
      </c>
      <c r="H323" s="111">
        <v>27830.959999999999</v>
      </c>
      <c r="I323" s="111">
        <v>27731.54</v>
      </c>
      <c r="J323" s="111">
        <v>27594.04</v>
      </c>
      <c r="K323" s="111">
        <v>27628.17</v>
      </c>
      <c r="L323" s="111">
        <v>27635.99</v>
      </c>
      <c r="M323" s="111">
        <v>27689.85</v>
      </c>
      <c r="N323" s="111">
        <v>27578.639999999999</v>
      </c>
      <c r="O323" s="41">
        <f>IF((N324=""),"",MAX(F325:N325))</f>
        <v>4954.2900000000009</v>
      </c>
      <c r="P323" s="41">
        <f>IF(N324="","",MIN(F325:N325))</f>
        <v>4017.3000000000065</v>
      </c>
      <c r="Q323" s="42">
        <f>IF((N325=""),"",AVERAGE(F325:N325))</f>
        <v>4414.2833333333338</v>
      </c>
      <c r="R323" s="42">
        <f>IF((N324=""),"",(O323-P323)/(O323+P323)*100)</f>
        <v>10.443968126051164</v>
      </c>
      <c r="S323" s="113">
        <f>STDEV(F325:N325)</f>
        <v>381.9412574271081</v>
      </c>
      <c r="T323" s="119" t="str">
        <f>IF(N324="","",IF(R323&lt;16,IF(Q323&gt;3200,IF(R323,IF(Q323&lt;5240,"Pass","Fail"),"Fail"),"Fail")))</f>
        <v>Pass</v>
      </c>
      <c r="U323" s="120">
        <v>1335</v>
      </c>
      <c r="W323" s="11"/>
      <c r="X323" s="116">
        <v>4200</v>
      </c>
      <c r="Y323" s="116">
        <v>5500</v>
      </c>
      <c r="Z323" s="116">
        <v>3200</v>
      </c>
      <c r="AA323" s="116">
        <v>5240</v>
      </c>
      <c r="AB323" s="31">
        <v>16</v>
      </c>
      <c r="AC323" s="31">
        <v>16</v>
      </c>
    </row>
    <row r="324" spans="1:29" ht="16.649999999999999" customHeight="1" x14ac:dyDescent="0.3">
      <c r="A324"/>
      <c r="B324" s="24"/>
      <c r="C324" s="6"/>
      <c r="D324" s="6"/>
      <c r="E324" s="61" t="s">
        <v>187</v>
      </c>
      <c r="F324" s="8">
        <v>26016.19</v>
      </c>
      <c r="G324" s="8">
        <v>26327.96</v>
      </c>
      <c r="H324" s="8">
        <v>26483.98</v>
      </c>
      <c r="I324" s="8">
        <v>26294.9</v>
      </c>
      <c r="J324" s="8">
        <v>25942.61</v>
      </c>
      <c r="K324" s="8">
        <v>26077.119999999999</v>
      </c>
      <c r="L324" s="8">
        <v>26296.89</v>
      </c>
      <c r="M324" s="8">
        <v>26335.61</v>
      </c>
      <c r="N324" s="8">
        <v>25946.87</v>
      </c>
      <c r="O324" s="61"/>
      <c r="P324" s="61"/>
      <c r="Q324" s="62"/>
      <c r="R324" s="62"/>
      <c r="S324" s="139"/>
      <c r="T324" s="5"/>
      <c r="U324" s="140"/>
      <c r="W324" s="11"/>
      <c r="X324" s="118"/>
      <c r="Y324" s="118"/>
      <c r="Z324" s="118"/>
      <c r="AA324" s="118"/>
    </row>
    <row r="325" spans="1:29" ht="22.65" customHeight="1" thickBot="1" x14ac:dyDescent="0.35">
      <c r="A325"/>
      <c r="B325" s="24"/>
      <c r="C325" s="6"/>
      <c r="D325" s="6"/>
      <c r="E325" s="61" t="s">
        <v>188</v>
      </c>
      <c r="F325" s="40">
        <f t="shared" ref="F325:N325" si="103">IF(((F323="")*AND(F324="")),"",(F323-F324)*3)</f>
        <v>4675.8000000000065</v>
      </c>
      <c r="G325" s="40">
        <f t="shared" si="103"/>
        <v>4119.1200000000026</v>
      </c>
      <c r="H325" s="40">
        <f t="shared" si="103"/>
        <v>4040.9399999999987</v>
      </c>
      <c r="I325" s="40">
        <f t="shared" si="103"/>
        <v>4309.9199999999983</v>
      </c>
      <c r="J325" s="40">
        <f t="shared" si="103"/>
        <v>4954.2900000000009</v>
      </c>
      <c r="K325" s="40">
        <f t="shared" si="103"/>
        <v>4653.1499999999978</v>
      </c>
      <c r="L325" s="40">
        <f t="shared" si="103"/>
        <v>4017.3000000000065</v>
      </c>
      <c r="M325" s="40">
        <f t="shared" si="103"/>
        <v>4062.7199999999939</v>
      </c>
      <c r="N325" s="40">
        <f t="shared" si="103"/>
        <v>4895.3100000000013</v>
      </c>
      <c r="O325" s="61"/>
      <c r="P325" s="61"/>
      <c r="Q325" s="62"/>
      <c r="R325" s="62"/>
      <c r="S325" s="139"/>
      <c r="T325" s="5"/>
      <c r="U325" s="140"/>
      <c r="W325" s="11"/>
      <c r="X325" s="118"/>
      <c r="Y325" s="118"/>
      <c r="Z325" s="118"/>
      <c r="AA325" s="118"/>
    </row>
    <row r="326" spans="1:29" x14ac:dyDescent="0.25">
      <c r="A326" s="210">
        <v>43259</v>
      </c>
      <c r="B326" s="218" t="s">
        <v>174</v>
      </c>
      <c r="C326" s="6" t="s">
        <v>176</v>
      </c>
      <c r="D326" s="44" t="s">
        <v>175</v>
      </c>
      <c r="E326" s="61" t="s">
        <v>186</v>
      </c>
      <c r="F326" s="8">
        <v>5053.7299999999996</v>
      </c>
      <c r="G326" s="8">
        <v>4996.67</v>
      </c>
      <c r="H326" s="8">
        <v>5062.8500000000004</v>
      </c>
      <c r="I326" s="8">
        <v>5045.28</v>
      </c>
      <c r="J326" s="8">
        <v>5240.37</v>
      </c>
      <c r="K326" s="8">
        <v>5208.91</v>
      </c>
      <c r="L326" s="8">
        <v>5051.08</v>
      </c>
      <c r="M326" s="8">
        <v>5026.51</v>
      </c>
      <c r="N326" s="8">
        <v>5146.24</v>
      </c>
      <c r="O326" s="61">
        <f>IF((N327=""),"",MAX(F328:N328))</f>
        <v>4013.26</v>
      </c>
      <c r="P326" s="61">
        <f>IF(N327="","",MIN(F328:N328))</f>
        <v>3667.6399999999994</v>
      </c>
      <c r="Q326" s="62">
        <f>IF((N328=""),"",AVERAGE(F328:N328))</f>
        <v>3874.3866666666663</v>
      </c>
      <c r="R326" s="62">
        <f>IF((N327=""),"",(O326-P326)/(O326+P326)*100)</f>
        <v>4.4997331041935293</v>
      </c>
      <c r="S326" s="113">
        <f>STDEV(F328:N328)</f>
        <v>123.45107411440395</v>
      </c>
      <c r="T326" s="5" t="str">
        <f>IF(N327="","",IF(Q326&gt;3650,IF(R326&lt;7,IF(Q326&lt;4450,"Pass","Fail"),"Fail"),"Fail"))</f>
        <v>Pass</v>
      </c>
      <c r="U326" s="140">
        <v>1335</v>
      </c>
      <c r="W326" s="11"/>
      <c r="X326" s="116">
        <v>3650</v>
      </c>
      <c r="Y326" s="116">
        <v>4450</v>
      </c>
      <c r="Z326" s="116">
        <v>3700</v>
      </c>
      <c r="AA326" s="116">
        <v>4100</v>
      </c>
      <c r="AB326" s="31">
        <v>7</v>
      </c>
      <c r="AC326" s="31">
        <v>6.5</v>
      </c>
    </row>
    <row r="327" spans="1:29" ht="16.649999999999999" customHeight="1" x14ac:dyDescent="0.3">
      <c r="A327"/>
      <c r="B327" s="24"/>
      <c r="C327" s="6"/>
      <c r="D327" s="6"/>
      <c r="E327" s="61" t="s">
        <v>187</v>
      </c>
      <c r="F327" s="8">
        <v>3168.6</v>
      </c>
      <c r="G327" s="8">
        <v>3017.39</v>
      </c>
      <c r="H327" s="8">
        <v>3065.07</v>
      </c>
      <c r="I327" s="8">
        <v>3076.96</v>
      </c>
      <c r="J327" s="8">
        <v>3374.43</v>
      </c>
      <c r="K327" s="8">
        <v>3375.09</v>
      </c>
      <c r="L327" s="8">
        <v>3086.36</v>
      </c>
      <c r="M327" s="8">
        <v>3019.88</v>
      </c>
      <c r="N327" s="8">
        <v>3213.12</v>
      </c>
      <c r="O327" s="61"/>
      <c r="P327" s="61"/>
      <c r="Q327" s="62"/>
      <c r="R327" s="62"/>
      <c r="S327" s="139"/>
      <c r="T327" s="5"/>
      <c r="U327" s="141"/>
      <c r="W327" s="11"/>
      <c r="X327" s="118"/>
      <c r="Y327" s="118"/>
      <c r="Z327" s="118"/>
      <c r="AA327" s="118"/>
    </row>
    <row r="328" spans="1:29" ht="22.65" customHeight="1" x14ac:dyDescent="0.3">
      <c r="A328"/>
      <c r="B328" s="24"/>
      <c r="C328" s="6"/>
      <c r="D328" s="6"/>
      <c r="E328" s="61" t="s">
        <v>188</v>
      </c>
      <c r="F328" s="40">
        <f t="shared" ref="F328:N328" si="104">IF(((F326="")*AND(F327="")),"",(F326-F327)*2)</f>
        <v>3770.2599999999993</v>
      </c>
      <c r="G328" s="40">
        <f t="shared" si="104"/>
        <v>3958.5600000000004</v>
      </c>
      <c r="H328" s="40">
        <f t="shared" si="104"/>
        <v>3995.5600000000004</v>
      </c>
      <c r="I328" s="40">
        <f t="shared" si="104"/>
        <v>3936.6399999999994</v>
      </c>
      <c r="J328" s="40">
        <f t="shared" si="104"/>
        <v>3731.88</v>
      </c>
      <c r="K328" s="40">
        <f t="shared" si="104"/>
        <v>3667.6399999999994</v>
      </c>
      <c r="L328" s="40">
        <f t="shared" si="104"/>
        <v>3929.4399999999996</v>
      </c>
      <c r="M328" s="40">
        <f t="shared" si="104"/>
        <v>4013.26</v>
      </c>
      <c r="N328" s="40">
        <f t="shared" si="104"/>
        <v>3866.24</v>
      </c>
      <c r="O328" s="61"/>
      <c r="P328" s="61"/>
      <c r="Q328" s="62"/>
      <c r="R328" s="62"/>
      <c r="S328" s="139"/>
      <c r="T328" s="5"/>
      <c r="U328" s="141"/>
      <c r="W328" s="11"/>
      <c r="X328" s="118"/>
      <c r="Y328" s="118"/>
      <c r="Z328" s="118"/>
      <c r="AA328" s="118"/>
    </row>
    <row r="329" spans="1:29" ht="13.35" customHeight="1" x14ac:dyDescent="0.25">
      <c r="A329" s="210">
        <v>43259</v>
      </c>
      <c r="B329" s="215" t="s">
        <v>169</v>
      </c>
      <c r="C329" s="6" t="s">
        <v>171</v>
      </c>
      <c r="D329" s="6" t="s">
        <v>189</v>
      </c>
      <c r="E329" s="61" t="s">
        <v>186</v>
      </c>
      <c r="F329" s="8">
        <v>1275.44</v>
      </c>
      <c r="G329" s="8">
        <v>1286.4100000000001</v>
      </c>
      <c r="H329" s="8">
        <v>1294.23</v>
      </c>
      <c r="I329" s="8">
        <v>1292.67</v>
      </c>
      <c r="J329" s="8">
        <v>1297.47</v>
      </c>
      <c r="K329" s="8">
        <v>1292.82</v>
      </c>
      <c r="L329" s="8">
        <v>1294.83</v>
      </c>
      <c r="M329" s="8">
        <v>1284.97</v>
      </c>
      <c r="N329" s="8">
        <v>1285.8399999999999</v>
      </c>
      <c r="O329" s="61">
        <f>IF((N330=""),"",MAX(F331:N331))</f>
        <v>2044.7400000000002</v>
      </c>
      <c r="P329" s="61">
        <f>IF(N330="","",MIN(F331:N331))</f>
        <v>2021.1899999999996</v>
      </c>
      <c r="Q329" s="62">
        <f>IF((N331=""),"",AVERAGE(F331:N331))</f>
        <v>2031.6299999999999</v>
      </c>
      <c r="R329" s="62">
        <f>IF((N330=""),"",(O329-P329)/(O329+P329)*100)</f>
        <v>0.57920328190600023</v>
      </c>
      <c r="S329" s="113">
        <f>STDEV(F331:N331)</f>
        <v>7.0105545429731784</v>
      </c>
      <c r="T329" s="5" t="str">
        <f>IF(N330="","",IF(Q329&gt;1940,IF(R329&lt;8.3,IF(Q329&lt;2180,"Pass","Fail"),"Fail"),"Fail"))</f>
        <v>Pass</v>
      </c>
      <c r="U329" s="140">
        <v>1335</v>
      </c>
      <c r="W329" s="11"/>
      <c r="X329" s="116">
        <v>2000</v>
      </c>
      <c r="Y329" s="116">
        <v>3000</v>
      </c>
      <c r="Z329" s="116">
        <v>1940</v>
      </c>
      <c r="AA329" s="116">
        <v>2180</v>
      </c>
      <c r="AB329" s="31">
        <v>5.2</v>
      </c>
      <c r="AC329" s="31">
        <v>5.2</v>
      </c>
    </row>
    <row r="330" spans="1:29" ht="16.649999999999999" customHeight="1" x14ac:dyDescent="0.3">
      <c r="A330"/>
      <c r="B330" s="24"/>
      <c r="C330" s="6"/>
      <c r="D330" s="6"/>
      <c r="E330" s="61" t="s">
        <v>187</v>
      </c>
      <c r="F330" s="8">
        <v>598.92999999999995</v>
      </c>
      <c r="G330" s="8">
        <v>608.32000000000005</v>
      </c>
      <c r="H330" s="8">
        <v>615.70000000000005</v>
      </c>
      <c r="I330" s="8">
        <v>614.48</v>
      </c>
      <c r="J330" s="8">
        <v>622.34</v>
      </c>
      <c r="K330" s="8">
        <v>614.96</v>
      </c>
      <c r="L330" s="8">
        <v>619.55999999999995</v>
      </c>
      <c r="M330" s="8">
        <v>603.39</v>
      </c>
      <c r="N330" s="8">
        <v>612.11</v>
      </c>
      <c r="O330" s="61"/>
      <c r="P330" s="61"/>
      <c r="Q330" s="62"/>
      <c r="R330" s="62"/>
      <c r="S330" s="139"/>
      <c r="T330" s="5"/>
      <c r="U330" s="140"/>
      <c r="W330" s="11"/>
      <c r="X330" s="118"/>
      <c r="Y330" s="118"/>
      <c r="Z330" s="118"/>
      <c r="AA330" s="118"/>
    </row>
    <row r="331" spans="1:29" ht="38.25" customHeight="1" thickBot="1" x14ac:dyDescent="0.35">
      <c r="A331"/>
      <c r="B331" s="63"/>
      <c r="C331" s="64"/>
      <c r="D331" s="64"/>
      <c r="E331" s="65" t="s">
        <v>190</v>
      </c>
      <c r="F331" s="53">
        <f t="shared" ref="F331:N331" si="105">IF(((F329="")*AND(F330="")),"",(F329-F330)*3)</f>
        <v>2029.5300000000002</v>
      </c>
      <c r="G331" s="53">
        <f t="shared" si="105"/>
        <v>2034.27</v>
      </c>
      <c r="H331" s="53">
        <f t="shared" si="105"/>
        <v>2035.59</v>
      </c>
      <c r="I331" s="53">
        <f t="shared" si="105"/>
        <v>2034.5700000000002</v>
      </c>
      <c r="J331" s="53">
        <f t="shared" si="105"/>
        <v>2025.3899999999999</v>
      </c>
      <c r="K331" s="53">
        <f t="shared" si="105"/>
        <v>2033.5799999999997</v>
      </c>
      <c r="L331" s="53">
        <f t="shared" si="105"/>
        <v>2025.81</v>
      </c>
      <c r="M331" s="53">
        <f t="shared" si="105"/>
        <v>2044.7400000000002</v>
      </c>
      <c r="N331" s="53">
        <f t="shared" si="105"/>
        <v>2021.1899999999996</v>
      </c>
      <c r="O331" s="65"/>
      <c r="P331" s="65"/>
      <c r="Q331" s="66"/>
      <c r="R331" s="66"/>
      <c r="S331" s="142"/>
      <c r="T331" s="143"/>
      <c r="U331" s="144"/>
      <c r="W331" s="11"/>
      <c r="X331" s="118"/>
      <c r="Y331" s="118"/>
      <c r="Z331" s="118"/>
      <c r="AA331" s="118"/>
    </row>
    <row r="332" spans="1:29" ht="13.35" customHeight="1" x14ac:dyDescent="0.25">
      <c r="A332" s="207">
        <v>43262</v>
      </c>
      <c r="B332" s="219" t="s">
        <v>185</v>
      </c>
      <c r="C332" s="39" t="s">
        <v>173</v>
      </c>
      <c r="D332" s="39" t="s">
        <v>172</v>
      </c>
      <c r="E332" s="41" t="s">
        <v>186</v>
      </c>
      <c r="F332" s="111">
        <v>25973.73</v>
      </c>
      <c r="G332" s="111">
        <v>26281.84</v>
      </c>
      <c r="H332" s="111">
        <v>26442.52</v>
      </c>
      <c r="I332" s="111">
        <v>26288.720000000001</v>
      </c>
      <c r="J332" s="111">
        <v>25899.95</v>
      </c>
      <c r="K332" s="111">
        <v>26004.720000000001</v>
      </c>
      <c r="L332" s="111">
        <v>26322.18</v>
      </c>
      <c r="M332" s="111">
        <v>26282.94</v>
      </c>
      <c r="N332" s="111">
        <v>25871.46</v>
      </c>
      <c r="O332" s="41">
        <f>IF((N333=""),"",MAX(F334:N334))</f>
        <v>4804.8300000000017</v>
      </c>
      <c r="P332" s="41">
        <f>IF(N333="","",MIN(F334:N334))</f>
        <v>3902.25</v>
      </c>
      <c r="Q332" s="42">
        <f>IF((N334=""),"",AVERAGE(F334:N334))</f>
        <v>4336.5533333333342</v>
      </c>
      <c r="R332" s="42">
        <f>IF((N333=""),"",(O332-P332)/(O332+P332)*100)</f>
        <v>10.366046941110012</v>
      </c>
      <c r="S332" s="113">
        <f>STDEV(F334:N334)</f>
        <v>372.15337325490077</v>
      </c>
      <c r="T332" s="119" t="str">
        <f>IF(N333="","",IF(R332&lt;16,IF(Q332&gt;3200,IF(R332,IF(Q332&lt;5240,"Pass","Fail"),"Fail"),"Fail")))</f>
        <v>Pass</v>
      </c>
      <c r="U332" s="120" t="s">
        <v>196</v>
      </c>
      <c r="V332" s="11" t="s">
        <v>197</v>
      </c>
      <c r="X332" s="116">
        <v>4200</v>
      </c>
      <c r="Y332" s="116">
        <v>5500</v>
      </c>
      <c r="Z332" s="116">
        <v>3200</v>
      </c>
      <c r="AA332" s="116">
        <v>5240</v>
      </c>
      <c r="AB332" s="31">
        <v>16</v>
      </c>
      <c r="AC332" s="31">
        <v>16</v>
      </c>
    </row>
    <row r="333" spans="1:29" ht="16.649999999999999" customHeight="1" x14ac:dyDescent="0.3">
      <c r="A333"/>
      <c r="B333" s="24"/>
      <c r="C333" s="6"/>
      <c r="D333" s="6"/>
      <c r="E333" s="61" t="s">
        <v>187</v>
      </c>
      <c r="F333" s="8">
        <v>24429.69</v>
      </c>
      <c r="G333" s="8">
        <v>24981.09</v>
      </c>
      <c r="H333" s="8">
        <v>25091.13</v>
      </c>
      <c r="I333" s="8">
        <v>24898.43</v>
      </c>
      <c r="J333" s="8">
        <v>24298.34</v>
      </c>
      <c r="K333" s="8">
        <v>24458.67</v>
      </c>
      <c r="L333" s="8">
        <v>24988.7</v>
      </c>
      <c r="M333" s="8">
        <v>24938.82</v>
      </c>
      <c r="N333" s="8">
        <v>24273.53</v>
      </c>
      <c r="O333" s="61"/>
      <c r="P333" s="61"/>
      <c r="Q333" s="62"/>
      <c r="R333" s="62"/>
      <c r="S333" s="139"/>
      <c r="T333" s="5"/>
      <c r="U333" s="140"/>
      <c r="X333" s="118"/>
      <c r="Y333" s="118"/>
      <c r="Z333" s="118"/>
      <c r="AA333" s="118"/>
    </row>
    <row r="334" spans="1:29" ht="22.65" customHeight="1" thickBot="1" x14ac:dyDescent="0.35">
      <c r="A334"/>
      <c r="B334" s="24"/>
      <c r="C334" s="6"/>
      <c r="D334" s="6"/>
      <c r="E334" s="61" t="s">
        <v>188</v>
      </c>
      <c r="F334" s="40">
        <f t="shared" ref="F334:N334" si="106">IF(((F332="")*AND(F333="")),"",(F332-F333)*3)</f>
        <v>4632.1200000000026</v>
      </c>
      <c r="G334" s="40">
        <f t="shared" si="106"/>
        <v>3902.25</v>
      </c>
      <c r="H334" s="40">
        <f t="shared" si="106"/>
        <v>4054.1699999999983</v>
      </c>
      <c r="I334" s="40">
        <f t="shared" si="106"/>
        <v>4170.8700000000026</v>
      </c>
      <c r="J334" s="40">
        <f t="shared" si="106"/>
        <v>4804.8300000000017</v>
      </c>
      <c r="K334" s="40">
        <f t="shared" si="106"/>
        <v>4638.1500000000087</v>
      </c>
      <c r="L334" s="40">
        <f t="shared" si="106"/>
        <v>4000.4399999999987</v>
      </c>
      <c r="M334" s="40">
        <f t="shared" si="106"/>
        <v>4032.3599999999969</v>
      </c>
      <c r="N334" s="40">
        <f t="shared" si="106"/>
        <v>4793.7900000000009</v>
      </c>
      <c r="O334" s="61"/>
      <c r="P334" s="61"/>
      <c r="Q334" s="62"/>
      <c r="R334" s="62"/>
      <c r="S334" s="139"/>
      <c r="T334" s="5"/>
      <c r="U334" s="140"/>
      <c r="X334" s="118"/>
      <c r="Y334" s="118"/>
      <c r="Z334" s="118"/>
      <c r="AA334" s="118"/>
    </row>
    <row r="335" spans="1:29" x14ac:dyDescent="0.25">
      <c r="A335" s="210">
        <v>43262</v>
      </c>
      <c r="B335" s="218" t="s">
        <v>174</v>
      </c>
      <c r="C335" s="6" t="s">
        <v>176</v>
      </c>
      <c r="D335" s="44" t="s">
        <v>175</v>
      </c>
      <c r="E335" s="61" t="s">
        <v>186</v>
      </c>
      <c r="F335" s="8">
        <v>3179.64</v>
      </c>
      <c r="G335" s="8">
        <v>3026.86</v>
      </c>
      <c r="H335" s="8">
        <v>3074.82</v>
      </c>
      <c r="I335" s="8">
        <v>3086.8</v>
      </c>
      <c r="J335" s="8">
        <v>3388.78</v>
      </c>
      <c r="K335" s="8">
        <v>3389.57</v>
      </c>
      <c r="L335" s="8">
        <v>3096.49</v>
      </c>
      <c r="M335" s="8">
        <v>3029.19</v>
      </c>
      <c r="N335" s="8">
        <v>3224.33</v>
      </c>
      <c r="O335" s="61">
        <f>IF((N336=""),"",MAX(F337:N337))</f>
        <v>4014.44</v>
      </c>
      <c r="P335" s="61">
        <f>IF(N336="","",MIN(F337:N337))</f>
        <v>3690.2200000000003</v>
      </c>
      <c r="Q335" s="62">
        <f>IF((N337=""),"",AVERAGE(F337:N337))</f>
        <v>3893.1866666666665</v>
      </c>
      <c r="R335" s="62">
        <f>IF((N336=""),"",(O335-P335)/(O335+P335)*100)</f>
        <v>4.2081026287986729</v>
      </c>
      <c r="S335" s="113">
        <f>STDEV(F337:N337)</f>
        <v>114.22319204084607</v>
      </c>
      <c r="T335" s="5" t="str">
        <f>IF(N336="","",IF(Q335&gt;3650,IF(R335&lt;7,IF(Q335&lt;4450,"Pass","Fail"),"Fail"),"Fail"))</f>
        <v>Pass</v>
      </c>
      <c r="U335" s="140" t="s">
        <v>196</v>
      </c>
      <c r="V335" s="11" t="s">
        <v>197</v>
      </c>
      <c r="X335" s="116">
        <v>3650</v>
      </c>
      <c r="Y335" s="116">
        <v>4450</v>
      </c>
      <c r="Z335" s="116">
        <v>3700</v>
      </c>
      <c r="AA335" s="116">
        <v>4100</v>
      </c>
      <c r="AB335" s="31">
        <v>7</v>
      </c>
      <c r="AC335" s="31">
        <v>6.5</v>
      </c>
    </row>
    <row r="336" spans="1:29" ht="16.649999999999999" customHeight="1" x14ac:dyDescent="0.3">
      <c r="A336"/>
      <c r="B336" s="24"/>
      <c r="C336" s="6"/>
      <c r="D336" s="6"/>
      <c r="E336" s="61" t="s">
        <v>187</v>
      </c>
      <c r="F336" s="8">
        <v>1282.27</v>
      </c>
      <c r="G336" s="8">
        <v>1046.28</v>
      </c>
      <c r="H336" s="8">
        <v>1068.51</v>
      </c>
      <c r="I336" s="8">
        <v>1105.7</v>
      </c>
      <c r="J336" s="8">
        <v>1497.38</v>
      </c>
      <c r="K336" s="8">
        <v>1544.46</v>
      </c>
      <c r="L336" s="8">
        <v>1124.1500000000001</v>
      </c>
      <c r="M336" s="8">
        <v>1021.97</v>
      </c>
      <c r="N336" s="8">
        <v>1286.42</v>
      </c>
      <c r="O336" s="61"/>
      <c r="P336" s="61"/>
      <c r="Q336" s="62"/>
      <c r="R336" s="62"/>
      <c r="S336" s="139"/>
      <c r="T336" s="5"/>
      <c r="U336" s="140"/>
      <c r="X336" s="118"/>
      <c r="Y336" s="118"/>
      <c r="Z336" s="118"/>
      <c r="AA336" s="118"/>
    </row>
    <row r="337" spans="1:29" ht="22.65" customHeight="1" x14ac:dyDescent="0.3">
      <c r="A337"/>
      <c r="B337" s="24"/>
      <c r="C337" s="6"/>
      <c r="D337" s="6"/>
      <c r="E337" s="61" t="s">
        <v>188</v>
      </c>
      <c r="F337" s="40">
        <f t="shared" ref="F337:N337" si="107">IF(((F335="")*AND(F336="")),"",(F335-F336)*2)</f>
        <v>3794.74</v>
      </c>
      <c r="G337" s="40">
        <f t="shared" si="107"/>
        <v>3961.1600000000003</v>
      </c>
      <c r="H337" s="40">
        <f t="shared" si="107"/>
        <v>4012.6200000000003</v>
      </c>
      <c r="I337" s="40">
        <f t="shared" si="107"/>
        <v>3962.2000000000003</v>
      </c>
      <c r="J337" s="40">
        <f t="shared" si="107"/>
        <v>3782.8</v>
      </c>
      <c r="K337" s="40">
        <f t="shared" si="107"/>
        <v>3690.2200000000003</v>
      </c>
      <c r="L337" s="40">
        <f t="shared" si="107"/>
        <v>3944.6799999999994</v>
      </c>
      <c r="M337" s="40">
        <f t="shared" si="107"/>
        <v>4014.44</v>
      </c>
      <c r="N337" s="40">
        <f t="shared" si="107"/>
        <v>3875.8199999999997</v>
      </c>
      <c r="O337" s="61"/>
      <c r="P337" s="61"/>
      <c r="Q337" s="62"/>
      <c r="R337" s="62"/>
      <c r="S337" s="139"/>
      <c r="T337" s="5"/>
      <c r="U337" s="140"/>
      <c r="X337" s="118"/>
      <c r="Y337" s="118"/>
      <c r="Z337" s="118"/>
      <c r="AA337" s="118"/>
    </row>
    <row r="338" spans="1:29" ht="13.35" customHeight="1" x14ac:dyDescent="0.25">
      <c r="A338" s="210">
        <v>43262</v>
      </c>
      <c r="B338" s="215" t="s">
        <v>169</v>
      </c>
      <c r="C338" s="6" t="s">
        <v>171</v>
      </c>
      <c r="D338" s="6" t="s">
        <v>189</v>
      </c>
      <c r="E338" s="61" t="s">
        <v>186</v>
      </c>
      <c r="F338" s="8">
        <v>1924.29</v>
      </c>
      <c r="G338" s="8">
        <v>1927.32</v>
      </c>
      <c r="H338" s="8">
        <v>1934.75</v>
      </c>
      <c r="I338" s="8">
        <v>1928.83</v>
      </c>
      <c r="J338" s="8">
        <v>1927.08</v>
      </c>
      <c r="K338" s="8">
        <v>1927.74</v>
      </c>
      <c r="L338" s="8">
        <v>1925.11</v>
      </c>
      <c r="M338" s="8">
        <v>1929.3</v>
      </c>
      <c r="N338" s="8">
        <v>1927.97</v>
      </c>
      <c r="O338" s="61">
        <f>IF((N339=""),"",MAX(F340:N340))</f>
        <v>2054.6099999999997</v>
      </c>
      <c r="P338" s="61">
        <f>IF(N339="","",MIN(F340:N340))</f>
        <v>1993.1399999999996</v>
      </c>
      <c r="Q338" s="62">
        <f>IF((N340=""),"",AVERAGE(F340:N340))</f>
        <v>2018.583333333333</v>
      </c>
      <c r="R338" s="62">
        <f>IF((N339=""),"",(O338-P338)/(O338+P338)*100)</f>
        <v>1.5186214563646481</v>
      </c>
      <c r="S338" s="113">
        <f>STDEV(F340:N340)</f>
        <v>17.388975674259765</v>
      </c>
      <c r="T338" s="5" t="str">
        <f>IF(N339="","",IF(Q338&gt;1940,IF(R338&lt;8.3,IF(Q338&lt;2180,"Pass","Fail"),"Fail"),"Fail"))</f>
        <v>Pass</v>
      </c>
      <c r="U338" s="140" t="s">
        <v>196</v>
      </c>
      <c r="V338" s="11" t="s">
        <v>197</v>
      </c>
      <c r="X338" s="116">
        <v>2000</v>
      </c>
      <c r="Y338" s="116">
        <v>3000</v>
      </c>
      <c r="Z338" s="116">
        <v>1940</v>
      </c>
      <c r="AA338" s="116">
        <v>2180</v>
      </c>
      <c r="AB338" s="31">
        <v>5.2</v>
      </c>
      <c r="AC338" s="31">
        <v>5.2</v>
      </c>
    </row>
    <row r="339" spans="1:29" ht="16.649999999999999" customHeight="1" x14ac:dyDescent="0.3">
      <c r="A339"/>
      <c r="B339" s="24"/>
      <c r="C339" s="6"/>
      <c r="D339" s="6"/>
      <c r="E339" s="61" t="s">
        <v>187</v>
      </c>
      <c r="F339" s="8">
        <v>1239.42</v>
      </c>
      <c r="G339" s="8">
        <v>1250.53</v>
      </c>
      <c r="H339" s="8">
        <v>1265.05</v>
      </c>
      <c r="I339" s="8">
        <v>1258.1099999999999</v>
      </c>
      <c r="J339" s="8">
        <v>1262.7</v>
      </c>
      <c r="K339" s="8">
        <v>1254.42</v>
      </c>
      <c r="L339" s="8">
        <v>1256.3699999999999</v>
      </c>
      <c r="M339" s="8">
        <v>1254.22</v>
      </c>
      <c r="N339" s="8">
        <v>1255.82</v>
      </c>
      <c r="O339" s="61"/>
      <c r="P339" s="61"/>
      <c r="Q339" s="62"/>
      <c r="R339" s="62"/>
      <c r="S339" s="139"/>
      <c r="T339" s="5"/>
      <c r="U339" s="140"/>
      <c r="X339" s="118"/>
      <c r="Y339" s="118"/>
      <c r="Z339" s="118"/>
      <c r="AA339" s="118"/>
    </row>
    <row r="340" spans="1:29" ht="32.25" customHeight="1" thickBot="1" x14ac:dyDescent="0.35">
      <c r="A340"/>
      <c r="B340" s="63"/>
      <c r="C340" s="64"/>
      <c r="D340" s="64"/>
      <c r="E340" s="65" t="s">
        <v>190</v>
      </c>
      <c r="F340" s="53">
        <f t="shared" ref="F340:N340" si="108">IF(((F338="")*AND(F339="")),"",(F338-F339)*3)</f>
        <v>2054.6099999999997</v>
      </c>
      <c r="G340" s="53">
        <f t="shared" si="108"/>
        <v>2030.37</v>
      </c>
      <c r="H340" s="53">
        <f t="shared" si="108"/>
        <v>2009.1000000000001</v>
      </c>
      <c r="I340" s="53">
        <f t="shared" si="108"/>
        <v>2012.16</v>
      </c>
      <c r="J340" s="53">
        <f t="shared" si="108"/>
        <v>1993.1399999999996</v>
      </c>
      <c r="K340" s="53">
        <f t="shared" si="108"/>
        <v>2019.9599999999998</v>
      </c>
      <c r="L340" s="53">
        <f t="shared" si="108"/>
        <v>2006.22</v>
      </c>
      <c r="M340" s="53">
        <f t="shared" si="108"/>
        <v>2025.2399999999998</v>
      </c>
      <c r="N340" s="53">
        <f t="shared" si="108"/>
        <v>2016.4500000000003</v>
      </c>
      <c r="O340" s="65"/>
      <c r="P340" s="65"/>
      <c r="Q340" s="66"/>
      <c r="R340" s="66"/>
      <c r="S340" s="142"/>
      <c r="T340" s="143"/>
      <c r="U340" s="144"/>
      <c r="X340" s="118"/>
      <c r="Y340" s="118"/>
      <c r="Z340" s="118"/>
      <c r="AA340" s="118"/>
    </row>
    <row r="341" spans="1:29" ht="13.35" customHeight="1" x14ac:dyDescent="0.25">
      <c r="A341" s="207">
        <v>43266</v>
      </c>
      <c r="B341" s="219" t="s">
        <v>185</v>
      </c>
      <c r="C341" s="39" t="s">
        <v>173</v>
      </c>
      <c r="D341" s="39" t="s">
        <v>172</v>
      </c>
      <c r="E341" s="41" t="s">
        <v>186</v>
      </c>
      <c r="F341" s="111">
        <v>23125.5</v>
      </c>
      <c r="G341" s="111">
        <v>23438.38</v>
      </c>
      <c r="H341" s="111">
        <v>23576.080000000002</v>
      </c>
      <c r="I341" s="111">
        <v>23403.16</v>
      </c>
      <c r="J341" s="111">
        <v>23047.93</v>
      </c>
      <c r="K341" s="111">
        <v>23117.31</v>
      </c>
      <c r="L341" s="111">
        <v>23439.279999999999</v>
      </c>
      <c r="M341" s="111">
        <v>23392.22</v>
      </c>
      <c r="N341" s="111">
        <v>23044.560000000001</v>
      </c>
      <c r="O341" s="41">
        <f>IF((N342=""),"",MAX(F343:N343))</f>
        <v>4388.6100000000079</v>
      </c>
      <c r="P341" s="41">
        <f>IF(N342="","",MIN(F343:N343))</f>
        <v>3899.1600000000035</v>
      </c>
      <c r="Q341" s="42">
        <f>IF((N343=""),"",AVERAGE(F343:N343))</f>
        <v>4140.8966666666684</v>
      </c>
      <c r="R341" s="42">
        <f>IF((N342=""),"",(O341-P341)/(O341+P341)*100)</f>
        <v>5.9056899503727021</v>
      </c>
      <c r="S341" s="113">
        <f>STDEV(F343:N343)</f>
        <v>217.3281088584732</v>
      </c>
      <c r="T341" s="119" t="str">
        <f>IF(N342="","",IF(R341&lt;16,IF(Q341&gt;3200,IF(R341,IF(Q341&lt;5240,"Pass","Fail"),"Fail"),"Fail")))</f>
        <v>Pass</v>
      </c>
      <c r="U341" s="120">
        <v>121</v>
      </c>
      <c r="W341" s="11"/>
      <c r="X341" s="116">
        <v>4200</v>
      </c>
      <c r="Y341" s="116">
        <v>5500</v>
      </c>
      <c r="Z341" s="116">
        <v>3200</v>
      </c>
      <c r="AA341" s="116">
        <v>5240</v>
      </c>
      <c r="AB341" s="31">
        <v>16</v>
      </c>
      <c r="AC341" s="31">
        <v>16</v>
      </c>
    </row>
    <row r="342" spans="1:29" ht="16.649999999999999" customHeight="1" x14ac:dyDescent="0.3">
      <c r="A342"/>
      <c r="B342" s="24"/>
      <c r="C342" s="6"/>
      <c r="D342" s="6"/>
      <c r="E342" s="61" t="s">
        <v>187</v>
      </c>
      <c r="F342" s="8">
        <v>21677.68</v>
      </c>
      <c r="G342" s="8">
        <v>22116.76</v>
      </c>
      <c r="H342" s="8">
        <v>22276.36</v>
      </c>
      <c r="I342" s="8">
        <v>22080.05</v>
      </c>
      <c r="J342" s="8">
        <v>21591.42</v>
      </c>
      <c r="K342" s="8">
        <v>21660.240000000002</v>
      </c>
      <c r="L342" s="8">
        <v>22109.74</v>
      </c>
      <c r="M342" s="8">
        <v>22067.79</v>
      </c>
      <c r="N342" s="8">
        <v>21581.69</v>
      </c>
      <c r="O342" s="61"/>
      <c r="P342" s="61"/>
      <c r="Q342" s="62"/>
      <c r="R342" s="62"/>
      <c r="S342" s="139"/>
      <c r="T342" s="5"/>
      <c r="U342" s="140"/>
      <c r="W342" s="11"/>
      <c r="X342" s="118"/>
      <c r="Y342" s="118"/>
      <c r="Z342" s="118"/>
      <c r="AA342" s="118"/>
    </row>
    <row r="343" spans="1:29" ht="22.65" customHeight="1" thickBot="1" x14ac:dyDescent="0.35">
      <c r="A343"/>
      <c r="B343" s="24"/>
      <c r="C343" s="6"/>
      <c r="D343" s="6"/>
      <c r="E343" s="61" t="s">
        <v>188</v>
      </c>
      <c r="F343" s="40">
        <f t="shared" ref="F343:N343" si="109">IF(((F341="")*AND(F342="")),"",(F341-F342)*3)</f>
        <v>4343.4599999999991</v>
      </c>
      <c r="G343" s="40">
        <f t="shared" si="109"/>
        <v>3964.8600000000079</v>
      </c>
      <c r="H343" s="40">
        <f t="shared" si="109"/>
        <v>3899.1600000000035</v>
      </c>
      <c r="I343" s="40">
        <f t="shared" si="109"/>
        <v>3969.3300000000017</v>
      </c>
      <c r="J343" s="40">
        <f t="shared" si="109"/>
        <v>4369.5300000000061</v>
      </c>
      <c r="K343" s="40">
        <f t="shared" si="109"/>
        <v>4371.2099999999991</v>
      </c>
      <c r="L343" s="40">
        <f t="shared" si="109"/>
        <v>3988.6199999999917</v>
      </c>
      <c r="M343" s="40">
        <f t="shared" si="109"/>
        <v>3973.2900000000009</v>
      </c>
      <c r="N343" s="40">
        <f t="shared" si="109"/>
        <v>4388.6100000000079</v>
      </c>
      <c r="O343" s="61"/>
      <c r="P343" s="61"/>
      <c r="Q343" s="62"/>
      <c r="R343" s="62"/>
      <c r="S343" s="139"/>
      <c r="T343" s="5"/>
      <c r="U343" s="140"/>
      <c r="W343" s="11"/>
      <c r="X343" s="118"/>
      <c r="Y343" s="118"/>
      <c r="Z343" s="118"/>
      <c r="AA343" s="118"/>
    </row>
    <row r="344" spans="1:29" x14ac:dyDescent="0.25">
      <c r="A344" s="210">
        <v>43266</v>
      </c>
      <c r="B344" s="218" t="s">
        <v>174</v>
      </c>
      <c r="C344" s="6" t="s">
        <v>176</v>
      </c>
      <c r="D344" s="44" t="s">
        <v>175</v>
      </c>
      <c r="E344" s="61" t="s">
        <v>186</v>
      </c>
      <c r="F344" s="8">
        <v>6881.84</v>
      </c>
      <c r="G344" s="8">
        <v>6875.3</v>
      </c>
      <c r="H344" s="8">
        <v>6945.57</v>
      </c>
      <c r="I344" s="8">
        <v>6919.32</v>
      </c>
      <c r="J344" s="8">
        <v>7051.01</v>
      </c>
      <c r="K344" s="8">
        <v>6960.93</v>
      </c>
      <c r="L344" s="8">
        <v>6922.73</v>
      </c>
      <c r="M344" s="8">
        <v>6914.07</v>
      </c>
      <c r="N344" s="8">
        <v>6998.66</v>
      </c>
      <c r="O344" s="61">
        <f>IF((N345=""),"",MAX(F346:N346))</f>
        <v>3989.0199999999986</v>
      </c>
      <c r="P344" s="61">
        <f>IF(N345="","",MIN(F346:N346))</f>
        <v>3641.92</v>
      </c>
      <c r="Q344" s="62">
        <f>IF((N346=""),"",AVERAGE(F346:N346))</f>
        <v>3859.9311111111101</v>
      </c>
      <c r="R344" s="62">
        <f>IF((N345=""),"",(O344-P344)/(O344+P344)*100)</f>
        <v>4.5485877231376293</v>
      </c>
      <c r="S344" s="113">
        <f>STDEV(F346:N346)</f>
        <v>121.28731636536048</v>
      </c>
      <c r="T344" s="5" t="str">
        <f>IF(N345="","",IF(Q344&gt;3650,IF(R344&lt;7,IF(Q344&lt;4450,"Pass","Fail"),"Fail"),"Fail"))</f>
        <v>Pass</v>
      </c>
      <c r="U344" s="140">
        <v>121</v>
      </c>
      <c r="W344" s="11"/>
      <c r="X344" s="116">
        <v>3650</v>
      </c>
      <c r="Y344" s="116">
        <v>4450</v>
      </c>
      <c r="Z344" s="116">
        <v>3700</v>
      </c>
      <c r="AA344" s="116">
        <v>4100</v>
      </c>
      <c r="AB344" s="31">
        <v>7</v>
      </c>
      <c r="AC344" s="31">
        <v>6.5</v>
      </c>
    </row>
    <row r="345" spans="1:29" ht="16.649999999999999" customHeight="1" x14ac:dyDescent="0.3">
      <c r="A345"/>
      <c r="B345" s="24"/>
      <c r="C345" s="6"/>
      <c r="D345" s="6"/>
      <c r="E345" s="61" t="s">
        <v>187</v>
      </c>
      <c r="F345" s="8">
        <v>5005.8900000000003</v>
      </c>
      <c r="G345" s="8">
        <v>4910.25</v>
      </c>
      <c r="H345" s="8">
        <v>4955.07</v>
      </c>
      <c r="I345" s="8">
        <v>4951.3500000000004</v>
      </c>
      <c r="J345" s="8">
        <v>5177.59</v>
      </c>
      <c r="K345" s="8">
        <v>5139.97</v>
      </c>
      <c r="L345" s="8">
        <v>4963.5</v>
      </c>
      <c r="M345" s="8">
        <v>4919.5600000000004</v>
      </c>
      <c r="N345" s="8">
        <v>5076.5600000000004</v>
      </c>
      <c r="O345" s="61"/>
      <c r="P345" s="61"/>
      <c r="Q345" s="62"/>
      <c r="R345" s="62"/>
      <c r="S345" s="139"/>
      <c r="T345" s="5"/>
      <c r="U345" s="140"/>
      <c r="W345" s="11"/>
      <c r="X345" s="118"/>
      <c r="Y345" s="118"/>
      <c r="Z345" s="118"/>
      <c r="AA345" s="118"/>
    </row>
    <row r="346" spans="1:29" ht="22.65" customHeight="1" x14ac:dyDescent="0.3">
      <c r="A346"/>
      <c r="B346" s="24"/>
      <c r="C346" s="6"/>
      <c r="D346" s="6"/>
      <c r="E346" s="61" t="s">
        <v>188</v>
      </c>
      <c r="F346" s="40">
        <f t="shared" ref="F346:N346" si="110">IF(((F344="")*AND(F345="")),"",(F344-F345)*2)</f>
        <v>3751.8999999999996</v>
      </c>
      <c r="G346" s="40">
        <f t="shared" si="110"/>
        <v>3930.1000000000004</v>
      </c>
      <c r="H346" s="40">
        <f t="shared" si="110"/>
        <v>3981</v>
      </c>
      <c r="I346" s="40">
        <f t="shared" si="110"/>
        <v>3935.9399999999987</v>
      </c>
      <c r="J346" s="40">
        <f t="shared" si="110"/>
        <v>3746.84</v>
      </c>
      <c r="K346" s="40">
        <f t="shared" si="110"/>
        <v>3641.92</v>
      </c>
      <c r="L346" s="40">
        <f t="shared" si="110"/>
        <v>3918.4599999999991</v>
      </c>
      <c r="M346" s="40">
        <f t="shared" si="110"/>
        <v>3989.0199999999986</v>
      </c>
      <c r="N346" s="40">
        <f t="shared" si="110"/>
        <v>3844.1999999999989</v>
      </c>
      <c r="O346" s="61"/>
      <c r="P346" s="61"/>
      <c r="Q346" s="62"/>
      <c r="R346" s="62"/>
      <c r="S346" s="139"/>
      <c r="T346" s="5"/>
      <c r="U346" s="140"/>
      <c r="W346" s="11"/>
      <c r="X346" s="118"/>
      <c r="Y346" s="118"/>
      <c r="Z346" s="118"/>
      <c r="AA346" s="118"/>
    </row>
    <row r="347" spans="1:29" ht="13.35" customHeight="1" x14ac:dyDescent="0.25">
      <c r="A347" s="210">
        <v>43266</v>
      </c>
      <c r="B347" s="215" t="s">
        <v>169</v>
      </c>
      <c r="C347" s="6" t="s">
        <v>171</v>
      </c>
      <c r="D347" s="6" t="s">
        <v>189</v>
      </c>
      <c r="E347" s="61" t="s">
        <v>186</v>
      </c>
      <c r="F347" s="8">
        <v>1243.6199999999999</v>
      </c>
      <c r="G347" s="8">
        <v>1256.28</v>
      </c>
      <c r="H347" s="8">
        <v>1264.97</v>
      </c>
      <c r="I347" s="8">
        <v>1262.56</v>
      </c>
      <c r="J347" s="8">
        <v>1263.3399999999999</v>
      </c>
      <c r="K347" s="8">
        <v>1257.68</v>
      </c>
      <c r="L347" s="8">
        <v>1261.06</v>
      </c>
      <c r="M347" s="8">
        <v>1256.46</v>
      </c>
      <c r="N347" s="8">
        <v>1260.6199999999999</v>
      </c>
      <c r="O347" s="61">
        <f>IF((N348=""),"",MAX(F349:N349))</f>
        <v>2054.2499999999995</v>
      </c>
      <c r="P347" s="61">
        <f>IF(N348="","",MIN(F349:N349))</f>
        <v>2002.9199999999996</v>
      </c>
      <c r="Q347" s="62">
        <f>IF((N349=""),"",AVERAGE(F349:N349))</f>
        <v>2031.3666666666666</v>
      </c>
      <c r="R347" s="62">
        <f>IF((N348=""),"",(O347-P347)/(O347+P347)*100)</f>
        <v>1.2651675921886423</v>
      </c>
      <c r="S347" s="113">
        <f>STDEV(F349:N349)</f>
        <v>16.361952817436009</v>
      </c>
      <c r="T347" s="5" t="str">
        <f>IF(N348="","",IF(Q347&gt;1940,IF(R347&lt;8.3,IF(Q347&lt;2180,"Pass","Fail"),"Fail"),"Fail"))</f>
        <v>Pass</v>
      </c>
      <c r="U347" s="140">
        <v>121</v>
      </c>
      <c r="W347" s="11"/>
      <c r="X347" s="116">
        <v>2000</v>
      </c>
      <c r="Y347" s="116">
        <v>3000</v>
      </c>
      <c r="Z347" s="116">
        <v>1940</v>
      </c>
      <c r="AA347" s="116">
        <v>2180</v>
      </c>
      <c r="AB347" s="31">
        <v>5.2</v>
      </c>
      <c r="AC347" s="31">
        <v>5.2</v>
      </c>
    </row>
    <row r="348" spans="1:29" ht="16.649999999999999" customHeight="1" x14ac:dyDescent="0.3">
      <c r="A348"/>
      <c r="B348" s="24"/>
      <c r="C348" s="6"/>
      <c r="D348" s="6"/>
      <c r="E348" s="61" t="s">
        <v>187</v>
      </c>
      <c r="F348" s="8">
        <v>558.87</v>
      </c>
      <c r="G348" s="8">
        <v>574.76</v>
      </c>
      <c r="H348" s="8">
        <v>590.26</v>
      </c>
      <c r="I348" s="8">
        <v>590.19000000000005</v>
      </c>
      <c r="J348" s="8">
        <v>595.70000000000005</v>
      </c>
      <c r="K348" s="8">
        <v>574.9</v>
      </c>
      <c r="L348" s="8">
        <v>586.03</v>
      </c>
      <c r="M348" s="8">
        <v>577.20000000000005</v>
      </c>
      <c r="N348" s="8">
        <v>584.58000000000004</v>
      </c>
      <c r="O348" s="61"/>
      <c r="P348" s="61"/>
      <c r="Q348" s="62"/>
      <c r="R348" s="62"/>
      <c r="S348" s="139"/>
      <c r="T348" s="5"/>
      <c r="U348" s="140"/>
      <c r="W348" s="11"/>
      <c r="X348" s="118"/>
      <c r="Y348" s="118"/>
      <c r="Z348" s="118"/>
      <c r="AA348" s="118"/>
    </row>
    <row r="349" spans="1:29" ht="30.75" customHeight="1" thickBot="1" x14ac:dyDescent="0.35">
      <c r="A349"/>
      <c r="B349" s="63"/>
      <c r="C349" s="64"/>
      <c r="D349" s="64"/>
      <c r="E349" s="65" t="s">
        <v>190</v>
      </c>
      <c r="F349" s="53">
        <f t="shared" ref="F349:N349" si="111">IF(((F347="")*AND(F348="")),"",(F347-F348)*3)</f>
        <v>2054.2499999999995</v>
      </c>
      <c r="G349" s="53">
        <f t="shared" si="111"/>
        <v>2044.56</v>
      </c>
      <c r="H349" s="53">
        <f t="shared" si="111"/>
        <v>2024.13</v>
      </c>
      <c r="I349" s="53">
        <f t="shared" si="111"/>
        <v>2017.1099999999997</v>
      </c>
      <c r="J349" s="53">
        <f t="shared" si="111"/>
        <v>2002.9199999999996</v>
      </c>
      <c r="K349" s="53">
        <f t="shared" si="111"/>
        <v>2048.34</v>
      </c>
      <c r="L349" s="53">
        <f t="shared" si="111"/>
        <v>2025.09</v>
      </c>
      <c r="M349" s="53">
        <f t="shared" si="111"/>
        <v>2037.78</v>
      </c>
      <c r="N349" s="53">
        <f t="shared" si="111"/>
        <v>2028.1199999999994</v>
      </c>
      <c r="O349" s="65"/>
      <c r="P349" s="65"/>
      <c r="Q349" s="66"/>
      <c r="R349" s="66"/>
      <c r="S349" s="142"/>
      <c r="T349" s="143"/>
      <c r="U349" s="144"/>
      <c r="W349" s="11"/>
      <c r="X349" s="118"/>
      <c r="Y349" s="118"/>
      <c r="Z349" s="118"/>
      <c r="AA349" s="118"/>
    </row>
    <row r="350" spans="1:29" ht="13.35" customHeight="1" x14ac:dyDescent="0.25">
      <c r="A350" s="207">
        <v>43270</v>
      </c>
      <c r="B350" s="219" t="s">
        <v>185</v>
      </c>
      <c r="C350" s="39" t="s">
        <v>173</v>
      </c>
      <c r="D350" s="39" t="s">
        <v>172</v>
      </c>
      <c r="E350" s="41" t="s">
        <v>186</v>
      </c>
      <c r="F350" s="111">
        <v>29190.080000000002</v>
      </c>
      <c r="G350" s="111">
        <v>29089.97</v>
      </c>
      <c r="H350" s="111">
        <v>29115.58</v>
      </c>
      <c r="I350" s="111">
        <v>29113.8</v>
      </c>
      <c r="J350" s="111">
        <v>29232.73</v>
      </c>
      <c r="K350" s="111">
        <v>29171.279999999999</v>
      </c>
      <c r="L350" s="111">
        <v>29094.17</v>
      </c>
      <c r="M350" s="111">
        <v>29094.82</v>
      </c>
      <c r="N350" s="111">
        <v>29215.13</v>
      </c>
      <c r="O350" s="41">
        <f>IF((N351=""),"",MAX(F352:N352))</f>
        <v>4312.3799999999974</v>
      </c>
      <c r="P350" s="41">
        <f>IF(N351="","",MIN(F352:N352))</f>
        <v>3838.9800000000105</v>
      </c>
      <c r="Q350" s="42">
        <f>IF((N352=""),"",AVERAGE(F352:N352))</f>
        <v>4049.7399999999989</v>
      </c>
      <c r="R350" s="42">
        <f>IF((N351=""),"",(O350-P350)/(O350+P350)*100)</f>
        <v>5.8076198327639368</v>
      </c>
      <c r="S350" s="113">
        <f>STDEV(F352:N352)</f>
        <v>199.66378577498668</v>
      </c>
      <c r="T350" s="119" t="str">
        <f>IF(N351="","",IF(R350&lt;16,IF(Q350&gt;3200,IF(R350,IF(Q350&lt;5240,"Pass","Fail"),"Fail"),"Fail")))</f>
        <v>Pass</v>
      </c>
      <c r="U350" s="120">
        <v>1159</v>
      </c>
      <c r="V350" s="11" t="s">
        <v>198</v>
      </c>
      <c r="X350" s="116">
        <v>4200</v>
      </c>
      <c r="Y350" s="116">
        <v>5500</v>
      </c>
      <c r="Z350" s="116">
        <v>3200</v>
      </c>
      <c r="AA350" s="116">
        <v>5240</v>
      </c>
      <c r="AB350" s="31">
        <v>16</v>
      </c>
      <c r="AC350" s="31">
        <v>16</v>
      </c>
    </row>
    <row r="351" spans="1:29" ht="16.649999999999999" customHeight="1" x14ac:dyDescent="0.3">
      <c r="A351"/>
      <c r="B351" s="24"/>
      <c r="C351" s="6"/>
      <c r="D351" s="6"/>
      <c r="E351" s="61" t="s">
        <v>187</v>
      </c>
      <c r="F351" s="8">
        <v>27791.65</v>
      </c>
      <c r="G351" s="8">
        <v>27792.400000000001</v>
      </c>
      <c r="H351" s="8">
        <v>27835.919999999998</v>
      </c>
      <c r="I351" s="8">
        <v>27810.59</v>
      </c>
      <c r="J351" s="8">
        <v>27795.27</v>
      </c>
      <c r="K351" s="8">
        <v>27761.54</v>
      </c>
      <c r="L351" s="8">
        <v>27800.43</v>
      </c>
      <c r="M351" s="8">
        <v>27794.880000000001</v>
      </c>
      <c r="N351" s="8">
        <v>27785.66</v>
      </c>
      <c r="O351" s="61"/>
      <c r="P351" s="61"/>
      <c r="Q351" s="62"/>
      <c r="R351" s="62"/>
      <c r="S351" s="139"/>
      <c r="T351" s="5"/>
      <c r="U351" s="140"/>
      <c r="X351" s="118"/>
      <c r="Y351" s="118"/>
      <c r="Z351" s="118"/>
      <c r="AA351" s="118"/>
    </row>
    <row r="352" spans="1:29" ht="22.65" customHeight="1" thickBot="1" x14ac:dyDescent="0.35">
      <c r="A352"/>
      <c r="B352" s="24"/>
      <c r="C352" s="6"/>
      <c r="D352" s="6"/>
      <c r="E352" s="61" t="s">
        <v>188</v>
      </c>
      <c r="F352" s="40">
        <f t="shared" ref="F352:N352" si="112">IF(((F350="")*AND(F351="")),"",(F350-F351)*3)</f>
        <v>4195.2900000000009</v>
      </c>
      <c r="G352" s="40">
        <f t="shared" si="112"/>
        <v>3892.7099999999991</v>
      </c>
      <c r="H352" s="40">
        <f t="shared" si="112"/>
        <v>3838.9800000000105</v>
      </c>
      <c r="I352" s="40">
        <f t="shared" si="112"/>
        <v>3909.6299999999974</v>
      </c>
      <c r="J352" s="40">
        <f t="shared" si="112"/>
        <v>4312.3799999999974</v>
      </c>
      <c r="K352" s="40">
        <f t="shared" si="112"/>
        <v>4229.2199999999939</v>
      </c>
      <c r="L352" s="40">
        <f t="shared" si="112"/>
        <v>3881.2199999999939</v>
      </c>
      <c r="M352" s="40">
        <f t="shared" si="112"/>
        <v>3899.8199999999961</v>
      </c>
      <c r="N352" s="40">
        <f t="shared" si="112"/>
        <v>4288.4100000000035</v>
      </c>
      <c r="O352" s="61"/>
      <c r="P352" s="61"/>
      <c r="Q352" s="62"/>
      <c r="R352" s="62"/>
      <c r="S352" s="139"/>
      <c r="T352" s="5"/>
      <c r="U352" s="140"/>
      <c r="X352" s="118"/>
      <c r="Y352" s="118"/>
      <c r="Z352" s="118"/>
      <c r="AA352" s="118"/>
    </row>
    <row r="353" spans="1:29" x14ac:dyDescent="0.25">
      <c r="A353" s="210">
        <v>43270</v>
      </c>
      <c r="B353" s="218" t="s">
        <v>174</v>
      </c>
      <c r="C353" s="6" t="s">
        <v>176</v>
      </c>
      <c r="D353" s="44" t="s">
        <v>175</v>
      </c>
      <c r="E353" s="61" t="s">
        <v>186</v>
      </c>
      <c r="F353" s="8">
        <v>5015.1000000000004</v>
      </c>
      <c r="G353" s="8">
        <v>4920.72</v>
      </c>
      <c r="H353" s="8">
        <v>4964.4799999999996</v>
      </c>
      <c r="I353" s="8">
        <v>4960.7299999999996</v>
      </c>
      <c r="J353" s="8">
        <v>5185.75</v>
      </c>
      <c r="K353" s="8">
        <v>5147.6099999999997</v>
      </c>
      <c r="L353" s="8">
        <v>4973.09</v>
      </c>
      <c r="M353" s="8">
        <v>4929.97</v>
      </c>
      <c r="N353" s="8">
        <v>5084.87</v>
      </c>
      <c r="O353" s="61">
        <f>IF((N354=""),"",MAX(F355:N355))</f>
        <v>3995.9400000000005</v>
      </c>
      <c r="P353" s="61">
        <f>IF(N354="","",MIN(F355:N355))</f>
        <v>3618.2999999999993</v>
      </c>
      <c r="Q353" s="62">
        <f>IF((N355=""),"",AVERAGE(F355:N355))</f>
        <v>3856.6333333333332</v>
      </c>
      <c r="R353" s="62">
        <f>IF((N354=""),"",(O353-P353)/(O353+P353)*100)</f>
        <v>4.959654542016029</v>
      </c>
      <c r="S353" s="113">
        <f>STDEV(F355:N355)</f>
        <v>131.33353874772425</v>
      </c>
      <c r="T353" s="5" t="str">
        <f>IF(N354="","",IF(Q353&gt;3650,IF(R353&lt;7,IF(Q353&lt;4450,"Pass","Fail"),"Fail"),"Fail"))</f>
        <v>Pass</v>
      </c>
      <c r="U353" s="140">
        <v>1159</v>
      </c>
      <c r="V353" s="11" t="s">
        <v>198</v>
      </c>
      <c r="X353" s="116">
        <v>3650</v>
      </c>
      <c r="Y353" s="116">
        <v>4450</v>
      </c>
      <c r="Z353" s="116">
        <v>3700</v>
      </c>
      <c r="AA353" s="116">
        <v>4100</v>
      </c>
      <c r="AB353" s="31">
        <v>7</v>
      </c>
      <c r="AC353" s="31">
        <v>6.5</v>
      </c>
    </row>
    <row r="354" spans="1:29" ht="16.649999999999999" customHeight="1" x14ac:dyDescent="0.3">
      <c r="A354"/>
      <c r="B354" s="24"/>
      <c r="C354" s="6"/>
      <c r="D354" s="6"/>
      <c r="E354" s="61" t="s">
        <v>187</v>
      </c>
      <c r="F354" s="8">
        <v>3138.97</v>
      </c>
      <c r="G354" s="8">
        <v>2949.12</v>
      </c>
      <c r="H354" s="8">
        <v>2973.46</v>
      </c>
      <c r="I354" s="8">
        <v>2992.67</v>
      </c>
      <c r="J354" s="8">
        <v>3322.72</v>
      </c>
      <c r="K354" s="8">
        <v>3338.46</v>
      </c>
      <c r="L354" s="8">
        <v>3013.55</v>
      </c>
      <c r="M354" s="8">
        <v>2932</v>
      </c>
      <c r="N354" s="8">
        <v>3166.52</v>
      </c>
      <c r="O354" s="61"/>
      <c r="P354" s="61"/>
      <c r="Q354" s="62"/>
      <c r="R354" s="62"/>
      <c r="S354" s="139"/>
      <c r="T354" s="5"/>
      <c r="U354" s="140"/>
      <c r="X354" s="118"/>
      <c r="Y354" s="118"/>
      <c r="Z354" s="118"/>
      <c r="AA354" s="118"/>
    </row>
    <row r="355" spans="1:29" ht="22.65" customHeight="1" x14ac:dyDescent="0.3">
      <c r="A355"/>
      <c r="B355" s="24"/>
      <c r="C355" s="6"/>
      <c r="D355" s="6"/>
      <c r="E355" s="61" t="s">
        <v>188</v>
      </c>
      <c r="F355" s="40">
        <f t="shared" ref="F355:N355" si="113">IF(((F353="")*AND(F354="")),"",(F353-F354)*2)</f>
        <v>3752.2600000000011</v>
      </c>
      <c r="G355" s="40">
        <f t="shared" si="113"/>
        <v>3943.2000000000007</v>
      </c>
      <c r="H355" s="40">
        <f t="shared" si="113"/>
        <v>3982.0399999999991</v>
      </c>
      <c r="I355" s="40">
        <f t="shared" si="113"/>
        <v>3936.119999999999</v>
      </c>
      <c r="J355" s="40">
        <f t="shared" si="113"/>
        <v>3726.0600000000004</v>
      </c>
      <c r="K355" s="40">
        <f t="shared" si="113"/>
        <v>3618.2999999999993</v>
      </c>
      <c r="L355" s="40">
        <f t="shared" si="113"/>
        <v>3919.08</v>
      </c>
      <c r="M355" s="40">
        <f t="shared" si="113"/>
        <v>3995.9400000000005</v>
      </c>
      <c r="N355" s="40">
        <f t="shared" si="113"/>
        <v>3836.7</v>
      </c>
      <c r="O355" s="61"/>
      <c r="P355" s="61"/>
      <c r="Q355" s="62"/>
      <c r="R355" s="62"/>
      <c r="S355" s="139"/>
      <c r="T355" s="5"/>
      <c r="U355" s="140"/>
      <c r="X355" s="118"/>
      <c r="Y355" s="118"/>
      <c r="Z355" s="118"/>
      <c r="AA355" s="118"/>
    </row>
    <row r="356" spans="1:29" ht="13.35" customHeight="1" x14ac:dyDescent="0.25">
      <c r="A356" s="210">
        <v>43270</v>
      </c>
      <c r="B356" s="215" t="s">
        <v>169</v>
      </c>
      <c r="C356" s="6" t="s">
        <v>171</v>
      </c>
      <c r="D356" s="6" t="s">
        <v>189</v>
      </c>
      <c r="E356" s="61" t="s">
        <v>186</v>
      </c>
      <c r="F356" s="8">
        <v>1927.9</v>
      </c>
      <c r="G356" s="8">
        <v>1926.32</v>
      </c>
      <c r="H356" s="8">
        <v>1921.28</v>
      </c>
      <c r="I356" s="8">
        <v>1927.5</v>
      </c>
      <c r="J356" s="8">
        <v>1936.25</v>
      </c>
      <c r="K356" s="8">
        <v>1935.28</v>
      </c>
      <c r="L356" s="8">
        <v>1923.83</v>
      </c>
      <c r="M356" s="8">
        <v>1926.84</v>
      </c>
      <c r="N356" s="8">
        <v>1932.62</v>
      </c>
      <c r="O356" s="61">
        <f>IF((N357=""),"",MAX(F358:N358))</f>
        <v>2020.6799999999998</v>
      </c>
      <c r="P356" s="61">
        <f>IF(N357="","",MIN(F358:N358))</f>
        <v>1979.28</v>
      </c>
      <c r="Q356" s="62">
        <f>IF((N358=""),"",AVERAGE(F358:N358))</f>
        <v>1998.1233333333334</v>
      </c>
      <c r="R356" s="62">
        <f>IF((N357=""),"",(O356-P356)/(O356+P356)*100)</f>
        <v>1.0350103501034977</v>
      </c>
      <c r="S356" s="113">
        <f>STDEV(F358:N358)</f>
        <v>12.720410763807877</v>
      </c>
      <c r="T356" s="5" t="str">
        <f>IF(N357="","",IF(Q356&gt;1940,IF(R356&lt;8.3,IF(Q356&lt;2180,"Pass","Fail"),"Fail"),"Fail"))</f>
        <v>Pass</v>
      </c>
      <c r="U356" s="140">
        <v>1159</v>
      </c>
      <c r="V356" s="11" t="s">
        <v>198</v>
      </c>
      <c r="X356" s="116">
        <v>2000</v>
      </c>
      <c r="Y356" s="116">
        <v>3000</v>
      </c>
      <c r="Z356" s="116">
        <v>1940</v>
      </c>
      <c r="AA356" s="116">
        <v>2180</v>
      </c>
      <c r="AB356" s="31">
        <v>5.2</v>
      </c>
      <c r="AC356" s="31">
        <v>5.2</v>
      </c>
    </row>
    <row r="357" spans="1:29" ht="16.649999999999999" customHeight="1" x14ac:dyDescent="0.3">
      <c r="A357"/>
      <c r="B357" s="24"/>
      <c r="C357" s="6"/>
      <c r="D357" s="6"/>
      <c r="E357" s="61" t="s">
        <v>187</v>
      </c>
      <c r="F357" s="8">
        <v>1261.07</v>
      </c>
      <c r="G357" s="8">
        <v>1257.2</v>
      </c>
      <c r="H357" s="8">
        <v>1254.81</v>
      </c>
      <c r="I357" s="8">
        <v>1259.01</v>
      </c>
      <c r="J357" s="8">
        <v>1275.49</v>
      </c>
      <c r="K357" s="8">
        <v>1270.49</v>
      </c>
      <c r="L357" s="8">
        <v>1264.07</v>
      </c>
      <c r="M357" s="8">
        <v>1253.28</v>
      </c>
      <c r="N357" s="8">
        <v>1268.03</v>
      </c>
      <c r="O357" s="61"/>
      <c r="P357" s="61"/>
      <c r="Q357" s="62"/>
      <c r="R357" s="62"/>
      <c r="S357" s="139"/>
      <c r="T357" s="5"/>
      <c r="U357" s="140"/>
      <c r="X357" s="118"/>
      <c r="Y357" s="118"/>
      <c r="Z357" s="118"/>
      <c r="AA357" s="118"/>
    </row>
    <row r="358" spans="1:29" ht="31.65" customHeight="1" thickBot="1" x14ac:dyDescent="0.35">
      <c r="A358"/>
      <c r="B358" s="63"/>
      <c r="C358" s="64"/>
      <c r="D358" s="64"/>
      <c r="E358" s="65" t="s">
        <v>190</v>
      </c>
      <c r="F358" s="53">
        <f t="shared" ref="F358:N358" si="114">IF(((F356="")*AND(F357="")),"",(F356-F357)*3)</f>
        <v>2000.4900000000005</v>
      </c>
      <c r="G358" s="53">
        <f t="shared" si="114"/>
        <v>2007.3599999999997</v>
      </c>
      <c r="H358" s="53">
        <f t="shared" si="114"/>
        <v>1999.41</v>
      </c>
      <c r="I358" s="53">
        <f t="shared" si="114"/>
        <v>2005.47</v>
      </c>
      <c r="J358" s="53">
        <f t="shared" si="114"/>
        <v>1982.28</v>
      </c>
      <c r="K358" s="53">
        <f t="shared" si="114"/>
        <v>1994.37</v>
      </c>
      <c r="L358" s="53">
        <f t="shared" si="114"/>
        <v>1979.28</v>
      </c>
      <c r="M358" s="53">
        <f t="shared" si="114"/>
        <v>2020.6799999999998</v>
      </c>
      <c r="N358" s="53">
        <f t="shared" si="114"/>
        <v>1993.7699999999998</v>
      </c>
      <c r="O358" s="65"/>
      <c r="P358" s="65"/>
      <c r="Q358" s="66"/>
      <c r="R358" s="66"/>
      <c r="S358" s="142"/>
      <c r="T358" s="143"/>
      <c r="U358" s="144"/>
      <c r="X358" s="118"/>
      <c r="Y358" s="118"/>
      <c r="Z358" s="118"/>
      <c r="AA358" s="118"/>
    </row>
    <row r="359" spans="1:29" ht="13.35" customHeight="1" x14ac:dyDescent="0.25">
      <c r="A359" s="207">
        <v>43276</v>
      </c>
      <c r="B359" s="219" t="s">
        <v>185</v>
      </c>
      <c r="C359" s="39" t="s">
        <v>173</v>
      </c>
      <c r="D359" s="39" t="s">
        <v>172</v>
      </c>
      <c r="E359" s="41" t="s">
        <v>186</v>
      </c>
      <c r="F359" s="111">
        <v>27703.87</v>
      </c>
      <c r="G359" s="111">
        <v>27714.3</v>
      </c>
      <c r="H359" s="111">
        <v>27748.78</v>
      </c>
      <c r="I359" s="111">
        <v>27727.23</v>
      </c>
      <c r="J359" s="111">
        <v>27706.59</v>
      </c>
      <c r="K359" s="111">
        <v>27691.79</v>
      </c>
      <c r="L359" s="111">
        <v>27720.05</v>
      </c>
      <c r="M359" s="111">
        <v>27712.560000000001</v>
      </c>
      <c r="N359" s="111">
        <v>27688.13</v>
      </c>
      <c r="O359" s="41">
        <f>IF((N360=""),"",MAX(F361:N361))</f>
        <v>4584.1200000000026</v>
      </c>
      <c r="P359" s="41">
        <f>IF(N360="","",MIN(F361:N361))</f>
        <v>4049.6099999999969</v>
      </c>
      <c r="Q359" s="42">
        <f>IF((N361=""),"",AVERAGE(F361:N361))</f>
        <v>4301.2000000000007</v>
      </c>
      <c r="R359" s="42">
        <f>IF((N360=""),"",(O359-P359)/(O359+P359)*100)</f>
        <v>6.1909510721322736</v>
      </c>
      <c r="S359" s="113">
        <f>STDEV(F361:N361)</f>
        <v>214.15007769085747</v>
      </c>
      <c r="T359" s="119" t="str">
        <f>IF(N360="","",IF(R359&lt;16,IF(Q359&gt;3200,IF(R359,IF(Q359&lt;5240,"Pass","Fail"),"Fail"),"Fail")))</f>
        <v>Pass</v>
      </c>
      <c r="U359" s="120">
        <v>1340</v>
      </c>
      <c r="V359" s="11" t="s">
        <v>199</v>
      </c>
      <c r="X359" s="116">
        <v>4200</v>
      </c>
      <c r="Y359" s="116">
        <v>5500</v>
      </c>
      <c r="Z359" s="116">
        <v>3200</v>
      </c>
      <c r="AA359" s="116">
        <v>5240</v>
      </c>
      <c r="AB359" s="31">
        <v>16</v>
      </c>
      <c r="AC359" s="31">
        <v>16</v>
      </c>
    </row>
    <row r="360" spans="1:29" ht="16.649999999999999" customHeight="1" x14ac:dyDescent="0.3">
      <c r="A360"/>
      <c r="B360" s="24"/>
      <c r="C360" s="6"/>
      <c r="D360" s="6"/>
      <c r="E360" s="61" t="s">
        <v>187</v>
      </c>
      <c r="F360" s="8">
        <v>26212.01</v>
      </c>
      <c r="G360" s="8">
        <v>26339.03</v>
      </c>
      <c r="H360" s="8">
        <v>26398.91</v>
      </c>
      <c r="I360" s="8">
        <v>26340.62</v>
      </c>
      <c r="J360" s="8">
        <v>26178.55</v>
      </c>
      <c r="K360" s="8">
        <v>26188</v>
      </c>
      <c r="L360" s="8">
        <v>26341.19</v>
      </c>
      <c r="M360" s="8">
        <v>26329.81</v>
      </c>
      <c r="N360" s="8">
        <v>26181.58</v>
      </c>
      <c r="O360" s="61"/>
      <c r="P360" s="61"/>
      <c r="Q360" s="62"/>
      <c r="R360" s="62"/>
      <c r="S360" s="139"/>
      <c r="T360" s="5"/>
      <c r="U360" s="140"/>
      <c r="X360" s="118"/>
      <c r="Y360" s="118"/>
      <c r="Z360" s="118"/>
      <c r="AA360" s="118"/>
    </row>
    <row r="361" spans="1:29" ht="22.65" customHeight="1" thickBot="1" x14ac:dyDescent="0.35">
      <c r="A361"/>
      <c r="B361" s="24"/>
      <c r="C361" s="6"/>
      <c r="D361" s="6"/>
      <c r="E361" s="61" t="s">
        <v>188</v>
      </c>
      <c r="F361" s="40">
        <f t="shared" ref="F361:N361" si="115">IF(((F359="")*AND(F360="")),"",(F359-F360)*3)</f>
        <v>4475.5800000000017</v>
      </c>
      <c r="G361" s="40">
        <f t="shared" si="115"/>
        <v>4125.8100000000013</v>
      </c>
      <c r="H361" s="40">
        <f t="shared" si="115"/>
        <v>4049.6099999999969</v>
      </c>
      <c r="I361" s="40">
        <f t="shared" si="115"/>
        <v>4159.8300000000017</v>
      </c>
      <c r="J361" s="40">
        <f t="shared" si="115"/>
        <v>4584.1200000000026</v>
      </c>
      <c r="K361" s="40">
        <f t="shared" si="115"/>
        <v>4511.3700000000026</v>
      </c>
      <c r="L361" s="40">
        <f t="shared" si="115"/>
        <v>4136.5800000000017</v>
      </c>
      <c r="M361" s="40">
        <f t="shared" si="115"/>
        <v>4148.25</v>
      </c>
      <c r="N361" s="40">
        <f t="shared" si="115"/>
        <v>4519.6499999999978</v>
      </c>
      <c r="O361" s="61"/>
      <c r="P361" s="61"/>
      <c r="Q361" s="62"/>
      <c r="R361" s="62"/>
      <c r="S361" s="139"/>
      <c r="T361" s="5"/>
      <c r="U361" s="140"/>
      <c r="X361" s="118"/>
      <c r="Y361" s="118"/>
      <c r="Z361" s="118"/>
      <c r="AA361" s="118"/>
    </row>
    <row r="362" spans="1:29" x14ac:dyDescent="0.25">
      <c r="A362" s="210">
        <v>43276</v>
      </c>
      <c r="B362" s="218" t="s">
        <v>174</v>
      </c>
      <c r="C362" s="6" t="s">
        <v>176</v>
      </c>
      <c r="D362" s="44" t="s">
        <v>175</v>
      </c>
      <c r="E362" s="61" t="s">
        <v>186</v>
      </c>
      <c r="F362" s="8">
        <v>3153.54</v>
      </c>
      <c r="G362" s="8">
        <v>2962.03</v>
      </c>
      <c r="H362" s="8">
        <v>2986.7</v>
      </c>
      <c r="I362" s="8">
        <v>3005.72</v>
      </c>
      <c r="J362" s="8">
        <v>3341.1</v>
      </c>
      <c r="K362" s="8">
        <v>3355.66</v>
      </c>
      <c r="L362" s="8">
        <v>3027.1</v>
      </c>
      <c r="M362" s="8">
        <v>2944.57</v>
      </c>
      <c r="N362" s="8">
        <v>3181.6</v>
      </c>
      <c r="O362" s="61">
        <f>IF((N363=""),"",MAX(F364:N364))</f>
        <v>4041.92</v>
      </c>
      <c r="P362" s="61">
        <f>IF(N363="","",MIN(F364:N364))</f>
        <v>3712.5199999999995</v>
      </c>
      <c r="Q362" s="62">
        <f>IF((N364=""),"",AVERAGE(F364:N364))</f>
        <v>3920.6511111111113</v>
      </c>
      <c r="R362" s="62">
        <f>IF((N363=""),"",(O362-P362)/(O362+P362)*100)</f>
        <v>4.2478889513620661</v>
      </c>
      <c r="S362" s="113">
        <f>STDEV(F364:N364)</f>
        <v>111.90517776721116</v>
      </c>
      <c r="T362" s="5" t="str">
        <f>IF(N363="","",IF(Q362&gt;3650,IF(R362&lt;7,IF(Q362&lt;4450,"Pass","Fail"),"Fail"),"Fail"))</f>
        <v>Pass</v>
      </c>
      <c r="U362" s="140">
        <v>1340</v>
      </c>
      <c r="V362" s="11" t="s">
        <v>199</v>
      </c>
      <c r="X362" s="116">
        <v>3650</v>
      </c>
      <c r="Y362" s="116">
        <v>4450</v>
      </c>
      <c r="Z362" s="116">
        <v>3700</v>
      </c>
      <c r="AA362" s="116">
        <v>4100</v>
      </c>
      <c r="AB362" s="31">
        <v>7</v>
      </c>
      <c r="AC362" s="31">
        <v>6.5</v>
      </c>
    </row>
    <row r="363" spans="1:29" ht="16.649999999999999" customHeight="1" x14ac:dyDescent="0.3">
      <c r="A363"/>
      <c r="B363" s="24"/>
      <c r="C363" s="6"/>
      <c r="D363" s="6"/>
      <c r="E363" s="61" t="s">
        <v>187</v>
      </c>
      <c r="F363" s="8">
        <v>1241.03</v>
      </c>
      <c r="G363" s="8">
        <v>969.47</v>
      </c>
      <c r="H363" s="8">
        <v>970.04</v>
      </c>
      <c r="I363" s="8">
        <v>1012.45</v>
      </c>
      <c r="J363" s="8">
        <v>1429.56</v>
      </c>
      <c r="K363" s="8">
        <v>1499.4</v>
      </c>
      <c r="L363" s="8">
        <v>1043.31</v>
      </c>
      <c r="M363" s="8">
        <v>923.61</v>
      </c>
      <c r="N363" s="8">
        <v>1226.22</v>
      </c>
      <c r="O363" s="61"/>
      <c r="P363" s="61"/>
      <c r="Q363" s="62"/>
      <c r="R363" s="62"/>
      <c r="S363" s="139"/>
      <c r="T363" s="5"/>
      <c r="U363" s="140"/>
      <c r="X363" s="118"/>
      <c r="Y363" s="118"/>
      <c r="Z363" s="118"/>
      <c r="AA363" s="118"/>
    </row>
    <row r="364" spans="1:29" ht="22.65" customHeight="1" x14ac:dyDescent="0.3">
      <c r="A364"/>
      <c r="B364" s="24"/>
      <c r="C364" s="6"/>
      <c r="D364" s="6"/>
      <c r="E364" s="61" t="s">
        <v>188</v>
      </c>
      <c r="F364" s="40">
        <f t="shared" ref="F364:N364" si="116">IF(((F362="")*AND(F363="")),"",(F362-F363)*2)</f>
        <v>3825.02</v>
      </c>
      <c r="G364" s="40">
        <f t="shared" si="116"/>
        <v>3985.1200000000003</v>
      </c>
      <c r="H364" s="40">
        <f t="shared" si="116"/>
        <v>4033.3199999999997</v>
      </c>
      <c r="I364" s="40">
        <f t="shared" si="116"/>
        <v>3986.5399999999995</v>
      </c>
      <c r="J364" s="40">
        <f t="shared" si="116"/>
        <v>3823.08</v>
      </c>
      <c r="K364" s="40">
        <f t="shared" si="116"/>
        <v>3712.5199999999995</v>
      </c>
      <c r="L364" s="40">
        <f t="shared" si="116"/>
        <v>3967.58</v>
      </c>
      <c r="M364" s="40">
        <f t="shared" si="116"/>
        <v>4041.92</v>
      </c>
      <c r="N364" s="40">
        <f t="shared" si="116"/>
        <v>3910.7599999999998</v>
      </c>
      <c r="O364" s="61"/>
      <c r="P364" s="61"/>
      <c r="Q364" s="62"/>
      <c r="R364" s="62"/>
      <c r="S364" s="139"/>
      <c r="T364" s="5"/>
      <c r="U364" s="140"/>
      <c r="X364" s="118"/>
      <c r="Y364" s="118"/>
      <c r="Z364" s="118"/>
      <c r="AA364" s="118"/>
    </row>
    <row r="365" spans="1:29" x14ac:dyDescent="0.25">
      <c r="A365" s="210">
        <v>43276</v>
      </c>
      <c r="B365" s="215" t="s">
        <v>169</v>
      </c>
      <c r="C365" s="6" t="s">
        <v>171</v>
      </c>
      <c r="D365" s="6" t="s">
        <v>189</v>
      </c>
      <c r="E365" s="61" t="s">
        <v>186</v>
      </c>
      <c r="F365" s="8">
        <v>1261.47</v>
      </c>
      <c r="G365" s="8">
        <v>1258.3699999999999</v>
      </c>
      <c r="H365" s="8">
        <v>1258.43</v>
      </c>
      <c r="I365" s="8">
        <v>1260.26</v>
      </c>
      <c r="J365" s="8">
        <v>1275.6099999999999</v>
      </c>
      <c r="K365" s="8">
        <v>1270.81</v>
      </c>
      <c r="L365" s="8">
        <v>1264.19</v>
      </c>
      <c r="M365" s="8">
        <v>1255.23</v>
      </c>
      <c r="N365" s="8">
        <v>1270.19</v>
      </c>
      <c r="O365" s="61">
        <f>IF((N366=""),"",MAX(F367:N367))</f>
        <v>2047.6200000000003</v>
      </c>
      <c r="P365" s="61">
        <f>IF(N366="","",MIN(F367:N367))</f>
        <v>1986.2399999999998</v>
      </c>
      <c r="Q365" s="62">
        <f>IF((N367=""),"",AVERAGE(F367:N367))</f>
        <v>2017.0933333333332</v>
      </c>
      <c r="R365" s="62">
        <f>IF((N366=""),"",(O365-P365)/(O365+P365)*100)</f>
        <v>1.521619491008626</v>
      </c>
      <c r="S365" s="113">
        <f>STDEV(F367:N367)</f>
        <v>20.206303471936724</v>
      </c>
      <c r="T365" s="5" t="str">
        <f>IF(N366="","",IF(Q365&gt;1940,IF(R365&lt;8.3,IF(Q365&lt;2180,"Pass","Fail"),"Fail"),"Fail"))</f>
        <v>Pass</v>
      </c>
      <c r="U365" s="140">
        <v>1340</v>
      </c>
      <c r="V365" s="356" t="s">
        <v>199</v>
      </c>
      <c r="X365" s="116">
        <v>2000</v>
      </c>
      <c r="Y365" s="116">
        <v>3000</v>
      </c>
      <c r="Z365" s="116">
        <v>1940</v>
      </c>
      <c r="AA365" s="116">
        <v>2180</v>
      </c>
      <c r="AB365" s="31">
        <v>5.2</v>
      </c>
      <c r="AC365" s="31">
        <v>5.2</v>
      </c>
    </row>
    <row r="366" spans="1:29" ht="15.6" x14ac:dyDescent="0.3">
      <c r="A366"/>
      <c r="B366" s="24"/>
      <c r="C366" s="6"/>
      <c r="D366" s="6"/>
      <c r="E366" s="61" t="s">
        <v>187</v>
      </c>
      <c r="F366" s="8">
        <v>583.21</v>
      </c>
      <c r="G366" s="8">
        <v>580.73</v>
      </c>
      <c r="H366" s="8">
        <v>575.89</v>
      </c>
      <c r="I366" s="8">
        <v>590.85</v>
      </c>
      <c r="J366" s="8">
        <v>613.53</v>
      </c>
      <c r="K366" s="8">
        <v>599.6</v>
      </c>
      <c r="L366" s="8">
        <v>593.28</v>
      </c>
      <c r="M366" s="8">
        <v>579.97</v>
      </c>
      <c r="N366" s="8">
        <v>606.22</v>
      </c>
      <c r="O366" s="61"/>
      <c r="P366" s="61"/>
      <c r="Q366" s="62"/>
      <c r="R366" s="62"/>
      <c r="S366" s="139"/>
      <c r="T366" s="5"/>
      <c r="U366" s="140"/>
      <c r="V366" s="357"/>
      <c r="X366" s="118"/>
      <c r="Y366" s="118"/>
      <c r="Z366" s="118"/>
      <c r="AA366" s="118"/>
    </row>
    <row r="367" spans="1:29" ht="32.25" customHeight="1" thickBot="1" x14ac:dyDescent="0.35">
      <c r="A367"/>
      <c r="B367" s="63"/>
      <c r="C367" s="64"/>
      <c r="D367" s="64"/>
      <c r="E367" s="65" t="s">
        <v>190</v>
      </c>
      <c r="F367" s="53">
        <f t="shared" ref="F367:N367" si="117">IF(((F365="")*AND(F366="")),"",(F365-F366)*3)</f>
        <v>2034.78</v>
      </c>
      <c r="G367" s="53">
        <f t="shared" si="117"/>
        <v>2032.9199999999996</v>
      </c>
      <c r="H367" s="53">
        <f t="shared" si="117"/>
        <v>2047.6200000000003</v>
      </c>
      <c r="I367" s="53">
        <f t="shared" si="117"/>
        <v>2008.23</v>
      </c>
      <c r="J367" s="53">
        <f t="shared" si="117"/>
        <v>1986.2399999999998</v>
      </c>
      <c r="K367" s="53">
        <f t="shared" si="117"/>
        <v>2013.6299999999997</v>
      </c>
      <c r="L367" s="53">
        <f t="shared" si="117"/>
        <v>2012.7300000000002</v>
      </c>
      <c r="M367" s="53">
        <f t="shared" si="117"/>
        <v>2025.78</v>
      </c>
      <c r="N367" s="53">
        <f t="shared" si="117"/>
        <v>1991.91</v>
      </c>
      <c r="O367" s="65"/>
      <c r="P367" s="65"/>
      <c r="Q367" s="66"/>
      <c r="R367" s="66"/>
      <c r="S367" s="142"/>
      <c r="T367" s="143"/>
      <c r="U367" s="144"/>
      <c r="V367" s="358"/>
      <c r="X367" s="118"/>
      <c r="Y367" s="118"/>
      <c r="Z367" s="118"/>
      <c r="AA367" s="118"/>
    </row>
    <row r="368" spans="1:29" ht="12.75" customHeight="1" x14ac:dyDescent="0.25">
      <c r="A368" s="207">
        <v>43279</v>
      </c>
      <c r="B368" s="219" t="s">
        <v>185</v>
      </c>
      <c r="C368" s="39" t="s">
        <v>173</v>
      </c>
      <c r="D368" s="39" t="s">
        <v>172</v>
      </c>
      <c r="E368" s="41" t="s">
        <v>186</v>
      </c>
      <c r="F368" s="111">
        <v>26160.22</v>
      </c>
      <c r="G368" s="111">
        <v>26289.95</v>
      </c>
      <c r="H368" s="111">
        <v>26350.639999999999</v>
      </c>
      <c r="I368" s="111">
        <v>26286.29</v>
      </c>
      <c r="J368" s="111">
        <v>26122.93</v>
      </c>
      <c r="K368" s="111">
        <v>26125.94</v>
      </c>
      <c r="L368" s="111">
        <v>26289.78</v>
      </c>
      <c r="M368" s="111">
        <v>26289.25</v>
      </c>
      <c r="N368" s="111">
        <v>26126.400000000001</v>
      </c>
      <c r="O368" s="41">
        <f>IF((N369=""),"",MAX(F370:N370))</f>
        <v>4471.6500000000087</v>
      </c>
      <c r="P368" s="41">
        <f>IF(N369="","",MIN(F370:N370))</f>
        <v>3969.1499999999978</v>
      </c>
      <c r="Q368" s="42">
        <f>IF((N370=""),"",AVERAGE(F370:N370))</f>
        <v>4221.7566666666662</v>
      </c>
      <c r="R368" s="42">
        <f>IF((N369=""),"",(O368-P368)/(O368+P368)*100)</f>
        <v>5.9532271822577298</v>
      </c>
      <c r="S368" s="113">
        <f>STDEV(F370:N370)</f>
        <v>223.11022628960762</v>
      </c>
      <c r="T368" s="119" t="str">
        <f>IF(N369="","",IF(R368&lt;16,IF(Q368&gt;3200,IF(R368,IF(Q368&lt;5240,"Pass","Fail"),"Fail"),"Fail")))</f>
        <v>Pass</v>
      </c>
      <c r="U368" s="120">
        <v>121</v>
      </c>
      <c r="V368" s="173"/>
      <c r="W368" s="118"/>
      <c r="X368" s="116">
        <v>4200</v>
      </c>
      <c r="Y368" s="116">
        <v>5500</v>
      </c>
      <c r="Z368" s="116">
        <v>3200</v>
      </c>
      <c r="AA368" s="116">
        <v>5240</v>
      </c>
      <c r="AB368" s="31">
        <v>16</v>
      </c>
      <c r="AC368" s="31">
        <v>16</v>
      </c>
    </row>
    <row r="369" spans="1:29" ht="12.75" customHeight="1" x14ac:dyDescent="0.3">
      <c r="A369"/>
      <c r="B369" s="24"/>
      <c r="C369" s="6"/>
      <c r="D369" s="6"/>
      <c r="E369" s="61" t="s">
        <v>187</v>
      </c>
      <c r="F369" s="8">
        <v>24678.97</v>
      </c>
      <c r="G369" s="8">
        <v>24941.48</v>
      </c>
      <c r="H369" s="8">
        <v>25027.59</v>
      </c>
      <c r="I369" s="8">
        <v>24938.82</v>
      </c>
      <c r="J369" s="8">
        <v>24637.86</v>
      </c>
      <c r="K369" s="8">
        <v>24642.74</v>
      </c>
      <c r="L369" s="8">
        <v>24940.3</v>
      </c>
      <c r="M369" s="8">
        <v>24932.52</v>
      </c>
      <c r="N369" s="8">
        <v>24635.85</v>
      </c>
      <c r="O369" s="61"/>
      <c r="P369" s="61"/>
      <c r="Q369" s="62"/>
      <c r="R369" s="62"/>
      <c r="S369" s="139"/>
      <c r="T369" s="5"/>
      <c r="U369" s="140"/>
      <c r="V369" s="173"/>
      <c r="W369" s="118"/>
      <c r="X369" s="118"/>
      <c r="Y369" s="118"/>
      <c r="Z369" s="118"/>
      <c r="AA369" s="118"/>
    </row>
    <row r="370" spans="1:29" ht="23.4" thickBot="1" x14ac:dyDescent="0.35">
      <c r="A370"/>
      <c r="B370" s="24"/>
      <c r="C370" s="6"/>
      <c r="D370" s="6"/>
      <c r="E370" s="61" t="s">
        <v>188</v>
      </c>
      <c r="F370" s="40">
        <f t="shared" ref="F370:N370" si="118">IF(((F368="")*AND(F369="")),"",(F368-F369)*3)</f>
        <v>4443.75</v>
      </c>
      <c r="G370" s="40">
        <f t="shared" si="118"/>
        <v>4045.4100000000035</v>
      </c>
      <c r="H370" s="40">
        <f t="shared" si="118"/>
        <v>3969.1499999999978</v>
      </c>
      <c r="I370" s="40">
        <f t="shared" si="118"/>
        <v>4042.4100000000035</v>
      </c>
      <c r="J370" s="40">
        <f t="shared" si="118"/>
        <v>4455.2099999999991</v>
      </c>
      <c r="K370" s="40">
        <f t="shared" si="118"/>
        <v>4449.5999999999913</v>
      </c>
      <c r="L370" s="40">
        <f t="shared" si="118"/>
        <v>4048.4399999999987</v>
      </c>
      <c r="M370" s="40">
        <f t="shared" si="118"/>
        <v>4070.1899999999987</v>
      </c>
      <c r="N370" s="40">
        <f t="shared" si="118"/>
        <v>4471.6500000000087</v>
      </c>
      <c r="O370" s="61"/>
      <c r="P370" s="61"/>
      <c r="Q370" s="62"/>
      <c r="R370" s="62"/>
      <c r="S370" s="139"/>
      <c r="T370" s="5"/>
      <c r="U370" s="140"/>
      <c r="V370" s="173"/>
      <c r="W370" s="118"/>
      <c r="X370" s="118"/>
      <c r="Y370" s="118"/>
      <c r="Z370" s="118"/>
      <c r="AA370" s="118"/>
    </row>
    <row r="371" spans="1:29" x14ac:dyDescent="0.25">
      <c r="A371" s="210">
        <v>43279</v>
      </c>
      <c r="B371" s="218" t="s">
        <v>174</v>
      </c>
      <c r="C371" s="6" t="s">
        <v>176</v>
      </c>
      <c r="D371" s="44" t="s">
        <v>175</v>
      </c>
      <c r="E371" s="61" t="s">
        <v>186</v>
      </c>
      <c r="F371" s="8">
        <v>3388.14</v>
      </c>
      <c r="G371" s="8">
        <v>3306.74</v>
      </c>
      <c r="H371" s="8">
        <v>3440.21</v>
      </c>
      <c r="I371" s="8">
        <v>3433.47</v>
      </c>
      <c r="J371" s="8">
        <v>3683.05</v>
      </c>
      <c r="K371" s="8">
        <v>3499.19</v>
      </c>
      <c r="L371" s="8">
        <v>3396.01</v>
      </c>
      <c r="M371" s="8">
        <v>3418.93</v>
      </c>
      <c r="N371" s="8">
        <v>3541.65</v>
      </c>
      <c r="O371" s="61">
        <f>IF((N372=""),"",MAX(F373:N373))</f>
        <v>4017.78</v>
      </c>
      <c r="P371" s="61">
        <f>IF(N372="","",MIN(F373:N373))</f>
        <v>3648.2000000000003</v>
      </c>
      <c r="Q371" s="62">
        <f>IF((N373=""),"",AVERAGE(F373:N373))</f>
        <v>3878.2400000000002</v>
      </c>
      <c r="R371" s="62">
        <f>IF((N372=""),"",(O371-P371)/(O371+P371)*100)</f>
        <v>4.8210404931919975</v>
      </c>
      <c r="S371" s="113">
        <f>STDEV(F373:N373)</f>
        <v>136.74440610130986</v>
      </c>
      <c r="T371" s="5" t="str">
        <f>IF(N372="","",IF(Q371&gt;3650,IF(R371&lt;7,IF(Q371&lt;4450,"Pass","Fail"),"Fail"),"Fail"))</f>
        <v>Pass</v>
      </c>
      <c r="U371" s="140">
        <v>121</v>
      </c>
      <c r="V371" s="173"/>
      <c r="W371" s="11"/>
      <c r="X371" s="116">
        <v>3650</v>
      </c>
      <c r="Y371" s="116">
        <v>4450</v>
      </c>
      <c r="Z371" s="116">
        <v>3700</v>
      </c>
      <c r="AA371" s="116">
        <v>4100</v>
      </c>
      <c r="AB371" s="31">
        <v>7</v>
      </c>
      <c r="AC371" s="31">
        <v>6.5</v>
      </c>
    </row>
    <row r="372" spans="1:29" ht="15.6" x14ac:dyDescent="0.3">
      <c r="A372"/>
      <c r="B372" s="24"/>
      <c r="C372" s="6"/>
      <c r="D372" s="6"/>
      <c r="E372" s="61" t="s">
        <v>187</v>
      </c>
      <c r="F372" s="8">
        <v>1500.81</v>
      </c>
      <c r="G372" s="8">
        <v>1323.53</v>
      </c>
      <c r="H372" s="8">
        <v>1431.32</v>
      </c>
      <c r="I372" s="8">
        <v>1448.39</v>
      </c>
      <c r="J372" s="8">
        <v>1822.81</v>
      </c>
      <c r="K372" s="8">
        <v>1675.09</v>
      </c>
      <c r="L372" s="8">
        <v>1417.88</v>
      </c>
      <c r="M372" s="8">
        <v>1413.25</v>
      </c>
      <c r="N372" s="8">
        <v>1622.23</v>
      </c>
      <c r="O372" s="61"/>
      <c r="P372" s="61"/>
      <c r="Q372" s="62"/>
      <c r="R372" s="62"/>
      <c r="S372" s="139"/>
      <c r="T372" s="5"/>
      <c r="U372" s="140"/>
      <c r="V372" s="173"/>
      <c r="W372" s="11"/>
      <c r="X372" s="118"/>
      <c r="Y372" s="118"/>
      <c r="Z372" s="118"/>
      <c r="AA372" s="118"/>
    </row>
    <row r="373" spans="1:29" ht="22.8" x14ac:dyDescent="0.3">
      <c r="A373"/>
      <c r="B373" s="24"/>
      <c r="C373" s="6"/>
      <c r="D373" s="6"/>
      <c r="E373" s="61" t="s">
        <v>188</v>
      </c>
      <c r="F373" s="40">
        <f t="shared" ref="F373:N373" si="119">IF(((F371="")*AND(F372="")),"",(F371-F372)*2)</f>
        <v>3774.66</v>
      </c>
      <c r="G373" s="40">
        <f t="shared" si="119"/>
        <v>3966.4199999999996</v>
      </c>
      <c r="H373" s="40">
        <f t="shared" si="119"/>
        <v>4017.78</v>
      </c>
      <c r="I373" s="40">
        <f t="shared" si="119"/>
        <v>3970.1599999999994</v>
      </c>
      <c r="J373" s="40">
        <f t="shared" si="119"/>
        <v>3720.4800000000005</v>
      </c>
      <c r="K373" s="40">
        <f t="shared" si="119"/>
        <v>3648.2000000000003</v>
      </c>
      <c r="L373" s="40">
        <f t="shared" si="119"/>
        <v>3956.26</v>
      </c>
      <c r="M373" s="40">
        <f t="shared" si="119"/>
        <v>4011.3599999999997</v>
      </c>
      <c r="N373" s="40">
        <f t="shared" si="119"/>
        <v>3838.84</v>
      </c>
      <c r="O373" s="61"/>
      <c r="P373" s="61"/>
      <c r="Q373" s="62"/>
      <c r="R373" s="62"/>
      <c r="S373" s="139"/>
      <c r="T373" s="5"/>
      <c r="U373" s="140"/>
      <c r="V373" s="173"/>
      <c r="W373" s="11"/>
      <c r="X373" s="118"/>
      <c r="Y373" s="118"/>
      <c r="Z373" s="118"/>
      <c r="AA373" s="118"/>
    </row>
    <row r="374" spans="1:29" x14ac:dyDescent="0.25">
      <c r="A374" s="210">
        <v>43279</v>
      </c>
      <c r="B374" s="215" t="s">
        <v>169</v>
      </c>
      <c r="C374" s="6" t="s">
        <v>171</v>
      </c>
      <c r="D374" s="6" t="s">
        <v>189</v>
      </c>
      <c r="E374" s="61" t="s">
        <v>186</v>
      </c>
      <c r="F374" s="8">
        <v>1909.2</v>
      </c>
      <c r="G374" s="8">
        <v>1916.13</v>
      </c>
      <c r="H374" s="8">
        <v>1919.97</v>
      </c>
      <c r="I374" s="8">
        <v>1917.6</v>
      </c>
      <c r="J374" s="8">
        <v>1914.67</v>
      </c>
      <c r="K374" s="8">
        <v>1913.79</v>
      </c>
      <c r="L374" s="8">
        <v>1916.91</v>
      </c>
      <c r="M374" s="8">
        <v>1917.44</v>
      </c>
      <c r="N374" s="8">
        <v>1913.82</v>
      </c>
      <c r="O374" s="61">
        <f>IF((N375=""),"",MAX(F376:N376))</f>
        <v>2031.2100000000005</v>
      </c>
      <c r="P374" s="61">
        <f>IF(N375="","",MIN(F376:N376))</f>
        <v>1984.6799999999998</v>
      </c>
      <c r="Q374" s="62">
        <f>IF((N376=""),"",AVERAGE(F376:N376))</f>
        <v>2007.6433333333334</v>
      </c>
      <c r="R374" s="62">
        <f>IF((N375=""),"",(O374-P374)/(O374+P374)*100)</f>
        <v>1.1586472737052222</v>
      </c>
      <c r="S374" s="113">
        <f>STDEV(F376:N376)</f>
        <v>18.642912862533084</v>
      </c>
      <c r="T374" s="5" t="str">
        <f>IF(N375="","",IF(Q374&gt;1940,IF(R374&lt;8.3,IF(Q374&lt;2180,"Pass","Fail"),"Fail"),"Fail"))</f>
        <v>Pass</v>
      </c>
      <c r="U374" s="140">
        <v>121</v>
      </c>
      <c r="V374" s="173"/>
      <c r="W374" s="11"/>
      <c r="X374" s="116">
        <v>2000</v>
      </c>
      <c r="Y374" s="116">
        <v>3000</v>
      </c>
      <c r="Z374" s="116">
        <v>1940</v>
      </c>
      <c r="AA374" s="116">
        <v>2180</v>
      </c>
      <c r="AB374" s="31">
        <v>5.2</v>
      </c>
      <c r="AC374" s="31">
        <v>5.2</v>
      </c>
    </row>
    <row r="375" spans="1:29" ht="15.6" x14ac:dyDescent="0.3">
      <c r="A375"/>
      <c r="B375" s="24"/>
      <c r="C375" s="6"/>
      <c r="D375" s="6"/>
      <c r="E375" s="61" t="s">
        <v>187</v>
      </c>
      <c r="F375" s="8">
        <v>1247.47</v>
      </c>
      <c r="G375" s="8">
        <v>1243.8800000000001</v>
      </c>
      <c r="H375" s="8">
        <v>1243.67</v>
      </c>
      <c r="I375" s="8">
        <v>1243.08</v>
      </c>
      <c r="J375" s="8">
        <v>1251.31</v>
      </c>
      <c r="K375" s="8">
        <v>1252.23</v>
      </c>
      <c r="L375" s="8">
        <v>1246.82</v>
      </c>
      <c r="M375" s="8">
        <v>1240.3699999999999</v>
      </c>
      <c r="N375" s="8">
        <v>1247.77</v>
      </c>
      <c r="O375" s="61"/>
      <c r="P375" s="61"/>
      <c r="Q375" s="62"/>
      <c r="R375" s="62"/>
      <c r="S375" s="139"/>
      <c r="T375" s="5"/>
      <c r="U375" s="140"/>
      <c r="V375" s="173"/>
      <c r="W375" s="11"/>
      <c r="X375" s="118"/>
      <c r="Y375" s="118"/>
      <c r="Z375" s="118"/>
      <c r="AA375" s="118"/>
    </row>
    <row r="376" spans="1:29" ht="34.5" customHeight="1" thickBot="1" x14ac:dyDescent="0.35">
      <c r="A376"/>
      <c r="B376" s="63"/>
      <c r="C376" s="64"/>
      <c r="D376" s="64"/>
      <c r="E376" s="65" t="s">
        <v>190</v>
      </c>
      <c r="F376" s="53">
        <f t="shared" ref="F376:N376" si="120">IF(((F374="")*AND(F375="")),"",(F374-F375)*3)</f>
        <v>1985.19</v>
      </c>
      <c r="G376" s="53">
        <f t="shared" si="120"/>
        <v>2016.75</v>
      </c>
      <c r="H376" s="53">
        <f t="shared" si="120"/>
        <v>2028.8999999999999</v>
      </c>
      <c r="I376" s="53">
        <f t="shared" si="120"/>
        <v>2023.56</v>
      </c>
      <c r="J376" s="53">
        <f t="shared" si="120"/>
        <v>1990.0800000000004</v>
      </c>
      <c r="K376" s="53">
        <f t="shared" si="120"/>
        <v>1984.6799999999998</v>
      </c>
      <c r="L376" s="53">
        <f t="shared" si="120"/>
        <v>2010.2700000000004</v>
      </c>
      <c r="M376" s="53">
        <f t="shared" si="120"/>
        <v>2031.2100000000005</v>
      </c>
      <c r="N376" s="53">
        <f t="shared" si="120"/>
        <v>1998.1499999999999</v>
      </c>
      <c r="O376" s="65"/>
      <c r="P376" s="65"/>
      <c r="Q376" s="66"/>
      <c r="R376" s="66"/>
      <c r="S376" s="142"/>
      <c r="T376" s="143"/>
      <c r="U376" s="144"/>
      <c r="V376" s="173"/>
      <c r="W376" s="11"/>
      <c r="X376" s="118"/>
      <c r="Y376" s="118"/>
      <c r="Z376" s="118"/>
      <c r="AA376" s="118"/>
    </row>
    <row r="377" spans="1:29" x14ac:dyDescent="0.25">
      <c r="A377" s="207">
        <v>43283</v>
      </c>
      <c r="B377" s="219" t="s">
        <v>185</v>
      </c>
      <c r="C377" s="39" t="s">
        <v>173</v>
      </c>
      <c r="D377" s="39" t="s">
        <v>172</v>
      </c>
      <c r="E377" s="41" t="s">
        <v>186</v>
      </c>
      <c r="F377" s="111">
        <v>24678.97</v>
      </c>
      <c r="G377" s="111">
        <v>24941.48</v>
      </c>
      <c r="H377" s="111">
        <v>25027.59</v>
      </c>
      <c r="I377" s="111">
        <v>24938.82</v>
      </c>
      <c r="J377" s="111">
        <v>24637.86</v>
      </c>
      <c r="K377" s="111">
        <v>24642.74</v>
      </c>
      <c r="L377" s="111">
        <v>24940.3</v>
      </c>
      <c r="M377" s="111">
        <v>24932.52</v>
      </c>
      <c r="N377" s="111">
        <v>24635.85</v>
      </c>
      <c r="O377" s="41">
        <f>IF((N378=""),"",MAX(F379:N379))</f>
        <v>4689.5999999999913</v>
      </c>
      <c r="P377" s="41">
        <f>IF(N378="","",MIN(F379:N379))</f>
        <v>4099.0800000000017</v>
      </c>
      <c r="Q377" s="42">
        <f>IF((N379=""),"",AVERAGE(F379:N379))</f>
        <v>4357.7000000000007</v>
      </c>
      <c r="R377" s="42">
        <f>IF((N378=""),"",(O377-P377)/(O377+P377)*100)</f>
        <v>6.7190977484672327</v>
      </c>
      <c r="S377" s="113">
        <f>STDEV(F379:N379)</f>
        <v>235.30802493752637</v>
      </c>
      <c r="T377" s="119" t="str">
        <f>IF(N378="","",IF(R377&lt;16,IF(Q377&gt;3200,IF(R377,IF(Q377&lt;5240,"Pass","Fail"),"Fail"),"Fail")))</f>
        <v>Pass</v>
      </c>
      <c r="U377" s="120">
        <v>1340</v>
      </c>
      <c r="V377" s="173"/>
      <c r="W377" s="11"/>
      <c r="X377" s="116">
        <v>4200</v>
      </c>
      <c r="Y377" s="116">
        <v>5500</v>
      </c>
      <c r="Z377" s="116">
        <v>3200</v>
      </c>
      <c r="AA377" s="116">
        <v>5240</v>
      </c>
      <c r="AB377" s="31">
        <v>16</v>
      </c>
      <c r="AC377" s="31">
        <v>16</v>
      </c>
    </row>
    <row r="378" spans="1:29" ht="15.6" x14ac:dyDescent="0.3">
      <c r="A378"/>
      <c r="B378" s="24"/>
      <c r="C378" s="6"/>
      <c r="D378" s="6"/>
      <c r="E378" s="61" t="s">
        <v>187</v>
      </c>
      <c r="F378" s="8">
        <v>23165.43</v>
      </c>
      <c r="G378" s="8">
        <v>23547.86</v>
      </c>
      <c r="H378" s="8">
        <v>23661.23</v>
      </c>
      <c r="I378" s="8">
        <v>23542.39</v>
      </c>
      <c r="J378" s="8">
        <v>23086.07</v>
      </c>
      <c r="K378" s="8">
        <v>23142.25</v>
      </c>
      <c r="L378" s="8">
        <v>23555.46</v>
      </c>
      <c r="M378" s="8">
        <v>23529.69</v>
      </c>
      <c r="N378" s="8">
        <v>23072.65</v>
      </c>
      <c r="O378" s="61"/>
      <c r="P378" s="61"/>
      <c r="Q378" s="62"/>
      <c r="R378" s="62"/>
      <c r="S378" s="139"/>
      <c r="T378" s="5"/>
      <c r="U378" s="140"/>
      <c r="V378" s="173"/>
      <c r="W378" s="11"/>
      <c r="X378" s="118"/>
      <c r="Y378" s="118"/>
      <c r="Z378" s="118"/>
      <c r="AA378" s="118"/>
    </row>
    <row r="379" spans="1:29" ht="23.4" thickBot="1" x14ac:dyDescent="0.35">
      <c r="A379"/>
      <c r="B379" s="24"/>
      <c r="C379" s="6"/>
      <c r="D379" s="6"/>
      <c r="E379" s="61" t="s">
        <v>188</v>
      </c>
      <c r="F379" s="40">
        <f t="shared" ref="F379:N379" si="121">IF(((F377="")*AND(F378="")),"",(F377-F378)*3)</f>
        <v>4540.6200000000026</v>
      </c>
      <c r="G379" s="40">
        <f t="shared" si="121"/>
        <v>4180.8599999999969</v>
      </c>
      <c r="H379" s="40">
        <f t="shared" si="121"/>
        <v>4099.0800000000017</v>
      </c>
      <c r="I379" s="40">
        <f t="shared" si="121"/>
        <v>4189.2900000000009</v>
      </c>
      <c r="J379" s="40">
        <f t="shared" si="121"/>
        <v>4655.3700000000026</v>
      </c>
      <c r="K379" s="40">
        <f t="shared" si="121"/>
        <v>4501.4700000000048</v>
      </c>
      <c r="L379" s="40">
        <f t="shared" si="121"/>
        <v>4154.5200000000004</v>
      </c>
      <c r="M379" s="40">
        <f t="shared" si="121"/>
        <v>4208.4900000000052</v>
      </c>
      <c r="N379" s="40">
        <f t="shared" si="121"/>
        <v>4689.5999999999913</v>
      </c>
      <c r="O379" s="61"/>
      <c r="P379" s="61"/>
      <c r="Q379" s="62"/>
      <c r="R379" s="62"/>
      <c r="S379" s="139"/>
      <c r="T379" s="5"/>
      <c r="U379" s="140"/>
      <c r="V379" s="173"/>
      <c r="W379" s="11"/>
      <c r="X379" s="118"/>
      <c r="Y379" s="118"/>
      <c r="Z379" s="118"/>
      <c r="AA379" s="118"/>
    </row>
    <row r="380" spans="1:29" x14ac:dyDescent="0.25">
      <c r="A380" s="210">
        <v>43283</v>
      </c>
      <c r="B380" s="218" t="s">
        <v>174</v>
      </c>
      <c r="C380" s="6" t="s">
        <v>176</v>
      </c>
      <c r="D380" s="44" t="s">
        <v>175</v>
      </c>
      <c r="E380" s="61" t="s">
        <v>186</v>
      </c>
      <c r="F380" s="8">
        <v>2863.94</v>
      </c>
      <c r="G380" s="8">
        <v>2767.99</v>
      </c>
      <c r="H380" s="8">
        <v>2810.16</v>
      </c>
      <c r="I380" s="8">
        <v>2796.62</v>
      </c>
      <c r="J380" s="8">
        <v>2998.8</v>
      </c>
      <c r="K380" s="8">
        <v>3035.93</v>
      </c>
      <c r="L380" s="8">
        <v>2805.55</v>
      </c>
      <c r="M380" s="8">
        <v>2775.01</v>
      </c>
      <c r="N380" s="8">
        <v>2886.07</v>
      </c>
      <c r="O380" s="61">
        <f>IF((N381=""),"",MAX(F382:N382))</f>
        <v>3919.5600000000004</v>
      </c>
      <c r="P380" s="61">
        <f>IF(N381="","",MIN(F382:N382))</f>
        <v>3589.5199999999995</v>
      </c>
      <c r="Q380" s="62">
        <f>IF((N382=""),"",AVERAGE(F382:N382))</f>
        <v>3793.0177777777781</v>
      </c>
      <c r="R380" s="62">
        <f>IF((N381=""),"",(O380-P380)/(O380+P380)*100)</f>
        <v>4.395212196434195</v>
      </c>
      <c r="S380" s="113">
        <f>STDEV(F382:N382)</f>
        <v>116.60127033803896</v>
      </c>
      <c r="T380" s="5" t="str">
        <f>IF(N381="","",IF(Q380&gt;3650,IF(R380&lt;7,IF(Q380&lt;4450,"Pass","Fail"),"Fail"),"Fail"))</f>
        <v>Pass</v>
      </c>
      <c r="U380" s="140">
        <v>1340</v>
      </c>
      <c r="V380" s="173"/>
      <c r="W380" s="11"/>
      <c r="X380" s="116">
        <v>3650</v>
      </c>
      <c r="Y380" s="116">
        <v>4450</v>
      </c>
      <c r="Z380" s="116">
        <v>3700</v>
      </c>
      <c r="AA380" s="116">
        <v>4100</v>
      </c>
      <c r="AB380" s="31">
        <v>7</v>
      </c>
      <c r="AC380" s="31">
        <v>6.5</v>
      </c>
    </row>
    <row r="381" spans="1:29" ht="15.6" x14ac:dyDescent="0.3">
      <c r="A381"/>
      <c r="B381" s="24"/>
      <c r="C381" s="6"/>
      <c r="D381" s="6"/>
      <c r="E381" s="61" t="s">
        <v>187</v>
      </c>
      <c r="F381" s="8">
        <v>1018.11</v>
      </c>
      <c r="G381" s="8">
        <v>835.07</v>
      </c>
      <c r="H381" s="8">
        <v>855.97</v>
      </c>
      <c r="I381" s="8">
        <v>866.69</v>
      </c>
      <c r="J381" s="8">
        <v>1164.02</v>
      </c>
      <c r="K381" s="8">
        <v>1241.17</v>
      </c>
      <c r="L381" s="8">
        <v>882.97</v>
      </c>
      <c r="M381" s="8">
        <v>815.23</v>
      </c>
      <c r="N381" s="8">
        <v>992.26</v>
      </c>
      <c r="O381" s="61"/>
      <c r="P381" s="61"/>
      <c r="Q381" s="62"/>
      <c r="R381" s="62"/>
      <c r="S381" s="139"/>
      <c r="T381" s="5"/>
      <c r="U381" s="140"/>
      <c r="V381" s="173"/>
      <c r="W381" s="11"/>
      <c r="X381" s="118"/>
      <c r="Y381" s="118"/>
      <c r="Z381" s="118"/>
      <c r="AA381" s="118"/>
    </row>
    <row r="382" spans="1:29" ht="22.8" x14ac:dyDescent="0.3">
      <c r="A382"/>
      <c r="B382" s="24"/>
      <c r="C382" s="6"/>
      <c r="D382" s="6"/>
      <c r="E382" s="61" t="s">
        <v>188</v>
      </c>
      <c r="F382" s="40">
        <f t="shared" ref="F382:N382" si="122">IF(((F380="")*AND(F381="")),"",(F380-F381)*2)</f>
        <v>3691.66</v>
      </c>
      <c r="G382" s="40">
        <f t="shared" si="122"/>
        <v>3865.8399999999992</v>
      </c>
      <c r="H382" s="40">
        <f t="shared" si="122"/>
        <v>3908.3799999999997</v>
      </c>
      <c r="I382" s="40">
        <f t="shared" si="122"/>
        <v>3859.8599999999997</v>
      </c>
      <c r="J382" s="40">
        <f t="shared" si="122"/>
        <v>3669.5600000000004</v>
      </c>
      <c r="K382" s="40">
        <f t="shared" si="122"/>
        <v>3589.5199999999995</v>
      </c>
      <c r="L382" s="40">
        <f t="shared" si="122"/>
        <v>3845.1600000000003</v>
      </c>
      <c r="M382" s="40">
        <f t="shared" si="122"/>
        <v>3919.5600000000004</v>
      </c>
      <c r="N382" s="40">
        <f t="shared" si="122"/>
        <v>3787.6200000000003</v>
      </c>
      <c r="O382" s="61"/>
      <c r="P382" s="61"/>
      <c r="Q382" s="62"/>
      <c r="R382" s="62"/>
      <c r="S382" s="139"/>
      <c r="T382" s="5"/>
      <c r="U382" s="140"/>
      <c r="V382" s="173"/>
      <c r="W382" s="11"/>
      <c r="X382" s="118"/>
      <c r="Y382" s="118"/>
      <c r="Z382" s="118"/>
      <c r="AA382" s="118"/>
    </row>
    <row r="383" spans="1:29" x14ac:dyDescent="0.25">
      <c r="A383" s="210">
        <v>43283</v>
      </c>
      <c r="B383" s="215" t="s">
        <v>169</v>
      </c>
      <c r="C383" s="6" t="s">
        <v>171</v>
      </c>
      <c r="D383" s="6" t="s">
        <v>189</v>
      </c>
      <c r="E383" s="61" t="s">
        <v>186</v>
      </c>
      <c r="F383" s="8">
        <v>1247.47</v>
      </c>
      <c r="G383" s="8">
        <v>1243.8800000000001</v>
      </c>
      <c r="H383" s="8">
        <v>1243.67</v>
      </c>
      <c r="I383" s="8">
        <v>1243.08</v>
      </c>
      <c r="J383" s="8">
        <v>1251.31</v>
      </c>
      <c r="K383" s="8">
        <v>1252.23</v>
      </c>
      <c r="L383" s="8">
        <v>1246.82</v>
      </c>
      <c r="M383" s="8">
        <v>1240.3699999999999</v>
      </c>
      <c r="N383" s="8">
        <v>1247.77</v>
      </c>
      <c r="O383" s="61">
        <f>IF((N384=""),"",MAX(F385:N385))</f>
        <v>2043.3000000000002</v>
      </c>
      <c r="P383" s="61">
        <f>IF(N384="","",MIN(F385:N385))</f>
        <v>1977.9899999999998</v>
      </c>
      <c r="Q383" s="62">
        <f>IF((N385=""),"",AVERAGE(F385:N385))</f>
        <v>2020.12</v>
      </c>
      <c r="R383" s="62">
        <f>IF((N384=""),"",(O383-P383)/(O383+P383)*100)</f>
        <v>1.6241056974254628</v>
      </c>
      <c r="S383" s="113">
        <f>STDEV(F385:N385)</f>
        <v>21.160928027853693</v>
      </c>
      <c r="T383" s="5" t="str">
        <f>IF(N384="","",IF(Q383&gt;1940,IF(R383&lt;8.3,IF(Q383&lt;2180,"Pass","Fail"),"Fail"),"Fail"))</f>
        <v>Pass</v>
      </c>
      <c r="U383" s="140">
        <v>1340</v>
      </c>
      <c r="V383" s="173"/>
      <c r="W383" s="11"/>
      <c r="X383" s="116">
        <v>2000</v>
      </c>
      <c r="Y383" s="116">
        <v>3000</v>
      </c>
      <c r="Z383" s="116">
        <v>1940</v>
      </c>
      <c r="AA383" s="116">
        <v>2180</v>
      </c>
      <c r="AB383" s="31">
        <v>5.2</v>
      </c>
      <c r="AC383" s="31">
        <v>5.2</v>
      </c>
    </row>
    <row r="384" spans="1:29" ht="15.6" x14ac:dyDescent="0.3">
      <c r="A384"/>
      <c r="B384" s="24"/>
      <c r="C384" s="6"/>
      <c r="D384" s="6"/>
      <c r="E384" s="61" t="s">
        <v>187</v>
      </c>
      <c r="F384" s="8">
        <v>566.37</v>
      </c>
      <c r="G384" s="8">
        <v>563.94000000000005</v>
      </c>
      <c r="H384" s="8">
        <v>566.96</v>
      </c>
      <c r="I384" s="8">
        <v>569.35</v>
      </c>
      <c r="J384" s="8">
        <v>591.98</v>
      </c>
      <c r="K384" s="8">
        <v>584.26</v>
      </c>
      <c r="L384" s="8">
        <v>575.82000000000005</v>
      </c>
      <c r="M384" s="8">
        <v>560.36</v>
      </c>
      <c r="N384" s="8">
        <v>577.20000000000005</v>
      </c>
      <c r="O384" s="61"/>
      <c r="P384" s="61"/>
      <c r="Q384" s="62"/>
      <c r="R384" s="62"/>
      <c r="S384" s="139"/>
      <c r="T384" s="5"/>
      <c r="U384" s="140"/>
      <c r="V384" s="173"/>
      <c r="W384" s="11"/>
      <c r="X384" s="118"/>
      <c r="Y384" s="118"/>
      <c r="Z384" s="118"/>
      <c r="AA384" s="118"/>
    </row>
    <row r="385" spans="1:29" ht="36.75" customHeight="1" thickBot="1" x14ac:dyDescent="0.35">
      <c r="A385"/>
      <c r="B385" s="63"/>
      <c r="C385" s="64"/>
      <c r="D385" s="64"/>
      <c r="E385" s="65" t="s">
        <v>190</v>
      </c>
      <c r="F385" s="53">
        <f t="shared" ref="F385:N385" si="123">IF(((F383="")*AND(F384="")),"",(F383-F384)*3)</f>
        <v>2043.3000000000002</v>
      </c>
      <c r="G385" s="53">
        <f t="shared" si="123"/>
        <v>2039.8200000000002</v>
      </c>
      <c r="H385" s="53">
        <f t="shared" si="123"/>
        <v>2030.13</v>
      </c>
      <c r="I385" s="53">
        <f t="shared" si="123"/>
        <v>2021.1899999999996</v>
      </c>
      <c r="J385" s="53">
        <f t="shared" si="123"/>
        <v>1977.9899999999998</v>
      </c>
      <c r="K385" s="53">
        <f t="shared" si="123"/>
        <v>2003.91</v>
      </c>
      <c r="L385" s="53">
        <f t="shared" si="123"/>
        <v>2012.9999999999995</v>
      </c>
      <c r="M385" s="53">
        <f t="shared" si="123"/>
        <v>2040.0299999999997</v>
      </c>
      <c r="N385" s="53">
        <f t="shared" si="123"/>
        <v>2011.7099999999998</v>
      </c>
      <c r="O385" s="65"/>
      <c r="P385" s="65"/>
      <c r="Q385" s="66"/>
      <c r="R385" s="66"/>
      <c r="S385" s="142"/>
      <c r="T385" s="143"/>
      <c r="U385" s="144"/>
      <c r="V385" s="173"/>
      <c r="W385" s="11"/>
      <c r="X385" s="118"/>
      <c r="Y385" s="118"/>
      <c r="Z385" s="118"/>
      <c r="AA385" s="118"/>
    </row>
    <row r="386" spans="1:29" x14ac:dyDescent="0.25">
      <c r="A386" s="207">
        <v>43286</v>
      </c>
      <c r="B386" s="219" t="s">
        <v>185</v>
      </c>
      <c r="C386" s="39" t="s">
        <v>173</v>
      </c>
      <c r="D386" s="39" t="s">
        <v>172</v>
      </c>
      <c r="E386" s="41" t="s">
        <v>186</v>
      </c>
      <c r="F386" s="111">
        <v>23114.63</v>
      </c>
      <c r="G386" s="111">
        <v>23502.87</v>
      </c>
      <c r="H386" s="111">
        <v>23605.51</v>
      </c>
      <c r="I386" s="111">
        <v>23485.22</v>
      </c>
      <c r="J386" s="111">
        <v>23041.49</v>
      </c>
      <c r="K386" s="111">
        <v>23088.65</v>
      </c>
      <c r="L386" s="111">
        <v>23503.72</v>
      </c>
      <c r="M386" s="111">
        <v>23472.54</v>
      </c>
      <c r="N386" s="111">
        <v>23021.08</v>
      </c>
      <c r="O386" s="41">
        <f>IF((N387=""),"",MAX(F388:N388))</f>
        <v>4845.0900000000074</v>
      </c>
      <c r="P386" s="41">
        <f>IF(N387="","",MIN(F388:N388))</f>
        <v>4224.7799999999952</v>
      </c>
      <c r="Q386" s="42">
        <f>IF((N388=""),"",AVERAGE(F388:N388))</f>
        <v>4492.8000000000011</v>
      </c>
      <c r="R386" s="42">
        <f>IF((N387=""),"",(O386-P386)/(O386+P386)*100)</f>
        <v>6.8392380486160445</v>
      </c>
      <c r="S386" s="113">
        <f>STDEV(F388:N388)</f>
        <v>255.31909608370628</v>
      </c>
      <c r="T386" s="119" t="str">
        <f>IF(N387="","",IF(R386&lt;16,IF(Q386&gt;3200,IF(R386,IF(Q386&lt;5240,"Pass","Fail"),"Fail"),"Fail")))</f>
        <v>Pass</v>
      </c>
      <c r="U386" s="120">
        <v>121</v>
      </c>
      <c r="V386" s="173"/>
      <c r="W386" s="11"/>
      <c r="X386" s="116">
        <v>4200</v>
      </c>
      <c r="Y386" s="116">
        <v>5500</v>
      </c>
      <c r="Z386" s="116">
        <v>3200</v>
      </c>
      <c r="AA386" s="116">
        <v>5240</v>
      </c>
      <c r="AB386" s="31">
        <v>16</v>
      </c>
      <c r="AC386" s="31">
        <v>16</v>
      </c>
    </row>
    <row r="387" spans="1:29" ht="15.6" x14ac:dyDescent="0.3">
      <c r="A387"/>
      <c r="B387" s="24"/>
      <c r="C387" s="6"/>
      <c r="D387" s="6"/>
      <c r="E387" s="61" t="s">
        <v>187</v>
      </c>
      <c r="F387" s="8">
        <v>21551.72</v>
      </c>
      <c r="G387" s="8">
        <v>22067.85</v>
      </c>
      <c r="H387" s="8">
        <v>22197.25</v>
      </c>
      <c r="I387" s="8">
        <v>22049.52</v>
      </c>
      <c r="J387" s="8">
        <v>21429.9</v>
      </c>
      <c r="K387" s="8">
        <v>21542.58</v>
      </c>
      <c r="L387" s="8">
        <v>22081.47</v>
      </c>
      <c r="M387" s="8">
        <v>22030.97</v>
      </c>
      <c r="N387" s="8">
        <v>21406.05</v>
      </c>
      <c r="O387" s="61"/>
      <c r="P387" s="61"/>
      <c r="Q387" s="62"/>
      <c r="R387" s="62"/>
      <c r="S387" s="139"/>
      <c r="T387" s="5"/>
      <c r="U387" s="140"/>
      <c r="V387" s="173"/>
      <c r="W387" s="11"/>
      <c r="X387" s="118"/>
      <c r="Y387" s="118"/>
      <c r="Z387" s="118"/>
      <c r="AA387" s="118"/>
    </row>
    <row r="388" spans="1:29" ht="23.4" thickBot="1" x14ac:dyDescent="0.35">
      <c r="A388"/>
      <c r="B388" s="24"/>
      <c r="C388" s="6"/>
      <c r="D388" s="6"/>
      <c r="E388" s="61" t="s">
        <v>188</v>
      </c>
      <c r="F388" s="40">
        <f t="shared" ref="F388:N388" si="124">IF(((F386="")*AND(F387="")),"",(F386-F387)*3)</f>
        <v>4688.7299999999996</v>
      </c>
      <c r="G388" s="40">
        <f t="shared" si="124"/>
        <v>4305.0600000000013</v>
      </c>
      <c r="H388" s="40">
        <f t="shared" si="124"/>
        <v>4224.7799999999952</v>
      </c>
      <c r="I388" s="40">
        <f t="shared" si="124"/>
        <v>4307.1000000000022</v>
      </c>
      <c r="J388" s="40">
        <f t="shared" si="124"/>
        <v>4834.7700000000004</v>
      </c>
      <c r="K388" s="40">
        <f t="shared" si="124"/>
        <v>4638.2099999999991</v>
      </c>
      <c r="L388" s="40">
        <f t="shared" si="124"/>
        <v>4266.75</v>
      </c>
      <c r="M388" s="40">
        <f t="shared" si="124"/>
        <v>4324.7099999999991</v>
      </c>
      <c r="N388" s="40">
        <f t="shared" si="124"/>
        <v>4845.0900000000074</v>
      </c>
      <c r="O388" s="61"/>
      <c r="P388" s="61"/>
      <c r="Q388" s="62"/>
      <c r="R388" s="62"/>
      <c r="S388" s="139"/>
      <c r="T388" s="5"/>
      <c r="U388" s="140"/>
      <c r="V388" s="173"/>
      <c r="W388" s="11"/>
      <c r="X388" s="118"/>
      <c r="Y388" s="118"/>
      <c r="Z388" s="118"/>
      <c r="AA388" s="118"/>
    </row>
    <row r="389" spans="1:29" x14ac:dyDescent="0.25">
      <c r="A389" s="210">
        <v>43286</v>
      </c>
      <c r="B389" s="218" t="s">
        <v>174</v>
      </c>
      <c r="C389" s="6" t="s">
        <v>176</v>
      </c>
      <c r="D389" s="44" t="s">
        <v>175</v>
      </c>
      <c r="E389" s="61" t="s">
        <v>186</v>
      </c>
      <c r="F389" s="8">
        <v>6887.3</v>
      </c>
      <c r="G389" s="8">
        <v>6872.31</v>
      </c>
      <c r="H389" s="8">
        <v>6895.59</v>
      </c>
      <c r="I389" s="8">
        <v>6847.61</v>
      </c>
      <c r="J389" s="8">
        <v>6927.79</v>
      </c>
      <c r="K389" s="8">
        <v>6871.05</v>
      </c>
      <c r="L389" s="8">
        <v>6850.64</v>
      </c>
      <c r="M389" s="8">
        <v>6880.35</v>
      </c>
      <c r="N389" s="8">
        <v>6971.68</v>
      </c>
      <c r="O389" s="61">
        <f>IF((N390=""),"",MAX(F391:N391))</f>
        <v>3994.3199999999997</v>
      </c>
      <c r="P389" s="61">
        <f>IF(N390="","",MIN(F391:N391))</f>
        <v>3654.92</v>
      </c>
      <c r="Q389" s="62">
        <f>IF((N391=""),"",AVERAGE(F391:N391))</f>
        <v>3869.1933333333341</v>
      </c>
      <c r="R389" s="62">
        <f>IF((N390=""),"",(O389-P389)/(O389+P389)*100)</f>
        <v>4.4370421113731515</v>
      </c>
      <c r="S389" s="113">
        <f>STDEV(F391:N391)</f>
        <v>121.02489248084474</v>
      </c>
      <c r="T389" s="5" t="str">
        <f>IF(N390="","",IF(Q389&gt;3650,IF(R389&lt;7,IF(Q389&lt;4450,"Pass","Fail"),"Fail"),"Fail"))</f>
        <v>Pass</v>
      </c>
      <c r="U389" s="140">
        <v>121</v>
      </c>
      <c r="V389" s="173"/>
      <c r="W389" s="11"/>
      <c r="X389" s="116">
        <v>3650</v>
      </c>
      <c r="Y389" s="116">
        <v>4450</v>
      </c>
      <c r="Z389" s="116">
        <v>3700</v>
      </c>
      <c r="AA389" s="116">
        <v>4100</v>
      </c>
      <c r="AB389" s="31">
        <v>7</v>
      </c>
      <c r="AC389" s="31">
        <v>6.5</v>
      </c>
    </row>
    <row r="390" spans="1:29" ht="15.6" x14ac:dyDescent="0.3">
      <c r="A390"/>
      <c r="B390" s="24"/>
      <c r="C390" s="6"/>
      <c r="D390" s="6"/>
      <c r="E390" s="61" t="s">
        <v>187</v>
      </c>
      <c r="F390" s="8">
        <v>4997.7</v>
      </c>
      <c r="G390" s="8">
        <v>4895.57</v>
      </c>
      <c r="H390" s="8">
        <v>4898.43</v>
      </c>
      <c r="I390" s="8">
        <v>4875.9799999999996</v>
      </c>
      <c r="J390" s="8">
        <v>5055.34</v>
      </c>
      <c r="K390" s="8">
        <v>5043.59</v>
      </c>
      <c r="L390" s="8">
        <v>4882.33</v>
      </c>
      <c r="M390" s="8">
        <v>4887.76</v>
      </c>
      <c r="N390" s="8">
        <v>5056.25</v>
      </c>
      <c r="O390" s="61"/>
      <c r="P390" s="61"/>
      <c r="Q390" s="62"/>
      <c r="R390" s="62"/>
      <c r="S390" s="139"/>
      <c r="T390" s="5"/>
      <c r="U390" s="140"/>
      <c r="V390" s="173"/>
      <c r="W390" s="11"/>
      <c r="X390" s="118"/>
      <c r="Y390" s="118"/>
      <c r="Z390" s="118"/>
      <c r="AA390" s="118"/>
    </row>
    <row r="391" spans="1:29" ht="22.8" x14ac:dyDescent="0.3">
      <c r="A391"/>
      <c r="B391" s="24"/>
      <c r="C391" s="6"/>
      <c r="D391" s="6"/>
      <c r="E391" s="61" t="s">
        <v>188</v>
      </c>
      <c r="F391" s="40">
        <f t="shared" ref="F391:N391" si="125">IF(((F389="")*AND(F390="")),"",(F389-F390)*2)</f>
        <v>3779.2000000000007</v>
      </c>
      <c r="G391" s="40">
        <f t="shared" si="125"/>
        <v>3953.4800000000014</v>
      </c>
      <c r="H391" s="40">
        <f t="shared" si="125"/>
        <v>3994.3199999999997</v>
      </c>
      <c r="I391" s="40">
        <f t="shared" si="125"/>
        <v>3943.26</v>
      </c>
      <c r="J391" s="40">
        <f t="shared" si="125"/>
        <v>3744.8999999999996</v>
      </c>
      <c r="K391" s="40">
        <f t="shared" si="125"/>
        <v>3654.92</v>
      </c>
      <c r="L391" s="40">
        <f t="shared" si="125"/>
        <v>3936.6200000000008</v>
      </c>
      <c r="M391" s="40">
        <f t="shared" si="125"/>
        <v>3985.1800000000003</v>
      </c>
      <c r="N391" s="40">
        <f t="shared" si="125"/>
        <v>3830.8600000000006</v>
      </c>
      <c r="O391" s="61"/>
      <c r="P391" s="61"/>
      <c r="Q391" s="62"/>
      <c r="R391" s="62"/>
      <c r="S391" s="139"/>
      <c r="T391" s="5"/>
      <c r="U391" s="140"/>
      <c r="V391" s="173"/>
      <c r="W391" s="11"/>
      <c r="X391" s="118"/>
      <c r="Y391" s="118"/>
      <c r="Z391" s="118"/>
      <c r="AA391" s="118"/>
    </row>
    <row r="392" spans="1:29" x14ac:dyDescent="0.25">
      <c r="A392" s="210">
        <v>43286</v>
      </c>
      <c r="B392" s="215" t="s">
        <v>169</v>
      </c>
      <c r="C392" s="6" t="s">
        <v>171</v>
      </c>
      <c r="D392" s="6" t="s">
        <v>189</v>
      </c>
      <c r="E392" s="61" t="s">
        <v>186</v>
      </c>
      <c r="F392" s="8">
        <v>1948.64</v>
      </c>
      <c r="G392" s="8">
        <v>1942.74</v>
      </c>
      <c r="H392" s="8">
        <v>1938.13</v>
      </c>
      <c r="I392" s="8">
        <v>1942.6</v>
      </c>
      <c r="J392" s="8">
        <v>1949.47</v>
      </c>
      <c r="K392" s="8">
        <v>1950.07</v>
      </c>
      <c r="L392" s="8">
        <v>1946.91</v>
      </c>
      <c r="M392" s="8">
        <v>1940.29</v>
      </c>
      <c r="N392" s="8">
        <v>1945.65</v>
      </c>
      <c r="O392" s="61">
        <f>IF((N393=""),"",MAX(F394:N394))</f>
        <v>2048.4000000000005</v>
      </c>
      <c r="P392" s="61">
        <f>IF(N393="","",MIN(F394:N394))</f>
        <v>2021.6700000000003</v>
      </c>
      <c r="Q392" s="62">
        <f>IF((N394=""),"",AVERAGE(F394:N394))</f>
        <v>2035.0233333333333</v>
      </c>
      <c r="R392" s="62">
        <f>IF((N393=""),"",(O392-P392)/(O392+P392)*100)</f>
        <v>0.65674546138027701</v>
      </c>
      <c r="S392" s="113">
        <f>STDEV(F394:N394)</f>
        <v>9.165741923052444</v>
      </c>
      <c r="T392" s="5" t="str">
        <f>IF(N393="","",IF(Q392&gt;1940,IF(R392&lt;8.3,IF(Q392&lt;2180,"Pass","Fail"),"Fail"),"Fail"))</f>
        <v>Pass</v>
      </c>
      <c r="U392" s="140">
        <v>121</v>
      </c>
      <c r="V392" s="173"/>
      <c r="W392" s="11"/>
      <c r="X392" s="116">
        <v>2000</v>
      </c>
      <c r="Y392" s="116">
        <v>3000</v>
      </c>
      <c r="Z392" s="116">
        <v>1940</v>
      </c>
      <c r="AA392" s="116">
        <v>2180</v>
      </c>
      <c r="AB392" s="31">
        <v>5.2</v>
      </c>
      <c r="AC392" s="31">
        <v>5.2</v>
      </c>
    </row>
    <row r="393" spans="1:29" ht="15.6" x14ac:dyDescent="0.3">
      <c r="A393"/>
      <c r="B393" s="24"/>
      <c r="C393" s="6"/>
      <c r="D393" s="6"/>
      <c r="E393" s="61" t="s">
        <v>187</v>
      </c>
      <c r="F393" s="8">
        <v>1265.8399999999999</v>
      </c>
      <c r="G393" s="8">
        <v>1264.8599999999999</v>
      </c>
      <c r="H393" s="8">
        <v>1260.6099999999999</v>
      </c>
      <c r="I393" s="8">
        <v>1266.18</v>
      </c>
      <c r="J393" s="8">
        <v>1271.9000000000001</v>
      </c>
      <c r="K393" s="8">
        <v>1267.53</v>
      </c>
      <c r="L393" s="8">
        <v>1266.22</v>
      </c>
      <c r="M393" s="8">
        <v>1264.53</v>
      </c>
      <c r="N393" s="8">
        <v>1271.76</v>
      </c>
      <c r="O393" s="61"/>
      <c r="P393" s="61"/>
      <c r="Q393" s="62"/>
      <c r="R393" s="62"/>
      <c r="S393" s="139"/>
      <c r="T393" s="5"/>
      <c r="U393" s="140"/>
      <c r="V393" s="173"/>
      <c r="W393" s="11"/>
      <c r="X393" s="118"/>
      <c r="Y393" s="118"/>
      <c r="Z393" s="118"/>
      <c r="AA393" s="118"/>
    </row>
    <row r="394" spans="1:29" ht="33" customHeight="1" thickBot="1" x14ac:dyDescent="0.35">
      <c r="A394"/>
      <c r="B394" s="63"/>
      <c r="C394" s="64"/>
      <c r="D394" s="64"/>
      <c r="E394" s="65" t="s">
        <v>190</v>
      </c>
      <c r="F394" s="53">
        <f t="shared" ref="F394:N394" si="126">IF(((F392="")*AND(F393="")),"",(F392-F393)*3)</f>
        <v>2048.4000000000005</v>
      </c>
      <c r="G394" s="53">
        <f t="shared" si="126"/>
        <v>2033.6400000000003</v>
      </c>
      <c r="H394" s="53">
        <f t="shared" si="126"/>
        <v>2032.5600000000006</v>
      </c>
      <c r="I394" s="53">
        <f t="shared" si="126"/>
        <v>2029.2599999999995</v>
      </c>
      <c r="J394" s="53">
        <f t="shared" si="126"/>
        <v>2032.7099999999998</v>
      </c>
      <c r="K394" s="53">
        <f t="shared" si="126"/>
        <v>2047.62</v>
      </c>
      <c r="L394" s="53">
        <f t="shared" si="126"/>
        <v>2042.0700000000002</v>
      </c>
      <c r="M394" s="53">
        <f t="shared" si="126"/>
        <v>2027.28</v>
      </c>
      <c r="N394" s="53">
        <f t="shared" si="126"/>
        <v>2021.6700000000003</v>
      </c>
      <c r="O394" s="65"/>
      <c r="P394" s="65"/>
      <c r="Q394" s="66"/>
      <c r="R394" s="66"/>
      <c r="S394" s="142"/>
      <c r="T394" s="143"/>
      <c r="U394" s="144"/>
      <c r="V394" s="173"/>
      <c r="W394" s="11"/>
      <c r="X394" s="118"/>
      <c r="Y394" s="118"/>
      <c r="Z394" s="118"/>
      <c r="AA394" s="118"/>
    </row>
    <row r="395" spans="1:29" x14ac:dyDescent="0.25">
      <c r="A395" s="207">
        <v>43289</v>
      </c>
      <c r="B395" s="219" t="s">
        <v>185</v>
      </c>
      <c r="C395" s="39" t="s">
        <v>173</v>
      </c>
      <c r="D395" s="39" t="s">
        <v>172</v>
      </c>
      <c r="E395" s="41" t="s">
        <v>186</v>
      </c>
      <c r="F395" s="111">
        <v>21518.080000000002</v>
      </c>
      <c r="G395" s="111">
        <v>22035.98</v>
      </c>
      <c r="H395" s="111">
        <v>22157.919999999998</v>
      </c>
      <c r="I395" s="111">
        <v>22011.16</v>
      </c>
      <c r="J395" s="111">
        <v>21397.01</v>
      </c>
      <c r="K395" s="111">
        <v>21513.8</v>
      </c>
      <c r="L395" s="111">
        <v>22044.76</v>
      </c>
      <c r="M395" s="111">
        <v>21996.31</v>
      </c>
      <c r="N395" s="111">
        <v>21374.5</v>
      </c>
      <c r="O395" s="41">
        <f>IF((N396=""),"",MAX(F397:N397))</f>
        <v>4854.6600000000035</v>
      </c>
      <c r="P395" s="41">
        <f>IF(N396="","",MIN(F397:N397))</f>
        <v>4228.0499999999956</v>
      </c>
      <c r="Q395" s="42">
        <f>IF((N397=""),"",AVERAGE(F397:N397))</f>
        <v>4498.7899999999981</v>
      </c>
      <c r="R395" s="42">
        <f>IF((N396=""),"",(O395-P395)/(O395+P395)*100)</f>
        <v>6.8989321469033786</v>
      </c>
      <c r="S395" s="113">
        <f>STDEV(F397:N397)</f>
        <v>239.31626073044046</v>
      </c>
      <c r="T395" s="119" t="str">
        <f>IF(N396="","",IF(R395&lt;16,IF(Q395&gt;3200,IF(R395,IF(Q395&lt;5240,"Pass","Fail"),"Fail"),"Fail")))</f>
        <v>Pass</v>
      </c>
      <c r="U395" s="120">
        <v>1428</v>
      </c>
      <c r="V395" s="173"/>
      <c r="W395" s="11"/>
      <c r="X395" s="116">
        <v>4200</v>
      </c>
      <c r="Y395" s="116">
        <v>5500</v>
      </c>
      <c r="Z395" s="116">
        <v>3200</v>
      </c>
      <c r="AA395" s="116">
        <v>5240</v>
      </c>
      <c r="AB395" s="31">
        <v>16</v>
      </c>
      <c r="AC395" s="31">
        <v>16</v>
      </c>
    </row>
    <row r="396" spans="1:29" ht="15.6" x14ac:dyDescent="0.3">
      <c r="A396"/>
      <c r="B396" s="24"/>
      <c r="C396" s="6"/>
      <c r="D396" s="6"/>
      <c r="E396" s="61" t="s">
        <v>187</v>
      </c>
      <c r="F396" s="8">
        <v>19966.060000000001</v>
      </c>
      <c r="G396" s="8">
        <v>20597.689999999999</v>
      </c>
      <c r="H396" s="8">
        <v>20748.57</v>
      </c>
      <c r="I396" s="8">
        <v>20568</v>
      </c>
      <c r="J396" s="8">
        <v>19800.810000000001</v>
      </c>
      <c r="K396" s="8">
        <v>19960.75</v>
      </c>
      <c r="L396" s="8">
        <v>20616.11</v>
      </c>
      <c r="M396" s="8">
        <v>20538.88</v>
      </c>
      <c r="N396" s="8">
        <v>19756.28</v>
      </c>
      <c r="O396" s="61"/>
      <c r="P396" s="61"/>
      <c r="Q396" s="62"/>
      <c r="R396" s="62"/>
      <c r="S396" s="139"/>
      <c r="T396" s="5"/>
      <c r="U396" s="140"/>
      <c r="V396" s="173"/>
      <c r="W396" s="11"/>
      <c r="X396" s="118"/>
      <c r="Y396" s="118"/>
      <c r="Z396" s="118"/>
      <c r="AA396" s="118"/>
    </row>
    <row r="397" spans="1:29" ht="23.4" thickBot="1" x14ac:dyDescent="0.35">
      <c r="A397"/>
      <c r="B397" s="24"/>
      <c r="C397" s="6"/>
      <c r="D397" s="6"/>
      <c r="E397" s="61" t="s">
        <v>188</v>
      </c>
      <c r="F397" s="40">
        <f t="shared" ref="F397:N397" si="127">IF(((F395="")*AND(F396="")),"",(F395-F396)*3)</f>
        <v>4656.0600000000013</v>
      </c>
      <c r="G397" s="40">
        <f t="shared" si="127"/>
        <v>4314.8700000000026</v>
      </c>
      <c r="H397" s="40">
        <f t="shared" si="127"/>
        <v>4228.0499999999956</v>
      </c>
      <c r="I397" s="40">
        <f t="shared" si="127"/>
        <v>4329.4799999999996</v>
      </c>
      <c r="J397" s="40">
        <f t="shared" si="127"/>
        <v>4788.5999999999913</v>
      </c>
      <c r="K397" s="40">
        <f t="shared" si="127"/>
        <v>4659.1499999999978</v>
      </c>
      <c r="L397" s="40">
        <f t="shared" si="127"/>
        <v>4285.9499999999935</v>
      </c>
      <c r="M397" s="40">
        <f t="shared" si="127"/>
        <v>4372.2900000000009</v>
      </c>
      <c r="N397" s="40">
        <f t="shared" si="127"/>
        <v>4854.6600000000035</v>
      </c>
      <c r="O397" s="61"/>
      <c r="P397" s="61"/>
      <c r="Q397" s="62"/>
      <c r="R397" s="62"/>
      <c r="S397" s="139"/>
      <c r="T397" s="5"/>
      <c r="U397" s="140"/>
      <c r="V397" s="173"/>
      <c r="W397" s="11"/>
      <c r="X397" s="118"/>
      <c r="Y397" s="118"/>
      <c r="Z397" s="118"/>
      <c r="AA397" s="118"/>
    </row>
    <row r="398" spans="1:29" x14ac:dyDescent="0.25">
      <c r="A398" s="210">
        <v>43289</v>
      </c>
      <c r="B398" s="218" t="s">
        <v>174</v>
      </c>
      <c r="C398" s="6" t="s">
        <v>176</v>
      </c>
      <c r="D398" s="44" t="s">
        <v>175</v>
      </c>
      <c r="E398" s="61" t="s">
        <v>186</v>
      </c>
      <c r="F398" s="8">
        <v>5003.1899999999996</v>
      </c>
      <c r="G398" s="8">
        <v>4904.68</v>
      </c>
      <c r="H398" s="8">
        <v>4907.4799999999996</v>
      </c>
      <c r="I398" s="8">
        <v>4886.21</v>
      </c>
      <c r="J398" s="8">
        <v>5060.29</v>
      </c>
      <c r="K398" s="8">
        <v>5048.8</v>
      </c>
      <c r="L398" s="8">
        <v>4892.59</v>
      </c>
      <c r="M398" s="8">
        <v>4897.3900000000003</v>
      </c>
      <c r="N398" s="8">
        <v>5060.32</v>
      </c>
      <c r="O398" s="61">
        <f>IF((N399=""),"",MAX(F400:N400))</f>
        <v>4017.6800000000003</v>
      </c>
      <c r="P398" s="61">
        <f>IF(N399="","",MIN(F400:N400))</f>
        <v>3656.9800000000005</v>
      </c>
      <c r="Q398" s="62">
        <f>IF((N400=""),"",AVERAGE(F400:N400))</f>
        <v>3885.3533333333326</v>
      </c>
      <c r="R398" s="62">
        <f>IF((N399=""),"",(O398-P398)/(O398+P398)*100)</f>
        <v>4.6998824703635051</v>
      </c>
      <c r="S398" s="113">
        <f>STDEV(F400:N400)</f>
        <v>129.94927856667766</v>
      </c>
      <c r="T398" s="5" t="str">
        <f>IF(N399="","",IF(Q398&gt;3650,IF(R398&lt;7,IF(Q398&lt;4450,"Pass","Fail"),"Fail"),"Fail"))</f>
        <v>Pass</v>
      </c>
      <c r="U398" s="140">
        <v>1428</v>
      </c>
      <c r="V398" s="173"/>
      <c r="W398" s="11"/>
      <c r="X398" s="116">
        <v>3650</v>
      </c>
      <c r="Y398" s="116">
        <v>4450</v>
      </c>
      <c r="Z398" s="116">
        <v>3700</v>
      </c>
      <c r="AA398" s="116">
        <v>4100</v>
      </c>
      <c r="AB398" s="31">
        <v>7</v>
      </c>
      <c r="AC398" s="31">
        <v>6.5</v>
      </c>
    </row>
    <row r="399" spans="1:29" ht="15.6" x14ac:dyDescent="0.3">
      <c r="A399"/>
      <c r="B399" s="24"/>
      <c r="C399" s="6"/>
      <c r="D399" s="6"/>
      <c r="E399" s="61" t="s">
        <v>187</v>
      </c>
      <c r="F399" s="8">
        <v>3106.16</v>
      </c>
      <c r="G399" s="8">
        <v>2915.3</v>
      </c>
      <c r="H399" s="8">
        <v>2900.99</v>
      </c>
      <c r="I399" s="8">
        <v>2904.22</v>
      </c>
      <c r="J399" s="8">
        <v>3188.47</v>
      </c>
      <c r="K399" s="8">
        <v>3220.31</v>
      </c>
      <c r="L399" s="8">
        <v>2916.62</v>
      </c>
      <c r="M399" s="8">
        <v>2888.55</v>
      </c>
      <c r="N399" s="8">
        <v>3136.24</v>
      </c>
      <c r="O399" s="61"/>
      <c r="P399" s="61"/>
      <c r="Q399" s="62"/>
      <c r="R399" s="62"/>
      <c r="S399" s="139"/>
      <c r="T399" s="5"/>
      <c r="U399" s="140"/>
      <c r="V399" s="173"/>
      <c r="W399" s="11"/>
      <c r="X399" s="118"/>
      <c r="Y399" s="118"/>
      <c r="Z399" s="118"/>
      <c r="AA399" s="118"/>
    </row>
    <row r="400" spans="1:29" ht="22.8" x14ac:dyDescent="0.3">
      <c r="A400"/>
      <c r="B400" s="24"/>
      <c r="C400" s="6"/>
      <c r="D400" s="6"/>
      <c r="E400" s="61" t="s">
        <v>188</v>
      </c>
      <c r="F400" s="40">
        <f t="shared" ref="F400:N400" si="128">IF(((F398="")*AND(F399="")),"",(F398-F399)*2)</f>
        <v>3794.0599999999995</v>
      </c>
      <c r="G400" s="40">
        <f t="shared" si="128"/>
        <v>3978.76</v>
      </c>
      <c r="H400" s="40">
        <f t="shared" si="128"/>
        <v>4012.9799999999996</v>
      </c>
      <c r="I400" s="40">
        <f t="shared" si="128"/>
        <v>3963.9800000000005</v>
      </c>
      <c r="J400" s="40">
        <f t="shared" si="128"/>
        <v>3743.6400000000003</v>
      </c>
      <c r="K400" s="40">
        <f t="shared" si="128"/>
        <v>3656.9800000000005</v>
      </c>
      <c r="L400" s="40">
        <f t="shared" si="128"/>
        <v>3951.9400000000005</v>
      </c>
      <c r="M400" s="40">
        <f t="shared" si="128"/>
        <v>4017.6800000000003</v>
      </c>
      <c r="N400" s="40">
        <f t="shared" si="128"/>
        <v>3848.16</v>
      </c>
      <c r="O400" s="61"/>
      <c r="P400" s="61"/>
      <c r="Q400" s="62"/>
      <c r="R400" s="62"/>
      <c r="S400" s="139"/>
      <c r="T400" s="5"/>
      <c r="U400" s="140"/>
      <c r="V400" s="173"/>
      <c r="W400" s="11"/>
      <c r="X400" s="118"/>
      <c r="Y400" s="118"/>
      <c r="Z400" s="118"/>
      <c r="AA400" s="118"/>
    </row>
    <row r="401" spans="1:29" x14ac:dyDescent="0.25">
      <c r="A401" s="210">
        <v>43289</v>
      </c>
      <c r="B401" s="215" t="s">
        <v>169</v>
      </c>
      <c r="C401" s="6" t="s">
        <v>171</v>
      </c>
      <c r="D401" s="6" t="s">
        <v>189</v>
      </c>
      <c r="E401" s="61" t="s">
        <v>186</v>
      </c>
      <c r="F401" s="8">
        <v>1269.56</v>
      </c>
      <c r="G401" s="8">
        <v>1267.98</v>
      </c>
      <c r="H401" s="8">
        <v>1264.45</v>
      </c>
      <c r="I401" s="8">
        <v>1267.22</v>
      </c>
      <c r="J401" s="8">
        <v>1280.3599999999999</v>
      </c>
      <c r="K401" s="8">
        <v>1269.97</v>
      </c>
      <c r="L401" s="8">
        <v>1268.28</v>
      </c>
      <c r="M401" s="8">
        <v>1267.8599999999999</v>
      </c>
      <c r="N401" s="8">
        <v>1272.83</v>
      </c>
      <c r="O401" s="61">
        <f>IF((N402=""),"",MAX(F403:N403))</f>
        <v>2046.96</v>
      </c>
      <c r="P401" s="61">
        <f>IF(N402="","",MIN(F403:N403))</f>
        <v>1981.0799999999997</v>
      </c>
      <c r="Q401" s="62">
        <f>IF((N403=""),"",AVERAGE(F403:N403))</f>
        <v>2024.0600000000002</v>
      </c>
      <c r="R401" s="62">
        <f>IF((N402=""),"",(O401-P401)/(O401+P401)*100)</f>
        <v>1.6355349003485651</v>
      </c>
      <c r="S401" s="113">
        <f>STDEV(F403:N403)</f>
        <v>23.529157974734375</v>
      </c>
      <c r="T401" s="5" t="str">
        <f>IF(N402="","",IF(Q401&gt;1940,IF(R401&lt;8.3,IF(Q401&lt;2180,"Pass","Fail"),"Fail"),"Fail"))</f>
        <v>Pass</v>
      </c>
      <c r="U401" s="140">
        <v>1428</v>
      </c>
      <c r="V401" s="173"/>
      <c r="W401" s="11"/>
      <c r="X401" s="116">
        <v>2000</v>
      </c>
      <c r="Y401" s="116">
        <v>3000</v>
      </c>
      <c r="Z401" s="116">
        <v>1940</v>
      </c>
      <c r="AA401" s="116">
        <v>2180</v>
      </c>
      <c r="AB401" s="31">
        <v>5.2</v>
      </c>
      <c r="AC401" s="31">
        <v>5.2</v>
      </c>
    </row>
    <row r="402" spans="1:29" ht="15.6" x14ac:dyDescent="0.3">
      <c r="A402"/>
      <c r="B402" s="24"/>
      <c r="C402" s="6"/>
      <c r="D402" s="6"/>
      <c r="E402" s="61" t="s">
        <v>187</v>
      </c>
      <c r="F402" s="8">
        <v>592.16999999999996</v>
      </c>
      <c r="G402" s="8">
        <v>585.66</v>
      </c>
      <c r="H402" s="8">
        <v>583.96</v>
      </c>
      <c r="I402" s="8">
        <v>590.04999999999995</v>
      </c>
      <c r="J402" s="8">
        <v>617.23</v>
      </c>
      <c r="K402" s="8">
        <v>597.29999999999995</v>
      </c>
      <c r="L402" s="8">
        <v>589.58000000000004</v>
      </c>
      <c r="M402" s="8">
        <v>587.91</v>
      </c>
      <c r="N402" s="8">
        <v>612.47</v>
      </c>
      <c r="O402" s="61"/>
      <c r="P402" s="61"/>
      <c r="Q402" s="62"/>
      <c r="R402" s="62"/>
      <c r="S402" s="139"/>
      <c r="T402" s="5"/>
      <c r="U402" s="140"/>
      <c r="V402" s="173"/>
      <c r="W402" s="11"/>
      <c r="X402" s="118"/>
      <c r="Y402" s="118"/>
      <c r="Z402" s="118"/>
      <c r="AA402" s="118"/>
    </row>
    <row r="403" spans="1:29" ht="35.4" customHeight="1" thickBot="1" x14ac:dyDescent="0.35">
      <c r="A403"/>
      <c r="B403" s="63"/>
      <c r="C403" s="64"/>
      <c r="D403" s="64"/>
      <c r="E403" s="65" t="s">
        <v>190</v>
      </c>
      <c r="F403" s="53">
        <f t="shared" ref="F403:N403" si="129">IF(((F401="")*AND(F402="")),"",(F401-F402)*3)</f>
        <v>2032.17</v>
      </c>
      <c r="G403" s="53">
        <f t="shared" si="129"/>
        <v>2046.96</v>
      </c>
      <c r="H403" s="53">
        <f t="shared" si="129"/>
        <v>2041.47</v>
      </c>
      <c r="I403" s="53">
        <f t="shared" si="129"/>
        <v>2031.5100000000002</v>
      </c>
      <c r="J403" s="53">
        <f t="shared" si="129"/>
        <v>1989.3899999999996</v>
      </c>
      <c r="K403" s="53">
        <f t="shared" si="129"/>
        <v>2018.0100000000002</v>
      </c>
      <c r="L403" s="53">
        <f t="shared" si="129"/>
        <v>2036.1</v>
      </c>
      <c r="M403" s="53">
        <f t="shared" si="129"/>
        <v>2039.85</v>
      </c>
      <c r="N403" s="53">
        <f t="shared" si="129"/>
        <v>1981.0799999999997</v>
      </c>
      <c r="O403" s="65"/>
      <c r="P403" s="65"/>
      <c r="Q403" s="66"/>
      <c r="R403" s="66"/>
      <c r="S403" s="142"/>
      <c r="T403" s="143"/>
      <c r="U403" s="144"/>
      <c r="V403" s="173"/>
      <c r="W403" s="11"/>
      <c r="X403" s="118"/>
      <c r="Y403" s="118"/>
      <c r="Z403" s="118"/>
      <c r="AA403" s="118"/>
    </row>
    <row r="404" spans="1:29" x14ac:dyDescent="0.25">
      <c r="A404" s="207">
        <v>43292</v>
      </c>
      <c r="B404" s="219" t="s">
        <v>185</v>
      </c>
      <c r="C404" s="39" t="s">
        <v>173</v>
      </c>
      <c r="D404" s="39" t="s">
        <v>172</v>
      </c>
      <c r="E404" s="41" t="s">
        <v>186</v>
      </c>
      <c r="F404" s="111">
        <v>29275.95</v>
      </c>
      <c r="G404" s="111">
        <v>29184.38</v>
      </c>
      <c r="H404" s="111">
        <v>29179.63</v>
      </c>
      <c r="I404" s="111">
        <v>29173.13</v>
      </c>
      <c r="J404" s="111">
        <v>29291.49</v>
      </c>
      <c r="K404" s="111">
        <v>29279.65</v>
      </c>
      <c r="L404" s="111">
        <v>29176.47</v>
      </c>
      <c r="M404" s="111">
        <v>29176.959999999999</v>
      </c>
      <c r="N404" s="111">
        <v>29259.38</v>
      </c>
      <c r="O404" s="41">
        <f>IF((N405=""),"",MAX(F406:N406))</f>
        <v>4809.1500000000087</v>
      </c>
      <c r="P404" s="41">
        <f>IF(N405="","",MIN(F406:N406))</f>
        <v>4276.9199999999983</v>
      </c>
      <c r="Q404" s="42">
        <f>IF((N406=""),"",AVERAGE(F406:N406))</f>
        <v>4522.3800000000037</v>
      </c>
      <c r="R404" s="42">
        <f>IF((N405=""),"",(O404-P404)/(O404+P404)*100)</f>
        <v>5.857648026044374</v>
      </c>
      <c r="S404" s="113">
        <f>STDEV(F406:N406)</f>
        <v>216.00780194243197</v>
      </c>
      <c r="T404" s="119" t="str">
        <f>IF(N405="","",IF(R404&lt;16,IF(Q404&gt;3200,IF(R404,IF(Q404&lt;5240,"Pass","Fail"),"Fail"),"Fail")))</f>
        <v>Pass</v>
      </c>
      <c r="U404" s="120">
        <v>1335</v>
      </c>
      <c r="V404" s="173"/>
      <c r="W404" s="11"/>
      <c r="X404" s="116">
        <v>4200</v>
      </c>
      <c r="Y404" s="116">
        <v>5500</v>
      </c>
      <c r="Z404" s="116">
        <v>3200</v>
      </c>
      <c r="AA404" s="116">
        <v>5240</v>
      </c>
      <c r="AB404" s="31">
        <v>16</v>
      </c>
      <c r="AC404" s="31">
        <v>16</v>
      </c>
    </row>
    <row r="405" spans="1:29" ht="15.6" x14ac:dyDescent="0.3">
      <c r="A405"/>
      <c r="B405" s="24"/>
      <c r="C405" s="6"/>
      <c r="D405" s="6"/>
      <c r="E405" s="61" t="s">
        <v>187</v>
      </c>
      <c r="F405" s="8">
        <v>27717.37</v>
      </c>
      <c r="G405" s="8">
        <v>27737.79</v>
      </c>
      <c r="H405" s="8">
        <v>27753.99</v>
      </c>
      <c r="I405" s="8">
        <v>27712.799999999999</v>
      </c>
      <c r="J405" s="8">
        <v>27688.44</v>
      </c>
      <c r="K405" s="8">
        <v>27705.33</v>
      </c>
      <c r="L405" s="8">
        <v>27723.62</v>
      </c>
      <c r="M405" s="8">
        <v>27721.8</v>
      </c>
      <c r="N405" s="8">
        <v>27668.76</v>
      </c>
      <c r="O405" s="61"/>
      <c r="P405" s="61"/>
      <c r="Q405" s="62"/>
      <c r="R405" s="62"/>
      <c r="S405" s="139"/>
      <c r="T405" s="5"/>
      <c r="U405" s="140"/>
      <c r="V405" s="173"/>
      <c r="W405" s="11"/>
      <c r="X405" s="118"/>
      <c r="Y405" s="118"/>
      <c r="Z405" s="118"/>
      <c r="AA405" s="118"/>
    </row>
    <row r="406" spans="1:29" ht="23.4" thickBot="1" x14ac:dyDescent="0.35">
      <c r="A406"/>
      <c r="B406" s="24"/>
      <c r="C406" s="6"/>
      <c r="D406" s="6"/>
      <c r="E406" s="61" t="s">
        <v>188</v>
      </c>
      <c r="F406" s="40">
        <f t="shared" ref="F406:N406" si="130">IF(((F404="")*AND(F405="")),"",(F404-F405)*3)</f>
        <v>4675.7400000000052</v>
      </c>
      <c r="G406" s="40">
        <f t="shared" si="130"/>
        <v>4339.7700000000004</v>
      </c>
      <c r="H406" s="40">
        <f t="shared" si="130"/>
        <v>4276.9199999999983</v>
      </c>
      <c r="I406" s="40">
        <f t="shared" si="130"/>
        <v>4380.9900000000052</v>
      </c>
      <c r="J406" s="40">
        <f t="shared" si="130"/>
        <v>4809.1500000000087</v>
      </c>
      <c r="K406" s="40">
        <f t="shared" si="130"/>
        <v>4722.9599999999991</v>
      </c>
      <c r="L406" s="40">
        <f t="shared" si="130"/>
        <v>4358.5500000000065</v>
      </c>
      <c r="M406" s="40">
        <f t="shared" si="130"/>
        <v>4365.4799999999996</v>
      </c>
      <c r="N406" s="40">
        <f t="shared" si="130"/>
        <v>4771.8600000000079</v>
      </c>
      <c r="O406" s="61"/>
      <c r="P406" s="61"/>
      <c r="Q406" s="62"/>
      <c r="R406" s="62"/>
      <c r="S406" s="139"/>
      <c r="T406" s="5"/>
      <c r="U406" s="140"/>
      <c r="V406" s="173"/>
      <c r="W406" s="11"/>
      <c r="X406" s="118"/>
      <c r="Y406" s="118"/>
      <c r="Z406" s="118"/>
      <c r="AA406" s="118"/>
    </row>
    <row r="407" spans="1:29" x14ac:dyDescent="0.25">
      <c r="A407" s="210">
        <v>43292</v>
      </c>
      <c r="B407" s="218" t="s">
        <v>174</v>
      </c>
      <c r="C407" s="6" t="s">
        <v>176</v>
      </c>
      <c r="D407" s="44" t="s">
        <v>175</v>
      </c>
      <c r="E407" s="61" t="s">
        <v>186</v>
      </c>
      <c r="F407" s="8">
        <v>3113.38</v>
      </c>
      <c r="G407" s="8">
        <v>2919.79</v>
      </c>
      <c r="H407" s="8">
        <v>2905.07</v>
      </c>
      <c r="I407" s="8">
        <v>2908.07</v>
      </c>
      <c r="J407" s="8">
        <v>3196.99</v>
      </c>
      <c r="K407" s="8">
        <v>3229.59</v>
      </c>
      <c r="L407" s="8">
        <v>2920.69</v>
      </c>
      <c r="M407" s="8">
        <v>2892.4</v>
      </c>
      <c r="N407" s="8">
        <v>3143.72</v>
      </c>
      <c r="O407" s="61">
        <f>IF((N408=""),"",MAX(F409:N409))</f>
        <v>3997.78</v>
      </c>
      <c r="P407" s="61">
        <f>IF(N408="","",MIN(F409:N409))</f>
        <v>3675.6600000000003</v>
      </c>
      <c r="Q407" s="62">
        <f>IF((N409=""),"",AVERAGE(F409:N409))</f>
        <v>3880.74</v>
      </c>
      <c r="R407" s="62">
        <f>IF((N408=""),"",(O407-P407)/(O407+P407)*100)</f>
        <v>4.1978565024291568</v>
      </c>
      <c r="S407" s="113">
        <f>STDEV(F409:N409)</f>
        <v>113.51065544696677</v>
      </c>
      <c r="T407" s="5" t="str">
        <f>IF(N408="","",IF(Q407&gt;3650,IF(R407&lt;7,IF(Q407&lt;4450,"Pass","Fail"),"Fail"),"Fail"))</f>
        <v>Pass</v>
      </c>
      <c r="U407" s="140">
        <v>1335</v>
      </c>
      <c r="V407" s="173"/>
      <c r="W407" s="11"/>
      <c r="X407" s="116">
        <v>3650</v>
      </c>
      <c r="Y407" s="116">
        <v>4450</v>
      </c>
      <c r="Z407" s="116">
        <v>3700</v>
      </c>
      <c r="AA407" s="116">
        <v>4100</v>
      </c>
      <c r="AB407" s="31">
        <v>7</v>
      </c>
      <c r="AC407" s="31">
        <v>6.5</v>
      </c>
    </row>
    <row r="408" spans="1:29" ht="15.6" x14ac:dyDescent="0.3">
      <c r="A408"/>
      <c r="B408" s="24"/>
      <c r="C408" s="6"/>
      <c r="D408" s="6"/>
      <c r="E408" s="61" t="s">
        <v>187</v>
      </c>
      <c r="F408" s="8">
        <v>1214.49</v>
      </c>
      <c r="G408" s="8">
        <v>937.54</v>
      </c>
      <c r="H408" s="8">
        <v>907.34</v>
      </c>
      <c r="I408" s="8">
        <v>937.48</v>
      </c>
      <c r="J408" s="8">
        <v>1314.81</v>
      </c>
      <c r="K408" s="8">
        <v>1391.76</v>
      </c>
      <c r="L408" s="8">
        <v>954.97</v>
      </c>
      <c r="M408" s="8">
        <v>893.51</v>
      </c>
      <c r="N408" s="8">
        <v>1214.47</v>
      </c>
      <c r="O408" s="61"/>
      <c r="P408" s="61"/>
      <c r="Q408" s="62"/>
      <c r="R408" s="62"/>
      <c r="S408" s="139"/>
      <c r="T408" s="5"/>
      <c r="U408" s="140"/>
      <c r="V408" s="173"/>
      <c r="W408" s="11"/>
      <c r="X408" s="118"/>
      <c r="Y408" s="118"/>
      <c r="Z408" s="118"/>
      <c r="AA408" s="118"/>
    </row>
    <row r="409" spans="1:29" ht="22.8" x14ac:dyDescent="0.3">
      <c r="A409"/>
      <c r="B409" s="24"/>
      <c r="C409" s="6"/>
      <c r="D409" s="6"/>
      <c r="E409" s="61" t="s">
        <v>188</v>
      </c>
      <c r="F409" s="40">
        <f t="shared" ref="F409:N409" si="131">IF(((F407="")*AND(F408="")),"",(F407-F408)*2)</f>
        <v>3797.78</v>
      </c>
      <c r="G409" s="40">
        <f t="shared" si="131"/>
        <v>3964.5</v>
      </c>
      <c r="H409" s="40">
        <f t="shared" si="131"/>
        <v>3995.46</v>
      </c>
      <c r="I409" s="40">
        <f t="shared" si="131"/>
        <v>3941.1800000000003</v>
      </c>
      <c r="J409" s="40">
        <f t="shared" si="131"/>
        <v>3764.3599999999997</v>
      </c>
      <c r="K409" s="40">
        <f t="shared" si="131"/>
        <v>3675.6600000000003</v>
      </c>
      <c r="L409" s="40">
        <f t="shared" si="131"/>
        <v>3931.44</v>
      </c>
      <c r="M409" s="40">
        <f t="shared" si="131"/>
        <v>3997.78</v>
      </c>
      <c r="N409" s="40">
        <f t="shared" si="131"/>
        <v>3858.4999999999995</v>
      </c>
      <c r="O409" s="61"/>
      <c r="P409" s="61"/>
      <c r="Q409" s="62"/>
      <c r="R409" s="62"/>
      <c r="S409" s="139"/>
      <c r="T409" s="5"/>
      <c r="U409" s="140"/>
      <c r="V409" s="173"/>
      <c r="W409" s="11"/>
      <c r="X409" s="118"/>
      <c r="Y409" s="118"/>
      <c r="Z409" s="118"/>
      <c r="AA409" s="118"/>
    </row>
    <row r="410" spans="1:29" x14ac:dyDescent="0.25">
      <c r="A410" s="210">
        <v>43292</v>
      </c>
      <c r="B410" s="215" t="s">
        <v>169</v>
      </c>
      <c r="C410" s="6" t="s">
        <v>171</v>
      </c>
      <c r="D410" s="6" t="s">
        <v>189</v>
      </c>
      <c r="E410" s="61" t="s">
        <v>186</v>
      </c>
      <c r="F410" s="8">
        <v>1933.67</v>
      </c>
      <c r="G410" s="8">
        <v>1941.69</v>
      </c>
      <c r="H410" s="8">
        <v>1942.61</v>
      </c>
      <c r="I410" s="8">
        <v>1940.98</v>
      </c>
      <c r="J410" s="8">
        <v>1934.41</v>
      </c>
      <c r="K410" s="8">
        <v>1933.58</v>
      </c>
      <c r="L410" s="8">
        <v>1940.22</v>
      </c>
      <c r="M410" s="8">
        <v>1941.57</v>
      </c>
      <c r="N410" s="8">
        <v>1936.67</v>
      </c>
      <c r="O410" s="61">
        <f>IF((N411=""),"",MAX(F412:N412))</f>
        <v>2033.0099999999995</v>
      </c>
      <c r="P410" s="61">
        <f>IF(N411="","",MIN(F412:N412))</f>
        <v>1983.03</v>
      </c>
      <c r="Q410" s="62">
        <f>IF((N412=""),"",AVERAGE(F412:N412))</f>
        <v>2010.13</v>
      </c>
      <c r="R410" s="62">
        <f>IF((N411=""),"",(O410-P410)/(O410+P410)*100)</f>
        <v>1.2445095168374709</v>
      </c>
      <c r="S410" s="113">
        <f>STDEV(F412:N412)</f>
        <v>17.226636351882505</v>
      </c>
      <c r="T410" s="5" t="str">
        <f>IF(N411="","",IF(Q410&gt;1940,IF(R410&lt;8.3,IF(Q410&lt;2180,"Pass","Fail"),"Fail"),"Fail"))</f>
        <v>Pass</v>
      </c>
      <c r="U410" s="140">
        <v>1335</v>
      </c>
      <c r="V410" s="173"/>
      <c r="W410" s="11"/>
      <c r="X410" s="116">
        <v>2000</v>
      </c>
      <c r="Y410" s="116">
        <v>3000</v>
      </c>
      <c r="Z410" s="116">
        <v>1940</v>
      </c>
      <c r="AA410" s="116">
        <v>2180</v>
      </c>
      <c r="AB410" s="31">
        <v>5.2</v>
      </c>
      <c r="AC410" s="31">
        <v>5.2</v>
      </c>
    </row>
    <row r="411" spans="1:29" ht="15.6" x14ac:dyDescent="0.3">
      <c r="A411"/>
      <c r="B411" s="24"/>
      <c r="C411" s="6"/>
      <c r="D411" s="6"/>
      <c r="E411" s="61" t="s">
        <v>187</v>
      </c>
      <c r="F411" s="8">
        <v>1265.06</v>
      </c>
      <c r="G411" s="8">
        <v>1267.54</v>
      </c>
      <c r="H411" s="8">
        <v>1269.19</v>
      </c>
      <c r="I411" s="8">
        <v>1265.28</v>
      </c>
      <c r="J411" s="8">
        <v>1273.4000000000001</v>
      </c>
      <c r="K411" s="8">
        <v>1271.1600000000001</v>
      </c>
      <c r="L411" s="8">
        <v>1271.53</v>
      </c>
      <c r="M411" s="8">
        <v>1263.9000000000001</v>
      </c>
      <c r="N411" s="8">
        <v>1267.95</v>
      </c>
      <c r="O411" s="61"/>
      <c r="P411" s="61"/>
      <c r="Q411" s="62"/>
      <c r="R411" s="62"/>
      <c r="S411" s="139"/>
      <c r="T411" s="5"/>
      <c r="U411" s="140"/>
      <c r="V411" s="173"/>
      <c r="W411" s="11"/>
      <c r="X411" s="118"/>
      <c r="Y411" s="118"/>
      <c r="Z411" s="118"/>
      <c r="AA411" s="118"/>
    </row>
    <row r="412" spans="1:29" ht="36.75" customHeight="1" thickBot="1" x14ac:dyDescent="0.35">
      <c r="A412"/>
      <c r="B412" s="63"/>
      <c r="C412" s="64"/>
      <c r="D412" s="64"/>
      <c r="E412" s="65" t="s">
        <v>190</v>
      </c>
      <c r="F412" s="53">
        <f t="shared" ref="F412:N412" si="132">IF(((F410="")*AND(F411="")),"",(F410-F411)*3)</f>
        <v>2005.8300000000004</v>
      </c>
      <c r="G412" s="53">
        <f t="shared" si="132"/>
        <v>2022.4500000000003</v>
      </c>
      <c r="H412" s="53">
        <f t="shared" si="132"/>
        <v>2020.2599999999995</v>
      </c>
      <c r="I412" s="53">
        <f t="shared" si="132"/>
        <v>2027.1000000000001</v>
      </c>
      <c r="J412" s="53">
        <f t="shared" si="132"/>
        <v>1983.03</v>
      </c>
      <c r="K412" s="53">
        <f t="shared" si="132"/>
        <v>1987.2599999999995</v>
      </c>
      <c r="L412" s="53">
        <f t="shared" si="132"/>
        <v>2006.0700000000002</v>
      </c>
      <c r="M412" s="53">
        <f t="shared" si="132"/>
        <v>2033.0099999999995</v>
      </c>
      <c r="N412" s="53">
        <f t="shared" si="132"/>
        <v>2006.16</v>
      </c>
      <c r="O412" s="65"/>
      <c r="P412" s="65"/>
      <c r="Q412" s="66"/>
      <c r="R412" s="66"/>
      <c r="S412" s="142"/>
      <c r="T412" s="143"/>
      <c r="U412" s="144"/>
      <c r="V412" s="173"/>
      <c r="W412" s="11"/>
      <c r="X412" s="118"/>
      <c r="Y412" s="118"/>
      <c r="Z412" s="118"/>
      <c r="AA412" s="118"/>
    </row>
    <row r="413" spans="1:29" x14ac:dyDescent="0.25">
      <c r="A413" s="207">
        <v>43296</v>
      </c>
      <c r="B413" s="219" t="s">
        <v>185</v>
      </c>
      <c r="C413" s="39" t="s">
        <v>173</v>
      </c>
      <c r="D413" s="39" t="s">
        <v>172</v>
      </c>
      <c r="E413" s="41" t="s">
        <v>186</v>
      </c>
      <c r="F413" s="111">
        <v>27648.77</v>
      </c>
      <c r="G413" s="111">
        <v>27676.98</v>
      </c>
      <c r="H413" s="111">
        <v>27683.759999999998</v>
      </c>
      <c r="I413" s="111">
        <v>27642.38</v>
      </c>
      <c r="J413" s="111">
        <v>27613</v>
      </c>
      <c r="K413" s="111">
        <v>27628.95</v>
      </c>
      <c r="L413" s="111">
        <v>27652.66</v>
      </c>
      <c r="M413" s="111">
        <v>27647.34</v>
      </c>
      <c r="N413" s="111">
        <v>27598.3</v>
      </c>
      <c r="O413" s="41">
        <f>IF((N414=""),"",MAX(F415:N415))</f>
        <v>4868.1299999999974</v>
      </c>
      <c r="P413" s="41">
        <f>IF(N414="","",MIN(F415:N415))</f>
        <v>4254.9599999999991</v>
      </c>
      <c r="Q413" s="42">
        <f>IF((N415=""),"",AVERAGE(F415:N415))</f>
        <v>4507.1666666666679</v>
      </c>
      <c r="R413" s="42">
        <f>IF((N414=""),"",(O413-P413)/(O413+P413)*100)</f>
        <v>6.7210780557902918</v>
      </c>
      <c r="S413" s="113">
        <f>STDEV(F415:N415)</f>
        <v>234.23265858970143</v>
      </c>
      <c r="T413" s="119" t="str">
        <f>IF(N414="","",IF(R413&lt;16,IF(Q413&gt;3200,IF(R413,IF(Q413&lt;5240,"Pass","Fail"),"Fail"),"Fail")))</f>
        <v>Pass</v>
      </c>
      <c r="U413" s="120">
        <v>1335</v>
      </c>
      <c r="V413" s="173"/>
      <c r="W413" s="11"/>
      <c r="X413" s="116">
        <v>4200</v>
      </c>
      <c r="Y413" s="116">
        <v>5500</v>
      </c>
      <c r="Z413" s="116">
        <v>3200</v>
      </c>
      <c r="AA413" s="116">
        <v>5240</v>
      </c>
      <c r="AB413" s="31">
        <v>16</v>
      </c>
      <c r="AC413" s="31">
        <v>16</v>
      </c>
    </row>
    <row r="414" spans="1:29" ht="15.6" x14ac:dyDescent="0.3">
      <c r="A414"/>
      <c r="B414" s="24"/>
      <c r="C414" s="6"/>
      <c r="D414" s="6"/>
      <c r="E414" s="61" t="s">
        <v>187</v>
      </c>
      <c r="F414" s="8">
        <v>26097.53</v>
      </c>
      <c r="G414" s="8">
        <v>26232.46</v>
      </c>
      <c r="H414" s="8">
        <v>26265.439999999999</v>
      </c>
      <c r="I414" s="8">
        <v>26187.52</v>
      </c>
      <c r="J414" s="8">
        <v>26007.79</v>
      </c>
      <c r="K414" s="8">
        <v>26090.799999999999</v>
      </c>
      <c r="L414" s="8">
        <v>26223.25</v>
      </c>
      <c r="M414" s="8">
        <v>26190.26</v>
      </c>
      <c r="N414" s="8">
        <v>25975.59</v>
      </c>
      <c r="O414" s="61"/>
      <c r="P414" s="61"/>
      <c r="Q414" s="62"/>
      <c r="R414" s="62"/>
      <c r="S414" s="139"/>
      <c r="T414" s="5"/>
      <c r="U414" s="140"/>
      <c r="V414" s="173"/>
      <c r="W414" s="11"/>
      <c r="X414" s="118"/>
      <c r="Y414" s="118"/>
      <c r="Z414" s="118"/>
      <c r="AA414" s="118"/>
    </row>
    <row r="415" spans="1:29" ht="23.4" thickBot="1" x14ac:dyDescent="0.35">
      <c r="A415"/>
      <c r="B415" s="24"/>
      <c r="C415" s="6"/>
      <c r="D415" s="6"/>
      <c r="E415" s="61" t="s">
        <v>188</v>
      </c>
      <c r="F415" s="40">
        <f t="shared" ref="F415:N415" si="133">IF(((F413="")*AND(F414="")),"",(F413-F414)*3)</f>
        <v>4653.7200000000048</v>
      </c>
      <c r="G415" s="40">
        <f t="shared" si="133"/>
        <v>4333.5600000000013</v>
      </c>
      <c r="H415" s="40">
        <f t="shared" si="133"/>
        <v>4254.9599999999991</v>
      </c>
      <c r="I415" s="40">
        <f t="shared" si="133"/>
        <v>4364.5800000000017</v>
      </c>
      <c r="J415" s="40">
        <f t="shared" si="133"/>
        <v>4815.6299999999974</v>
      </c>
      <c r="K415" s="40">
        <f t="shared" si="133"/>
        <v>4614.4500000000044</v>
      </c>
      <c r="L415" s="40">
        <f t="shared" si="133"/>
        <v>4288.2299999999996</v>
      </c>
      <c r="M415" s="40">
        <f t="shared" si="133"/>
        <v>4371.2400000000052</v>
      </c>
      <c r="N415" s="40">
        <f t="shared" si="133"/>
        <v>4868.1299999999974</v>
      </c>
      <c r="O415" s="61"/>
      <c r="P415" s="61"/>
      <c r="Q415" s="62"/>
      <c r="R415" s="62"/>
      <c r="S415" s="139"/>
      <c r="T415" s="5"/>
      <c r="U415" s="140"/>
      <c r="V415" s="173"/>
      <c r="W415" s="11"/>
      <c r="X415" s="118"/>
      <c r="Y415" s="118"/>
      <c r="Z415" s="118"/>
      <c r="AA415" s="118"/>
    </row>
    <row r="416" spans="1:29" x14ac:dyDescent="0.25">
      <c r="A416" s="210">
        <v>43296</v>
      </c>
      <c r="B416" s="218" t="s">
        <v>174</v>
      </c>
      <c r="C416" s="6" t="s">
        <v>176</v>
      </c>
      <c r="D416" s="44" t="s">
        <v>175</v>
      </c>
      <c r="E416" s="61" t="s">
        <v>186</v>
      </c>
      <c r="F416" s="8">
        <v>7019.14</v>
      </c>
      <c r="G416" s="8">
        <v>7007.01</v>
      </c>
      <c r="H416" s="8">
        <v>7023.72</v>
      </c>
      <c r="I416" s="8">
        <v>6972.38</v>
      </c>
      <c r="J416" s="8">
        <v>7039.15</v>
      </c>
      <c r="K416" s="8">
        <v>6989.79</v>
      </c>
      <c r="L416" s="8">
        <v>6977.82</v>
      </c>
      <c r="M416" s="8">
        <v>7007.78</v>
      </c>
      <c r="N416" s="8">
        <v>7087.49</v>
      </c>
      <c r="O416" s="61">
        <f>IF((N417=""),"",MAX(F418:N418))</f>
        <v>4040.7999999999993</v>
      </c>
      <c r="P416" s="61">
        <f>IF(N417="","",MIN(F418:N418))</f>
        <v>3692.58</v>
      </c>
      <c r="Q416" s="62">
        <f>IF((N418=""),"",AVERAGE(F418:N418))</f>
        <v>3913.4355555555553</v>
      </c>
      <c r="R416" s="62">
        <f>IF((N417=""),"",(O416-P416)/(O416+P416)*100)</f>
        <v>4.5028176554106922</v>
      </c>
      <c r="S416" s="113">
        <f>STDEV(F418:N418)</f>
        <v>122.37883222917989</v>
      </c>
      <c r="T416" s="5" t="str">
        <f>IF(N417="","",IF(Q416&gt;3650,IF(R416&lt;7,IF(Q416&lt;4450,"Pass","Fail"),"Fail"),"Fail"))</f>
        <v>Pass</v>
      </c>
      <c r="U416" s="140">
        <v>1335</v>
      </c>
      <c r="V416" s="173"/>
      <c r="W416" s="11"/>
      <c r="X416" s="116">
        <v>3650</v>
      </c>
      <c r="Y416" s="116">
        <v>4450</v>
      </c>
      <c r="Z416" s="116">
        <v>3700</v>
      </c>
      <c r="AA416" s="116">
        <v>4100</v>
      </c>
      <c r="AB416" s="31">
        <v>7</v>
      </c>
      <c r="AC416" s="31">
        <v>6.5</v>
      </c>
    </row>
    <row r="417" spans="1:29" ht="15.6" x14ac:dyDescent="0.3">
      <c r="A417"/>
      <c r="B417" s="24"/>
      <c r="C417" s="6"/>
      <c r="D417" s="6"/>
      <c r="E417" s="61" t="s">
        <v>187</v>
      </c>
      <c r="F417" s="8">
        <v>5116.29</v>
      </c>
      <c r="G417" s="8">
        <v>5012.55</v>
      </c>
      <c r="H417" s="8">
        <v>5005.78</v>
      </c>
      <c r="I417" s="8">
        <v>4978.3500000000004</v>
      </c>
      <c r="J417" s="8">
        <v>5139.6099999999997</v>
      </c>
      <c r="K417" s="8">
        <v>5143.5</v>
      </c>
      <c r="L417" s="8">
        <v>4991.16</v>
      </c>
      <c r="M417" s="8">
        <v>4987.38</v>
      </c>
      <c r="N417" s="8">
        <v>5139.2</v>
      </c>
      <c r="O417" s="61"/>
      <c r="P417" s="61"/>
      <c r="Q417" s="62"/>
      <c r="R417" s="62"/>
      <c r="S417" s="139"/>
      <c r="T417" s="5"/>
      <c r="U417" s="140"/>
      <c r="V417" s="173"/>
      <c r="W417" s="11"/>
      <c r="X417" s="118"/>
      <c r="Y417" s="118"/>
      <c r="Z417" s="118"/>
      <c r="AA417" s="118"/>
    </row>
    <row r="418" spans="1:29" ht="22.8" x14ac:dyDescent="0.3">
      <c r="A418"/>
      <c r="B418" s="24"/>
      <c r="C418" s="6"/>
      <c r="D418" s="6"/>
      <c r="E418" s="61" t="s">
        <v>188</v>
      </c>
      <c r="F418" s="40">
        <f t="shared" ref="F418:N418" si="134">IF(((F416="")*AND(F417="")),"",(F416-F417)*2)</f>
        <v>3805.7000000000007</v>
      </c>
      <c r="G418" s="40">
        <f t="shared" si="134"/>
        <v>3988.92</v>
      </c>
      <c r="H418" s="40">
        <f t="shared" si="134"/>
        <v>4035.880000000001</v>
      </c>
      <c r="I418" s="40">
        <f t="shared" si="134"/>
        <v>3988.0599999999995</v>
      </c>
      <c r="J418" s="40">
        <f t="shared" si="134"/>
        <v>3799.08</v>
      </c>
      <c r="K418" s="40">
        <f t="shared" si="134"/>
        <v>3692.58</v>
      </c>
      <c r="L418" s="40">
        <f t="shared" si="134"/>
        <v>3973.3199999999997</v>
      </c>
      <c r="M418" s="40">
        <f t="shared" si="134"/>
        <v>4040.7999999999993</v>
      </c>
      <c r="N418" s="40">
        <f t="shared" si="134"/>
        <v>3896.58</v>
      </c>
      <c r="O418" s="61"/>
      <c r="P418" s="61"/>
      <c r="Q418" s="62"/>
      <c r="R418" s="62"/>
      <c r="S418" s="139"/>
      <c r="T418" s="5"/>
      <c r="U418" s="140"/>
      <c r="V418" s="173"/>
      <c r="W418" s="11"/>
      <c r="X418" s="118"/>
      <c r="Y418" s="118"/>
      <c r="Z418" s="118"/>
      <c r="AA418" s="118"/>
    </row>
    <row r="419" spans="1:29" x14ac:dyDescent="0.25">
      <c r="A419" s="210">
        <v>43296</v>
      </c>
      <c r="B419" s="215" t="s">
        <v>169</v>
      </c>
      <c r="C419" s="6" t="s">
        <v>171</v>
      </c>
      <c r="D419" s="6" t="s">
        <v>189</v>
      </c>
      <c r="E419" s="61" t="s">
        <v>186</v>
      </c>
      <c r="F419" s="8">
        <v>1927.67</v>
      </c>
      <c r="G419" s="8">
        <v>1928.82</v>
      </c>
      <c r="H419" s="8">
        <v>1928.65</v>
      </c>
      <c r="I419" s="8">
        <v>1931.15</v>
      </c>
      <c r="J419" s="8">
        <v>1931.27</v>
      </c>
      <c r="K419" s="8">
        <v>1925.44</v>
      </c>
      <c r="L419" s="8">
        <v>1929.72</v>
      </c>
      <c r="M419" s="8">
        <v>1927.81</v>
      </c>
      <c r="N419" s="8">
        <v>1926.27</v>
      </c>
      <c r="O419" s="61">
        <f>IF((N420=""),"",MAX(F421:N421))</f>
        <v>2028.5399999999995</v>
      </c>
      <c r="P419" s="61">
        <f>IF(N420="","",MIN(F421:N421))</f>
        <v>1996.8899999999996</v>
      </c>
      <c r="Q419" s="62">
        <f>IF((N421=""),"",AVERAGE(F421:N421))</f>
        <v>2016.7833333333333</v>
      </c>
      <c r="R419" s="62">
        <f>IF((N420=""),"",(O419-P419)/(O419+P419)*100)</f>
        <v>0.78625140668201576</v>
      </c>
      <c r="S419" s="113">
        <f>STDEV(F421:N421)</f>
        <v>11.2194329179331</v>
      </c>
      <c r="T419" s="5" t="str">
        <f>IF(N420="","",IF(Q419&gt;1940,IF(R419&lt;8.3,IF(Q419&lt;2180,"Pass","Fail"),"Fail"),"Fail"))</f>
        <v>Pass</v>
      </c>
      <c r="U419" s="140">
        <v>1335</v>
      </c>
      <c r="V419" s="173"/>
      <c r="W419" s="11"/>
      <c r="X419" s="116">
        <v>2000</v>
      </c>
      <c r="Y419" s="116">
        <v>3000</v>
      </c>
      <c r="Z419" s="116">
        <v>1940</v>
      </c>
      <c r="AA419" s="116">
        <v>2180</v>
      </c>
      <c r="AB419" s="31">
        <v>5.2</v>
      </c>
      <c r="AC419" s="31">
        <v>5.2</v>
      </c>
    </row>
    <row r="420" spans="1:29" ht="15.6" x14ac:dyDescent="0.3">
      <c r="A420"/>
      <c r="B420" s="24"/>
      <c r="C420" s="6"/>
      <c r="D420" s="6"/>
      <c r="E420" s="61" t="s">
        <v>187</v>
      </c>
      <c r="F420" s="8">
        <v>1251.57</v>
      </c>
      <c r="G420" s="8">
        <v>1252.6400000000001</v>
      </c>
      <c r="H420" s="8">
        <v>1255</v>
      </c>
      <c r="I420" s="8">
        <v>1257.29</v>
      </c>
      <c r="J420" s="8">
        <v>1265.6400000000001</v>
      </c>
      <c r="K420" s="8">
        <v>1257.28</v>
      </c>
      <c r="L420" s="8">
        <v>1258.96</v>
      </c>
      <c r="M420" s="8">
        <v>1252.24</v>
      </c>
      <c r="N420" s="8">
        <v>1255.83</v>
      </c>
      <c r="O420" s="61"/>
      <c r="P420" s="61"/>
      <c r="Q420" s="62"/>
      <c r="R420" s="62"/>
      <c r="S420" s="139"/>
      <c r="T420" s="5"/>
      <c r="U420" s="140"/>
      <c r="V420" s="173"/>
      <c r="W420" s="11"/>
      <c r="X420" s="118"/>
      <c r="Y420" s="118"/>
      <c r="Z420" s="118"/>
      <c r="AA420" s="118"/>
    </row>
    <row r="421" spans="1:29" ht="38.25" customHeight="1" thickBot="1" x14ac:dyDescent="0.35">
      <c r="A421"/>
      <c r="B421" s="63"/>
      <c r="C421" s="64"/>
      <c r="D421" s="64"/>
      <c r="E421" s="65" t="s">
        <v>190</v>
      </c>
      <c r="F421" s="53">
        <f t="shared" ref="F421:N421" si="135">IF(((F419="")*AND(F420="")),"",(F419-F420)*3)</f>
        <v>2028.3000000000004</v>
      </c>
      <c r="G421" s="53">
        <f t="shared" si="135"/>
        <v>2028.5399999999995</v>
      </c>
      <c r="H421" s="53">
        <f t="shared" si="135"/>
        <v>2020.9500000000003</v>
      </c>
      <c r="I421" s="53">
        <f t="shared" si="135"/>
        <v>2021.5800000000004</v>
      </c>
      <c r="J421" s="53">
        <f t="shared" si="135"/>
        <v>1996.8899999999996</v>
      </c>
      <c r="K421" s="53">
        <f t="shared" si="135"/>
        <v>2004.4800000000002</v>
      </c>
      <c r="L421" s="53">
        <f t="shared" si="135"/>
        <v>2012.28</v>
      </c>
      <c r="M421" s="53">
        <f t="shared" si="135"/>
        <v>2026.7099999999998</v>
      </c>
      <c r="N421" s="53">
        <f t="shared" si="135"/>
        <v>2011.3200000000002</v>
      </c>
      <c r="O421" s="65"/>
      <c r="P421" s="65"/>
      <c r="Q421" s="66"/>
      <c r="R421" s="66"/>
      <c r="S421" s="142"/>
      <c r="T421" s="143"/>
      <c r="U421" s="144"/>
      <c r="V421" s="173"/>
      <c r="W421" s="11"/>
      <c r="X421" s="118"/>
      <c r="Y421" s="118"/>
      <c r="Z421" s="118"/>
      <c r="AA421" s="118"/>
    </row>
    <row r="422" spans="1:29" x14ac:dyDescent="0.25">
      <c r="A422" s="207">
        <v>43300</v>
      </c>
      <c r="B422" s="219" t="s">
        <v>185</v>
      </c>
      <c r="C422" s="39" t="s">
        <v>173</v>
      </c>
      <c r="D422" s="39" t="s">
        <v>172</v>
      </c>
      <c r="E422" s="41" t="s">
        <v>186</v>
      </c>
      <c r="F422" s="111">
        <v>26097.53</v>
      </c>
      <c r="G422" s="111">
        <v>26232.46</v>
      </c>
      <c r="H422" s="111">
        <v>26265.439999999999</v>
      </c>
      <c r="I422" s="111">
        <v>26187.52</v>
      </c>
      <c r="J422" s="111">
        <v>26007.79</v>
      </c>
      <c r="K422" s="111">
        <v>26090.799999999999</v>
      </c>
      <c r="L422" s="111">
        <v>26223.25</v>
      </c>
      <c r="M422" s="111">
        <v>26190.26</v>
      </c>
      <c r="N422" s="111">
        <v>25975.59</v>
      </c>
      <c r="O422" s="41">
        <f>IF((N423=""),"",MAX(F424:N424))</f>
        <v>4907.8799999999974</v>
      </c>
      <c r="P422" s="41">
        <f>IF(N423="","",MIN(F424:N424))</f>
        <v>4352.1599999999926</v>
      </c>
      <c r="Q422" s="42">
        <f>IF((N424=""),"",AVERAGE(F424:N424))</f>
        <v>4632.2799999999988</v>
      </c>
      <c r="R422" s="42">
        <f>IF((N423=""),"",(O422-P422)/(O422+P422)*100)</f>
        <v>6.0012699729159422</v>
      </c>
      <c r="S422" s="113">
        <f>STDEV(F424:N424)</f>
        <v>239.6977316851407</v>
      </c>
      <c r="T422" s="119" t="str">
        <f>IF(N423="","",IF(R422&lt;16,IF(Q422&gt;3200,IF(R422,IF(Q422&lt;5240,"Pass","Fail"),"Fail"),"Fail")))</f>
        <v>Pass</v>
      </c>
      <c r="U422" s="120">
        <v>1340</v>
      </c>
      <c r="V422" s="11" t="s">
        <v>200</v>
      </c>
      <c r="X422" s="116">
        <v>4200</v>
      </c>
      <c r="Y422" s="116">
        <v>5500</v>
      </c>
      <c r="Z422" s="116">
        <v>3200</v>
      </c>
      <c r="AA422" s="116">
        <v>5240</v>
      </c>
      <c r="AB422" s="31">
        <v>16</v>
      </c>
      <c r="AC422" s="31">
        <v>16</v>
      </c>
    </row>
    <row r="423" spans="1:29" ht="15.6" x14ac:dyDescent="0.3">
      <c r="A423"/>
      <c r="B423" s="24"/>
      <c r="C423" s="6"/>
      <c r="D423" s="6"/>
      <c r="E423" s="61" t="s">
        <v>187</v>
      </c>
      <c r="F423" s="8">
        <v>24461.57</v>
      </c>
      <c r="G423" s="8">
        <v>24741.42</v>
      </c>
      <c r="H423" s="8">
        <v>24814.720000000001</v>
      </c>
      <c r="I423" s="8">
        <v>24709.56</v>
      </c>
      <c r="J423" s="8">
        <v>24387.67</v>
      </c>
      <c r="K423" s="8">
        <v>24462.87</v>
      </c>
      <c r="L423" s="8">
        <v>24738.31</v>
      </c>
      <c r="M423" s="8">
        <v>24707.65</v>
      </c>
      <c r="N423" s="8">
        <v>24350.03</v>
      </c>
      <c r="O423" s="61"/>
      <c r="P423" s="61"/>
      <c r="Q423" s="62"/>
      <c r="R423" s="62"/>
      <c r="S423" s="139"/>
      <c r="T423" s="5"/>
      <c r="U423" s="140"/>
      <c r="X423" s="118"/>
      <c r="Y423" s="118"/>
      <c r="Z423" s="118"/>
      <c r="AA423" s="118"/>
    </row>
    <row r="424" spans="1:29" ht="23.4" thickBot="1" x14ac:dyDescent="0.35">
      <c r="A424"/>
      <c r="B424" s="24"/>
      <c r="C424" s="6"/>
      <c r="D424" s="6"/>
      <c r="E424" s="61" t="s">
        <v>188</v>
      </c>
      <c r="F424" s="40">
        <f t="shared" ref="F424:N424" si="136">IF(((F422="")*AND(F423="")),"",(F422-F423)*3)</f>
        <v>4907.8799999999974</v>
      </c>
      <c r="G424" s="40">
        <f t="shared" si="136"/>
        <v>4473.1200000000026</v>
      </c>
      <c r="H424" s="40">
        <f t="shared" si="136"/>
        <v>4352.1599999999926</v>
      </c>
      <c r="I424" s="40">
        <f t="shared" si="136"/>
        <v>4433.8799999999974</v>
      </c>
      <c r="J424" s="40">
        <f t="shared" si="136"/>
        <v>4860.3600000000079</v>
      </c>
      <c r="K424" s="40">
        <f t="shared" si="136"/>
        <v>4883.7900000000009</v>
      </c>
      <c r="L424" s="40">
        <f t="shared" si="136"/>
        <v>4454.8199999999961</v>
      </c>
      <c r="M424" s="40">
        <f t="shared" si="136"/>
        <v>4447.8299999999908</v>
      </c>
      <c r="N424" s="40">
        <f t="shared" si="136"/>
        <v>4876.6800000000039</v>
      </c>
      <c r="O424" s="61"/>
      <c r="P424" s="61"/>
      <c r="Q424" s="62"/>
      <c r="R424" s="62"/>
      <c r="S424" s="139"/>
      <c r="T424" s="5"/>
      <c r="U424" s="140"/>
      <c r="X424" s="118"/>
      <c r="Y424" s="118"/>
      <c r="Z424" s="118"/>
      <c r="AA424" s="118"/>
    </row>
    <row r="425" spans="1:29" x14ac:dyDescent="0.25">
      <c r="A425" s="210">
        <v>43300</v>
      </c>
      <c r="B425" s="218" t="s">
        <v>174</v>
      </c>
      <c r="C425" s="6" t="s">
        <v>176</v>
      </c>
      <c r="D425" s="44" t="s">
        <v>175</v>
      </c>
      <c r="E425" s="61" t="s">
        <v>186</v>
      </c>
      <c r="F425" s="8">
        <v>5116.29</v>
      </c>
      <c r="G425" s="8">
        <v>5012.55</v>
      </c>
      <c r="H425" s="8">
        <v>5005.78</v>
      </c>
      <c r="I425" s="8">
        <v>4978.3500000000004</v>
      </c>
      <c r="J425" s="8">
        <v>5139.6099999999997</v>
      </c>
      <c r="K425" s="8">
        <v>5143.5</v>
      </c>
      <c r="L425" s="8">
        <v>4991.16</v>
      </c>
      <c r="M425" s="8">
        <v>4987.38</v>
      </c>
      <c r="N425" s="8">
        <v>5139.2</v>
      </c>
      <c r="O425" s="61">
        <f>IF((N426=""),"",MAX(F427:N427))</f>
        <v>4029.9400000000005</v>
      </c>
      <c r="P425" s="61">
        <f>IF(N426="","",MIN(F427:N427))</f>
        <v>3667.5600000000004</v>
      </c>
      <c r="Q425" s="62">
        <f>IF((N427=""),"",AVERAGE(F427:N427))</f>
        <v>3893.6244444444446</v>
      </c>
      <c r="R425" s="62">
        <f>IF((N426=""),"",(O425-P425)/(O425+P425)*100)</f>
        <v>4.7077622604741807</v>
      </c>
      <c r="S425" s="113">
        <f>STDEV(F427:N427)</f>
        <v>124.95314272869574</v>
      </c>
      <c r="T425" s="5" t="str">
        <f>IF(N426="","",IF(Q425&gt;3650,IF(R425&lt;7,IF(Q425&lt;4450,"Pass","Fail"),"Fail"),"Fail"))</f>
        <v>Pass</v>
      </c>
      <c r="U425" s="140">
        <v>1340</v>
      </c>
      <c r="V425" s="11" t="s">
        <v>200</v>
      </c>
      <c r="X425" s="116">
        <v>3650</v>
      </c>
      <c r="Y425" s="116">
        <v>4450</v>
      </c>
      <c r="Z425" s="116">
        <v>3700</v>
      </c>
      <c r="AA425" s="116">
        <v>4100</v>
      </c>
      <c r="AB425" s="31">
        <v>7</v>
      </c>
      <c r="AC425" s="31">
        <v>6.5</v>
      </c>
    </row>
    <row r="426" spans="1:29" ht="15.6" x14ac:dyDescent="0.3">
      <c r="A426"/>
      <c r="B426" s="24"/>
      <c r="C426" s="6"/>
      <c r="D426" s="6"/>
      <c r="E426" s="61" t="s">
        <v>187</v>
      </c>
      <c r="F426" s="8">
        <v>3225.39</v>
      </c>
      <c r="G426" s="8">
        <v>3027.47</v>
      </c>
      <c r="H426" s="8">
        <v>2997.41</v>
      </c>
      <c r="I426" s="8">
        <v>2993.22</v>
      </c>
      <c r="J426" s="8">
        <v>3248.75</v>
      </c>
      <c r="K426" s="8">
        <v>3309.72</v>
      </c>
      <c r="L426" s="8">
        <v>3016.98</v>
      </c>
      <c r="M426" s="8">
        <v>2972.41</v>
      </c>
      <c r="N426" s="8">
        <v>3201.16</v>
      </c>
      <c r="O426" s="61"/>
      <c r="P426" s="61"/>
      <c r="Q426" s="62"/>
      <c r="R426" s="62"/>
      <c r="S426" s="139"/>
      <c r="T426" s="5"/>
      <c r="U426" s="140"/>
      <c r="X426" s="118"/>
      <c r="Y426" s="118"/>
      <c r="Z426" s="118"/>
      <c r="AA426" s="118"/>
    </row>
    <row r="427" spans="1:29" ht="22.8" x14ac:dyDescent="0.3">
      <c r="A427"/>
      <c r="B427" s="24"/>
      <c r="C427" s="6"/>
      <c r="D427" s="6"/>
      <c r="E427" s="61" t="s">
        <v>188</v>
      </c>
      <c r="F427" s="40">
        <f t="shared" ref="F427:N427" si="137">IF(((F425="")*AND(F426="")),"",(F425-F426)*2)</f>
        <v>3781.8</v>
      </c>
      <c r="G427" s="40">
        <f t="shared" si="137"/>
        <v>3970.1600000000008</v>
      </c>
      <c r="H427" s="40">
        <f t="shared" si="137"/>
        <v>4016.74</v>
      </c>
      <c r="I427" s="40">
        <f t="shared" si="137"/>
        <v>3970.2600000000011</v>
      </c>
      <c r="J427" s="40">
        <f t="shared" si="137"/>
        <v>3781.7199999999993</v>
      </c>
      <c r="K427" s="40">
        <f t="shared" si="137"/>
        <v>3667.5600000000004</v>
      </c>
      <c r="L427" s="40">
        <f t="shared" si="137"/>
        <v>3948.3599999999997</v>
      </c>
      <c r="M427" s="40">
        <f t="shared" si="137"/>
        <v>4029.9400000000005</v>
      </c>
      <c r="N427" s="40">
        <f t="shared" si="137"/>
        <v>3876.08</v>
      </c>
      <c r="O427" s="61"/>
      <c r="P427" s="61"/>
      <c r="Q427" s="62"/>
      <c r="R427" s="62"/>
      <c r="S427" s="139"/>
      <c r="T427" s="5"/>
      <c r="U427" s="140"/>
      <c r="X427" s="118"/>
      <c r="Y427" s="118"/>
      <c r="Z427" s="118"/>
      <c r="AA427" s="118"/>
    </row>
    <row r="428" spans="1:29" x14ac:dyDescent="0.25">
      <c r="A428" s="210">
        <v>43300</v>
      </c>
      <c r="B428" s="215" t="s">
        <v>169</v>
      </c>
      <c r="C428" s="6" t="s">
        <v>171</v>
      </c>
      <c r="D428" s="6" t="s">
        <v>189</v>
      </c>
      <c r="E428" s="61" t="s">
        <v>186</v>
      </c>
      <c r="F428" s="8">
        <v>1251.57</v>
      </c>
      <c r="G428" s="8">
        <v>1252.6400000000001</v>
      </c>
      <c r="H428" s="8">
        <v>1255</v>
      </c>
      <c r="I428" s="8">
        <v>1257.29</v>
      </c>
      <c r="J428" s="8">
        <v>1265.6400000000001</v>
      </c>
      <c r="K428" s="8">
        <v>1257.28</v>
      </c>
      <c r="L428" s="8">
        <v>1258.96</v>
      </c>
      <c r="M428" s="8">
        <v>1252.24</v>
      </c>
      <c r="N428" s="8">
        <v>1255.83</v>
      </c>
      <c r="O428" s="61">
        <f>IF((N429=""),"",MAX(F430:N430))</f>
        <v>2063.16</v>
      </c>
      <c r="P428" s="61">
        <f>IF(N429="","",MIN(F430:N430))</f>
        <v>1993.9500000000003</v>
      </c>
      <c r="Q428" s="62">
        <f>IF((N430=""),"",AVERAGE(F430:N430))</f>
        <v>2032.5033333333331</v>
      </c>
      <c r="R428" s="62">
        <f>IF((N429=""),"",(O428-P428)/(O428+P428)*100)</f>
        <v>1.7058940970296488</v>
      </c>
      <c r="S428" s="113">
        <f>STDEV(F430:N430)</f>
        <v>24.414523853640819</v>
      </c>
      <c r="T428" s="5" t="str">
        <f>IF(N429="","",IF(Q428&gt;1940,IF(R428&lt;8.3,IF(Q428&lt;2180,"Pass","Fail"),"Fail"),"Fail"))</f>
        <v>Pass</v>
      </c>
      <c r="U428" s="140">
        <v>1340</v>
      </c>
      <c r="V428" s="11" t="s">
        <v>200</v>
      </c>
      <c r="X428" s="116">
        <v>2000</v>
      </c>
      <c r="Y428" s="116">
        <v>3000</v>
      </c>
      <c r="Z428" s="116">
        <v>1940</v>
      </c>
      <c r="AA428" s="116">
        <v>2180</v>
      </c>
      <c r="AB428" s="31">
        <v>5.2</v>
      </c>
      <c r="AC428" s="31">
        <v>5.2</v>
      </c>
    </row>
    <row r="429" spans="1:29" ht="15.6" x14ac:dyDescent="0.3">
      <c r="A429"/>
      <c r="B429" s="24"/>
      <c r="C429" s="6"/>
      <c r="D429" s="6"/>
      <c r="E429" s="61" t="s">
        <v>187</v>
      </c>
      <c r="F429" s="8">
        <v>576.54</v>
      </c>
      <c r="G429" s="8">
        <v>568.9</v>
      </c>
      <c r="H429" s="8">
        <v>567.70000000000005</v>
      </c>
      <c r="I429" s="8">
        <v>577.80999999999995</v>
      </c>
      <c r="J429" s="8">
        <v>600.99</v>
      </c>
      <c r="K429" s="8">
        <v>587.62</v>
      </c>
      <c r="L429" s="8">
        <v>579.47</v>
      </c>
      <c r="M429" s="8">
        <v>564.52</v>
      </c>
      <c r="N429" s="8">
        <v>585.39</v>
      </c>
      <c r="O429" s="61"/>
      <c r="P429" s="61"/>
      <c r="Q429" s="62"/>
      <c r="R429" s="62"/>
      <c r="S429" s="139"/>
      <c r="T429" s="5"/>
      <c r="U429" s="140"/>
      <c r="X429" s="118"/>
      <c r="Y429" s="118"/>
      <c r="Z429" s="118"/>
      <c r="AA429" s="118"/>
    </row>
    <row r="430" spans="1:29" ht="38.25" customHeight="1" thickBot="1" x14ac:dyDescent="0.35">
      <c r="A430"/>
      <c r="B430" s="63"/>
      <c r="C430" s="64"/>
      <c r="D430" s="64"/>
      <c r="E430" s="65" t="s">
        <v>190</v>
      </c>
      <c r="F430" s="53">
        <f t="shared" ref="F430:N430" si="138">IF(((F428="")*AND(F429="")),"",(F428-F429)*3)</f>
        <v>2025.09</v>
      </c>
      <c r="G430" s="53">
        <f t="shared" si="138"/>
        <v>2051.2200000000003</v>
      </c>
      <c r="H430" s="53">
        <f t="shared" si="138"/>
        <v>2061.8999999999996</v>
      </c>
      <c r="I430" s="53">
        <f t="shared" si="138"/>
        <v>2038.44</v>
      </c>
      <c r="J430" s="53">
        <f t="shared" si="138"/>
        <v>1993.9500000000003</v>
      </c>
      <c r="K430" s="53">
        <f t="shared" si="138"/>
        <v>2008.98</v>
      </c>
      <c r="L430" s="53">
        <f t="shared" si="138"/>
        <v>2038.47</v>
      </c>
      <c r="M430" s="53">
        <f t="shared" si="138"/>
        <v>2063.16</v>
      </c>
      <c r="N430" s="53">
        <f t="shared" si="138"/>
        <v>2011.3199999999997</v>
      </c>
      <c r="O430" s="65"/>
      <c r="P430" s="65"/>
      <c r="Q430" s="66"/>
      <c r="R430" s="66"/>
      <c r="S430" s="142"/>
      <c r="T430" s="143"/>
      <c r="U430" s="144"/>
      <c r="X430" s="118"/>
      <c r="Y430" s="118"/>
      <c r="Z430" s="118"/>
      <c r="AA430" s="118"/>
    </row>
    <row r="431" spans="1:29" x14ac:dyDescent="0.25">
      <c r="A431" s="207">
        <v>43303</v>
      </c>
      <c r="B431" s="219" t="s">
        <v>185</v>
      </c>
      <c r="C431" s="39" t="s">
        <v>173</v>
      </c>
      <c r="D431" s="39" t="s">
        <v>172</v>
      </c>
      <c r="E431" s="41" t="s">
        <v>186</v>
      </c>
      <c r="F431" s="111">
        <v>24402.95</v>
      </c>
      <c r="G431" s="111">
        <v>24687.21</v>
      </c>
      <c r="H431" s="111">
        <v>24754.78</v>
      </c>
      <c r="I431" s="111">
        <v>24660</v>
      </c>
      <c r="J431" s="111">
        <v>24331.75</v>
      </c>
      <c r="K431" s="111">
        <v>24414.6</v>
      </c>
      <c r="L431" s="111">
        <v>24681.42</v>
      </c>
      <c r="M431" s="111">
        <v>24643.29</v>
      </c>
      <c r="N431" s="111">
        <v>24284.78</v>
      </c>
      <c r="O431" s="41">
        <f>IF((N432=""),"",MAX(F433:N433))</f>
        <v>4724.9699999999939</v>
      </c>
      <c r="P431" s="41">
        <f>IF(N432="","",MIN(F433:N433))</f>
        <v>4151.7599999999948</v>
      </c>
      <c r="Q431" s="42">
        <f>IF((N433=""),"",AVERAGE(F433:N433))</f>
        <v>4405.1566666666631</v>
      </c>
      <c r="R431" s="42">
        <f>IF((N432=""),"",(O431-P431)/(O431+P431)*100)</f>
        <v>6.4574454782335362</v>
      </c>
      <c r="S431" s="113">
        <f>STDEV(F433:N433)</f>
        <v>234.3638397876264</v>
      </c>
      <c r="T431" s="119" t="s">
        <v>201</v>
      </c>
      <c r="U431" s="120">
        <v>1335</v>
      </c>
      <c r="V431" s="173"/>
      <c r="W431" s="11"/>
      <c r="X431" s="116">
        <v>4200</v>
      </c>
      <c r="Y431" s="116">
        <v>5500</v>
      </c>
      <c r="Z431" s="116">
        <v>3200</v>
      </c>
      <c r="AA431" s="116">
        <v>5240</v>
      </c>
      <c r="AB431" s="31">
        <v>16</v>
      </c>
      <c r="AC431" s="31">
        <v>16</v>
      </c>
    </row>
    <row r="432" spans="1:29" ht="15.6" x14ac:dyDescent="0.3">
      <c r="A432"/>
      <c r="B432" s="24"/>
      <c r="C432" s="6"/>
      <c r="D432" s="6"/>
      <c r="E432" s="61" t="s">
        <v>187</v>
      </c>
      <c r="F432" s="8">
        <v>22848.59</v>
      </c>
      <c r="G432" s="8">
        <v>23270.04</v>
      </c>
      <c r="H432" s="8">
        <v>23370.86</v>
      </c>
      <c r="I432" s="8">
        <v>23255.55</v>
      </c>
      <c r="J432" s="8">
        <v>22785.18</v>
      </c>
      <c r="K432" s="8">
        <v>22896.45</v>
      </c>
      <c r="L432" s="8">
        <v>23286.2</v>
      </c>
      <c r="M432" s="8">
        <v>23222.65</v>
      </c>
      <c r="N432" s="8">
        <v>22709.79</v>
      </c>
      <c r="O432" s="61"/>
      <c r="P432" s="61"/>
      <c r="Q432" s="62"/>
      <c r="R432" s="62"/>
      <c r="S432" s="139"/>
      <c r="T432" s="5"/>
      <c r="U432" s="140"/>
      <c r="V432" s="173"/>
      <c r="W432" s="11"/>
      <c r="X432" s="118"/>
      <c r="Y432" s="118"/>
      <c r="Z432" s="118"/>
      <c r="AA432" s="118"/>
    </row>
    <row r="433" spans="1:29" ht="23.4" thickBot="1" x14ac:dyDescent="0.35">
      <c r="A433"/>
      <c r="B433" s="24"/>
      <c r="C433" s="6"/>
      <c r="D433" s="6"/>
      <c r="E433" s="61" t="s">
        <v>188</v>
      </c>
      <c r="F433" s="40">
        <f t="shared" ref="F433:N433" si="139">IF(((F431="")*AND(F432="")),"",(F431-F432)*3)</f>
        <v>4663.0800000000017</v>
      </c>
      <c r="G433" s="40">
        <f t="shared" si="139"/>
        <v>4251.5099999999948</v>
      </c>
      <c r="H433" s="40">
        <f t="shared" si="139"/>
        <v>4151.7599999999948</v>
      </c>
      <c r="I433" s="40">
        <f t="shared" si="139"/>
        <v>4213.3500000000022</v>
      </c>
      <c r="J433" s="40">
        <f t="shared" si="139"/>
        <v>4639.7099999999991</v>
      </c>
      <c r="K433" s="40">
        <f t="shared" si="139"/>
        <v>4554.4499999999935</v>
      </c>
      <c r="L433" s="40">
        <f t="shared" si="139"/>
        <v>4185.6599999999926</v>
      </c>
      <c r="M433" s="40">
        <f t="shared" si="139"/>
        <v>4261.9199999999983</v>
      </c>
      <c r="N433" s="40">
        <f t="shared" si="139"/>
        <v>4724.9699999999939</v>
      </c>
      <c r="O433" s="61"/>
      <c r="P433" s="61"/>
      <c r="Q433" s="62"/>
      <c r="R433" s="62"/>
      <c r="S433" s="139"/>
      <c r="T433" s="5"/>
      <c r="U433" s="140"/>
      <c r="V433" s="173"/>
      <c r="W433" s="11"/>
      <c r="X433" s="118"/>
      <c r="Y433" s="118"/>
      <c r="Z433" s="118"/>
      <c r="AA433" s="118"/>
    </row>
    <row r="434" spans="1:29" x14ac:dyDescent="0.25">
      <c r="A434" s="210">
        <v>43303</v>
      </c>
      <c r="B434" s="218" t="s">
        <v>174</v>
      </c>
      <c r="C434" s="6" t="s">
        <v>176</v>
      </c>
      <c r="D434" s="44" t="s">
        <v>175</v>
      </c>
      <c r="E434" s="61" t="s">
        <v>186</v>
      </c>
      <c r="F434" s="8">
        <v>6881.74</v>
      </c>
      <c r="G434" s="8">
        <v>6882.58</v>
      </c>
      <c r="H434" s="8">
        <v>6908.7</v>
      </c>
      <c r="I434" s="8">
        <v>6850.94</v>
      </c>
      <c r="J434" s="8">
        <v>6901.1</v>
      </c>
      <c r="K434" s="8">
        <v>6848.49</v>
      </c>
      <c r="L434" s="8">
        <v>6855.21</v>
      </c>
      <c r="M434" s="8">
        <v>6891</v>
      </c>
      <c r="N434" s="8">
        <v>6955.99</v>
      </c>
      <c r="O434" s="61">
        <f>IF((N435=""),"",MAX(F436:N436))</f>
        <v>4007.6200000000008</v>
      </c>
      <c r="P434" s="61">
        <f>IF(N435="","",MIN(F436:N436))</f>
        <v>3649.3199999999997</v>
      </c>
      <c r="Q434" s="62">
        <f>IF((N436=""),"",AVERAGE(F436:N436))</f>
        <v>3880.3199999999997</v>
      </c>
      <c r="R434" s="62">
        <f>IF((N435=""),"",(O434-P434)/(O434+P434)*100)</f>
        <v>4.6794150143530064</v>
      </c>
      <c r="S434" s="113">
        <f>STDEV(F436:N436)</f>
        <v>123.55814946817542</v>
      </c>
      <c r="T434" s="5" t="s">
        <v>202</v>
      </c>
      <c r="U434" s="140">
        <v>1335</v>
      </c>
      <c r="V434" s="173"/>
      <c r="W434" s="11"/>
      <c r="X434" s="116">
        <v>3650</v>
      </c>
      <c r="Y434" s="116">
        <v>4450</v>
      </c>
      <c r="Z434" s="116">
        <v>3700</v>
      </c>
      <c r="AA434" s="116">
        <v>4100</v>
      </c>
      <c r="AB434" s="31">
        <v>7</v>
      </c>
      <c r="AC434" s="31">
        <v>6.5</v>
      </c>
    </row>
    <row r="435" spans="1:29" ht="15.6" x14ac:dyDescent="0.3">
      <c r="A435"/>
      <c r="B435" s="24"/>
      <c r="C435" s="6"/>
      <c r="D435" s="6"/>
      <c r="E435" s="61" t="s">
        <v>187</v>
      </c>
      <c r="F435" s="8">
        <v>4985</v>
      </c>
      <c r="G435" s="8">
        <v>4899.9399999999996</v>
      </c>
      <c r="H435" s="8">
        <v>4907.63</v>
      </c>
      <c r="I435" s="8">
        <v>4879.01</v>
      </c>
      <c r="J435" s="8">
        <v>5024.1899999999996</v>
      </c>
      <c r="K435" s="8">
        <v>5023.83</v>
      </c>
      <c r="L435" s="8">
        <v>4888.22</v>
      </c>
      <c r="M435" s="8">
        <v>4887.1899999999996</v>
      </c>
      <c r="N435" s="8">
        <v>5019.3</v>
      </c>
      <c r="O435" s="61"/>
      <c r="P435" s="61"/>
      <c r="Q435" s="62"/>
      <c r="R435" s="62"/>
      <c r="S435" s="139"/>
      <c r="T435" s="5"/>
      <c r="U435" s="140"/>
      <c r="V435" s="173"/>
      <c r="W435" s="11"/>
      <c r="X435" s="118"/>
      <c r="Y435" s="118"/>
      <c r="Z435" s="118"/>
      <c r="AA435" s="118"/>
    </row>
    <row r="436" spans="1:29" ht="22.8" x14ac:dyDescent="0.3">
      <c r="A436"/>
      <c r="B436" s="24"/>
      <c r="C436" s="6"/>
      <c r="D436" s="6"/>
      <c r="E436" s="61" t="s">
        <v>188</v>
      </c>
      <c r="F436" s="40">
        <f t="shared" ref="F436:N436" si="140">IF(((F434="")*AND(F435="")),"",(F434-F435)*2)</f>
        <v>3793.4799999999996</v>
      </c>
      <c r="G436" s="40">
        <f t="shared" si="140"/>
        <v>3965.2800000000007</v>
      </c>
      <c r="H436" s="40">
        <f t="shared" si="140"/>
        <v>4002.1399999999994</v>
      </c>
      <c r="I436" s="40">
        <f t="shared" si="140"/>
        <v>3943.8599999999988</v>
      </c>
      <c r="J436" s="40">
        <f t="shared" si="140"/>
        <v>3753.8200000000015</v>
      </c>
      <c r="K436" s="40">
        <f t="shared" si="140"/>
        <v>3649.3199999999997</v>
      </c>
      <c r="L436" s="40">
        <f t="shared" si="140"/>
        <v>3933.9799999999996</v>
      </c>
      <c r="M436" s="40">
        <f t="shared" si="140"/>
        <v>4007.6200000000008</v>
      </c>
      <c r="N436" s="40">
        <f t="shared" si="140"/>
        <v>3873.3799999999992</v>
      </c>
      <c r="O436" s="61"/>
      <c r="P436" s="61"/>
      <c r="Q436" s="62"/>
      <c r="R436" s="62"/>
      <c r="S436" s="139"/>
      <c r="T436" s="5"/>
      <c r="U436" s="140"/>
      <c r="V436" s="173"/>
      <c r="W436" s="11"/>
      <c r="X436" s="118"/>
      <c r="Y436" s="118"/>
      <c r="Z436" s="118"/>
      <c r="AA436" s="118"/>
    </row>
    <row r="437" spans="1:29" x14ac:dyDescent="0.25">
      <c r="A437" s="210">
        <v>43303</v>
      </c>
      <c r="B437" s="215" t="s">
        <v>169</v>
      </c>
      <c r="C437" s="6" t="s">
        <v>171</v>
      </c>
      <c r="D437" s="6" t="s">
        <v>189</v>
      </c>
      <c r="E437" s="61" t="s">
        <v>186</v>
      </c>
      <c r="F437" s="8">
        <v>1145.58</v>
      </c>
      <c r="G437" s="8">
        <v>1216.2</v>
      </c>
      <c r="H437" s="8">
        <v>1255.3699999999999</v>
      </c>
      <c r="I437" s="8">
        <v>1239.97</v>
      </c>
      <c r="J437" s="8">
        <v>1185.73</v>
      </c>
      <c r="K437" s="8">
        <v>1183.02</v>
      </c>
      <c r="L437" s="8">
        <v>1230.5999999999999</v>
      </c>
      <c r="M437" s="8">
        <v>1227.44</v>
      </c>
      <c r="N437" s="8">
        <v>1157.48</v>
      </c>
      <c r="O437" s="61">
        <f>IF((N438=""),"",MAX(F439:N439))</f>
        <v>2172.4499999999998</v>
      </c>
      <c r="P437" s="61">
        <f>IF(N438="","",MIN(F439:N439))</f>
        <v>1959.69</v>
      </c>
      <c r="Q437" s="62">
        <f>IF((N439=""),"",AVERAGE(F439:N439))</f>
        <v>2060.21</v>
      </c>
      <c r="R437" s="62">
        <f>IF((N438=""),"",(O437-P437)/(O437+P437)*100)</f>
        <v>5.1489058937983661</v>
      </c>
      <c r="S437" s="113">
        <f>STDEV(F439:N439)</f>
        <v>60.2176396498567</v>
      </c>
      <c r="T437" s="5" t="s">
        <v>201</v>
      </c>
      <c r="U437" s="140">
        <v>1335</v>
      </c>
      <c r="V437" s="173"/>
      <c r="W437" s="11"/>
      <c r="X437" s="116">
        <v>2000</v>
      </c>
      <c r="Y437" s="116">
        <v>3000</v>
      </c>
      <c r="Z437" s="116">
        <v>1940</v>
      </c>
      <c r="AA437" s="116">
        <v>2180</v>
      </c>
      <c r="AB437" s="31">
        <v>5.2</v>
      </c>
      <c r="AC437" s="31">
        <v>5.2</v>
      </c>
    </row>
    <row r="438" spans="1:29" ht="15.6" x14ac:dyDescent="0.3">
      <c r="A438"/>
      <c r="B438" s="24"/>
      <c r="C438" s="6"/>
      <c r="D438" s="6"/>
      <c r="E438" s="61" t="s">
        <v>187</v>
      </c>
      <c r="F438" s="8">
        <v>469.56</v>
      </c>
      <c r="G438" s="8">
        <v>539.44000000000005</v>
      </c>
      <c r="H438" s="8">
        <v>567.23</v>
      </c>
      <c r="I438" s="8">
        <v>541.66999999999996</v>
      </c>
      <c r="J438" s="8">
        <v>504.72</v>
      </c>
      <c r="K438" s="8">
        <v>458.87</v>
      </c>
      <c r="L438" s="8">
        <v>527.41999999999996</v>
      </c>
      <c r="M438" s="8">
        <v>547.6</v>
      </c>
      <c r="N438" s="8">
        <v>504.25</v>
      </c>
      <c r="O438" s="61"/>
      <c r="P438" s="61"/>
      <c r="Q438" s="62"/>
      <c r="R438" s="62"/>
      <c r="S438" s="139"/>
      <c r="T438" s="5"/>
      <c r="U438" s="140"/>
      <c r="V438" s="173"/>
      <c r="W438" s="11"/>
      <c r="X438" s="118"/>
      <c r="Y438" s="118"/>
      <c r="Z438" s="118"/>
      <c r="AA438" s="118"/>
    </row>
    <row r="439" spans="1:29" ht="32.25" customHeight="1" thickBot="1" x14ac:dyDescent="0.35">
      <c r="A439"/>
      <c r="B439" s="63"/>
      <c r="C439" s="64"/>
      <c r="D439" s="64"/>
      <c r="E439" s="65" t="s">
        <v>190</v>
      </c>
      <c r="F439" s="53">
        <f t="shared" ref="F439:N439" si="141">IF(((F437="")*AND(F438="")),"",(F437-F438)*3)</f>
        <v>2028.06</v>
      </c>
      <c r="G439" s="53">
        <f t="shared" si="141"/>
        <v>2030.28</v>
      </c>
      <c r="H439" s="53">
        <f t="shared" si="141"/>
        <v>2064.4199999999996</v>
      </c>
      <c r="I439" s="53">
        <f t="shared" si="141"/>
        <v>2094.9</v>
      </c>
      <c r="J439" s="53">
        <f t="shared" si="141"/>
        <v>2043.03</v>
      </c>
      <c r="K439" s="53">
        <f t="shared" si="141"/>
        <v>2172.4499999999998</v>
      </c>
      <c r="L439" s="53">
        <f t="shared" si="141"/>
        <v>2109.54</v>
      </c>
      <c r="M439" s="53">
        <f t="shared" si="141"/>
        <v>2039.52</v>
      </c>
      <c r="N439" s="53">
        <f t="shared" si="141"/>
        <v>1959.69</v>
      </c>
      <c r="O439" s="65"/>
      <c r="P439" s="65"/>
      <c r="Q439" s="66"/>
      <c r="R439" s="66"/>
      <c r="S439" s="142"/>
      <c r="T439" s="143"/>
      <c r="U439" s="144"/>
      <c r="V439" s="173"/>
      <c r="W439" s="11"/>
      <c r="X439" s="118"/>
      <c r="Y439" s="118"/>
      <c r="Z439" s="118"/>
      <c r="AA439" s="118"/>
    </row>
    <row r="440" spans="1:29" x14ac:dyDescent="0.25">
      <c r="A440" s="207">
        <v>43307</v>
      </c>
      <c r="B440" s="219" t="s">
        <v>185</v>
      </c>
      <c r="C440" s="39" t="s">
        <v>173</v>
      </c>
      <c r="D440" s="39" t="s">
        <v>172</v>
      </c>
      <c r="E440" s="41" t="s">
        <v>186</v>
      </c>
      <c r="F440" s="111">
        <v>29271.35</v>
      </c>
      <c r="G440" s="111">
        <v>29200.07</v>
      </c>
      <c r="H440" s="111">
        <v>29222.17</v>
      </c>
      <c r="I440" s="111">
        <v>29224.16</v>
      </c>
      <c r="J440" s="111">
        <v>29306.91</v>
      </c>
      <c r="K440" s="111">
        <v>29315.94</v>
      </c>
      <c r="L440" s="111">
        <v>29223.67</v>
      </c>
      <c r="M440" s="111">
        <v>29194.87</v>
      </c>
      <c r="N440" s="111">
        <v>29282.44</v>
      </c>
      <c r="O440" s="41">
        <f>IF((N441=""),"",MAX(F442:N442))</f>
        <v>4547.9399999999987</v>
      </c>
      <c r="P440" s="41">
        <f>IF(N441="","",MIN(F442:N442))</f>
        <v>4124.6999999999935</v>
      </c>
      <c r="Q440" s="42">
        <f>IF((N442=""),"",AVERAGE(F442:N442))</f>
        <v>4312.1499999999978</v>
      </c>
      <c r="R440" s="42">
        <f>IF((N441=""),"",(O440-P440)/(O440+P440)*100)</f>
        <v>4.8801748948417742</v>
      </c>
      <c r="S440" s="113">
        <f>STDEV(F442:N442)</f>
        <v>167.9274801067418</v>
      </c>
      <c r="T440" s="119" t="str">
        <f>IF(N441="","",IF(R440&lt;16,IF(Q440&gt;3200,IF(R440,IF(Q440&lt;5240,"Pass","Fail"),"Fail"),"Fail")))</f>
        <v>Pass</v>
      </c>
      <c r="U440" s="120">
        <v>1340</v>
      </c>
      <c r="V440" s="173"/>
      <c r="W440" s="11"/>
      <c r="X440" s="116">
        <v>4200</v>
      </c>
      <c r="Y440" s="116">
        <v>5500</v>
      </c>
      <c r="Z440" s="116">
        <v>3200</v>
      </c>
      <c r="AA440" s="116">
        <v>5240</v>
      </c>
      <c r="AB440" s="31">
        <v>16</v>
      </c>
      <c r="AC440" s="31">
        <v>16</v>
      </c>
    </row>
    <row r="441" spans="1:29" ht="15.6" x14ac:dyDescent="0.3">
      <c r="A441"/>
      <c r="B441" s="24"/>
      <c r="C441" s="6"/>
      <c r="D441" s="6"/>
      <c r="E441" s="61" t="s">
        <v>187</v>
      </c>
      <c r="F441" s="8">
        <v>27792.52</v>
      </c>
      <c r="G441" s="8">
        <v>27815.26</v>
      </c>
      <c r="H441" s="8">
        <v>27847.27</v>
      </c>
      <c r="I441" s="8">
        <v>27816.7</v>
      </c>
      <c r="J441" s="8">
        <v>27800.28</v>
      </c>
      <c r="K441" s="8">
        <v>27843.360000000001</v>
      </c>
      <c r="L441" s="8">
        <v>27840.41</v>
      </c>
      <c r="M441" s="8">
        <v>27782.87</v>
      </c>
      <c r="N441" s="8">
        <v>27766.46</v>
      </c>
      <c r="O441" s="61"/>
      <c r="P441" s="61"/>
      <c r="Q441" s="62"/>
      <c r="R441" s="62"/>
      <c r="S441" s="139"/>
      <c r="T441" s="5"/>
      <c r="U441" s="140"/>
      <c r="V441" s="173"/>
      <c r="W441" s="11"/>
      <c r="X441" s="118"/>
      <c r="Y441" s="118"/>
      <c r="Z441" s="118"/>
      <c r="AA441" s="118"/>
    </row>
    <row r="442" spans="1:29" ht="23.4" thickBot="1" x14ac:dyDescent="0.35">
      <c r="A442"/>
      <c r="B442" s="24"/>
      <c r="C442" s="6"/>
      <c r="D442" s="6"/>
      <c r="E442" s="61" t="s">
        <v>188</v>
      </c>
      <c r="F442" s="40">
        <f t="shared" ref="F442:N442" si="142">IF(((F440="")*AND(F441="")),"",(F440-F441)*3)</f>
        <v>4436.4899999999943</v>
      </c>
      <c r="G442" s="40">
        <f t="shared" si="142"/>
        <v>4154.4300000000039</v>
      </c>
      <c r="H442" s="40">
        <f t="shared" si="142"/>
        <v>4124.6999999999935</v>
      </c>
      <c r="I442" s="40">
        <f t="shared" si="142"/>
        <v>4222.3799999999974</v>
      </c>
      <c r="J442" s="40">
        <f t="shared" si="142"/>
        <v>4519.8900000000031</v>
      </c>
      <c r="K442" s="40">
        <f t="shared" si="142"/>
        <v>4417.7399999999943</v>
      </c>
      <c r="L442" s="40">
        <f t="shared" si="142"/>
        <v>4149.7799999999952</v>
      </c>
      <c r="M442" s="40">
        <f t="shared" si="142"/>
        <v>4236</v>
      </c>
      <c r="N442" s="40">
        <f t="shared" si="142"/>
        <v>4547.9399999999987</v>
      </c>
      <c r="O442" s="61"/>
      <c r="P442" s="61"/>
      <c r="Q442" s="62"/>
      <c r="R442" s="62"/>
      <c r="S442" s="139"/>
      <c r="T442" s="5"/>
      <c r="U442" s="140"/>
      <c r="V442" s="173"/>
      <c r="W442" s="11"/>
      <c r="X442" s="118"/>
      <c r="Y442" s="118"/>
      <c r="Z442" s="118"/>
      <c r="AA442" s="118"/>
    </row>
    <row r="443" spans="1:29" x14ac:dyDescent="0.25">
      <c r="A443" s="210">
        <v>43307</v>
      </c>
      <c r="B443" s="218" t="s">
        <v>174</v>
      </c>
      <c r="C443" s="6" t="s">
        <v>176</v>
      </c>
      <c r="D443" s="44" t="s">
        <v>175</v>
      </c>
      <c r="E443" s="61" t="s">
        <v>186</v>
      </c>
      <c r="F443" s="8">
        <v>4985</v>
      </c>
      <c r="G443" s="8">
        <v>4899.9399999999996</v>
      </c>
      <c r="H443" s="8">
        <v>4907.63</v>
      </c>
      <c r="I443" s="8">
        <v>4879.01</v>
      </c>
      <c r="J443" s="8">
        <v>5024.1899999999996</v>
      </c>
      <c r="K443" s="8">
        <v>5023.83</v>
      </c>
      <c r="L443" s="8">
        <v>4888.22</v>
      </c>
      <c r="M443" s="8">
        <v>4887.1899999999996</v>
      </c>
      <c r="N443" s="8">
        <v>5019.3</v>
      </c>
      <c r="O443" s="61">
        <f>IF((N444=""),"",MAX(F445:N445))</f>
        <v>4008.3799999999992</v>
      </c>
      <c r="P443" s="61">
        <f>IF(N444="","",MIN(F445:N445))</f>
        <v>3648.74</v>
      </c>
      <c r="Q443" s="62">
        <f>IF((N445=""),"",AVERAGE(F445:N445))</f>
        <v>3875.3399999999997</v>
      </c>
      <c r="R443" s="62">
        <f>IF((N444=""),"",(O443-P443)/(O443+P443)*100)</f>
        <v>4.6968050650897393</v>
      </c>
      <c r="S443" s="113">
        <f>STDEV(F445:N445)</f>
        <v>123.3293630892498</v>
      </c>
      <c r="T443" s="5" t="str">
        <f>IF(N444="","",IF(Q443&gt;3650,IF(R443&lt;7,IF(Q443&lt;4450,"Pass","Fail"),"Fail"),"Fail"))</f>
        <v>Pass</v>
      </c>
      <c r="U443" s="140">
        <v>1340</v>
      </c>
      <c r="V443" s="173"/>
      <c r="W443" s="11"/>
      <c r="X443" s="116">
        <v>3650</v>
      </c>
      <c r="Y443" s="116">
        <v>4450</v>
      </c>
      <c r="Z443" s="116">
        <v>3700</v>
      </c>
      <c r="AA443" s="116">
        <v>4100</v>
      </c>
      <c r="AB443" s="31">
        <v>7</v>
      </c>
      <c r="AC443" s="31">
        <v>6.5</v>
      </c>
    </row>
    <row r="444" spans="1:29" ht="15.6" x14ac:dyDescent="0.3">
      <c r="A444"/>
      <c r="B444" s="24"/>
      <c r="C444" s="6"/>
      <c r="D444" s="6"/>
      <c r="E444" s="61" t="s">
        <v>187</v>
      </c>
      <c r="F444" s="8">
        <v>3099.21</v>
      </c>
      <c r="G444" s="8">
        <v>2923.12</v>
      </c>
      <c r="H444" s="8">
        <v>2911.09</v>
      </c>
      <c r="I444" s="8">
        <v>2904.72</v>
      </c>
      <c r="J444" s="8">
        <v>3144.49</v>
      </c>
      <c r="K444" s="8">
        <v>3199.46</v>
      </c>
      <c r="L444" s="8">
        <v>2923.35</v>
      </c>
      <c r="M444" s="8">
        <v>2883</v>
      </c>
      <c r="N444" s="8">
        <v>3086.84</v>
      </c>
      <c r="O444" s="61"/>
      <c r="P444" s="61"/>
      <c r="Q444" s="62"/>
      <c r="R444" s="62"/>
      <c r="S444" s="139"/>
      <c r="T444" s="5"/>
      <c r="U444" s="140"/>
      <c r="V444" s="173"/>
      <c r="W444" s="11"/>
      <c r="X444" s="118"/>
      <c r="Y444" s="118"/>
      <c r="Z444" s="118"/>
      <c r="AA444" s="118"/>
    </row>
    <row r="445" spans="1:29" ht="22.8" x14ac:dyDescent="0.3">
      <c r="A445"/>
      <c r="B445" s="24"/>
      <c r="C445" s="6"/>
      <c r="D445" s="6"/>
      <c r="E445" s="61" t="s">
        <v>188</v>
      </c>
      <c r="F445" s="40">
        <f t="shared" ref="F445:N445" si="143">IF(((F443="")*AND(F444="")),"",(F443-F444)*2)</f>
        <v>3771.58</v>
      </c>
      <c r="G445" s="40">
        <f t="shared" si="143"/>
        <v>3953.6399999999994</v>
      </c>
      <c r="H445" s="40">
        <f t="shared" si="143"/>
        <v>3993.08</v>
      </c>
      <c r="I445" s="40">
        <f t="shared" si="143"/>
        <v>3948.5800000000008</v>
      </c>
      <c r="J445" s="40">
        <f t="shared" si="143"/>
        <v>3759.3999999999996</v>
      </c>
      <c r="K445" s="40">
        <f t="shared" si="143"/>
        <v>3648.74</v>
      </c>
      <c r="L445" s="40">
        <f t="shared" si="143"/>
        <v>3929.7400000000007</v>
      </c>
      <c r="M445" s="40">
        <f t="shared" si="143"/>
        <v>4008.3799999999992</v>
      </c>
      <c r="N445" s="40">
        <f t="shared" si="143"/>
        <v>3864.92</v>
      </c>
      <c r="O445" s="61"/>
      <c r="P445" s="61"/>
      <c r="Q445" s="62"/>
      <c r="R445" s="62"/>
      <c r="S445" s="139"/>
      <c r="T445" s="5"/>
      <c r="U445" s="140"/>
      <c r="V445" s="173"/>
      <c r="W445" s="11"/>
      <c r="X445" s="118"/>
      <c r="Y445" s="118"/>
      <c r="Z445" s="118"/>
      <c r="AA445" s="118"/>
    </row>
    <row r="446" spans="1:29" x14ac:dyDescent="0.25">
      <c r="A446" s="210">
        <v>43307</v>
      </c>
      <c r="B446" s="215" t="s">
        <v>169</v>
      </c>
      <c r="C446" s="6" t="s">
        <v>171</v>
      </c>
      <c r="D446" s="6" t="s">
        <v>189</v>
      </c>
      <c r="E446" s="61" t="s">
        <v>186</v>
      </c>
      <c r="F446" s="8">
        <v>1931.66</v>
      </c>
      <c r="G446" s="8">
        <v>1927.42</v>
      </c>
      <c r="H446" s="8">
        <v>1923.5</v>
      </c>
      <c r="I446" s="8">
        <v>1927.79</v>
      </c>
      <c r="J446" s="8">
        <v>1933.12</v>
      </c>
      <c r="K446" s="8">
        <v>1933.4</v>
      </c>
      <c r="L446" s="8">
        <v>1926.11</v>
      </c>
      <c r="M446" s="8">
        <v>1929.08</v>
      </c>
      <c r="N446" s="8">
        <v>1931.97</v>
      </c>
      <c r="O446" s="61">
        <f>IF((N447=""),"",MAX(F448:N448))</f>
        <v>2042.28</v>
      </c>
      <c r="P446" s="61">
        <f>IF(N447="","",MIN(F448:N448))</f>
        <v>1961.1899999999994</v>
      </c>
      <c r="Q446" s="62">
        <f>IF((N448=""),"",AVERAGE(F448:N448))</f>
        <v>2005.6266666666666</v>
      </c>
      <c r="R446" s="62">
        <f>IF((N447=""),"",(O446-P446)/(O446+P446)*100)</f>
        <v>2.025492884922345</v>
      </c>
      <c r="S446" s="113">
        <f>STDEV(F448:N448)</f>
        <v>24.625549740056641</v>
      </c>
      <c r="T446" s="5" t="str">
        <f>IF(N447="","",IF(Q446&gt;1940,IF(R446&lt;8.3,IF(Q446&lt;2180,"Pass","Fail"),"Fail"),"Fail"))</f>
        <v>Pass</v>
      </c>
      <c r="U446" s="140">
        <v>1340</v>
      </c>
      <c r="V446" s="173"/>
      <c r="W446" s="11"/>
      <c r="X446" s="116">
        <v>2000</v>
      </c>
      <c r="Y446" s="116">
        <v>3000</v>
      </c>
      <c r="Z446" s="116">
        <v>1940</v>
      </c>
      <c r="AA446" s="116">
        <v>2180</v>
      </c>
      <c r="AB446" s="31">
        <v>5.2</v>
      </c>
      <c r="AC446" s="31">
        <v>5.2</v>
      </c>
    </row>
    <row r="447" spans="1:29" ht="15.6" x14ac:dyDescent="0.3">
      <c r="A447"/>
      <c r="B447" s="24"/>
      <c r="C447" s="6"/>
      <c r="D447" s="6"/>
      <c r="E447" s="61" t="s">
        <v>187</v>
      </c>
      <c r="F447" s="8">
        <v>1263.6600000000001</v>
      </c>
      <c r="G447" s="8">
        <v>1252.92</v>
      </c>
      <c r="H447" s="8">
        <v>1254.26</v>
      </c>
      <c r="I447" s="8">
        <v>1253.07</v>
      </c>
      <c r="J447" s="8">
        <v>1279.3900000000001</v>
      </c>
      <c r="K447" s="8">
        <v>1271.49</v>
      </c>
      <c r="L447" s="8">
        <v>1254.24</v>
      </c>
      <c r="M447" s="8">
        <v>1248.32</v>
      </c>
      <c r="N447" s="8">
        <v>1269.82</v>
      </c>
      <c r="O447" s="61"/>
      <c r="P447" s="61"/>
      <c r="Q447" s="62"/>
      <c r="R447" s="62"/>
      <c r="S447" s="139"/>
      <c r="T447" s="5"/>
      <c r="U447" s="140"/>
      <c r="V447" s="173"/>
      <c r="W447" s="11"/>
      <c r="X447" s="118"/>
      <c r="Y447" s="118"/>
      <c r="Z447" s="118"/>
      <c r="AA447" s="118"/>
    </row>
    <row r="448" spans="1:29" ht="16.2" thickBot="1" x14ac:dyDescent="0.35">
      <c r="A448"/>
      <c r="B448" s="63"/>
      <c r="C448" s="64"/>
      <c r="D448" s="64"/>
      <c r="E448" s="65" t="s">
        <v>190</v>
      </c>
      <c r="F448" s="53">
        <f t="shared" ref="F448:N448" si="144">IF(((F446="")*AND(F447="")),"",(F446-F447)*3)</f>
        <v>2004</v>
      </c>
      <c r="G448" s="53">
        <f t="shared" si="144"/>
        <v>2023.5</v>
      </c>
      <c r="H448" s="53">
        <f t="shared" si="144"/>
        <v>2007.72</v>
      </c>
      <c r="I448" s="53">
        <f t="shared" si="144"/>
        <v>2024.16</v>
      </c>
      <c r="J448" s="53">
        <f t="shared" si="144"/>
        <v>1961.1899999999994</v>
      </c>
      <c r="K448" s="53">
        <f t="shared" si="144"/>
        <v>1985.7300000000002</v>
      </c>
      <c r="L448" s="53">
        <f t="shared" si="144"/>
        <v>2015.6099999999997</v>
      </c>
      <c r="M448" s="53">
        <f t="shared" si="144"/>
        <v>2042.28</v>
      </c>
      <c r="N448" s="53">
        <f t="shared" si="144"/>
        <v>1986.4500000000003</v>
      </c>
      <c r="O448" s="65"/>
      <c r="P448" s="65"/>
      <c r="Q448" s="66"/>
      <c r="R448" s="66"/>
      <c r="S448" s="142"/>
      <c r="T448" s="143"/>
      <c r="U448" s="144"/>
      <c r="V448" s="173"/>
      <c r="W448" s="11"/>
      <c r="X448" s="118"/>
      <c r="Y448" s="118"/>
      <c r="Z448" s="118"/>
      <c r="AA448" s="118"/>
    </row>
    <row r="449" spans="1:29" x14ac:dyDescent="0.25">
      <c r="A449" s="207">
        <v>43311</v>
      </c>
      <c r="B449" s="219" t="s">
        <v>174</v>
      </c>
      <c r="C449" s="39" t="s">
        <v>176</v>
      </c>
      <c r="D449" s="44" t="s">
        <v>175</v>
      </c>
      <c r="E449" s="41" t="s">
        <v>186</v>
      </c>
      <c r="F449" s="111">
        <v>3099.21</v>
      </c>
      <c r="G449" s="111">
        <v>2923.12</v>
      </c>
      <c r="H449" s="111">
        <v>2911.09</v>
      </c>
      <c r="I449" s="111">
        <v>2904.72</v>
      </c>
      <c r="J449" s="111">
        <v>3144.49</v>
      </c>
      <c r="K449" s="111">
        <v>3199.46</v>
      </c>
      <c r="L449" s="111">
        <v>2923.35</v>
      </c>
      <c r="M449" s="111">
        <v>2883</v>
      </c>
      <c r="N449" s="111">
        <v>3086.84</v>
      </c>
      <c r="O449" s="41">
        <f>IF((N450=""),"",MAX(F451:N451))</f>
        <v>4039.02</v>
      </c>
      <c r="P449" s="41">
        <f>IF(N450="","",MIN(F451:N451))</f>
        <v>3696.2200000000003</v>
      </c>
      <c r="Q449" s="42">
        <f>IF((N451=""),"",AVERAGE(F451:N451))</f>
        <v>3915.3200000000006</v>
      </c>
      <c r="R449" s="42">
        <f>IF((N450=""),"",(O449-P449)/(O449+P449)*100)</f>
        <v>4.4316659858000493</v>
      </c>
      <c r="S449" s="113">
        <f>STDEV(F451:N451)</f>
        <v>118.76184783001648</v>
      </c>
      <c r="T449" s="119" t="str">
        <f>IF(N450="","",IF(Q449&gt;3650,IF(R449&lt;7,IF(Q449&lt;4450,"Pass","Fail"),"Fail"),"Fail"))</f>
        <v>Pass</v>
      </c>
      <c r="U449" s="145">
        <v>1340</v>
      </c>
      <c r="V449" s="127"/>
      <c r="W449" s="11"/>
      <c r="X449" s="116">
        <v>3650</v>
      </c>
      <c r="Y449" s="116">
        <v>4450</v>
      </c>
      <c r="Z449" s="116">
        <v>3700</v>
      </c>
      <c r="AA449" s="116">
        <v>4100</v>
      </c>
      <c r="AB449" s="31">
        <v>7</v>
      </c>
      <c r="AC449" s="31">
        <v>6.5</v>
      </c>
    </row>
    <row r="450" spans="1:29" ht="15.6" x14ac:dyDescent="0.3">
      <c r="A450"/>
      <c r="B450" s="24"/>
      <c r="C450" s="6"/>
      <c r="D450" s="6"/>
      <c r="E450" s="61" t="s">
        <v>187</v>
      </c>
      <c r="F450" s="8">
        <v>1194.25</v>
      </c>
      <c r="G450" s="8">
        <v>927.99</v>
      </c>
      <c r="H450" s="8">
        <v>894.3</v>
      </c>
      <c r="I450" s="8">
        <v>911.5</v>
      </c>
      <c r="J450" s="8">
        <v>1238.04</v>
      </c>
      <c r="K450" s="8">
        <v>1351.35</v>
      </c>
      <c r="L450" s="8">
        <v>938.24</v>
      </c>
      <c r="M450" s="8">
        <v>863.49</v>
      </c>
      <c r="N450" s="8">
        <v>1137.18</v>
      </c>
      <c r="O450" s="61"/>
      <c r="P450" s="61"/>
      <c r="Q450" s="62"/>
      <c r="R450" s="62"/>
      <c r="S450" s="139"/>
      <c r="T450" s="8"/>
      <c r="U450" s="146"/>
      <c r="V450" s="127"/>
      <c r="W450" s="11"/>
      <c r="X450" s="118"/>
      <c r="Y450" s="118"/>
      <c r="Z450" s="118"/>
      <c r="AA450" s="118"/>
    </row>
    <row r="451" spans="1:29" ht="22.8" x14ac:dyDescent="0.3">
      <c r="A451"/>
      <c r="B451" s="24"/>
      <c r="C451" s="6"/>
      <c r="D451" s="6"/>
      <c r="E451" s="61" t="s">
        <v>188</v>
      </c>
      <c r="F451" s="40">
        <f t="shared" ref="F451:N451" si="145">IF(((F449="")*AND(F450="")),"",(F449-F450)*2)</f>
        <v>3809.92</v>
      </c>
      <c r="G451" s="40">
        <f t="shared" si="145"/>
        <v>3990.2599999999998</v>
      </c>
      <c r="H451" s="40">
        <f t="shared" si="145"/>
        <v>4033.5800000000004</v>
      </c>
      <c r="I451" s="40">
        <f t="shared" si="145"/>
        <v>3986.4399999999996</v>
      </c>
      <c r="J451" s="40">
        <f t="shared" si="145"/>
        <v>3812.8999999999996</v>
      </c>
      <c r="K451" s="40">
        <f t="shared" si="145"/>
        <v>3696.2200000000003</v>
      </c>
      <c r="L451" s="40">
        <f t="shared" si="145"/>
        <v>3970.22</v>
      </c>
      <c r="M451" s="40">
        <f t="shared" si="145"/>
        <v>4039.02</v>
      </c>
      <c r="N451" s="40">
        <f t="shared" si="145"/>
        <v>3899.32</v>
      </c>
      <c r="O451" s="61"/>
      <c r="P451" s="61"/>
      <c r="Q451" s="62"/>
      <c r="R451" s="62"/>
      <c r="S451" s="139"/>
      <c r="T451" s="8"/>
      <c r="U451" s="146"/>
      <c r="V451" s="127"/>
      <c r="W451" s="11"/>
      <c r="X451" s="118"/>
      <c r="Y451" s="118"/>
      <c r="Z451" s="118"/>
      <c r="AA451" s="118"/>
    </row>
    <row r="452" spans="1:29" x14ac:dyDescent="0.25">
      <c r="A452" s="210">
        <v>43311</v>
      </c>
      <c r="B452" s="215" t="s">
        <v>169</v>
      </c>
      <c r="C452" s="6" t="s">
        <v>171</v>
      </c>
      <c r="D452" s="6" t="s">
        <v>189</v>
      </c>
      <c r="E452" s="61" t="s">
        <v>186</v>
      </c>
      <c r="F452" s="8">
        <v>1263.6600000000001</v>
      </c>
      <c r="G452" s="8">
        <v>1252.92</v>
      </c>
      <c r="H452" s="8">
        <v>1254.26</v>
      </c>
      <c r="I452" s="8">
        <v>1253.07</v>
      </c>
      <c r="J452" s="8">
        <v>1279.3900000000001</v>
      </c>
      <c r="K452" s="8">
        <v>1271.49</v>
      </c>
      <c r="L452" s="8">
        <v>1254.24</v>
      </c>
      <c r="M452" s="8">
        <v>1248.32</v>
      </c>
      <c r="N452" s="8">
        <v>1269.82</v>
      </c>
      <c r="O452" s="61">
        <f>IF((N453=""),"",MAX(F454:N454))</f>
        <v>2063.25</v>
      </c>
      <c r="P452" s="61">
        <f>IF(N453="","",MIN(F454:N454))</f>
        <v>1974.0300000000002</v>
      </c>
      <c r="Q452" s="62">
        <f>IF((N454=""),"",AVERAGE(F454:N454))</f>
        <v>2025.5033333333336</v>
      </c>
      <c r="R452" s="62">
        <f>IF((N453=""),"",(O452-P452)/(O452+P452)*100)</f>
        <v>2.2099036975389321</v>
      </c>
      <c r="S452" s="113">
        <f>STDEV(F454:N454)</f>
        <v>32.737378102102106</v>
      </c>
      <c r="T452" s="5" t="str">
        <f>IF(N453="","",IF(Q452&gt;1940,IF(R452&lt;8.3,IF(Q452&lt;2180,"Pass","Fail"),"Fail"),"Fail"))</f>
        <v>Pass</v>
      </c>
      <c r="U452" s="140">
        <v>1340</v>
      </c>
      <c r="V452" s="173"/>
      <c r="W452" s="11"/>
      <c r="X452" s="116">
        <v>2000</v>
      </c>
      <c r="Y452" s="116">
        <v>3000</v>
      </c>
      <c r="Z452" s="116">
        <v>1940</v>
      </c>
      <c r="AA452" s="116">
        <v>2180</v>
      </c>
      <c r="AB452" s="31">
        <v>5.2</v>
      </c>
      <c r="AC452" s="31">
        <v>5.2</v>
      </c>
    </row>
    <row r="453" spans="1:29" ht="15.6" x14ac:dyDescent="0.3">
      <c r="A453"/>
      <c r="B453" s="24"/>
      <c r="C453" s="6"/>
      <c r="D453" s="6"/>
      <c r="E453" s="61" t="s">
        <v>187</v>
      </c>
      <c r="F453" s="8">
        <v>596.20000000000005</v>
      </c>
      <c r="G453" s="8">
        <v>568.05999999999995</v>
      </c>
      <c r="H453" s="8">
        <v>566.51</v>
      </c>
      <c r="I453" s="8">
        <v>574.39</v>
      </c>
      <c r="J453" s="8">
        <v>621.38</v>
      </c>
      <c r="K453" s="8">
        <v>610.89</v>
      </c>
      <c r="L453" s="8">
        <v>576.34</v>
      </c>
      <c r="M453" s="8">
        <v>562.45000000000005</v>
      </c>
      <c r="N453" s="8">
        <v>594.44000000000005</v>
      </c>
      <c r="O453" s="61"/>
      <c r="P453" s="61"/>
      <c r="Q453" s="62"/>
      <c r="R453" s="62"/>
      <c r="S453" s="139"/>
      <c r="T453" s="5"/>
      <c r="U453" s="140"/>
      <c r="V453" s="173"/>
      <c r="W453" s="11"/>
      <c r="X453" s="118"/>
      <c r="Y453" s="118"/>
      <c r="Z453" s="118"/>
      <c r="AA453" s="118"/>
    </row>
    <row r="454" spans="1:29" ht="15.6" x14ac:dyDescent="0.3">
      <c r="A454"/>
      <c r="B454" s="24"/>
      <c r="C454" s="6"/>
      <c r="D454" s="6"/>
      <c r="E454" s="61" t="s">
        <v>190</v>
      </c>
      <c r="F454" s="40">
        <f t="shared" ref="F454:N454" si="146">IF(((F452="")*AND(F453="")),"",(F452-F453)*3)</f>
        <v>2002.38</v>
      </c>
      <c r="G454" s="40">
        <f t="shared" si="146"/>
        <v>2054.5800000000004</v>
      </c>
      <c r="H454" s="40">
        <f t="shared" si="146"/>
        <v>2063.25</v>
      </c>
      <c r="I454" s="40">
        <f t="shared" si="146"/>
        <v>2036.04</v>
      </c>
      <c r="J454" s="40">
        <f t="shared" si="146"/>
        <v>1974.0300000000002</v>
      </c>
      <c r="K454" s="40">
        <f t="shared" si="146"/>
        <v>1981.8000000000002</v>
      </c>
      <c r="L454" s="40">
        <f t="shared" si="146"/>
        <v>2033.6999999999998</v>
      </c>
      <c r="M454" s="40">
        <f t="shared" si="146"/>
        <v>2057.6099999999997</v>
      </c>
      <c r="N454" s="40">
        <f t="shared" si="146"/>
        <v>2026.1399999999996</v>
      </c>
      <c r="O454" s="61"/>
      <c r="P454" s="61"/>
      <c r="Q454" s="62"/>
      <c r="R454" s="62"/>
      <c r="S454" s="139"/>
      <c r="T454" s="5"/>
      <c r="U454" s="140"/>
      <c r="V454" s="173"/>
      <c r="W454" s="11"/>
      <c r="X454" s="118"/>
      <c r="Y454" s="118"/>
      <c r="Z454" s="118"/>
      <c r="AA454" s="118"/>
    </row>
    <row r="455" spans="1:29" x14ac:dyDescent="0.25">
      <c r="A455" s="210">
        <v>43311</v>
      </c>
      <c r="B455" s="218" t="s">
        <v>185</v>
      </c>
      <c r="C455" s="6" t="s">
        <v>173</v>
      </c>
      <c r="D455" s="6" t="s">
        <v>172</v>
      </c>
      <c r="E455" s="61" t="s">
        <v>186</v>
      </c>
      <c r="F455" s="8">
        <v>27792.52</v>
      </c>
      <c r="G455" s="8">
        <v>27815.26</v>
      </c>
      <c r="H455" s="8">
        <v>27847.27</v>
      </c>
      <c r="I455" s="8">
        <v>27816.7</v>
      </c>
      <c r="J455" s="8">
        <v>27800.28</v>
      </c>
      <c r="K455" s="8">
        <v>27843.360000000001</v>
      </c>
      <c r="L455" s="8">
        <v>27840.41</v>
      </c>
      <c r="M455" s="8">
        <v>27782.87</v>
      </c>
      <c r="N455" s="8">
        <v>27766.46</v>
      </c>
      <c r="O455" s="61">
        <f>IF((N456=""),"",MAX(F457:N457))</f>
        <v>4751.9699999999939</v>
      </c>
      <c r="P455" s="61">
        <f>IF(N456="","",MIN(F457:N457))</f>
        <v>4287.1800000000039</v>
      </c>
      <c r="Q455" s="62">
        <f>IF((N457=""),"",AVERAGE(F457:N457))</f>
        <v>4486.8833333333332</v>
      </c>
      <c r="R455" s="62">
        <f>IF((N456=""),"",(O455-P455)/(O455+P455)*100)</f>
        <v>5.141965782180737</v>
      </c>
      <c r="S455" s="113">
        <f>STDEV(F457:N457)</f>
        <v>186.64878629393561</v>
      </c>
      <c r="T455" s="5" t="str">
        <f>IF(N456="","",IF(R455&lt;16,IF(Q455&gt;3200,IF(R455,IF(Q455&lt;5240,"Pass","Fail"),"Fail"),"Fail")))</f>
        <v>Pass</v>
      </c>
      <c r="U455" s="140">
        <v>1335</v>
      </c>
      <c r="V455" s="173"/>
      <c r="W455" s="11"/>
      <c r="X455" s="116">
        <v>4200</v>
      </c>
      <c r="Y455" s="116">
        <v>5500</v>
      </c>
      <c r="Z455" s="116">
        <v>3200</v>
      </c>
      <c r="AA455" s="116">
        <v>5240</v>
      </c>
      <c r="AB455" s="31">
        <v>16</v>
      </c>
      <c r="AC455" s="31">
        <v>16</v>
      </c>
    </row>
    <row r="456" spans="1:29" ht="15.6" x14ac:dyDescent="0.3">
      <c r="A456"/>
      <c r="B456" s="24"/>
      <c r="C456" s="6"/>
      <c r="D456" s="6"/>
      <c r="E456" s="61" t="s">
        <v>187</v>
      </c>
      <c r="F456" s="8">
        <v>26263.88</v>
      </c>
      <c r="G456" s="8">
        <v>26375.279999999999</v>
      </c>
      <c r="H456" s="8">
        <v>26418.21</v>
      </c>
      <c r="I456" s="8">
        <v>26355.71</v>
      </c>
      <c r="J456" s="8">
        <v>26216.29</v>
      </c>
      <c r="K456" s="8">
        <v>26307.86</v>
      </c>
      <c r="L456" s="8">
        <v>26397.14</v>
      </c>
      <c r="M456" s="8">
        <v>26325.95</v>
      </c>
      <c r="N456" s="8">
        <v>26184.16</v>
      </c>
      <c r="O456" s="61"/>
      <c r="P456" s="61"/>
      <c r="Q456" s="62"/>
      <c r="R456" s="62"/>
      <c r="S456" s="139"/>
      <c r="T456" s="5"/>
      <c r="U456" s="140"/>
      <c r="V456" s="173"/>
      <c r="W456" s="11"/>
      <c r="X456" s="118"/>
      <c r="Y456" s="118"/>
      <c r="Z456" s="118"/>
      <c r="AA456" s="118"/>
    </row>
    <row r="457" spans="1:29" ht="23.4" thickBot="1" x14ac:dyDescent="0.35">
      <c r="A457"/>
      <c r="B457" s="63"/>
      <c r="C457" s="64"/>
      <c r="D457" s="64"/>
      <c r="E457" s="65" t="s">
        <v>188</v>
      </c>
      <c r="F457" s="53">
        <f t="shared" ref="F457:N457" si="147">IF(((F455="")*AND(F456="")),"",(F455-F456)*3)</f>
        <v>4585.9199999999983</v>
      </c>
      <c r="G457" s="53">
        <f t="shared" si="147"/>
        <v>4319.9399999999987</v>
      </c>
      <c r="H457" s="53">
        <f t="shared" si="147"/>
        <v>4287.1800000000039</v>
      </c>
      <c r="I457" s="53">
        <f t="shared" si="147"/>
        <v>4382.9700000000048</v>
      </c>
      <c r="J457" s="53">
        <f t="shared" si="147"/>
        <v>4751.9699999999939</v>
      </c>
      <c r="K457" s="53">
        <f t="shared" si="147"/>
        <v>4606.5</v>
      </c>
      <c r="L457" s="53">
        <f t="shared" si="147"/>
        <v>4329.8100000000013</v>
      </c>
      <c r="M457" s="53">
        <f t="shared" si="147"/>
        <v>4370.7599999999948</v>
      </c>
      <c r="N457" s="53">
        <f t="shared" si="147"/>
        <v>4746.8999999999978</v>
      </c>
      <c r="O457" s="65"/>
      <c r="P457" s="65"/>
      <c r="Q457" s="66"/>
      <c r="R457" s="66"/>
      <c r="S457" s="142"/>
      <c r="T457" s="143"/>
      <c r="U457" s="144"/>
      <c r="V457" s="173"/>
      <c r="W457" s="11"/>
      <c r="X457" s="118"/>
      <c r="Y457" s="118"/>
      <c r="Z457" s="118"/>
      <c r="AA457" s="118"/>
    </row>
    <row r="458" spans="1:29" x14ac:dyDescent="0.25">
      <c r="A458" s="207">
        <v>43314</v>
      </c>
      <c r="B458" s="219" t="s">
        <v>174</v>
      </c>
      <c r="C458" s="39" t="s">
        <v>176</v>
      </c>
      <c r="D458" s="44" t="s">
        <v>175</v>
      </c>
      <c r="E458" s="41" t="s">
        <v>186</v>
      </c>
      <c r="F458" s="111">
        <v>7021.92</v>
      </c>
      <c r="G458" s="111">
        <v>7017.77</v>
      </c>
      <c r="H458" s="111">
        <v>7041.54</v>
      </c>
      <c r="I458" s="111">
        <v>6990.05</v>
      </c>
      <c r="J458" s="111">
        <v>7049.58</v>
      </c>
      <c r="K458" s="111">
        <v>6991.64</v>
      </c>
      <c r="L458" s="111">
        <v>6994.74</v>
      </c>
      <c r="M458" s="111">
        <v>7025.7</v>
      </c>
      <c r="N458" s="111">
        <v>7102.58</v>
      </c>
      <c r="O458" s="41">
        <f>IF((N459=""),"",MAX(F460:N460))</f>
        <v>4034.3999999999996</v>
      </c>
      <c r="P458" s="41">
        <f>IF(N459="","",MIN(F460:N460))</f>
        <v>3662.4000000000015</v>
      </c>
      <c r="Q458" s="42">
        <f>IF((N460=""),"",AVERAGE(F460:N460))</f>
        <v>3900.3444444444449</v>
      </c>
      <c r="R458" s="42">
        <f>IF((N459=""),"",(O458-P458)/(O458+P458)*100)</f>
        <v>4.833177424384135</v>
      </c>
      <c r="S458" s="113">
        <f>STDEV(F460:N460)</f>
        <v>128.32095494414671</v>
      </c>
      <c r="T458" s="119" t="str">
        <f>IF(N459="","",IF(Q458&gt;3650,IF(R458&lt;7,IF(Q458&lt;4450,"Pass","Fail"),"Fail"),"Fail"))</f>
        <v>Pass</v>
      </c>
      <c r="U458" s="145">
        <v>1340</v>
      </c>
      <c r="V458" s="11" t="s">
        <v>203</v>
      </c>
      <c r="W458" s="11"/>
      <c r="X458" s="116">
        <v>3650</v>
      </c>
      <c r="Y458" s="116">
        <v>4450</v>
      </c>
      <c r="Z458" s="116">
        <v>3700</v>
      </c>
      <c r="AA458" s="116">
        <v>4100</v>
      </c>
      <c r="AB458" s="31">
        <v>7</v>
      </c>
      <c r="AC458" s="31">
        <v>6.5</v>
      </c>
    </row>
    <row r="459" spans="1:29" ht="15.6" x14ac:dyDescent="0.3">
      <c r="A459"/>
      <c r="B459" s="24"/>
      <c r="C459" s="6"/>
      <c r="D459" s="6"/>
      <c r="E459" s="61" t="s">
        <v>187</v>
      </c>
      <c r="F459" s="8">
        <v>5124.12</v>
      </c>
      <c r="G459" s="8">
        <v>5025.45</v>
      </c>
      <c r="H459" s="8">
        <v>5029.4399999999996</v>
      </c>
      <c r="I459" s="8">
        <v>5002.0600000000004</v>
      </c>
      <c r="J459" s="8">
        <v>5158.8500000000004</v>
      </c>
      <c r="K459" s="8">
        <v>5160.4399999999996</v>
      </c>
      <c r="L459" s="8">
        <v>5014.55</v>
      </c>
      <c r="M459" s="8">
        <v>5008.5</v>
      </c>
      <c r="N459" s="8">
        <v>5160.5600000000004</v>
      </c>
      <c r="O459" s="61"/>
      <c r="P459" s="61"/>
      <c r="Q459" s="62"/>
      <c r="R459" s="62"/>
      <c r="S459" s="139"/>
      <c r="T459" s="8"/>
      <c r="U459" s="146"/>
      <c r="V459" s="127"/>
      <c r="W459" s="11"/>
      <c r="X459" s="118"/>
      <c r="Y459" s="118"/>
      <c r="Z459" s="118"/>
      <c r="AA459" s="118"/>
    </row>
    <row r="460" spans="1:29" ht="22.8" x14ac:dyDescent="0.3">
      <c r="A460"/>
      <c r="B460" s="24"/>
      <c r="C460" s="6"/>
      <c r="D460" s="6"/>
      <c r="E460" s="61" t="s">
        <v>188</v>
      </c>
      <c r="F460" s="40">
        <f t="shared" ref="F460:N460" si="148">IF(((F458="")*AND(F459="")),"",(F458-F459)*2)</f>
        <v>3795.6000000000004</v>
      </c>
      <c r="G460" s="40">
        <f t="shared" si="148"/>
        <v>3984.6400000000012</v>
      </c>
      <c r="H460" s="40">
        <f t="shared" si="148"/>
        <v>4024.2000000000007</v>
      </c>
      <c r="I460" s="40">
        <f t="shared" si="148"/>
        <v>3975.9799999999996</v>
      </c>
      <c r="J460" s="40">
        <f t="shared" si="148"/>
        <v>3781.4599999999991</v>
      </c>
      <c r="K460" s="40">
        <f t="shared" si="148"/>
        <v>3662.4000000000015</v>
      </c>
      <c r="L460" s="40">
        <f t="shared" si="148"/>
        <v>3960.3799999999992</v>
      </c>
      <c r="M460" s="40">
        <f t="shared" si="148"/>
        <v>4034.3999999999996</v>
      </c>
      <c r="N460" s="40">
        <f t="shared" si="148"/>
        <v>3884.0399999999991</v>
      </c>
      <c r="O460" s="61"/>
      <c r="P460" s="61"/>
      <c r="Q460" s="62"/>
      <c r="R460" s="62"/>
      <c r="S460" s="139"/>
      <c r="T460" s="8"/>
      <c r="U460" s="146"/>
      <c r="V460" s="127"/>
      <c r="W460" s="11"/>
      <c r="X460" s="118"/>
      <c r="Y460" s="118"/>
      <c r="Z460" s="118"/>
      <c r="AA460" s="118"/>
    </row>
    <row r="461" spans="1:29" x14ac:dyDescent="0.25">
      <c r="A461" s="210">
        <v>43314</v>
      </c>
      <c r="B461" s="215" t="s">
        <v>169</v>
      </c>
      <c r="C461" s="6" t="s">
        <v>171</v>
      </c>
      <c r="D461" s="6" t="s">
        <v>189</v>
      </c>
      <c r="E461" s="61" t="s">
        <v>186</v>
      </c>
      <c r="F461" s="8">
        <v>1927.61</v>
      </c>
      <c r="G461" s="8">
        <v>1921.53</v>
      </c>
      <c r="H461" s="8">
        <v>1921.19</v>
      </c>
      <c r="I461" s="8">
        <v>1917.35</v>
      </c>
      <c r="J461" s="8">
        <v>1926.1</v>
      </c>
      <c r="K461" s="8">
        <v>1930.36</v>
      </c>
      <c r="L461" s="8">
        <v>1918.35</v>
      </c>
      <c r="M461" s="8">
        <v>1917.43</v>
      </c>
      <c r="N461" s="8">
        <v>1929.21</v>
      </c>
      <c r="O461" s="61">
        <f>IF((N462=""),"",MAX(F463:N463))</f>
        <v>2038.9499999999996</v>
      </c>
      <c r="P461" s="61">
        <f>IF(N462="","",MIN(F463:N463))</f>
        <v>1967.0699999999995</v>
      </c>
      <c r="Q461" s="62">
        <f>IF((N463=""),"",AVERAGE(F463:N463))</f>
        <v>2012.0399999999997</v>
      </c>
      <c r="R461" s="62">
        <f>IF((N462=""),"",(O461-P461)/(O461+P461)*100)</f>
        <v>1.7942995791334075</v>
      </c>
      <c r="S461" s="113">
        <f>STDEV(F463:N463)</f>
        <v>24.570169413335549</v>
      </c>
      <c r="T461" s="5" t="str">
        <f>IF(N462="","",IF(Q461&gt;1940,IF(R461&lt;8.3,IF(Q461&lt;2180,"Pass","Fail"),"Fail"),"Fail"))</f>
        <v>Pass</v>
      </c>
      <c r="U461" s="140">
        <v>1340</v>
      </c>
      <c r="V461" s="11" t="s">
        <v>203</v>
      </c>
      <c r="W461" s="11"/>
      <c r="X461" s="116">
        <v>2000</v>
      </c>
      <c r="Y461" s="116">
        <v>3000</v>
      </c>
      <c r="Z461" s="116">
        <v>1940</v>
      </c>
      <c r="AA461" s="116">
        <v>2180</v>
      </c>
      <c r="AB461" s="31">
        <v>5.2</v>
      </c>
      <c r="AC461" s="31">
        <v>5.2</v>
      </c>
    </row>
    <row r="462" spans="1:29" ht="15.6" x14ac:dyDescent="0.3">
      <c r="A462"/>
      <c r="B462" s="24"/>
      <c r="C462" s="6"/>
      <c r="D462" s="6"/>
      <c r="E462" s="61" t="s">
        <v>187</v>
      </c>
      <c r="F462" s="8">
        <v>1251.26</v>
      </c>
      <c r="G462" s="8">
        <v>1241.8800000000001</v>
      </c>
      <c r="H462" s="8">
        <v>1242.07</v>
      </c>
      <c r="I462" s="8">
        <v>1250.96</v>
      </c>
      <c r="J462" s="8">
        <v>1270.4100000000001</v>
      </c>
      <c r="K462" s="8">
        <v>1265.54</v>
      </c>
      <c r="L462" s="8">
        <v>1250.9000000000001</v>
      </c>
      <c r="M462" s="8">
        <v>1239.06</v>
      </c>
      <c r="N462" s="8">
        <v>1260.93</v>
      </c>
      <c r="O462" s="61"/>
      <c r="P462" s="61"/>
      <c r="Q462" s="62"/>
      <c r="R462" s="62"/>
      <c r="S462" s="139"/>
      <c r="T462" s="5"/>
      <c r="U462" s="140"/>
      <c r="V462" s="127"/>
      <c r="W462" s="11"/>
      <c r="X462" s="118"/>
      <c r="Y462" s="118"/>
      <c r="Z462" s="118"/>
      <c r="AA462" s="118"/>
    </row>
    <row r="463" spans="1:29" ht="23.25" customHeight="1" x14ac:dyDescent="0.3">
      <c r="A463"/>
      <c r="B463" s="24"/>
      <c r="C463" s="6"/>
      <c r="D463" s="6"/>
      <c r="E463" s="61" t="s">
        <v>190</v>
      </c>
      <c r="F463" s="40">
        <f t="shared" ref="F463:N463" si="149">IF(((F461="")*AND(F462="")),"",(F461-F462)*3)</f>
        <v>2029.0499999999997</v>
      </c>
      <c r="G463" s="40">
        <f t="shared" si="149"/>
        <v>2038.9499999999996</v>
      </c>
      <c r="H463" s="40">
        <f t="shared" si="149"/>
        <v>2037.3600000000004</v>
      </c>
      <c r="I463" s="40">
        <f t="shared" si="149"/>
        <v>1999.1699999999996</v>
      </c>
      <c r="J463" s="40">
        <f t="shared" si="149"/>
        <v>1967.0699999999995</v>
      </c>
      <c r="K463" s="40">
        <f t="shared" si="149"/>
        <v>1994.4599999999998</v>
      </c>
      <c r="L463" s="40">
        <f t="shared" si="149"/>
        <v>2002.3499999999995</v>
      </c>
      <c r="M463" s="40">
        <f t="shared" si="149"/>
        <v>2035.1100000000004</v>
      </c>
      <c r="N463" s="40">
        <f t="shared" si="149"/>
        <v>2004.84</v>
      </c>
      <c r="O463" s="61"/>
      <c r="P463" s="61"/>
      <c r="Q463" s="62"/>
      <c r="R463" s="62"/>
      <c r="S463" s="139"/>
      <c r="T463" s="5"/>
      <c r="U463" s="140"/>
      <c r="V463" s="127"/>
      <c r="W463" s="11"/>
      <c r="X463" s="118"/>
      <c r="Y463" s="118"/>
      <c r="Z463" s="118"/>
      <c r="AA463" s="118"/>
    </row>
    <row r="464" spans="1:29" x14ac:dyDescent="0.25">
      <c r="A464" s="210">
        <v>43314</v>
      </c>
      <c r="B464" s="218" t="s">
        <v>185</v>
      </c>
      <c r="C464" s="6" t="s">
        <v>173</v>
      </c>
      <c r="D464" s="6" t="s">
        <v>172</v>
      </c>
      <c r="E464" s="61" t="s">
        <v>186</v>
      </c>
      <c r="F464" s="8">
        <v>29144.12</v>
      </c>
      <c r="G464" s="8">
        <v>29078.77</v>
      </c>
      <c r="H464" s="8">
        <v>29121.78</v>
      </c>
      <c r="I464" s="8">
        <v>29072.41</v>
      </c>
      <c r="J464" s="8">
        <v>29150.94</v>
      </c>
      <c r="K464" s="8">
        <v>29126.92</v>
      </c>
      <c r="L464" s="8">
        <v>29076.53</v>
      </c>
      <c r="M464" s="8">
        <v>29078.19</v>
      </c>
      <c r="N464" s="8">
        <v>29144.19</v>
      </c>
      <c r="O464" s="61">
        <f>IF((N465=""),"",MAX(F466:N466))</f>
        <v>4366.0499999999956</v>
      </c>
      <c r="P464" s="61">
        <f>IF(N465="","",MIN(F466:N466))</f>
        <v>3976.1099999999969</v>
      </c>
      <c r="Q464" s="62">
        <f>IF((N466=""),"",AVERAGE(F466:N466))</f>
        <v>4163.6433333333289</v>
      </c>
      <c r="R464" s="62">
        <f>IF((N465=""),"",(O464-P464)/(O464+P464)*100)</f>
        <v>4.674328950775327</v>
      </c>
      <c r="S464" s="113">
        <f>STDEV(F466:N466)</f>
        <v>165.7561474727238</v>
      </c>
      <c r="T464" s="5" t="str">
        <f>IF(N465="","",IF(R464&lt;16,IF(Q464&gt;3200,IF(R464,IF(Q464&lt;5240,"Pass","Fail"),"Fail"),"Fail")))</f>
        <v>Pass</v>
      </c>
      <c r="U464" s="140">
        <v>1335</v>
      </c>
      <c r="V464" s="11" t="s">
        <v>203</v>
      </c>
      <c r="X464" s="116">
        <v>4200</v>
      </c>
      <c r="Y464" s="116">
        <v>5500</v>
      </c>
      <c r="Z464" s="116">
        <v>3200</v>
      </c>
      <c r="AA464" s="116">
        <v>5240</v>
      </c>
      <c r="AB464" s="31">
        <v>16</v>
      </c>
      <c r="AC464" s="31">
        <v>16</v>
      </c>
    </row>
    <row r="465" spans="1:29" ht="15.6" x14ac:dyDescent="0.3">
      <c r="A465"/>
      <c r="B465" s="24"/>
      <c r="C465" s="6"/>
      <c r="D465" s="6"/>
      <c r="E465" s="61" t="s">
        <v>187</v>
      </c>
      <c r="F465" s="8">
        <v>27703.24</v>
      </c>
      <c r="G465" s="8">
        <v>27734.43</v>
      </c>
      <c r="H465" s="8">
        <v>27796.41</v>
      </c>
      <c r="I465" s="8">
        <v>27728.15</v>
      </c>
      <c r="J465" s="8">
        <v>27702.36</v>
      </c>
      <c r="K465" s="8">
        <v>27689.9</v>
      </c>
      <c r="L465" s="8">
        <v>27730.6</v>
      </c>
      <c r="M465" s="8">
        <v>27728.99</v>
      </c>
      <c r="N465" s="8">
        <v>27688.84</v>
      </c>
      <c r="O465" s="61"/>
      <c r="P465" s="61"/>
      <c r="Q465" s="62"/>
      <c r="R465" s="62"/>
      <c r="S465" s="139"/>
      <c r="T465" s="5"/>
      <c r="U465" s="140"/>
      <c r="V465" s="127"/>
      <c r="W465" s="11"/>
      <c r="X465" s="118"/>
      <c r="Y465" s="118"/>
      <c r="Z465" s="118"/>
      <c r="AA465" s="118"/>
    </row>
    <row r="466" spans="1:29" ht="23.4" thickBot="1" x14ac:dyDescent="0.35">
      <c r="A466"/>
      <c r="B466" s="63"/>
      <c r="C466" s="64"/>
      <c r="D466" s="64"/>
      <c r="E466" s="65" t="s">
        <v>188</v>
      </c>
      <c r="F466" s="53">
        <f t="shared" ref="F466:N466" si="150">IF(((F464="")*AND(F465="")),"",(F464-F465)*3)</f>
        <v>4322.6399999999921</v>
      </c>
      <c r="G466" s="53">
        <f t="shared" si="150"/>
        <v>4033.0200000000004</v>
      </c>
      <c r="H466" s="53">
        <f t="shared" si="150"/>
        <v>3976.1099999999969</v>
      </c>
      <c r="I466" s="53">
        <f t="shared" si="150"/>
        <v>4032.7799999999952</v>
      </c>
      <c r="J466" s="53">
        <f t="shared" si="150"/>
        <v>4345.7399999999943</v>
      </c>
      <c r="K466" s="53">
        <f t="shared" si="150"/>
        <v>4311.0599999999904</v>
      </c>
      <c r="L466" s="53">
        <f t="shared" si="150"/>
        <v>4037.7900000000009</v>
      </c>
      <c r="M466" s="53">
        <f t="shared" si="150"/>
        <v>4047.5999999999913</v>
      </c>
      <c r="N466" s="53">
        <f t="shared" si="150"/>
        <v>4366.0499999999956</v>
      </c>
      <c r="O466" s="65"/>
      <c r="P466" s="65"/>
      <c r="Q466" s="66"/>
      <c r="R466" s="66"/>
      <c r="S466" s="142"/>
      <c r="T466" s="143"/>
      <c r="U466" s="144"/>
      <c r="V466" s="127"/>
      <c r="W466" s="11"/>
      <c r="X466" s="118"/>
      <c r="Y466" s="118"/>
      <c r="Z466" s="118"/>
      <c r="AA466" s="118"/>
    </row>
    <row r="467" spans="1:29" x14ac:dyDescent="0.25">
      <c r="A467" s="207">
        <v>43317</v>
      </c>
      <c r="B467" s="219" t="s">
        <v>174</v>
      </c>
      <c r="C467" s="39" t="s">
        <v>176</v>
      </c>
      <c r="D467" s="44" t="s">
        <v>175</v>
      </c>
      <c r="E467" s="41" t="s">
        <v>186</v>
      </c>
      <c r="F467" s="111">
        <v>5124.12</v>
      </c>
      <c r="G467" s="111">
        <v>5025.45</v>
      </c>
      <c r="H467" s="111">
        <v>5029.4399999999996</v>
      </c>
      <c r="I467" s="111">
        <v>5002.0600000000004</v>
      </c>
      <c r="J467" s="111">
        <v>5158.8500000000004</v>
      </c>
      <c r="K467" s="111">
        <v>5160.4399999999996</v>
      </c>
      <c r="L467" s="111">
        <v>5014.55</v>
      </c>
      <c r="M467" s="111">
        <v>5008.5</v>
      </c>
      <c r="N467" s="111">
        <v>5160.5600000000004</v>
      </c>
      <c r="O467" s="41">
        <f>IF((N468=""),"",MAX(F469:N469))</f>
        <v>4009.5200000000004</v>
      </c>
      <c r="P467" s="41">
        <f>IF(N468="","",MIN(F469:N469))</f>
        <v>3664.0599999999995</v>
      </c>
      <c r="Q467" s="42">
        <f>IF((N469=""),"",AVERAGE(F469:N469))</f>
        <v>3886.1088888888894</v>
      </c>
      <c r="R467" s="42">
        <f>IF((N468=""),"",(O467-P467)/(O467+P467)*100)</f>
        <v>4.5019404241566638</v>
      </c>
      <c r="S467" s="113">
        <f>STDEV(F469:N469)</f>
        <v>122.11183812845954</v>
      </c>
      <c r="T467" s="119" t="str">
        <f>IF(N468="","",IF(Q467&gt;3650,IF(R467&lt;7,IF(Q467&lt;4450,"Pass","Fail"),"Fail"),"Fail"))</f>
        <v>Pass</v>
      </c>
      <c r="U467" s="145">
        <v>1340</v>
      </c>
      <c r="V467" s="127"/>
      <c r="W467" s="11"/>
      <c r="X467" s="116">
        <v>3650</v>
      </c>
      <c r="Y467" s="116">
        <v>4450</v>
      </c>
      <c r="Z467" s="116">
        <v>3700</v>
      </c>
      <c r="AA467" s="116">
        <v>4100</v>
      </c>
      <c r="AB467" s="31">
        <v>7</v>
      </c>
      <c r="AC467" s="31">
        <v>6.5</v>
      </c>
    </row>
    <row r="468" spans="1:29" ht="15.6" x14ac:dyDescent="0.3">
      <c r="A468"/>
      <c r="B468" s="24"/>
      <c r="C468" s="6"/>
      <c r="D468" s="6"/>
      <c r="E468" s="61" t="s">
        <v>187</v>
      </c>
      <c r="F468" s="8">
        <v>3235.35</v>
      </c>
      <c r="G468" s="8">
        <v>3043.82</v>
      </c>
      <c r="H468" s="8">
        <v>3025.94</v>
      </c>
      <c r="I468" s="8">
        <v>3019.82</v>
      </c>
      <c r="J468" s="8">
        <v>3268.77</v>
      </c>
      <c r="K468" s="8">
        <v>3328.41</v>
      </c>
      <c r="L468" s="8">
        <v>3038.97</v>
      </c>
      <c r="M468" s="8">
        <v>3003.74</v>
      </c>
      <c r="N468" s="8">
        <v>3231.66</v>
      </c>
      <c r="O468" s="61"/>
      <c r="P468" s="61"/>
      <c r="Q468" s="62"/>
      <c r="R468" s="62"/>
      <c r="S468" s="139"/>
      <c r="T468" s="8"/>
      <c r="U468" s="146"/>
      <c r="V468" s="127"/>
      <c r="W468" s="11"/>
      <c r="X468" s="118"/>
      <c r="Y468" s="118"/>
      <c r="Z468" s="118"/>
      <c r="AA468" s="118"/>
    </row>
    <row r="469" spans="1:29" ht="22.8" x14ac:dyDescent="0.3">
      <c r="A469"/>
      <c r="B469" s="24"/>
      <c r="C469" s="6"/>
      <c r="D469" s="6"/>
      <c r="E469" s="61" t="s">
        <v>188</v>
      </c>
      <c r="F469" s="40">
        <f t="shared" ref="F469:N469" si="151">IF(((F467="")*AND(F468="")),"",(F467-F468)*2)</f>
        <v>3777.54</v>
      </c>
      <c r="G469" s="40">
        <f t="shared" si="151"/>
        <v>3963.2599999999993</v>
      </c>
      <c r="H469" s="40">
        <f t="shared" si="151"/>
        <v>4006.9999999999991</v>
      </c>
      <c r="I469" s="40">
        <f t="shared" si="151"/>
        <v>3964.4800000000005</v>
      </c>
      <c r="J469" s="40">
        <f t="shared" si="151"/>
        <v>3780.1600000000008</v>
      </c>
      <c r="K469" s="40">
        <f t="shared" si="151"/>
        <v>3664.0599999999995</v>
      </c>
      <c r="L469" s="40">
        <f t="shared" si="151"/>
        <v>3951.1600000000008</v>
      </c>
      <c r="M469" s="40">
        <f t="shared" si="151"/>
        <v>4009.5200000000004</v>
      </c>
      <c r="N469" s="40">
        <f t="shared" si="151"/>
        <v>3857.8000000000011</v>
      </c>
      <c r="O469" s="61"/>
      <c r="P469" s="61"/>
      <c r="Q469" s="62"/>
      <c r="R469" s="62"/>
      <c r="S469" s="139"/>
      <c r="T469" s="8"/>
      <c r="U469" s="146"/>
      <c r="V469" s="127"/>
      <c r="W469" s="11"/>
      <c r="X469" s="118"/>
      <c r="Y469" s="118"/>
      <c r="Z469" s="118"/>
      <c r="AA469" s="118"/>
    </row>
    <row r="470" spans="1:29" x14ac:dyDescent="0.25">
      <c r="A470" s="210">
        <v>43317</v>
      </c>
      <c r="B470" s="215" t="s">
        <v>169</v>
      </c>
      <c r="C470" s="6" t="s">
        <v>171</v>
      </c>
      <c r="D470" s="6" t="s">
        <v>189</v>
      </c>
      <c r="E470" s="61" t="s">
        <v>186</v>
      </c>
      <c r="F470" s="8">
        <v>1251.26</v>
      </c>
      <c r="G470" s="8">
        <v>1241.8800000000001</v>
      </c>
      <c r="H470" s="8">
        <v>1242.07</v>
      </c>
      <c r="I470" s="8">
        <v>1250.96</v>
      </c>
      <c r="J470" s="8">
        <v>1270.4100000000001</v>
      </c>
      <c r="K470" s="8">
        <v>1265.54</v>
      </c>
      <c r="L470" s="8">
        <v>1250.9000000000001</v>
      </c>
      <c r="M470" s="8">
        <v>1239.06</v>
      </c>
      <c r="N470" s="8">
        <v>1260.93</v>
      </c>
      <c r="O470" s="61">
        <f>IF((N471=""),"",MAX(F472:N472))</f>
        <v>2045.0699999999997</v>
      </c>
      <c r="P470" s="61">
        <f>IF(N471="","",MIN(F472:N472))</f>
        <v>1981.5900000000001</v>
      </c>
      <c r="Q470" s="62">
        <f>IF((N472=""),"",AVERAGE(F472:N472))</f>
        <v>2016.0933333333332</v>
      </c>
      <c r="R470" s="62">
        <f>IF((N471=""),"",(O470-P470)/(O470+P470)*100)</f>
        <v>1.576492676312367</v>
      </c>
      <c r="S470" s="113">
        <f>STDEV(F472:N472)</f>
        <v>21.749355737584438</v>
      </c>
      <c r="T470" s="5" t="str">
        <f>IF(N471="","",IF(Q470&gt;1940,IF(R470&lt;8.3,IF(Q470&lt;2180,"Pass","Fail"),"Fail"),"Fail"))</f>
        <v>Pass</v>
      </c>
      <c r="U470" s="140">
        <v>1340</v>
      </c>
      <c r="V470" s="173"/>
      <c r="W470" s="11"/>
      <c r="X470" s="116">
        <v>2000</v>
      </c>
      <c r="Y470" s="116">
        <v>3000</v>
      </c>
      <c r="Z470" s="116">
        <v>1940</v>
      </c>
      <c r="AA470" s="116">
        <v>2180</v>
      </c>
      <c r="AB470" s="31">
        <v>5.2</v>
      </c>
      <c r="AC470" s="31">
        <v>5.2</v>
      </c>
    </row>
    <row r="471" spans="1:29" ht="15.6" x14ac:dyDescent="0.3">
      <c r="A471"/>
      <c r="B471" s="24"/>
      <c r="C471" s="6"/>
      <c r="D471" s="6"/>
      <c r="E471" s="61" t="s">
        <v>187</v>
      </c>
      <c r="F471" s="8">
        <v>578.89</v>
      </c>
      <c r="G471" s="8">
        <v>565.94000000000005</v>
      </c>
      <c r="H471" s="8">
        <v>563.44000000000005</v>
      </c>
      <c r="I471" s="8">
        <v>574.20000000000005</v>
      </c>
      <c r="J471" s="8">
        <v>609.88</v>
      </c>
      <c r="K471" s="8">
        <v>603.85</v>
      </c>
      <c r="L471" s="8">
        <v>579.89</v>
      </c>
      <c r="M471" s="8">
        <v>557.37</v>
      </c>
      <c r="N471" s="8">
        <v>591.27</v>
      </c>
      <c r="O471" s="61"/>
      <c r="P471" s="61"/>
      <c r="Q471" s="62"/>
      <c r="R471" s="62"/>
      <c r="S471" s="139"/>
      <c r="T471" s="5"/>
      <c r="U471" s="140"/>
      <c r="V471" s="173"/>
      <c r="W471" s="11"/>
      <c r="X471" s="118"/>
      <c r="Y471" s="118"/>
      <c r="Z471" s="118"/>
      <c r="AA471" s="118"/>
    </row>
    <row r="472" spans="1:29" ht="15.6" x14ac:dyDescent="0.3">
      <c r="A472"/>
      <c r="B472" s="24"/>
      <c r="C472" s="6"/>
      <c r="D472" s="6"/>
      <c r="E472" s="61" t="s">
        <v>190</v>
      </c>
      <c r="F472" s="40">
        <f t="shared" ref="F472:N472" si="152">IF(((F470="")*AND(F471="")),"",(F470-F471)*3)</f>
        <v>2017.1100000000001</v>
      </c>
      <c r="G472" s="40">
        <f t="shared" si="152"/>
        <v>2027.8200000000002</v>
      </c>
      <c r="H472" s="40">
        <f t="shared" si="152"/>
        <v>2035.8899999999996</v>
      </c>
      <c r="I472" s="40">
        <f t="shared" si="152"/>
        <v>2030.28</v>
      </c>
      <c r="J472" s="40">
        <f t="shared" si="152"/>
        <v>1981.5900000000001</v>
      </c>
      <c r="K472" s="40">
        <f t="shared" si="152"/>
        <v>1985.0699999999997</v>
      </c>
      <c r="L472" s="40">
        <f t="shared" si="152"/>
        <v>2013.0300000000002</v>
      </c>
      <c r="M472" s="40">
        <f t="shared" si="152"/>
        <v>2045.0699999999997</v>
      </c>
      <c r="N472" s="40">
        <f t="shared" si="152"/>
        <v>2008.9800000000002</v>
      </c>
      <c r="O472" s="61"/>
      <c r="P472" s="61"/>
      <c r="Q472" s="62"/>
      <c r="R472" s="62"/>
      <c r="S472" s="139"/>
      <c r="T472" s="5"/>
      <c r="U472" s="140"/>
      <c r="V472" s="173"/>
      <c r="W472" s="11"/>
      <c r="X472" s="118"/>
      <c r="Y472" s="118"/>
      <c r="Z472" s="118"/>
      <c r="AA472" s="118"/>
    </row>
    <row r="473" spans="1:29" x14ac:dyDescent="0.25">
      <c r="A473" s="210">
        <v>43317</v>
      </c>
      <c r="B473" s="218" t="s">
        <v>185</v>
      </c>
      <c r="C473" s="6" t="s">
        <v>173</v>
      </c>
      <c r="D473" s="6" t="s">
        <v>172</v>
      </c>
      <c r="E473" s="61" t="s">
        <v>186</v>
      </c>
      <c r="F473" s="8">
        <v>27703.24</v>
      </c>
      <c r="G473" s="8">
        <v>27734.43</v>
      </c>
      <c r="H473" s="8">
        <v>27796.41</v>
      </c>
      <c r="I473" s="8">
        <v>27728.15</v>
      </c>
      <c r="J473" s="8">
        <v>27702.36</v>
      </c>
      <c r="K473" s="8">
        <v>27689.9</v>
      </c>
      <c r="L473" s="8">
        <v>27730.6</v>
      </c>
      <c r="M473" s="8">
        <v>27728.99</v>
      </c>
      <c r="N473" s="8">
        <v>27688.84</v>
      </c>
      <c r="O473" s="61">
        <f>IF((N474=""),"",MAX(F475:N475))</f>
        <v>4731.3300000000017</v>
      </c>
      <c r="P473" s="61">
        <f>IF(N474="","",MIN(F475:N475))</f>
        <v>4184.4300000000039</v>
      </c>
      <c r="Q473" s="62">
        <f>IF((N475=""),"",AVERAGE(F475:N475))</f>
        <v>4412.7866666666705</v>
      </c>
      <c r="R473" s="62">
        <f>IF((N474=""),"",(O473-P473)/(O473+P473)*100)</f>
        <v>6.1340816711082118</v>
      </c>
      <c r="S473" s="113">
        <f>STDEV(F475:N475)</f>
        <v>201.27683833466784</v>
      </c>
      <c r="T473" s="5" t="str">
        <f>IF(N474="","",IF(R473&lt;16,IF(Q473&gt;3200,IF(R473,IF(Q473&lt;5240,"Pass","Fail"),"Fail"),"Fail")))</f>
        <v>Pass</v>
      </c>
      <c r="U473" s="140">
        <v>1340</v>
      </c>
      <c r="V473" s="173"/>
      <c r="W473" s="11"/>
      <c r="X473" s="116">
        <v>4200</v>
      </c>
      <c r="Y473" s="116">
        <v>5500</v>
      </c>
      <c r="Z473" s="116">
        <v>3200</v>
      </c>
      <c r="AA473" s="116">
        <v>5240</v>
      </c>
      <c r="AB473" s="31">
        <v>16</v>
      </c>
      <c r="AC473" s="31">
        <v>16</v>
      </c>
    </row>
    <row r="474" spans="1:29" ht="15.6" x14ac:dyDescent="0.3">
      <c r="A474"/>
      <c r="B474" s="24"/>
      <c r="C474" s="6"/>
      <c r="D474" s="6"/>
      <c r="E474" s="61" t="s">
        <v>187</v>
      </c>
      <c r="F474" s="8">
        <v>26175.439999999999</v>
      </c>
      <c r="G474" s="8">
        <v>26316.12</v>
      </c>
      <c r="H474" s="8">
        <v>26401.599999999999</v>
      </c>
      <c r="I474" s="8">
        <v>26300.71</v>
      </c>
      <c r="J474" s="8">
        <v>26160.54</v>
      </c>
      <c r="K474" s="8">
        <v>26187.82</v>
      </c>
      <c r="L474" s="8">
        <v>26325.34</v>
      </c>
      <c r="M474" s="8">
        <v>26285.26</v>
      </c>
      <c r="N474" s="8">
        <v>26111.73</v>
      </c>
      <c r="O474" s="61"/>
      <c r="P474" s="61"/>
      <c r="Q474" s="62"/>
      <c r="R474" s="62"/>
      <c r="S474" s="139"/>
      <c r="T474" s="5"/>
      <c r="U474" s="140"/>
      <c r="V474" s="173"/>
      <c r="W474" s="11"/>
      <c r="X474" s="118"/>
      <c r="Y474" s="118"/>
      <c r="Z474" s="118"/>
      <c r="AA474" s="118"/>
    </row>
    <row r="475" spans="1:29" ht="23.4" thickBot="1" x14ac:dyDescent="0.35">
      <c r="A475"/>
      <c r="B475" s="63"/>
      <c r="C475" s="64"/>
      <c r="D475" s="64"/>
      <c r="E475" s="65" t="s">
        <v>188</v>
      </c>
      <c r="F475" s="53">
        <f t="shared" ref="F475:N475" si="153">IF(((F473="")*AND(F474="")),"",(F473-F474)*3)</f>
        <v>4583.4000000000087</v>
      </c>
      <c r="G475" s="53">
        <f t="shared" si="153"/>
        <v>4254.9300000000039</v>
      </c>
      <c r="H475" s="53">
        <f t="shared" si="153"/>
        <v>4184.4300000000039</v>
      </c>
      <c r="I475" s="53">
        <f t="shared" si="153"/>
        <v>4282.320000000007</v>
      </c>
      <c r="J475" s="53">
        <f t="shared" si="153"/>
        <v>4625.4599999999991</v>
      </c>
      <c r="K475" s="53">
        <f t="shared" si="153"/>
        <v>4506.2400000000052</v>
      </c>
      <c r="L475" s="53">
        <f t="shared" si="153"/>
        <v>4215.7799999999952</v>
      </c>
      <c r="M475" s="53">
        <f t="shared" si="153"/>
        <v>4331.1900000000096</v>
      </c>
      <c r="N475" s="53">
        <f t="shared" si="153"/>
        <v>4731.3300000000017</v>
      </c>
      <c r="O475" s="65"/>
      <c r="P475" s="65"/>
      <c r="Q475" s="66"/>
      <c r="R475" s="66"/>
      <c r="S475" s="142"/>
      <c r="T475" s="143"/>
      <c r="U475" s="144"/>
      <c r="V475" s="173"/>
      <c r="W475" s="11"/>
      <c r="X475" s="118"/>
      <c r="Y475" s="118"/>
      <c r="Z475" s="118"/>
      <c r="AA475" s="118"/>
    </row>
    <row r="476" spans="1:29" x14ac:dyDescent="0.25">
      <c r="A476" s="207">
        <v>43320</v>
      </c>
      <c r="B476" s="219" t="s">
        <v>174</v>
      </c>
      <c r="C476" s="39" t="s">
        <v>176</v>
      </c>
      <c r="D476" s="44" t="s">
        <v>175</v>
      </c>
      <c r="E476" s="41" t="s">
        <v>186</v>
      </c>
      <c r="F476" s="111">
        <v>6839.48</v>
      </c>
      <c r="G476" s="111">
        <v>6826.21</v>
      </c>
      <c r="H476" s="111">
        <v>6870.9</v>
      </c>
      <c r="I476" s="111">
        <v>6834.68</v>
      </c>
      <c r="J476" s="111">
        <v>6894.53</v>
      </c>
      <c r="K476" s="111">
        <v>6858.91</v>
      </c>
      <c r="L476" s="111">
        <v>6859.58</v>
      </c>
      <c r="M476" s="111">
        <v>6862.33</v>
      </c>
      <c r="N476" s="111">
        <v>6947.74</v>
      </c>
      <c r="O476" s="41">
        <f>IF((N477=""),"",MAX(F478:N478))</f>
        <v>4023.8600000000006</v>
      </c>
      <c r="P476" s="41">
        <f>IF(N477="","",MIN(F478:N478))</f>
        <v>3680.4400000000005</v>
      </c>
      <c r="Q476" s="42">
        <f>IF((N478=""),"",AVERAGE(F478:N478))</f>
        <v>3900.0977777777775</v>
      </c>
      <c r="R476" s="42">
        <f>IF((N477=""),"",(O476-P476)/(O476+P476)*100)</f>
        <v>4.4575107407551631</v>
      </c>
      <c r="S476" s="113">
        <f>STDEV(F478:N478)</f>
        <v>119.54010140720344</v>
      </c>
      <c r="T476" s="119" t="str">
        <f>IF(N477="","",IF(Q476&gt;3650,IF(R476&lt;7,IF(Q476&lt;4450,"Pass","Fail"),"Fail"),"Fail"))</f>
        <v>Pass</v>
      </c>
      <c r="U476" s="145" t="s">
        <v>53</v>
      </c>
      <c r="V476" s="11" t="s">
        <v>204</v>
      </c>
      <c r="X476" s="116">
        <v>3650</v>
      </c>
      <c r="Y476" s="116">
        <v>4450</v>
      </c>
      <c r="Z476" s="116">
        <v>3700</v>
      </c>
      <c r="AA476" s="116">
        <v>4100</v>
      </c>
      <c r="AB476" s="31">
        <v>7</v>
      </c>
      <c r="AC476" s="31">
        <v>6.5</v>
      </c>
    </row>
    <row r="477" spans="1:29" ht="15.6" x14ac:dyDescent="0.3">
      <c r="A477"/>
      <c r="B477" s="24"/>
      <c r="C477" s="6"/>
      <c r="D477" s="6"/>
      <c r="E477" s="61" t="s">
        <v>187</v>
      </c>
      <c r="F477" s="8">
        <v>4945.67</v>
      </c>
      <c r="G477" s="8">
        <v>4843.21</v>
      </c>
      <c r="H477" s="8">
        <v>4860.76</v>
      </c>
      <c r="I477" s="8">
        <v>4848.45</v>
      </c>
      <c r="J477" s="8">
        <v>4994.22</v>
      </c>
      <c r="K477" s="8">
        <v>5018.6899999999996</v>
      </c>
      <c r="L477" s="8">
        <v>4877.9399999999996</v>
      </c>
      <c r="M477" s="8">
        <v>4850.3999999999996</v>
      </c>
      <c r="N477" s="8">
        <v>5004.58</v>
      </c>
      <c r="O477" s="61"/>
      <c r="P477" s="61"/>
      <c r="Q477" s="62"/>
      <c r="R477" s="62"/>
      <c r="S477" s="139"/>
      <c r="T477" s="8"/>
      <c r="U477" s="146"/>
      <c r="X477" s="118"/>
      <c r="Y477" s="118"/>
      <c r="Z477" s="118"/>
      <c r="AA477" s="118"/>
    </row>
    <row r="478" spans="1:29" ht="27" customHeight="1" x14ac:dyDescent="0.3">
      <c r="A478"/>
      <c r="B478" s="24"/>
      <c r="C478" s="6"/>
      <c r="D478" s="6"/>
      <c r="E478" s="61" t="s">
        <v>188</v>
      </c>
      <c r="F478" s="40">
        <f t="shared" ref="F478:N478" si="154">IF(((F476="")*AND(F477="")),"",(F476-F477)*2)</f>
        <v>3787.619999999999</v>
      </c>
      <c r="G478" s="40">
        <f t="shared" si="154"/>
        <v>3966</v>
      </c>
      <c r="H478" s="40">
        <f t="shared" si="154"/>
        <v>4020.2799999999988</v>
      </c>
      <c r="I478" s="40">
        <f t="shared" si="154"/>
        <v>3972.4600000000009</v>
      </c>
      <c r="J478" s="40">
        <f t="shared" si="154"/>
        <v>3800.619999999999</v>
      </c>
      <c r="K478" s="40">
        <f t="shared" si="154"/>
        <v>3680.4400000000005</v>
      </c>
      <c r="L478" s="40">
        <f t="shared" si="154"/>
        <v>3963.2800000000007</v>
      </c>
      <c r="M478" s="40">
        <f t="shared" si="154"/>
        <v>4023.8600000000006</v>
      </c>
      <c r="N478" s="40">
        <f t="shared" si="154"/>
        <v>3886.3199999999997</v>
      </c>
      <c r="O478" s="61"/>
      <c r="P478" s="61"/>
      <c r="Q478" s="62"/>
      <c r="R478" s="62"/>
      <c r="S478" s="139"/>
      <c r="T478" s="8"/>
      <c r="U478" s="146"/>
      <c r="X478" s="118"/>
      <c r="Y478" s="118"/>
      <c r="Z478" s="118"/>
      <c r="AA478" s="118"/>
    </row>
    <row r="479" spans="1:29" x14ac:dyDescent="0.25">
      <c r="A479" s="210">
        <v>43320</v>
      </c>
      <c r="B479" s="215" t="s">
        <v>169</v>
      </c>
      <c r="C479" s="6" t="s">
        <v>171</v>
      </c>
      <c r="D479" s="6" t="s">
        <v>189</v>
      </c>
      <c r="E479" s="61" t="s">
        <v>186</v>
      </c>
      <c r="F479" s="8">
        <v>1938.66</v>
      </c>
      <c r="G479" s="8">
        <v>1935.67</v>
      </c>
      <c r="H479" s="8">
        <v>1931.73</v>
      </c>
      <c r="I479" s="8">
        <v>1932.9</v>
      </c>
      <c r="J479" s="8">
        <v>1939.29</v>
      </c>
      <c r="K479" s="8">
        <v>1940.86</v>
      </c>
      <c r="L479" s="8">
        <v>1932.62</v>
      </c>
      <c r="M479" s="8">
        <v>1933.16</v>
      </c>
      <c r="N479" s="8">
        <v>1936.88</v>
      </c>
      <c r="O479" s="61">
        <f>IF((N480=""),"",MAX(F481:N481))</f>
        <v>2056.9500000000003</v>
      </c>
      <c r="P479" s="61">
        <f>IF(N480="","",MIN(F481:N481))</f>
        <v>1995.8999999999999</v>
      </c>
      <c r="Q479" s="62">
        <f>IF((N481=""),"",AVERAGE(F481:N481))</f>
        <v>2027.5500000000002</v>
      </c>
      <c r="R479" s="62">
        <f>IF((N480=""),"",(O479-P479)/(O479+P479)*100)</f>
        <v>1.5063473851734064</v>
      </c>
      <c r="S479" s="113">
        <f>STDEV(F481:N481)</f>
        <v>21.512735181747718</v>
      </c>
      <c r="T479" s="5" t="str">
        <f>IF(N480="","",IF(Q479&gt;1940,IF(R479&lt;8.3,IF(Q479&lt;2180,"Pass","Fail"),"Fail"),"Fail"))</f>
        <v>Pass</v>
      </c>
      <c r="U479" s="140" t="s">
        <v>53</v>
      </c>
      <c r="V479" s="11" t="s">
        <v>204</v>
      </c>
      <c r="X479" s="116">
        <v>2000</v>
      </c>
      <c r="Y479" s="116">
        <v>3000</v>
      </c>
      <c r="Z479" s="116">
        <v>1940</v>
      </c>
      <c r="AA479" s="116">
        <v>2180</v>
      </c>
      <c r="AB479" s="31">
        <v>5.2</v>
      </c>
      <c r="AC479" s="31">
        <v>5.2</v>
      </c>
    </row>
    <row r="480" spans="1:29" ht="15.6" x14ac:dyDescent="0.3">
      <c r="A480"/>
      <c r="B480" s="24"/>
      <c r="C480" s="6"/>
      <c r="D480" s="6"/>
      <c r="E480" s="61" t="s">
        <v>187</v>
      </c>
      <c r="F480" s="8">
        <v>1265.73</v>
      </c>
      <c r="G480" s="8">
        <v>1250.02</v>
      </c>
      <c r="H480" s="8">
        <v>1251</v>
      </c>
      <c r="I480" s="8">
        <v>1256.01</v>
      </c>
      <c r="J480" s="8">
        <v>1273.99</v>
      </c>
      <c r="K480" s="8">
        <v>1271.67</v>
      </c>
      <c r="L480" s="8">
        <v>1255.83</v>
      </c>
      <c r="M480" s="8">
        <v>1247.8499999999999</v>
      </c>
      <c r="N480" s="8">
        <v>1267.02</v>
      </c>
      <c r="O480" s="61"/>
      <c r="P480" s="61"/>
      <c r="Q480" s="62"/>
      <c r="R480" s="62"/>
      <c r="S480" s="139"/>
      <c r="T480" s="5"/>
      <c r="U480" s="140"/>
      <c r="X480" s="118"/>
      <c r="Y480" s="118"/>
      <c r="Z480" s="118"/>
      <c r="AA480" s="118"/>
    </row>
    <row r="481" spans="1:29" ht="27" customHeight="1" x14ac:dyDescent="0.3">
      <c r="A481"/>
      <c r="B481" s="24"/>
      <c r="C481" s="6"/>
      <c r="D481" s="6"/>
      <c r="E481" s="61" t="s">
        <v>190</v>
      </c>
      <c r="F481" s="40">
        <f t="shared" ref="F481:N481" si="155">IF(((F479="")*AND(F480="")),"",(F479-F480)*3)</f>
        <v>2018.7900000000002</v>
      </c>
      <c r="G481" s="40">
        <f t="shared" si="155"/>
        <v>2056.9500000000003</v>
      </c>
      <c r="H481" s="40">
        <f t="shared" si="155"/>
        <v>2042.19</v>
      </c>
      <c r="I481" s="40">
        <f t="shared" si="155"/>
        <v>2030.6700000000003</v>
      </c>
      <c r="J481" s="40">
        <f t="shared" si="155"/>
        <v>1995.8999999999999</v>
      </c>
      <c r="K481" s="40">
        <f t="shared" si="155"/>
        <v>2007.5699999999995</v>
      </c>
      <c r="L481" s="40">
        <f t="shared" si="155"/>
        <v>2030.37</v>
      </c>
      <c r="M481" s="40">
        <f t="shared" si="155"/>
        <v>2055.9300000000003</v>
      </c>
      <c r="N481" s="40">
        <f t="shared" si="155"/>
        <v>2009.5800000000004</v>
      </c>
      <c r="O481" s="61"/>
      <c r="P481" s="61"/>
      <c r="Q481" s="62"/>
      <c r="R481" s="62"/>
      <c r="S481" s="139"/>
      <c r="T481" s="5"/>
      <c r="U481" s="140"/>
      <c r="X481" s="118"/>
      <c r="Y481" s="118"/>
      <c r="Z481" s="118"/>
      <c r="AA481" s="118"/>
    </row>
    <row r="482" spans="1:29" x14ac:dyDescent="0.25">
      <c r="A482" s="210">
        <v>43320</v>
      </c>
      <c r="B482" s="218" t="s">
        <v>185</v>
      </c>
      <c r="C482" s="6" t="s">
        <v>173</v>
      </c>
      <c r="D482" s="6" t="s">
        <v>172</v>
      </c>
      <c r="E482" s="61" t="s">
        <v>186</v>
      </c>
      <c r="F482" s="8">
        <v>26122.21</v>
      </c>
      <c r="G482" s="8">
        <v>26254.959999999999</v>
      </c>
      <c r="H482" s="8">
        <v>26351.23</v>
      </c>
      <c r="I482" s="8">
        <v>26250.27</v>
      </c>
      <c r="J482" s="8">
        <v>26096.11</v>
      </c>
      <c r="K482" s="8">
        <v>26137.99</v>
      </c>
      <c r="L482" s="8">
        <v>26273.69</v>
      </c>
      <c r="M482" s="8">
        <v>26226.48</v>
      </c>
      <c r="N482" s="8">
        <v>26048.83</v>
      </c>
      <c r="O482" s="61">
        <f>IF((N483=""),"",MAX(F484:N484))</f>
        <v>4519.1999999999935</v>
      </c>
      <c r="P482" s="61">
        <f>IF(N483="","",MIN(F484:N484))</f>
        <v>4060.0800000000017</v>
      </c>
      <c r="Q482" s="62">
        <f>IF((N484=""),"",AVERAGE(F484:N484))</f>
        <v>4252.329999999999</v>
      </c>
      <c r="R482" s="62">
        <f>IF((N483=""),"",(O482-P482)/(O482+P482)*100)</f>
        <v>5.3514980278064357</v>
      </c>
      <c r="S482" s="113">
        <f>STDEV(F484:N484)</f>
        <v>175.78514399686941</v>
      </c>
      <c r="T482" s="5" t="str">
        <f>IF(N483="","",IF(R482&lt;16,IF(Q482&gt;3200,IF(R482,IF(Q482&lt;5240,"Pass","Fail"),"Fail"),"Fail")))</f>
        <v>Pass</v>
      </c>
      <c r="U482" s="140" t="s">
        <v>53</v>
      </c>
      <c r="V482" s="11" t="s">
        <v>204</v>
      </c>
      <c r="X482" s="116">
        <v>4200</v>
      </c>
      <c r="Y482" s="116">
        <v>5500</v>
      </c>
      <c r="Z482" s="116">
        <v>3200</v>
      </c>
      <c r="AA482" s="116">
        <v>5240</v>
      </c>
      <c r="AB482" s="31">
        <v>16</v>
      </c>
      <c r="AC482" s="31">
        <v>16</v>
      </c>
    </row>
    <row r="483" spans="1:29" ht="15.6" x14ac:dyDescent="0.3">
      <c r="A483"/>
      <c r="B483" s="24"/>
      <c r="C483" s="6"/>
      <c r="D483" s="6"/>
      <c r="E483" s="61" t="s">
        <v>187</v>
      </c>
      <c r="F483" s="8">
        <v>24615.81</v>
      </c>
      <c r="G483" s="8">
        <v>24874.9</v>
      </c>
      <c r="H483" s="8">
        <v>24997.87</v>
      </c>
      <c r="I483" s="8">
        <v>24883.32</v>
      </c>
      <c r="J483" s="8">
        <v>24641.73</v>
      </c>
      <c r="K483" s="8">
        <v>24671.02</v>
      </c>
      <c r="L483" s="8">
        <v>24897.32</v>
      </c>
      <c r="M483" s="8">
        <v>24854.27</v>
      </c>
      <c r="N483" s="8">
        <v>24568.54</v>
      </c>
      <c r="O483" s="61"/>
      <c r="P483" s="61"/>
      <c r="Q483" s="62"/>
      <c r="R483" s="62"/>
      <c r="S483" s="139"/>
      <c r="T483" s="5"/>
      <c r="U483" s="140"/>
      <c r="X483" s="118"/>
      <c r="Y483" s="118"/>
      <c r="Z483" s="118"/>
      <c r="AA483" s="118"/>
    </row>
    <row r="484" spans="1:29" ht="23.4" thickBot="1" x14ac:dyDescent="0.35">
      <c r="A484"/>
      <c r="B484" s="63"/>
      <c r="C484" s="64"/>
      <c r="D484" s="64"/>
      <c r="E484" s="65" t="s">
        <v>188</v>
      </c>
      <c r="F484" s="53">
        <f t="shared" ref="F484:N484" si="156">IF(((F482="")*AND(F483="")),"",(F482-F483)*3)</f>
        <v>4519.1999999999935</v>
      </c>
      <c r="G484" s="53">
        <f t="shared" si="156"/>
        <v>4140.179999999993</v>
      </c>
      <c r="H484" s="53">
        <f t="shared" si="156"/>
        <v>4060.0800000000017</v>
      </c>
      <c r="I484" s="53">
        <f t="shared" si="156"/>
        <v>4100.8500000000022</v>
      </c>
      <c r="J484" s="53">
        <f t="shared" si="156"/>
        <v>4363.1400000000031</v>
      </c>
      <c r="K484" s="53">
        <f t="shared" si="156"/>
        <v>4400.9100000000035</v>
      </c>
      <c r="L484" s="53">
        <f t="shared" si="156"/>
        <v>4129.1099999999969</v>
      </c>
      <c r="M484" s="53">
        <f t="shared" si="156"/>
        <v>4116.6299999999974</v>
      </c>
      <c r="N484" s="53">
        <f t="shared" si="156"/>
        <v>4440.8700000000026</v>
      </c>
      <c r="O484" s="65"/>
      <c r="P484" s="65"/>
      <c r="Q484" s="66"/>
      <c r="R484" s="66"/>
      <c r="S484" s="142"/>
      <c r="T484" s="143"/>
      <c r="U484" s="144"/>
      <c r="X484" s="118"/>
      <c r="Y484" s="118"/>
      <c r="Z484" s="118"/>
      <c r="AA484" s="118"/>
    </row>
    <row r="485" spans="1:29" x14ac:dyDescent="0.25">
      <c r="A485" s="207">
        <v>43322</v>
      </c>
      <c r="B485" s="219" t="s">
        <v>174</v>
      </c>
      <c r="C485" s="39" t="s">
        <v>176</v>
      </c>
      <c r="D485" s="44" t="s">
        <v>175</v>
      </c>
      <c r="E485" s="41" t="s">
        <v>186</v>
      </c>
      <c r="F485" s="11">
        <v>4953.6000000000004</v>
      </c>
      <c r="G485" s="11">
        <v>4853.66</v>
      </c>
      <c r="H485" s="11">
        <v>4870.76</v>
      </c>
      <c r="I485" s="11">
        <v>4858.71</v>
      </c>
      <c r="J485" s="11">
        <v>5000.79</v>
      </c>
      <c r="K485" s="11">
        <v>5025</v>
      </c>
      <c r="L485" s="11">
        <v>4887.74</v>
      </c>
      <c r="M485" s="11">
        <v>4860.87</v>
      </c>
      <c r="N485" s="11">
        <v>5011.5</v>
      </c>
      <c r="O485" s="41">
        <f>IF((N486=""),"",MAX(F487:N487))</f>
        <v>4035.6400000000003</v>
      </c>
      <c r="P485" s="41">
        <f>IF(N486="","",MIN(F487:N487))</f>
        <v>3675.62</v>
      </c>
      <c r="Q485" s="42">
        <f>IF((N487=""),"",AVERAGE(F487:N487))</f>
        <v>3908.1888888888884</v>
      </c>
      <c r="R485" s="42">
        <f>IF((N486=""),"",(O485-P485)/(O485+P485)*100)</f>
        <v>4.66875711621707</v>
      </c>
      <c r="S485" s="113">
        <f>STDEV(F487:N487)</f>
        <v>127.82060362520221</v>
      </c>
      <c r="T485" s="119" t="str">
        <f>IF(N486="","",IF(Q485&gt;3650,IF(R485&lt;7,IF(Q485&lt;4450,"Pass","Fail"),"Fail"),"Fail"))</f>
        <v>Pass</v>
      </c>
      <c r="U485" s="145">
        <v>1428</v>
      </c>
      <c r="X485" s="116">
        <v>3650</v>
      </c>
      <c r="Y485" s="116">
        <v>4450</v>
      </c>
      <c r="Z485" s="116">
        <v>3700</v>
      </c>
      <c r="AA485" s="116">
        <v>4100</v>
      </c>
      <c r="AB485" s="31">
        <v>7</v>
      </c>
      <c r="AC485" s="31">
        <v>6.5</v>
      </c>
    </row>
    <row r="486" spans="1:29" ht="15.6" x14ac:dyDescent="0.3">
      <c r="A486"/>
      <c r="B486" s="24"/>
      <c r="C486" s="6"/>
      <c r="D486" s="6"/>
      <c r="E486" s="61" t="s">
        <v>187</v>
      </c>
      <c r="F486" s="11">
        <v>3052.71</v>
      </c>
      <c r="G486" s="11">
        <v>2859.34</v>
      </c>
      <c r="H486" s="11">
        <v>2852.94</v>
      </c>
      <c r="I486" s="11">
        <v>2863.09</v>
      </c>
      <c r="J486" s="11">
        <v>3105.68</v>
      </c>
      <c r="K486" s="11">
        <v>3187.19</v>
      </c>
      <c r="L486" s="11">
        <v>2899.51</v>
      </c>
      <c r="M486" s="11">
        <v>2843.09</v>
      </c>
      <c r="N486" s="11">
        <v>3072.23</v>
      </c>
      <c r="O486" s="61"/>
      <c r="P486" s="61"/>
      <c r="Q486" s="62"/>
      <c r="R486" s="62"/>
      <c r="S486" s="139"/>
      <c r="T486" s="8"/>
      <c r="U486" s="146"/>
      <c r="X486" s="118"/>
      <c r="Y486" s="118"/>
      <c r="Z486" s="118"/>
      <c r="AA486" s="118"/>
    </row>
    <row r="487" spans="1:29" ht="22.8" x14ac:dyDescent="0.3">
      <c r="A487"/>
      <c r="B487" s="24"/>
      <c r="C487" s="6"/>
      <c r="D487" s="6"/>
      <c r="E487" s="61" t="s">
        <v>188</v>
      </c>
      <c r="F487" s="40">
        <f t="shared" ref="F487:N487" si="157">IF(((F485="")*AND(F486="")),"",(F485-F486)*2)</f>
        <v>3801.7800000000007</v>
      </c>
      <c r="G487" s="40">
        <f t="shared" si="157"/>
        <v>3988.6399999999994</v>
      </c>
      <c r="H487" s="40">
        <f t="shared" si="157"/>
        <v>4035.6400000000003</v>
      </c>
      <c r="I487" s="40">
        <f t="shared" si="157"/>
        <v>3991.24</v>
      </c>
      <c r="J487" s="40">
        <f t="shared" si="157"/>
        <v>3790.2200000000003</v>
      </c>
      <c r="K487" s="40">
        <f t="shared" si="157"/>
        <v>3675.62</v>
      </c>
      <c r="L487" s="40">
        <f t="shared" si="157"/>
        <v>3976.4599999999991</v>
      </c>
      <c r="M487" s="40">
        <f t="shared" si="157"/>
        <v>4035.5599999999995</v>
      </c>
      <c r="N487" s="40">
        <f t="shared" si="157"/>
        <v>3878.54</v>
      </c>
      <c r="O487" s="61"/>
      <c r="P487" s="61"/>
      <c r="Q487" s="62"/>
      <c r="R487" s="62"/>
      <c r="S487" s="139"/>
      <c r="T487" s="8"/>
      <c r="U487" s="146"/>
      <c r="X487" s="118"/>
      <c r="Y487" s="118"/>
      <c r="Z487" s="118"/>
      <c r="AA487" s="118"/>
    </row>
    <row r="488" spans="1:29" x14ac:dyDescent="0.25">
      <c r="A488" s="210">
        <v>43322</v>
      </c>
      <c r="B488" s="215" t="s">
        <v>169</v>
      </c>
      <c r="C488" s="6" t="s">
        <v>171</v>
      </c>
      <c r="D488" s="6" t="s">
        <v>189</v>
      </c>
      <c r="E488" s="61" t="s">
        <v>186</v>
      </c>
      <c r="F488" s="11">
        <v>1273.8399999999999</v>
      </c>
      <c r="G488" s="11">
        <v>1251.7</v>
      </c>
      <c r="H488" s="11">
        <v>1253.77</v>
      </c>
      <c r="I488" s="11">
        <v>1259.04</v>
      </c>
      <c r="J488" s="11">
        <v>1276.1099999999999</v>
      </c>
      <c r="K488" s="11">
        <v>1273.43</v>
      </c>
      <c r="L488" s="11">
        <v>1258.04</v>
      </c>
      <c r="M488" s="11">
        <v>1249.3800000000001</v>
      </c>
      <c r="N488" s="11">
        <v>1271.74</v>
      </c>
      <c r="O488" s="61">
        <f>IF((N489=""),"",MAX(F490:N490))</f>
        <v>2061.5099999999998</v>
      </c>
      <c r="P488" s="61">
        <f>IF(N489="","",MIN(F490:N490))</f>
        <v>1972.2599999999995</v>
      </c>
      <c r="Q488" s="62">
        <f>IF((N490=""),"",AVERAGE(F490:N490))</f>
        <v>2034.1366666666665</v>
      </c>
      <c r="R488" s="62">
        <f>IF((N489=""),"",(O488-P488)/(O488+P488)*100)</f>
        <v>2.2125703746123415</v>
      </c>
      <c r="S488" s="113">
        <f>STDEV(F490:N490)</f>
        <v>32.939218266376628</v>
      </c>
      <c r="T488" s="5" t="str">
        <f>IF(N489="","",IF(Q488&gt;1940,IF(R488&lt;8.3,IF(Q488&lt;2180,"Pass","Fail"),"Fail"),"Fail"))</f>
        <v>Pass</v>
      </c>
      <c r="U488" s="140">
        <v>1428</v>
      </c>
      <c r="X488" s="116">
        <v>2000</v>
      </c>
      <c r="Y488" s="116">
        <v>3000</v>
      </c>
      <c r="Z488" s="116">
        <v>1940</v>
      </c>
      <c r="AA488" s="116">
        <v>2180</v>
      </c>
      <c r="AB488" s="31">
        <v>5.2</v>
      </c>
      <c r="AC488" s="31">
        <v>5.2</v>
      </c>
    </row>
    <row r="489" spans="1:29" ht="15.6" x14ac:dyDescent="0.3">
      <c r="A489"/>
      <c r="B489" s="24"/>
      <c r="C489" s="6"/>
      <c r="D489" s="6"/>
      <c r="E489" s="61" t="s">
        <v>187</v>
      </c>
      <c r="F489" s="11">
        <v>587.09</v>
      </c>
      <c r="G489" s="11">
        <v>564.78</v>
      </c>
      <c r="H489" s="11">
        <v>566.6</v>
      </c>
      <c r="I489" s="11">
        <v>577.66</v>
      </c>
      <c r="J489" s="11">
        <v>618.69000000000005</v>
      </c>
      <c r="K489" s="11">
        <v>606.55999999999995</v>
      </c>
      <c r="L489" s="11">
        <v>577.97</v>
      </c>
      <c r="M489" s="11">
        <v>562.49</v>
      </c>
      <c r="N489" s="11">
        <v>602.79999999999995</v>
      </c>
      <c r="O489" s="61"/>
      <c r="P489" s="61"/>
      <c r="Q489" s="62"/>
      <c r="R489" s="62"/>
      <c r="S489" s="139"/>
      <c r="T489" s="5"/>
      <c r="U489" s="140"/>
      <c r="X489" s="118"/>
      <c r="Y489" s="118"/>
      <c r="Z489" s="118"/>
      <c r="AA489" s="118"/>
    </row>
    <row r="490" spans="1:29" ht="15.6" x14ac:dyDescent="0.3">
      <c r="A490"/>
      <c r="B490" s="24"/>
      <c r="C490" s="6"/>
      <c r="D490" s="6"/>
      <c r="E490" s="61" t="s">
        <v>190</v>
      </c>
      <c r="F490" s="40">
        <f t="shared" ref="F490:N490" si="158">IF(((F488="")*AND(F489="")),"",(F488-F489)*3)</f>
        <v>2060.2499999999995</v>
      </c>
      <c r="G490" s="40">
        <f t="shared" si="158"/>
        <v>2060.7600000000002</v>
      </c>
      <c r="H490" s="40">
        <f t="shared" si="158"/>
        <v>2061.5099999999998</v>
      </c>
      <c r="I490" s="40">
        <f t="shared" si="158"/>
        <v>2044.1399999999999</v>
      </c>
      <c r="J490" s="40">
        <f t="shared" si="158"/>
        <v>1972.2599999999995</v>
      </c>
      <c r="K490" s="40">
        <f t="shared" si="158"/>
        <v>2000.6100000000004</v>
      </c>
      <c r="L490" s="40">
        <f t="shared" si="158"/>
        <v>2040.2099999999998</v>
      </c>
      <c r="M490" s="40">
        <f t="shared" si="158"/>
        <v>2060.67</v>
      </c>
      <c r="N490" s="40">
        <f t="shared" si="158"/>
        <v>2006.8200000000002</v>
      </c>
      <c r="O490" s="61"/>
      <c r="P490" s="61"/>
      <c r="Q490" s="62"/>
      <c r="R490" s="62"/>
      <c r="S490" s="139"/>
      <c r="T490" s="5"/>
      <c r="U490" s="140"/>
      <c r="X490" s="118"/>
      <c r="Y490" s="118"/>
      <c r="Z490" s="118"/>
      <c r="AA490" s="118"/>
    </row>
    <row r="491" spans="1:29" x14ac:dyDescent="0.25">
      <c r="A491" s="210">
        <v>43322</v>
      </c>
      <c r="B491" s="218" t="s">
        <v>185</v>
      </c>
      <c r="C491" s="6" t="s">
        <v>173</v>
      </c>
      <c r="D491" s="6" t="s">
        <v>172</v>
      </c>
      <c r="E491" s="61" t="s">
        <v>186</v>
      </c>
      <c r="F491" s="11">
        <v>24586.41</v>
      </c>
      <c r="G491" s="11">
        <v>24844.32</v>
      </c>
      <c r="H491" s="11">
        <v>24966.42</v>
      </c>
      <c r="I491" s="11">
        <v>24854.55</v>
      </c>
      <c r="J491" s="11">
        <v>24604.13</v>
      </c>
      <c r="K491" s="11">
        <v>24649.67</v>
      </c>
      <c r="L491" s="11">
        <v>24866.05</v>
      </c>
      <c r="M491" s="11">
        <v>24816.76</v>
      </c>
      <c r="N491" s="11">
        <v>24525.46</v>
      </c>
      <c r="O491" s="61">
        <f>IF((N492=""),"",MAX(F493:N493))</f>
        <v>4451.1599999999926</v>
      </c>
      <c r="P491" s="61">
        <f>IF(N492="","",MIN(F493:N493))</f>
        <v>4045.8599999999969</v>
      </c>
      <c r="Q491" s="62">
        <f>IF((N493=""),"",AVERAGE(F493:N493))</f>
        <v>4233.5533333333296</v>
      </c>
      <c r="R491" s="62">
        <f>IF((N492=""),"",(O491-P491)/(O491+P491)*100)</f>
        <v>4.7699075675942408</v>
      </c>
      <c r="S491" s="113">
        <f>STDEV(F493:N493)</f>
        <v>170.56541560351369</v>
      </c>
      <c r="T491" s="5" t="str">
        <f>IF(N492="","",IF(R491&lt;16,IF(Q491&gt;3200,IF(R491,IF(Q491&lt;5240,"Pass","Fail"),"Fail"),"Fail")))</f>
        <v>Pass</v>
      </c>
      <c r="U491" s="140">
        <v>1428</v>
      </c>
      <c r="X491" s="116">
        <v>4200</v>
      </c>
      <c r="Y491" s="116">
        <v>5500</v>
      </c>
      <c r="Z491" s="116">
        <v>3200</v>
      </c>
      <c r="AA491" s="116">
        <v>5240</v>
      </c>
      <c r="AB491" s="31">
        <v>16</v>
      </c>
      <c r="AC491" s="31">
        <v>16</v>
      </c>
    </row>
    <row r="492" spans="1:29" ht="15.6" x14ac:dyDescent="0.3">
      <c r="A492"/>
      <c r="B492" s="24"/>
      <c r="C492" s="6"/>
      <c r="D492" s="6"/>
      <c r="E492" s="61" t="s">
        <v>187</v>
      </c>
      <c r="F492" s="11">
        <v>23128.33</v>
      </c>
      <c r="G492" s="11">
        <v>23478.21</v>
      </c>
      <c r="H492" s="11">
        <v>23617.8</v>
      </c>
      <c r="I492" s="11">
        <v>23477.53</v>
      </c>
      <c r="J492" s="11">
        <v>23131.24</v>
      </c>
      <c r="K492" s="11">
        <v>23183.88</v>
      </c>
      <c r="L492" s="11">
        <v>23508.34</v>
      </c>
      <c r="M492" s="11">
        <v>23446.04</v>
      </c>
      <c r="N492" s="11">
        <v>23041.74</v>
      </c>
      <c r="O492" s="61"/>
      <c r="P492" s="61"/>
      <c r="Q492" s="62"/>
      <c r="R492" s="62"/>
      <c r="S492" s="139"/>
      <c r="T492" s="5"/>
      <c r="U492" s="140"/>
      <c r="X492" s="118"/>
      <c r="Y492" s="118"/>
      <c r="Z492" s="118"/>
      <c r="AA492" s="118"/>
    </row>
    <row r="493" spans="1:29" ht="23.4" thickBot="1" x14ac:dyDescent="0.35">
      <c r="A493"/>
      <c r="B493" s="67"/>
      <c r="C493" s="46"/>
      <c r="D493" s="46"/>
      <c r="E493" s="48" t="s">
        <v>188</v>
      </c>
      <c r="F493" s="45">
        <f t="shared" ref="F493:N493" si="159">IF(((F491="")*AND(F492="")),"",(F491-F492)*3)</f>
        <v>4374.2399999999943</v>
      </c>
      <c r="G493" s="45">
        <f t="shared" si="159"/>
        <v>4098.3300000000017</v>
      </c>
      <c r="H493" s="45">
        <f t="shared" si="159"/>
        <v>4045.8599999999969</v>
      </c>
      <c r="I493" s="45">
        <f t="shared" si="159"/>
        <v>4131.0600000000013</v>
      </c>
      <c r="J493" s="45">
        <f t="shared" si="159"/>
        <v>4418.6699999999983</v>
      </c>
      <c r="K493" s="45">
        <f t="shared" si="159"/>
        <v>4397.3699999999917</v>
      </c>
      <c r="L493" s="45">
        <f t="shared" si="159"/>
        <v>4073.1299999999974</v>
      </c>
      <c r="M493" s="45">
        <f t="shared" si="159"/>
        <v>4112.1599999999926</v>
      </c>
      <c r="N493" s="45">
        <f t="shared" si="159"/>
        <v>4451.1599999999926</v>
      </c>
      <c r="O493" s="48"/>
      <c r="P493" s="48"/>
      <c r="Q493" s="49"/>
      <c r="R493" s="49"/>
      <c r="S493" s="147"/>
      <c r="T493" s="121"/>
      <c r="U493" s="148"/>
      <c r="X493" s="118"/>
      <c r="Y493" s="118"/>
      <c r="Z493" s="118"/>
      <c r="AA493" s="118"/>
    </row>
    <row r="494" spans="1:29" x14ac:dyDescent="0.25">
      <c r="A494" s="209">
        <v>43328</v>
      </c>
      <c r="B494" s="217" t="s">
        <v>174</v>
      </c>
      <c r="C494" s="44" t="s">
        <v>176</v>
      </c>
      <c r="D494" s="44" t="s">
        <v>175</v>
      </c>
      <c r="E494" s="59" t="s">
        <v>186</v>
      </c>
      <c r="F494" s="136">
        <v>6945.23</v>
      </c>
      <c r="G494" s="136">
        <v>6937.17</v>
      </c>
      <c r="H494" s="136">
        <v>6986.48</v>
      </c>
      <c r="I494" s="136">
        <v>6948.31</v>
      </c>
      <c r="J494" s="136">
        <v>6995.27</v>
      </c>
      <c r="K494" s="136">
        <v>6958.84</v>
      </c>
      <c r="L494" s="136">
        <v>6969.59</v>
      </c>
      <c r="M494" s="136">
        <v>6978.8</v>
      </c>
      <c r="N494" s="136">
        <v>7054.81</v>
      </c>
      <c r="O494" s="59">
        <f>IF((N495=""),"",MAX(F496:N496))</f>
        <v>4069.9799999999996</v>
      </c>
      <c r="P494" s="59">
        <f>IF(N495="","",MIN(F496:N496))</f>
        <v>3741.6200000000008</v>
      </c>
      <c r="Q494" s="60">
        <f>IF((N496=""),"",AVERAGE(F496:N496))</f>
        <v>3950.3333333333335</v>
      </c>
      <c r="R494" s="60">
        <f>IF((N495=""),"",(O494-P494)/(O494+P494)*100)</f>
        <v>4.2034922423062975</v>
      </c>
      <c r="S494" s="113">
        <f>STDEV(F496:N496)</f>
        <v>116.86572123595516</v>
      </c>
      <c r="T494" s="137" t="str">
        <f>IF(N495="","",IF(Q494&gt;3650,IF(R494&lt;7,IF(Q494&lt;4450,"Pass","Fail"),"Fail"),"Fail"))</f>
        <v>Pass</v>
      </c>
      <c r="U494" s="149">
        <v>1335</v>
      </c>
      <c r="X494" s="116">
        <v>3650</v>
      </c>
      <c r="Y494" s="116">
        <v>4450</v>
      </c>
      <c r="Z494" s="116">
        <v>3700</v>
      </c>
      <c r="AA494" s="116">
        <v>4100</v>
      </c>
      <c r="AB494" s="31">
        <v>7</v>
      </c>
      <c r="AC494" s="31">
        <v>6.5</v>
      </c>
    </row>
    <row r="495" spans="1:29" ht="15.6" x14ac:dyDescent="0.3">
      <c r="A495"/>
      <c r="B495" s="24"/>
      <c r="C495" s="6"/>
      <c r="D495" s="6"/>
      <c r="E495" s="61" t="s">
        <v>187</v>
      </c>
      <c r="F495" s="8">
        <v>5016.49</v>
      </c>
      <c r="G495" s="8">
        <v>4920.8</v>
      </c>
      <c r="H495" s="8">
        <v>4951.49</v>
      </c>
      <c r="I495" s="8">
        <v>4938.37</v>
      </c>
      <c r="J495" s="8">
        <v>5075.3900000000003</v>
      </c>
      <c r="K495" s="8">
        <v>5088.03</v>
      </c>
      <c r="L495" s="8">
        <v>4963.2700000000004</v>
      </c>
      <c r="M495" s="8">
        <v>4945.3999999999996</v>
      </c>
      <c r="N495" s="8">
        <v>5098.76</v>
      </c>
      <c r="O495" s="61"/>
      <c r="P495" s="61"/>
      <c r="Q495" s="62"/>
      <c r="R495" s="62"/>
      <c r="S495" s="139"/>
      <c r="T495" s="8"/>
      <c r="U495" s="146"/>
      <c r="X495" s="118"/>
      <c r="Y495" s="118"/>
      <c r="Z495" s="118"/>
      <c r="AA495" s="118"/>
    </row>
    <row r="496" spans="1:29" ht="22.8" x14ac:dyDescent="0.3">
      <c r="A496"/>
      <c r="B496" s="24"/>
      <c r="C496" s="6"/>
      <c r="D496" s="6"/>
      <c r="E496" s="61" t="s">
        <v>188</v>
      </c>
      <c r="F496" s="40">
        <f t="shared" ref="F496:N496" si="160">IF(((F494="")*AND(F495="")),"",(F494-F495)*2)</f>
        <v>3857.4799999999996</v>
      </c>
      <c r="G496" s="40">
        <f t="shared" si="160"/>
        <v>4032.74</v>
      </c>
      <c r="H496" s="40">
        <f t="shared" si="160"/>
        <v>4069.9799999999996</v>
      </c>
      <c r="I496" s="40">
        <f t="shared" si="160"/>
        <v>4019.880000000001</v>
      </c>
      <c r="J496" s="40">
        <f t="shared" si="160"/>
        <v>3839.76</v>
      </c>
      <c r="K496" s="40">
        <f t="shared" si="160"/>
        <v>3741.6200000000008</v>
      </c>
      <c r="L496" s="40">
        <f t="shared" si="160"/>
        <v>4012.6399999999994</v>
      </c>
      <c r="M496" s="40">
        <f t="shared" si="160"/>
        <v>4066.8000000000011</v>
      </c>
      <c r="N496" s="40">
        <f t="shared" si="160"/>
        <v>3912.1000000000004</v>
      </c>
      <c r="O496" s="61"/>
      <c r="P496" s="61"/>
      <c r="Q496" s="62"/>
      <c r="R496" s="62"/>
      <c r="S496" s="139"/>
      <c r="T496" s="8"/>
      <c r="U496" s="146"/>
      <c r="X496" s="118"/>
      <c r="Y496" s="118"/>
      <c r="Z496" s="118"/>
      <c r="AA496" s="118"/>
    </row>
    <row r="497" spans="1:29" x14ac:dyDescent="0.25">
      <c r="A497" s="210">
        <v>43328</v>
      </c>
      <c r="B497" s="215" t="s">
        <v>169</v>
      </c>
      <c r="C497" s="6" t="s">
        <v>171</v>
      </c>
      <c r="D497" s="6" t="s">
        <v>189</v>
      </c>
      <c r="E497" s="61" t="s">
        <v>186</v>
      </c>
      <c r="F497" s="8">
        <v>1927.72</v>
      </c>
      <c r="G497" s="8">
        <v>1922.3</v>
      </c>
      <c r="H497" s="8">
        <v>1913.48</v>
      </c>
      <c r="I497" s="8">
        <v>1919.53</v>
      </c>
      <c r="J497" s="8">
        <v>1925.99</v>
      </c>
      <c r="K497" s="8">
        <v>1927.23</v>
      </c>
      <c r="L497" s="8">
        <v>1921.48</v>
      </c>
      <c r="M497" s="8">
        <v>1920.43</v>
      </c>
      <c r="N497" s="8">
        <v>1925.38</v>
      </c>
      <c r="O497" s="61">
        <f>IF((N498=""),"",MAX(F499:N499))</f>
        <v>2082.5100000000002</v>
      </c>
      <c r="P497" s="61">
        <f>IF(N498="","",MIN(F499:N499))</f>
        <v>2036.5199999999998</v>
      </c>
      <c r="Q497" s="62">
        <f>IF((N499=""),"",AVERAGE(F499:N499))</f>
        <v>2060.9766666666669</v>
      </c>
      <c r="R497" s="62">
        <f>IF((N498=""),"",(O497-P497)/(O497+P497)*100)</f>
        <v>1.1165250071011978</v>
      </c>
      <c r="S497" s="113">
        <f>STDEV(F499:N499)</f>
        <v>16.144228845008517</v>
      </c>
      <c r="T497" s="5" t="str">
        <f>IF(N498="","",IF(Q497&gt;1940,IF(R497&lt;8.3,IF(Q497&lt;2180,"Pass","Fail"),"Fail"),"Fail"))</f>
        <v>Pass</v>
      </c>
      <c r="U497" s="140">
        <v>1335</v>
      </c>
      <c r="X497" s="116">
        <v>2000</v>
      </c>
      <c r="Y497" s="116">
        <v>3000</v>
      </c>
      <c r="Z497" s="116">
        <v>1940</v>
      </c>
      <c r="AA497" s="116">
        <v>2180</v>
      </c>
      <c r="AB497" s="31">
        <v>5.2</v>
      </c>
      <c r="AC497" s="31">
        <v>5.2</v>
      </c>
    </row>
    <row r="498" spans="1:29" ht="15.6" x14ac:dyDescent="0.3">
      <c r="A498"/>
      <c r="B498" s="24"/>
      <c r="C498" s="6"/>
      <c r="D498" s="6"/>
      <c r="E498" s="61" t="s">
        <v>187</v>
      </c>
      <c r="F498" s="8">
        <v>1243.17</v>
      </c>
      <c r="G498" s="8">
        <v>1231.1500000000001</v>
      </c>
      <c r="H498" s="8">
        <v>1221.99</v>
      </c>
      <c r="I498" s="8">
        <v>1229.8599999999999</v>
      </c>
      <c r="J498" s="8">
        <v>1246.93</v>
      </c>
      <c r="K498" s="8">
        <v>1248.3900000000001</v>
      </c>
      <c r="L498" s="8">
        <v>1234.73</v>
      </c>
      <c r="M498" s="8">
        <v>1226.26</v>
      </c>
      <c r="N498" s="8">
        <v>1238.1300000000001</v>
      </c>
      <c r="O498" s="61"/>
      <c r="P498" s="61"/>
      <c r="Q498" s="62"/>
      <c r="R498" s="62"/>
      <c r="S498" s="139"/>
      <c r="T498" s="5"/>
      <c r="U498" s="140"/>
      <c r="X498" s="118"/>
      <c r="Y498" s="118"/>
      <c r="Z498" s="118"/>
      <c r="AA498" s="118"/>
    </row>
    <row r="499" spans="1:29" ht="32.25" customHeight="1" x14ac:dyDescent="0.3">
      <c r="A499"/>
      <c r="B499" s="24"/>
      <c r="C499" s="6"/>
      <c r="D499" s="6"/>
      <c r="E499" s="61" t="s">
        <v>190</v>
      </c>
      <c r="F499" s="40">
        <f t="shared" ref="F499:N499" si="161">IF(((F497="")*AND(F498="")),"",(F497-F498)*3)</f>
        <v>2053.6499999999996</v>
      </c>
      <c r="G499" s="40">
        <f t="shared" si="161"/>
        <v>2073.4499999999998</v>
      </c>
      <c r="H499" s="40">
        <f t="shared" si="161"/>
        <v>2074.4700000000003</v>
      </c>
      <c r="I499" s="40">
        <f t="shared" si="161"/>
        <v>2069.0100000000002</v>
      </c>
      <c r="J499" s="40">
        <f t="shared" si="161"/>
        <v>2037.1799999999998</v>
      </c>
      <c r="K499" s="40">
        <f t="shared" si="161"/>
        <v>2036.5199999999998</v>
      </c>
      <c r="L499" s="40">
        <f t="shared" si="161"/>
        <v>2060.25</v>
      </c>
      <c r="M499" s="40">
        <f t="shared" si="161"/>
        <v>2082.5100000000002</v>
      </c>
      <c r="N499" s="40">
        <f t="shared" si="161"/>
        <v>2061.75</v>
      </c>
      <c r="O499" s="61"/>
      <c r="P499" s="61"/>
      <c r="Q499" s="62"/>
      <c r="R499" s="62"/>
      <c r="S499" s="139"/>
      <c r="T499" s="5"/>
      <c r="U499" s="140"/>
      <c r="X499" s="118"/>
      <c r="Y499" s="118"/>
      <c r="Z499" s="118"/>
      <c r="AA499" s="118"/>
    </row>
    <row r="500" spans="1:29" x14ac:dyDescent="0.25">
      <c r="A500" s="210">
        <v>43328</v>
      </c>
      <c r="B500" s="218" t="s">
        <v>185</v>
      </c>
      <c r="C500" s="6" t="s">
        <v>173</v>
      </c>
      <c r="D500" s="6" t="s">
        <v>172</v>
      </c>
      <c r="E500" s="61" t="s">
        <v>186</v>
      </c>
      <c r="F500" s="8">
        <v>23045.26</v>
      </c>
      <c r="G500" s="8">
        <v>23402.57</v>
      </c>
      <c r="H500" s="8">
        <v>23539.77</v>
      </c>
      <c r="I500" s="8">
        <v>23404.69</v>
      </c>
      <c r="J500" s="8">
        <v>23040.68</v>
      </c>
      <c r="K500" s="8">
        <v>23105.360000000001</v>
      </c>
      <c r="L500" s="8">
        <v>23430.17</v>
      </c>
      <c r="M500" s="8">
        <v>23365.94</v>
      </c>
      <c r="N500" s="8">
        <v>22960.62</v>
      </c>
      <c r="O500" s="61">
        <f>IF((N501=""),"",MAX(F502:N502))</f>
        <v>4654.6499999999978</v>
      </c>
      <c r="P500" s="61">
        <f>IF(N501="","",MIN(F502:N502))</f>
        <v>4150.3799999999974</v>
      </c>
      <c r="Q500" s="62">
        <f>IF((N502=""),"",AVERAGE(F502:N502))</f>
        <v>4379.6833333333307</v>
      </c>
      <c r="R500" s="62">
        <f>IF((N501=""),"",(O500-P500)/(O500+P500)*100)</f>
        <v>5.7270673694467904</v>
      </c>
      <c r="S500" s="113">
        <f>STDEV(F502:N502)</f>
        <v>188.20711370721395</v>
      </c>
      <c r="T500" s="5" t="str">
        <f>IF(N501="","",IF(R500&lt;16,IF(Q500&gt;3200,IF(R500,IF(Q500&lt;5240,"Pass","Fail"),"Fail"),"Fail")))</f>
        <v>Pass</v>
      </c>
      <c r="U500" s="140">
        <v>1335</v>
      </c>
      <c r="X500" s="116">
        <v>4200</v>
      </c>
      <c r="Y500" s="116">
        <v>5500</v>
      </c>
      <c r="Z500" s="116">
        <v>3200</v>
      </c>
      <c r="AA500" s="116">
        <v>5240</v>
      </c>
      <c r="AB500" s="31">
        <v>16</v>
      </c>
      <c r="AC500" s="31">
        <v>16</v>
      </c>
    </row>
    <row r="501" spans="1:29" ht="15.6" x14ac:dyDescent="0.3">
      <c r="A501"/>
      <c r="B501" s="24"/>
      <c r="C501" s="6"/>
      <c r="D501" s="6"/>
      <c r="E501" s="61" t="s">
        <v>187</v>
      </c>
      <c r="F501" s="8">
        <v>21534.95</v>
      </c>
      <c r="G501" s="8">
        <v>21992.57</v>
      </c>
      <c r="H501" s="8">
        <v>22156.31</v>
      </c>
      <c r="I501" s="8">
        <v>21982.39</v>
      </c>
      <c r="J501" s="8">
        <v>21508.28</v>
      </c>
      <c r="K501" s="8">
        <v>21607.95</v>
      </c>
      <c r="L501" s="8">
        <v>22025.48</v>
      </c>
      <c r="M501" s="8">
        <v>21939.01</v>
      </c>
      <c r="N501" s="8">
        <v>21409.07</v>
      </c>
      <c r="O501" s="61"/>
      <c r="P501" s="61"/>
      <c r="Q501" s="62"/>
      <c r="R501" s="62"/>
      <c r="S501" s="139"/>
      <c r="T501" s="5"/>
      <c r="U501" s="140"/>
      <c r="X501" s="118"/>
      <c r="Y501" s="118"/>
      <c r="Z501" s="118"/>
      <c r="AA501" s="118"/>
    </row>
    <row r="502" spans="1:29" ht="23.4" thickBot="1" x14ac:dyDescent="0.35">
      <c r="A502"/>
      <c r="B502" s="63"/>
      <c r="C502" s="64"/>
      <c r="D502" s="64"/>
      <c r="E502" s="65" t="s">
        <v>188</v>
      </c>
      <c r="F502" s="53">
        <f t="shared" ref="F502:N502" si="162">IF(((F500="")*AND(F501="")),"",(F500-F501)*3)</f>
        <v>4530.929999999993</v>
      </c>
      <c r="G502" s="53">
        <f t="shared" si="162"/>
        <v>4230</v>
      </c>
      <c r="H502" s="53">
        <f t="shared" si="162"/>
        <v>4150.3799999999974</v>
      </c>
      <c r="I502" s="53">
        <f t="shared" si="162"/>
        <v>4266.8999999999978</v>
      </c>
      <c r="J502" s="53">
        <f t="shared" si="162"/>
        <v>4597.2000000000044</v>
      </c>
      <c r="K502" s="53">
        <f t="shared" si="162"/>
        <v>4492.2299999999996</v>
      </c>
      <c r="L502" s="53">
        <f t="shared" si="162"/>
        <v>4214.0699999999961</v>
      </c>
      <c r="M502" s="53">
        <f t="shared" si="162"/>
        <v>4280.7900000000009</v>
      </c>
      <c r="N502" s="53">
        <f t="shared" si="162"/>
        <v>4654.6499999999978</v>
      </c>
      <c r="O502" s="65"/>
      <c r="P502" s="65"/>
      <c r="Q502" s="66"/>
      <c r="R502" s="66"/>
      <c r="S502" s="142"/>
      <c r="T502" s="143"/>
      <c r="U502" s="144"/>
      <c r="X502" s="118"/>
      <c r="Y502" s="118"/>
      <c r="Z502" s="118"/>
      <c r="AA502" s="118"/>
    </row>
    <row r="503" spans="1:29" x14ac:dyDescent="0.25">
      <c r="A503" s="207">
        <v>43332</v>
      </c>
      <c r="B503" s="219" t="s">
        <v>174</v>
      </c>
      <c r="C503" s="39" t="s">
        <v>176</v>
      </c>
      <c r="D503" s="44" t="s">
        <v>175</v>
      </c>
      <c r="E503" s="41" t="s">
        <v>186</v>
      </c>
      <c r="F503" s="11">
        <v>5016.49</v>
      </c>
      <c r="G503" s="11">
        <v>4920.8</v>
      </c>
      <c r="H503" s="11">
        <v>4951.49</v>
      </c>
      <c r="I503" s="11">
        <v>4938.37</v>
      </c>
      <c r="J503" s="11">
        <v>5075.3900000000003</v>
      </c>
      <c r="K503" s="11">
        <v>5088.03</v>
      </c>
      <c r="L503" s="11">
        <v>4963.2700000000004</v>
      </c>
      <c r="M503" s="11">
        <v>4945.3999999999996</v>
      </c>
      <c r="N503" s="11">
        <v>5098.76</v>
      </c>
      <c r="O503" s="41">
        <f>IF((N504=""),"",MAX(F505:N505))</f>
        <v>4071.3199999999997</v>
      </c>
      <c r="P503" s="41">
        <f>IF(N504="","",MIN(F505:N505))</f>
        <v>3724.2999999999993</v>
      </c>
      <c r="Q503" s="42">
        <f>IF((N505=""),"",AVERAGE(F505:N505))</f>
        <v>3946.3355555555559</v>
      </c>
      <c r="R503" s="42">
        <f>IF((N504=""),"",(O503-P503)/(O503+P503)*100)</f>
        <v>4.4514740328543523</v>
      </c>
      <c r="S503" s="113">
        <f>STDEV(F505:N505)</f>
        <v>123.11148921923504</v>
      </c>
      <c r="T503" s="119" t="str">
        <f>IF(N504="","",IF(Q503&gt;3650,IF(R503&lt;7,IF(Q503&lt;4450,"Pass","Fail"),"Fail"),"Fail"))</f>
        <v>Pass</v>
      </c>
      <c r="U503" s="145">
        <v>1340</v>
      </c>
      <c r="X503" s="116">
        <v>3650</v>
      </c>
      <c r="Y503" s="116">
        <v>4450</v>
      </c>
      <c r="Z503" s="116">
        <v>3700</v>
      </c>
      <c r="AA503" s="116">
        <v>4100</v>
      </c>
      <c r="AB503" s="31">
        <v>7</v>
      </c>
      <c r="AC503" s="31">
        <v>6.5</v>
      </c>
    </row>
    <row r="504" spans="1:29" ht="15.6" x14ac:dyDescent="0.3">
      <c r="A504"/>
      <c r="B504" s="24"/>
      <c r="C504" s="6"/>
      <c r="D504" s="6"/>
      <c r="E504" s="61" t="s">
        <v>187</v>
      </c>
      <c r="F504" s="11">
        <v>3094.94</v>
      </c>
      <c r="G504" s="11">
        <v>2905.33</v>
      </c>
      <c r="H504" s="11">
        <v>2915.83</v>
      </c>
      <c r="I504" s="11">
        <v>2927.1</v>
      </c>
      <c r="J504" s="11">
        <v>3158.53</v>
      </c>
      <c r="K504" s="11">
        <v>3225.88</v>
      </c>
      <c r="L504" s="11">
        <v>2957.69</v>
      </c>
      <c r="M504" s="11">
        <v>2911.66</v>
      </c>
      <c r="N504" s="11">
        <v>3142.53</v>
      </c>
      <c r="O504" s="61"/>
      <c r="P504" s="61"/>
      <c r="Q504" s="62"/>
      <c r="R504" s="62"/>
      <c r="S504" s="139"/>
      <c r="T504" s="8"/>
      <c r="U504" s="146"/>
      <c r="X504" s="118"/>
      <c r="Y504" s="118"/>
      <c r="Z504" s="118"/>
      <c r="AA504" s="118"/>
    </row>
    <row r="505" spans="1:29" ht="22.8" x14ac:dyDescent="0.3">
      <c r="A505"/>
      <c r="B505" s="24"/>
      <c r="C505" s="6"/>
      <c r="D505" s="6"/>
      <c r="E505" s="61" t="s">
        <v>188</v>
      </c>
      <c r="F505" s="40">
        <f t="shared" ref="F505:N505" si="163">IF(((F503="")*AND(F504="")),"",(F503-F504)*2)</f>
        <v>3843.0999999999995</v>
      </c>
      <c r="G505" s="40">
        <f t="shared" si="163"/>
        <v>4030.9400000000005</v>
      </c>
      <c r="H505" s="40">
        <f t="shared" si="163"/>
        <v>4071.3199999999997</v>
      </c>
      <c r="I505" s="40">
        <f t="shared" si="163"/>
        <v>4022.54</v>
      </c>
      <c r="J505" s="40">
        <f t="shared" si="163"/>
        <v>3833.7200000000003</v>
      </c>
      <c r="K505" s="40">
        <f t="shared" si="163"/>
        <v>3724.2999999999993</v>
      </c>
      <c r="L505" s="40">
        <f t="shared" si="163"/>
        <v>4011.1600000000008</v>
      </c>
      <c r="M505" s="40">
        <f t="shared" si="163"/>
        <v>4067.4799999999996</v>
      </c>
      <c r="N505" s="40">
        <f t="shared" si="163"/>
        <v>3912.46</v>
      </c>
      <c r="O505" s="61"/>
      <c r="P505" s="61"/>
      <c r="Q505" s="62"/>
      <c r="R505" s="62"/>
      <c r="S505" s="139"/>
      <c r="T505" s="8"/>
      <c r="U505" s="146"/>
      <c r="X505" s="118"/>
      <c r="Y505" s="118"/>
      <c r="Z505" s="118"/>
      <c r="AA505" s="118"/>
    </row>
    <row r="506" spans="1:29" x14ac:dyDescent="0.25">
      <c r="A506" s="210">
        <v>43332</v>
      </c>
      <c r="B506" s="215" t="s">
        <v>169</v>
      </c>
      <c r="C506" s="6" t="s">
        <v>171</v>
      </c>
      <c r="D506" s="6" t="s">
        <v>189</v>
      </c>
      <c r="E506" s="61" t="s">
        <v>186</v>
      </c>
      <c r="F506" s="11">
        <v>1243.17</v>
      </c>
      <c r="G506" s="11">
        <v>1231.1500000000001</v>
      </c>
      <c r="H506" s="11">
        <v>1221.99</v>
      </c>
      <c r="I506" s="11">
        <v>1229.8599999999999</v>
      </c>
      <c r="J506" s="11">
        <v>1246.93</v>
      </c>
      <c r="K506" s="11">
        <v>1248.3900000000001</v>
      </c>
      <c r="L506" s="11">
        <v>1234.73</v>
      </c>
      <c r="M506" s="11">
        <v>1226.26</v>
      </c>
      <c r="N506" s="11">
        <v>1238.1300000000001</v>
      </c>
      <c r="O506" s="61">
        <f>IF((N507=""),"",MAX(F508:N508))</f>
        <v>2053.7400000000002</v>
      </c>
      <c r="P506" s="61">
        <f>IF(N507="","",MIN(F508:N508))</f>
        <v>1966.7400000000002</v>
      </c>
      <c r="Q506" s="62">
        <f>IF((N508=""),"",AVERAGE(F508:N508))</f>
        <v>2019.9866666666667</v>
      </c>
      <c r="R506" s="62">
        <f>IF((N507=""),"",(O506-P506)/(O506+P506)*100)</f>
        <v>2.1639207258834765</v>
      </c>
      <c r="S506" s="113">
        <f>STDEV(F508:N508)</f>
        <v>29.23273507559626</v>
      </c>
      <c r="T506" s="5" t="str">
        <f>IF(N507="","",IF(Q506&gt;1940,IF(R506&lt;8.3,IF(Q506&lt;2180,"Pass","Fail"),"Fail"),"Fail"))</f>
        <v>Pass</v>
      </c>
      <c r="U506" s="140">
        <v>1340</v>
      </c>
      <c r="X506" s="116">
        <v>2000</v>
      </c>
      <c r="Y506" s="116">
        <v>3000</v>
      </c>
      <c r="Z506" s="116">
        <v>1940</v>
      </c>
      <c r="AA506" s="116">
        <v>2180</v>
      </c>
      <c r="AB506" s="31">
        <v>5.2</v>
      </c>
      <c r="AC506" s="31">
        <v>5.2</v>
      </c>
    </row>
    <row r="507" spans="1:29" ht="15.6" x14ac:dyDescent="0.3">
      <c r="A507"/>
      <c r="B507" s="24"/>
      <c r="C507" s="6"/>
      <c r="D507" s="6"/>
      <c r="E507" s="61" t="s">
        <v>187</v>
      </c>
      <c r="F507" s="11">
        <v>567.88</v>
      </c>
      <c r="G507" s="11">
        <v>549.34</v>
      </c>
      <c r="H507" s="11">
        <v>540.45000000000005</v>
      </c>
      <c r="I507" s="11">
        <v>552.4</v>
      </c>
      <c r="J507" s="11">
        <v>591.35</v>
      </c>
      <c r="K507" s="11">
        <v>584.96</v>
      </c>
      <c r="L507" s="11">
        <v>560.16</v>
      </c>
      <c r="M507" s="11">
        <v>541.67999999999995</v>
      </c>
      <c r="N507" s="11">
        <v>572.42999999999995</v>
      </c>
      <c r="O507" s="61"/>
      <c r="P507" s="61"/>
      <c r="Q507" s="62"/>
      <c r="R507" s="62"/>
      <c r="S507" s="139"/>
      <c r="T507" s="5"/>
      <c r="U507" s="140"/>
      <c r="X507" s="118"/>
      <c r="Y507" s="118"/>
      <c r="Z507" s="118"/>
      <c r="AA507" s="118"/>
    </row>
    <row r="508" spans="1:29" ht="31.65" customHeight="1" x14ac:dyDescent="0.3">
      <c r="A508"/>
      <c r="B508" s="24"/>
      <c r="C508" s="6"/>
      <c r="D508" s="6"/>
      <c r="E508" s="61" t="s">
        <v>190</v>
      </c>
      <c r="F508" s="40">
        <f t="shared" ref="F508:N508" si="164">IF(((F506="")*AND(F507="")),"",(F506-F507)*3)</f>
        <v>2025.8700000000003</v>
      </c>
      <c r="G508" s="40">
        <f t="shared" si="164"/>
        <v>2045.4300000000003</v>
      </c>
      <c r="H508" s="40">
        <f t="shared" si="164"/>
        <v>2044.62</v>
      </c>
      <c r="I508" s="40">
        <f t="shared" si="164"/>
        <v>2032.3799999999997</v>
      </c>
      <c r="J508" s="40">
        <f t="shared" si="164"/>
        <v>1966.7400000000002</v>
      </c>
      <c r="K508" s="40">
        <f t="shared" si="164"/>
        <v>1990.2900000000002</v>
      </c>
      <c r="L508" s="40">
        <f t="shared" si="164"/>
        <v>2023.71</v>
      </c>
      <c r="M508" s="40">
        <f t="shared" si="164"/>
        <v>2053.7400000000002</v>
      </c>
      <c r="N508" s="40">
        <f t="shared" si="164"/>
        <v>1997.1000000000004</v>
      </c>
      <c r="O508" s="61"/>
      <c r="P508" s="61"/>
      <c r="Q508" s="62"/>
      <c r="R508" s="62"/>
      <c r="S508" s="139"/>
      <c r="T508" s="5"/>
      <c r="U508" s="140"/>
      <c r="X508" s="118"/>
      <c r="Y508" s="118"/>
      <c r="Z508" s="118"/>
      <c r="AA508" s="118"/>
    </row>
    <row r="509" spans="1:29" x14ac:dyDescent="0.25">
      <c r="A509" s="210">
        <v>43332</v>
      </c>
      <c r="B509" s="218" t="s">
        <v>185</v>
      </c>
      <c r="C509" s="6" t="s">
        <v>173</v>
      </c>
      <c r="D509" s="6" t="s">
        <v>172</v>
      </c>
      <c r="E509" s="61" t="s">
        <v>186</v>
      </c>
      <c r="F509" s="11">
        <v>21534.95</v>
      </c>
      <c r="G509" s="11">
        <v>21992.57</v>
      </c>
      <c r="H509" s="11">
        <v>22156.31</v>
      </c>
      <c r="I509" s="11">
        <v>21982.39</v>
      </c>
      <c r="J509" s="11">
        <v>21508.28</v>
      </c>
      <c r="K509" s="11">
        <v>21607.95</v>
      </c>
      <c r="L509" s="11">
        <v>22025.48</v>
      </c>
      <c r="M509" s="11">
        <v>21939.01</v>
      </c>
      <c r="N509" s="11">
        <v>21409.07</v>
      </c>
      <c r="O509" s="61">
        <f>IF((N510=""),"",MAX(F511:N511))</f>
        <v>4740.9900000000052</v>
      </c>
      <c r="P509" s="61">
        <f>IF(N510="","",MIN(F511:N511))</f>
        <v>4307.1300000000083</v>
      </c>
      <c r="Q509" s="62">
        <f>IF((N511=""),"",AVERAGE(F511:N511))</f>
        <v>4524.5233333333335</v>
      </c>
      <c r="R509" s="62">
        <f>IF((N510=""),"",(O509-P509)/(O509+P509)*100)</f>
        <v>4.7950292436439428</v>
      </c>
      <c r="S509" s="113">
        <f>STDEV(F511:N511)</f>
        <v>166.61587529404324</v>
      </c>
      <c r="T509" s="5" t="str">
        <f>IF(N510="","",IF(R509&lt;16,IF(Q509&gt;3200,IF(R509,IF(Q509&lt;5240,"Pass","Fail"),"Fail"),"Fail")))</f>
        <v>Pass</v>
      </c>
      <c r="U509" s="140">
        <v>1340</v>
      </c>
      <c r="X509" s="116">
        <v>4200</v>
      </c>
      <c r="Y509" s="116">
        <v>5500</v>
      </c>
      <c r="Z509" s="116">
        <v>3200</v>
      </c>
      <c r="AA509" s="116">
        <v>5240</v>
      </c>
      <c r="AB509" s="31">
        <v>16</v>
      </c>
      <c r="AC509" s="31">
        <v>16</v>
      </c>
    </row>
    <row r="510" spans="1:29" ht="15.6" x14ac:dyDescent="0.3">
      <c r="A510"/>
      <c r="B510" s="24"/>
      <c r="C510" s="6"/>
      <c r="D510" s="6"/>
      <c r="E510" s="61" t="s">
        <v>187</v>
      </c>
      <c r="F510" s="11">
        <v>19964.86</v>
      </c>
      <c r="G510" s="11">
        <v>20516.61</v>
      </c>
      <c r="H510" s="11">
        <v>20720.599999999999</v>
      </c>
      <c r="I510" s="11">
        <v>20517.900000000001</v>
      </c>
      <c r="J510" s="11">
        <v>19952.3</v>
      </c>
      <c r="K510" s="11">
        <v>20027.62</v>
      </c>
      <c r="L510" s="11">
        <v>20547.66</v>
      </c>
      <c r="M510" s="11">
        <v>20478.39</v>
      </c>
      <c r="N510" s="11">
        <v>19856.5</v>
      </c>
      <c r="O510" s="61"/>
      <c r="P510" s="61"/>
      <c r="Q510" s="62"/>
      <c r="R510" s="62"/>
      <c r="S510" s="139"/>
      <c r="T510" s="5"/>
      <c r="U510" s="140"/>
      <c r="X510" s="118"/>
      <c r="Y510" s="118"/>
      <c r="Z510" s="118"/>
      <c r="AA510" s="118"/>
    </row>
    <row r="511" spans="1:29" ht="23.4" thickBot="1" x14ac:dyDescent="0.35">
      <c r="A511"/>
      <c r="B511" s="63"/>
      <c r="C511" s="64"/>
      <c r="D511" s="64"/>
      <c r="E511" s="65" t="s">
        <v>188</v>
      </c>
      <c r="F511" s="53">
        <f t="shared" ref="F511:N511" si="165">IF(((F509="")*AND(F510="")),"",(F509-F510)*3)</f>
        <v>4710.2700000000004</v>
      </c>
      <c r="G511" s="53">
        <f t="shared" si="165"/>
        <v>4427.8799999999974</v>
      </c>
      <c r="H511" s="53">
        <f t="shared" si="165"/>
        <v>4307.1300000000083</v>
      </c>
      <c r="I511" s="53">
        <f t="shared" si="165"/>
        <v>4393.4699999999939</v>
      </c>
      <c r="J511" s="53">
        <f t="shared" si="165"/>
        <v>4667.9399999999987</v>
      </c>
      <c r="K511" s="53">
        <f t="shared" si="165"/>
        <v>4740.9900000000052</v>
      </c>
      <c r="L511" s="53">
        <f t="shared" si="165"/>
        <v>4433.4599999999991</v>
      </c>
      <c r="M511" s="53">
        <f t="shared" si="165"/>
        <v>4381.8599999999969</v>
      </c>
      <c r="N511" s="53">
        <f t="shared" si="165"/>
        <v>4657.7099999999991</v>
      </c>
      <c r="O511" s="65"/>
      <c r="P511" s="65"/>
      <c r="Q511" s="66"/>
      <c r="R511" s="66"/>
      <c r="S511" s="142"/>
      <c r="T511" s="143"/>
      <c r="U511" s="144"/>
      <c r="X511" s="118"/>
      <c r="Y511" s="118"/>
      <c r="Z511" s="118"/>
      <c r="AA511" s="118"/>
    </row>
    <row r="512" spans="1:29" x14ac:dyDescent="0.25">
      <c r="A512" s="209">
        <v>43335</v>
      </c>
      <c r="B512" s="217" t="s">
        <v>174</v>
      </c>
      <c r="C512" s="44" t="s">
        <v>176</v>
      </c>
      <c r="D512" s="44" t="s">
        <v>175</v>
      </c>
      <c r="E512" s="59" t="s">
        <v>186</v>
      </c>
      <c r="F512" s="136">
        <v>6842</v>
      </c>
      <c r="G512" s="136">
        <v>6855</v>
      </c>
      <c r="H512" s="136">
        <v>6905</v>
      </c>
      <c r="I512" s="136">
        <v>6852</v>
      </c>
      <c r="J512" s="136">
        <v>6857</v>
      </c>
      <c r="K512" s="136">
        <v>6860</v>
      </c>
      <c r="L512" s="136">
        <v>6883</v>
      </c>
      <c r="M512" s="136">
        <v>6885</v>
      </c>
      <c r="N512" s="136">
        <v>6956</v>
      </c>
      <c r="O512" s="59">
        <f>IF((N513=""),"",MAX(F514:N514))</f>
        <v>4008</v>
      </c>
      <c r="P512" s="59">
        <f>IF(N513="","",MIN(F514:N514))</f>
        <v>3660</v>
      </c>
      <c r="Q512" s="60">
        <f>IF((N514=""),"",AVERAGE(F514:N514))</f>
        <v>3881.7777777777778</v>
      </c>
      <c r="R512" s="60">
        <f>IF((N513=""),"",(O512-P512)/(O512+P512)*100)</f>
        <v>4.5383411580594686</v>
      </c>
      <c r="S512" s="113">
        <f>STDEV(F514:N514)</f>
        <v>121.34844228272749</v>
      </c>
      <c r="T512" s="137" t="str">
        <f>IF(N513="","",IF(Q512&gt;3650,IF(R512&lt;7,IF(Q512&lt;4450,"Pass","Fail"),"Fail"),"Fail"))</f>
        <v>Pass</v>
      </c>
      <c r="U512" s="149">
        <v>1340</v>
      </c>
      <c r="X512" s="116">
        <v>3650</v>
      </c>
      <c r="Y512" s="116">
        <v>4450</v>
      </c>
      <c r="Z512" s="116">
        <v>3700</v>
      </c>
      <c r="AA512" s="116">
        <v>4100</v>
      </c>
      <c r="AB512" s="31">
        <v>7</v>
      </c>
      <c r="AC512" s="31">
        <v>6.5</v>
      </c>
    </row>
    <row r="513" spans="1:29" ht="15.6" x14ac:dyDescent="0.3">
      <c r="A513"/>
      <c r="B513" s="24"/>
      <c r="C513" s="6"/>
      <c r="D513" s="6"/>
      <c r="E513" s="61" t="s">
        <v>187</v>
      </c>
      <c r="F513" s="8">
        <v>4960</v>
      </c>
      <c r="G513" s="8">
        <v>4877</v>
      </c>
      <c r="H513" s="8">
        <v>4901</v>
      </c>
      <c r="I513" s="8">
        <v>4875</v>
      </c>
      <c r="J513" s="8">
        <v>4969</v>
      </c>
      <c r="K513" s="8">
        <v>5030</v>
      </c>
      <c r="L513" s="8">
        <v>4913</v>
      </c>
      <c r="M513" s="8">
        <v>4886</v>
      </c>
      <c r="N513" s="8">
        <v>5016</v>
      </c>
      <c r="O513" s="61"/>
      <c r="P513" s="61"/>
      <c r="Q513" s="62"/>
      <c r="R513" s="62"/>
      <c r="S513" s="139"/>
      <c r="T513" s="8"/>
      <c r="U513" s="146"/>
      <c r="X513" s="118"/>
      <c r="Y513" s="118"/>
      <c r="Z513" s="118"/>
      <c r="AA513" s="118"/>
    </row>
    <row r="514" spans="1:29" ht="22.8" x14ac:dyDescent="0.3">
      <c r="A514"/>
      <c r="B514" s="24"/>
      <c r="C514" s="6"/>
      <c r="D514" s="6"/>
      <c r="E514" s="61" t="s">
        <v>188</v>
      </c>
      <c r="F514" s="40">
        <f t="shared" ref="F514:N514" si="166">IF(((F512="")*AND(F513="")),"",(F512-F513)*2)</f>
        <v>3764</v>
      </c>
      <c r="G514" s="40">
        <f t="shared" si="166"/>
        <v>3956</v>
      </c>
      <c r="H514" s="40">
        <f t="shared" si="166"/>
        <v>4008</v>
      </c>
      <c r="I514" s="40">
        <f t="shared" si="166"/>
        <v>3954</v>
      </c>
      <c r="J514" s="40">
        <f t="shared" si="166"/>
        <v>3776</v>
      </c>
      <c r="K514" s="40">
        <f t="shared" si="166"/>
        <v>3660</v>
      </c>
      <c r="L514" s="40">
        <f t="shared" si="166"/>
        <v>3940</v>
      </c>
      <c r="M514" s="40">
        <f t="shared" si="166"/>
        <v>3998</v>
      </c>
      <c r="N514" s="40">
        <f t="shared" si="166"/>
        <v>3880</v>
      </c>
      <c r="O514" s="61"/>
      <c r="P514" s="61"/>
      <c r="Q514" s="62"/>
      <c r="R514" s="62"/>
      <c r="S514" s="139"/>
      <c r="T514" s="8"/>
      <c r="U514" s="146"/>
      <c r="X514" s="118"/>
      <c r="Y514" s="118"/>
      <c r="Z514" s="118"/>
      <c r="AA514" s="118"/>
    </row>
    <row r="515" spans="1:29" x14ac:dyDescent="0.25">
      <c r="A515" s="207">
        <v>43335</v>
      </c>
      <c r="B515" s="215" t="s">
        <v>169</v>
      </c>
      <c r="C515" s="6" t="s">
        <v>171</v>
      </c>
      <c r="D515" s="6" t="s">
        <v>189</v>
      </c>
      <c r="E515" s="61" t="s">
        <v>186</v>
      </c>
      <c r="F515" s="8">
        <v>1916</v>
      </c>
      <c r="G515" s="8">
        <v>1911</v>
      </c>
      <c r="H515" s="8">
        <v>1921</v>
      </c>
      <c r="I515" s="8">
        <v>1911</v>
      </c>
      <c r="J515" s="8">
        <v>1918</v>
      </c>
      <c r="K515" s="8">
        <v>1918</v>
      </c>
      <c r="L515" s="8">
        <v>1912</v>
      </c>
      <c r="M515" s="8">
        <v>1913</v>
      </c>
      <c r="N515" s="8">
        <v>1918</v>
      </c>
      <c r="O515" s="61">
        <f>IF((N516=""),"",MAX(F517:N517))</f>
        <v>2070</v>
      </c>
      <c r="P515" s="61">
        <f>IF(N516="","",MIN(F517:N517))</f>
        <v>1986</v>
      </c>
      <c r="Q515" s="62">
        <f>IF((N517=""),"",AVERAGE(F517:N517))</f>
        <v>2027</v>
      </c>
      <c r="R515" s="62">
        <f>IF((N516=""),"",(O515-P515)/(O515+P515)*100)</f>
        <v>2.0710059171597637</v>
      </c>
      <c r="S515" s="113">
        <f>STDEV(F517:N517)</f>
        <v>24.738633753705962</v>
      </c>
      <c r="T515" s="5" t="str">
        <f>IF(N516="","",IF(Q515&gt;1940,IF(R515&lt;8.3,IF(Q515&lt;2180,"Pass","Fail"),"Fail"),"Fail"))</f>
        <v>Pass</v>
      </c>
      <c r="U515" s="140">
        <v>1340</v>
      </c>
      <c r="X515" s="116">
        <v>2000</v>
      </c>
      <c r="Y515" s="116">
        <v>3000</v>
      </c>
      <c r="Z515" s="116">
        <v>1940</v>
      </c>
      <c r="AA515" s="116">
        <v>2180</v>
      </c>
      <c r="AB515" s="31">
        <v>5.2</v>
      </c>
      <c r="AC515" s="31">
        <v>5.2</v>
      </c>
    </row>
    <row r="516" spans="1:29" ht="15.6" x14ac:dyDescent="0.3">
      <c r="A516"/>
      <c r="B516" s="24"/>
      <c r="C516" s="6"/>
      <c r="D516" s="6"/>
      <c r="E516" s="61" t="s">
        <v>187</v>
      </c>
      <c r="F516" s="8">
        <v>1239</v>
      </c>
      <c r="G516" s="8">
        <v>1230</v>
      </c>
      <c r="H516" s="8">
        <v>1231</v>
      </c>
      <c r="I516" s="8">
        <v>1238</v>
      </c>
      <c r="J516" s="8">
        <v>1256</v>
      </c>
      <c r="K516" s="8">
        <v>1246</v>
      </c>
      <c r="L516" s="8">
        <v>1238</v>
      </c>
      <c r="M516" s="8">
        <v>1230</v>
      </c>
      <c r="N516" s="8">
        <v>1249</v>
      </c>
      <c r="O516" s="61"/>
      <c r="P516" s="61"/>
      <c r="Q516" s="62"/>
      <c r="R516" s="62"/>
      <c r="S516" s="139"/>
      <c r="T516" s="5"/>
      <c r="U516" s="140"/>
      <c r="X516" s="118"/>
      <c r="Y516" s="118"/>
      <c r="Z516" s="118"/>
      <c r="AA516" s="118"/>
    </row>
    <row r="517" spans="1:29" ht="32.25" customHeight="1" x14ac:dyDescent="0.3">
      <c r="A517"/>
      <c r="B517" s="24"/>
      <c r="C517" s="6"/>
      <c r="D517" s="6"/>
      <c r="E517" s="61" t="s">
        <v>190</v>
      </c>
      <c r="F517" s="40">
        <f t="shared" ref="F517:N517" si="167">IF(((F515="")*AND(F516="")),"",(F515-F516)*3)</f>
        <v>2031</v>
      </c>
      <c r="G517" s="40">
        <f t="shared" si="167"/>
        <v>2043</v>
      </c>
      <c r="H517" s="40">
        <f t="shared" si="167"/>
        <v>2070</v>
      </c>
      <c r="I517" s="40">
        <f t="shared" si="167"/>
        <v>2019</v>
      </c>
      <c r="J517" s="40">
        <f t="shared" si="167"/>
        <v>1986</v>
      </c>
      <c r="K517" s="40">
        <f t="shared" si="167"/>
        <v>2016</v>
      </c>
      <c r="L517" s="40">
        <f t="shared" si="167"/>
        <v>2022</v>
      </c>
      <c r="M517" s="40">
        <f t="shared" si="167"/>
        <v>2049</v>
      </c>
      <c r="N517" s="40">
        <f t="shared" si="167"/>
        <v>2007</v>
      </c>
      <c r="O517" s="61"/>
      <c r="P517" s="61"/>
      <c r="Q517" s="62"/>
      <c r="R517" s="62"/>
      <c r="S517" s="139"/>
      <c r="T517" s="5"/>
      <c r="U517" s="140"/>
      <c r="X517" s="118"/>
      <c r="Y517" s="118"/>
      <c r="Z517" s="118"/>
      <c r="AA517" s="118"/>
    </row>
    <row r="518" spans="1:29" x14ac:dyDescent="0.25">
      <c r="A518" s="207">
        <v>43335</v>
      </c>
      <c r="B518" s="218" t="s">
        <v>185</v>
      </c>
      <c r="C518" s="6" t="s">
        <v>173</v>
      </c>
      <c r="D518" s="6" t="s">
        <v>172</v>
      </c>
      <c r="E518" s="61" t="s">
        <v>186</v>
      </c>
      <c r="F518" s="8">
        <v>29141</v>
      </c>
      <c r="G518" s="8">
        <v>29060</v>
      </c>
      <c r="H518" s="8">
        <v>29107</v>
      </c>
      <c r="I518" s="8">
        <v>29056</v>
      </c>
      <c r="J518" s="8">
        <v>29110</v>
      </c>
      <c r="K518" s="8">
        <v>29118</v>
      </c>
      <c r="L518" s="8">
        <v>29045</v>
      </c>
      <c r="M518" s="8">
        <v>29057</v>
      </c>
      <c r="N518" s="8">
        <v>29120</v>
      </c>
      <c r="O518" s="61">
        <f>IF((N519=""),"",MAX(F520:N520))</f>
        <v>4515</v>
      </c>
      <c r="P518" s="61">
        <f>IF(N519="","",MIN(F520:N520))</f>
        <v>4095</v>
      </c>
      <c r="Q518" s="62">
        <f>IF((N520=""),"",AVERAGE(F520:N520))</f>
        <v>4278</v>
      </c>
      <c r="R518" s="62">
        <f>IF((N519=""),"",(O518-P518)/(O518+P518)*100)</f>
        <v>4.8780487804878048</v>
      </c>
      <c r="S518" s="113">
        <f>STDEV(F520:N520)</f>
        <v>167.09353667931026</v>
      </c>
      <c r="T518" s="5" t="str">
        <f>IF(N519="","",IF(R518&lt;16,IF(Q518&gt;3200,IF(R518,IF(Q518&lt;5240,"Pass","Fail"),"Fail"),"Fail")))</f>
        <v>Pass</v>
      </c>
      <c r="U518" s="140">
        <v>1340</v>
      </c>
      <c r="X518" s="116">
        <v>4200</v>
      </c>
      <c r="Y518" s="116">
        <v>5500</v>
      </c>
      <c r="Z518" s="116">
        <v>3200</v>
      </c>
      <c r="AA518" s="116">
        <v>5240</v>
      </c>
      <c r="AB518" s="31">
        <v>16</v>
      </c>
      <c r="AC518" s="31">
        <v>16</v>
      </c>
    </row>
    <row r="519" spans="1:29" ht="15.6" x14ac:dyDescent="0.3">
      <c r="A519"/>
      <c r="B519" s="24"/>
      <c r="C519" s="6"/>
      <c r="D519" s="6"/>
      <c r="E519" s="61" t="s">
        <v>187</v>
      </c>
      <c r="F519" s="8">
        <v>27636</v>
      </c>
      <c r="G519" s="8">
        <v>27669</v>
      </c>
      <c r="H519" s="8">
        <v>27742</v>
      </c>
      <c r="I519" s="8">
        <v>27678</v>
      </c>
      <c r="J519" s="8">
        <v>27644</v>
      </c>
      <c r="K519" s="8">
        <v>27651</v>
      </c>
      <c r="L519" s="8">
        <v>27668</v>
      </c>
      <c r="M519" s="8">
        <v>27665</v>
      </c>
      <c r="N519" s="8">
        <v>27627</v>
      </c>
      <c r="O519" s="61"/>
      <c r="P519" s="61"/>
      <c r="Q519" s="62"/>
      <c r="R519" s="62"/>
      <c r="S519" s="139"/>
      <c r="T519" s="5"/>
      <c r="U519" s="140"/>
      <c r="X519" s="118"/>
      <c r="Y519" s="118"/>
      <c r="Z519" s="118"/>
      <c r="AA519" s="118"/>
    </row>
    <row r="520" spans="1:29" ht="23.4" thickBot="1" x14ac:dyDescent="0.35">
      <c r="A520"/>
      <c r="B520" s="63"/>
      <c r="C520" s="64"/>
      <c r="D520" s="64"/>
      <c r="E520" s="65" t="s">
        <v>188</v>
      </c>
      <c r="F520" s="53">
        <f t="shared" ref="F520:N520" si="168">IF(((F518="")*AND(F519="")),"",(F518-F519)*3)</f>
        <v>4515</v>
      </c>
      <c r="G520" s="53">
        <f t="shared" si="168"/>
        <v>4173</v>
      </c>
      <c r="H520" s="53">
        <f t="shared" si="168"/>
        <v>4095</v>
      </c>
      <c r="I520" s="53">
        <f t="shared" si="168"/>
        <v>4134</v>
      </c>
      <c r="J520" s="53">
        <f t="shared" si="168"/>
        <v>4398</v>
      </c>
      <c r="K520" s="53">
        <f t="shared" si="168"/>
        <v>4401</v>
      </c>
      <c r="L520" s="53">
        <f t="shared" si="168"/>
        <v>4131</v>
      </c>
      <c r="M520" s="53">
        <f t="shared" si="168"/>
        <v>4176</v>
      </c>
      <c r="N520" s="53">
        <f t="shared" si="168"/>
        <v>4479</v>
      </c>
      <c r="O520" s="65"/>
      <c r="P520" s="65"/>
      <c r="Q520" s="66"/>
      <c r="R520" s="66"/>
      <c r="S520" s="142"/>
      <c r="T520" s="143"/>
      <c r="U520" s="144"/>
      <c r="X520" s="118"/>
      <c r="Y520" s="118"/>
      <c r="Z520" s="118"/>
      <c r="AA520" s="118"/>
    </row>
    <row r="521" spans="1:29" x14ac:dyDescent="0.25">
      <c r="A521" s="209">
        <v>43338</v>
      </c>
      <c r="B521" s="217" t="s">
        <v>174</v>
      </c>
      <c r="C521" s="44" t="s">
        <v>176</v>
      </c>
      <c r="D521" s="44" t="s">
        <v>175</v>
      </c>
      <c r="E521" s="59" t="s">
        <v>186</v>
      </c>
      <c r="F521" s="126">
        <v>4969.79</v>
      </c>
      <c r="G521" s="126">
        <v>4888.7700000000004</v>
      </c>
      <c r="H521" s="126">
        <v>4912.22</v>
      </c>
      <c r="I521" s="126">
        <v>4886.2299999999996</v>
      </c>
      <c r="J521" s="126">
        <v>4978.38</v>
      </c>
      <c r="K521" s="126">
        <v>5038.82</v>
      </c>
      <c r="L521" s="126">
        <v>4923.6499999999996</v>
      </c>
      <c r="M521" s="126">
        <v>4897.26</v>
      </c>
      <c r="N521" s="126">
        <v>5025.3599999999997</v>
      </c>
      <c r="O521" s="59">
        <f>IF((N522=""),"",MAX(F523:N523))</f>
        <v>4047.1000000000004</v>
      </c>
      <c r="P521" s="59">
        <f>IF(N522="","",MIN(F523:N523))</f>
        <v>3678.3999999999996</v>
      </c>
      <c r="Q521" s="60">
        <f>IF((N523=""),"",AVERAGE(F523:N523))</f>
        <v>3916.7044444444441</v>
      </c>
      <c r="R521" s="60">
        <f>IF((N522=""),"",(O521-P521)/(O521+P521)*100)</f>
        <v>4.7725066338748396</v>
      </c>
      <c r="S521" s="113">
        <f>STDEV(F523:N523)</f>
        <v>131.01059070845309</v>
      </c>
      <c r="T521" s="137" t="str">
        <f>IF(N522="","",IF(Q521&gt;3650,IF(R521&lt;7,IF(Q521&lt;4450,"Pass","Fail"),"Fail"),"Fail"))</f>
        <v>Pass</v>
      </c>
      <c r="U521" s="149">
        <v>102</v>
      </c>
      <c r="X521" s="116">
        <v>3650</v>
      </c>
      <c r="Y521" s="116">
        <v>4450</v>
      </c>
      <c r="Z521" s="116">
        <v>3700</v>
      </c>
      <c r="AA521" s="116">
        <v>4100</v>
      </c>
      <c r="AB521" s="31">
        <v>7</v>
      </c>
      <c r="AC521" s="31">
        <v>6.5</v>
      </c>
    </row>
    <row r="522" spans="1:29" ht="15.6" x14ac:dyDescent="0.3">
      <c r="A522"/>
      <c r="B522" s="24"/>
      <c r="C522" s="6"/>
      <c r="D522" s="6"/>
      <c r="E522" s="61" t="s">
        <v>187</v>
      </c>
      <c r="F522" s="127">
        <v>3060.29</v>
      </c>
      <c r="G522" s="127">
        <v>2883.44</v>
      </c>
      <c r="H522" s="127">
        <v>2889.94</v>
      </c>
      <c r="I522" s="127">
        <v>2890.31</v>
      </c>
      <c r="J522" s="127">
        <v>3086.86</v>
      </c>
      <c r="K522" s="127">
        <v>3199.62</v>
      </c>
      <c r="L522" s="127">
        <v>2931.29</v>
      </c>
      <c r="M522" s="127">
        <v>2873.71</v>
      </c>
      <c r="N522" s="127">
        <v>3079.85</v>
      </c>
      <c r="O522" s="61"/>
      <c r="P522" s="61"/>
      <c r="Q522" s="62"/>
      <c r="R522" s="62"/>
      <c r="S522" s="139"/>
      <c r="T522" s="8"/>
      <c r="U522" s="146"/>
      <c r="X522" s="118"/>
      <c r="Y522" s="118"/>
      <c r="Z522" s="118"/>
      <c r="AA522" s="118"/>
    </row>
    <row r="523" spans="1:29" ht="22.8" x14ac:dyDescent="0.3">
      <c r="A523"/>
      <c r="B523" s="24"/>
      <c r="C523" s="6"/>
      <c r="D523" s="6"/>
      <c r="E523" s="61" t="s">
        <v>188</v>
      </c>
      <c r="F523" s="40">
        <f t="shared" ref="F523:N523" si="169">IF(((F521="")*AND(F522="")),"",(F521-F522)*2)</f>
        <v>3819</v>
      </c>
      <c r="G523" s="40">
        <f t="shared" si="169"/>
        <v>4010.6600000000008</v>
      </c>
      <c r="H523" s="40">
        <f t="shared" si="169"/>
        <v>4044.5600000000004</v>
      </c>
      <c r="I523" s="40">
        <f t="shared" si="169"/>
        <v>3991.8399999999992</v>
      </c>
      <c r="J523" s="40">
        <f t="shared" si="169"/>
        <v>3783.04</v>
      </c>
      <c r="K523" s="40">
        <f t="shared" si="169"/>
        <v>3678.3999999999996</v>
      </c>
      <c r="L523" s="40">
        <f t="shared" si="169"/>
        <v>3984.7199999999993</v>
      </c>
      <c r="M523" s="40">
        <f t="shared" si="169"/>
        <v>4047.1000000000004</v>
      </c>
      <c r="N523" s="40">
        <f t="shared" si="169"/>
        <v>3891.0199999999995</v>
      </c>
      <c r="O523" s="61"/>
      <c r="P523" s="61"/>
      <c r="Q523" s="62"/>
      <c r="R523" s="62"/>
      <c r="S523" s="139"/>
      <c r="T523" s="8"/>
      <c r="U523" s="146"/>
      <c r="X523" s="118"/>
      <c r="Y523" s="118"/>
      <c r="Z523" s="118"/>
      <c r="AA523" s="118"/>
    </row>
    <row r="524" spans="1:29" x14ac:dyDescent="0.25">
      <c r="A524" s="207">
        <v>43338</v>
      </c>
      <c r="B524" s="215" t="s">
        <v>169</v>
      </c>
      <c r="C524" s="6" t="s">
        <v>171</v>
      </c>
      <c r="D524" s="6" t="s">
        <v>189</v>
      </c>
      <c r="E524" s="61" t="s">
        <v>186</v>
      </c>
      <c r="F524" s="127">
        <v>1242.4000000000001</v>
      </c>
      <c r="G524" s="127">
        <v>1233.6500000000001</v>
      </c>
      <c r="H524" s="127">
        <v>1234.0999999999999</v>
      </c>
      <c r="I524" s="127">
        <v>1241.99</v>
      </c>
      <c r="J524" s="127">
        <v>1259.79</v>
      </c>
      <c r="K524" s="127">
        <v>1250.95</v>
      </c>
      <c r="L524" s="127">
        <v>1240.72</v>
      </c>
      <c r="M524" s="127">
        <v>1234.27</v>
      </c>
      <c r="N524" s="127">
        <v>1249.2</v>
      </c>
      <c r="O524" s="61">
        <f>IF((N525=""),"",MAX(F526:N526))</f>
        <v>2073.1499999999996</v>
      </c>
      <c r="P524" s="61">
        <f>IF(N525="","",MIN(F526:N526))</f>
        <v>1988.4900000000002</v>
      </c>
      <c r="Q524" s="62">
        <f>IF((N526=""),"",AVERAGE(F526:N526))</f>
        <v>2031.5666666666668</v>
      </c>
      <c r="R524" s="62">
        <f>IF((N525=""),"",(O524-P524)/(O524+P524)*100)</f>
        <v>2.0843797086890863</v>
      </c>
      <c r="S524" s="113">
        <f>STDEV(F526:N526)</f>
        <v>28.677985459233216</v>
      </c>
      <c r="T524" s="5" t="str">
        <f>IF(N525="","",IF(Q524&gt;1940,IF(R524&lt;8.3,IF(Q524&lt;2180,"Pass","Fail"),"Fail"),"Fail"))</f>
        <v>Pass</v>
      </c>
      <c r="U524" s="140">
        <v>102</v>
      </c>
      <c r="X524" s="116">
        <v>2000</v>
      </c>
      <c r="Y524" s="116">
        <v>3000</v>
      </c>
      <c r="Z524" s="116">
        <v>1940</v>
      </c>
      <c r="AA524" s="116">
        <v>2180</v>
      </c>
      <c r="AB524" s="31">
        <v>5.2</v>
      </c>
      <c r="AC524" s="31">
        <v>5.2</v>
      </c>
    </row>
    <row r="525" spans="1:29" ht="15.6" x14ac:dyDescent="0.3">
      <c r="A525"/>
      <c r="B525" s="24"/>
      <c r="C525" s="6"/>
      <c r="D525" s="6"/>
      <c r="E525" s="61" t="s">
        <v>187</v>
      </c>
      <c r="F525" s="127">
        <v>573.11</v>
      </c>
      <c r="G525" s="127">
        <v>551.9</v>
      </c>
      <c r="H525" s="127">
        <v>547.71</v>
      </c>
      <c r="I525" s="127">
        <v>558.39</v>
      </c>
      <c r="J525" s="127">
        <v>593.67999999999995</v>
      </c>
      <c r="K525" s="127">
        <v>588.12</v>
      </c>
      <c r="L525" s="127">
        <v>563.25</v>
      </c>
      <c r="M525" s="127">
        <v>543.22</v>
      </c>
      <c r="N525" s="127">
        <v>572.99</v>
      </c>
      <c r="O525" s="61"/>
      <c r="P525" s="61"/>
      <c r="Q525" s="62"/>
      <c r="R525" s="62"/>
      <c r="S525" s="139"/>
      <c r="T525" s="5"/>
      <c r="U525" s="140"/>
      <c r="X525" s="118"/>
      <c r="Y525" s="118"/>
      <c r="Z525" s="118"/>
      <c r="AA525" s="118"/>
    </row>
    <row r="526" spans="1:29" ht="33.75" customHeight="1" x14ac:dyDescent="0.3">
      <c r="A526"/>
      <c r="B526" s="24"/>
      <c r="C526" s="6"/>
      <c r="D526" s="6"/>
      <c r="E526" s="61" t="s">
        <v>190</v>
      </c>
      <c r="F526" s="40">
        <f t="shared" ref="F526:N526" si="170">IF(((F524="")*AND(F525="")),"",(F524-F525)*3)</f>
        <v>2007.8700000000003</v>
      </c>
      <c r="G526" s="40">
        <f t="shared" si="170"/>
        <v>2045.2500000000005</v>
      </c>
      <c r="H526" s="40">
        <f t="shared" si="170"/>
        <v>2059.1699999999996</v>
      </c>
      <c r="I526" s="40">
        <f t="shared" si="170"/>
        <v>2050.8000000000002</v>
      </c>
      <c r="J526" s="40">
        <f t="shared" si="170"/>
        <v>1998.33</v>
      </c>
      <c r="K526" s="40">
        <f t="shared" si="170"/>
        <v>1988.4900000000002</v>
      </c>
      <c r="L526" s="40">
        <f t="shared" si="170"/>
        <v>2032.41</v>
      </c>
      <c r="M526" s="40">
        <f t="shared" si="170"/>
        <v>2073.1499999999996</v>
      </c>
      <c r="N526" s="40">
        <f t="shared" si="170"/>
        <v>2028.63</v>
      </c>
      <c r="O526" s="61"/>
      <c r="P526" s="61"/>
      <c r="Q526" s="62"/>
      <c r="R526" s="62"/>
      <c r="S526" s="139"/>
      <c r="T526" s="5"/>
      <c r="U526" s="140"/>
      <c r="X526" s="118"/>
      <c r="Y526" s="118"/>
      <c r="Z526" s="118"/>
      <c r="AA526" s="118"/>
    </row>
    <row r="527" spans="1:29" x14ac:dyDescent="0.25">
      <c r="A527" s="207">
        <v>43338</v>
      </c>
      <c r="B527" s="218" t="s">
        <v>185</v>
      </c>
      <c r="C527" s="6" t="s">
        <v>173</v>
      </c>
      <c r="D527" s="6" t="s">
        <v>172</v>
      </c>
      <c r="E527" s="61" t="s">
        <v>186</v>
      </c>
      <c r="F527" s="127">
        <v>27580.27</v>
      </c>
      <c r="G527" s="127">
        <v>27614.16</v>
      </c>
      <c r="H527" s="127">
        <v>27685.07</v>
      </c>
      <c r="I527" s="127">
        <v>27623.75</v>
      </c>
      <c r="J527" s="127">
        <v>27587.040000000001</v>
      </c>
      <c r="K527" s="127">
        <v>27593.41</v>
      </c>
      <c r="L527" s="127">
        <v>27612.080000000002</v>
      </c>
      <c r="M527" s="127">
        <v>27609.85</v>
      </c>
      <c r="N527" s="127">
        <v>27562.25</v>
      </c>
      <c r="O527" s="61">
        <f>IF((N528=""),"",MAX(F529:N529))</f>
        <v>4542</v>
      </c>
      <c r="P527" s="61">
        <f>IF(N528="","",MIN(F529:N529))</f>
        <v>4104.8100000000013</v>
      </c>
      <c r="Q527" s="62">
        <f>IF((N529=""),"",AVERAGE(F529:N529))</f>
        <v>4310.1900000000005</v>
      </c>
      <c r="R527" s="62">
        <f>IF((N528=""),"",(O527-P527)/(O527+P527)*100)</f>
        <v>5.0560842669146036</v>
      </c>
      <c r="S527" s="113">
        <f>STDEV(F529:N529)</f>
        <v>180.49370605370234</v>
      </c>
      <c r="T527" s="5" t="str">
        <f>IF(N528="","",IF(R527&lt;16,IF(Q527&gt;3200,IF(R527,IF(Q527&lt;5240,"Pass","Fail"),"Fail"),"Fail")))</f>
        <v>Pass</v>
      </c>
      <c r="U527" s="140">
        <v>102</v>
      </c>
      <c r="X527" s="116">
        <v>4200</v>
      </c>
      <c r="Y527" s="116">
        <v>5500</v>
      </c>
      <c r="Z527" s="116">
        <v>3200</v>
      </c>
      <c r="AA527" s="116">
        <v>5240</v>
      </c>
      <c r="AB527" s="31">
        <v>16</v>
      </c>
      <c r="AC527" s="31">
        <v>16</v>
      </c>
    </row>
    <row r="528" spans="1:29" ht="15.6" x14ac:dyDescent="0.3">
      <c r="A528"/>
      <c r="B528" s="24"/>
      <c r="C528" s="6"/>
      <c r="D528" s="6"/>
      <c r="E528" s="61" t="s">
        <v>187</v>
      </c>
      <c r="F528" s="127">
        <v>26079.03</v>
      </c>
      <c r="G528" s="127">
        <v>26221.09</v>
      </c>
      <c r="H528" s="127">
        <v>26316.799999999999</v>
      </c>
      <c r="I528" s="127">
        <v>26231.99</v>
      </c>
      <c r="J528" s="127">
        <v>26092.29</v>
      </c>
      <c r="K528" s="127">
        <v>26106.51</v>
      </c>
      <c r="L528" s="127">
        <v>26224.44</v>
      </c>
      <c r="M528" s="127">
        <v>26216.91</v>
      </c>
      <c r="N528" s="127">
        <v>26048.25</v>
      </c>
      <c r="O528" s="61"/>
      <c r="P528" s="61"/>
      <c r="Q528" s="62"/>
      <c r="R528" s="62"/>
      <c r="S528" s="139"/>
      <c r="T528" s="5"/>
      <c r="U528" s="140"/>
      <c r="X528" s="118"/>
      <c r="Y528" s="118"/>
      <c r="Z528" s="118"/>
      <c r="AA528" s="118"/>
    </row>
    <row r="529" spans="1:29" ht="23.4" thickBot="1" x14ac:dyDescent="0.35">
      <c r="A529"/>
      <c r="B529" s="63"/>
      <c r="C529" s="64"/>
      <c r="D529" s="64"/>
      <c r="E529" s="65" t="s">
        <v>188</v>
      </c>
      <c r="F529" s="53">
        <f t="shared" ref="F529:N529" si="171">IF(((F527="")*AND(F528="")),"",(F527-F528)*3)</f>
        <v>4503.7200000000048</v>
      </c>
      <c r="G529" s="53">
        <f t="shared" si="171"/>
        <v>4179.2099999999991</v>
      </c>
      <c r="H529" s="53">
        <f t="shared" si="171"/>
        <v>4104.8100000000013</v>
      </c>
      <c r="I529" s="53">
        <f t="shared" si="171"/>
        <v>4175.2799999999952</v>
      </c>
      <c r="J529" s="53">
        <f t="shared" si="171"/>
        <v>4484.25</v>
      </c>
      <c r="K529" s="53">
        <f t="shared" si="171"/>
        <v>4460.7000000000044</v>
      </c>
      <c r="L529" s="53">
        <f t="shared" si="171"/>
        <v>4162.9200000000092</v>
      </c>
      <c r="M529" s="53">
        <f t="shared" si="171"/>
        <v>4178.8199999999961</v>
      </c>
      <c r="N529" s="53">
        <f t="shared" si="171"/>
        <v>4542</v>
      </c>
      <c r="O529" s="65"/>
      <c r="P529" s="65"/>
      <c r="Q529" s="66"/>
      <c r="R529" s="66"/>
      <c r="S529" s="142"/>
      <c r="T529" s="143"/>
      <c r="U529" s="144"/>
      <c r="X529" s="118"/>
      <c r="Y529" s="118"/>
      <c r="Z529" s="118"/>
      <c r="AA529" s="118"/>
    </row>
    <row r="530" spans="1:29" x14ac:dyDescent="0.25">
      <c r="A530" s="209">
        <v>43338</v>
      </c>
      <c r="B530" s="217" t="s">
        <v>174</v>
      </c>
      <c r="C530" s="44" t="s">
        <v>176</v>
      </c>
      <c r="D530" s="44" t="s">
        <v>175</v>
      </c>
      <c r="E530" s="59" t="s">
        <v>186</v>
      </c>
      <c r="F530" s="11">
        <v>3071.52</v>
      </c>
      <c r="G530" s="11">
        <v>2893.21</v>
      </c>
      <c r="H530" s="11">
        <v>2900.42</v>
      </c>
      <c r="I530" s="11">
        <v>2900.61</v>
      </c>
      <c r="J530" s="11">
        <v>3098.24</v>
      </c>
      <c r="K530" s="11">
        <v>3211.2</v>
      </c>
      <c r="L530" s="11">
        <v>2941.74</v>
      </c>
      <c r="M530" s="11">
        <v>2883.91</v>
      </c>
      <c r="N530" s="11">
        <v>3091.94</v>
      </c>
      <c r="O530" s="59">
        <f>IF((N531=""),"",MAX(F532:N532))</f>
        <v>4048.9799999999996</v>
      </c>
      <c r="P530" s="59">
        <f>IF(N531="","",MIN(F532:N532))</f>
        <v>3679.0199999999995</v>
      </c>
      <c r="Q530" s="60">
        <f>IF((N532=""),"",AVERAGE(F532:N532))</f>
        <v>3913.0866666666666</v>
      </c>
      <c r="R530" s="60">
        <f>IF((N531=""),"",(O530-P530)/(O530+P530)*100)</f>
        <v>4.7872670807453428</v>
      </c>
      <c r="S530" s="113">
        <f>STDEV(F532:N532)</f>
        <v>127.15059063960348</v>
      </c>
      <c r="T530" s="137" t="str">
        <f>IF(N531="","",IF(Q530&gt;3650,IF(R530&lt;7,IF(Q530&lt;4450,"Pass","Fail"),"Fail"),"Fail"))</f>
        <v>Pass</v>
      </c>
      <c r="U530" s="149">
        <v>121</v>
      </c>
      <c r="X530" s="116">
        <v>3650</v>
      </c>
      <c r="Y530" s="116">
        <v>4450</v>
      </c>
      <c r="Z530" s="116">
        <v>3700</v>
      </c>
      <c r="AA530" s="116">
        <v>4100</v>
      </c>
      <c r="AB530" s="31">
        <v>7</v>
      </c>
      <c r="AC530" s="31">
        <v>6.5</v>
      </c>
    </row>
    <row r="531" spans="1:29" ht="15.6" x14ac:dyDescent="0.3">
      <c r="A531"/>
      <c r="B531" s="24"/>
      <c r="C531" s="6"/>
      <c r="D531" s="6"/>
      <c r="E531" s="61" t="s">
        <v>187</v>
      </c>
      <c r="F531" s="11">
        <v>1170.8900000000001</v>
      </c>
      <c r="G531" s="11">
        <v>896.9</v>
      </c>
      <c r="H531" s="11">
        <v>881.13</v>
      </c>
      <c r="I531" s="11">
        <v>909.2</v>
      </c>
      <c r="J531" s="11">
        <v>1199.07</v>
      </c>
      <c r="K531" s="11">
        <v>1371.69</v>
      </c>
      <c r="L531" s="11">
        <v>956.02</v>
      </c>
      <c r="M531" s="11">
        <v>859.42</v>
      </c>
      <c r="N531" s="11">
        <v>1139.58</v>
      </c>
      <c r="O531" s="61"/>
      <c r="P531" s="61"/>
      <c r="Q531" s="62"/>
      <c r="R531" s="62"/>
      <c r="S531" s="139"/>
      <c r="T531" s="8"/>
      <c r="U531" s="146"/>
      <c r="X531" s="118"/>
      <c r="Y531" s="118"/>
      <c r="Z531" s="118"/>
      <c r="AA531" s="118"/>
    </row>
    <row r="532" spans="1:29" ht="22.8" x14ac:dyDescent="0.3">
      <c r="A532"/>
      <c r="B532" s="24"/>
      <c r="C532" s="6"/>
      <c r="D532" s="6"/>
      <c r="E532" s="61" t="s">
        <v>188</v>
      </c>
      <c r="F532" s="40">
        <f t="shared" ref="F532:N532" si="172">IF(((F530="")*AND(F531="")),"",(F530-F531)*2)</f>
        <v>3801.2599999999998</v>
      </c>
      <c r="G532" s="40">
        <f t="shared" si="172"/>
        <v>3992.62</v>
      </c>
      <c r="H532" s="40">
        <f t="shared" si="172"/>
        <v>4038.58</v>
      </c>
      <c r="I532" s="40">
        <f t="shared" si="172"/>
        <v>3982.82</v>
      </c>
      <c r="J532" s="40">
        <f t="shared" si="172"/>
        <v>3798.3399999999997</v>
      </c>
      <c r="K532" s="40">
        <f t="shared" si="172"/>
        <v>3679.0199999999995</v>
      </c>
      <c r="L532" s="40">
        <f t="shared" si="172"/>
        <v>3971.4399999999996</v>
      </c>
      <c r="M532" s="40">
        <f t="shared" si="172"/>
        <v>4048.9799999999996</v>
      </c>
      <c r="N532" s="40">
        <f t="shared" si="172"/>
        <v>3904.7200000000003</v>
      </c>
      <c r="O532" s="61"/>
      <c r="P532" s="61"/>
      <c r="Q532" s="62"/>
      <c r="R532" s="62"/>
      <c r="S532" s="139"/>
      <c r="T532" s="8"/>
      <c r="U532" s="146"/>
      <c r="X532" s="118"/>
      <c r="Y532" s="118"/>
      <c r="Z532" s="118"/>
      <c r="AA532" s="118"/>
    </row>
    <row r="533" spans="1:29" x14ac:dyDescent="0.25">
      <c r="A533" s="207">
        <v>43338</v>
      </c>
      <c r="B533" s="215" t="s">
        <v>169</v>
      </c>
      <c r="C533" s="6" t="s">
        <v>171</v>
      </c>
      <c r="D533" s="6" t="s">
        <v>189</v>
      </c>
      <c r="E533" s="61" t="s">
        <v>186</v>
      </c>
      <c r="F533" s="11">
        <v>1962.38</v>
      </c>
      <c r="G533" s="11">
        <v>1955.53</v>
      </c>
      <c r="H533" s="11">
        <v>1954.99</v>
      </c>
      <c r="I533" s="11">
        <v>1958.98</v>
      </c>
      <c r="J533" s="11">
        <v>1965.04</v>
      </c>
      <c r="K533" s="11">
        <v>1964.37</v>
      </c>
      <c r="L533" s="11">
        <v>1958.65</v>
      </c>
      <c r="M533" s="11">
        <v>1961.71</v>
      </c>
      <c r="N533" s="11">
        <v>1966.04</v>
      </c>
      <c r="O533" s="61">
        <f>IF((N534=""),"",MAX(F535:N535))</f>
        <v>2125.59</v>
      </c>
      <c r="P533" s="61">
        <f>IF(N534="","",MIN(F535:N535))</f>
        <v>2050.0800000000004</v>
      </c>
      <c r="Q533" s="62">
        <f>IF((N535=""),"",AVERAGE(F535:N535))</f>
        <v>2089.3333333333335</v>
      </c>
      <c r="R533" s="62">
        <f>IF((N534=""),"",(O533-P533)/(O533+P533)*100)</f>
        <v>1.8083325550151175</v>
      </c>
      <c r="S533" s="113">
        <f>STDEV(F535:N535)</f>
        <v>30.499880737471852</v>
      </c>
      <c r="T533" s="5" t="str">
        <f>IF(N534="","",IF(Q533&gt;1940,IF(R533&lt;8.3,IF(Q533&lt;2180,"Pass","Fail"),"Fail"),"Fail"))</f>
        <v>Pass</v>
      </c>
      <c r="U533" s="140">
        <v>121</v>
      </c>
      <c r="X533" s="116">
        <v>2000</v>
      </c>
      <c r="Y533" s="116">
        <v>3000</v>
      </c>
      <c r="Z533" s="116">
        <v>1940</v>
      </c>
      <c r="AA533" s="116">
        <v>2180</v>
      </c>
      <c r="AB533" s="31">
        <v>5.2</v>
      </c>
      <c r="AC533" s="31">
        <v>5.2</v>
      </c>
    </row>
    <row r="534" spans="1:29" ht="15.6" x14ac:dyDescent="0.3">
      <c r="A534"/>
      <c r="B534" s="24"/>
      <c r="C534" s="6"/>
      <c r="D534" s="6"/>
      <c r="E534" s="61" t="s">
        <v>187</v>
      </c>
      <c r="F534" s="11">
        <v>1279.02</v>
      </c>
      <c r="G534" s="11">
        <v>1255.26</v>
      </c>
      <c r="H534" s="11">
        <v>1249.26</v>
      </c>
      <c r="I534" s="11">
        <v>1254.19</v>
      </c>
      <c r="J534" s="11">
        <v>1280.2</v>
      </c>
      <c r="K534" s="11">
        <v>1272.44</v>
      </c>
      <c r="L534" s="11">
        <v>1255.03</v>
      </c>
      <c r="M534" s="11">
        <v>1253.18</v>
      </c>
      <c r="N534" s="11">
        <v>1281.1099999999999</v>
      </c>
      <c r="O534" s="61"/>
      <c r="P534" s="61"/>
      <c r="Q534" s="62"/>
      <c r="R534" s="62"/>
      <c r="S534" s="139"/>
      <c r="T534" s="5"/>
      <c r="U534" s="140"/>
      <c r="X534" s="118"/>
      <c r="Y534" s="118"/>
      <c r="Z534" s="118"/>
      <c r="AA534" s="118"/>
    </row>
    <row r="535" spans="1:29" ht="15.6" x14ac:dyDescent="0.3">
      <c r="A535"/>
      <c r="B535" s="24"/>
      <c r="C535" s="6"/>
      <c r="D535" s="6"/>
      <c r="E535" s="61" t="s">
        <v>190</v>
      </c>
      <c r="F535" s="40">
        <f t="shared" ref="F535:N535" si="173">IF(((F533="")*AND(F534="")),"",(F533-F534)*3)</f>
        <v>2050.0800000000004</v>
      </c>
      <c r="G535" s="40">
        <f t="shared" si="173"/>
        <v>2100.81</v>
      </c>
      <c r="H535" s="40">
        <f t="shared" si="173"/>
        <v>2117.19</v>
      </c>
      <c r="I535" s="40">
        <f t="shared" si="173"/>
        <v>2114.37</v>
      </c>
      <c r="J535" s="40">
        <f t="shared" si="173"/>
        <v>2054.5199999999995</v>
      </c>
      <c r="K535" s="40">
        <f t="shared" si="173"/>
        <v>2075.7899999999995</v>
      </c>
      <c r="L535" s="40">
        <f t="shared" si="173"/>
        <v>2110.8600000000006</v>
      </c>
      <c r="M535" s="40">
        <f t="shared" si="173"/>
        <v>2125.59</v>
      </c>
      <c r="N535" s="40">
        <f t="shared" si="173"/>
        <v>2054.79</v>
      </c>
      <c r="O535" s="61"/>
      <c r="P535" s="61"/>
      <c r="Q535" s="62"/>
      <c r="R535" s="62"/>
      <c r="S535" s="139"/>
      <c r="T535" s="5"/>
      <c r="U535" s="140"/>
      <c r="X535" s="118"/>
      <c r="Y535" s="118"/>
      <c r="Z535" s="118"/>
      <c r="AA535" s="118"/>
    </row>
    <row r="536" spans="1:29" x14ac:dyDescent="0.25">
      <c r="A536" s="207">
        <v>43338</v>
      </c>
      <c r="B536" s="218" t="s">
        <v>185</v>
      </c>
      <c r="C536" s="6" t="s">
        <v>173</v>
      </c>
      <c r="D536" s="6" t="s">
        <v>172</v>
      </c>
      <c r="E536" s="61" t="s">
        <v>186</v>
      </c>
      <c r="F536" s="11">
        <v>26022.03</v>
      </c>
      <c r="G536" s="11">
        <v>26161.63</v>
      </c>
      <c r="H536" s="11">
        <v>26264.400000000001</v>
      </c>
      <c r="I536" s="11">
        <v>26179.51</v>
      </c>
      <c r="J536" s="11">
        <v>26030.7</v>
      </c>
      <c r="K536" s="11">
        <v>26045.89</v>
      </c>
      <c r="L536" s="11">
        <v>26174.240000000002</v>
      </c>
      <c r="M536" s="11">
        <v>26158.26</v>
      </c>
      <c r="N536" s="11">
        <v>25995.75</v>
      </c>
      <c r="O536" s="61">
        <f>IF((N537=""),"",MAX(F538:N538))</f>
        <v>4772.0400000000009</v>
      </c>
      <c r="P536" s="61">
        <f>IF(N537="","",MIN(F538:N538))</f>
        <v>4312.5</v>
      </c>
      <c r="Q536" s="62">
        <f>IF((N538=""),"",AVERAGE(F538:N538))</f>
        <v>4509.9633333333331</v>
      </c>
      <c r="R536" s="62">
        <f>IF((N537=""),"",(O536-P536)/(O536+P536)*100)</f>
        <v>5.0584839738721046</v>
      </c>
      <c r="S536" s="113">
        <f>STDEV(F538:N538)</f>
        <v>186.94878603510557</v>
      </c>
      <c r="T536" s="5" t="str">
        <f>IF(N537="","",IF(R536&lt;16,IF(Q536&gt;3200,IF(R536,IF(Q536&lt;5240,"Pass","Fail"),"Fail"),"Fail")))</f>
        <v>Pass</v>
      </c>
      <c r="U536" s="140">
        <v>121</v>
      </c>
      <c r="X536" s="116">
        <v>4200</v>
      </c>
      <c r="Y536" s="116">
        <v>5500</v>
      </c>
      <c r="Z536" s="116">
        <v>3200</v>
      </c>
      <c r="AA536" s="116">
        <v>5240</v>
      </c>
      <c r="AB536" s="31">
        <v>16</v>
      </c>
      <c r="AC536" s="31">
        <v>16</v>
      </c>
    </row>
    <row r="537" spans="1:29" ht="15.6" x14ac:dyDescent="0.3">
      <c r="A537"/>
      <c r="B537" s="24"/>
      <c r="C537" s="6"/>
      <c r="D537" s="6"/>
      <c r="E537" s="61" t="s">
        <v>187</v>
      </c>
      <c r="F537" s="11">
        <v>24439.54</v>
      </c>
      <c r="G537" s="11">
        <v>24697.93</v>
      </c>
      <c r="H537" s="11">
        <v>24826.9</v>
      </c>
      <c r="I537" s="11">
        <v>24731.5</v>
      </c>
      <c r="J537" s="11">
        <v>24483.55</v>
      </c>
      <c r="K537" s="11">
        <v>24499.52</v>
      </c>
      <c r="L537" s="11">
        <v>24725.59</v>
      </c>
      <c r="M537" s="11">
        <v>24692.92</v>
      </c>
      <c r="N537" s="11">
        <v>24405.07</v>
      </c>
      <c r="O537" s="61"/>
      <c r="P537" s="61"/>
      <c r="Q537" s="62"/>
      <c r="R537" s="62"/>
      <c r="S537" s="139"/>
      <c r="T537" s="5"/>
      <c r="U537" s="140"/>
      <c r="X537" s="118"/>
      <c r="Y537" s="118"/>
      <c r="Z537" s="118"/>
      <c r="AA537" s="118"/>
    </row>
    <row r="538" spans="1:29" ht="23.4" thickBot="1" x14ac:dyDescent="0.35">
      <c r="A538"/>
      <c r="B538" s="63"/>
      <c r="C538" s="64"/>
      <c r="D538" s="64"/>
      <c r="E538" s="65" t="s">
        <v>188</v>
      </c>
      <c r="F538" s="53">
        <f t="shared" ref="F538:N538" si="174">IF(((F536="")*AND(F537="")),"",(F536-F537)*3)</f>
        <v>4747.4699999999939</v>
      </c>
      <c r="G538" s="53">
        <f t="shared" si="174"/>
        <v>4391.1000000000022</v>
      </c>
      <c r="H538" s="53">
        <f t="shared" si="174"/>
        <v>4312.5</v>
      </c>
      <c r="I538" s="53">
        <f t="shared" si="174"/>
        <v>4344.0299999999952</v>
      </c>
      <c r="J538" s="53">
        <f t="shared" si="174"/>
        <v>4641.4500000000044</v>
      </c>
      <c r="K538" s="53">
        <f t="shared" si="174"/>
        <v>4639.1099999999969</v>
      </c>
      <c r="L538" s="53">
        <f t="shared" si="174"/>
        <v>4345.9500000000044</v>
      </c>
      <c r="M538" s="53">
        <f t="shared" si="174"/>
        <v>4396.0200000000004</v>
      </c>
      <c r="N538" s="53">
        <f t="shared" si="174"/>
        <v>4772.0400000000009</v>
      </c>
      <c r="O538" s="65"/>
      <c r="P538" s="65"/>
      <c r="Q538" s="66"/>
      <c r="R538" s="66"/>
      <c r="S538" s="142"/>
      <c r="T538" s="143"/>
      <c r="U538" s="144"/>
      <c r="X538" s="118"/>
      <c r="Y538" s="118"/>
      <c r="Z538" s="118"/>
      <c r="AA538" s="118"/>
    </row>
    <row r="539" spans="1:29" x14ac:dyDescent="0.25">
      <c r="A539" s="209">
        <v>43344</v>
      </c>
      <c r="B539" s="217" t="s">
        <v>174</v>
      </c>
      <c r="C539" s="44" t="s">
        <v>176</v>
      </c>
      <c r="D539" s="44" t="s">
        <v>175</v>
      </c>
      <c r="E539" s="59" t="s">
        <v>186</v>
      </c>
      <c r="F539" s="11">
        <v>6953.63</v>
      </c>
      <c r="G539" s="11">
        <v>6941.14</v>
      </c>
      <c r="H539" s="11">
        <v>6989.81</v>
      </c>
      <c r="I539" s="11">
        <v>6952.52</v>
      </c>
      <c r="J539" s="11">
        <v>7007.72</v>
      </c>
      <c r="K539" s="11">
        <v>6971.64</v>
      </c>
      <c r="L539" s="11">
        <v>6975.28</v>
      </c>
      <c r="M539" s="11">
        <v>6980.98</v>
      </c>
      <c r="N539" s="11">
        <v>7061.7</v>
      </c>
      <c r="O539" s="59">
        <f>IF((N540=""),"",MAX(F541:N541))</f>
        <v>4051.7799999999988</v>
      </c>
      <c r="P539" s="59">
        <f>IF(N540="","",MIN(F541:N541))</f>
        <v>3695.1800000000003</v>
      </c>
      <c r="Q539" s="60">
        <f>IF((N541=""),"",AVERAGE(F541:N541))</f>
        <v>3924.7333333333331</v>
      </c>
      <c r="R539" s="60">
        <f>IF((N540=""),"",(O539-P539)/(O539+P539)*100)</f>
        <v>4.6030959240785885</v>
      </c>
      <c r="S539" s="113">
        <f>STDEV(F541:N541)</f>
        <v>122.26539371383873</v>
      </c>
      <c r="T539" s="137" t="str">
        <f>IF(N540="","",IF(Q539&gt;3650,IF(R539&lt;7,IF(Q539&lt;4450,"Pass","Fail"),"Fail"),"Fail"))</f>
        <v>Pass</v>
      </c>
      <c r="U539" s="149">
        <v>1335</v>
      </c>
      <c r="X539" s="116">
        <v>3650</v>
      </c>
      <c r="Y539" s="116">
        <v>4450</v>
      </c>
      <c r="Z539" s="116">
        <v>3700</v>
      </c>
      <c r="AA539" s="116">
        <v>4100</v>
      </c>
      <c r="AB539" s="31">
        <v>7</v>
      </c>
      <c r="AC539" s="31">
        <v>6.5</v>
      </c>
    </row>
    <row r="540" spans="1:29" ht="15.6" x14ac:dyDescent="0.3">
      <c r="A540"/>
      <c r="B540" s="24"/>
      <c r="C540" s="6"/>
      <c r="D540" s="6"/>
      <c r="E540" s="61" t="s">
        <v>187</v>
      </c>
      <c r="F540" s="11">
        <v>5037.71</v>
      </c>
      <c r="G540" s="11">
        <v>4936.49</v>
      </c>
      <c r="H540" s="11">
        <v>4969.26</v>
      </c>
      <c r="I540" s="11">
        <v>4956.1899999999996</v>
      </c>
      <c r="J540" s="11">
        <v>5103.18</v>
      </c>
      <c r="K540" s="11">
        <v>5124.05</v>
      </c>
      <c r="L540" s="11">
        <v>4984.5</v>
      </c>
      <c r="M540" s="11">
        <v>4955.09</v>
      </c>
      <c r="N540" s="11">
        <v>5106.6499999999996</v>
      </c>
      <c r="O540" s="61"/>
      <c r="P540" s="61"/>
      <c r="Q540" s="62"/>
      <c r="R540" s="62"/>
      <c r="S540" s="139"/>
      <c r="T540" s="8"/>
      <c r="U540" s="146"/>
      <c r="X540" s="118"/>
      <c r="Y540" s="118"/>
      <c r="Z540" s="118"/>
      <c r="AA540" s="118"/>
    </row>
    <row r="541" spans="1:29" ht="23.4" thickBot="1" x14ac:dyDescent="0.35">
      <c r="A541"/>
      <c r="B541" s="24"/>
      <c r="C541" s="6"/>
      <c r="D541" s="6"/>
      <c r="E541" s="61" t="s">
        <v>188</v>
      </c>
      <c r="F541" s="40">
        <f t="shared" ref="F541:N541" si="175">IF(((F539="")*AND(F540="")),"",(F539-F540)*2)</f>
        <v>3831.84</v>
      </c>
      <c r="G541" s="40">
        <f t="shared" si="175"/>
        <v>4009.3000000000011</v>
      </c>
      <c r="H541" s="40">
        <f t="shared" si="175"/>
        <v>4041.1000000000004</v>
      </c>
      <c r="I541" s="40">
        <f t="shared" si="175"/>
        <v>3992.6600000000017</v>
      </c>
      <c r="J541" s="40">
        <f t="shared" si="175"/>
        <v>3809.08</v>
      </c>
      <c r="K541" s="40">
        <f t="shared" si="175"/>
        <v>3695.1800000000003</v>
      </c>
      <c r="L541" s="40">
        <f t="shared" si="175"/>
        <v>3981.5599999999995</v>
      </c>
      <c r="M541" s="40">
        <f t="shared" si="175"/>
        <v>4051.7799999999988</v>
      </c>
      <c r="N541" s="40">
        <f t="shared" si="175"/>
        <v>3910.1000000000004</v>
      </c>
      <c r="O541" s="61"/>
      <c r="P541" s="61"/>
      <c r="Q541" s="62"/>
      <c r="R541" s="62"/>
      <c r="S541" s="139"/>
      <c r="T541" s="8"/>
      <c r="U541" s="146"/>
      <c r="X541" s="118"/>
      <c r="Y541" s="118"/>
      <c r="Z541" s="118"/>
      <c r="AA541" s="118"/>
    </row>
    <row r="542" spans="1:29" x14ac:dyDescent="0.25">
      <c r="A542" s="209">
        <v>43344</v>
      </c>
      <c r="B542" s="215" t="s">
        <v>169</v>
      </c>
      <c r="C542" s="6" t="s">
        <v>171</v>
      </c>
      <c r="D542" s="6" t="s">
        <v>189</v>
      </c>
      <c r="E542" s="61" t="s">
        <v>186</v>
      </c>
      <c r="F542" s="11">
        <v>1281.79</v>
      </c>
      <c r="G542" s="11">
        <v>1257.3</v>
      </c>
      <c r="H542" s="11">
        <v>1252.99</v>
      </c>
      <c r="I542" s="11">
        <v>1252.75</v>
      </c>
      <c r="J542" s="11">
        <v>1280.46</v>
      </c>
      <c r="K542" s="11">
        <v>1280.0999999999999</v>
      </c>
      <c r="L542" s="11">
        <v>1259.1500000000001</v>
      </c>
      <c r="M542" s="11">
        <v>1254.55</v>
      </c>
      <c r="N542" s="11">
        <v>1279.92</v>
      </c>
      <c r="O542" s="61">
        <f>IF((N543=""),"",MAX(F544:N544))</f>
        <v>2065.86</v>
      </c>
      <c r="P542" s="61">
        <f>IF(N543="","",MIN(F544:N544))</f>
        <v>1993.44</v>
      </c>
      <c r="Q542" s="62">
        <f>IF((N544=""),"",AVERAGE(F544:N544))</f>
        <v>2039.2866666666664</v>
      </c>
      <c r="R542" s="62">
        <f>IF((N543=""),"",(O542-P542)/(O542+P542)*100)</f>
        <v>1.7840514374399545</v>
      </c>
      <c r="S542" s="113">
        <f>STDEV(F544:N544)</f>
        <v>24.168397236887635</v>
      </c>
      <c r="T542" s="5" t="str">
        <f>IF(N543="","",IF(Q542&gt;1940,IF(R542&lt;8.3,IF(Q542&lt;2180,"Pass","Fail"),"Fail"),"Fail"))</f>
        <v>Pass</v>
      </c>
      <c r="U542" s="140">
        <v>1335</v>
      </c>
      <c r="X542" s="116">
        <v>2000</v>
      </c>
      <c r="Y542" s="116">
        <v>3000</v>
      </c>
      <c r="Z542" s="116">
        <v>1940</v>
      </c>
      <c r="AA542" s="116">
        <v>2180</v>
      </c>
      <c r="AB542" s="31">
        <v>5.2</v>
      </c>
      <c r="AC542" s="31">
        <v>5.2</v>
      </c>
    </row>
    <row r="543" spans="1:29" ht="15.6" x14ac:dyDescent="0.3">
      <c r="A543"/>
      <c r="B543" s="24"/>
      <c r="C543" s="6"/>
      <c r="D543" s="6"/>
      <c r="E543" s="61" t="s">
        <v>187</v>
      </c>
      <c r="F543" s="11">
        <v>596.78</v>
      </c>
      <c r="G543" s="11">
        <v>568.67999999999995</v>
      </c>
      <c r="H543" s="11">
        <v>567.09</v>
      </c>
      <c r="I543" s="11">
        <v>573.74</v>
      </c>
      <c r="J543" s="11">
        <v>615.98</v>
      </c>
      <c r="K543" s="11">
        <v>605.91</v>
      </c>
      <c r="L543" s="11">
        <v>575.88</v>
      </c>
      <c r="M543" s="11">
        <v>568.94000000000005</v>
      </c>
      <c r="N543" s="11">
        <v>608.15</v>
      </c>
      <c r="O543" s="61"/>
      <c r="P543" s="61"/>
      <c r="Q543" s="62"/>
      <c r="R543" s="62"/>
      <c r="S543" s="139"/>
      <c r="T543" s="5"/>
      <c r="U543" s="140"/>
      <c r="X543" s="118"/>
      <c r="Y543" s="118"/>
      <c r="Z543" s="118"/>
      <c r="AA543" s="118"/>
    </row>
    <row r="544" spans="1:29" ht="16.2" thickBot="1" x14ac:dyDescent="0.35">
      <c r="A544"/>
      <c r="B544" s="24"/>
      <c r="C544" s="6"/>
      <c r="D544" s="6"/>
      <c r="E544" s="61" t="s">
        <v>190</v>
      </c>
      <c r="F544" s="40">
        <f t="shared" ref="F544:N544" si="176">IF(((F542="")*AND(F543="")),"",(F542-F543)*3)</f>
        <v>2055.0299999999997</v>
      </c>
      <c r="G544" s="40">
        <f t="shared" si="176"/>
        <v>2065.86</v>
      </c>
      <c r="H544" s="40">
        <f t="shared" si="176"/>
        <v>2057.6999999999998</v>
      </c>
      <c r="I544" s="40">
        <f t="shared" si="176"/>
        <v>2037.03</v>
      </c>
      <c r="J544" s="40">
        <f t="shared" si="176"/>
        <v>1993.44</v>
      </c>
      <c r="K544" s="40">
        <f t="shared" si="176"/>
        <v>2022.5699999999997</v>
      </c>
      <c r="L544" s="40">
        <f t="shared" si="176"/>
        <v>2049.8100000000004</v>
      </c>
      <c r="M544" s="40">
        <f t="shared" si="176"/>
        <v>2056.83</v>
      </c>
      <c r="N544" s="40">
        <f t="shared" si="176"/>
        <v>2015.3100000000004</v>
      </c>
      <c r="O544" s="61"/>
      <c r="P544" s="61"/>
      <c r="Q544" s="62"/>
      <c r="R544" s="62"/>
      <c r="S544" s="139"/>
      <c r="T544" s="5"/>
      <c r="U544" s="140"/>
      <c r="X544" s="118"/>
      <c r="Y544" s="118"/>
      <c r="Z544" s="118"/>
      <c r="AA544" s="118"/>
    </row>
    <row r="545" spans="1:29" x14ac:dyDescent="0.25">
      <c r="A545" s="209">
        <v>43344</v>
      </c>
      <c r="B545" s="218" t="s">
        <v>185</v>
      </c>
      <c r="C545" s="6" t="s">
        <v>173</v>
      </c>
      <c r="D545" s="6" t="s">
        <v>172</v>
      </c>
      <c r="E545" s="61" t="s">
        <v>186</v>
      </c>
      <c r="F545" s="11">
        <v>24376.92</v>
      </c>
      <c r="G545" s="11">
        <v>24638.61</v>
      </c>
      <c r="H545" s="11">
        <v>24760.19</v>
      </c>
      <c r="I545" s="11">
        <v>24670.720000000001</v>
      </c>
      <c r="J545" s="11">
        <v>24423.13</v>
      </c>
      <c r="K545" s="11">
        <v>24435.75</v>
      </c>
      <c r="L545" s="11">
        <v>24664.46</v>
      </c>
      <c r="M545" s="11">
        <v>24641.88</v>
      </c>
      <c r="N545" s="11">
        <v>24349.08</v>
      </c>
      <c r="O545" s="61">
        <f>IF((N546=""),"",MAX(F547:N547))</f>
        <v>4499.25</v>
      </c>
      <c r="P545" s="61">
        <f>IF(N546="","",MIN(F547:N547))</f>
        <v>4030.2900000000009</v>
      </c>
      <c r="Q545" s="62">
        <f>IF((N547=""),"",AVERAGE(F547:N547))</f>
        <v>4254.2800000000016</v>
      </c>
      <c r="R545" s="62">
        <f>IF((N546=""),"",(O545-P545)/(O545+P545)*100)</f>
        <v>5.4980690635133795</v>
      </c>
      <c r="S545" s="113">
        <f>STDEV(F547:N547)</f>
        <v>192.73358393128979</v>
      </c>
      <c r="T545" s="5" t="str">
        <f>IF(N546="","",IF(R545&lt;16,IF(Q545&gt;3200,IF(R545,IF(Q545&lt;5240,"Pass","Fail"),"Fail"),"Fail")))</f>
        <v>Pass</v>
      </c>
      <c r="U545" s="140">
        <v>1335</v>
      </c>
      <c r="X545" s="116">
        <v>4200</v>
      </c>
      <c r="Y545" s="116">
        <v>5500</v>
      </c>
      <c r="Z545" s="116">
        <v>3200</v>
      </c>
      <c r="AA545" s="116">
        <v>5240</v>
      </c>
      <c r="AB545" s="31">
        <v>16</v>
      </c>
      <c r="AC545" s="31">
        <v>16</v>
      </c>
    </row>
    <row r="546" spans="1:29" ht="15.6" x14ac:dyDescent="0.3">
      <c r="A546"/>
      <c r="B546" s="24"/>
      <c r="C546" s="6"/>
      <c r="D546" s="6"/>
      <c r="E546" s="61" t="s">
        <v>187</v>
      </c>
      <c r="F546" s="11">
        <v>22882.04</v>
      </c>
      <c r="G546" s="11">
        <v>23265.439999999999</v>
      </c>
      <c r="H546" s="11">
        <v>23416.76</v>
      </c>
      <c r="I546" s="11">
        <v>23307.77</v>
      </c>
      <c r="J546" s="11">
        <v>22948.37</v>
      </c>
      <c r="K546" s="11">
        <v>22967.96</v>
      </c>
      <c r="L546" s="11">
        <v>23297.87</v>
      </c>
      <c r="M546" s="11">
        <v>23262.36</v>
      </c>
      <c r="N546" s="11">
        <v>22849.33</v>
      </c>
      <c r="O546" s="61"/>
      <c r="P546" s="61"/>
      <c r="Q546" s="62"/>
      <c r="R546" s="62"/>
      <c r="S546" s="139"/>
      <c r="T546" s="5"/>
      <c r="U546" s="140"/>
      <c r="X546" s="118"/>
      <c r="Y546" s="118"/>
      <c r="Z546" s="118"/>
      <c r="AA546" s="118"/>
    </row>
    <row r="547" spans="1:29" ht="23.4" thickBot="1" x14ac:dyDescent="0.35">
      <c r="A547"/>
      <c r="B547" s="63"/>
      <c r="C547" s="64"/>
      <c r="D547" s="64"/>
      <c r="E547" s="65" t="s">
        <v>188</v>
      </c>
      <c r="F547" s="53">
        <f t="shared" ref="F547:N547" si="177">IF(((F545="")*AND(F546="")),"",(F545-F546)*3)</f>
        <v>4484.6399999999921</v>
      </c>
      <c r="G547" s="53">
        <f t="shared" si="177"/>
        <v>4119.5100000000057</v>
      </c>
      <c r="H547" s="53">
        <f t="shared" si="177"/>
        <v>4030.2900000000009</v>
      </c>
      <c r="I547" s="53">
        <f t="shared" si="177"/>
        <v>4088.8500000000022</v>
      </c>
      <c r="J547" s="53">
        <f t="shared" si="177"/>
        <v>4424.2800000000061</v>
      </c>
      <c r="K547" s="53">
        <f t="shared" si="177"/>
        <v>4403.3700000000026</v>
      </c>
      <c r="L547" s="53">
        <f t="shared" si="177"/>
        <v>4099.7700000000004</v>
      </c>
      <c r="M547" s="53">
        <f t="shared" si="177"/>
        <v>4138.5600000000013</v>
      </c>
      <c r="N547" s="53">
        <f t="shared" si="177"/>
        <v>4499.25</v>
      </c>
      <c r="O547" s="65"/>
      <c r="P547" s="65"/>
      <c r="Q547" s="66"/>
      <c r="R547" s="66"/>
      <c r="S547" s="142"/>
      <c r="T547" s="143"/>
      <c r="U547" s="144"/>
      <c r="X547" s="118"/>
      <c r="Y547" s="118"/>
      <c r="Z547" s="118"/>
      <c r="AA547" s="118"/>
    </row>
    <row r="548" spans="1:29" x14ac:dyDescent="0.25">
      <c r="A548" s="209">
        <v>43347</v>
      </c>
      <c r="B548" s="217" t="s">
        <v>174</v>
      </c>
      <c r="C548" s="44" t="s">
        <v>176</v>
      </c>
      <c r="D548" s="44" t="s">
        <v>175</v>
      </c>
      <c r="E548" s="59" t="s">
        <v>186</v>
      </c>
      <c r="F548" s="11">
        <v>5037.71</v>
      </c>
      <c r="G548" s="11">
        <v>4936.49</v>
      </c>
      <c r="H548" s="11">
        <v>4969.26</v>
      </c>
      <c r="I548" s="11">
        <v>4956.1899999999996</v>
      </c>
      <c r="J548" s="11">
        <v>5103.18</v>
      </c>
      <c r="K548" s="11">
        <v>5124.05</v>
      </c>
      <c r="L548" s="11">
        <v>4984.5</v>
      </c>
      <c r="M548" s="11">
        <v>4955.09</v>
      </c>
      <c r="N548" s="11">
        <v>5106.6499999999996</v>
      </c>
      <c r="O548" s="59">
        <f>IF((N549=""),"",MAX(F550:N550))</f>
        <v>4051.5400000000009</v>
      </c>
      <c r="P548" s="59">
        <f>IF(N549="","",MIN(F550:N550))</f>
        <v>3704.1400000000003</v>
      </c>
      <c r="Q548" s="60">
        <f>IF((N550=""),"",AVERAGE(F550:N550))</f>
        <v>3929.4066666666663</v>
      </c>
      <c r="R548" s="60">
        <f>IF((N549=""),"",(O548-P548)/(O548+P548)*100)</f>
        <v>4.479297753388491</v>
      </c>
      <c r="S548" s="113">
        <f>STDEV(F550:N550)</f>
        <v>122.62903938301058</v>
      </c>
      <c r="T548" s="137" t="str">
        <f>IF(N549="","",IF(Q548&gt;3650,IF(R548&lt;7,IF(Q548&lt;4450,"Pass","Fail"),"Fail"),"Fail"))</f>
        <v>Pass</v>
      </c>
      <c r="U548" s="149">
        <v>1335</v>
      </c>
      <c r="X548" s="116">
        <v>3650</v>
      </c>
      <c r="Y548" s="116">
        <v>4450</v>
      </c>
      <c r="Z548" s="116">
        <v>3700</v>
      </c>
      <c r="AA548" s="116">
        <v>4100</v>
      </c>
      <c r="AB548" s="31">
        <v>7</v>
      </c>
      <c r="AC548" s="31">
        <v>6.5</v>
      </c>
    </row>
    <row r="549" spans="1:29" ht="15.6" x14ac:dyDescent="0.3">
      <c r="A549"/>
      <c r="B549" s="24"/>
      <c r="C549" s="6"/>
      <c r="D549" s="6"/>
      <c r="E549" s="61" t="s">
        <v>187</v>
      </c>
      <c r="F549" s="11">
        <v>3125.43</v>
      </c>
      <c r="G549" s="11">
        <v>2930.29</v>
      </c>
      <c r="H549" s="11">
        <v>2943.49</v>
      </c>
      <c r="I549" s="11">
        <v>2952.57</v>
      </c>
      <c r="J549" s="11">
        <v>3191.08</v>
      </c>
      <c r="K549" s="11">
        <v>3271.98</v>
      </c>
      <c r="L549" s="11">
        <v>2985.34</v>
      </c>
      <c r="M549" s="11">
        <v>2931.77</v>
      </c>
      <c r="N549" s="11">
        <v>3158.84</v>
      </c>
      <c r="O549" s="61"/>
      <c r="P549" s="61"/>
      <c r="Q549" s="62"/>
      <c r="R549" s="62"/>
      <c r="S549" s="139"/>
      <c r="T549" s="8"/>
      <c r="U549" s="146"/>
      <c r="X549" s="118"/>
      <c r="Y549" s="118"/>
      <c r="Z549" s="118"/>
      <c r="AA549" s="118"/>
    </row>
    <row r="550" spans="1:29" ht="23.4" thickBot="1" x14ac:dyDescent="0.35">
      <c r="A550"/>
      <c r="B550" s="24"/>
      <c r="C550" s="6"/>
      <c r="D550" s="6"/>
      <c r="E550" s="61" t="s">
        <v>188</v>
      </c>
      <c r="F550" s="40">
        <f t="shared" ref="F550:N550" si="178">IF(((F548="")*AND(F549="")),"",(F548-F549)*2)</f>
        <v>3824.5600000000004</v>
      </c>
      <c r="G550" s="40">
        <f t="shared" si="178"/>
        <v>4012.3999999999996</v>
      </c>
      <c r="H550" s="40">
        <f t="shared" si="178"/>
        <v>4051.5400000000009</v>
      </c>
      <c r="I550" s="40">
        <f t="shared" si="178"/>
        <v>4007.2399999999989</v>
      </c>
      <c r="J550" s="40">
        <f t="shared" si="178"/>
        <v>3824.2000000000007</v>
      </c>
      <c r="K550" s="40">
        <f t="shared" si="178"/>
        <v>3704.1400000000003</v>
      </c>
      <c r="L550" s="40">
        <f t="shared" si="178"/>
        <v>3998.3199999999997</v>
      </c>
      <c r="M550" s="40">
        <f t="shared" si="178"/>
        <v>4046.6400000000003</v>
      </c>
      <c r="N550" s="40">
        <f t="shared" si="178"/>
        <v>3895.619999999999</v>
      </c>
      <c r="O550" s="61"/>
      <c r="P550" s="61"/>
      <c r="Q550" s="62"/>
      <c r="R550" s="62"/>
      <c r="S550" s="139"/>
      <c r="T550" s="8"/>
      <c r="U550" s="146"/>
      <c r="X550" s="118"/>
      <c r="Y550" s="118"/>
      <c r="Z550" s="118"/>
      <c r="AA550" s="118"/>
    </row>
    <row r="551" spans="1:29" x14ac:dyDescent="0.25">
      <c r="A551" s="209">
        <v>43347</v>
      </c>
      <c r="B551" s="215" t="s">
        <v>169</v>
      </c>
      <c r="C551" s="6" t="s">
        <v>171</v>
      </c>
      <c r="D551" s="6" t="s">
        <v>189</v>
      </c>
      <c r="E551" s="61" t="s">
        <v>186</v>
      </c>
      <c r="F551" s="11">
        <v>1971.67</v>
      </c>
      <c r="G551" s="11">
        <v>1966.5</v>
      </c>
      <c r="H551" s="11">
        <v>1965.14</v>
      </c>
      <c r="I551" s="11">
        <v>1968.7</v>
      </c>
      <c r="J551" s="11">
        <v>1971.96</v>
      </c>
      <c r="K551" s="11">
        <v>1978.37</v>
      </c>
      <c r="L551" s="11">
        <v>1971.14</v>
      </c>
      <c r="M551" s="11">
        <v>1967.94</v>
      </c>
      <c r="N551" s="11">
        <v>1974.59</v>
      </c>
      <c r="O551" s="61">
        <f>IF((N552=""),"",MAX(F553:N553))</f>
        <v>2107.9500000000003</v>
      </c>
      <c r="P551" s="61">
        <f>IF(N552="","",MIN(F553:N553))</f>
        <v>2041.2900000000002</v>
      </c>
      <c r="Q551" s="62">
        <f>IF((N553=""),"",AVERAGE(F553:N553))</f>
        <v>2084.6033333333335</v>
      </c>
      <c r="R551" s="62">
        <f>IF((N552=""),"",(O551-P551)/(O551+P551)*100)</f>
        <v>1.606559273505511</v>
      </c>
      <c r="S551" s="113">
        <f>STDEV(F553:N553)</f>
        <v>20.014557826742074</v>
      </c>
      <c r="T551" s="5" t="str">
        <f>IF(N552="","",IF(Q551&gt;1940,IF(R551&lt;8.3,IF(Q551&lt;2180,"Pass","Fail"),"Fail"),"Fail"))</f>
        <v>Pass</v>
      </c>
      <c r="U551" s="140">
        <v>1335</v>
      </c>
      <c r="X551" s="116">
        <v>2000</v>
      </c>
      <c r="Y551" s="116">
        <v>3000</v>
      </c>
      <c r="Z551" s="116">
        <v>1940</v>
      </c>
      <c r="AA551" s="116">
        <v>2180</v>
      </c>
      <c r="AB551" s="31">
        <v>5.2</v>
      </c>
      <c r="AC551" s="31">
        <v>5.2</v>
      </c>
    </row>
    <row r="552" spans="1:29" ht="15.6" x14ac:dyDescent="0.3">
      <c r="A552"/>
      <c r="B552" s="24"/>
      <c r="C552" s="6"/>
      <c r="D552" s="6"/>
      <c r="E552" s="61" t="s">
        <v>187</v>
      </c>
      <c r="F552" s="11">
        <v>1276.7</v>
      </c>
      <c r="G552" s="11">
        <v>1268.7</v>
      </c>
      <c r="H552" s="11">
        <v>1268.97</v>
      </c>
      <c r="I552" s="11">
        <v>1267.8900000000001</v>
      </c>
      <c r="J552" s="11">
        <v>1291.53</v>
      </c>
      <c r="K552" s="11">
        <v>1286.9000000000001</v>
      </c>
      <c r="L552" s="11">
        <v>1272.52</v>
      </c>
      <c r="M552" s="11">
        <v>1265.29</v>
      </c>
      <c r="N552" s="11">
        <v>1283.7</v>
      </c>
      <c r="O552" s="61"/>
      <c r="P552" s="61"/>
      <c r="Q552" s="62"/>
      <c r="R552" s="62"/>
      <c r="S552" s="139"/>
      <c r="T552" s="5"/>
      <c r="U552" s="140"/>
      <c r="X552" s="118"/>
      <c r="Y552" s="118"/>
      <c r="Z552" s="118"/>
      <c r="AA552" s="118"/>
    </row>
    <row r="553" spans="1:29" ht="16.2" thickBot="1" x14ac:dyDescent="0.35">
      <c r="A553"/>
      <c r="B553" s="24"/>
      <c r="C553" s="6"/>
      <c r="D553" s="6"/>
      <c r="E553" s="61" t="s">
        <v>190</v>
      </c>
      <c r="F553" s="40">
        <f t="shared" ref="F553:N553" si="179">IF(((F551="")*AND(F552="")),"",(F551-F552)*3)</f>
        <v>2084.91</v>
      </c>
      <c r="G553" s="40">
        <f t="shared" si="179"/>
        <v>2093.3999999999996</v>
      </c>
      <c r="H553" s="40">
        <f t="shared" si="179"/>
        <v>2088.5100000000002</v>
      </c>
      <c r="I553" s="40">
        <f t="shared" si="179"/>
        <v>2102.4299999999998</v>
      </c>
      <c r="J553" s="40">
        <f t="shared" si="179"/>
        <v>2041.2900000000002</v>
      </c>
      <c r="K553" s="40">
        <f t="shared" si="179"/>
        <v>2074.4099999999994</v>
      </c>
      <c r="L553" s="40">
        <f t="shared" si="179"/>
        <v>2095.8600000000006</v>
      </c>
      <c r="M553" s="40">
        <f t="shared" si="179"/>
        <v>2107.9500000000003</v>
      </c>
      <c r="N553" s="40">
        <f t="shared" si="179"/>
        <v>2072.6699999999996</v>
      </c>
      <c r="O553" s="61"/>
      <c r="P553" s="61"/>
      <c r="Q553" s="62"/>
      <c r="R553" s="62"/>
      <c r="S553" s="139"/>
      <c r="T553" s="5"/>
      <c r="U553" s="140"/>
      <c r="X553" s="118"/>
      <c r="Y553" s="118"/>
      <c r="Z553" s="118"/>
      <c r="AA553" s="118"/>
    </row>
    <row r="554" spans="1:29" x14ac:dyDescent="0.25">
      <c r="A554" s="209">
        <v>43347</v>
      </c>
      <c r="B554" s="218" t="s">
        <v>185</v>
      </c>
      <c r="C554" s="6" t="s">
        <v>173</v>
      </c>
      <c r="D554" s="6" t="s">
        <v>172</v>
      </c>
      <c r="E554" s="61" t="s">
        <v>186</v>
      </c>
      <c r="F554" s="11">
        <v>22882.04</v>
      </c>
      <c r="G554" s="11">
        <v>23265.439999999999</v>
      </c>
      <c r="H554" s="11">
        <v>23416.76</v>
      </c>
      <c r="I554" s="11">
        <v>23307.77</v>
      </c>
      <c r="J554" s="11">
        <v>22948.37</v>
      </c>
      <c r="K554" s="11">
        <v>22967.96</v>
      </c>
      <c r="L554" s="11">
        <v>23297.87</v>
      </c>
      <c r="M554" s="11">
        <v>23262.36</v>
      </c>
      <c r="N554" s="11">
        <v>22849.33</v>
      </c>
      <c r="O554" s="61">
        <f>IF((N555=""),"",MAX(F556:N556))</f>
        <v>4818.2700000000004</v>
      </c>
      <c r="P554" s="61">
        <f>IF(N555="","",MIN(F556:N556))</f>
        <v>4373.5499999999956</v>
      </c>
      <c r="Q554" s="62">
        <f>IF((N556=""),"",AVERAGE(F556:N556))</f>
        <v>4587.7166666666662</v>
      </c>
      <c r="R554" s="62">
        <f>IF((N555=""),"",(O554-P554)/(O554+P554)*100)</f>
        <v>4.8382148475492883</v>
      </c>
      <c r="S554" s="113">
        <f>STDEV(F556:N556)</f>
        <v>182.20709892866432</v>
      </c>
      <c r="T554" s="5" t="str">
        <f>IF(N555="","",IF(R554&lt;16,IF(Q554&gt;3200,IF(R554,IF(Q554&lt;5240,"Pass","Fail"),"Fail"),"Fail")))</f>
        <v>Pass</v>
      </c>
      <c r="U554" s="140">
        <v>1335</v>
      </c>
      <c r="X554" s="116">
        <v>4200</v>
      </c>
      <c r="Y554" s="116">
        <v>5500</v>
      </c>
      <c r="Z554" s="116">
        <v>3200</v>
      </c>
      <c r="AA554" s="116">
        <v>5240</v>
      </c>
      <c r="AB554" s="31">
        <v>16</v>
      </c>
      <c r="AC554" s="31">
        <v>16</v>
      </c>
    </row>
    <row r="555" spans="1:29" ht="15.6" x14ac:dyDescent="0.3">
      <c r="A555"/>
      <c r="B555" s="24"/>
      <c r="C555" s="6"/>
      <c r="D555" s="6"/>
      <c r="E555" s="61" t="s">
        <v>187</v>
      </c>
      <c r="F555" s="11">
        <v>21275.95</v>
      </c>
      <c r="G555" s="11">
        <v>21771.599999999999</v>
      </c>
      <c r="H555" s="11">
        <v>21958.91</v>
      </c>
      <c r="I555" s="11">
        <v>21836.880000000001</v>
      </c>
      <c r="J555" s="11">
        <v>21373.16</v>
      </c>
      <c r="K555" s="11">
        <v>21388.880000000001</v>
      </c>
      <c r="L555" s="11">
        <v>21813.01</v>
      </c>
      <c r="M555" s="11">
        <v>21772.16</v>
      </c>
      <c r="N555" s="11">
        <v>21244.2</v>
      </c>
      <c r="O555" s="61"/>
      <c r="P555" s="61"/>
      <c r="Q555" s="62"/>
      <c r="R555" s="62"/>
      <c r="S555" s="139"/>
      <c r="T555" s="5"/>
      <c r="U555" s="140"/>
      <c r="X555" s="118"/>
      <c r="Y555" s="118"/>
      <c r="Z555" s="118"/>
      <c r="AA555" s="118"/>
    </row>
    <row r="556" spans="1:29" ht="23.4" thickBot="1" x14ac:dyDescent="0.35">
      <c r="A556"/>
      <c r="B556" s="63"/>
      <c r="C556" s="64"/>
      <c r="D556" s="64"/>
      <c r="E556" s="65" t="s">
        <v>188</v>
      </c>
      <c r="F556" s="53">
        <f t="shared" ref="F556:N556" si="180">IF(((F554="")*AND(F555="")),"",(F554-F555)*3)</f>
        <v>4818.2700000000004</v>
      </c>
      <c r="G556" s="53">
        <f t="shared" si="180"/>
        <v>4481.5200000000004</v>
      </c>
      <c r="H556" s="53">
        <f t="shared" si="180"/>
        <v>4373.5499999999956</v>
      </c>
      <c r="I556" s="53">
        <f t="shared" si="180"/>
        <v>4412.6699999999983</v>
      </c>
      <c r="J556" s="53">
        <f t="shared" si="180"/>
        <v>4725.6299999999974</v>
      </c>
      <c r="K556" s="53">
        <f t="shared" si="180"/>
        <v>4737.2399999999943</v>
      </c>
      <c r="L556" s="53">
        <f t="shared" si="180"/>
        <v>4454.5800000000017</v>
      </c>
      <c r="M556" s="53">
        <f t="shared" si="180"/>
        <v>4470.6000000000022</v>
      </c>
      <c r="N556" s="53">
        <f t="shared" si="180"/>
        <v>4815.3900000000031</v>
      </c>
      <c r="O556" s="65"/>
      <c r="P556" s="65"/>
      <c r="Q556" s="66"/>
      <c r="R556" s="66"/>
      <c r="S556" s="142"/>
      <c r="T556" s="143"/>
      <c r="U556" s="144"/>
      <c r="X556" s="118"/>
      <c r="Y556" s="118"/>
      <c r="Z556" s="118"/>
      <c r="AA556" s="118"/>
    </row>
    <row r="557" spans="1:29" x14ac:dyDescent="0.25">
      <c r="A557" s="206">
        <v>43350</v>
      </c>
      <c r="B557" s="218" t="s">
        <v>185</v>
      </c>
      <c r="C557" s="6" t="s">
        <v>173</v>
      </c>
      <c r="D557" s="6" t="s">
        <v>172</v>
      </c>
      <c r="E557" s="61" t="s">
        <v>186</v>
      </c>
      <c r="F557" s="11">
        <v>29036.66</v>
      </c>
      <c r="G557" s="11">
        <v>28946.15</v>
      </c>
      <c r="H557" s="11">
        <v>28965.17</v>
      </c>
      <c r="I557" s="11">
        <v>28965.09</v>
      </c>
      <c r="J557" s="11">
        <v>29051.79</v>
      </c>
      <c r="K557" s="11">
        <v>29025.42</v>
      </c>
      <c r="L557" s="11">
        <v>28950.5</v>
      </c>
      <c r="M557" s="11">
        <v>28958.52</v>
      </c>
      <c r="N557" s="11">
        <v>29060.75</v>
      </c>
      <c r="O557" s="61">
        <f>IF((N558=""),"",MAX(F559:N559))</f>
        <v>4299.5099999999948</v>
      </c>
      <c r="P557" s="61">
        <f>IF(N558="","",MIN(F559:N559))</f>
        <v>3924.0299999999952</v>
      </c>
      <c r="Q557" s="62">
        <f>IF((N559=""),"",AVERAGE(F559:N559))</f>
        <v>4085.246666666666</v>
      </c>
      <c r="R557" s="62">
        <f>IF((N558=""),"",(O557-P557)/(O557+P557)*100)</f>
        <v>4.5659168679181956</v>
      </c>
      <c r="S557" s="113">
        <f>STDEV(F559:N559)</f>
        <v>153.57467328631924</v>
      </c>
      <c r="T557" s="5" t="str">
        <f>IF(N558="","",IF(R557&lt;16,IF(Q557&gt;3200,IF(R557,IF(Q557&lt;5240,"Pass","Fail"),"Fail"),"Fail")))</f>
        <v>Pass</v>
      </c>
      <c r="U557" s="140">
        <v>1340</v>
      </c>
      <c r="X557" s="116">
        <v>4200</v>
      </c>
      <c r="Y557" s="116">
        <v>5500</v>
      </c>
      <c r="Z557" s="116">
        <v>3200</v>
      </c>
      <c r="AA557" s="116">
        <v>5240</v>
      </c>
      <c r="AB557" s="31">
        <v>16</v>
      </c>
      <c r="AC557" s="31">
        <v>16</v>
      </c>
    </row>
    <row r="558" spans="1:29" ht="15.6" x14ac:dyDescent="0.3">
      <c r="A558"/>
      <c r="B558" s="24"/>
      <c r="C558" s="6"/>
      <c r="D558" s="6"/>
      <c r="E558" s="61" t="s">
        <v>187</v>
      </c>
      <c r="F558" s="11">
        <v>27614.49</v>
      </c>
      <c r="G558" s="11">
        <v>27615.65</v>
      </c>
      <c r="H558" s="11">
        <v>27656.82</v>
      </c>
      <c r="I558" s="11">
        <v>27645.78</v>
      </c>
      <c r="J558" s="11">
        <v>27656.21</v>
      </c>
      <c r="K558" s="11">
        <v>27621.19</v>
      </c>
      <c r="L558" s="11">
        <v>27642.49</v>
      </c>
      <c r="M558" s="11">
        <v>27624.1</v>
      </c>
      <c r="N558" s="11">
        <v>27627.58</v>
      </c>
      <c r="O558" s="61"/>
      <c r="P558" s="61"/>
      <c r="Q558" s="62"/>
      <c r="R558" s="62"/>
      <c r="S558" s="139"/>
      <c r="T558" s="5"/>
      <c r="U558" s="140"/>
      <c r="X558" s="118"/>
      <c r="Y558" s="118"/>
      <c r="Z558" s="118"/>
      <c r="AA558" s="118"/>
    </row>
    <row r="559" spans="1:29" ht="23.4" thickBot="1" x14ac:dyDescent="0.35">
      <c r="A559"/>
      <c r="B559" s="63"/>
      <c r="C559" s="64"/>
      <c r="D559" s="64"/>
      <c r="E559" s="65" t="s">
        <v>188</v>
      </c>
      <c r="F559" s="53">
        <f t="shared" ref="F559:N559" si="181">IF(((F557="")*AND(F558="")),"",(F557-F558)*3)</f>
        <v>4266.5099999999948</v>
      </c>
      <c r="G559" s="53">
        <f t="shared" si="181"/>
        <v>3991.5</v>
      </c>
      <c r="H559" s="53">
        <f t="shared" si="181"/>
        <v>3925.0499999999956</v>
      </c>
      <c r="I559" s="53">
        <f t="shared" si="181"/>
        <v>3957.9300000000039</v>
      </c>
      <c r="J559" s="53">
        <f t="shared" si="181"/>
        <v>4186.7400000000052</v>
      </c>
      <c r="K559" s="53">
        <f t="shared" si="181"/>
        <v>4212.6899999999987</v>
      </c>
      <c r="L559" s="53">
        <f t="shared" si="181"/>
        <v>3924.0299999999952</v>
      </c>
      <c r="M559" s="53">
        <f t="shared" si="181"/>
        <v>4003.2600000000057</v>
      </c>
      <c r="N559" s="53">
        <f t="shared" si="181"/>
        <v>4299.5099999999948</v>
      </c>
      <c r="O559" s="65"/>
      <c r="P559" s="65"/>
      <c r="Q559" s="66"/>
      <c r="R559" s="66"/>
      <c r="S559" s="142"/>
      <c r="T559" s="143"/>
      <c r="U559" s="144"/>
      <c r="X559" s="118"/>
      <c r="Y559" s="118"/>
      <c r="Z559" s="118"/>
      <c r="AA559" s="118"/>
    </row>
    <row r="560" spans="1:29" x14ac:dyDescent="0.25">
      <c r="A560" s="206">
        <v>43350</v>
      </c>
      <c r="B560" s="217" t="s">
        <v>174</v>
      </c>
      <c r="C560" s="44" t="s">
        <v>176</v>
      </c>
      <c r="D560" s="44" t="s">
        <v>175</v>
      </c>
      <c r="E560" s="59" t="s">
        <v>186</v>
      </c>
      <c r="F560" s="11">
        <v>3135.67</v>
      </c>
      <c r="G560" s="11">
        <v>2939.37</v>
      </c>
      <c r="H560" s="11">
        <v>2953.21</v>
      </c>
      <c r="I560" s="11">
        <v>2962.39</v>
      </c>
      <c r="J560" s="11">
        <v>3202.45</v>
      </c>
      <c r="K560" s="11">
        <v>3283.39</v>
      </c>
      <c r="L560" s="11">
        <v>2995.09</v>
      </c>
      <c r="M560" s="11">
        <v>2941.35</v>
      </c>
      <c r="N560" s="11">
        <v>3170.06</v>
      </c>
      <c r="O560" s="59">
        <f>IF((N561=""),"",MAX(F562:N562))</f>
        <v>4042.04</v>
      </c>
      <c r="P560" s="59">
        <f>IF(N561="","",MIN(F562:N562))</f>
        <v>3696.8399999999997</v>
      </c>
      <c r="Q560" s="60">
        <f>IF((N562=""),"",AVERAGE(F562:N562))</f>
        <v>3919.7533333333331</v>
      </c>
      <c r="R560" s="60">
        <f>IF((N561=""),"",(O560-P560)/(O560+P560)*100)</f>
        <v>4.4605937810122436</v>
      </c>
      <c r="S560" s="113">
        <f>STDEV(F562:N562)</f>
        <v>119.20797750150797</v>
      </c>
      <c r="T560" s="137" t="str">
        <f>IF(N561="","",IF(Q560&gt;3650,IF(R560&lt;7,IF(Q560&lt;4450,"Pass","Fail"),"Fail"),"Fail"))</f>
        <v>Pass</v>
      </c>
      <c r="U560" s="149">
        <v>1340</v>
      </c>
      <c r="X560" s="116">
        <v>3650</v>
      </c>
      <c r="Y560" s="116">
        <v>4450</v>
      </c>
      <c r="Z560" s="116">
        <v>3700</v>
      </c>
      <c r="AA560" s="116">
        <v>4100</v>
      </c>
      <c r="AB560" s="31">
        <v>7</v>
      </c>
      <c r="AC560" s="31">
        <v>6.5</v>
      </c>
    </row>
    <row r="561" spans="1:29" ht="15.6" x14ac:dyDescent="0.3">
      <c r="A561"/>
      <c r="B561" s="24"/>
      <c r="C561" s="6"/>
      <c r="D561" s="6"/>
      <c r="E561" s="61" t="s">
        <v>187</v>
      </c>
      <c r="F561" s="11">
        <v>1230.97</v>
      </c>
      <c r="G561" s="11">
        <v>943.62</v>
      </c>
      <c r="H561" s="11">
        <v>933.68</v>
      </c>
      <c r="I561" s="11">
        <v>965.61</v>
      </c>
      <c r="J561" s="11">
        <v>1288.0999999999999</v>
      </c>
      <c r="K561" s="11">
        <v>1434.97</v>
      </c>
      <c r="L561" s="11">
        <v>1006.39</v>
      </c>
      <c r="M561" s="11">
        <v>920.33</v>
      </c>
      <c r="N561" s="11">
        <v>1220.42</v>
      </c>
      <c r="O561" s="61"/>
      <c r="P561" s="61"/>
      <c r="Q561" s="62"/>
      <c r="R561" s="62"/>
      <c r="S561" s="139"/>
      <c r="T561" s="8"/>
      <c r="U561" s="146"/>
      <c r="X561" s="118"/>
      <c r="Y561" s="118"/>
      <c r="Z561" s="118"/>
      <c r="AA561" s="118"/>
    </row>
    <row r="562" spans="1:29" ht="23.4" thickBot="1" x14ac:dyDescent="0.35">
      <c r="A562"/>
      <c r="B562" s="24"/>
      <c r="C562" s="6"/>
      <c r="D562" s="6"/>
      <c r="E562" s="61" t="s">
        <v>188</v>
      </c>
      <c r="F562" s="40">
        <f t="shared" ref="F562:N562" si="182">IF(((F560="")*AND(F561="")),"",(F560-F561)*2)</f>
        <v>3809.4</v>
      </c>
      <c r="G562" s="40">
        <f t="shared" si="182"/>
        <v>3991.5</v>
      </c>
      <c r="H562" s="40">
        <f t="shared" si="182"/>
        <v>4039.0600000000004</v>
      </c>
      <c r="I562" s="40">
        <f t="shared" si="182"/>
        <v>3993.5599999999995</v>
      </c>
      <c r="J562" s="40">
        <f t="shared" si="182"/>
        <v>3828.7</v>
      </c>
      <c r="K562" s="40">
        <f t="shared" si="182"/>
        <v>3696.8399999999997</v>
      </c>
      <c r="L562" s="40">
        <f t="shared" si="182"/>
        <v>3977.4000000000005</v>
      </c>
      <c r="M562" s="40">
        <f t="shared" si="182"/>
        <v>4042.04</v>
      </c>
      <c r="N562" s="40">
        <f t="shared" si="182"/>
        <v>3899.2799999999997</v>
      </c>
      <c r="O562" s="61"/>
      <c r="P562" s="61"/>
      <c r="Q562" s="62"/>
      <c r="R562" s="62"/>
      <c r="S562" s="139"/>
      <c r="T562" s="8"/>
      <c r="U562" s="146"/>
      <c r="X562" s="118"/>
      <c r="Y562" s="118"/>
      <c r="Z562" s="118"/>
      <c r="AA562" s="118"/>
    </row>
    <row r="563" spans="1:29" x14ac:dyDescent="0.25">
      <c r="A563" s="206">
        <v>43350</v>
      </c>
      <c r="B563" s="215" t="s">
        <v>169</v>
      </c>
      <c r="C563" s="6" t="s">
        <v>171</v>
      </c>
      <c r="D563" s="6" t="s">
        <v>189</v>
      </c>
      <c r="E563" s="61" t="s">
        <v>186</v>
      </c>
      <c r="F563" s="11">
        <v>1936.79</v>
      </c>
      <c r="G563" s="11">
        <v>1932.78</v>
      </c>
      <c r="H563" s="11">
        <v>1931.55</v>
      </c>
      <c r="I563" s="11">
        <v>1932.04</v>
      </c>
      <c r="J563" s="11">
        <v>1934.36</v>
      </c>
      <c r="K563" s="11">
        <v>1936.98</v>
      </c>
      <c r="L563" s="11">
        <v>1930.69</v>
      </c>
      <c r="M563" s="11">
        <v>1933.08</v>
      </c>
      <c r="N563" s="11">
        <v>1936.12</v>
      </c>
      <c r="O563" s="61">
        <f>IF((N564=""),"",MAX(F565:N565))</f>
        <v>2056.2600000000002</v>
      </c>
      <c r="P563" s="61">
        <f>IF(N564="","",MIN(F565:N565))</f>
        <v>1967.97</v>
      </c>
      <c r="Q563" s="62">
        <f>IF((N565=""),"",AVERAGE(F565:N565))</f>
        <v>2018.7566666666664</v>
      </c>
      <c r="R563" s="62">
        <f>IF((N564=""),"",(O563-P563)/(O563+P563)*100)</f>
        <v>2.1939600867743692</v>
      </c>
      <c r="S563" s="113">
        <f>STDEV(F565:N565)</f>
        <v>28.24590988090134</v>
      </c>
      <c r="T563" s="5" t="str">
        <f>IF(N564="","",IF(Q563&gt;1940,IF(R563&lt;8.3,IF(Q563&lt;2180,"Pass","Fail"),"Fail"),"Fail"))</f>
        <v>Pass</v>
      </c>
      <c r="U563" s="140">
        <v>1340</v>
      </c>
      <c r="X563" s="116">
        <v>2000</v>
      </c>
      <c r="Y563" s="116">
        <v>3000</v>
      </c>
      <c r="Z563" s="116">
        <v>1940</v>
      </c>
      <c r="AA563" s="116">
        <v>2180</v>
      </c>
      <c r="AB563" s="31">
        <v>5.2</v>
      </c>
      <c r="AC563" s="31">
        <v>5.2</v>
      </c>
    </row>
    <row r="564" spans="1:29" ht="15.6" x14ac:dyDescent="0.3">
      <c r="A564"/>
      <c r="B564" s="24"/>
      <c r="C564" s="6"/>
      <c r="D564" s="6"/>
      <c r="E564" s="61" t="s">
        <v>187</v>
      </c>
      <c r="F564" s="11">
        <v>1265.23</v>
      </c>
      <c r="G564" s="11">
        <v>1247.3599999999999</v>
      </c>
      <c r="H564" s="11">
        <v>1258.17</v>
      </c>
      <c r="I564" s="11">
        <v>1254.48</v>
      </c>
      <c r="J564" s="11">
        <v>1278.3699999999999</v>
      </c>
      <c r="K564" s="11">
        <v>1271.45</v>
      </c>
      <c r="L564" s="11">
        <v>1254.9000000000001</v>
      </c>
      <c r="M564" s="11">
        <v>1248.44</v>
      </c>
      <c r="N564" s="11">
        <v>1269.72</v>
      </c>
      <c r="O564" s="61"/>
      <c r="P564" s="61"/>
      <c r="Q564" s="62"/>
      <c r="R564" s="62"/>
      <c r="S564" s="139"/>
      <c r="T564" s="5"/>
      <c r="U564" s="140"/>
      <c r="X564" s="118"/>
      <c r="Y564" s="118"/>
      <c r="Z564" s="118"/>
      <c r="AA564" s="118"/>
    </row>
    <row r="565" spans="1:29" ht="16.2" thickBot="1" x14ac:dyDescent="0.35">
      <c r="A565"/>
      <c r="B565" s="24"/>
      <c r="C565" s="6"/>
      <c r="D565" s="6"/>
      <c r="E565" s="61" t="s">
        <v>190</v>
      </c>
      <c r="F565" s="40">
        <f t="shared" ref="F565:N565" si="183">IF(((F563="")*AND(F564="")),"",(F563-F564)*3)</f>
        <v>2014.6799999999998</v>
      </c>
      <c r="G565" s="40">
        <f t="shared" si="183"/>
        <v>2056.2600000000002</v>
      </c>
      <c r="H565" s="40">
        <f t="shared" si="183"/>
        <v>2020.1399999999996</v>
      </c>
      <c r="I565" s="40">
        <f t="shared" si="183"/>
        <v>2032.6799999999998</v>
      </c>
      <c r="J565" s="40">
        <f t="shared" si="183"/>
        <v>1967.97</v>
      </c>
      <c r="K565" s="40">
        <f t="shared" si="183"/>
        <v>1996.59</v>
      </c>
      <c r="L565" s="40">
        <f t="shared" si="183"/>
        <v>2027.37</v>
      </c>
      <c r="M565" s="40">
        <f t="shared" si="183"/>
        <v>2053.9199999999996</v>
      </c>
      <c r="N565" s="40">
        <f t="shared" si="183"/>
        <v>1999.1999999999996</v>
      </c>
      <c r="O565" s="61"/>
      <c r="P565" s="61"/>
      <c r="Q565" s="62"/>
      <c r="R565" s="62"/>
      <c r="S565" s="139"/>
      <c r="T565" s="5"/>
      <c r="U565" s="140"/>
      <c r="X565" s="118"/>
      <c r="Y565" s="118"/>
      <c r="Z565" s="118"/>
      <c r="AA565" s="118"/>
    </row>
    <row r="566" spans="1:29" x14ac:dyDescent="0.25">
      <c r="A566" s="209">
        <v>43353</v>
      </c>
      <c r="B566" s="217" t="s">
        <v>174</v>
      </c>
      <c r="C566" s="44" t="s">
        <v>176</v>
      </c>
      <c r="D566" s="44" t="s">
        <v>175</v>
      </c>
      <c r="E566" s="59" t="s">
        <v>186</v>
      </c>
      <c r="F566" s="11">
        <v>7035</v>
      </c>
      <c r="G566" s="11">
        <v>7018</v>
      </c>
      <c r="H566" s="11">
        <v>7039</v>
      </c>
      <c r="I566" s="128">
        <v>6989</v>
      </c>
      <c r="J566" s="128">
        <v>7065</v>
      </c>
      <c r="K566" s="128">
        <v>7010</v>
      </c>
      <c r="L566" s="128">
        <v>6993</v>
      </c>
      <c r="M566" s="128">
        <v>7022</v>
      </c>
      <c r="N566" s="128">
        <v>7111</v>
      </c>
      <c r="O566" s="59">
        <f>IF((N567=""),"",MAX(F568:N568))</f>
        <v>4002</v>
      </c>
      <c r="P566" s="59">
        <f>IF(N567="","",MIN(F568:N568))</f>
        <v>3622</v>
      </c>
      <c r="Q566" s="60">
        <f>IF((N568=""),"",AVERAGE(F568:N568))</f>
        <v>3863.7777777777778</v>
      </c>
      <c r="R566" s="60">
        <f>IF((N567=""),"",(O566-P566)/(O566+P566)*100)</f>
        <v>4.984260230849948</v>
      </c>
      <c r="S566" s="113">
        <f>STDEV(F568:N568)</f>
        <v>130.17082793177758</v>
      </c>
      <c r="T566" s="137" t="str">
        <f>IF(N567="","",IF(Q566&gt;3650,IF(R566&lt;7,IF(Q566&lt;4450,"Pass","Fail"),"Fail"),"Fail"))</f>
        <v>Pass</v>
      </c>
      <c r="U566" s="149">
        <v>1340</v>
      </c>
      <c r="X566" s="116">
        <v>3650</v>
      </c>
      <c r="Y566" s="116">
        <v>4450</v>
      </c>
      <c r="Z566" s="116">
        <v>3700</v>
      </c>
      <c r="AA566" s="116">
        <v>4100</v>
      </c>
      <c r="AB566" s="31">
        <v>7</v>
      </c>
      <c r="AC566" s="31">
        <v>6.5</v>
      </c>
    </row>
    <row r="567" spans="1:29" ht="15.6" x14ac:dyDescent="0.3">
      <c r="A567"/>
      <c r="B567" s="24"/>
      <c r="C567" s="6"/>
      <c r="D567" s="6"/>
      <c r="E567" s="61" t="s">
        <v>187</v>
      </c>
      <c r="F567" s="11">
        <v>5159</v>
      </c>
      <c r="G567" s="11">
        <v>5044</v>
      </c>
      <c r="H567" s="128">
        <v>5044</v>
      </c>
      <c r="I567" s="128">
        <v>5018</v>
      </c>
      <c r="J567" s="128">
        <v>5190</v>
      </c>
      <c r="K567" s="128">
        <v>5199</v>
      </c>
      <c r="L567" s="128">
        <v>5033</v>
      </c>
      <c r="M567" s="128">
        <v>5021</v>
      </c>
      <c r="N567" s="128">
        <v>5187</v>
      </c>
      <c r="O567" s="61"/>
      <c r="P567" s="61"/>
      <c r="Q567" s="62"/>
      <c r="R567" s="62"/>
      <c r="S567" s="139"/>
      <c r="T567" s="8"/>
      <c r="U567" s="146"/>
      <c r="X567" s="118"/>
      <c r="Y567" s="118"/>
      <c r="Z567" s="118"/>
      <c r="AA567" s="118"/>
    </row>
    <row r="568" spans="1:29" ht="23.4" thickBot="1" x14ac:dyDescent="0.35">
      <c r="A568"/>
      <c r="B568" s="24"/>
      <c r="C568" s="6"/>
      <c r="D568" s="6"/>
      <c r="E568" s="61" t="s">
        <v>188</v>
      </c>
      <c r="F568" s="40">
        <f t="shared" ref="F568:N568" si="184">IF(((F566="")*AND(F567="")),"",(F566-F567)*2)</f>
        <v>3752</v>
      </c>
      <c r="G568" s="40">
        <f t="shared" si="184"/>
        <v>3948</v>
      </c>
      <c r="H568" s="40">
        <f t="shared" si="184"/>
        <v>3990</v>
      </c>
      <c r="I568" s="40">
        <f t="shared" si="184"/>
        <v>3942</v>
      </c>
      <c r="J568" s="40">
        <f t="shared" si="184"/>
        <v>3750</v>
      </c>
      <c r="K568" s="40">
        <f t="shared" si="184"/>
        <v>3622</v>
      </c>
      <c r="L568" s="40">
        <f t="shared" si="184"/>
        <v>3920</v>
      </c>
      <c r="M568" s="40">
        <f t="shared" si="184"/>
        <v>4002</v>
      </c>
      <c r="N568" s="40">
        <f t="shared" si="184"/>
        <v>3848</v>
      </c>
      <c r="O568" s="61"/>
      <c r="P568" s="61"/>
      <c r="Q568" s="62"/>
      <c r="R568" s="62"/>
      <c r="S568" s="139"/>
      <c r="T568" s="8"/>
      <c r="U568" s="146"/>
      <c r="X568" s="118"/>
      <c r="Y568" s="118"/>
      <c r="Z568" s="118"/>
      <c r="AA568" s="118"/>
    </row>
    <row r="569" spans="1:29" x14ac:dyDescent="0.25">
      <c r="A569" s="209">
        <v>43353</v>
      </c>
      <c r="B569" s="215" t="s">
        <v>169</v>
      </c>
      <c r="C569" s="6" t="s">
        <v>171</v>
      </c>
      <c r="D569" s="6" t="s">
        <v>189</v>
      </c>
      <c r="E569" s="61" t="s">
        <v>186</v>
      </c>
      <c r="F569" s="128">
        <v>1928</v>
      </c>
      <c r="G569" s="128">
        <v>1935</v>
      </c>
      <c r="H569" s="128">
        <v>1928</v>
      </c>
      <c r="I569" s="128">
        <v>1935</v>
      </c>
      <c r="J569" s="128">
        <v>1930</v>
      </c>
      <c r="K569" s="11">
        <v>1932</v>
      </c>
      <c r="L569" s="11">
        <v>1934</v>
      </c>
      <c r="M569" s="11">
        <v>1936</v>
      </c>
      <c r="N569" s="11">
        <v>1929</v>
      </c>
      <c r="O569" s="61">
        <f>IF((N570=""),"",MAX(F571:N571))</f>
        <v>2058</v>
      </c>
      <c r="P569" s="61">
        <f>IF(N570="","",MIN(F571:N571))</f>
        <v>1983</v>
      </c>
      <c r="Q569" s="62">
        <f>IF((N571=""),"",AVERAGE(F571:N571))</f>
        <v>2019.6666666666667</v>
      </c>
      <c r="R569" s="62">
        <f>IF((N570=""),"",(O569-P569)/(O569+P569)*100)</f>
        <v>1.855976243504083</v>
      </c>
      <c r="S569" s="113">
        <f>STDEV(F571:N571)</f>
        <v>24.269322199023193</v>
      </c>
      <c r="T569" s="5" t="str">
        <f>IF(N570="","",IF(Q569&gt;1940,IF(R569&lt;8.3,IF(Q569&lt;2180,"Pass","Fail"),"Fail"),"Fail"))</f>
        <v>Pass</v>
      </c>
      <c r="U569" s="140">
        <v>1340</v>
      </c>
      <c r="X569" s="116">
        <v>2000</v>
      </c>
      <c r="Y569" s="116">
        <v>3000</v>
      </c>
      <c r="Z569" s="116">
        <v>1940</v>
      </c>
      <c r="AA569" s="116">
        <v>2180</v>
      </c>
      <c r="AB569" s="31">
        <v>5.2</v>
      </c>
      <c r="AC569" s="31">
        <v>5.2</v>
      </c>
    </row>
    <row r="570" spans="1:29" ht="15.6" x14ac:dyDescent="0.3">
      <c r="A570"/>
      <c r="B570" s="24"/>
      <c r="C570" s="6"/>
      <c r="D570" s="6"/>
      <c r="E570" s="61" t="s">
        <v>187</v>
      </c>
      <c r="F570" s="11">
        <v>1257</v>
      </c>
      <c r="G570" s="11">
        <v>1254</v>
      </c>
      <c r="H570" s="128">
        <v>1250</v>
      </c>
      <c r="I570" s="128">
        <v>1257</v>
      </c>
      <c r="J570" s="128">
        <v>1269</v>
      </c>
      <c r="K570" s="128">
        <v>1267</v>
      </c>
      <c r="L570" s="11">
        <v>1263</v>
      </c>
      <c r="M570" s="11">
        <v>1250</v>
      </c>
      <c r="N570" s="11">
        <v>1261</v>
      </c>
      <c r="O570" s="61"/>
      <c r="P570" s="61"/>
      <c r="Q570" s="62"/>
      <c r="R570" s="62"/>
      <c r="S570" s="139"/>
      <c r="T570" s="5"/>
      <c r="U570" s="140"/>
      <c r="X570" s="118"/>
      <c r="Y570" s="118"/>
      <c r="Z570" s="118"/>
      <c r="AA570" s="118"/>
    </row>
    <row r="571" spans="1:29" ht="16.2" thickBot="1" x14ac:dyDescent="0.35">
      <c r="A571"/>
      <c r="B571" s="24"/>
      <c r="C571" s="6"/>
      <c r="D571" s="6"/>
      <c r="E571" s="61" t="s">
        <v>190</v>
      </c>
      <c r="F571" s="40">
        <f t="shared" ref="F571:N571" si="185">IF(((F569="")*AND(F570="")),"",(F569-F570)*3)</f>
        <v>2013</v>
      </c>
      <c r="G571" s="40">
        <f t="shared" si="185"/>
        <v>2043</v>
      </c>
      <c r="H571" s="40">
        <f t="shared" si="185"/>
        <v>2034</v>
      </c>
      <c r="I571" s="40">
        <f t="shared" si="185"/>
        <v>2034</v>
      </c>
      <c r="J571" s="40">
        <f t="shared" si="185"/>
        <v>1983</v>
      </c>
      <c r="K571" s="40">
        <f t="shared" si="185"/>
        <v>1995</v>
      </c>
      <c r="L571" s="40">
        <f t="shared" si="185"/>
        <v>2013</v>
      </c>
      <c r="M571" s="40">
        <f t="shared" si="185"/>
        <v>2058</v>
      </c>
      <c r="N571" s="40">
        <f t="shared" si="185"/>
        <v>2004</v>
      </c>
      <c r="O571" s="61"/>
      <c r="P571" s="61"/>
      <c r="Q571" s="62"/>
      <c r="R571" s="62"/>
      <c r="S571" s="139"/>
      <c r="T571" s="5"/>
      <c r="U571" s="140"/>
      <c r="X571" s="118"/>
      <c r="Y571" s="118"/>
      <c r="Z571" s="118"/>
      <c r="AA571" s="118"/>
    </row>
    <row r="572" spans="1:29" x14ac:dyDescent="0.25">
      <c r="A572" s="209">
        <v>43353</v>
      </c>
      <c r="B572" s="218" t="s">
        <v>185</v>
      </c>
      <c r="C572" s="6" t="s">
        <v>173</v>
      </c>
      <c r="D572" s="6" t="s">
        <v>172</v>
      </c>
      <c r="E572" s="61" t="s">
        <v>186</v>
      </c>
      <c r="F572" s="11">
        <v>29253</v>
      </c>
      <c r="G572" s="11">
        <v>29153</v>
      </c>
      <c r="H572" s="128">
        <v>29149</v>
      </c>
      <c r="I572" s="128">
        <v>29137</v>
      </c>
      <c r="J572" s="128">
        <v>29208</v>
      </c>
      <c r="K572" s="128">
        <v>29208</v>
      </c>
      <c r="L572" s="128">
        <v>29125</v>
      </c>
      <c r="M572" s="128">
        <v>29161</v>
      </c>
      <c r="N572" s="128">
        <v>29267</v>
      </c>
      <c r="O572" s="61">
        <f>IF((N573=""),"",MAX(F574:N574))</f>
        <v>4389</v>
      </c>
      <c r="P572" s="61">
        <f>IF(N573="","",MIN(F574:N574))</f>
        <v>3990</v>
      </c>
      <c r="Q572" s="62">
        <f>IF((N574=""),"",AVERAGE(F574:N574))</f>
        <v>4186.333333333333</v>
      </c>
      <c r="R572" s="62">
        <f>IF((N573=""),"",(O572-P572)/(O572+P572)*100)</f>
        <v>4.7619047619047619</v>
      </c>
      <c r="S572" s="113">
        <f>STDEV(F574:N574)</f>
        <v>152.57375265752626</v>
      </c>
      <c r="T572" s="5" t="str">
        <f>IF(N573="","",IF(R572&lt;16,IF(Q572&gt;3200,IF(R572,IF(Q572&lt;5240,"Pass","Fail"),"Fail"),"Fail")))</f>
        <v>Pass</v>
      </c>
      <c r="U572" s="140">
        <v>1340</v>
      </c>
      <c r="X572" s="116">
        <v>4200</v>
      </c>
      <c r="Y572" s="116">
        <v>5500</v>
      </c>
      <c r="Z572" s="116">
        <v>3200</v>
      </c>
      <c r="AA572" s="116">
        <v>5240</v>
      </c>
      <c r="AB572" s="31">
        <v>16</v>
      </c>
      <c r="AC572" s="31">
        <v>16</v>
      </c>
    </row>
    <row r="573" spans="1:29" ht="15.6" x14ac:dyDescent="0.3">
      <c r="A573"/>
      <c r="B573" s="24"/>
      <c r="C573" s="6"/>
      <c r="D573" s="6"/>
      <c r="E573" s="61" t="s">
        <v>187</v>
      </c>
      <c r="F573" s="11">
        <v>27807</v>
      </c>
      <c r="G573" s="11">
        <v>27765</v>
      </c>
      <c r="H573" s="128">
        <v>27819</v>
      </c>
      <c r="I573" s="128">
        <v>27787</v>
      </c>
      <c r="J573" s="128">
        <v>27763</v>
      </c>
      <c r="K573" s="128">
        <v>27778</v>
      </c>
      <c r="L573" s="128">
        <v>27772</v>
      </c>
      <c r="M573" s="128">
        <v>27807</v>
      </c>
      <c r="N573" s="128">
        <v>27804</v>
      </c>
      <c r="O573" s="61"/>
      <c r="P573" s="61"/>
      <c r="Q573" s="62"/>
      <c r="R573" s="62"/>
      <c r="S573" s="139"/>
      <c r="T573" s="5"/>
      <c r="U573" s="140"/>
      <c r="X573" s="118"/>
      <c r="Y573" s="118"/>
      <c r="Z573" s="118"/>
      <c r="AA573" s="118"/>
    </row>
    <row r="574" spans="1:29" ht="23.4" thickBot="1" x14ac:dyDescent="0.35">
      <c r="A574"/>
      <c r="B574" s="63"/>
      <c r="C574" s="64"/>
      <c r="D574" s="64"/>
      <c r="E574" s="65" t="s">
        <v>188</v>
      </c>
      <c r="F574" s="53">
        <f t="shared" ref="F574:N574" si="186">IF(((F572="")*AND(F573="")),"",(F572-F573)*3)</f>
        <v>4338</v>
      </c>
      <c r="G574" s="53">
        <f t="shared" si="186"/>
        <v>4164</v>
      </c>
      <c r="H574" s="53">
        <f t="shared" si="186"/>
        <v>3990</v>
      </c>
      <c r="I574" s="53">
        <f t="shared" si="186"/>
        <v>4050</v>
      </c>
      <c r="J574" s="53">
        <f t="shared" si="186"/>
        <v>4335</v>
      </c>
      <c r="K574" s="53">
        <f t="shared" si="186"/>
        <v>4290</v>
      </c>
      <c r="L574" s="53">
        <f t="shared" si="186"/>
        <v>4059</v>
      </c>
      <c r="M574" s="53">
        <f t="shared" si="186"/>
        <v>4062</v>
      </c>
      <c r="N574" s="53">
        <f t="shared" si="186"/>
        <v>4389</v>
      </c>
      <c r="O574" s="65"/>
      <c r="P574" s="65"/>
      <c r="Q574" s="66"/>
      <c r="R574" s="66"/>
      <c r="S574" s="142"/>
      <c r="T574" s="143"/>
      <c r="U574" s="144"/>
      <c r="X574" s="118"/>
      <c r="Y574" s="118"/>
      <c r="Z574" s="118"/>
      <c r="AA574" s="118"/>
    </row>
    <row r="575" spans="1:29" x14ac:dyDescent="0.25">
      <c r="A575" s="209">
        <v>43357</v>
      </c>
      <c r="B575" s="217" t="s">
        <v>174</v>
      </c>
      <c r="C575" s="44" t="s">
        <v>176</v>
      </c>
      <c r="D575" s="44" t="s">
        <v>175</v>
      </c>
      <c r="E575" s="59" t="s">
        <v>186</v>
      </c>
      <c r="F575" s="11">
        <v>5165.4799999999996</v>
      </c>
      <c r="G575" s="11">
        <v>5051.29</v>
      </c>
      <c r="H575" s="11">
        <v>5050.1899999999996</v>
      </c>
      <c r="I575" s="11">
        <v>5025.01</v>
      </c>
      <c r="J575" s="11">
        <v>5195.8500000000004</v>
      </c>
      <c r="K575" s="11">
        <v>5204.78</v>
      </c>
      <c r="L575" s="11">
        <v>5039.47</v>
      </c>
      <c r="M575" s="11">
        <v>5027.83</v>
      </c>
      <c r="N575" s="11">
        <v>5193.53</v>
      </c>
      <c r="O575" s="59">
        <f>IF((N576=""),"",MAX(F577:N577))</f>
        <v>4054.3199999999997</v>
      </c>
      <c r="P575" s="59">
        <f>IF(N576="","",MIN(F577:N577))</f>
        <v>3670.2</v>
      </c>
      <c r="Q575" s="60">
        <f>IF((N577=""),"",AVERAGE(F577:N577))</f>
        <v>3917.4422222222224</v>
      </c>
      <c r="R575" s="60">
        <f>IF((N576=""),"",(O575-P575)/(O575+P575)*100)</f>
        <v>4.9727361700144463</v>
      </c>
      <c r="S575" s="113">
        <f>STDEV(F577:N577)</f>
        <v>131.97694701895642</v>
      </c>
      <c r="T575" s="137" t="str">
        <f>IF(N576="","",IF(Q575&gt;3650,IF(R575&lt;7,IF(Q575&lt;4450,"Pass","Fail"),"Fail"),"Fail"))</f>
        <v>Pass</v>
      </c>
      <c r="U575" s="149">
        <v>1335</v>
      </c>
      <c r="X575" s="116">
        <v>3650</v>
      </c>
      <c r="Y575" s="116">
        <v>4450</v>
      </c>
      <c r="Z575" s="116">
        <v>3700</v>
      </c>
      <c r="AA575" s="116">
        <v>4100</v>
      </c>
      <c r="AB575" s="31">
        <v>7</v>
      </c>
      <c r="AC575" s="31">
        <v>6.5</v>
      </c>
    </row>
    <row r="576" spans="1:29" ht="15.6" x14ac:dyDescent="0.3">
      <c r="A576"/>
      <c r="B576" s="24"/>
      <c r="C576" s="6"/>
      <c r="D576" s="6"/>
      <c r="E576" s="61" t="s">
        <v>187</v>
      </c>
      <c r="F576" s="11">
        <v>3259.39</v>
      </c>
      <c r="G576" s="11">
        <v>3048.83</v>
      </c>
      <c r="H576" s="11">
        <v>3027.96</v>
      </c>
      <c r="I576" s="11">
        <v>3027.16</v>
      </c>
      <c r="J576" s="11">
        <v>3296.99</v>
      </c>
      <c r="K576" s="11">
        <v>3369.68</v>
      </c>
      <c r="L576" s="11">
        <v>3049.95</v>
      </c>
      <c r="M576" s="11">
        <v>3000.67</v>
      </c>
      <c r="N576" s="11">
        <v>3244.31</v>
      </c>
      <c r="O576" s="61"/>
      <c r="P576" s="61"/>
      <c r="Q576" s="62"/>
      <c r="R576" s="62"/>
      <c r="S576" s="139"/>
      <c r="T576" s="8"/>
      <c r="U576" s="146"/>
      <c r="X576" s="118"/>
      <c r="Y576" s="118"/>
      <c r="Z576" s="118"/>
      <c r="AA576" s="118"/>
    </row>
    <row r="577" spans="1:29" ht="23.4" thickBot="1" x14ac:dyDescent="0.35">
      <c r="A577"/>
      <c r="B577" s="24"/>
      <c r="C577" s="6"/>
      <c r="D577" s="6"/>
      <c r="E577" s="61" t="s">
        <v>188</v>
      </c>
      <c r="F577" s="40">
        <f t="shared" ref="F577:N577" si="187">IF(((F575="")*AND(F576="")),"",(F575-F576)*2)</f>
        <v>3812.1799999999994</v>
      </c>
      <c r="G577" s="40">
        <f t="shared" si="187"/>
        <v>4004.92</v>
      </c>
      <c r="H577" s="40">
        <f t="shared" si="187"/>
        <v>4044.4599999999991</v>
      </c>
      <c r="I577" s="40">
        <f t="shared" si="187"/>
        <v>3995.7000000000007</v>
      </c>
      <c r="J577" s="40">
        <f t="shared" si="187"/>
        <v>3797.7200000000012</v>
      </c>
      <c r="K577" s="40">
        <f t="shared" si="187"/>
        <v>3670.2</v>
      </c>
      <c r="L577" s="40">
        <f t="shared" si="187"/>
        <v>3979.0400000000009</v>
      </c>
      <c r="M577" s="40">
        <f t="shared" si="187"/>
        <v>4054.3199999999997</v>
      </c>
      <c r="N577" s="40">
        <f t="shared" si="187"/>
        <v>3898.4399999999996</v>
      </c>
      <c r="O577" s="61"/>
      <c r="P577" s="61"/>
      <c r="Q577" s="62"/>
      <c r="R577" s="62"/>
      <c r="S577" s="139"/>
      <c r="T577" s="8"/>
      <c r="U577" s="146"/>
      <c r="X577" s="118"/>
      <c r="Y577" s="118"/>
      <c r="Z577" s="118"/>
      <c r="AA577" s="118"/>
    </row>
    <row r="578" spans="1:29" x14ac:dyDescent="0.25">
      <c r="A578" s="209">
        <v>43357</v>
      </c>
      <c r="B578" s="215" t="s">
        <v>169</v>
      </c>
      <c r="C578" s="6" t="s">
        <v>171</v>
      </c>
      <c r="D578" s="6" t="s">
        <v>189</v>
      </c>
      <c r="E578" s="61" t="s">
        <v>186</v>
      </c>
      <c r="F578" s="11">
        <v>1260.4000000000001</v>
      </c>
      <c r="G578" s="11">
        <v>1256.46</v>
      </c>
      <c r="H578" s="11">
        <v>1251.7</v>
      </c>
      <c r="I578" s="11">
        <v>1261.5</v>
      </c>
      <c r="J578" s="11">
        <v>1269.17</v>
      </c>
      <c r="K578" s="11">
        <v>1271.8499999999999</v>
      </c>
      <c r="L578" s="11">
        <v>1265.79</v>
      </c>
      <c r="M578" s="11">
        <v>1253.57</v>
      </c>
      <c r="N578" s="11">
        <v>1261.3399999999999</v>
      </c>
      <c r="O578" s="61">
        <f>IF((N579=""),"",MAX(F580:N580))</f>
        <v>2072.1299999999997</v>
      </c>
      <c r="P578" s="61">
        <f>IF(N579="","",MIN(F580:N580))</f>
        <v>1974.6000000000001</v>
      </c>
      <c r="Q578" s="62">
        <f>IF((N580=""),"",AVERAGE(F580:N580))</f>
        <v>2034.2966666666664</v>
      </c>
      <c r="R578" s="62">
        <f>IF((N579=""),"",(O578-P578)/(O578+P578)*100)</f>
        <v>2.410094075957613</v>
      </c>
      <c r="S578" s="113">
        <f>STDEV(F580:N580)</f>
        <v>37.797039897325369</v>
      </c>
      <c r="T578" s="5" t="str">
        <f>IF(N579="","",IF(Q578&gt;1940,IF(R578&lt;8.3,IF(Q578&lt;2180,"Pass","Fail"),"Fail"),"Fail"))</f>
        <v>Pass</v>
      </c>
      <c r="U578" s="149">
        <v>1335</v>
      </c>
      <c r="X578" s="116">
        <v>2000</v>
      </c>
      <c r="Y578" s="116">
        <v>3000</v>
      </c>
      <c r="Z578" s="116">
        <v>1940</v>
      </c>
      <c r="AA578" s="116">
        <v>2180</v>
      </c>
      <c r="AB578" s="31">
        <v>5.2</v>
      </c>
      <c r="AC578" s="31">
        <v>5.2</v>
      </c>
    </row>
    <row r="579" spans="1:29" ht="15.6" x14ac:dyDescent="0.3">
      <c r="A579"/>
      <c r="B579" s="24"/>
      <c r="C579" s="6"/>
      <c r="D579" s="6"/>
      <c r="E579" s="61" t="s">
        <v>187</v>
      </c>
      <c r="F579" s="11">
        <v>585.71</v>
      </c>
      <c r="G579" s="11">
        <v>567.91999999999996</v>
      </c>
      <c r="H579" s="11">
        <v>561.79</v>
      </c>
      <c r="I579" s="11">
        <v>576.01</v>
      </c>
      <c r="J579" s="11">
        <v>610.97</v>
      </c>
      <c r="K579" s="11">
        <v>599.84</v>
      </c>
      <c r="L579" s="11">
        <v>582.28</v>
      </c>
      <c r="M579" s="11">
        <v>562.86</v>
      </c>
      <c r="N579" s="11">
        <v>601.51</v>
      </c>
      <c r="O579" s="61"/>
      <c r="P579" s="61"/>
      <c r="Q579" s="62"/>
      <c r="R579" s="62"/>
      <c r="S579" s="139"/>
      <c r="T579" s="5"/>
      <c r="U579" s="140"/>
      <c r="X579" s="118"/>
      <c r="Y579" s="118"/>
      <c r="Z579" s="118"/>
      <c r="AA579" s="118"/>
    </row>
    <row r="580" spans="1:29" ht="16.2" thickBot="1" x14ac:dyDescent="0.35">
      <c r="A580"/>
      <c r="B580" s="24"/>
      <c r="C580" s="6"/>
      <c r="D580" s="6"/>
      <c r="E580" s="61" t="s">
        <v>190</v>
      </c>
      <c r="F580" s="40">
        <f t="shared" ref="F580:N580" si="188">IF(((F578="")*AND(F579="")),"",(F578-F579)*3)</f>
        <v>2024.0700000000002</v>
      </c>
      <c r="G580" s="40">
        <f t="shared" si="188"/>
        <v>2065.6200000000003</v>
      </c>
      <c r="H580" s="40">
        <f t="shared" si="188"/>
        <v>2069.7300000000005</v>
      </c>
      <c r="I580" s="40">
        <f t="shared" si="188"/>
        <v>2056.4700000000003</v>
      </c>
      <c r="J580" s="40">
        <f t="shared" si="188"/>
        <v>1974.6000000000001</v>
      </c>
      <c r="K580" s="40">
        <f t="shared" si="188"/>
        <v>2016.0299999999997</v>
      </c>
      <c r="L580" s="40">
        <f t="shared" si="188"/>
        <v>2050.5299999999997</v>
      </c>
      <c r="M580" s="40">
        <f t="shared" si="188"/>
        <v>2072.1299999999997</v>
      </c>
      <c r="N580" s="40">
        <f t="shared" si="188"/>
        <v>1979.4899999999998</v>
      </c>
      <c r="O580" s="61"/>
      <c r="P580" s="61"/>
      <c r="Q580" s="62"/>
      <c r="R580" s="62"/>
      <c r="S580" s="139"/>
      <c r="T580" s="5"/>
      <c r="U580" s="140"/>
      <c r="X580" s="118"/>
      <c r="Y580" s="118"/>
      <c r="Z580" s="118"/>
      <c r="AA580" s="118"/>
    </row>
    <row r="581" spans="1:29" x14ac:dyDescent="0.25">
      <c r="A581" s="209">
        <v>43357</v>
      </c>
      <c r="B581" s="218" t="s">
        <v>185</v>
      </c>
      <c r="C581" s="6" t="s">
        <v>173</v>
      </c>
      <c r="D581" s="6" t="s">
        <v>172</v>
      </c>
      <c r="E581" s="61" t="s">
        <v>186</v>
      </c>
      <c r="F581" s="11">
        <v>27755.88</v>
      </c>
      <c r="G581" s="11">
        <v>27744.19</v>
      </c>
      <c r="H581" s="11">
        <v>27764.11</v>
      </c>
      <c r="I581" s="11">
        <v>27729.55</v>
      </c>
      <c r="J581" s="11">
        <v>27698.13</v>
      </c>
      <c r="K581" s="11">
        <v>27720.06</v>
      </c>
      <c r="L581" s="11">
        <v>27720.99</v>
      </c>
      <c r="M581" s="11">
        <v>27745.96</v>
      </c>
      <c r="N581" s="11">
        <v>27749.74</v>
      </c>
      <c r="O581" s="61">
        <f>IF((N582=""),"",MAX(F583:N583))</f>
        <v>4480.2299999999996</v>
      </c>
      <c r="P581" s="61">
        <f>IF(N582="","",MIN(F583:N583))</f>
        <v>4110.3000000000065</v>
      </c>
      <c r="Q581" s="62">
        <f>IF((N583=""),"",AVERAGE(F583:N583))</f>
        <v>4283.4300000000012</v>
      </c>
      <c r="R581" s="62">
        <f>IF((N582=""),"",(O581-P581)/(O581+P581)*100)</f>
        <v>4.3062535140438687</v>
      </c>
      <c r="S581" s="113">
        <f>STDEV(F583:N583)</f>
        <v>159.4243286013766</v>
      </c>
      <c r="T581" s="5" t="str">
        <f>IF(N582="","",IF(R581&lt;16,IF(Q581&gt;3200,IF(R581,IF(Q581&lt;5240,"Pass","Fail"),"Fail"),"Fail")))</f>
        <v>Pass</v>
      </c>
      <c r="U581" s="149">
        <v>1335</v>
      </c>
      <c r="X581" s="116">
        <v>4200</v>
      </c>
      <c r="Y581" s="116">
        <v>5500</v>
      </c>
      <c r="Z581" s="116">
        <v>3200</v>
      </c>
      <c r="AA581" s="116">
        <v>5240</v>
      </c>
      <c r="AB581" s="31">
        <v>16</v>
      </c>
      <c r="AC581" s="31">
        <v>16</v>
      </c>
    </row>
    <row r="582" spans="1:29" ht="15.6" x14ac:dyDescent="0.3">
      <c r="A582"/>
      <c r="B582" s="24"/>
      <c r="C582" s="6"/>
      <c r="D582" s="6"/>
      <c r="E582" s="61" t="s">
        <v>187</v>
      </c>
      <c r="F582" s="11">
        <v>26271.88</v>
      </c>
      <c r="G582" s="11">
        <v>26358.76</v>
      </c>
      <c r="H582" s="11">
        <v>26394.01</v>
      </c>
      <c r="I582" s="11">
        <v>26341.22</v>
      </c>
      <c r="J582" s="11">
        <v>26216.63</v>
      </c>
      <c r="K582" s="11">
        <v>26245.75</v>
      </c>
      <c r="L582" s="11">
        <v>26336.07</v>
      </c>
      <c r="M582" s="11">
        <v>26357.67</v>
      </c>
      <c r="N582" s="11">
        <v>26256.33</v>
      </c>
      <c r="O582" s="61"/>
      <c r="P582" s="61"/>
      <c r="Q582" s="62"/>
      <c r="R582" s="62"/>
      <c r="S582" s="139"/>
      <c r="T582" s="5"/>
      <c r="U582" s="140"/>
      <c r="X582" s="118"/>
      <c r="Y582" s="118"/>
      <c r="Z582" s="118"/>
      <c r="AA582" s="118"/>
    </row>
    <row r="583" spans="1:29" ht="23.4" thickBot="1" x14ac:dyDescent="0.35">
      <c r="A583"/>
      <c r="B583" s="63"/>
      <c r="C583" s="64"/>
      <c r="D583" s="64"/>
      <c r="E583" s="65" t="s">
        <v>188</v>
      </c>
      <c r="F583" s="53">
        <f t="shared" ref="F583:N583" si="189">IF(((F581="")*AND(F582="")),"",(F581-F582)*3)</f>
        <v>4452</v>
      </c>
      <c r="G583" s="53">
        <f t="shared" si="189"/>
        <v>4156.2900000000009</v>
      </c>
      <c r="H583" s="53">
        <f t="shared" si="189"/>
        <v>4110.3000000000065</v>
      </c>
      <c r="I583" s="53">
        <f t="shared" si="189"/>
        <v>4164.9899999999943</v>
      </c>
      <c r="J583" s="53">
        <f t="shared" si="189"/>
        <v>4444.5</v>
      </c>
      <c r="K583" s="53">
        <f t="shared" si="189"/>
        <v>4422.9300000000039</v>
      </c>
      <c r="L583" s="53">
        <f t="shared" si="189"/>
        <v>4154.7600000000057</v>
      </c>
      <c r="M583" s="53">
        <f t="shared" si="189"/>
        <v>4164.8700000000026</v>
      </c>
      <c r="N583" s="53">
        <f t="shared" si="189"/>
        <v>4480.2299999999996</v>
      </c>
      <c r="O583" s="65"/>
      <c r="P583" s="65"/>
      <c r="Q583" s="66"/>
      <c r="R583" s="66"/>
      <c r="S583" s="142"/>
      <c r="T583" s="143"/>
      <c r="U583" s="144"/>
      <c r="X583" s="118"/>
      <c r="Y583" s="118"/>
      <c r="Z583" s="118"/>
      <c r="AA583" s="118"/>
    </row>
    <row r="584" spans="1:29" x14ac:dyDescent="0.25">
      <c r="A584" s="209">
        <v>43360</v>
      </c>
      <c r="B584" s="217" t="s">
        <v>174</v>
      </c>
      <c r="C584" s="44" t="s">
        <v>176</v>
      </c>
      <c r="D584" s="44" t="s">
        <v>175</v>
      </c>
      <c r="E584" s="59" t="s">
        <v>186</v>
      </c>
      <c r="F584" s="11">
        <v>3259.39</v>
      </c>
      <c r="G584" s="11">
        <v>3048.83</v>
      </c>
      <c r="H584" s="11">
        <v>3027.96</v>
      </c>
      <c r="I584" s="11">
        <v>3027.16</v>
      </c>
      <c r="J584" s="11">
        <v>3296.99</v>
      </c>
      <c r="K584" s="11">
        <v>3369.68</v>
      </c>
      <c r="L584" s="11">
        <v>3049.95</v>
      </c>
      <c r="M584" s="11">
        <v>3000.67</v>
      </c>
      <c r="N584" s="11">
        <v>3244.31</v>
      </c>
      <c r="O584" s="59">
        <f>IF((N585=""),"",MAX(F586:N586))</f>
        <v>4042.12</v>
      </c>
      <c r="P584" s="59">
        <f>IF(N585="","",MIN(F586:N586))</f>
        <v>3681.5399999999995</v>
      </c>
      <c r="Q584" s="60">
        <f>IF((N586=""),"",AVERAGE(F586:N586))</f>
        <v>3918.6999999999994</v>
      </c>
      <c r="R584" s="60">
        <f>IF((N585=""),"",(O584-P584)/(O584+P584)*100)</f>
        <v>4.6685120784705747</v>
      </c>
      <c r="S584" s="113">
        <f>STDEV(F586:N586)</f>
        <v>121.31930225648357</v>
      </c>
      <c r="T584" s="137" t="str">
        <f>IF(N585="","",IF(Q584&gt;3650,IF(R584&lt;7,IF(Q584&lt;4450,"Pass","Fail"),"Fail"),"Fail"))</f>
        <v>Pass</v>
      </c>
      <c r="U584" s="149">
        <v>1340</v>
      </c>
      <c r="V584" s="11" t="s">
        <v>205</v>
      </c>
      <c r="X584" s="116">
        <v>3650</v>
      </c>
      <c r="Y584" s="116">
        <v>4450</v>
      </c>
      <c r="Z584" s="116">
        <v>3700</v>
      </c>
      <c r="AA584" s="116">
        <v>4100</v>
      </c>
      <c r="AB584" s="31">
        <v>7</v>
      </c>
      <c r="AC584" s="31">
        <v>6.5</v>
      </c>
    </row>
    <row r="585" spans="1:29" ht="15.6" x14ac:dyDescent="0.3">
      <c r="A585"/>
      <c r="B585" s="24"/>
      <c r="C585" s="6"/>
      <c r="D585" s="6"/>
      <c r="E585" s="61" t="s">
        <v>187</v>
      </c>
      <c r="F585" s="11">
        <v>1339.51</v>
      </c>
      <c r="G585" s="11">
        <v>1047.8800000000001</v>
      </c>
      <c r="H585" s="11">
        <v>1010.71</v>
      </c>
      <c r="I585" s="11">
        <v>1036.44</v>
      </c>
      <c r="J585" s="11">
        <v>1395.37</v>
      </c>
      <c r="K585" s="11">
        <v>1528.91</v>
      </c>
      <c r="L585" s="11">
        <v>1065.95</v>
      </c>
      <c r="M585" s="11">
        <v>979.61</v>
      </c>
      <c r="N585" s="11">
        <v>1286.4100000000001</v>
      </c>
      <c r="O585" s="61"/>
      <c r="P585" s="61"/>
      <c r="Q585" s="62"/>
      <c r="R585" s="62"/>
      <c r="S585" s="139"/>
      <c r="T585" s="8"/>
      <c r="U585" s="146"/>
      <c r="X585" s="118"/>
      <c r="Y585" s="118"/>
      <c r="Z585" s="118"/>
      <c r="AA585" s="118"/>
    </row>
    <row r="586" spans="1:29" ht="23.4" thickBot="1" x14ac:dyDescent="0.35">
      <c r="A586"/>
      <c r="B586" s="24"/>
      <c r="C586" s="6"/>
      <c r="D586" s="6"/>
      <c r="E586" s="61" t="s">
        <v>188</v>
      </c>
      <c r="F586" s="40">
        <f t="shared" ref="F586:N586" si="190">IF(((F584="")*AND(F585="")),"",(F584-F585)*2)</f>
        <v>3839.7599999999998</v>
      </c>
      <c r="G586" s="40">
        <f t="shared" si="190"/>
        <v>4001.8999999999996</v>
      </c>
      <c r="H586" s="40">
        <f t="shared" si="190"/>
        <v>4034.5</v>
      </c>
      <c r="I586" s="40">
        <f t="shared" si="190"/>
        <v>3981.4399999999996</v>
      </c>
      <c r="J586" s="40">
        <f t="shared" si="190"/>
        <v>3803.24</v>
      </c>
      <c r="K586" s="40">
        <f t="shared" si="190"/>
        <v>3681.5399999999995</v>
      </c>
      <c r="L586" s="40">
        <f t="shared" si="190"/>
        <v>3967.9999999999995</v>
      </c>
      <c r="M586" s="40">
        <f t="shared" si="190"/>
        <v>4042.12</v>
      </c>
      <c r="N586" s="40">
        <f t="shared" si="190"/>
        <v>3915.7999999999997</v>
      </c>
      <c r="O586" s="61"/>
      <c r="P586" s="61"/>
      <c r="Q586" s="62"/>
      <c r="R586" s="62"/>
      <c r="S586" s="139"/>
      <c r="T586" s="8"/>
      <c r="U586" s="146"/>
      <c r="X586" s="118"/>
      <c r="Y586" s="118"/>
      <c r="Z586" s="118"/>
      <c r="AA586" s="118"/>
    </row>
    <row r="587" spans="1:29" x14ac:dyDescent="0.25">
      <c r="A587" s="209">
        <v>43360</v>
      </c>
      <c r="B587" s="215" t="s">
        <v>169</v>
      </c>
      <c r="C587" s="6" t="s">
        <v>171</v>
      </c>
      <c r="D587" s="6" t="s">
        <v>189</v>
      </c>
      <c r="E587" s="61" t="s">
        <v>186</v>
      </c>
      <c r="F587" s="11">
        <v>1916.9</v>
      </c>
      <c r="G587" s="11">
        <v>1914.73</v>
      </c>
      <c r="H587" s="11">
        <v>1907.91</v>
      </c>
      <c r="I587" s="11">
        <v>1911.62</v>
      </c>
      <c r="J587" s="11">
        <v>1920.56</v>
      </c>
      <c r="K587" s="11">
        <v>1920.67</v>
      </c>
      <c r="L587" s="11">
        <v>1911.31</v>
      </c>
      <c r="M587" s="11">
        <v>1914.2</v>
      </c>
      <c r="N587" s="11">
        <v>1921.51</v>
      </c>
      <c r="O587" s="61">
        <f>IF((N588=""),"",MAX(F589:N589))</f>
        <v>2057.0700000000002</v>
      </c>
      <c r="P587" s="61">
        <f>IF(N588="","",MIN(F589:N589))</f>
        <v>1971.9900000000005</v>
      </c>
      <c r="Q587" s="62">
        <f>IF((N589=""),"",AVERAGE(F589:N589))</f>
        <v>2017.5600000000002</v>
      </c>
      <c r="R587" s="62">
        <f>IF((N588=""),"",(O587-P587)/(O587+P587)*100)</f>
        <v>2.1116587988265176</v>
      </c>
      <c r="S587" s="113">
        <f>STDEV(F589:N589)</f>
        <v>31.815714277696127</v>
      </c>
      <c r="T587" s="5" t="str">
        <f>IF(N588="","",IF(Q587&gt;1940,IF(R587&lt;8.3,IF(Q587&lt;2180,"Pass","Fail"),"Fail"),"Fail"))</f>
        <v>Pass</v>
      </c>
      <c r="U587" s="149">
        <v>1340</v>
      </c>
      <c r="V587" s="11" t="s">
        <v>205</v>
      </c>
      <c r="X587" s="116">
        <v>2000</v>
      </c>
      <c r="Y587" s="116">
        <v>3000</v>
      </c>
      <c r="Z587" s="116">
        <v>1940</v>
      </c>
      <c r="AA587" s="116">
        <v>2180</v>
      </c>
      <c r="AB587" s="31">
        <v>5.2</v>
      </c>
      <c r="AC587" s="31">
        <v>5.2</v>
      </c>
    </row>
    <row r="588" spans="1:29" ht="15.6" x14ac:dyDescent="0.3">
      <c r="A588"/>
      <c r="B588" s="24"/>
      <c r="C588" s="6"/>
      <c r="D588" s="6"/>
      <c r="E588" s="61" t="s">
        <v>187</v>
      </c>
      <c r="F588" s="11">
        <v>1259.57</v>
      </c>
      <c r="G588" s="11">
        <v>1232.77</v>
      </c>
      <c r="H588" s="11">
        <v>1226.75</v>
      </c>
      <c r="I588" s="11">
        <v>1233.1099999999999</v>
      </c>
      <c r="J588" s="11">
        <v>1251.67</v>
      </c>
      <c r="K588" s="11">
        <v>1260.23</v>
      </c>
      <c r="L588" s="11">
        <v>1234.32</v>
      </c>
      <c r="M588" s="11">
        <v>1228.51</v>
      </c>
      <c r="N588" s="11">
        <v>1259.8</v>
      </c>
      <c r="O588" s="61"/>
      <c r="P588" s="61"/>
      <c r="Q588" s="62"/>
      <c r="R588" s="62"/>
      <c r="S588" s="139"/>
      <c r="T588" s="5"/>
      <c r="U588" s="140"/>
      <c r="X588" s="118"/>
      <c r="Y588" s="118"/>
      <c r="Z588" s="118"/>
      <c r="AA588" s="118"/>
    </row>
    <row r="589" spans="1:29" ht="16.2" thickBot="1" x14ac:dyDescent="0.35">
      <c r="A589"/>
      <c r="B589" s="24"/>
      <c r="C589" s="6"/>
      <c r="D589" s="6"/>
      <c r="E589" s="61" t="s">
        <v>190</v>
      </c>
      <c r="F589" s="40">
        <f t="shared" ref="F589:N589" si="191">IF(((F587="")*AND(F588="")),"",(F587-F588)*3)</f>
        <v>1971.9900000000005</v>
      </c>
      <c r="G589" s="40">
        <f t="shared" si="191"/>
        <v>2045.88</v>
      </c>
      <c r="H589" s="40">
        <f t="shared" si="191"/>
        <v>2043.4800000000002</v>
      </c>
      <c r="I589" s="40">
        <f t="shared" si="191"/>
        <v>2035.53</v>
      </c>
      <c r="J589" s="40">
        <f t="shared" si="191"/>
        <v>2006.6699999999996</v>
      </c>
      <c r="K589" s="40">
        <f t="shared" si="191"/>
        <v>1981.3200000000002</v>
      </c>
      <c r="L589" s="40">
        <f t="shared" si="191"/>
        <v>2030.97</v>
      </c>
      <c r="M589" s="40">
        <f t="shared" si="191"/>
        <v>2057.0700000000002</v>
      </c>
      <c r="N589" s="40">
        <f t="shared" si="191"/>
        <v>1985.13</v>
      </c>
      <c r="O589" s="61"/>
      <c r="P589" s="61"/>
      <c r="Q589" s="62"/>
      <c r="R589" s="62"/>
      <c r="S589" s="139"/>
      <c r="T589" s="5"/>
      <c r="U589" s="140"/>
      <c r="X589" s="118"/>
      <c r="Y589" s="118"/>
      <c r="Z589" s="118"/>
      <c r="AA589" s="118"/>
    </row>
    <row r="590" spans="1:29" x14ac:dyDescent="0.25">
      <c r="A590" s="209">
        <v>43360</v>
      </c>
      <c r="B590" s="218" t="s">
        <v>185</v>
      </c>
      <c r="C590" s="6" t="s">
        <v>173</v>
      </c>
      <c r="D590" s="6" t="s">
        <v>172</v>
      </c>
      <c r="E590" s="61" t="s">
        <v>186</v>
      </c>
      <c r="F590" s="11">
        <v>29380.52</v>
      </c>
      <c r="G590" s="11">
        <v>29296.05</v>
      </c>
      <c r="H590" s="11">
        <v>29245.24</v>
      </c>
      <c r="I590" s="11">
        <v>29268.73</v>
      </c>
      <c r="J590" s="11">
        <v>29340.91</v>
      </c>
      <c r="K590" s="11">
        <v>29352.29</v>
      </c>
      <c r="L590" s="11">
        <v>29268.52</v>
      </c>
      <c r="M590" s="11">
        <v>29297.4</v>
      </c>
      <c r="N590" s="11">
        <v>29405.72</v>
      </c>
      <c r="O590" s="61">
        <f>IF((N591=""),"",MAX(F592:N592))</f>
        <v>4531.8000000000065</v>
      </c>
      <c r="P590" s="61">
        <f>IF(N591="","",MIN(F592:N592))</f>
        <v>4030.2000000000044</v>
      </c>
      <c r="Q590" s="62">
        <f>IF((N592=""),"",AVERAGE(F592:N592))</f>
        <v>4241.2233333333361</v>
      </c>
      <c r="R590" s="62">
        <f>IF((N591=""),"",(O590-P590)/(O590+P590)*100)</f>
        <v>5.8584442887176076</v>
      </c>
      <c r="S590" s="113">
        <f>STDEV(F592:N592)</f>
        <v>202.41481399591402</v>
      </c>
      <c r="T590" s="5" t="str">
        <f>IF(N591="","",IF(R590&lt;16,IF(Q590&gt;3200,IF(R590,IF(Q590&lt;5240,"Pass","Fail"),"Fail"),"Fail")))</f>
        <v>Pass</v>
      </c>
      <c r="U590" s="149">
        <v>1340</v>
      </c>
      <c r="V590" s="11" t="s">
        <v>205</v>
      </c>
      <c r="X590" s="116">
        <v>4200</v>
      </c>
      <c r="Y590" s="116">
        <v>5500</v>
      </c>
      <c r="Z590" s="116">
        <v>3200</v>
      </c>
      <c r="AA590" s="116">
        <v>5240</v>
      </c>
      <c r="AB590" s="31">
        <v>16</v>
      </c>
      <c r="AC590" s="31">
        <v>16</v>
      </c>
    </row>
    <row r="591" spans="1:29" ht="15.6" x14ac:dyDescent="0.3">
      <c r="A591"/>
      <c r="B591" s="24"/>
      <c r="C591" s="6"/>
      <c r="D591" s="6"/>
      <c r="E591" s="61" t="s">
        <v>187</v>
      </c>
      <c r="F591" s="11">
        <v>27874.959999999999</v>
      </c>
      <c r="G591" s="11">
        <v>27930.41</v>
      </c>
      <c r="H591" s="11">
        <v>27901.84</v>
      </c>
      <c r="I591" s="11">
        <v>27923.45</v>
      </c>
      <c r="J591" s="11">
        <v>27887.79</v>
      </c>
      <c r="K591" s="11">
        <v>27916.78</v>
      </c>
      <c r="L591" s="11">
        <v>27922.67</v>
      </c>
      <c r="M591" s="11">
        <v>27878.69</v>
      </c>
      <c r="N591" s="11">
        <v>27895.119999999999</v>
      </c>
      <c r="O591" s="61"/>
      <c r="P591" s="61"/>
      <c r="Q591" s="62"/>
      <c r="R591" s="62"/>
      <c r="S591" s="139"/>
      <c r="T591" s="5"/>
      <c r="U591" s="140"/>
      <c r="X591" s="118"/>
      <c r="Y591" s="118"/>
      <c r="Z591" s="118"/>
      <c r="AA591" s="118"/>
    </row>
    <row r="592" spans="1:29" ht="23.4" thickBot="1" x14ac:dyDescent="0.35">
      <c r="A592"/>
      <c r="B592" s="63"/>
      <c r="C592" s="64"/>
      <c r="D592" s="64"/>
      <c r="E592" s="65" t="s">
        <v>188</v>
      </c>
      <c r="F592" s="53">
        <f t="shared" ref="F592:N592" si="192">IF(((F590="")*AND(F591="")),"",(F590-F591)*3)</f>
        <v>4516.6800000000039</v>
      </c>
      <c r="G592" s="53">
        <f t="shared" si="192"/>
        <v>4096.9199999999983</v>
      </c>
      <c r="H592" s="53">
        <f t="shared" si="192"/>
        <v>4030.2000000000044</v>
      </c>
      <c r="I592" s="53">
        <f t="shared" si="192"/>
        <v>4035.8399999999965</v>
      </c>
      <c r="J592" s="53">
        <f t="shared" si="192"/>
        <v>4359.3599999999969</v>
      </c>
      <c r="K592" s="53">
        <f t="shared" si="192"/>
        <v>4306.5300000000061</v>
      </c>
      <c r="L592" s="53">
        <f t="shared" si="192"/>
        <v>4037.5500000000065</v>
      </c>
      <c r="M592" s="53">
        <f t="shared" si="192"/>
        <v>4256.1300000000083</v>
      </c>
      <c r="N592" s="53">
        <f t="shared" si="192"/>
        <v>4531.8000000000065</v>
      </c>
      <c r="O592" s="65"/>
      <c r="P592" s="65"/>
      <c r="Q592" s="66"/>
      <c r="R592" s="66"/>
      <c r="S592" s="142"/>
      <c r="T592" s="143"/>
      <c r="U592" s="144"/>
      <c r="X592" s="118"/>
      <c r="Y592" s="118"/>
      <c r="Z592" s="118"/>
      <c r="AA592" s="118"/>
    </row>
    <row r="593" spans="1:29" x14ac:dyDescent="0.25">
      <c r="A593" s="209">
        <v>43363</v>
      </c>
      <c r="B593" s="217" t="s">
        <v>174</v>
      </c>
      <c r="C593" s="44" t="s">
        <v>176</v>
      </c>
      <c r="D593" s="44" t="s">
        <v>175</v>
      </c>
      <c r="E593" s="59" t="s">
        <v>186</v>
      </c>
      <c r="F593" s="11">
        <v>6877.78</v>
      </c>
      <c r="G593" s="11">
        <v>6887.78</v>
      </c>
      <c r="H593" s="11">
        <v>6914.55</v>
      </c>
      <c r="I593" s="11">
        <v>6864.87</v>
      </c>
      <c r="J593" s="11">
        <v>6901.15</v>
      </c>
      <c r="K593" s="11">
        <v>6839.29</v>
      </c>
      <c r="L593" s="11">
        <v>6866.3</v>
      </c>
      <c r="M593" s="11">
        <v>6903.24</v>
      </c>
      <c r="N593" s="11">
        <v>6978.28</v>
      </c>
      <c r="O593" s="59">
        <f>IF((N594=""),"",MAX(F595:N595))</f>
        <v>4033.58</v>
      </c>
      <c r="P593" s="59">
        <f>IF(N594="","",MIN(F595:N595))</f>
        <v>3644.6000000000004</v>
      </c>
      <c r="Q593" s="60">
        <f>IF((N595=""),"",AVERAGE(F595:N595))</f>
        <v>3894.7355555555569</v>
      </c>
      <c r="R593" s="60">
        <f>IF((N594=""),"",(O593-P593)/(O593+P593)*100)</f>
        <v>5.0660442969557833</v>
      </c>
      <c r="S593" s="113">
        <f>STDEV(F595:N595)</f>
        <v>131.26017552090104</v>
      </c>
      <c r="T593" s="137" t="str">
        <f>IF(N594="","",IF(Q593&gt;3650,IF(R593&lt;7,IF(Q593&lt;4450,"Pass","Fail"),"Fail"),"Fail"))</f>
        <v>Pass</v>
      </c>
      <c r="U593" s="149">
        <v>1340</v>
      </c>
      <c r="V593" s="127"/>
      <c r="W593" s="11"/>
      <c r="X593" s="116">
        <v>3650</v>
      </c>
      <c r="Y593" s="116">
        <v>4450</v>
      </c>
      <c r="Z593" s="116">
        <v>3700</v>
      </c>
      <c r="AA593" s="116">
        <v>4100</v>
      </c>
      <c r="AB593" s="31">
        <v>7</v>
      </c>
      <c r="AC593" s="31">
        <v>6.5</v>
      </c>
    </row>
    <row r="594" spans="1:29" ht="15.6" x14ac:dyDescent="0.3">
      <c r="A594"/>
      <c r="B594" s="24"/>
      <c r="C594" s="6"/>
      <c r="D594" s="6"/>
      <c r="E594" s="61" t="s">
        <v>187</v>
      </c>
      <c r="F594" s="11">
        <v>4987.2299999999996</v>
      </c>
      <c r="G594" s="11">
        <v>4899.32</v>
      </c>
      <c r="H594" s="11">
        <v>4904.84</v>
      </c>
      <c r="I594" s="11">
        <v>4880.62</v>
      </c>
      <c r="J594" s="11">
        <v>5008.8599999999997</v>
      </c>
      <c r="K594" s="11">
        <v>5016.99</v>
      </c>
      <c r="L594" s="11">
        <v>4890.67</v>
      </c>
      <c r="M594" s="11">
        <v>4886.45</v>
      </c>
      <c r="N594" s="11">
        <v>5031.95</v>
      </c>
      <c r="O594" s="61"/>
      <c r="P594" s="61"/>
      <c r="Q594" s="62"/>
      <c r="R594" s="62"/>
      <c r="S594" s="139"/>
      <c r="T594" s="8"/>
      <c r="U594" s="146"/>
      <c r="V594" s="127"/>
      <c r="W594" s="11"/>
      <c r="X594" s="118"/>
      <c r="Y594" s="118"/>
      <c r="Z594" s="118"/>
      <c r="AA594" s="118"/>
    </row>
    <row r="595" spans="1:29" ht="23.4" thickBot="1" x14ac:dyDescent="0.35">
      <c r="A595"/>
      <c r="B595" s="24"/>
      <c r="C595" s="6"/>
      <c r="D595" s="6"/>
      <c r="E595" s="61" t="s">
        <v>188</v>
      </c>
      <c r="F595" s="40">
        <f t="shared" ref="F595:N595" si="193">IF(((F593="")*AND(F594="")),"",(F593-F594)*2)</f>
        <v>3781.1000000000004</v>
      </c>
      <c r="G595" s="40">
        <f t="shared" si="193"/>
        <v>3976.92</v>
      </c>
      <c r="H595" s="40">
        <f t="shared" si="193"/>
        <v>4019.42</v>
      </c>
      <c r="I595" s="40">
        <f t="shared" si="193"/>
        <v>3968.5</v>
      </c>
      <c r="J595" s="40">
        <f t="shared" si="193"/>
        <v>3784.58</v>
      </c>
      <c r="K595" s="40">
        <f t="shared" si="193"/>
        <v>3644.6000000000004</v>
      </c>
      <c r="L595" s="40">
        <f t="shared" si="193"/>
        <v>3951.26</v>
      </c>
      <c r="M595" s="40">
        <f t="shared" si="193"/>
        <v>4033.58</v>
      </c>
      <c r="N595" s="40">
        <f t="shared" si="193"/>
        <v>3892.66</v>
      </c>
      <c r="O595" s="61"/>
      <c r="P595" s="61"/>
      <c r="Q595" s="62"/>
      <c r="R595" s="62"/>
      <c r="S595" s="139"/>
      <c r="T595" s="8"/>
      <c r="U595" s="146"/>
      <c r="V595" s="127"/>
      <c r="W595" s="11"/>
      <c r="X595" s="118"/>
      <c r="Y595" s="118"/>
      <c r="Z595" s="118"/>
      <c r="AA595" s="118"/>
    </row>
    <row r="596" spans="1:29" x14ac:dyDescent="0.25">
      <c r="A596" s="209">
        <v>43363</v>
      </c>
      <c r="B596" s="215" t="s">
        <v>169</v>
      </c>
      <c r="C596" s="6" t="s">
        <v>171</v>
      </c>
      <c r="D596" s="6" t="s">
        <v>189</v>
      </c>
      <c r="E596" s="61" t="s">
        <v>186</v>
      </c>
      <c r="F596" s="11">
        <v>1917.35</v>
      </c>
      <c r="G596" s="11">
        <v>1912.31</v>
      </c>
      <c r="H596" s="11">
        <v>1912.45</v>
      </c>
      <c r="I596" s="11">
        <v>1910.99</v>
      </c>
      <c r="J596" s="11">
        <v>1915.33</v>
      </c>
      <c r="K596" s="11">
        <v>1916.59</v>
      </c>
      <c r="L596" s="11">
        <v>1911.37</v>
      </c>
      <c r="M596" s="11">
        <v>1911.54</v>
      </c>
      <c r="N596" s="11">
        <v>1914.98</v>
      </c>
      <c r="O596" s="61">
        <f>IF((N597=""),"",MAX(F598:N598))</f>
        <v>2071.7700000000004</v>
      </c>
      <c r="P596" s="61">
        <f>IF(N597="","",MIN(F598:N598))</f>
        <v>1959.81</v>
      </c>
      <c r="Q596" s="62">
        <f>IF((N598=""),"",AVERAGE(F598:N598))</f>
        <v>2025.6799999999998</v>
      </c>
      <c r="R596" s="62">
        <f>IF((N597=""),"",(O596-P596)/(O596+P596)*100)</f>
        <v>2.7770749929308232</v>
      </c>
      <c r="S596" s="113">
        <f>STDEV(F598:N598)</f>
        <v>40.959787291928208</v>
      </c>
      <c r="T596" s="5" t="str">
        <f>IF(N597="","",IF(Q596&gt;1940,IF(R596&lt;8.3,IF(Q596&lt;2180,"Pass","Fail"),"Fail"),"Fail"))</f>
        <v>Pass</v>
      </c>
      <c r="U596" s="149">
        <v>1340</v>
      </c>
      <c r="V596" s="127"/>
      <c r="W596" s="11"/>
      <c r="X596" s="116">
        <v>2000</v>
      </c>
      <c r="Y596" s="116">
        <v>3000</v>
      </c>
      <c r="Z596" s="116">
        <v>1940</v>
      </c>
      <c r="AA596" s="116">
        <v>2180</v>
      </c>
      <c r="AB596" s="31">
        <v>5.2</v>
      </c>
      <c r="AC596" s="31">
        <v>5.2</v>
      </c>
    </row>
    <row r="597" spans="1:29" ht="15.6" x14ac:dyDescent="0.3">
      <c r="A597"/>
      <c r="B597" s="24"/>
      <c r="C597" s="6"/>
      <c r="D597" s="6"/>
      <c r="E597" s="61" t="s">
        <v>187</v>
      </c>
      <c r="F597" s="11">
        <v>1244.8699999999999</v>
      </c>
      <c r="G597" s="11">
        <v>1223.5</v>
      </c>
      <c r="H597" s="11">
        <v>1221.8599999999999</v>
      </c>
      <c r="I597" s="11">
        <v>1231.52</v>
      </c>
      <c r="J597" s="11">
        <v>1262.06</v>
      </c>
      <c r="K597" s="11">
        <v>1252.46</v>
      </c>
      <c r="L597" s="11">
        <v>1230.79</v>
      </c>
      <c r="M597" s="11">
        <v>1223.4100000000001</v>
      </c>
      <c r="N597" s="11">
        <v>1255.4000000000001</v>
      </c>
      <c r="O597" s="61"/>
      <c r="P597" s="61"/>
      <c r="Q597" s="62"/>
      <c r="R597" s="62"/>
      <c r="S597" s="139"/>
      <c r="T597" s="5"/>
      <c r="U597" s="140"/>
      <c r="V597" s="173"/>
      <c r="W597" s="11"/>
      <c r="X597" s="118"/>
      <c r="Y597" s="118"/>
      <c r="Z597" s="118"/>
      <c r="AA597" s="118"/>
    </row>
    <row r="598" spans="1:29" ht="16.2" thickBot="1" x14ac:dyDescent="0.35">
      <c r="A598"/>
      <c r="B598" s="24"/>
      <c r="C598" s="6"/>
      <c r="D598" s="6"/>
      <c r="E598" s="61" t="s">
        <v>190</v>
      </c>
      <c r="F598" s="40">
        <f t="shared" ref="F598:N598" si="194">IF(((F596="")*AND(F597="")),"",(F596-F597)*3)</f>
        <v>2017.44</v>
      </c>
      <c r="G598" s="40">
        <f t="shared" si="194"/>
        <v>2066.4299999999998</v>
      </c>
      <c r="H598" s="40">
        <f t="shared" si="194"/>
        <v>2071.7700000000004</v>
      </c>
      <c r="I598" s="40">
        <f t="shared" si="194"/>
        <v>2038.41</v>
      </c>
      <c r="J598" s="40">
        <f t="shared" si="194"/>
        <v>1959.81</v>
      </c>
      <c r="K598" s="40">
        <f t="shared" si="194"/>
        <v>1992.3899999999996</v>
      </c>
      <c r="L598" s="40">
        <f t="shared" si="194"/>
        <v>2041.7399999999998</v>
      </c>
      <c r="M598" s="40">
        <f t="shared" si="194"/>
        <v>2064.3899999999994</v>
      </c>
      <c r="N598" s="40">
        <f t="shared" si="194"/>
        <v>1978.7399999999998</v>
      </c>
      <c r="O598" s="61"/>
      <c r="P598" s="61"/>
      <c r="Q598" s="62"/>
      <c r="R598" s="62"/>
      <c r="S598" s="139"/>
      <c r="T598" s="5"/>
      <c r="U598" s="140"/>
      <c r="V598" s="173"/>
      <c r="W598" s="11"/>
      <c r="X598" s="118"/>
      <c r="Y598" s="118"/>
      <c r="Z598" s="118"/>
      <c r="AA598" s="118"/>
    </row>
    <row r="599" spans="1:29" x14ac:dyDescent="0.25">
      <c r="A599" s="209">
        <v>43363</v>
      </c>
      <c r="B599" s="218" t="s">
        <v>185</v>
      </c>
      <c r="C599" s="6" t="s">
        <v>173</v>
      </c>
      <c r="D599" s="6" t="s">
        <v>172</v>
      </c>
      <c r="E599" s="61" t="s">
        <v>186</v>
      </c>
      <c r="F599" s="11">
        <v>29321.78</v>
      </c>
      <c r="G599" s="11">
        <v>29242.5</v>
      </c>
      <c r="H599" s="11">
        <v>29260.17</v>
      </c>
      <c r="I599" s="11">
        <v>29269.81</v>
      </c>
      <c r="J599" s="11">
        <v>29369.759999999998</v>
      </c>
      <c r="K599" s="11">
        <v>29355.98</v>
      </c>
      <c r="L599" s="11">
        <v>29267.35</v>
      </c>
      <c r="M599" s="11">
        <v>29263.62</v>
      </c>
      <c r="N599" s="11">
        <v>29289.17</v>
      </c>
      <c r="O599" s="61">
        <f>IF((N600=""),"",MAX(F601:N601))</f>
        <v>4281.6299999999974</v>
      </c>
      <c r="P599" s="61">
        <f>IF(N600="","",MIN(F601:N601))</f>
        <v>3697.7999999999956</v>
      </c>
      <c r="Q599" s="62">
        <f>IF((N601=""),"",AVERAGE(F601:N601))</f>
        <v>3985.3099999999959</v>
      </c>
      <c r="R599" s="62">
        <f>IF((N600=""),"",(O599-P599)/(O599+P599)*100)</f>
        <v>7.3166880341077283</v>
      </c>
      <c r="S599" s="113">
        <f>STDEV(F601:N601)</f>
        <v>178.24249808897937</v>
      </c>
      <c r="T599" s="5" t="str">
        <f>IF(N600="","",IF(R599&lt;16,IF(Q599&gt;3200,IF(R599,IF(Q599&lt;5240,"Pass","Fail"),"Fail"),"Fail")))</f>
        <v>Pass</v>
      </c>
      <c r="U599" s="149">
        <v>1340</v>
      </c>
      <c r="V599" s="127"/>
      <c r="W599" s="11"/>
      <c r="X599" s="116">
        <v>4200</v>
      </c>
      <c r="Y599" s="116">
        <v>5500</v>
      </c>
      <c r="Z599" s="116">
        <v>3200</v>
      </c>
      <c r="AA599" s="116">
        <v>5240</v>
      </c>
      <c r="AB599" s="31">
        <v>16</v>
      </c>
      <c r="AC599" s="31">
        <v>16</v>
      </c>
    </row>
    <row r="600" spans="1:29" ht="15.6" x14ac:dyDescent="0.3">
      <c r="A600"/>
      <c r="B600" s="24"/>
      <c r="C600" s="6"/>
      <c r="D600" s="6"/>
      <c r="E600" s="61" t="s">
        <v>187</v>
      </c>
      <c r="F600" s="11">
        <v>27966.080000000002</v>
      </c>
      <c r="G600" s="11">
        <v>27975.200000000001</v>
      </c>
      <c r="H600" s="11">
        <v>28027.57</v>
      </c>
      <c r="I600" s="11">
        <v>27936.86</v>
      </c>
      <c r="J600" s="11">
        <v>27942.55</v>
      </c>
      <c r="K600" s="11">
        <v>27970.29</v>
      </c>
      <c r="L600" s="11">
        <v>27976.35</v>
      </c>
      <c r="M600" s="11">
        <v>27938.84</v>
      </c>
      <c r="N600" s="11">
        <v>27950.47</v>
      </c>
      <c r="O600" s="61"/>
      <c r="P600" s="61"/>
      <c r="Q600" s="62"/>
      <c r="R600" s="62"/>
      <c r="S600" s="139"/>
      <c r="T600" s="5"/>
      <c r="U600" s="140"/>
      <c r="V600" s="173"/>
      <c r="W600" s="11"/>
      <c r="X600" s="118"/>
      <c r="Y600" s="118"/>
      <c r="Z600" s="118"/>
      <c r="AA600" s="118"/>
    </row>
    <row r="601" spans="1:29" ht="23.4" thickBot="1" x14ac:dyDescent="0.35">
      <c r="A601"/>
      <c r="B601" s="67"/>
      <c r="C601" s="46"/>
      <c r="D601" s="46"/>
      <c r="E601" s="48" t="s">
        <v>188</v>
      </c>
      <c r="F601" s="45">
        <f t="shared" ref="F601:N601" si="195">IF(((F599="")*AND(F600="")),"",(F599-F600)*3)</f>
        <v>4067.0999999999913</v>
      </c>
      <c r="G601" s="45">
        <f t="shared" si="195"/>
        <v>3801.8999999999978</v>
      </c>
      <c r="H601" s="45">
        <f t="shared" si="195"/>
        <v>3697.7999999999956</v>
      </c>
      <c r="I601" s="45">
        <f t="shared" si="195"/>
        <v>3998.8500000000022</v>
      </c>
      <c r="J601" s="45">
        <f t="shared" si="195"/>
        <v>4281.6299999999974</v>
      </c>
      <c r="K601" s="45">
        <f t="shared" si="195"/>
        <v>4157.0699999999961</v>
      </c>
      <c r="L601" s="45">
        <f t="shared" si="195"/>
        <v>3873</v>
      </c>
      <c r="M601" s="45">
        <f t="shared" si="195"/>
        <v>3974.3399999999965</v>
      </c>
      <c r="N601" s="45">
        <f t="shared" si="195"/>
        <v>4016.0999999999913</v>
      </c>
      <c r="O601" s="48"/>
      <c r="P601" s="48"/>
      <c r="Q601" s="49"/>
      <c r="R601" s="49"/>
      <c r="S601" s="147"/>
      <c r="T601" s="121"/>
      <c r="U601" s="148"/>
      <c r="V601" s="173"/>
      <c r="W601" s="11"/>
      <c r="X601" s="118"/>
      <c r="Y601" s="118"/>
      <c r="Z601" s="118"/>
      <c r="AA601" s="118"/>
    </row>
    <row r="602" spans="1:29" x14ac:dyDescent="0.25">
      <c r="A602" s="209">
        <v>43367</v>
      </c>
      <c r="B602" s="217" t="s">
        <v>174</v>
      </c>
      <c r="C602" s="44" t="s">
        <v>176</v>
      </c>
      <c r="D602" s="44" t="s">
        <v>175</v>
      </c>
      <c r="E602" s="59" t="s">
        <v>186</v>
      </c>
      <c r="F602" s="136">
        <v>4987.2299999999996</v>
      </c>
      <c r="G602" s="136">
        <v>4899.32</v>
      </c>
      <c r="H602" s="136">
        <v>4904.84</v>
      </c>
      <c r="I602" s="136">
        <v>4880.62</v>
      </c>
      <c r="J602" s="136">
        <v>5008.8599999999997</v>
      </c>
      <c r="K602" s="136">
        <v>5016.99</v>
      </c>
      <c r="L602" s="136">
        <v>4890.67</v>
      </c>
      <c r="M602" s="136">
        <v>4886.45</v>
      </c>
      <c r="N602" s="136">
        <v>5031.95</v>
      </c>
      <c r="O602" s="59">
        <f>IF((N603=""),"",MAX(F604:N604))</f>
        <v>4095.6800000000003</v>
      </c>
      <c r="P602" s="59">
        <f>IF(N603="","",MIN(F604:N604))</f>
        <v>3703.9799999999996</v>
      </c>
      <c r="Q602" s="60">
        <f>IF((N604=""),"",AVERAGE(F604:N604))</f>
        <v>3959.3177777777778</v>
      </c>
      <c r="R602" s="60">
        <f>IF((N603=""),"",(O602-P602)/(O602+P602)*100)</f>
        <v>5.0220137800878595</v>
      </c>
      <c r="S602" s="150">
        <f>STDEV(F604:N604)</f>
        <v>139.52159633707072</v>
      </c>
      <c r="T602" s="137" t="str">
        <f>IF(N603="","",IF(Q602&gt;3650,IF(R602&lt;7,IF(Q602&lt;4450,"Pass","Fail"),"Fail"),"Fail"))</f>
        <v>Pass</v>
      </c>
      <c r="U602" s="149">
        <v>1340</v>
      </c>
      <c r="V602" s="127"/>
      <c r="W602" s="11"/>
      <c r="X602" s="116">
        <v>3650</v>
      </c>
      <c r="Y602" s="116">
        <v>4450</v>
      </c>
      <c r="Z602" s="116">
        <v>3700</v>
      </c>
      <c r="AA602" s="116">
        <v>4100</v>
      </c>
      <c r="AB602" s="31">
        <v>7</v>
      </c>
      <c r="AC602" s="31">
        <v>6.5</v>
      </c>
    </row>
    <row r="603" spans="1:29" ht="15.6" x14ac:dyDescent="0.3">
      <c r="A603"/>
      <c r="B603" s="24"/>
      <c r="C603" s="6"/>
      <c r="D603" s="6"/>
      <c r="E603" s="61" t="s">
        <v>187</v>
      </c>
      <c r="F603" s="8">
        <v>3070</v>
      </c>
      <c r="G603" s="8">
        <v>2873</v>
      </c>
      <c r="H603" s="8">
        <v>2857</v>
      </c>
      <c r="I603" s="8">
        <v>2856</v>
      </c>
      <c r="J603" s="8">
        <v>3088</v>
      </c>
      <c r="K603" s="8">
        <v>3165</v>
      </c>
      <c r="L603" s="8">
        <v>2872</v>
      </c>
      <c r="M603" s="8">
        <v>2839</v>
      </c>
      <c r="N603" s="8">
        <v>3070</v>
      </c>
      <c r="O603" s="61"/>
      <c r="P603" s="61"/>
      <c r="Q603" s="62"/>
      <c r="R603" s="62"/>
      <c r="S603" s="139"/>
      <c r="T603" s="8"/>
      <c r="U603" s="146"/>
      <c r="V603" s="127"/>
      <c r="W603" s="11"/>
      <c r="X603" s="118"/>
      <c r="Y603" s="118"/>
      <c r="Z603" s="118"/>
      <c r="AA603" s="118"/>
    </row>
    <row r="604" spans="1:29" ht="22.8" x14ac:dyDescent="0.3">
      <c r="A604"/>
      <c r="B604" s="24"/>
      <c r="C604" s="6"/>
      <c r="D604" s="6"/>
      <c r="E604" s="61" t="s">
        <v>188</v>
      </c>
      <c r="F604" s="40">
        <f t="shared" ref="F604:N604" si="196">IF(((F602="")*AND(F603="")),"",(F602-F603)*2)</f>
        <v>3834.4599999999991</v>
      </c>
      <c r="G604" s="40">
        <f t="shared" si="196"/>
        <v>4052.6399999999994</v>
      </c>
      <c r="H604" s="40">
        <f t="shared" si="196"/>
        <v>4095.6800000000003</v>
      </c>
      <c r="I604" s="40">
        <f t="shared" si="196"/>
        <v>4049.24</v>
      </c>
      <c r="J604" s="40">
        <f t="shared" si="196"/>
        <v>3841.7199999999993</v>
      </c>
      <c r="K604" s="40">
        <f t="shared" si="196"/>
        <v>3703.9799999999996</v>
      </c>
      <c r="L604" s="40">
        <f t="shared" si="196"/>
        <v>4037.34</v>
      </c>
      <c r="M604" s="40">
        <f t="shared" si="196"/>
        <v>4094.8999999999996</v>
      </c>
      <c r="N604" s="40">
        <f t="shared" si="196"/>
        <v>3923.8999999999996</v>
      </c>
      <c r="O604" s="61"/>
      <c r="P604" s="61"/>
      <c r="Q604" s="62"/>
      <c r="R604" s="62"/>
      <c r="S604" s="139"/>
      <c r="T604" s="8"/>
      <c r="U604" s="146"/>
      <c r="V604" s="127"/>
      <c r="W604" s="11"/>
      <c r="X604" s="118"/>
      <c r="Y604" s="118"/>
      <c r="Z604" s="118"/>
      <c r="AA604" s="118"/>
    </row>
    <row r="605" spans="1:29" x14ac:dyDescent="0.25">
      <c r="A605" s="210">
        <v>43367</v>
      </c>
      <c r="B605" s="215" t="s">
        <v>169</v>
      </c>
      <c r="C605" s="6" t="s">
        <v>171</v>
      </c>
      <c r="D605" s="6" t="s">
        <v>189</v>
      </c>
      <c r="E605" s="61" t="s">
        <v>186</v>
      </c>
      <c r="F605" s="8">
        <v>1933</v>
      </c>
      <c r="G605" s="8">
        <v>1928</v>
      </c>
      <c r="H605" s="8">
        <v>1925</v>
      </c>
      <c r="I605" s="8">
        <v>1927</v>
      </c>
      <c r="J605" s="8">
        <v>1933</v>
      </c>
      <c r="K605" s="8">
        <v>1934</v>
      </c>
      <c r="L605" s="8">
        <v>1927</v>
      </c>
      <c r="M605" s="8">
        <v>1927</v>
      </c>
      <c r="N605" s="8">
        <v>1935</v>
      </c>
      <c r="O605" s="61">
        <f>IF((N606=""),"",MAX(F607:N607))</f>
        <v>2067</v>
      </c>
      <c r="P605" s="61">
        <f>IF(N606="","",MIN(F607:N607))</f>
        <v>1971</v>
      </c>
      <c r="Q605" s="62">
        <f>IF((N607=""),"",AVERAGE(F607:N607))</f>
        <v>2022.6666666666667</v>
      </c>
      <c r="R605" s="62">
        <f>IF((N606=""),"",(O605-P605)/(O605+P605)*100)</f>
        <v>2.3774145616641902</v>
      </c>
      <c r="S605" s="139">
        <f>STDEV(F607:N607)</f>
        <v>36.42801120017397</v>
      </c>
      <c r="T605" s="5" t="str">
        <f>IF(N606="","",IF(Q605&gt;1940,IF(R605&lt;8.3,IF(Q605&lt;2180,"Pass","Fail"),"Fail"),"Fail"))</f>
        <v>Pass</v>
      </c>
      <c r="U605" s="146">
        <v>1340</v>
      </c>
      <c r="V605" s="127"/>
      <c r="W605" s="11"/>
      <c r="X605" s="116">
        <v>2000</v>
      </c>
      <c r="Y605" s="116">
        <v>3000</v>
      </c>
      <c r="Z605" s="116">
        <v>1940</v>
      </c>
      <c r="AA605" s="116">
        <v>2180</v>
      </c>
      <c r="AB605" s="31">
        <v>5.2</v>
      </c>
      <c r="AC605" s="31">
        <v>5.2</v>
      </c>
    </row>
    <row r="606" spans="1:29" ht="15.6" x14ac:dyDescent="0.3">
      <c r="A606"/>
      <c r="B606" s="24"/>
      <c r="C606" s="6"/>
      <c r="D606" s="6"/>
      <c r="E606" s="61" t="s">
        <v>187</v>
      </c>
      <c r="F606" s="8">
        <v>1264</v>
      </c>
      <c r="G606" s="8">
        <v>1244</v>
      </c>
      <c r="H606" s="8">
        <v>1236</v>
      </c>
      <c r="I606" s="110">
        <v>1247</v>
      </c>
      <c r="J606" s="110">
        <v>1276</v>
      </c>
      <c r="K606" s="110">
        <v>1275</v>
      </c>
      <c r="L606" s="8">
        <v>1247</v>
      </c>
      <c r="M606" s="8">
        <v>1241</v>
      </c>
      <c r="N606" s="8">
        <v>1271</v>
      </c>
      <c r="O606" s="61"/>
      <c r="P606" s="61"/>
      <c r="Q606" s="62"/>
      <c r="R606" s="62"/>
      <c r="S606" s="139"/>
      <c r="T606" s="5"/>
      <c r="U606" s="140"/>
      <c r="V606" s="173"/>
      <c r="W606" s="11"/>
      <c r="X606" s="118"/>
      <c r="Y606" s="118"/>
      <c r="Z606" s="118"/>
      <c r="AA606" s="118"/>
    </row>
    <row r="607" spans="1:29" ht="15.6" x14ac:dyDescent="0.3">
      <c r="A607"/>
      <c r="B607" s="24"/>
      <c r="C607" s="6"/>
      <c r="D607" s="6"/>
      <c r="E607" s="61" t="s">
        <v>190</v>
      </c>
      <c r="F607" s="40">
        <f t="shared" ref="F607:N607" si="197">IF(((F605="")*AND(F606="")),"",(F605-F606)*3)</f>
        <v>2007</v>
      </c>
      <c r="G607" s="40">
        <f t="shared" si="197"/>
        <v>2052</v>
      </c>
      <c r="H607" s="40">
        <f t="shared" si="197"/>
        <v>2067</v>
      </c>
      <c r="I607" s="40">
        <f t="shared" si="197"/>
        <v>2040</v>
      </c>
      <c r="J607" s="40">
        <f t="shared" si="197"/>
        <v>1971</v>
      </c>
      <c r="K607" s="40">
        <f t="shared" si="197"/>
        <v>1977</v>
      </c>
      <c r="L607" s="40">
        <f t="shared" si="197"/>
        <v>2040</v>
      </c>
      <c r="M607" s="40">
        <f t="shared" si="197"/>
        <v>2058</v>
      </c>
      <c r="N607" s="40">
        <f t="shared" si="197"/>
        <v>1992</v>
      </c>
      <c r="O607" s="61"/>
      <c r="P607" s="61"/>
      <c r="Q607" s="62"/>
      <c r="R607" s="62"/>
      <c r="S607" s="139"/>
      <c r="T607" s="5"/>
      <c r="U607" s="140"/>
      <c r="V607" s="173"/>
      <c r="W607" s="11"/>
      <c r="X607" s="118"/>
      <c r="Y607" s="118"/>
      <c r="Z607" s="118"/>
      <c r="AA607" s="118"/>
    </row>
    <row r="608" spans="1:29" x14ac:dyDescent="0.25">
      <c r="A608" s="210">
        <v>43367</v>
      </c>
      <c r="B608" s="218" t="s">
        <v>185</v>
      </c>
      <c r="C608" s="6" t="s">
        <v>173</v>
      </c>
      <c r="D608" s="6" t="s">
        <v>172</v>
      </c>
      <c r="E608" s="61" t="s">
        <v>186</v>
      </c>
      <c r="F608" s="8">
        <v>29309</v>
      </c>
      <c r="G608" s="8">
        <v>29207</v>
      </c>
      <c r="H608" s="8">
        <v>29262</v>
      </c>
      <c r="I608" s="8">
        <v>29195</v>
      </c>
      <c r="J608" s="8">
        <v>29265</v>
      </c>
      <c r="K608" s="110">
        <v>29286</v>
      </c>
      <c r="L608" s="110">
        <v>29233</v>
      </c>
      <c r="M608" s="110">
        <v>29213</v>
      </c>
      <c r="N608" s="110">
        <v>29265</v>
      </c>
      <c r="O608" s="61">
        <f>IF((N609=""),"",MAX(F610:N610))</f>
        <v>4371</v>
      </c>
      <c r="P608" s="61">
        <f>IF(N609="","",MIN(F610:N610))</f>
        <v>3903</v>
      </c>
      <c r="Q608" s="62">
        <f>IF((N610=""),"",AVERAGE(F610:N610))</f>
        <v>4160.333333333333</v>
      </c>
      <c r="R608" s="62">
        <f>IF((N609=""),"",(O608-P608)/(O608+P608)*100)</f>
        <v>5.6562726613488028</v>
      </c>
      <c r="S608" s="139">
        <f>STDEV(F610:N610)</f>
        <v>164.67771555374455</v>
      </c>
      <c r="T608" s="5" t="str">
        <f>IF(N609="","",IF(R608&lt;16,IF(Q608&gt;3200,IF(R608,IF(Q608&lt;5240,"Pass","Fail"),"Fail"),"Fail")))</f>
        <v>Pass</v>
      </c>
      <c r="U608" s="146">
        <v>1340</v>
      </c>
      <c r="V608" s="127"/>
      <c r="W608" s="11"/>
      <c r="X608" s="116">
        <v>4200</v>
      </c>
      <c r="Y608" s="116">
        <v>5500</v>
      </c>
      <c r="Z608" s="116">
        <v>3200</v>
      </c>
      <c r="AA608" s="116">
        <v>5240</v>
      </c>
      <c r="AB608" s="31">
        <v>16</v>
      </c>
      <c r="AC608" s="31">
        <v>16</v>
      </c>
    </row>
    <row r="609" spans="1:29" ht="15.6" x14ac:dyDescent="0.3">
      <c r="A609"/>
      <c r="B609" s="24"/>
      <c r="C609" s="6"/>
      <c r="D609" s="6"/>
      <c r="E609" s="61" t="s">
        <v>187</v>
      </c>
      <c r="F609" s="8">
        <v>27857</v>
      </c>
      <c r="G609" s="8">
        <v>27862</v>
      </c>
      <c r="H609" s="110">
        <v>27907</v>
      </c>
      <c r="I609" s="110">
        <v>27894</v>
      </c>
      <c r="J609" s="110">
        <v>27816</v>
      </c>
      <c r="K609" s="110">
        <v>27901</v>
      </c>
      <c r="L609" s="110">
        <v>27876</v>
      </c>
      <c r="M609" s="110">
        <v>27833</v>
      </c>
      <c r="N609" s="110">
        <v>27808</v>
      </c>
      <c r="O609" s="61"/>
      <c r="P609" s="61"/>
      <c r="Q609" s="62"/>
      <c r="R609" s="62"/>
      <c r="S609" s="139"/>
      <c r="T609" s="5"/>
      <c r="U609" s="140"/>
      <c r="V609" s="173"/>
      <c r="W609" s="11"/>
      <c r="X609" s="118"/>
      <c r="Y609" s="118"/>
      <c r="Z609" s="118"/>
      <c r="AA609" s="118"/>
    </row>
    <row r="610" spans="1:29" ht="23.4" thickBot="1" x14ac:dyDescent="0.35">
      <c r="A610"/>
      <c r="B610" s="63"/>
      <c r="C610" s="64"/>
      <c r="D610" s="64"/>
      <c r="E610" s="65" t="s">
        <v>188</v>
      </c>
      <c r="F610" s="53">
        <f t="shared" ref="F610:N610" si="198">IF(((F608="")*AND(F609="")),"",(F608-F609)*3)</f>
        <v>4356</v>
      </c>
      <c r="G610" s="53">
        <f t="shared" si="198"/>
        <v>4035</v>
      </c>
      <c r="H610" s="53">
        <f t="shared" si="198"/>
        <v>4065</v>
      </c>
      <c r="I610" s="53">
        <f t="shared" si="198"/>
        <v>3903</v>
      </c>
      <c r="J610" s="53">
        <f t="shared" si="198"/>
        <v>4347</v>
      </c>
      <c r="K610" s="53">
        <f t="shared" si="198"/>
        <v>4155</v>
      </c>
      <c r="L610" s="53">
        <f t="shared" si="198"/>
        <v>4071</v>
      </c>
      <c r="M610" s="53">
        <f t="shared" si="198"/>
        <v>4140</v>
      </c>
      <c r="N610" s="53">
        <f t="shared" si="198"/>
        <v>4371</v>
      </c>
      <c r="O610" s="65"/>
      <c r="P610" s="65"/>
      <c r="Q610" s="66"/>
      <c r="R610" s="66"/>
      <c r="S610" s="142"/>
      <c r="T610" s="143"/>
      <c r="U610" s="144"/>
      <c r="V610" s="173"/>
      <c r="W610" s="11"/>
      <c r="X610" s="118"/>
      <c r="Y610" s="118"/>
      <c r="Z610" s="118"/>
      <c r="AA610" s="118"/>
    </row>
    <row r="611" spans="1:29" x14ac:dyDescent="0.25">
      <c r="A611" s="207">
        <v>43370</v>
      </c>
      <c r="B611" s="219" t="s">
        <v>174</v>
      </c>
      <c r="C611" s="39" t="s">
        <v>176</v>
      </c>
      <c r="D611" s="39" t="s">
        <v>175</v>
      </c>
      <c r="E611" s="41" t="s">
        <v>186</v>
      </c>
      <c r="F611" s="111">
        <v>7038.77</v>
      </c>
      <c r="G611" s="111">
        <v>7022.49</v>
      </c>
      <c r="H611" s="111">
        <v>7039.84</v>
      </c>
      <c r="I611" s="111">
        <v>6989.84</v>
      </c>
      <c r="J611" s="111">
        <v>7064.59</v>
      </c>
      <c r="K611" s="111">
        <v>7007.58</v>
      </c>
      <c r="L611" s="111">
        <v>6994.27</v>
      </c>
      <c r="M611" s="111">
        <v>7025.41</v>
      </c>
      <c r="N611" s="111">
        <v>7112.41</v>
      </c>
      <c r="O611" s="41">
        <f>IF((N612=""),"",MAX(F613:N613))</f>
        <v>4018.42</v>
      </c>
      <c r="P611" s="41">
        <f>IF(N612="","",MIN(F613:N613))</f>
        <v>3646.0399999999991</v>
      </c>
      <c r="Q611" s="42">
        <f>IF((N613=""),"",AVERAGE(F613:N613))</f>
        <v>3884.204444444445</v>
      </c>
      <c r="R611" s="42">
        <f>IF((N612=""),"",(O611-P611)/(O611+P611)*100)</f>
        <v>4.8585288461287695</v>
      </c>
      <c r="S611" s="151">
        <f>STDEV(F613:N613)</f>
        <v>133.012666606522</v>
      </c>
      <c r="T611" s="119" t="str">
        <f>IF(N612="","",IF(Q611&gt;3650,IF(R611&lt;7,IF(Q611&lt;4450,"Pass","Fail"),"Fail"),"Fail"))</f>
        <v>Pass</v>
      </c>
      <c r="U611" s="145">
        <v>1340</v>
      </c>
      <c r="V611" s="127"/>
      <c r="W611" s="11"/>
      <c r="X611" s="116">
        <v>3650</v>
      </c>
      <c r="Y611" s="116">
        <v>4450</v>
      </c>
      <c r="Z611" s="116">
        <v>3700</v>
      </c>
      <c r="AA611" s="116">
        <v>4100</v>
      </c>
      <c r="AB611" s="31">
        <v>7</v>
      </c>
      <c r="AC611" s="31">
        <v>6.5</v>
      </c>
    </row>
    <row r="612" spans="1:29" ht="15.6" x14ac:dyDescent="0.3">
      <c r="A612"/>
      <c r="B612" s="24"/>
      <c r="C612" s="6"/>
      <c r="D612" s="6"/>
      <c r="E612" s="61" t="s">
        <v>187</v>
      </c>
      <c r="F612" s="8">
        <v>5153.4799999999996</v>
      </c>
      <c r="G612" s="8">
        <v>5032.51</v>
      </c>
      <c r="H612" s="8">
        <v>5030.63</v>
      </c>
      <c r="I612" s="8">
        <v>5007.49</v>
      </c>
      <c r="J612" s="8">
        <v>5182.5</v>
      </c>
      <c r="K612" s="8">
        <v>5184.5600000000004</v>
      </c>
      <c r="L612" s="8">
        <v>5017.37</v>
      </c>
      <c r="M612" s="8">
        <v>5017.38</v>
      </c>
      <c r="N612" s="8">
        <v>5190.3599999999997</v>
      </c>
      <c r="O612" s="61"/>
      <c r="P612" s="61"/>
      <c r="Q612" s="62"/>
      <c r="R612" s="62"/>
      <c r="S612" s="139"/>
      <c r="T612" s="8"/>
      <c r="U612" s="146"/>
      <c r="V612" s="127"/>
      <c r="W612" s="11"/>
      <c r="X612" s="118"/>
      <c r="Y612" s="118"/>
      <c r="Z612" s="118"/>
      <c r="AA612" s="118"/>
    </row>
    <row r="613" spans="1:29" ht="22.8" x14ac:dyDescent="0.3">
      <c r="A613"/>
      <c r="B613" s="24"/>
      <c r="C613" s="6"/>
      <c r="D613" s="6"/>
      <c r="E613" s="61" t="s">
        <v>188</v>
      </c>
      <c r="F613" s="40">
        <f t="shared" ref="F613:N613" si="199">IF(((F611="")*AND(F612="")),"",(F611-F612)*2)</f>
        <v>3770.5800000000017</v>
      </c>
      <c r="G613" s="40">
        <f t="shared" si="199"/>
        <v>3979.9599999999991</v>
      </c>
      <c r="H613" s="40">
        <f t="shared" si="199"/>
        <v>4018.42</v>
      </c>
      <c r="I613" s="40">
        <f t="shared" si="199"/>
        <v>3964.7000000000007</v>
      </c>
      <c r="J613" s="40">
        <f t="shared" si="199"/>
        <v>3764.1800000000003</v>
      </c>
      <c r="K613" s="40">
        <f t="shared" si="199"/>
        <v>3646.0399999999991</v>
      </c>
      <c r="L613" s="40">
        <f t="shared" si="199"/>
        <v>3953.8000000000011</v>
      </c>
      <c r="M613" s="40">
        <f t="shared" si="199"/>
        <v>4016.0599999999995</v>
      </c>
      <c r="N613" s="40">
        <f t="shared" si="199"/>
        <v>3844.1000000000004</v>
      </c>
      <c r="O613" s="61"/>
      <c r="P613" s="61"/>
      <c r="Q613" s="62"/>
      <c r="R613" s="62"/>
      <c r="S613" s="139"/>
      <c r="T613" s="8"/>
      <c r="U613" s="146"/>
      <c r="V613" s="127"/>
      <c r="W613" s="11"/>
      <c r="X613" s="118"/>
      <c r="Y613" s="118"/>
      <c r="Z613" s="118"/>
      <c r="AA613" s="118"/>
    </row>
    <row r="614" spans="1:29" x14ac:dyDescent="0.25">
      <c r="A614" s="210">
        <v>43370</v>
      </c>
      <c r="B614" s="215" t="s">
        <v>169</v>
      </c>
      <c r="C614" s="6" t="s">
        <v>171</v>
      </c>
      <c r="D614" s="6" t="s">
        <v>189</v>
      </c>
      <c r="E614" s="61" t="s">
        <v>186</v>
      </c>
      <c r="F614" s="8">
        <v>1930.35</v>
      </c>
      <c r="G614" s="8">
        <v>1911.95</v>
      </c>
      <c r="H614" s="8">
        <v>1805.08</v>
      </c>
      <c r="I614" s="8">
        <v>1926.62</v>
      </c>
      <c r="J614" s="8">
        <v>1934.77</v>
      </c>
      <c r="K614" s="8">
        <v>1933.21</v>
      </c>
      <c r="L614" s="8">
        <v>1925.67</v>
      </c>
      <c r="M614" s="8">
        <v>1848.02</v>
      </c>
      <c r="N614" s="8">
        <v>1931.41</v>
      </c>
      <c r="O614" s="61">
        <f>IF((N615=""),"",MAX(F616:N616))</f>
        <v>2074.7999999999997</v>
      </c>
      <c r="P614" s="61">
        <f>IF(N615="","",MIN(F616:N616))</f>
        <v>1753.6499999999999</v>
      </c>
      <c r="Q614" s="62">
        <f>IF((N616=""),"",AVERAGE(F616:N616))</f>
        <v>1969.7933333333333</v>
      </c>
      <c r="R614" s="62">
        <f>IF((N615=""),"",(O614-P614)/(O614+P614)*100)</f>
        <v>8.3885123222191709</v>
      </c>
      <c r="S614" s="139">
        <f>STDEV(F616:N616)</f>
        <v>104.11026474368421</v>
      </c>
      <c r="T614" s="5" t="str">
        <f>IF(N615="","",IF(Q614&gt;1940,IF(R614&lt;8.3,IF(Q614&lt;2180,"Pass","Fail"),"Fail"),"Fail"))</f>
        <v>Fail</v>
      </c>
      <c r="U614" s="146">
        <v>1340</v>
      </c>
      <c r="V614" s="127"/>
      <c r="W614" s="11"/>
      <c r="X614" s="116">
        <v>2000</v>
      </c>
      <c r="Y614" s="116">
        <v>3000</v>
      </c>
      <c r="Z614" s="116">
        <v>1940</v>
      </c>
      <c r="AA614" s="116">
        <v>2180</v>
      </c>
      <c r="AB614" s="31">
        <v>5.2</v>
      </c>
      <c r="AC614" s="31">
        <v>5.2</v>
      </c>
    </row>
    <row r="615" spans="1:29" ht="15.6" x14ac:dyDescent="0.3">
      <c r="A615"/>
      <c r="B615" s="24"/>
      <c r="C615" s="6"/>
      <c r="D615" s="6"/>
      <c r="E615" s="61" t="s">
        <v>187</v>
      </c>
      <c r="F615" s="8">
        <v>1267.69</v>
      </c>
      <c r="G615" s="8">
        <v>1240.8599999999999</v>
      </c>
      <c r="H615" s="8">
        <v>1220.53</v>
      </c>
      <c r="I615" s="8">
        <v>1235.02</v>
      </c>
      <c r="J615" s="8">
        <v>1268.1300000000001</v>
      </c>
      <c r="K615" s="8">
        <v>1268.27</v>
      </c>
      <c r="L615" s="8">
        <v>1236.25</v>
      </c>
      <c r="M615" s="8">
        <v>1232.46</v>
      </c>
      <c r="N615" s="8">
        <v>1268.49</v>
      </c>
      <c r="O615" s="61"/>
      <c r="P615" s="61"/>
      <c r="Q615" s="62"/>
      <c r="R615" s="62"/>
      <c r="S615" s="139"/>
      <c r="T615" s="5"/>
      <c r="U615" s="140"/>
      <c r="V615" s="173"/>
      <c r="W615" s="11"/>
      <c r="X615" s="118"/>
      <c r="Y615" s="118"/>
      <c r="Z615" s="118"/>
      <c r="AA615" s="118"/>
    </row>
    <row r="616" spans="1:29" ht="15.6" x14ac:dyDescent="0.3">
      <c r="A616"/>
      <c r="B616" s="24"/>
      <c r="C616" s="6"/>
      <c r="D616" s="6"/>
      <c r="E616" s="61" t="s">
        <v>190</v>
      </c>
      <c r="F616" s="40">
        <f t="shared" ref="F616:N616" si="200">IF(((F614="")*AND(F615="")),"",(F614-F615)*3)</f>
        <v>1987.9799999999996</v>
      </c>
      <c r="G616" s="40">
        <f t="shared" si="200"/>
        <v>2013.2700000000004</v>
      </c>
      <c r="H616" s="40">
        <f t="shared" si="200"/>
        <v>1753.6499999999999</v>
      </c>
      <c r="I616" s="40">
        <f t="shared" si="200"/>
        <v>2074.7999999999997</v>
      </c>
      <c r="J616" s="40">
        <f t="shared" si="200"/>
        <v>1999.9199999999996</v>
      </c>
      <c r="K616" s="40">
        <f t="shared" si="200"/>
        <v>1994.8200000000002</v>
      </c>
      <c r="L616" s="40">
        <f t="shared" si="200"/>
        <v>2068.2600000000002</v>
      </c>
      <c r="M616" s="40">
        <f t="shared" si="200"/>
        <v>1846.6799999999998</v>
      </c>
      <c r="N616" s="40">
        <f t="shared" si="200"/>
        <v>1988.7600000000002</v>
      </c>
      <c r="O616" s="61"/>
      <c r="P616" s="61"/>
      <c r="Q616" s="62"/>
      <c r="R616" s="62"/>
      <c r="S616" s="139"/>
      <c r="T616" s="5"/>
      <c r="U616" s="140"/>
      <c r="V616" s="173"/>
      <c r="W616" s="11"/>
      <c r="X616" s="118"/>
      <c r="Y616" s="118"/>
      <c r="Z616" s="118"/>
      <c r="AA616" s="118"/>
    </row>
    <row r="617" spans="1:29" x14ac:dyDescent="0.25">
      <c r="A617" s="210">
        <v>43370</v>
      </c>
      <c r="B617" s="218" t="s">
        <v>185</v>
      </c>
      <c r="C617" s="6" t="s">
        <v>173</v>
      </c>
      <c r="D617" s="6" t="s">
        <v>172</v>
      </c>
      <c r="E617" s="61" t="s">
        <v>186</v>
      </c>
      <c r="F617" s="8">
        <v>29199.49</v>
      </c>
      <c r="G617" s="8">
        <v>29114.2</v>
      </c>
      <c r="H617" s="8">
        <v>29101.98</v>
      </c>
      <c r="I617" s="8">
        <v>29086.39</v>
      </c>
      <c r="J617" s="8">
        <v>29159.46</v>
      </c>
      <c r="K617" s="8">
        <v>29175.48</v>
      </c>
      <c r="L617" s="8">
        <v>29075.57</v>
      </c>
      <c r="M617" s="8">
        <v>29095.57</v>
      </c>
      <c r="N617" s="8">
        <v>29178.09</v>
      </c>
      <c r="O617" s="61">
        <f>IF((N618=""),"",MAX(F619:N619))</f>
        <v>4066.8300000000017</v>
      </c>
      <c r="P617" s="61">
        <f>IF(N618="","",MIN(F619:N619))</f>
        <v>3769.1400000000031</v>
      </c>
      <c r="Q617" s="62">
        <f>IF((N619=""),"",AVERAGE(F619:N619))</f>
        <v>3896.6966666666681</v>
      </c>
      <c r="R617" s="62">
        <f>IF((N618=""),"",(O617-P617)/(O617+P617)*100)</f>
        <v>3.799019138664371</v>
      </c>
      <c r="S617" s="139">
        <f>STDEV(F619:N619)</f>
        <v>115.05259069225714</v>
      </c>
      <c r="T617" s="5" t="str">
        <f>IF(N618="","",IF(R617&lt;16,IF(Q617&gt;3200,IF(R617,IF(Q617&lt;5240,"Pass","Fail"),"Fail"),"Fail")))</f>
        <v>Pass</v>
      </c>
      <c r="U617" s="146">
        <v>1340</v>
      </c>
      <c r="V617" s="127"/>
      <c r="W617" s="11"/>
      <c r="X617" s="116">
        <v>4200</v>
      </c>
      <c r="Y617" s="116">
        <v>5500</v>
      </c>
      <c r="Z617" s="116">
        <v>3200</v>
      </c>
      <c r="AA617" s="116">
        <v>5240</v>
      </c>
      <c r="AB617" s="31">
        <v>16</v>
      </c>
      <c r="AC617" s="31">
        <v>16</v>
      </c>
    </row>
    <row r="618" spans="1:29" ht="15.6" x14ac:dyDescent="0.3">
      <c r="A618"/>
      <c r="B618" s="24"/>
      <c r="C618" s="6"/>
      <c r="D618" s="6"/>
      <c r="E618" s="61" t="s">
        <v>187</v>
      </c>
      <c r="F618" s="8">
        <v>27843.88</v>
      </c>
      <c r="G618" s="8">
        <v>27827.56</v>
      </c>
      <c r="H618" s="8">
        <v>27837.26</v>
      </c>
      <c r="I618" s="8">
        <v>27830.01</v>
      </c>
      <c r="J618" s="8">
        <v>27840.36</v>
      </c>
      <c r="K618" s="8">
        <v>27860.51</v>
      </c>
      <c r="L618" s="8">
        <v>27813.43</v>
      </c>
      <c r="M618" s="8">
        <v>27818.19</v>
      </c>
      <c r="N618" s="8">
        <v>27824.94</v>
      </c>
      <c r="O618" s="61"/>
      <c r="P618" s="61"/>
      <c r="Q618" s="62"/>
      <c r="R618" s="62"/>
      <c r="S618" s="139"/>
      <c r="T618" s="5"/>
      <c r="U618" s="140"/>
      <c r="V618" s="173"/>
      <c r="W618" s="11"/>
      <c r="X618" s="118"/>
      <c r="Y618" s="118"/>
      <c r="Z618" s="118"/>
      <c r="AA618" s="118"/>
    </row>
    <row r="619" spans="1:29" ht="22.8" x14ac:dyDescent="0.3">
      <c r="A619"/>
      <c r="B619" s="24"/>
      <c r="C619" s="6"/>
      <c r="D619" s="6"/>
      <c r="E619" s="61" t="s">
        <v>188</v>
      </c>
      <c r="F619" s="40">
        <f t="shared" ref="F619:N619" si="201">IF(((F617="")*AND(F618="")),"",(F617-F618)*3)</f>
        <v>4066.8300000000017</v>
      </c>
      <c r="G619" s="40">
        <f t="shared" si="201"/>
        <v>3859.9199999999983</v>
      </c>
      <c r="H619" s="40">
        <f t="shared" si="201"/>
        <v>3794.1600000000035</v>
      </c>
      <c r="I619" s="40">
        <f t="shared" si="201"/>
        <v>3769.1400000000031</v>
      </c>
      <c r="J619" s="40">
        <f t="shared" si="201"/>
        <v>3957.2999999999956</v>
      </c>
      <c r="K619" s="40">
        <f t="shared" si="201"/>
        <v>3944.9100000000035</v>
      </c>
      <c r="L619" s="40">
        <f t="shared" si="201"/>
        <v>3786.4199999999983</v>
      </c>
      <c r="M619" s="40">
        <f t="shared" si="201"/>
        <v>3832.1400000000031</v>
      </c>
      <c r="N619" s="40">
        <f t="shared" si="201"/>
        <v>4059.4500000000044</v>
      </c>
      <c r="O619" s="61"/>
      <c r="P619" s="61"/>
      <c r="Q619" s="62"/>
      <c r="R619" s="62"/>
      <c r="S619" s="139"/>
      <c r="T619" s="5"/>
      <c r="U619" s="140"/>
      <c r="V619" s="173"/>
      <c r="W619" s="11"/>
      <c r="X619" s="118"/>
      <c r="Y619" s="118"/>
      <c r="Z619" s="118"/>
      <c r="AA619" s="118"/>
    </row>
    <row r="620" spans="1:29" x14ac:dyDescent="0.25">
      <c r="A620" s="210">
        <v>43370</v>
      </c>
      <c r="B620" s="215" t="s">
        <v>169</v>
      </c>
      <c r="C620" s="6" t="s">
        <v>171</v>
      </c>
      <c r="D620" s="6" t="s">
        <v>189</v>
      </c>
      <c r="E620" s="61" t="s">
        <v>186</v>
      </c>
      <c r="F620" s="8">
        <v>1937.06</v>
      </c>
      <c r="G620" s="8">
        <v>1940.34</v>
      </c>
      <c r="H620" s="8">
        <v>1940.59</v>
      </c>
      <c r="I620" s="8">
        <v>1943.06</v>
      </c>
      <c r="J620" s="8">
        <v>1939.36</v>
      </c>
      <c r="K620" s="8">
        <v>1941.98</v>
      </c>
      <c r="L620" s="8">
        <v>1941.16</v>
      </c>
      <c r="M620" s="8">
        <v>1941.57</v>
      </c>
      <c r="N620" s="8">
        <v>1944.29</v>
      </c>
      <c r="O620" s="61">
        <f>IF((N621=""),"",MAX(F622:N622))</f>
        <v>2100.66</v>
      </c>
      <c r="P620" s="61">
        <f>IF(N621="","",MIN(F622:N622))</f>
        <v>2027.19</v>
      </c>
      <c r="Q620" s="62">
        <f>IF((N622=""),"",AVERAGE(F622:N622))</f>
        <v>2063.6</v>
      </c>
      <c r="R620" s="62">
        <f>IF((N621=""),"",(O620-P620)/(O620+P620)*100)</f>
        <v>1.7798611868163765</v>
      </c>
      <c r="S620" s="139">
        <f>STDEV(F622:N622)</f>
        <v>24.058386791304159</v>
      </c>
      <c r="T620" s="5" t="str">
        <f>IF(N621="","",IF(Q620&gt;1940,IF(R620&lt;8.3,IF(Q620&lt;2180,"Pass","Fail"),"Fail"),"Fail"))</f>
        <v>Pass</v>
      </c>
      <c r="U620" s="146">
        <v>1340</v>
      </c>
      <c r="V620" s="127"/>
      <c r="W620" s="11"/>
      <c r="X620" s="116">
        <v>2000</v>
      </c>
      <c r="Y620" s="116">
        <v>3000</v>
      </c>
      <c r="Z620" s="116">
        <v>1940</v>
      </c>
      <c r="AA620" s="116">
        <v>2180</v>
      </c>
      <c r="AB620" s="31">
        <v>5.2</v>
      </c>
      <c r="AC620" s="31">
        <v>5.2</v>
      </c>
    </row>
    <row r="621" spans="1:29" ht="15.6" x14ac:dyDescent="0.3">
      <c r="A621"/>
      <c r="B621" s="24"/>
      <c r="C621" s="6"/>
      <c r="D621" s="6"/>
      <c r="E621" s="61" t="s">
        <v>187</v>
      </c>
      <c r="F621" s="8">
        <v>1244.27</v>
      </c>
      <c r="G621" s="8">
        <v>1260.54</v>
      </c>
      <c r="H621" s="8">
        <v>1257</v>
      </c>
      <c r="I621" s="8">
        <v>1258.33</v>
      </c>
      <c r="J621" s="8">
        <v>1243.01</v>
      </c>
      <c r="K621" s="8">
        <v>1249.76</v>
      </c>
      <c r="L621" s="8">
        <v>1265.43</v>
      </c>
      <c r="M621" s="8">
        <v>1256.2</v>
      </c>
      <c r="N621" s="8">
        <v>1244.07</v>
      </c>
      <c r="O621" s="61"/>
      <c r="P621" s="61"/>
      <c r="Q621" s="62"/>
      <c r="R621" s="62"/>
      <c r="S621" s="139"/>
      <c r="T621" s="5"/>
      <c r="U621" s="140"/>
      <c r="V621" s="173"/>
      <c r="W621" s="11"/>
      <c r="X621" s="116">
        <v>2000</v>
      </c>
      <c r="Y621" s="116">
        <v>3000</v>
      </c>
      <c r="Z621" s="116">
        <v>1940</v>
      </c>
      <c r="AA621" s="116">
        <v>2180</v>
      </c>
      <c r="AB621" s="31">
        <v>5.2</v>
      </c>
      <c r="AC621" s="31">
        <v>5.2</v>
      </c>
    </row>
    <row r="622" spans="1:29" ht="16.2" thickBot="1" x14ac:dyDescent="0.35">
      <c r="A622"/>
      <c r="B622" s="63"/>
      <c r="C622" s="64"/>
      <c r="D622" s="64"/>
      <c r="E622" s="65" t="s">
        <v>190</v>
      </c>
      <c r="F622" s="53">
        <f t="shared" ref="F622:N622" si="202">IF(((F620="")*AND(F621="")),"",(F620-F621)*3)</f>
        <v>2078.37</v>
      </c>
      <c r="G622" s="53">
        <f t="shared" si="202"/>
        <v>2039.3999999999999</v>
      </c>
      <c r="H622" s="53">
        <f t="shared" si="202"/>
        <v>2050.7699999999995</v>
      </c>
      <c r="I622" s="53">
        <f t="shared" si="202"/>
        <v>2054.19</v>
      </c>
      <c r="J622" s="53">
        <f t="shared" si="202"/>
        <v>2089.0499999999997</v>
      </c>
      <c r="K622" s="53">
        <f t="shared" si="202"/>
        <v>2076.66</v>
      </c>
      <c r="L622" s="53">
        <f t="shared" si="202"/>
        <v>2027.19</v>
      </c>
      <c r="M622" s="53">
        <f t="shared" si="202"/>
        <v>2056.1099999999997</v>
      </c>
      <c r="N622" s="53">
        <f t="shared" si="202"/>
        <v>2100.66</v>
      </c>
      <c r="O622" s="65"/>
      <c r="P622" s="65"/>
      <c r="Q622" s="66"/>
      <c r="R622" s="66"/>
      <c r="S622" s="142"/>
      <c r="T622" s="143"/>
      <c r="U622" s="144"/>
      <c r="V622" s="173"/>
      <c r="W622" s="11"/>
      <c r="X622" s="116">
        <v>2000</v>
      </c>
      <c r="Y622" s="116">
        <v>3000</v>
      </c>
      <c r="Z622" s="116">
        <v>1940</v>
      </c>
      <c r="AA622" s="116">
        <v>2180</v>
      </c>
      <c r="AB622" s="31">
        <v>5.2</v>
      </c>
      <c r="AC622" s="31">
        <v>5.2</v>
      </c>
    </row>
    <row r="623" spans="1:29" x14ac:dyDescent="0.25">
      <c r="A623" s="207">
        <v>43373</v>
      </c>
      <c r="B623" s="219" t="s">
        <v>185</v>
      </c>
      <c r="C623" s="39" t="s">
        <v>173</v>
      </c>
      <c r="D623" s="39" t="s">
        <v>172</v>
      </c>
      <c r="E623" s="41" t="s">
        <v>186</v>
      </c>
      <c r="F623" s="111">
        <v>29024.61</v>
      </c>
      <c r="G623" s="111">
        <v>28925.61</v>
      </c>
      <c r="H623" s="111">
        <v>28923.37</v>
      </c>
      <c r="I623" s="111">
        <v>28920.82</v>
      </c>
      <c r="J623" s="111">
        <v>29016.75</v>
      </c>
      <c r="K623" s="111">
        <v>29022.91</v>
      </c>
      <c r="L623" s="111">
        <v>28920.71</v>
      </c>
      <c r="M623" s="111">
        <v>28918.58</v>
      </c>
      <c r="N623" s="111">
        <v>29009.11</v>
      </c>
      <c r="O623" s="41">
        <f>IF((N624=""),"",MAX(F625:N625))</f>
        <v>4173.2400000000052</v>
      </c>
      <c r="P623" s="41">
        <f>IF(N624="","",MIN(F625:N625))</f>
        <v>3818.25</v>
      </c>
      <c r="Q623" s="42">
        <f>IF((N625=""),"",AVERAGE(F625:N625))</f>
        <v>4002.006666666668</v>
      </c>
      <c r="R623" s="42">
        <f>IF((N624=""),"",(O623-P623)/(O623+P623)*100)</f>
        <v>4.4421002841773563</v>
      </c>
      <c r="S623" s="151">
        <f>STDEV(F625:N625)</f>
        <v>151.9368117014447</v>
      </c>
      <c r="T623" s="119" t="str">
        <f>IF(N624="","",IF(R623&lt;16,IF(Q623&gt;3200,IF(R623,IF(Q623&lt;5240,"Pass","Fail"),"Fail"),"Fail")))</f>
        <v>Pass</v>
      </c>
      <c r="U623" s="145">
        <v>74</v>
      </c>
      <c r="V623" s="127"/>
      <c r="W623" s="11"/>
      <c r="X623" s="116">
        <v>4200</v>
      </c>
      <c r="Y623" s="116">
        <v>5500</v>
      </c>
      <c r="Z623" s="116">
        <v>3200</v>
      </c>
      <c r="AA623" s="116">
        <v>5240</v>
      </c>
      <c r="AB623" s="31">
        <v>16</v>
      </c>
      <c r="AC623" s="31">
        <v>16</v>
      </c>
    </row>
    <row r="624" spans="1:29" ht="15.6" x14ac:dyDescent="0.3">
      <c r="A624"/>
      <c r="B624" s="24"/>
      <c r="C624" s="6"/>
      <c r="D624" s="6"/>
      <c r="E624" s="61" t="s">
        <v>187</v>
      </c>
      <c r="F624" s="8">
        <v>27638.12</v>
      </c>
      <c r="G624" s="8">
        <v>27626.74</v>
      </c>
      <c r="H624" s="8">
        <v>27650.62</v>
      </c>
      <c r="I624" s="8">
        <v>27632.92</v>
      </c>
      <c r="J624" s="8">
        <v>27632.49</v>
      </c>
      <c r="K624" s="8">
        <v>27638.35</v>
      </c>
      <c r="L624" s="8">
        <v>27618.57</v>
      </c>
      <c r="M624" s="8">
        <v>27620.61</v>
      </c>
      <c r="N624" s="8">
        <v>27618.03</v>
      </c>
      <c r="O624" s="61"/>
      <c r="P624" s="61"/>
      <c r="Q624" s="62"/>
      <c r="R624" s="62"/>
      <c r="S624" s="139"/>
      <c r="T624" s="5"/>
      <c r="U624" s="140"/>
      <c r="V624" s="173"/>
      <c r="W624" s="11"/>
      <c r="X624" s="118"/>
      <c r="Y624" s="118"/>
      <c r="Z624" s="118"/>
      <c r="AA624" s="118"/>
    </row>
    <row r="625" spans="1:29" ht="22.8" x14ac:dyDescent="0.3">
      <c r="A625"/>
      <c r="B625" s="24"/>
      <c r="C625" s="6"/>
      <c r="D625" s="6"/>
      <c r="E625" s="61" t="s">
        <v>188</v>
      </c>
      <c r="F625" s="40">
        <f t="shared" ref="F625:N625" si="203">IF(((F623="")*AND(F624="")),"",(F623-F624)*3)</f>
        <v>4159.4700000000048</v>
      </c>
      <c r="G625" s="40">
        <f t="shared" si="203"/>
        <v>3896.6099999999969</v>
      </c>
      <c r="H625" s="40">
        <f t="shared" si="203"/>
        <v>3818.25</v>
      </c>
      <c r="I625" s="40">
        <f t="shared" si="203"/>
        <v>3863.7000000000044</v>
      </c>
      <c r="J625" s="40">
        <f t="shared" si="203"/>
        <v>4152.7799999999952</v>
      </c>
      <c r="K625" s="40">
        <f t="shared" si="203"/>
        <v>4153.6800000000039</v>
      </c>
      <c r="L625" s="40">
        <f t="shared" si="203"/>
        <v>3906.4199999999983</v>
      </c>
      <c r="M625" s="40">
        <f t="shared" si="203"/>
        <v>3893.9100000000035</v>
      </c>
      <c r="N625" s="40">
        <f t="shared" si="203"/>
        <v>4173.2400000000052</v>
      </c>
      <c r="O625" s="61"/>
      <c r="P625" s="61"/>
      <c r="Q625" s="62"/>
      <c r="R625" s="62"/>
      <c r="S625" s="139"/>
      <c r="T625" s="5"/>
      <c r="U625" s="140"/>
      <c r="V625" s="173"/>
      <c r="W625" s="11"/>
      <c r="X625" s="118"/>
      <c r="Y625" s="118"/>
      <c r="Z625" s="118"/>
      <c r="AA625" s="118"/>
    </row>
    <row r="626" spans="1:29" x14ac:dyDescent="0.25">
      <c r="A626" s="210">
        <v>43373</v>
      </c>
      <c r="B626" s="215" t="s">
        <v>169</v>
      </c>
      <c r="C626" s="6" t="s">
        <v>171</v>
      </c>
      <c r="D626" s="6" t="s">
        <v>189</v>
      </c>
      <c r="E626" s="61" t="s">
        <v>186</v>
      </c>
      <c r="F626" s="8">
        <v>1777.19</v>
      </c>
      <c r="G626" s="8">
        <v>1837.55</v>
      </c>
      <c r="H626" s="8">
        <v>1832.47</v>
      </c>
      <c r="I626" s="8">
        <v>1834.16</v>
      </c>
      <c r="J626" s="8">
        <v>1825.81</v>
      </c>
      <c r="K626" s="8">
        <v>1789.3</v>
      </c>
      <c r="L626" s="8">
        <v>1840.66</v>
      </c>
      <c r="M626" s="8">
        <v>1862.26</v>
      </c>
      <c r="N626" s="8">
        <v>1814.08</v>
      </c>
      <c r="O626" s="61">
        <f>IF((N627=""),"",MAX(F628:N628))</f>
        <v>1951.2900000000002</v>
      </c>
      <c r="P626" s="61">
        <f>IF(N627="","",MIN(F628:N628))</f>
        <v>1629.3900000000003</v>
      </c>
      <c r="Q626" s="62">
        <f>IF((N628=""),"",AVERAGE(F628:N628))</f>
        <v>1804.1600000000003</v>
      </c>
      <c r="R626" s="62">
        <f>IF((N627=""),"",(O626-P626)/(O626+P626)*100)</f>
        <v>8.9899125305807797</v>
      </c>
      <c r="S626" s="139">
        <f>STDEV(F628:N628)</f>
        <v>108.48144150037842</v>
      </c>
      <c r="T626" s="5" t="str">
        <f>IF(N627="","",IF(Q626&gt;1940,IF(R626&lt;8.3,IF(Q626&lt;2180,"Pass","Fail"),"Fail"),"Fail"))</f>
        <v>Fail</v>
      </c>
      <c r="U626" s="146">
        <v>74</v>
      </c>
      <c r="V626" s="127"/>
      <c r="W626" s="11"/>
      <c r="X626" s="116">
        <v>2000</v>
      </c>
      <c r="Y626" s="116">
        <v>3000</v>
      </c>
      <c r="Z626" s="116">
        <v>1940</v>
      </c>
      <c r="AA626" s="116">
        <v>2180</v>
      </c>
      <c r="AB626" s="31">
        <v>5.2</v>
      </c>
      <c r="AC626" s="31">
        <v>5.2</v>
      </c>
    </row>
    <row r="627" spans="1:29" ht="15.6" x14ac:dyDescent="0.3">
      <c r="A627"/>
      <c r="B627" s="24"/>
      <c r="C627" s="6"/>
      <c r="D627" s="6"/>
      <c r="E627" s="61" t="s">
        <v>187</v>
      </c>
      <c r="F627" s="8">
        <v>1234.06</v>
      </c>
      <c r="G627" s="8">
        <v>1211.5999999999999</v>
      </c>
      <c r="H627" s="8">
        <v>1208.3599999999999</v>
      </c>
      <c r="I627" s="8">
        <v>1211.21</v>
      </c>
      <c r="J627" s="8">
        <v>1243.2</v>
      </c>
      <c r="K627" s="8">
        <v>1235.43</v>
      </c>
      <c r="L627" s="8">
        <v>1221.04</v>
      </c>
      <c r="M627" s="8">
        <v>1211.83</v>
      </c>
      <c r="N627" s="8">
        <v>1224.27</v>
      </c>
      <c r="O627" s="61"/>
      <c r="P627" s="61"/>
      <c r="Q627" s="62"/>
      <c r="R627" s="62"/>
      <c r="S627" s="139"/>
      <c r="T627" s="5"/>
      <c r="U627" s="140"/>
      <c r="V627" s="173"/>
      <c r="W627" s="11"/>
      <c r="X627" s="118"/>
      <c r="Y627" s="118"/>
      <c r="Z627" s="118"/>
      <c r="AA627" s="118"/>
    </row>
    <row r="628" spans="1:29" ht="15.6" x14ac:dyDescent="0.3">
      <c r="A628"/>
      <c r="B628" s="24"/>
      <c r="C628" s="6"/>
      <c r="D628" s="6"/>
      <c r="E628" s="61" t="s">
        <v>190</v>
      </c>
      <c r="F628" s="40">
        <f t="shared" ref="F628:N628" si="204">IF(((F626="")*AND(F627="")),"",(F626-F627)*3)</f>
        <v>1629.3900000000003</v>
      </c>
      <c r="G628" s="40">
        <f t="shared" si="204"/>
        <v>1877.8500000000001</v>
      </c>
      <c r="H628" s="40">
        <f t="shared" si="204"/>
        <v>1872.3300000000004</v>
      </c>
      <c r="I628" s="40">
        <f t="shared" si="204"/>
        <v>1868.8500000000001</v>
      </c>
      <c r="J628" s="40">
        <f t="shared" si="204"/>
        <v>1747.8299999999997</v>
      </c>
      <c r="K628" s="40">
        <f t="shared" si="204"/>
        <v>1661.6099999999997</v>
      </c>
      <c r="L628" s="40">
        <f t="shared" si="204"/>
        <v>1858.8600000000004</v>
      </c>
      <c r="M628" s="40">
        <f t="shared" si="204"/>
        <v>1951.2900000000002</v>
      </c>
      <c r="N628" s="40">
        <f t="shared" si="204"/>
        <v>1769.4299999999998</v>
      </c>
      <c r="O628" s="61"/>
      <c r="P628" s="61"/>
      <c r="Q628" s="62"/>
      <c r="R628" s="62"/>
      <c r="S628" s="139"/>
      <c r="T628" s="5"/>
      <c r="U628" s="140"/>
      <c r="V628" s="173"/>
      <c r="W628" s="11"/>
      <c r="X628" s="118"/>
      <c r="Y628" s="118"/>
      <c r="Z628" s="118"/>
      <c r="AA628" s="118"/>
    </row>
    <row r="629" spans="1:29" x14ac:dyDescent="0.25">
      <c r="A629" s="211">
        <v>43373</v>
      </c>
      <c r="B629" s="218" t="s">
        <v>174</v>
      </c>
      <c r="C629" s="6" t="s">
        <v>176</v>
      </c>
      <c r="D629" s="6" t="s">
        <v>175</v>
      </c>
      <c r="E629" s="61" t="s">
        <v>186</v>
      </c>
      <c r="F629" s="8">
        <v>5158.79</v>
      </c>
      <c r="G629" s="8">
        <v>5037.1400000000003</v>
      </c>
      <c r="H629" s="8">
        <v>5035.55</v>
      </c>
      <c r="I629" s="8">
        <v>5012.3999999999996</v>
      </c>
      <c r="J629" s="8">
        <v>5188.3999999999996</v>
      </c>
      <c r="K629" s="8">
        <v>5189.87</v>
      </c>
      <c r="L629" s="8">
        <v>5021.9799999999996</v>
      </c>
      <c r="M629" s="8">
        <v>5022.17</v>
      </c>
      <c r="N629" s="8">
        <v>5195.3100000000004</v>
      </c>
      <c r="O629" s="61">
        <f>IF((N630=""),"",MAX(F631:N631))</f>
        <v>4080.1400000000003</v>
      </c>
      <c r="P629" s="61">
        <f>IF(N630="","",MIN(F631:N631))</f>
        <v>3706.26</v>
      </c>
      <c r="Q629" s="62">
        <f>IF((N631=""),"",AVERAGE(F631:N631))</f>
        <v>3949.4666666666662</v>
      </c>
      <c r="R629" s="62">
        <f>IF((N630=""),"",(O629-P629)/(O629+P629)*100)</f>
        <v>4.8017055378608866</v>
      </c>
      <c r="S629" s="139">
        <f>STDEV(F631:N631)</f>
        <v>131.64858031896881</v>
      </c>
      <c r="T629" s="5" t="str">
        <f>IF(N630="","",IF(Q629&gt;3650,IF(R629&lt;7,IF(Q629&lt;4450,"Pass","Fail"),"Fail"),"Fail"))</f>
        <v>Pass</v>
      </c>
      <c r="U629" s="146">
        <v>74</v>
      </c>
      <c r="V629" s="127"/>
      <c r="W629" s="11"/>
      <c r="X629" s="116">
        <v>3650</v>
      </c>
      <c r="Y629" s="116">
        <v>4450</v>
      </c>
      <c r="Z629" s="116">
        <v>3700</v>
      </c>
      <c r="AA629" s="116">
        <v>4100</v>
      </c>
      <c r="AB629" s="31">
        <v>7</v>
      </c>
      <c r="AC629" s="31">
        <v>6.5</v>
      </c>
    </row>
    <row r="630" spans="1:29" ht="15.6" x14ac:dyDescent="0.3">
      <c r="A630"/>
      <c r="B630" s="24"/>
      <c r="C630" s="6"/>
      <c r="D630" s="6"/>
      <c r="E630" s="61" t="s">
        <v>187</v>
      </c>
      <c r="F630" s="8">
        <v>3237.5</v>
      </c>
      <c r="G630" s="8">
        <v>3017.36</v>
      </c>
      <c r="H630" s="8">
        <v>2995.48</v>
      </c>
      <c r="I630" s="8">
        <v>2996.44</v>
      </c>
      <c r="J630" s="8">
        <v>3271.47</v>
      </c>
      <c r="K630" s="8">
        <v>3336.74</v>
      </c>
      <c r="L630" s="8">
        <v>3012.48</v>
      </c>
      <c r="M630" s="8">
        <v>2983.02</v>
      </c>
      <c r="N630" s="8">
        <v>3238.52</v>
      </c>
      <c r="O630" s="61"/>
      <c r="P630" s="61"/>
      <c r="Q630" s="62"/>
      <c r="R630" s="62"/>
      <c r="S630" s="139"/>
      <c r="T630" s="8"/>
      <c r="U630" s="146"/>
      <c r="V630" s="127"/>
      <c r="W630" s="11"/>
      <c r="X630" s="118"/>
      <c r="Y630" s="118"/>
      <c r="Z630" s="118"/>
      <c r="AA630" s="118"/>
    </row>
    <row r="631" spans="1:29" ht="23.4" thickBot="1" x14ac:dyDescent="0.35">
      <c r="A631"/>
      <c r="B631" s="63"/>
      <c r="C631" s="64"/>
      <c r="D631" s="64"/>
      <c r="E631" s="65" t="s">
        <v>188</v>
      </c>
      <c r="F631" s="53">
        <f t="shared" ref="F631:N631" si="205">IF(((F629="")*AND(F630="")),"",(F629-F630)*2)</f>
        <v>3842.58</v>
      </c>
      <c r="G631" s="53">
        <f t="shared" si="205"/>
        <v>4039.5600000000004</v>
      </c>
      <c r="H631" s="53">
        <f t="shared" si="205"/>
        <v>4080.1400000000003</v>
      </c>
      <c r="I631" s="53">
        <f t="shared" si="205"/>
        <v>4031.9199999999992</v>
      </c>
      <c r="J631" s="53">
        <f t="shared" si="205"/>
        <v>3833.8599999999997</v>
      </c>
      <c r="K631" s="53">
        <f t="shared" si="205"/>
        <v>3706.26</v>
      </c>
      <c r="L631" s="53">
        <f t="shared" si="205"/>
        <v>4018.9999999999991</v>
      </c>
      <c r="M631" s="53">
        <f t="shared" si="205"/>
        <v>4078.3</v>
      </c>
      <c r="N631" s="53">
        <f t="shared" si="205"/>
        <v>3913.5800000000008</v>
      </c>
      <c r="O631" s="65"/>
      <c r="P631" s="65"/>
      <c r="Q631" s="66"/>
      <c r="R631" s="66"/>
      <c r="S631" s="142"/>
      <c r="T631" s="152"/>
      <c r="U631" s="153"/>
      <c r="V631" s="127"/>
      <c r="W631" s="11"/>
      <c r="X631" s="118"/>
      <c r="Y631" s="118"/>
      <c r="Z631" s="118"/>
      <c r="AA631" s="118"/>
    </row>
    <row r="632" spans="1:29" x14ac:dyDescent="0.25">
      <c r="A632" s="209">
        <v>43377</v>
      </c>
      <c r="B632" s="217" t="s">
        <v>185</v>
      </c>
      <c r="C632" s="44" t="s">
        <v>173</v>
      </c>
      <c r="D632" s="44" t="s">
        <v>172</v>
      </c>
      <c r="E632" s="59" t="s">
        <v>186</v>
      </c>
      <c r="F632" s="11">
        <v>27638.12</v>
      </c>
      <c r="G632" s="11">
        <v>27626.74</v>
      </c>
      <c r="H632" s="11">
        <v>27650.62</v>
      </c>
      <c r="I632" s="11">
        <v>27632.92</v>
      </c>
      <c r="J632" s="11">
        <v>27632.49</v>
      </c>
      <c r="K632" s="11">
        <v>27638.35</v>
      </c>
      <c r="L632" s="11">
        <v>27618.57</v>
      </c>
      <c r="M632" s="11">
        <v>27620.61</v>
      </c>
      <c r="N632" s="11">
        <v>27618.03</v>
      </c>
      <c r="O632" s="59">
        <f>IF((N633=""),"",MAX(F634:N634))</f>
        <v>4733.8799999999974</v>
      </c>
      <c r="P632" s="59">
        <f>IF(N633="","",MIN(F634:N634))</f>
        <v>4252.8300000000017</v>
      </c>
      <c r="Q632" s="60">
        <f>IF((N634=""),"",AVERAGE(F634:N634))</f>
        <v>4433.0766666666659</v>
      </c>
      <c r="R632" s="60">
        <f>IF((N633=""),"",(O632-P632)/(O632+P632)*100)</f>
        <v>5.3529044555793579</v>
      </c>
      <c r="S632" s="150">
        <f>STDEV(F634:N634)</f>
        <v>183.23185872003694</v>
      </c>
      <c r="T632" s="137" t="str">
        <f>IF(N633="","",IF(R632&lt;16,IF(Q632&gt;3200,IF(R632,IF(Q632&lt;5240,"Pass","Fail"),"Fail"),"Fail")))</f>
        <v>Pass</v>
      </c>
      <c r="U632" s="149">
        <v>1340</v>
      </c>
      <c r="V632" s="178" t="s">
        <v>206</v>
      </c>
      <c r="X632" s="116">
        <v>4200</v>
      </c>
      <c r="Y632" s="116">
        <v>5500</v>
      </c>
      <c r="Z632" s="116">
        <v>3200</v>
      </c>
      <c r="AA632" s="116">
        <v>5240</v>
      </c>
      <c r="AB632" s="31">
        <v>16</v>
      </c>
      <c r="AC632" s="31">
        <v>16</v>
      </c>
    </row>
    <row r="633" spans="1:29" ht="15.6" x14ac:dyDescent="0.3">
      <c r="A633"/>
      <c r="B633" s="24"/>
      <c r="C633" s="6"/>
      <c r="D633" s="6"/>
      <c r="E633" s="61" t="s">
        <v>187</v>
      </c>
      <c r="F633" s="11">
        <v>26081.82</v>
      </c>
      <c r="G633" s="11">
        <v>26186.34</v>
      </c>
      <c r="H633" s="11">
        <v>26233.01</v>
      </c>
      <c r="I633" s="11">
        <v>26206.79</v>
      </c>
      <c r="J633" s="11">
        <v>26118.48</v>
      </c>
      <c r="K633" s="11">
        <v>26139.06</v>
      </c>
      <c r="L633" s="11">
        <v>26197.19</v>
      </c>
      <c r="M633" s="11">
        <v>26174.46</v>
      </c>
      <c r="N633" s="11">
        <v>26040.07</v>
      </c>
      <c r="O633" s="61"/>
      <c r="P633" s="61"/>
      <c r="Q633" s="62"/>
      <c r="R633" s="62"/>
      <c r="S633" s="139"/>
      <c r="T633" s="5"/>
      <c r="U633" s="140"/>
      <c r="V633" s="173"/>
      <c r="W633" s="178"/>
      <c r="X633" s="118"/>
      <c r="Y633" s="118"/>
      <c r="Z633" s="118"/>
      <c r="AA633" s="118"/>
    </row>
    <row r="634" spans="1:29" ht="22.8" x14ac:dyDescent="0.3">
      <c r="A634"/>
      <c r="B634" s="24"/>
      <c r="C634" s="6"/>
      <c r="D634" s="6"/>
      <c r="E634" s="61" t="s">
        <v>188</v>
      </c>
      <c r="F634" s="40">
        <f t="shared" ref="F634:N634" si="206">IF(((F632="")*AND(F633="")),"",(F632-F633)*3)</f>
        <v>4668.8999999999978</v>
      </c>
      <c r="G634" s="40">
        <f t="shared" si="206"/>
        <v>4321.2000000000044</v>
      </c>
      <c r="H634" s="40">
        <f t="shared" si="206"/>
        <v>4252.8300000000017</v>
      </c>
      <c r="I634" s="40">
        <f t="shared" si="206"/>
        <v>4278.3899999999921</v>
      </c>
      <c r="J634" s="40">
        <f t="shared" si="206"/>
        <v>4542.0300000000061</v>
      </c>
      <c r="K634" s="40">
        <f t="shared" si="206"/>
        <v>4497.8699999999917</v>
      </c>
      <c r="L634" s="40">
        <f t="shared" si="206"/>
        <v>4264.1400000000031</v>
      </c>
      <c r="M634" s="40">
        <f t="shared" si="206"/>
        <v>4338.4500000000044</v>
      </c>
      <c r="N634" s="40">
        <f t="shared" si="206"/>
        <v>4733.8799999999974</v>
      </c>
      <c r="O634" s="61"/>
      <c r="P634" s="61"/>
      <c r="Q634" s="62"/>
      <c r="R634" s="62"/>
      <c r="S634" s="139"/>
      <c r="T634" s="5"/>
      <c r="U634" s="140"/>
      <c r="V634" s="173"/>
      <c r="W634" s="178"/>
      <c r="X634" s="118"/>
      <c r="Y634" s="118"/>
      <c r="Z634" s="118"/>
      <c r="AA634" s="118"/>
    </row>
    <row r="635" spans="1:29" x14ac:dyDescent="0.25">
      <c r="A635" s="207">
        <v>43377</v>
      </c>
      <c r="B635" s="215" t="s">
        <v>169</v>
      </c>
      <c r="C635" s="6" t="s">
        <v>171</v>
      </c>
      <c r="D635" s="6" t="s">
        <v>189</v>
      </c>
      <c r="E635" s="61" t="s">
        <v>186</v>
      </c>
      <c r="F635" s="11">
        <v>1963.19</v>
      </c>
      <c r="G635" s="11">
        <v>1957.1</v>
      </c>
      <c r="H635" s="11">
        <v>1951.78</v>
      </c>
      <c r="I635" s="11">
        <v>1956.32</v>
      </c>
      <c r="J635" s="11">
        <v>1961.91</v>
      </c>
      <c r="K635" s="11">
        <v>1958.88</v>
      </c>
      <c r="L635" s="11">
        <v>1958.84</v>
      </c>
      <c r="M635" s="11">
        <v>1956.06</v>
      </c>
      <c r="N635" s="11">
        <v>1962.45</v>
      </c>
      <c r="O635" s="61">
        <f>IF((N636=""),"",MAX(F637:N637))</f>
        <v>2104.7999999999997</v>
      </c>
      <c r="P635" s="61">
        <f>IF(N636="","",MIN(F637:N637))</f>
        <v>2008.9500000000003</v>
      </c>
      <c r="Q635" s="62">
        <f>IF((N637=""),"",AVERAGE(F637:N637))</f>
        <v>2069.8399999999997</v>
      </c>
      <c r="R635" s="62">
        <f>IF((N636=""),"",(O635-P635)/(O635+P635)*100)</f>
        <v>2.3299908842297041</v>
      </c>
      <c r="S635" s="139">
        <f>STDEV(F637:N637)</f>
        <v>39.597840850227861</v>
      </c>
      <c r="T635" s="5" t="str">
        <f>IF(N636="","",IF(Q635&gt;1940,IF(R635&lt;8.3,IF(Q635&lt;2180,"Pass","Fail"),"Fail"),"Fail"))</f>
        <v>Pass</v>
      </c>
      <c r="U635" s="146">
        <v>1340</v>
      </c>
      <c r="V635" s="178" t="s">
        <v>206</v>
      </c>
      <c r="W635" s="178"/>
      <c r="X635" s="116">
        <v>2000</v>
      </c>
      <c r="Y635" s="116">
        <v>3000</v>
      </c>
      <c r="Z635" s="116">
        <v>1940</v>
      </c>
      <c r="AA635" s="116">
        <v>2180</v>
      </c>
      <c r="AB635" s="31">
        <v>5.2</v>
      </c>
      <c r="AC635" s="31">
        <v>5.2</v>
      </c>
    </row>
    <row r="636" spans="1:29" ht="15.6" x14ac:dyDescent="0.3">
      <c r="A636"/>
      <c r="B636" s="24"/>
      <c r="C636" s="6"/>
      <c r="D636" s="6"/>
      <c r="E636" s="61" t="s">
        <v>187</v>
      </c>
      <c r="F636" s="11">
        <v>1281.56</v>
      </c>
      <c r="G636" s="11">
        <v>1256.5</v>
      </c>
      <c r="H636" s="11">
        <v>1250.18</v>
      </c>
      <c r="I636" s="11">
        <v>1258.44</v>
      </c>
      <c r="J636" s="11">
        <v>1290.5999999999999</v>
      </c>
      <c r="K636" s="11">
        <v>1289.23</v>
      </c>
      <c r="L636" s="11">
        <v>1258.94</v>
      </c>
      <c r="M636" s="11">
        <v>1254.55</v>
      </c>
      <c r="N636" s="11">
        <v>1277.01</v>
      </c>
      <c r="O636" s="61"/>
      <c r="P636" s="61"/>
      <c r="Q636" s="62"/>
      <c r="R636" s="62"/>
      <c r="S636" s="139"/>
      <c r="T636" s="5"/>
      <c r="U636" s="140"/>
      <c r="V636" s="173"/>
      <c r="W636" s="178"/>
      <c r="X636" s="118"/>
      <c r="Y636" s="118"/>
      <c r="Z636" s="118"/>
      <c r="AA636" s="118"/>
    </row>
    <row r="637" spans="1:29" ht="15.6" x14ac:dyDescent="0.3">
      <c r="A637"/>
      <c r="B637" s="24"/>
      <c r="C637" s="6"/>
      <c r="D637" s="6"/>
      <c r="E637" s="61" t="s">
        <v>190</v>
      </c>
      <c r="F637" s="40">
        <f t="shared" ref="F637:N637" si="207">IF(((F635="")*AND(F636="")),"",(F635-F636)*3)</f>
        <v>2044.8900000000003</v>
      </c>
      <c r="G637" s="40">
        <f t="shared" si="207"/>
        <v>2101.7999999999997</v>
      </c>
      <c r="H637" s="40">
        <f t="shared" si="207"/>
        <v>2104.7999999999997</v>
      </c>
      <c r="I637" s="40">
        <f t="shared" si="207"/>
        <v>2093.6399999999994</v>
      </c>
      <c r="J637" s="40">
        <f t="shared" si="207"/>
        <v>2013.9300000000005</v>
      </c>
      <c r="K637" s="40">
        <f t="shared" si="207"/>
        <v>2008.9500000000003</v>
      </c>
      <c r="L637" s="40">
        <f t="shared" si="207"/>
        <v>2099.6999999999998</v>
      </c>
      <c r="M637" s="40">
        <f t="shared" si="207"/>
        <v>2104.5299999999997</v>
      </c>
      <c r="N637" s="40">
        <f t="shared" si="207"/>
        <v>2056.3200000000002</v>
      </c>
      <c r="O637" s="61"/>
      <c r="P637" s="61"/>
      <c r="Q637" s="62"/>
      <c r="R637" s="62"/>
      <c r="S637" s="139"/>
      <c r="T637" s="5"/>
      <c r="U637" s="140"/>
      <c r="V637" s="173"/>
      <c r="W637" s="178"/>
      <c r="X637" s="118"/>
      <c r="Y637" s="118"/>
      <c r="Z637" s="118"/>
      <c r="AA637" s="118"/>
    </row>
    <row r="638" spans="1:29" x14ac:dyDescent="0.25">
      <c r="A638" s="207">
        <v>43377</v>
      </c>
      <c r="B638" s="218" t="s">
        <v>174</v>
      </c>
      <c r="C638" s="6" t="s">
        <v>176</v>
      </c>
      <c r="D638" s="6" t="s">
        <v>175</v>
      </c>
      <c r="E638" s="61" t="s">
        <v>186</v>
      </c>
      <c r="F638" s="11">
        <v>3237.5</v>
      </c>
      <c r="G638" s="11">
        <v>3017.36</v>
      </c>
      <c r="H638" s="11">
        <v>2995.48</v>
      </c>
      <c r="I638" s="11">
        <v>2996.44</v>
      </c>
      <c r="J638" s="11">
        <v>3271.47</v>
      </c>
      <c r="K638" s="11">
        <v>3336.74</v>
      </c>
      <c r="L638" s="11">
        <v>3012.48</v>
      </c>
      <c r="M638" s="11">
        <v>2983.02</v>
      </c>
      <c r="N638" s="11">
        <v>3238.52</v>
      </c>
      <c r="O638" s="61">
        <f>IF((N639=""),"",MAX(F640:N640))</f>
        <v>4078.14</v>
      </c>
      <c r="P638" s="61">
        <f>IF(N639="","",MIN(F640:N640))</f>
        <v>3706.5799999999995</v>
      </c>
      <c r="Q638" s="62">
        <f>IF((N640=""),"",AVERAGE(F640:N640))</f>
        <v>3949.3888888888887</v>
      </c>
      <c r="R638" s="62">
        <f>IF((N639=""),"",(O638-P638)/(O638+P638)*100)</f>
        <v>4.7729398102950453</v>
      </c>
      <c r="S638" s="139">
        <f>STDEV(F640:N640)</f>
        <v>121.26813642136651</v>
      </c>
      <c r="T638" s="5" t="str">
        <f>IF(N639="","",IF(Q638&gt;3650,IF(R638&lt;7,IF(Q638&lt;4450,"Pass","Fail"),"Fail"),"Fail"))</f>
        <v>Pass</v>
      </c>
      <c r="U638" s="146">
        <v>1340</v>
      </c>
      <c r="V638" s="223" t="s">
        <v>206</v>
      </c>
      <c r="W638" s="178"/>
      <c r="X638" s="116">
        <v>3650</v>
      </c>
      <c r="Y638" s="116">
        <v>4450</v>
      </c>
      <c r="Z638" s="116">
        <v>3700</v>
      </c>
      <c r="AA638" s="116">
        <v>4100</v>
      </c>
      <c r="AB638" s="31">
        <v>7</v>
      </c>
      <c r="AC638" s="31">
        <v>6.5</v>
      </c>
    </row>
    <row r="639" spans="1:29" ht="15.6" x14ac:dyDescent="0.3">
      <c r="A639"/>
      <c r="B639" s="24"/>
      <c r="C639" s="6"/>
      <c r="D639" s="6"/>
      <c r="E639" s="61" t="s">
        <v>187</v>
      </c>
      <c r="F639" s="11">
        <v>1307.43</v>
      </c>
      <c r="G639" s="11">
        <v>1007.95</v>
      </c>
      <c r="H639" s="11">
        <v>963.5</v>
      </c>
      <c r="I639" s="11">
        <v>988.6</v>
      </c>
      <c r="J639" s="11">
        <v>1346.11</v>
      </c>
      <c r="K639" s="11">
        <v>1483.45</v>
      </c>
      <c r="L639" s="11">
        <v>1015.27</v>
      </c>
      <c r="M639" s="11">
        <v>943.95</v>
      </c>
      <c r="N639" s="11">
        <v>1260.5</v>
      </c>
      <c r="O639" s="61"/>
      <c r="P639" s="61"/>
      <c r="Q639" s="62"/>
      <c r="R639" s="62"/>
      <c r="S639" s="139"/>
      <c r="T639" s="8"/>
      <c r="U639" s="146"/>
      <c r="V639" s="173"/>
      <c r="W639" s="178"/>
      <c r="X639" s="118"/>
      <c r="Y639" s="118"/>
      <c r="Z639" s="118"/>
      <c r="AA639" s="118"/>
    </row>
    <row r="640" spans="1:29" ht="23.4" thickBot="1" x14ac:dyDescent="0.35">
      <c r="A640"/>
      <c r="B640" s="63"/>
      <c r="C640" s="64"/>
      <c r="D640" s="64"/>
      <c r="E640" s="65" t="s">
        <v>188</v>
      </c>
      <c r="F640" s="53">
        <f t="shared" ref="F640:N640" si="208">IF(((F638="")*AND(F639="")),"",(F638-F639)*2)</f>
        <v>3860.14</v>
      </c>
      <c r="G640" s="53">
        <f t="shared" si="208"/>
        <v>4018.82</v>
      </c>
      <c r="H640" s="53">
        <f t="shared" si="208"/>
        <v>4063.96</v>
      </c>
      <c r="I640" s="53">
        <f t="shared" si="208"/>
        <v>4015.6800000000003</v>
      </c>
      <c r="J640" s="53">
        <f t="shared" si="208"/>
        <v>3850.72</v>
      </c>
      <c r="K640" s="53">
        <f t="shared" si="208"/>
        <v>3706.5799999999995</v>
      </c>
      <c r="L640" s="53">
        <f t="shared" si="208"/>
        <v>3994.42</v>
      </c>
      <c r="M640" s="53">
        <f t="shared" si="208"/>
        <v>4078.14</v>
      </c>
      <c r="N640" s="53">
        <f t="shared" si="208"/>
        <v>3956.04</v>
      </c>
      <c r="O640" s="65"/>
      <c r="P640" s="65"/>
      <c r="Q640" s="66"/>
      <c r="R640" s="66"/>
      <c r="S640" s="142"/>
      <c r="T640" s="152"/>
      <c r="U640" s="153"/>
      <c r="V640" s="173"/>
      <c r="W640" s="178"/>
      <c r="X640" s="118"/>
      <c r="Y640" s="118"/>
      <c r="Z640" s="118"/>
      <c r="AA640" s="118"/>
    </row>
    <row r="641" spans="1:29" x14ac:dyDescent="0.25">
      <c r="A641" s="209">
        <v>43380</v>
      </c>
      <c r="B641" s="217" t="s">
        <v>185</v>
      </c>
      <c r="C641" s="44" t="s">
        <v>173</v>
      </c>
      <c r="D641" s="44" t="s">
        <v>172</v>
      </c>
      <c r="E641" s="59" t="s">
        <v>186</v>
      </c>
      <c r="F641" s="11">
        <v>26046.23</v>
      </c>
      <c r="G641" s="11">
        <v>26156.32</v>
      </c>
      <c r="H641" s="11">
        <v>26200.46</v>
      </c>
      <c r="I641" s="11">
        <v>26173.11</v>
      </c>
      <c r="J641" s="11">
        <v>26076.97</v>
      </c>
      <c r="K641" s="11">
        <v>26102.42</v>
      </c>
      <c r="L641" s="11">
        <v>26170.45</v>
      </c>
      <c r="M641" s="11">
        <v>26137.78</v>
      </c>
      <c r="N641" s="11">
        <v>26000.22</v>
      </c>
      <c r="O641" s="59">
        <f>IF((N642=""),"",MAX(F643:N643))</f>
        <v>4501.2600000000057</v>
      </c>
      <c r="P641" s="59">
        <f>IF(N642="","",MIN(F643:N643))</f>
        <v>4115.1000000000022</v>
      </c>
      <c r="Q641" s="60">
        <f>IF((N643=""),"",AVERAGE(F643:N643))</f>
        <v>4293.0200000000004</v>
      </c>
      <c r="R641" s="60">
        <f>IF((N642=""),"",(O641-P641)/(O641+P641)*100)</f>
        <v>4.4817068924697105</v>
      </c>
      <c r="S641" s="150">
        <f>STDEV(F643:N643)</f>
        <v>163.68799742192471</v>
      </c>
      <c r="T641" s="137" t="str">
        <f>IF(N642="","",IF(R641&lt;16,IF(Q641&gt;3200,IF(R641,IF(Q641&lt;5240,"Pass","Fail"),"Fail"),"Fail")))</f>
        <v>Pass</v>
      </c>
      <c r="U641" s="149">
        <v>1428</v>
      </c>
      <c r="V641" s="178" t="s">
        <v>207</v>
      </c>
      <c r="X641" s="116">
        <v>4200</v>
      </c>
      <c r="Y641" s="116">
        <v>5500</v>
      </c>
      <c r="Z641" s="116">
        <v>3200</v>
      </c>
      <c r="AA641" s="116">
        <v>5240</v>
      </c>
      <c r="AB641" s="31">
        <v>16</v>
      </c>
      <c r="AC641" s="31">
        <v>16</v>
      </c>
    </row>
    <row r="642" spans="1:29" ht="15.6" x14ac:dyDescent="0.3">
      <c r="A642"/>
      <c r="B642" s="24"/>
      <c r="C642" s="6"/>
      <c r="D642" s="6"/>
      <c r="E642" s="61" t="s">
        <v>187</v>
      </c>
      <c r="F642" s="11">
        <v>24569.82</v>
      </c>
      <c r="G642" s="11">
        <v>24767.53</v>
      </c>
      <c r="H642" s="11">
        <v>24828.76</v>
      </c>
      <c r="I642" s="11">
        <v>24781.55</v>
      </c>
      <c r="J642" s="11">
        <v>24576.55</v>
      </c>
      <c r="K642" s="11">
        <v>24621.13</v>
      </c>
      <c r="L642" s="11">
        <v>24780.29</v>
      </c>
      <c r="M642" s="11">
        <v>24752.01</v>
      </c>
      <c r="N642" s="11">
        <v>24507.26</v>
      </c>
      <c r="O642" s="61"/>
      <c r="P642" s="61"/>
      <c r="Q642" s="62"/>
      <c r="R642" s="62"/>
      <c r="S642" s="139"/>
      <c r="T642" s="5"/>
      <c r="U642" s="140"/>
      <c r="V642" s="178"/>
      <c r="X642" s="118"/>
      <c r="Y642" s="118"/>
      <c r="Z642" s="118"/>
      <c r="AA642" s="118"/>
    </row>
    <row r="643" spans="1:29" ht="22.8" x14ac:dyDescent="0.3">
      <c r="A643"/>
      <c r="B643" s="24"/>
      <c r="C643" s="6"/>
      <c r="D643" s="6"/>
      <c r="E643" s="61" t="s">
        <v>188</v>
      </c>
      <c r="F643" s="40">
        <f t="shared" ref="F643:N643" si="209">IF(((F641="")*AND(F642="")),"",(F641-F642)*3)</f>
        <v>4429.2299999999996</v>
      </c>
      <c r="G643" s="40">
        <f t="shared" si="209"/>
        <v>4166.3700000000026</v>
      </c>
      <c r="H643" s="40">
        <f t="shared" si="209"/>
        <v>4115.1000000000022</v>
      </c>
      <c r="I643" s="40">
        <f t="shared" si="209"/>
        <v>4174.6800000000039</v>
      </c>
      <c r="J643" s="40">
        <f t="shared" si="209"/>
        <v>4501.2600000000057</v>
      </c>
      <c r="K643" s="40">
        <f t="shared" si="209"/>
        <v>4443.8699999999917</v>
      </c>
      <c r="L643" s="40">
        <f t="shared" si="209"/>
        <v>4170.4799999999996</v>
      </c>
      <c r="M643" s="40">
        <f t="shared" si="209"/>
        <v>4157.3100000000013</v>
      </c>
      <c r="N643" s="40">
        <f t="shared" si="209"/>
        <v>4478.8800000000083</v>
      </c>
      <c r="O643" s="61"/>
      <c r="P643" s="61"/>
      <c r="Q643" s="62"/>
      <c r="R643" s="62"/>
      <c r="S643" s="139"/>
      <c r="T643" s="5"/>
      <c r="U643" s="140"/>
      <c r="V643" s="178"/>
      <c r="X643" s="118"/>
      <c r="Y643" s="118"/>
      <c r="Z643" s="118"/>
      <c r="AA643" s="118"/>
    </row>
    <row r="644" spans="1:29" x14ac:dyDescent="0.25">
      <c r="A644" s="207">
        <v>43380</v>
      </c>
      <c r="B644" s="215" t="s">
        <v>169</v>
      </c>
      <c r="C644" s="6" t="s">
        <v>171</v>
      </c>
      <c r="D644" s="6" t="s">
        <v>189</v>
      </c>
      <c r="E644" s="61" t="s">
        <v>186</v>
      </c>
      <c r="F644" s="11">
        <v>1287.69</v>
      </c>
      <c r="G644" s="11">
        <v>1260.6199999999999</v>
      </c>
      <c r="H644" s="11">
        <v>1253.54</v>
      </c>
      <c r="I644" s="11">
        <v>1262.1300000000001</v>
      </c>
      <c r="J644" s="11">
        <v>1289.27</v>
      </c>
      <c r="K644" s="11">
        <v>1286.49</v>
      </c>
      <c r="L644" s="11">
        <v>1263.72</v>
      </c>
      <c r="M644" s="11">
        <v>1257.24</v>
      </c>
      <c r="N644" s="11">
        <v>1285.69</v>
      </c>
      <c r="O644" s="61">
        <f>IF((N645=""),"",MAX(F646:N646))</f>
        <v>2087.64</v>
      </c>
      <c r="P644" s="61">
        <f>IF(N645="","",MIN(F646:N646))</f>
        <v>1988.22</v>
      </c>
      <c r="Q644" s="62">
        <f>IF((N646=""),"",AVERAGE(F646:N646))</f>
        <v>2043.8633333333335</v>
      </c>
      <c r="R644" s="62">
        <f>IF((N645=""),"",(O644-P644)/(O644+P644)*100)</f>
        <v>2.4392398168729996</v>
      </c>
      <c r="S644" s="139">
        <f>STDEV(F646:N646)</f>
        <v>44.297338520502521</v>
      </c>
      <c r="T644" s="5" t="str">
        <f>IF(N645="","",IF(Q644&gt;1940,IF(R644&lt;8.3,IF(Q644&lt;2180,"Pass","Fail"),"Fail"),"Fail"))</f>
        <v>Pass</v>
      </c>
      <c r="U644" s="146">
        <v>1428</v>
      </c>
      <c r="V644" s="178" t="s">
        <v>207</v>
      </c>
      <c r="X644" s="116">
        <v>2000</v>
      </c>
      <c r="Y644" s="116">
        <v>3000</v>
      </c>
      <c r="Z644" s="116">
        <v>1940</v>
      </c>
      <c r="AA644" s="116">
        <v>2180</v>
      </c>
      <c r="AB644" s="31">
        <v>5.2</v>
      </c>
      <c r="AC644" s="31">
        <v>5.2</v>
      </c>
    </row>
    <row r="645" spans="1:29" ht="15.6" x14ac:dyDescent="0.3">
      <c r="A645"/>
      <c r="B645" s="24"/>
      <c r="C645" s="6"/>
      <c r="D645" s="6"/>
      <c r="E645" s="61" t="s">
        <v>187</v>
      </c>
      <c r="F645" s="11">
        <v>617.19000000000005</v>
      </c>
      <c r="G645" s="11">
        <v>568.75</v>
      </c>
      <c r="H645" s="11">
        <v>557.83000000000004</v>
      </c>
      <c r="I645" s="11">
        <v>568.17999999999995</v>
      </c>
      <c r="J645" s="11">
        <v>625.46</v>
      </c>
      <c r="K645" s="11">
        <v>619.54999999999995</v>
      </c>
      <c r="L645" s="11">
        <v>573.53</v>
      </c>
      <c r="M645" s="11">
        <v>561.36</v>
      </c>
      <c r="N645" s="11">
        <v>622.95000000000005</v>
      </c>
      <c r="O645" s="61"/>
      <c r="P645" s="61"/>
      <c r="Q645" s="62"/>
      <c r="R645" s="62"/>
      <c r="S645" s="139"/>
      <c r="T645" s="5"/>
      <c r="U645" s="140"/>
      <c r="V645" s="178"/>
      <c r="X645" s="118"/>
      <c r="Y645" s="118"/>
      <c r="Z645" s="118"/>
      <c r="AA645" s="118"/>
    </row>
    <row r="646" spans="1:29" ht="21.6" customHeight="1" x14ac:dyDescent="0.3">
      <c r="A646"/>
      <c r="B646" s="24"/>
      <c r="C646" s="6"/>
      <c r="D646" s="6"/>
      <c r="E646" s="61" t="s">
        <v>190</v>
      </c>
      <c r="F646" s="40">
        <f t="shared" ref="F646:N646" si="210">IF(((F644="")*AND(F645="")),"",(F644-F645)*3)</f>
        <v>2011.5</v>
      </c>
      <c r="G646" s="40">
        <f t="shared" si="210"/>
        <v>2075.6099999999997</v>
      </c>
      <c r="H646" s="40">
        <f t="shared" si="210"/>
        <v>2087.1299999999997</v>
      </c>
      <c r="I646" s="40">
        <f t="shared" si="210"/>
        <v>2081.8500000000004</v>
      </c>
      <c r="J646" s="40">
        <f t="shared" si="210"/>
        <v>1991.4299999999998</v>
      </c>
      <c r="K646" s="40">
        <f t="shared" si="210"/>
        <v>2000.8200000000002</v>
      </c>
      <c r="L646" s="40">
        <f t="shared" si="210"/>
        <v>2070.5700000000002</v>
      </c>
      <c r="M646" s="40">
        <f t="shared" si="210"/>
        <v>2087.64</v>
      </c>
      <c r="N646" s="40">
        <f t="shared" si="210"/>
        <v>1988.22</v>
      </c>
      <c r="O646" s="61"/>
      <c r="P646" s="61"/>
      <c r="Q646" s="62"/>
      <c r="R646" s="62"/>
      <c r="S646" s="139"/>
      <c r="T646" s="5"/>
      <c r="U646" s="140"/>
      <c r="V646" s="178"/>
      <c r="X646" s="118"/>
      <c r="Y646" s="118"/>
      <c r="Z646" s="118"/>
      <c r="AA646" s="118"/>
    </row>
    <row r="647" spans="1:29" x14ac:dyDescent="0.25">
      <c r="A647" s="207">
        <v>43380</v>
      </c>
      <c r="B647" s="218" t="s">
        <v>174</v>
      </c>
      <c r="C647" s="6" t="s">
        <v>176</v>
      </c>
      <c r="D647" s="6" t="s">
        <v>175</v>
      </c>
      <c r="E647" s="61" t="s">
        <v>186</v>
      </c>
      <c r="F647" s="11">
        <v>6873.84</v>
      </c>
      <c r="G647" s="11">
        <v>6889.92</v>
      </c>
      <c r="H647" s="11">
        <v>6940.99</v>
      </c>
      <c r="I647" s="11">
        <v>6887.25</v>
      </c>
      <c r="J647" s="11">
        <v>6882.15</v>
      </c>
      <c r="K647" s="11">
        <v>6889.51</v>
      </c>
      <c r="L647" s="11">
        <v>6918.4</v>
      </c>
      <c r="M647" s="11">
        <v>6931.13</v>
      </c>
      <c r="N647" s="11">
        <v>6987.69</v>
      </c>
      <c r="O647" s="61">
        <f>IF((N648=""),"",MAX(F649:N649))</f>
        <v>4053.4799999999996</v>
      </c>
      <c r="P647" s="61">
        <f>IF(N648="","",MIN(F649:N649))</f>
        <v>3687.6400000000012</v>
      </c>
      <c r="Q647" s="62">
        <f>IF((N649=""),"",AVERAGE(F649:N649))</f>
        <v>3926.1711111111113</v>
      </c>
      <c r="R647" s="62">
        <f>IF((N648=""),"",(O647-P647)/(O647+P647)*100)</f>
        <v>4.7259311314124872</v>
      </c>
      <c r="S647" s="139">
        <f>STDEV(F649:N649)</f>
        <v>127.51750394009058</v>
      </c>
      <c r="T647" s="5" t="str">
        <f>IF(N648="","",IF(Q647&gt;3650,IF(R647&lt;7,IF(Q647&lt;4450,"Pass","Fail"),"Fail"),"Fail"))</f>
        <v>Pass</v>
      </c>
      <c r="U647" s="146">
        <v>1428</v>
      </c>
      <c r="V647" s="223" t="s">
        <v>207</v>
      </c>
      <c r="X647" s="116">
        <v>3650</v>
      </c>
      <c r="Y647" s="116">
        <v>4450</v>
      </c>
      <c r="Z647" s="116">
        <v>3700</v>
      </c>
      <c r="AA647" s="116">
        <v>4100</v>
      </c>
      <c r="AB647" s="31">
        <v>7</v>
      </c>
      <c r="AC647" s="31">
        <v>6.5</v>
      </c>
    </row>
    <row r="648" spans="1:29" ht="15.6" x14ac:dyDescent="0.3">
      <c r="A648"/>
      <c r="B648" s="24"/>
      <c r="C648" s="6"/>
      <c r="D648" s="6"/>
      <c r="E648" s="61" t="s">
        <v>187</v>
      </c>
      <c r="F648" s="11">
        <v>4962.6400000000003</v>
      </c>
      <c r="G648" s="11">
        <v>4882.96</v>
      </c>
      <c r="H648" s="11">
        <v>4915.5600000000004</v>
      </c>
      <c r="I648" s="11">
        <v>4889.4399999999996</v>
      </c>
      <c r="J648" s="11">
        <v>4977.67</v>
      </c>
      <c r="K648" s="11">
        <v>5045.6899999999996</v>
      </c>
      <c r="L648" s="11">
        <v>4922.93</v>
      </c>
      <c r="M648" s="11">
        <v>4904.3900000000003</v>
      </c>
      <c r="N648" s="11">
        <v>5031.83</v>
      </c>
      <c r="O648" s="61"/>
      <c r="P648" s="61"/>
      <c r="Q648" s="62"/>
      <c r="R648" s="62"/>
      <c r="S648" s="139"/>
      <c r="T648" s="8"/>
      <c r="U648" s="146"/>
      <c r="V648" s="178"/>
      <c r="X648" s="118"/>
      <c r="Y648" s="118"/>
      <c r="Z648" s="118"/>
      <c r="AA648" s="118"/>
    </row>
    <row r="649" spans="1:29" ht="23.4" thickBot="1" x14ac:dyDescent="0.35">
      <c r="A649"/>
      <c r="B649" s="63"/>
      <c r="C649" s="64"/>
      <c r="D649" s="64"/>
      <c r="E649" s="65" t="s">
        <v>188</v>
      </c>
      <c r="F649" s="53">
        <f t="shared" ref="F649:N649" si="211">IF(((F647="")*AND(F648="")),"",(F647-F648)*2)</f>
        <v>3822.3999999999996</v>
      </c>
      <c r="G649" s="53">
        <f t="shared" si="211"/>
        <v>4013.92</v>
      </c>
      <c r="H649" s="53">
        <f t="shared" si="211"/>
        <v>4050.8599999999988</v>
      </c>
      <c r="I649" s="53">
        <f t="shared" si="211"/>
        <v>3995.6200000000008</v>
      </c>
      <c r="J649" s="53">
        <f t="shared" si="211"/>
        <v>3808.9599999999991</v>
      </c>
      <c r="K649" s="53">
        <f t="shared" si="211"/>
        <v>3687.6400000000012</v>
      </c>
      <c r="L649" s="53">
        <f t="shared" si="211"/>
        <v>3990.9399999999987</v>
      </c>
      <c r="M649" s="53">
        <f t="shared" si="211"/>
        <v>4053.4799999999996</v>
      </c>
      <c r="N649" s="53">
        <f t="shared" si="211"/>
        <v>3911.7199999999993</v>
      </c>
      <c r="O649" s="65"/>
      <c r="P649" s="65"/>
      <c r="Q649" s="66"/>
      <c r="R649" s="66"/>
      <c r="S649" s="142"/>
      <c r="T649" s="152"/>
      <c r="U649" s="153"/>
      <c r="V649" s="178"/>
      <c r="X649" s="118"/>
      <c r="Y649" s="118"/>
      <c r="Z649" s="118"/>
      <c r="AA649" s="118"/>
    </row>
    <row r="650" spans="1:29" x14ac:dyDescent="0.25">
      <c r="A650" s="209">
        <v>43383</v>
      </c>
      <c r="B650" s="217" t="s">
        <v>185</v>
      </c>
      <c r="C650" s="44" t="s">
        <v>173</v>
      </c>
      <c r="D650" s="44" t="s">
        <v>172</v>
      </c>
      <c r="E650" s="59" t="s">
        <v>186</v>
      </c>
      <c r="F650" s="11">
        <v>29268.639999999999</v>
      </c>
      <c r="G650" s="11">
        <v>29173.39</v>
      </c>
      <c r="H650" s="11">
        <v>29166.41</v>
      </c>
      <c r="I650" s="11">
        <v>29160.9</v>
      </c>
      <c r="J650" s="11">
        <v>29257.98</v>
      </c>
      <c r="K650" s="11">
        <v>29250.37</v>
      </c>
      <c r="L650" s="11">
        <v>29155.64</v>
      </c>
      <c r="M650" s="11">
        <v>29159.3</v>
      </c>
      <c r="N650" s="11">
        <v>29228.48</v>
      </c>
      <c r="O650" s="59">
        <f>IF((N651=""),"",MAX(F652:N652))</f>
        <v>4578.2999999999956</v>
      </c>
      <c r="P650" s="59">
        <f>IF(N651="","",MIN(F652:N652))</f>
        <v>4213.0499999999956</v>
      </c>
      <c r="Q650" s="60">
        <f>IF((N652=""),"",AVERAGE(F652:N652))</f>
        <v>4381.83</v>
      </c>
      <c r="R650" s="60">
        <f>IF((N651=""),"",(O650-P650)/(O650+P650)*100)</f>
        <v>4.1546520159019984</v>
      </c>
      <c r="S650" s="150">
        <f>STDEV(F652:N652)</f>
        <v>160.01852994262958</v>
      </c>
      <c r="T650" s="137" t="str">
        <f>IF(N651="","",IF(R650&lt;16,IF(Q650&gt;3200,IF(R650,IF(Q650&lt;5240,"Pass","Fail"),"Fail"),"Fail")))</f>
        <v>Pass</v>
      </c>
      <c r="U650" s="149">
        <v>1340</v>
      </c>
      <c r="V650" s="178" t="s">
        <v>208</v>
      </c>
      <c r="X650" s="116">
        <v>4200</v>
      </c>
      <c r="Y650" s="116">
        <v>5500</v>
      </c>
      <c r="Z650" s="116">
        <v>3200</v>
      </c>
      <c r="AA650" s="116">
        <v>5240</v>
      </c>
      <c r="AB650" s="31">
        <v>16</v>
      </c>
      <c r="AC650" s="31">
        <v>16</v>
      </c>
    </row>
    <row r="651" spans="1:29" ht="15.6" x14ac:dyDescent="0.3">
      <c r="A651"/>
      <c r="B651" s="24"/>
      <c r="C651" s="6"/>
      <c r="D651" s="6"/>
      <c r="E651" s="61" t="s">
        <v>187</v>
      </c>
      <c r="F651" s="11">
        <v>27752.46</v>
      </c>
      <c r="G651" s="11">
        <v>27748.39</v>
      </c>
      <c r="H651" s="11">
        <v>27762.06</v>
      </c>
      <c r="I651" s="11">
        <v>27740.49</v>
      </c>
      <c r="J651" s="11">
        <v>27731.88</v>
      </c>
      <c r="K651" s="11">
        <v>27732.92</v>
      </c>
      <c r="L651" s="11">
        <v>27747.64</v>
      </c>
      <c r="M651" s="11">
        <v>27736</v>
      </c>
      <c r="N651" s="11">
        <v>27723.78</v>
      </c>
      <c r="O651" s="61"/>
      <c r="P651" s="61"/>
      <c r="Q651" s="62"/>
      <c r="R651" s="62"/>
      <c r="S651" s="139"/>
      <c r="T651" s="5"/>
      <c r="U651" s="140"/>
      <c r="V651" s="178"/>
      <c r="X651" s="118"/>
      <c r="Y651" s="118"/>
      <c r="Z651" s="118"/>
      <c r="AA651" s="118"/>
    </row>
    <row r="652" spans="1:29" ht="23.4" thickBot="1" x14ac:dyDescent="0.35">
      <c r="A652"/>
      <c r="B652" s="24"/>
      <c r="C652" s="6"/>
      <c r="D652" s="6"/>
      <c r="E652" s="61" t="s">
        <v>188</v>
      </c>
      <c r="F652" s="40">
        <f t="shared" ref="F652:N652" si="212">IF(((F650="")*AND(F651="")),"",(F650-F651)*3)</f>
        <v>4548.5400000000009</v>
      </c>
      <c r="G652" s="40">
        <f t="shared" si="212"/>
        <v>4275</v>
      </c>
      <c r="H652" s="40">
        <f t="shared" si="212"/>
        <v>4213.0499999999956</v>
      </c>
      <c r="I652" s="40">
        <f t="shared" si="212"/>
        <v>4261.2299999999996</v>
      </c>
      <c r="J652" s="40">
        <f t="shared" si="212"/>
        <v>4578.2999999999956</v>
      </c>
      <c r="K652" s="40">
        <f t="shared" si="212"/>
        <v>4552.3500000000022</v>
      </c>
      <c r="L652" s="40">
        <f t="shared" si="212"/>
        <v>4224</v>
      </c>
      <c r="M652" s="40">
        <f t="shared" si="212"/>
        <v>4269.8999999999978</v>
      </c>
      <c r="N652" s="40">
        <f t="shared" si="212"/>
        <v>4514.1000000000022</v>
      </c>
      <c r="O652" s="61"/>
      <c r="P652" s="61"/>
      <c r="Q652" s="62"/>
      <c r="R652" s="62"/>
      <c r="S652" s="139"/>
      <c r="T652" s="5"/>
      <c r="U652" s="140"/>
      <c r="V652" s="178"/>
      <c r="X652" s="118"/>
      <c r="Y652" s="118"/>
      <c r="Z652" s="118"/>
      <c r="AA652" s="118"/>
    </row>
    <row r="653" spans="1:29" x14ac:dyDescent="0.25">
      <c r="A653" s="209">
        <v>43383</v>
      </c>
      <c r="B653" s="215" t="s">
        <v>169</v>
      </c>
      <c r="C653" s="6" t="s">
        <v>171</v>
      </c>
      <c r="D653" s="6" t="s">
        <v>189</v>
      </c>
      <c r="E653" s="61" t="s">
        <v>186</v>
      </c>
      <c r="F653" s="11">
        <v>1988.1</v>
      </c>
      <c r="G653" s="11">
        <v>1980.04</v>
      </c>
      <c r="H653" s="11">
        <v>1976.8</v>
      </c>
      <c r="I653" s="11">
        <v>1976.47</v>
      </c>
      <c r="J653" s="11">
        <v>1989.38</v>
      </c>
      <c r="K653" s="11">
        <v>1989.64</v>
      </c>
      <c r="L653" s="11">
        <v>1978.09</v>
      </c>
      <c r="M653" s="11">
        <v>1978.63</v>
      </c>
      <c r="N653" s="11">
        <v>1990.88</v>
      </c>
      <c r="O653" s="61">
        <f>IF((N654=""),"",MAX(F655:N655))</f>
        <v>2170.8599999999997</v>
      </c>
      <c r="P653" s="61">
        <f>IF(N654="","",MIN(F655:N655))</f>
        <v>2077.1400000000003</v>
      </c>
      <c r="Q653" s="62">
        <f>IF((N655=""),"",AVERAGE(F655:N655))</f>
        <v>2127.746666666666</v>
      </c>
      <c r="R653" s="62">
        <f>IF((N654=""),"",(O653-P653)/(O653+P653)*100)</f>
        <v>2.2062146892655212</v>
      </c>
      <c r="S653" s="139">
        <f>STDEV(F655:N655)</f>
        <v>34.468010531505762</v>
      </c>
      <c r="T653" s="5" t="str">
        <f>IF(N654="","",IF(Q653&gt;1940,IF(R653&lt;8.3,IF(Q653&lt;2180,"Pass","Fail"),"Fail"),"Fail"))</f>
        <v>Pass</v>
      </c>
      <c r="U653" s="149">
        <v>1340</v>
      </c>
      <c r="V653" s="178" t="s">
        <v>208</v>
      </c>
      <c r="X653" s="116">
        <v>2000</v>
      </c>
      <c r="Y653" s="116">
        <v>3000</v>
      </c>
      <c r="Z653" s="116">
        <v>1940</v>
      </c>
      <c r="AA653" s="116">
        <v>2180</v>
      </c>
      <c r="AB653" s="31">
        <v>5.2</v>
      </c>
      <c r="AC653" s="31">
        <v>5.2</v>
      </c>
    </row>
    <row r="654" spans="1:29" ht="15.6" x14ac:dyDescent="0.3">
      <c r="A654"/>
      <c r="B654" s="24"/>
      <c r="C654" s="6"/>
      <c r="D654" s="6"/>
      <c r="E654" s="61" t="s">
        <v>187</v>
      </c>
      <c r="F654" s="11">
        <v>1278.31</v>
      </c>
      <c r="G654" s="11">
        <v>1258.3399999999999</v>
      </c>
      <c r="H654" s="11">
        <v>1253.18</v>
      </c>
      <c r="I654" s="11">
        <v>1265.8800000000001</v>
      </c>
      <c r="J654" s="11">
        <v>1296.32</v>
      </c>
      <c r="K654" s="11">
        <v>1297.26</v>
      </c>
      <c r="L654" s="11">
        <v>1270.8900000000001</v>
      </c>
      <c r="M654" s="11">
        <v>1258.4000000000001</v>
      </c>
      <c r="N654" s="11">
        <v>1286.21</v>
      </c>
      <c r="O654" s="61"/>
      <c r="P654" s="61"/>
      <c r="Q654" s="62"/>
      <c r="R654" s="62"/>
      <c r="S654" s="139"/>
      <c r="T654" s="5"/>
      <c r="U654" s="140"/>
      <c r="V654" s="178"/>
      <c r="X654" s="118"/>
      <c r="Y654" s="118"/>
      <c r="Z654" s="118"/>
      <c r="AA654" s="118"/>
    </row>
    <row r="655" spans="1:29" ht="22.2" customHeight="1" thickBot="1" x14ac:dyDescent="0.35">
      <c r="A655"/>
      <c r="B655" s="24"/>
      <c r="C655" s="6"/>
      <c r="D655" s="6"/>
      <c r="E655" s="61" t="s">
        <v>190</v>
      </c>
      <c r="F655" s="40">
        <f t="shared" ref="F655:N655" si="213">IF(((F653="")*AND(F654="")),"",(F653-F654)*3)</f>
        <v>2129.37</v>
      </c>
      <c r="G655" s="40">
        <f t="shared" si="213"/>
        <v>2165.1000000000004</v>
      </c>
      <c r="H655" s="40">
        <f t="shared" si="213"/>
        <v>2170.8599999999997</v>
      </c>
      <c r="I655" s="40">
        <f t="shared" si="213"/>
        <v>2131.7699999999995</v>
      </c>
      <c r="J655" s="40">
        <f t="shared" si="213"/>
        <v>2079.1800000000003</v>
      </c>
      <c r="K655" s="40">
        <f t="shared" si="213"/>
        <v>2077.1400000000003</v>
      </c>
      <c r="L655" s="40">
        <f t="shared" si="213"/>
        <v>2121.5999999999995</v>
      </c>
      <c r="M655" s="40">
        <f t="shared" si="213"/>
        <v>2160.69</v>
      </c>
      <c r="N655" s="40">
        <f t="shared" si="213"/>
        <v>2114.0100000000002</v>
      </c>
      <c r="O655" s="61"/>
      <c r="P655" s="61"/>
      <c r="Q655" s="62"/>
      <c r="R655" s="62"/>
      <c r="S655" s="139"/>
      <c r="T655" s="5"/>
      <c r="U655" s="140"/>
      <c r="V655" s="178"/>
      <c r="X655" s="118"/>
      <c r="Y655" s="118"/>
      <c r="Z655" s="118"/>
      <c r="AA655" s="118"/>
    </row>
    <row r="656" spans="1:29" x14ac:dyDescent="0.25">
      <c r="A656" s="209">
        <v>43383</v>
      </c>
      <c r="B656" s="218" t="s">
        <v>174</v>
      </c>
      <c r="C656" s="6" t="s">
        <v>176</v>
      </c>
      <c r="D656" s="6" t="s">
        <v>175</v>
      </c>
      <c r="E656" s="61" t="s">
        <v>186</v>
      </c>
      <c r="F656" s="11">
        <v>4970.53</v>
      </c>
      <c r="G656" s="11">
        <v>4892.05</v>
      </c>
      <c r="H656" s="11">
        <v>4924.42</v>
      </c>
      <c r="I656" s="11">
        <v>4898.46</v>
      </c>
      <c r="J656" s="11">
        <v>4985.33</v>
      </c>
      <c r="K656" s="11">
        <v>5052.33</v>
      </c>
      <c r="L656" s="11">
        <v>4931.3</v>
      </c>
      <c r="M656" s="11">
        <v>4912.8999999999996</v>
      </c>
      <c r="N656" s="11">
        <v>5038.7</v>
      </c>
      <c r="O656" s="61">
        <f>IF((N657=""),"",MAX(F658:N658))</f>
        <v>4125.3599999999997</v>
      </c>
      <c r="P656" s="61">
        <f>IF(N657="","",MIN(F658:N658))</f>
        <v>3748.6399999999994</v>
      </c>
      <c r="Q656" s="62">
        <f>IF((N658=""),"",AVERAGE(F658:N658))</f>
        <v>3995.7977777777778</v>
      </c>
      <c r="R656" s="62">
        <f>IF((N657=""),"",(O656-P656)/(O656+P656)*100)</f>
        <v>4.7843535687071412</v>
      </c>
      <c r="S656" s="139">
        <f>STDEV(F658:N658)</f>
        <v>131.78010906219689</v>
      </c>
      <c r="T656" s="5" t="str">
        <f>IF(N657="","",IF(Q656&gt;3650,IF(R656&lt;7,IF(Q656&lt;4450,"Pass","Fail"),"Fail"),"Fail"))</f>
        <v>Pass</v>
      </c>
      <c r="U656" s="149">
        <v>1340</v>
      </c>
      <c r="V656" s="223" t="s">
        <v>208</v>
      </c>
      <c r="X656" s="116">
        <v>3650</v>
      </c>
      <c r="Y656" s="116">
        <v>4450</v>
      </c>
      <c r="Z656" s="116">
        <v>3700</v>
      </c>
      <c r="AA656" s="116">
        <v>4100</v>
      </c>
      <c r="AB656" s="31">
        <v>7</v>
      </c>
      <c r="AC656" s="31">
        <v>6.5</v>
      </c>
    </row>
    <row r="657" spans="1:29" ht="15.6" x14ac:dyDescent="0.3">
      <c r="A657"/>
      <c r="B657" s="24"/>
      <c r="C657" s="6"/>
      <c r="D657" s="6"/>
      <c r="E657" s="61" t="s">
        <v>187</v>
      </c>
      <c r="F657" s="11">
        <v>3027.64</v>
      </c>
      <c r="G657" s="11">
        <v>2849.55</v>
      </c>
      <c r="H657" s="11">
        <v>2862.62</v>
      </c>
      <c r="I657" s="11">
        <v>2860.51</v>
      </c>
      <c r="J657" s="11">
        <v>3044.26</v>
      </c>
      <c r="K657" s="11">
        <v>3178.01</v>
      </c>
      <c r="L657" s="11">
        <v>2899.04</v>
      </c>
      <c r="M657" s="11">
        <v>2850.22</v>
      </c>
      <c r="N657" s="11">
        <v>3053.08</v>
      </c>
      <c r="O657" s="61"/>
      <c r="P657" s="61"/>
      <c r="Q657" s="62"/>
      <c r="R657" s="62"/>
      <c r="S657" s="139"/>
      <c r="T657" s="8"/>
      <c r="U657" s="146"/>
      <c r="V657" s="178"/>
      <c r="X657" s="118"/>
      <c r="Y657" s="118"/>
      <c r="Z657" s="118"/>
      <c r="AA657" s="118"/>
    </row>
    <row r="658" spans="1:29" ht="23.4" thickBot="1" x14ac:dyDescent="0.35">
      <c r="A658"/>
      <c r="B658" s="67"/>
      <c r="C658" s="46"/>
      <c r="D658" s="46"/>
      <c r="E658" s="48" t="s">
        <v>188</v>
      </c>
      <c r="F658" s="45">
        <f t="shared" ref="F658:N658" si="214">IF(((F656="")*AND(F657="")),"",(F656-F657)*2)</f>
        <v>3885.7799999999997</v>
      </c>
      <c r="G658" s="45">
        <f t="shared" si="214"/>
        <v>4085</v>
      </c>
      <c r="H658" s="45">
        <f t="shared" si="214"/>
        <v>4123.6000000000004</v>
      </c>
      <c r="I658" s="45">
        <f t="shared" si="214"/>
        <v>4075.8999999999996</v>
      </c>
      <c r="J658" s="45">
        <f t="shared" si="214"/>
        <v>3882.1399999999994</v>
      </c>
      <c r="K658" s="45">
        <f t="shared" si="214"/>
        <v>3748.6399999999994</v>
      </c>
      <c r="L658" s="45">
        <f t="shared" si="214"/>
        <v>4064.5200000000004</v>
      </c>
      <c r="M658" s="45">
        <f t="shared" si="214"/>
        <v>4125.3599999999997</v>
      </c>
      <c r="N658" s="45">
        <f t="shared" si="214"/>
        <v>3971.24</v>
      </c>
      <c r="O658" s="48"/>
      <c r="P658" s="48"/>
      <c r="Q658" s="49"/>
      <c r="R658" s="49"/>
      <c r="S658" s="147"/>
      <c r="T658" s="154"/>
      <c r="U658" s="155"/>
      <c r="V658" s="178"/>
      <c r="X658" s="118"/>
      <c r="Y658" s="118"/>
      <c r="Z658" s="118"/>
      <c r="AA658" s="118"/>
    </row>
    <row r="659" spans="1:29" x14ac:dyDescent="0.25">
      <c r="A659" s="209">
        <v>43387</v>
      </c>
      <c r="B659" s="217" t="s">
        <v>174</v>
      </c>
      <c r="C659" s="44" t="s">
        <v>176</v>
      </c>
      <c r="D659" s="44" t="s">
        <v>175</v>
      </c>
      <c r="E659" s="59" t="s">
        <v>186</v>
      </c>
      <c r="F659" s="136">
        <v>6913.76</v>
      </c>
      <c r="G659" s="136">
        <v>6917.01</v>
      </c>
      <c r="H659" s="136">
        <v>6938.55</v>
      </c>
      <c r="I659" s="136">
        <v>6879</v>
      </c>
      <c r="J659" s="136">
        <v>6924.66</v>
      </c>
      <c r="K659" s="136">
        <v>6870.55</v>
      </c>
      <c r="L659" s="136">
        <v>6884.15</v>
      </c>
      <c r="M659" s="136">
        <v>6921.89</v>
      </c>
      <c r="N659" s="136">
        <v>6986.62</v>
      </c>
      <c r="O659" s="59">
        <f>IF((N660=""),"",MAX(F661:N661))</f>
        <v>4086.76</v>
      </c>
      <c r="P659" s="59">
        <f>IF(N660="","",MIN(F661:N661))</f>
        <v>3720.7000000000007</v>
      </c>
      <c r="Q659" s="60">
        <f>IF((N661=""),"",AVERAGE(F661:N661))</f>
        <v>3958.2999999999997</v>
      </c>
      <c r="R659" s="60">
        <f>IF((N660=""),"",(O659-P659)/(O659+P659)*100)</f>
        <v>4.6885927049257949</v>
      </c>
      <c r="S659" s="150">
        <f>STDEV(F661:N661)</f>
        <v>125.43281269269208</v>
      </c>
      <c r="T659" s="137" t="str">
        <f>IF(N660="","",IF(Q659&gt;3650,IF(R659&lt;7,IF(Q659&lt;4450,"Pass","Fail"),"Fail"),"Fail"))</f>
        <v>Pass</v>
      </c>
      <c r="U659" s="149">
        <v>1340</v>
      </c>
      <c r="V659" s="223" t="s">
        <v>209</v>
      </c>
      <c r="X659" s="116">
        <v>3650</v>
      </c>
      <c r="Y659" s="116">
        <v>4450</v>
      </c>
      <c r="Z659" s="116">
        <v>3700</v>
      </c>
      <c r="AA659" s="116">
        <v>4100</v>
      </c>
      <c r="AB659" s="31">
        <v>7</v>
      </c>
      <c r="AC659" s="31">
        <v>6.5</v>
      </c>
    </row>
    <row r="660" spans="1:29" ht="15.6" x14ac:dyDescent="0.3">
      <c r="A660"/>
      <c r="B660" s="24"/>
      <c r="C660" s="6"/>
      <c r="D660" s="6"/>
      <c r="E660" s="61" t="s">
        <v>187</v>
      </c>
      <c r="F660" s="8">
        <v>4990.21</v>
      </c>
      <c r="G660" s="8">
        <v>4899.29</v>
      </c>
      <c r="H660" s="8">
        <v>4897.79</v>
      </c>
      <c r="I660" s="8">
        <v>4862.8</v>
      </c>
      <c r="J660" s="8">
        <v>4996.3</v>
      </c>
      <c r="K660" s="8">
        <v>5010.2</v>
      </c>
      <c r="L660" s="8">
        <v>4875.54</v>
      </c>
      <c r="M660" s="8">
        <v>4878.51</v>
      </c>
      <c r="N660" s="8">
        <v>5013.2</v>
      </c>
      <c r="O660" s="61"/>
      <c r="P660" s="61"/>
      <c r="Q660" s="62"/>
      <c r="R660" s="62"/>
      <c r="S660" s="139"/>
      <c r="T660" s="8"/>
      <c r="U660" s="146"/>
      <c r="V660" s="178"/>
      <c r="X660" s="118"/>
      <c r="Y660" s="118"/>
      <c r="Z660" s="118"/>
      <c r="AA660" s="118"/>
    </row>
    <row r="661" spans="1:29" ht="22.8" x14ac:dyDescent="0.3">
      <c r="A661"/>
      <c r="B661" s="24"/>
      <c r="C661" s="6"/>
      <c r="D661" s="6"/>
      <c r="E661" s="61" t="s">
        <v>188</v>
      </c>
      <c r="F661" s="40">
        <f t="shared" ref="F661:N661" si="215">IF(((F659="")*AND(F660="")),"",(F659-F660)*2)</f>
        <v>3847.1000000000004</v>
      </c>
      <c r="G661" s="40">
        <f t="shared" si="215"/>
        <v>4035.4400000000005</v>
      </c>
      <c r="H661" s="40">
        <f t="shared" si="215"/>
        <v>4081.5200000000004</v>
      </c>
      <c r="I661" s="40">
        <f t="shared" si="215"/>
        <v>4032.3999999999996</v>
      </c>
      <c r="J661" s="40">
        <f t="shared" si="215"/>
        <v>3856.7199999999993</v>
      </c>
      <c r="K661" s="40">
        <f t="shared" si="215"/>
        <v>3720.7000000000007</v>
      </c>
      <c r="L661" s="40">
        <f t="shared" si="215"/>
        <v>4017.2199999999993</v>
      </c>
      <c r="M661" s="40">
        <f t="shared" si="215"/>
        <v>4086.76</v>
      </c>
      <c r="N661" s="40">
        <f t="shared" si="215"/>
        <v>3946.84</v>
      </c>
      <c r="O661" s="61"/>
      <c r="P661" s="61"/>
      <c r="Q661" s="62"/>
      <c r="R661" s="62"/>
      <c r="S661" s="139"/>
      <c r="T661" s="8"/>
      <c r="U661" s="146"/>
      <c r="V661" s="178"/>
      <c r="X661" s="118"/>
      <c r="Y661" s="118"/>
      <c r="Z661" s="118"/>
      <c r="AA661" s="118"/>
    </row>
    <row r="662" spans="1:29" x14ac:dyDescent="0.25">
      <c r="A662" s="210">
        <v>43387</v>
      </c>
      <c r="B662" s="215" t="s">
        <v>169</v>
      </c>
      <c r="C662" s="6" t="s">
        <v>171</v>
      </c>
      <c r="D662" s="6" t="s">
        <v>189</v>
      </c>
      <c r="E662" s="61" t="s">
        <v>186</v>
      </c>
      <c r="F662" s="8">
        <v>1920.23</v>
      </c>
      <c r="G662" s="8">
        <v>1912.53</v>
      </c>
      <c r="H662" s="8">
        <v>1907.95</v>
      </c>
      <c r="I662" s="8">
        <v>1917.67</v>
      </c>
      <c r="J662" s="8">
        <v>1925.22</v>
      </c>
      <c r="K662" s="8">
        <v>1922.32</v>
      </c>
      <c r="L662" s="8">
        <v>1913.2</v>
      </c>
      <c r="M662" s="8">
        <v>1918.71</v>
      </c>
      <c r="N662" s="8">
        <v>1924.12</v>
      </c>
      <c r="O662" s="61">
        <f>IF((N663=""),"",MAX(F664:N664))</f>
        <v>2081.79</v>
      </c>
      <c r="P662" s="61">
        <f>IF(N663="","",MIN(F664:N664))</f>
        <v>1980.2399999999998</v>
      </c>
      <c r="Q662" s="62">
        <f>IF((N664=""),"",AVERAGE(F664:N664))</f>
        <v>2023.49</v>
      </c>
      <c r="R662" s="62">
        <f>IF((N663=""),"",(O662-P662)/(O662+P662)*100)</f>
        <v>2.4999815363254378</v>
      </c>
      <c r="S662" s="139">
        <f>STDEV(F664:N664)</f>
        <v>34.026279182420318</v>
      </c>
      <c r="T662" s="5" t="str">
        <f>IF(N663="","",IF(Q662&gt;1940,IF(R662&lt;8.3,IF(Q662&lt;2180,"Pass","Fail"),"Fail"),"Fail"))</f>
        <v>Pass</v>
      </c>
      <c r="U662" s="146">
        <v>1340</v>
      </c>
      <c r="V662" s="178" t="s">
        <v>209</v>
      </c>
      <c r="X662" s="116">
        <v>2000</v>
      </c>
      <c r="Y662" s="116">
        <v>3000</v>
      </c>
      <c r="Z662" s="116">
        <v>1940</v>
      </c>
      <c r="AA662" s="116">
        <v>2180</v>
      </c>
      <c r="AB662" s="31">
        <v>5.2</v>
      </c>
      <c r="AC662" s="31">
        <v>5.2</v>
      </c>
    </row>
    <row r="663" spans="1:29" ht="15.6" x14ac:dyDescent="0.3">
      <c r="A663"/>
      <c r="B663" s="24"/>
      <c r="C663" s="6"/>
      <c r="D663" s="6"/>
      <c r="E663" s="61" t="s">
        <v>187</v>
      </c>
      <c r="F663" s="8">
        <v>1260.1500000000001</v>
      </c>
      <c r="G663" s="8">
        <v>1235.8599999999999</v>
      </c>
      <c r="H663" s="8">
        <v>1228.04</v>
      </c>
      <c r="I663" s="8">
        <v>1230.26</v>
      </c>
      <c r="J663" s="8">
        <v>1259.0899999999999</v>
      </c>
      <c r="K663" s="8">
        <v>1260.43</v>
      </c>
      <c r="L663" s="8">
        <v>1239.6300000000001</v>
      </c>
      <c r="M663" s="8">
        <v>1224.78</v>
      </c>
      <c r="N663" s="8">
        <v>1253.24</v>
      </c>
      <c r="O663" s="61"/>
      <c r="P663" s="61"/>
      <c r="Q663" s="62"/>
      <c r="R663" s="62"/>
      <c r="S663" s="139"/>
      <c r="T663" s="5"/>
      <c r="U663" s="140"/>
      <c r="V663" s="178"/>
      <c r="X663" s="118"/>
      <c r="Y663" s="118"/>
      <c r="Z663" s="118"/>
      <c r="AA663" s="118"/>
    </row>
    <row r="664" spans="1:29" ht="15.6" x14ac:dyDescent="0.3">
      <c r="A664"/>
      <c r="B664" s="24"/>
      <c r="C664" s="6"/>
      <c r="D664" s="6"/>
      <c r="E664" s="61" t="s">
        <v>190</v>
      </c>
      <c r="F664" s="40">
        <f t="shared" ref="F664:N664" si="216">IF(((F662="")*AND(F663="")),"",(F662-F663)*3)</f>
        <v>1980.2399999999998</v>
      </c>
      <c r="G664" s="40">
        <f t="shared" si="216"/>
        <v>2030.0100000000002</v>
      </c>
      <c r="H664" s="40">
        <f t="shared" si="216"/>
        <v>2039.7300000000002</v>
      </c>
      <c r="I664" s="40">
        <f t="shared" si="216"/>
        <v>2062.2300000000005</v>
      </c>
      <c r="J664" s="40">
        <f t="shared" si="216"/>
        <v>1998.3900000000003</v>
      </c>
      <c r="K664" s="40">
        <f t="shared" si="216"/>
        <v>1985.6699999999996</v>
      </c>
      <c r="L664" s="40">
        <f t="shared" si="216"/>
        <v>2020.7099999999998</v>
      </c>
      <c r="M664" s="40">
        <f t="shared" si="216"/>
        <v>2081.79</v>
      </c>
      <c r="N664" s="40">
        <f t="shared" si="216"/>
        <v>2012.6399999999996</v>
      </c>
      <c r="O664" s="61"/>
      <c r="P664" s="61"/>
      <c r="Q664" s="62"/>
      <c r="R664" s="62"/>
      <c r="S664" s="139"/>
      <c r="T664" s="5"/>
      <c r="U664" s="140"/>
      <c r="V664" s="178"/>
      <c r="X664" s="118"/>
      <c r="Y664" s="118"/>
      <c r="Z664" s="118"/>
      <c r="AA664" s="118"/>
    </row>
    <row r="665" spans="1:29" x14ac:dyDescent="0.25">
      <c r="A665" s="210">
        <v>43387</v>
      </c>
      <c r="B665" s="218" t="s">
        <v>185</v>
      </c>
      <c r="C665" s="6" t="s">
        <v>173</v>
      </c>
      <c r="D665" s="6" t="s">
        <v>172</v>
      </c>
      <c r="E665" s="61" t="s">
        <v>186</v>
      </c>
      <c r="F665" s="8">
        <v>29268.38</v>
      </c>
      <c r="G665" s="8">
        <v>29186.81</v>
      </c>
      <c r="H665" s="8">
        <v>29207.61</v>
      </c>
      <c r="I665" s="8">
        <v>29170.240000000002</v>
      </c>
      <c r="J665" s="8">
        <v>29225.9</v>
      </c>
      <c r="K665" s="8">
        <v>29222.880000000001</v>
      </c>
      <c r="L665" s="8">
        <v>29176.38</v>
      </c>
      <c r="M665" s="8">
        <v>29175.06</v>
      </c>
      <c r="N665" s="8">
        <v>29278.5</v>
      </c>
      <c r="O665" s="61">
        <f>IF((N666=""),"",MAX(F667:N667))</f>
        <v>4528.7099999999991</v>
      </c>
      <c r="P665" s="61">
        <f>IF(N666="","",MIN(F667:N667))</f>
        <v>4086.3300000000017</v>
      </c>
      <c r="Q665" s="62">
        <f>IF((N667=""),"",AVERAGE(F667:N667))</f>
        <v>4263.9600000000037</v>
      </c>
      <c r="R665" s="62">
        <f>IF((N666=""),"",(O665-P665)/(O665+P665)*100)</f>
        <v>5.134973256073069</v>
      </c>
      <c r="S665" s="139">
        <f>STDEV(F667:N667)</f>
        <v>162.9352316873163</v>
      </c>
      <c r="T665" s="5" t="str">
        <f>IF(N666="","",IF(R665&lt;16,IF(Q665&gt;3200,IF(R665,IF(Q665&lt;5240,"Pass","Fail"),"Fail"),"Fail")))</f>
        <v>Pass</v>
      </c>
      <c r="U665" s="146">
        <v>1340</v>
      </c>
      <c r="V665" s="178" t="s">
        <v>209</v>
      </c>
      <c r="X665" s="116">
        <v>4200</v>
      </c>
      <c r="Y665" s="116">
        <v>5500</v>
      </c>
      <c r="Z665" s="116">
        <v>3200</v>
      </c>
      <c r="AA665" s="116">
        <v>5240</v>
      </c>
      <c r="AB665" s="31">
        <v>16</v>
      </c>
      <c r="AC665" s="31">
        <v>16</v>
      </c>
    </row>
    <row r="666" spans="1:29" ht="15.6" x14ac:dyDescent="0.3">
      <c r="A666"/>
      <c r="B666" s="24"/>
      <c r="C666" s="6"/>
      <c r="D666" s="6"/>
      <c r="E666" s="61" t="s">
        <v>187</v>
      </c>
      <c r="F666" s="8">
        <v>27779.29</v>
      </c>
      <c r="G666" s="8">
        <v>27792.41</v>
      </c>
      <c r="H666" s="8">
        <v>27845.5</v>
      </c>
      <c r="I666" s="8">
        <v>27796.03</v>
      </c>
      <c r="J666" s="8">
        <v>27768.01</v>
      </c>
      <c r="K666" s="8">
        <v>27787.81</v>
      </c>
      <c r="L666" s="8">
        <v>27808.48</v>
      </c>
      <c r="M666" s="8">
        <v>27773.42</v>
      </c>
      <c r="N666" s="8">
        <v>27768.93</v>
      </c>
      <c r="O666" s="61"/>
      <c r="P666" s="61"/>
      <c r="Q666" s="62"/>
      <c r="R666" s="62"/>
      <c r="S666" s="139"/>
      <c r="T666" s="5"/>
      <c r="U666" s="140"/>
      <c r="V666" s="178"/>
      <c r="X666" s="118"/>
      <c r="Y666" s="118"/>
      <c r="Z666" s="118"/>
      <c r="AA666" s="118"/>
    </row>
    <row r="667" spans="1:29" ht="23.4" thickBot="1" x14ac:dyDescent="0.35">
      <c r="A667"/>
      <c r="B667" s="63"/>
      <c r="C667" s="64"/>
      <c r="D667" s="64"/>
      <c r="E667" s="65" t="s">
        <v>188</v>
      </c>
      <c r="F667" s="53">
        <f t="shared" ref="F667:N667" si="217">IF(((F665="")*AND(F666="")),"",(F665-F666)*3)</f>
        <v>4467.2700000000004</v>
      </c>
      <c r="G667" s="53">
        <f t="shared" si="217"/>
        <v>4183.2000000000044</v>
      </c>
      <c r="H667" s="53">
        <f t="shared" si="217"/>
        <v>4086.3300000000017</v>
      </c>
      <c r="I667" s="53">
        <f t="shared" si="217"/>
        <v>4122.6300000000083</v>
      </c>
      <c r="J667" s="53">
        <f t="shared" si="217"/>
        <v>4373.6700000000092</v>
      </c>
      <c r="K667" s="53">
        <f t="shared" si="217"/>
        <v>4305.2099999999991</v>
      </c>
      <c r="L667" s="53">
        <f t="shared" si="217"/>
        <v>4103.7000000000044</v>
      </c>
      <c r="M667" s="53">
        <f t="shared" si="217"/>
        <v>4204.9200000000092</v>
      </c>
      <c r="N667" s="53">
        <f t="shared" si="217"/>
        <v>4528.7099999999991</v>
      </c>
      <c r="O667" s="65"/>
      <c r="P667" s="65"/>
      <c r="Q667" s="66"/>
      <c r="R667" s="66"/>
      <c r="S667" s="142"/>
      <c r="T667" s="143"/>
      <c r="U667" s="144"/>
      <c r="V667" s="178"/>
      <c r="X667" s="118"/>
      <c r="Y667" s="118"/>
      <c r="Z667" s="118"/>
      <c r="AA667" s="118"/>
    </row>
    <row r="668" spans="1:29" x14ac:dyDescent="0.25">
      <c r="A668" s="207">
        <v>43390</v>
      </c>
      <c r="B668" s="219" t="s">
        <v>174</v>
      </c>
      <c r="C668" s="39" t="s">
        <v>176</v>
      </c>
      <c r="D668" s="39" t="s">
        <v>175</v>
      </c>
      <c r="E668" s="41" t="s">
        <v>186</v>
      </c>
      <c r="F668" s="111">
        <v>4996.04</v>
      </c>
      <c r="G668" s="111">
        <v>4906.16</v>
      </c>
      <c r="H668" s="111">
        <v>4904.93</v>
      </c>
      <c r="I668" s="111">
        <v>4870.8</v>
      </c>
      <c r="J668" s="111">
        <v>5001.92</v>
      </c>
      <c r="K668" s="111">
        <v>5015.62</v>
      </c>
      <c r="L668" s="111">
        <v>4883.22</v>
      </c>
      <c r="M668" s="111">
        <v>4885.9399999999996</v>
      </c>
      <c r="N668" s="111">
        <v>5019.01</v>
      </c>
      <c r="O668" s="41">
        <f>IF((N669=""),"",MAX(F670:N670))</f>
        <v>4082.9799999999996</v>
      </c>
      <c r="P668" s="41">
        <f>IF(N669="","",MIN(F670:N670))</f>
        <v>3654.96</v>
      </c>
      <c r="Q668" s="42">
        <f>IF((N670=""),"",AVERAGE(F670:N670))</f>
        <v>3934.6377777777775</v>
      </c>
      <c r="R668" s="42">
        <f>IF((N669=""),"",(O668-P668)/(O668+P668)*100)</f>
        <v>5.5314463539391561</v>
      </c>
      <c r="S668" s="151">
        <f>STDEV(F670:N670)</f>
        <v>145.70417785514758</v>
      </c>
      <c r="T668" s="119" t="str">
        <f>IF(N669="","",IF(Q668&gt;3650,IF(R668&lt;7,IF(Q668&lt;4450,"Pass","Fail"),"Fail"),"Fail"))</f>
        <v>Pass</v>
      </c>
      <c r="U668" s="145">
        <v>102</v>
      </c>
      <c r="V668" s="224" t="s">
        <v>210</v>
      </c>
      <c r="X668" s="116">
        <v>3650</v>
      </c>
      <c r="Y668" s="116">
        <v>4450</v>
      </c>
      <c r="Z668" s="116">
        <v>3700</v>
      </c>
      <c r="AA668" s="116">
        <v>4100</v>
      </c>
      <c r="AB668" s="31">
        <v>7</v>
      </c>
      <c r="AC668" s="31">
        <v>6.5</v>
      </c>
    </row>
    <row r="669" spans="1:29" ht="15.6" x14ac:dyDescent="0.3">
      <c r="A669"/>
      <c r="B669" s="24"/>
      <c r="C669" s="6"/>
      <c r="D669" s="6"/>
      <c r="E669" s="61" t="s">
        <v>187</v>
      </c>
      <c r="F669" s="8">
        <v>3077.78</v>
      </c>
      <c r="G669" s="8">
        <v>2887.31</v>
      </c>
      <c r="H669" s="8">
        <v>2871.47</v>
      </c>
      <c r="I669" s="8">
        <v>2862.88</v>
      </c>
      <c r="J669" s="8">
        <v>3106.23</v>
      </c>
      <c r="K669" s="8">
        <v>3188.14</v>
      </c>
      <c r="L669" s="8">
        <v>2881.95</v>
      </c>
      <c r="M669" s="8">
        <v>2844.45</v>
      </c>
      <c r="N669" s="8">
        <v>3057.56</v>
      </c>
      <c r="O669" s="61"/>
      <c r="P669" s="61"/>
      <c r="Q669" s="62"/>
      <c r="R669" s="62"/>
      <c r="S669" s="139"/>
      <c r="T669" s="8"/>
      <c r="U669" s="146"/>
      <c r="V669" s="179"/>
      <c r="X669" s="118"/>
      <c r="Y669" s="118"/>
      <c r="Z669" s="118"/>
      <c r="AA669" s="118"/>
    </row>
    <row r="670" spans="1:29" ht="22.8" x14ac:dyDescent="0.3">
      <c r="A670"/>
      <c r="B670" s="24"/>
      <c r="C670" s="6"/>
      <c r="D670" s="6"/>
      <c r="E670" s="61" t="s">
        <v>188</v>
      </c>
      <c r="F670" s="40">
        <f t="shared" ref="F670:N670" si="218">IF(((F668="")*AND(F669="")),"",(F668-F669)*2)</f>
        <v>3836.5199999999995</v>
      </c>
      <c r="G670" s="40">
        <f t="shared" si="218"/>
        <v>4037.7</v>
      </c>
      <c r="H670" s="40">
        <f t="shared" si="218"/>
        <v>4066.920000000001</v>
      </c>
      <c r="I670" s="40">
        <f t="shared" si="218"/>
        <v>4015.84</v>
      </c>
      <c r="J670" s="40">
        <f t="shared" si="218"/>
        <v>3791.38</v>
      </c>
      <c r="K670" s="40">
        <f t="shared" si="218"/>
        <v>3654.96</v>
      </c>
      <c r="L670" s="40">
        <f t="shared" si="218"/>
        <v>4002.5400000000009</v>
      </c>
      <c r="M670" s="40">
        <f t="shared" si="218"/>
        <v>4082.9799999999996</v>
      </c>
      <c r="N670" s="40">
        <f t="shared" si="218"/>
        <v>3922.9000000000005</v>
      </c>
      <c r="O670" s="61"/>
      <c r="P670" s="61"/>
      <c r="Q670" s="62"/>
      <c r="R670" s="62"/>
      <c r="S670" s="139"/>
      <c r="T670" s="8"/>
      <c r="U670" s="146"/>
      <c r="V670" s="179"/>
      <c r="X670" s="118"/>
      <c r="Y670" s="118"/>
      <c r="Z670" s="118"/>
      <c r="AA670" s="118"/>
    </row>
    <row r="671" spans="1:29" x14ac:dyDescent="0.25">
      <c r="A671" s="210">
        <v>43390</v>
      </c>
      <c r="B671" s="215" t="s">
        <v>169</v>
      </c>
      <c r="C671" s="6" t="s">
        <v>171</v>
      </c>
      <c r="D671" s="6" t="s">
        <v>189</v>
      </c>
      <c r="E671" s="61" t="s">
        <v>186</v>
      </c>
      <c r="F671" s="8">
        <v>1262.03</v>
      </c>
      <c r="G671" s="8">
        <v>1238.1400000000001</v>
      </c>
      <c r="H671" s="8">
        <v>1229.95</v>
      </c>
      <c r="I671" s="8">
        <v>1231.8699999999999</v>
      </c>
      <c r="J671" s="8">
        <v>1261.8499999999999</v>
      </c>
      <c r="K671" s="8">
        <v>1264.43</v>
      </c>
      <c r="L671" s="8">
        <v>1240.99</v>
      </c>
      <c r="M671" s="8">
        <v>1225.99</v>
      </c>
      <c r="N671" s="8">
        <v>1251.0899999999999</v>
      </c>
      <c r="O671" s="61">
        <f>IF((N672=""),"",MAX(F673:N673))</f>
        <v>2093.2200000000003</v>
      </c>
      <c r="P671" s="61">
        <f>IF(N672="","",MIN(F673:N673))</f>
        <v>1992.1799999999998</v>
      </c>
      <c r="Q671" s="62">
        <f>IF((N673=""),"",AVERAGE(F673:N673))</f>
        <v>2050.1999999999998</v>
      </c>
      <c r="R671" s="62">
        <f>IF((N672=""),"",(O671-P671)/(O671+P671)*100)</f>
        <v>2.4731972389484609</v>
      </c>
      <c r="S671" s="139">
        <f>STDEV(F673:N673)</f>
        <v>41.237771823899607</v>
      </c>
      <c r="T671" s="5" t="str">
        <f>IF(N672="","",IF(Q671&gt;1940,IF(R671&lt;8.3,IF(Q671&lt;2180,"Pass","Fail"),"Fail"),"Fail"))</f>
        <v>Pass</v>
      </c>
      <c r="U671" s="146">
        <v>102</v>
      </c>
      <c r="V671" s="179" t="s">
        <v>210</v>
      </c>
      <c r="X671" s="116">
        <v>2000</v>
      </c>
      <c r="Y671" s="116">
        <v>3000</v>
      </c>
      <c r="Z671" s="116">
        <v>1940</v>
      </c>
      <c r="AA671" s="116">
        <v>2180</v>
      </c>
      <c r="AB671" s="31">
        <v>5.2</v>
      </c>
      <c r="AC671" s="31">
        <v>5.2</v>
      </c>
    </row>
    <row r="672" spans="1:29" ht="15.6" x14ac:dyDescent="0.3">
      <c r="A672"/>
      <c r="B672" s="24"/>
      <c r="C672" s="6"/>
      <c r="D672" s="6"/>
      <c r="E672" s="61" t="s">
        <v>187</v>
      </c>
      <c r="F672" s="8">
        <v>589.75</v>
      </c>
      <c r="G672" s="8">
        <v>540.6</v>
      </c>
      <c r="H672" s="8">
        <v>532.21</v>
      </c>
      <c r="I672" s="8">
        <v>542.16999999999996</v>
      </c>
      <c r="J672" s="8">
        <v>595.51</v>
      </c>
      <c r="K672" s="8">
        <v>588.52</v>
      </c>
      <c r="L672" s="8">
        <v>550.38</v>
      </c>
      <c r="M672" s="8">
        <v>529.57000000000005</v>
      </c>
      <c r="N672" s="8">
        <v>587.03</v>
      </c>
      <c r="O672" s="61"/>
      <c r="P672" s="61"/>
      <c r="Q672" s="62"/>
      <c r="R672" s="62"/>
      <c r="S672" s="139"/>
      <c r="T672" s="5"/>
      <c r="U672" s="140"/>
      <c r="V672" s="179"/>
      <c r="X672" s="118"/>
      <c r="Y672" s="118"/>
      <c r="Z672" s="118"/>
      <c r="AA672" s="118"/>
    </row>
    <row r="673" spans="1:29" ht="15.6" x14ac:dyDescent="0.3">
      <c r="A673"/>
      <c r="B673" s="24"/>
      <c r="C673" s="6"/>
      <c r="D673" s="6"/>
      <c r="E673" s="61" t="s">
        <v>190</v>
      </c>
      <c r="F673" s="40">
        <f t="shared" ref="F673:N673" si="219">IF(((F671="")*AND(F672="")),"",(F671-F672)*3)</f>
        <v>2016.84</v>
      </c>
      <c r="G673" s="40">
        <f t="shared" si="219"/>
        <v>2092.6200000000003</v>
      </c>
      <c r="H673" s="40">
        <f t="shared" si="219"/>
        <v>2093.2200000000003</v>
      </c>
      <c r="I673" s="40">
        <f t="shared" si="219"/>
        <v>2069.1</v>
      </c>
      <c r="J673" s="40">
        <f t="shared" si="219"/>
        <v>1999.0199999999998</v>
      </c>
      <c r="K673" s="40">
        <f t="shared" si="219"/>
        <v>2027.7300000000002</v>
      </c>
      <c r="L673" s="40">
        <f t="shared" si="219"/>
        <v>2071.83</v>
      </c>
      <c r="M673" s="40">
        <f t="shared" si="219"/>
        <v>2089.2599999999998</v>
      </c>
      <c r="N673" s="40">
        <f t="shared" si="219"/>
        <v>1992.1799999999998</v>
      </c>
      <c r="O673" s="61"/>
      <c r="P673" s="61"/>
      <c r="Q673" s="62"/>
      <c r="R673" s="62"/>
      <c r="S673" s="139"/>
      <c r="T673" s="5"/>
      <c r="U673" s="140"/>
      <c r="V673" s="179"/>
      <c r="X673" s="118"/>
      <c r="Y673" s="118"/>
      <c r="Z673" s="118"/>
      <c r="AA673" s="118"/>
    </row>
    <row r="674" spans="1:29" x14ac:dyDescent="0.25">
      <c r="A674" s="210">
        <v>43390</v>
      </c>
      <c r="B674" s="218" t="s">
        <v>185</v>
      </c>
      <c r="C674" s="6" t="s">
        <v>173</v>
      </c>
      <c r="D674" s="6" t="s">
        <v>172</v>
      </c>
      <c r="E674" s="61" t="s">
        <v>186</v>
      </c>
      <c r="F674" s="8">
        <v>27735.52</v>
      </c>
      <c r="G674" s="8">
        <v>27745.91</v>
      </c>
      <c r="H674" s="8">
        <v>27801.4</v>
      </c>
      <c r="I674" s="8">
        <v>27758.67</v>
      </c>
      <c r="J674" s="8">
        <v>27720.59</v>
      </c>
      <c r="K674" s="8">
        <v>27736.92</v>
      </c>
      <c r="L674" s="8">
        <v>27770.37</v>
      </c>
      <c r="M674" s="8">
        <v>27736.71</v>
      </c>
      <c r="N674" s="8">
        <v>27717.21</v>
      </c>
      <c r="O674" s="61">
        <f>IF((N675=""),"",MAX(F676:N676))</f>
        <v>4444.0800000000017</v>
      </c>
      <c r="P674" s="61">
        <f>IF(N675="","",MIN(F676:N676))</f>
        <v>4009.320000000007</v>
      </c>
      <c r="Q674" s="62">
        <f>IF((N676=""),"",AVERAGE(F676:N676))</f>
        <v>4192.6899999999987</v>
      </c>
      <c r="R674" s="62">
        <f>IF((N675=""),"",(O674-P674)/(O674+P674)*100)</f>
        <v>5.143019376818728</v>
      </c>
      <c r="S674" s="139">
        <f>STDEV(F676:N676)</f>
        <v>165.84239461006271</v>
      </c>
      <c r="T674" s="5" t="str">
        <f>IF(N675="","",IF(R674&lt;16,IF(Q674&gt;3200,IF(R674,IF(Q674&lt;5240,"Pass","Fail"),"Fail"),"Fail")))</f>
        <v>Pass</v>
      </c>
      <c r="U674" s="146">
        <v>102</v>
      </c>
      <c r="V674" s="179" t="s">
        <v>210</v>
      </c>
      <c r="X674" s="116">
        <v>4200</v>
      </c>
      <c r="Y674" s="116">
        <v>5500</v>
      </c>
      <c r="Z674" s="116">
        <v>3200</v>
      </c>
      <c r="AA674" s="116">
        <v>5240</v>
      </c>
      <c r="AB674" s="31">
        <v>16</v>
      </c>
      <c r="AC674" s="31">
        <v>16</v>
      </c>
    </row>
    <row r="675" spans="1:29" ht="15.6" x14ac:dyDescent="0.3">
      <c r="A675"/>
      <c r="B675" s="24"/>
      <c r="C675" s="6"/>
      <c r="D675" s="6"/>
      <c r="E675" s="61" t="s">
        <v>187</v>
      </c>
      <c r="F675" s="8">
        <v>26264.240000000002</v>
      </c>
      <c r="G675" s="8">
        <v>26386.76</v>
      </c>
      <c r="H675" s="8">
        <v>26464.959999999999</v>
      </c>
      <c r="I675" s="8">
        <v>26401.87</v>
      </c>
      <c r="J675" s="8">
        <v>26281.38</v>
      </c>
      <c r="K675" s="8">
        <v>26327.93</v>
      </c>
      <c r="L675" s="8">
        <v>26427.74</v>
      </c>
      <c r="M675" s="8">
        <v>26354.5</v>
      </c>
      <c r="N675" s="8">
        <v>26235.85</v>
      </c>
      <c r="O675" s="61"/>
      <c r="P675" s="61"/>
      <c r="Q675" s="62"/>
      <c r="R675" s="62"/>
      <c r="S675" s="139"/>
      <c r="T675" s="5"/>
      <c r="U675" s="140"/>
      <c r="V675" s="179"/>
      <c r="X675" s="118"/>
      <c r="Y675" s="118"/>
      <c r="Z675" s="118"/>
      <c r="AA675" s="118"/>
    </row>
    <row r="676" spans="1:29" ht="23.4" thickBot="1" x14ac:dyDescent="0.35">
      <c r="A676"/>
      <c r="B676" s="63"/>
      <c r="C676" s="64"/>
      <c r="D676" s="64"/>
      <c r="E676" s="65" t="s">
        <v>188</v>
      </c>
      <c r="F676" s="53">
        <f t="shared" ref="F676:N676" si="220">IF(((F674="")*AND(F675="")),"",(F674-F675)*3)</f>
        <v>4413.8399999999965</v>
      </c>
      <c r="G676" s="53">
        <f t="shared" si="220"/>
        <v>4077.4500000000044</v>
      </c>
      <c r="H676" s="53">
        <f t="shared" si="220"/>
        <v>4009.320000000007</v>
      </c>
      <c r="I676" s="53">
        <f t="shared" si="220"/>
        <v>4070.3999999999978</v>
      </c>
      <c r="J676" s="53">
        <f t="shared" si="220"/>
        <v>4317.6299999999974</v>
      </c>
      <c r="K676" s="53">
        <f t="shared" si="220"/>
        <v>4226.9699999999939</v>
      </c>
      <c r="L676" s="53">
        <f t="shared" si="220"/>
        <v>4027.8899999999921</v>
      </c>
      <c r="M676" s="53">
        <f t="shared" si="220"/>
        <v>4146.6299999999974</v>
      </c>
      <c r="N676" s="53">
        <f t="shared" si="220"/>
        <v>4444.0800000000017</v>
      </c>
      <c r="O676" s="65"/>
      <c r="P676" s="65"/>
      <c r="Q676" s="66"/>
      <c r="R676" s="66"/>
      <c r="S676" s="142"/>
      <c r="T676" s="143"/>
      <c r="U676" s="144"/>
      <c r="V676" s="179"/>
      <c r="X676" s="118"/>
      <c r="Y676" s="118"/>
      <c r="Z676" s="118"/>
      <c r="AA676" s="118"/>
    </row>
    <row r="677" spans="1:29" x14ac:dyDescent="0.25">
      <c r="A677" s="207">
        <v>43394</v>
      </c>
      <c r="B677" s="219" t="s">
        <v>174</v>
      </c>
      <c r="C677" s="39" t="s">
        <v>176</v>
      </c>
      <c r="D677" s="39" t="s">
        <v>175</v>
      </c>
      <c r="E677" s="41" t="s">
        <v>186</v>
      </c>
      <c r="F677" s="11">
        <v>3086.13</v>
      </c>
      <c r="G677" s="11">
        <v>2894.35</v>
      </c>
      <c r="H677" s="11">
        <v>2878.24</v>
      </c>
      <c r="I677" s="11">
        <v>2869.15</v>
      </c>
      <c r="J677" s="11">
        <v>3113.34</v>
      </c>
      <c r="K677" s="11">
        <v>3195.98</v>
      </c>
      <c r="L677" s="11">
        <v>2888.48</v>
      </c>
      <c r="M677" s="11">
        <v>2851.33</v>
      </c>
      <c r="N677" s="11">
        <v>3065.83</v>
      </c>
      <c r="O677" s="41">
        <f>IF((N678=""),"",MAX(F679:N679))</f>
        <v>4100.9799999999996</v>
      </c>
      <c r="P677" s="41">
        <f>IF(N678="","",MIN(F679:N679))</f>
        <v>3748.18</v>
      </c>
      <c r="Q677" s="42">
        <f>IF((N679=""),"",AVERAGE(F679:N679))</f>
        <v>3974.4377777777781</v>
      </c>
      <c r="R677" s="42">
        <f>IF((N678=""),"",(O677-P677)/(O677+P677)*100)</f>
        <v>4.4947484826401771</v>
      </c>
      <c r="S677" s="151">
        <f>STDEV(F679:N679)</f>
        <v>124.5017479573858</v>
      </c>
      <c r="T677" s="119" t="str">
        <f>IF(N678="","",IF(Q677&gt;3650,IF(R677&lt;7,IF(Q677&lt;4450,"Pass","Fail"),"Fail"),"Fail"))</f>
        <v>Pass</v>
      </c>
      <c r="U677" s="145">
        <v>121</v>
      </c>
      <c r="V677" s="224" t="s">
        <v>211</v>
      </c>
      <c r="X677" s="116">
        <v>3650</v>
      </c>
      <c r="Y677" s="116">
        <v>4450</v>
      </c>
      <c r="Z677" s="116">
        <v>3700</v>
      </c>
      <c r="AA677" s="116">
        <v>4100</v>
      </c>
      <c r="AB677" s="31">
        <v>7</v>
      </c>
      <c r="AC677" s="31">
        <v>6.5</v>
      </c>
    </row>
    <row r="678" spans="1:29" ht="15.6" x14ac:dyDescent="0.3">
      <c r="A678"/>
      <c r="B678" s="24"/>
      <c r="C678" s="6"/>
      <c r="D678" s="6"/>
      <c r="E678" s="61" t="s">
        <v>187</v>
      </c>
      <c r="F678" s="11">
        <v>1145.8399999999999</v>
      </c>
      <c r="G678" s="11">
        <v>859.5</v>
      </c>
      <c r="H678" s="11">
        <v>830.66</v>
      </c>
      <c r="I678" s="11">
        <v>848.67</v>
      </c>
      <c r="J678" s="11">
        <v>1188.8800000000001</v>
      </c>
      <c r="K678" s="11">
        <v>1321.89</v>
      </c>
      <c r="L678" s="11">
        <v>871.22</v>
      </c>
      <c r="M678" s="11">
        <v>800.84</v>
      </c>
      <c r="N678" s="11">
        <v>1090.3599999999999</v>
      </c>
      <c r="O678" s="61"/>
      <c r="P678" s="61"/>
      <c r="Q678" s="62"/>
      <c r="R678" s="62"/>
      <c r="S678" s="139"/>
      <c r="T678" s="8"/>
      <c r="U678" s="146"/>
      <c r="V678" s="179"/>
      <c r="X678" s="118"/>
      <c r="Y678" s="118"/>
      <c r="Z678" s="118"/>
      <c r="AA678" s="118"/>
    </row>
    <row r="679" spans="1:29" ht="22.8" x14ac:dyDescent="0.3">
      <c r="A679"/>
      <c r="B679" s="24"/>
      <c r="C679" s="6"/>
      <c r="D679" s="6"/>
      <c r="E679" s="61" t="s">
        <v>188</v>
      </c>
      <c r="F679" s="40">
        <f t="shared" ref="F679:N679" si="221">IF(((F677="")*AND(F678="")),"",(F677-F678)*2)</f>
        <v>3880.5800000000004</v>
      </c>
      <c r="G679" s="40">
        <f t="shared" si="221"/>
        <v>4069.7</v>
      </c>
      <c r="H679" s="40">
        <f t="shared" si="221"/>
        <v>4095.16</v>
      </c>
      <c r="I679" s="40">
        <f t="shared" si="221"/>
        <v>4040.96</v>
      </c>
      <c r="J679" s="40">
        <f t="shared" si="221"/>
        <v>3848.92</v>
      </c>
      <c r="K679" s="40">
        <f t="shared" si="221"/>
        <v>3748.18</v>
      </c>
      <c r="L679" s="40">
        <f t="shared" si="221"/>
        <v>4034.52</v>
      </c>
      <c r="M679" s="40">
        <f t="shared" si="221"/>
        <v>4100.9799999999996</v>
      </c>
      <c r="N679" s="40">
        <f t="shared" si="221"/>
        <v>3950.94</v>
      </c>
      <c r="O679" s="61"/>
      <c r="P679" s="61"/>
      <c r="Q679" s="62"/>
      <c r="R679" s="62"/>
      <c r="S679" s="139"/>
      <c r="T679" s="8"/>
      <c r="U679" s="146"/>
      <c r="V679" s="179"/>
      <c r="X679" s="118"/>
      <c r="Y679" s="118"/>
      <c r="Z679" s="118"/>
      <c r="AA679" s="118"/>
    </row>
    <row r="680" spans="1:29" x14ac:dyDescent="0.25">
      <c r="A680" s="210">
        <v>43394</v>
      </c>
      <c r="B680" s="215" t="s">
        <v>169</v>
      </c>
      <c r="C680" s="6" t="s">
        <v>171</v>
      </c>
      <c r="D680" s="6" t="s">
        <v>189</v>
      </c>
      <c r="E680" s="61" t="s">
        <v>186</v>
      </c>
      <c r="F680" s="11">
        <v>1914.37</v>
      </c>
      <c r="G680" s="11">
        <v>1909.18</v>
      </c>
      <c r="H680" s="11">
        <v>1903.3</v>
      </c>
      <c r="I680" s="11">
        <v>1905.15</v>
      </c>
      <c r="J680" s="11">
        <v>1912.84</v>
      </c>
      <c r="K680" s="11">
        <v>1913.59</v>
      </c>
      <c r="L680" s="11">
        <v>1912.61</v>
      </c>
      <c r="M680" s="11">
        <v>1909.3</v>
      </c>
      <c r="N680" s="11">
        <v>1914.96</v>
      </c>
      <c r="O680" s="61">
        <f>IF((N681=""),"",MAX(F682:N682))</f>
        <v>2094.06</v>
      </c>
      <c r="P680" s="61">
        <f>IF(N681="","",MIN(F682:N682))</f>
        <v>1973.7000000000003</v>
      </c>
      <c r="Q680" s="62">
        <f>IF((N682=""),"",AVERAGE(F682:N682))</f>
        <v>2040.7333333333336</v>
      </c>
      <c r="R680" s="62">
        <f>IF((N681=""),"",(O680-P680)/(O680+P680)*100)</f>
        <v>2.9588766298896609</v>
      </c>
      <c r="S680" s="139">
        <f>STDEV(F682:N682)</f>
        <v>46.618574088017809</v>
      </c>
      <c r="T680" s="5" t="str">
        <f>IF(N681="","",IF(Q680&gt;1940,IF(R680&lt;8.3,IF(Q680&lt;2180,"Pass","Fail"),"Fail"),"Fail"))</f>
        <v>Pass</v>
      </c>
      <c r="U680" s="146">
        <v>121</v>
      </c>
      <c r="V680" s="179" t="s">
        <v>211</v>
      </c>
      <c r="X680" s="116">
        <v>2000</v>
      </c>
      <c r="Y680" s="116">
        <v>3000</v>
      </c>
      <c r="Z680" s="116">
        <v>1940</v>
      </c>
      <c r="AA680" s="116">
        <v>2180</v>
      </c>
      <c r="AB680" s="31">
        <v>5.2</v>
      </c>
      <c r="AC680" s="31">
        <v>5.2</v>
      </c>
    </row>
    <row r="681" spans="1:29" ht="15.6" x14ac:dyDescent="0.3">
      <c r="A681"/>
      <c r="B681" s="24"/>
      <c r="C681" s="6"/>
      <c r="D681" s="6"/>
      <c r="E681" s="61" t="s">
        <v>187</v>
      </c>
      <c r="F681" s="11">
        <v>1246.0899999999999</v>
      </c>
      <c r="G681" s="11">
        <v>1217.1199999999999</v>
      </c>
      <c r="H681" s="11">
        <v>1205.28</v>
      </c>
      <c r="I681" s="11">
        <v>1215.4100000000001</v>
      </c>
      <c r="J681" s="11">
        <v>1251.75</v>
      </c>
      <c r="K681" s="11">
        <v>1242.78</v>
      </c>
      <c r="L681" s="11">
        <v>1219</v>
      </c>
      <c r="M681" s="11">
        <v>1218.6099999999999</v>
      </c>
      <c r="N681" s="11">
        <v>1257.06</v>
      </c>
      <c r="O681" s="61"/>
      <c r="P681" s="61"/>
      <c r="Q681" s="62"/>
      <c r="R681" s="62"/>
      <c r="S681" s="139"/>
      <c r="T681" s="5"/>
      <c r="U681" s="140"/>
      <c r="V681" s="179"/>
      <c r="X681" s="118"/>
      <c r="Y681" s="118"/>
      <c r="Z681" s="118"/>
      <c r="AA681" s="118"/>
    </row>
    <row r="682" spans="1:29" ht="15.6" x14ac:dyDescent="0.3">
      <c r="A682"/>
      <c r="B682" s="24"/>
      <c r="C682" s="6"/>
      <c r="D682" s="6"/>
      <c r="E682" s="61" t="s">
        <v>190</v>
      </c>
      <c r="F682" s="40">
        <f t="shared" ref="F682:N682" si="222">IF(((F680="")*AND(F681="")),"",(F680-F681)*3)</f>
        <v>2004.84</v>
      </c>
      <c r="G682" s="40">
        <f t="shared" si="222"/>
        <v>2076.1800000000003</v>
      </c>
      <c r="H682" s="40">
        <f t="shared" si="222"/>
        <v>2094.06</v>
      </c>
      <c r="I682" s="40">
        <f t="shared" si="222"/>
        <v>2069.2200000000003</v>
      </c>
      <c r="J682" s="40">
        <f t="shared" si="222"/>
        <v>1983.2699999999998</v>
      </c>
      <c r="K682" s="40">
        <f t="shared" si="222"/>
        <v>2012.4299999999998</v>
      </c>
      <c r="L682" s="40">
        <f t="shared" si="222"/>
        <v>2080.83</v>
      </c>
      <c r="M682" s="40">
        <f t="shared" si="222"/>
        <v>2072.0700000000002</v>
      </c>
      <c r="N682" s="40">
        <f t="shared" si="222"/>
        <v>1973.7000000000003</v>
      </c>
      <c r="O682" s="61"/>
      <c r="P682" s="61"/>
      <c r="Q682" s="62"/>
      <c r="R682" s="62"/>
      <c r="S682" s="139"/>
      <c r="T682" s="5"/>
      <c r="U682" s="140"/>
      <c r="V682" s="179"/>
      <c r="X682" s="118"/>
      <c r="Y682" s="118"/>
      <c r="Z682" s="118"/>
      <c r="AA682" s="118"/>
    </row>
    <row r="683" spans="1:29" x14ac:dyDescent="0.25">
      <c r="A683" s="210">
        <v>43394</v>
      </c>
      <c r="B683" s="218" t="s">
        <v>185</v>
      </c>
      <c r="C683" s="6" t="s">
        <v>173</v>
      </c>
      <c r="D683" s="6" t="s">
        <v>172</v>
      </c>
      <c r="E683" s="61" t="s">
        <v>186</v>
      </c>
      <c r="F683" s="11">
        <v>26215.87</v>
      </c>
      <c r="G683" s="11">
        <v>26334.17</v>
      </c>
      <c r="H683" s="11">
        <v>26414.79</v>
      </c>
      <c r="I683" s="11">
        <v>26353.599999999999</v>
      </c>
      <c r="J683" s="11">
        <v>26228.15</v>
      </c>
      <c r="K683" s="11">
        <v>26275.54</v>
      </c>
      <c r="L683" s="11">
        <v>26374.47</v>
      </c>
      <c r="M683" s="11">
        <v>26307.18</v>
      </c>
      <c r="N683" s="11">
        <v>26173.77</v>
      </c>
      <c r="O683" s="61">
        <f>IF((N684=""),"",MAX(F685:N685))</f>
        <v>4763.7600000000057</v>
      </c>
      <c r="P683" s="61">
        <f>IF(N684="","",MIN(F685:N685))</f>
        <v>4250.4900000000052</v>
      </c>
      <c r="Q683" s="62">
        <f>IF((N685=""),"",AVERAGE(F685:N685))</f>
        <v>4437.9066666666668</v>
      </c>
      <c r="R683" s="62">
        <f>IF((N684=""),"",(O683-P683)/(O683+P683)*100)</f>
        <v>5.6939845245028682</v>
      </c>
      <c r="S683" s="139">
        <f>STDEV(F685:N685)</f>
        <v>190.63612406886833</v>
      </c>
      <c r="T683" s="5" t="str">
        <f>IF(N684="","",IF(R683&lt;16,IF(Q683&gt;3200,IF(R683,IF(Q683&lt;5240,"Pass","Fail"),"Fail"),"Fail")))</f>
        <v>Pass</v>
      </c>
      <c r="U683" s="146">
        <v>121</v>
      </c>
      <c r="V683" s="179" t="s">
        <v>211</v>
      </c>
      <c r="X683" s="116">
        <v>4200</v>
      </c>
      <c r="Y683" s="116">
        <v>5500</v>
      </c>
      <c r="Z683" s="116">
        <v>3200</v>
      </c>
      <c r="AA683" s="116">
        <v>5240</v>
      </c>
      <c r="AB683" s="31">
        <v>16</v>
      </c>
      <c r="AC683" s="31">
        <v>16</v>
      </c>
    </row>
    <row r="684" spans="1:29" ht="15.6" x14ac:dyDescent="0.3">
      <c r="A684"/>
      <c r="B684" s="24"/>
      <c r="C684" s="6"/>
      <c r="D684" s="6"/>
      <c r="E684" s="61" t="s">
        <v>187</v>
      </c>
      <c r="F684" s="11">
        <v>24689.52</v>
      </c>
      <c r="G684" s="11">
        <v>24904.15</v>
      </c>
      <c r="H684" s="11">
        <v>24997.89</v>
      </c>
      <c r="I684" s="11">
        <v>24917.47</v>
      </c>
      <c r="J684" s="11">
        <v>24675.71</v>
      </c>
      <c r="K684" s="11">
        <v>24782.12</v>
      </c>
      <c r="L684" s="11">
        <v>24957.64</v>
      </c>
      <c r="M684" s="11">
        <v>24853.47</v>
      </c>
      <c r="N684" s="11">
        <v>24585.85</v>
      </c>
      <c r="O684" s="61"/>
      <c r="P684" s="61"/>
      <c r="Q684" s="62"/>
      <c r="R684" s="62"/>
      <c r="S684" s="139"/>
      <c r="T684" s="5"/>
      <c r="U684" s="140"/>
      <c r="V684" s="179"/>
      <c r="X684" s="118"/>
      <c r="Y684" s="118"/>
      <c r="Z684" s="118"/>
      <c r="AA684" s="118"/>
    </row>
    <row r="685" spans="1:29" ht="23.4" thickBot="1" x14ac:dyDescent="0.35">
      <c r="A685"/>
      <c r="B685" s="63"/>
      <c r="C685" s="64"/>
      <c r="D685" s="64"/>
      <c r="E685" s="65" t="s">
        <v>188</v>
      </c>
      <c r="F685" s="53">
        <f t="shared" ref="F685:N685" si="223">IF(((F683="")*AND(F684="")),"",(F683-F684)*3)</f>
        <v>4579.0499999999956</v>
      </c>
      <c r="G685" s="53">
        <f t="shared" si="223"/>
        <v>4290.0599999999904</v>
      </c>
      <c r="H685" s="53">
        <f t="shared" si="223"/>
        <v>4250.7000000000044</v>
      </c>
      <c r="I685" s="53">
        <f t="shared" si="223"/>
        <v>4308.3899999999921</v>
      </c>
      <c r="J685" s="53">
        <f t="shared" si="223"/>
        <v>4657.320000000007</v>
      </c>
      <c r="K685" s="53">
        <f t="shared" si="223"/>
        <v>4480.2600000000057</v>
      </c>
      <c r="L685" s="53">
        <f t="shared" si="223"/>
        <v>4250.4900000000052</v>
      </c>
      <c r="M685" s="53">
        <f t="shared" si="223"/>
        <v>4361.1299999999974</v>
      </c>
      <c r="N685" s="53">
        <f t="shared" si="223"/>
        <v>4763.7600000000057</v>
      </c>
      <c r="O685" s="65"/>
      <c r="P685" s="65"/>
      <c r="Q685" s="66"/>
      <c r="R685" s="66"/>
      <c r="S685" s="142"/>
      <c r="T685" s="143"/>
      <c r="U685" s="144"/>
      <c r="V685" s="179"/>
      <c r="X685" s="118"/>
      <c r="Y685" s="118"/>
      <c r="Z685" s="118"/>
      <c r="AA685" s="118"/>
    </row>
    <row r="686" spans="1:29" x14ac:dyDescent="0.25">
      <c r="A686" s="210">
        <v>43397</v>
      </c>
      <c r="B686" s="219" t="s">
        <v>174</v>
      </c>
      <c r="C686" s="39" t="s">
        <v>176</v>
      </c>
      <c r="D686" s="39" t="s">
        <v>175</v>
      </c>
      <c r="E686" s="41" t="s">
        <v>186</v>
      </c>
      <c r="F686" s="11">
        <v>6848.32</v>
      </c>
      <c r="G686" s="11">
        <v>6841.1</v>
      </c>
      <c r="H686" s="11">
        <v>6888.48</v>
      </c>
      <c r="I686" s="11">
        <v>6848.47</v>
      </c>
      <c r="J686" s="11">
        <v>6893.98</v>
      </c>
      <c r="K686" s="11">
        <v>6866.11</v>
      </c>
      <c r="L686" s="11">
        <v>6873.7</v>
      </c>
      <c r="M686" s="11">
        <v>6878.57</v>
      </c>
      <c r="N686" s="11">
        <v>6952.19</v>
      </c>
      <c r="O686" s="41">
        <f>IF((N687=""),"",MAX(F688:N688))</f>
        <v>4067.5999999999985</v>
      </c>
      <c r="P686" s="41">
        <f>IF(N687="","",MIN(F688:N688))</f>
        <v>3694.7199999999993</v>
      </c>
      <c r="Q686" s="42">
        <f>IF((N688=""),"",AVERAGE(F688:N688))</f>
        <v>3939.1555555555556</v>
      </c>
      <c r="R686" s="42">
        <f>IF((N687=""),"",(O686-P686)/(O686+P686)*100)</f>
        <v>4.8037184759195615</v>
      </c>
      <c r="S686" s="151">
        <f>STDEV(F688:N688)</f>
        <v>130.28535749568263</v>
      </c>
      <c r="T686" s="119" t="str">
        <f>IF(N687="","",IF(Q686&gt;3650,IF(R686&lt;7,IF(Q686&lt;4450,"Pass","Fail"),"Fail"),"Fail"))</f>
        <v>Pass</v>
      </c>
      <c r="U686" s="145">
        <v>1159</v>
      </c>
      <c r="V686" s="224" t="s">
        <v>212</v>
      </c>
      <c r="X686" s="116">
        <v>3650</v>
      </c>
      <c r="Y686" s="116">
        <v>4450</v>
      </c>
      <c r="Z686" s="116">
        <v>3700</v>
      </c>
      <c r="AA686" s="116">
        <v>4100</v>
      </c>
      <c r="AB686" s="31">
        <v>7</v>
      </c>
      <c r="AC686" s="31">
        <v>6.5</v>
      </c>
    </row>
    <row r="687" spans="1:29" ht="15.6" x14ac:dyDescent="0.3">
      <c r="A687"/>
      <c r="B687" s="24"/>
      <c r="C687" s="6"/>
      <c r="D687" s="6"/>
      <c r="E687" s="61" t="s">
        <v>187</v>
      </c>
      <c r="F687" s="11">
        <v>4934.91</v>
      </c>
      <c r="G687" s="11">
        <v>4828.4399999999996</v>
      </c>
      <c r="H687" s="11">
        <v>4855.5</v>
      </c>
      <c r="I687" s="11">
        <v>4839.99</v>
      </c>
      <c r="J687" s="11">
        <v>4979.49</v>
      </c>
      <c r="K687" s="11">
        <v>5018.75</v>
      </c>
      <c r="L687" s="11">
        <v>4869.57</v>
      </c>
      <c r="M687" s="11">
        <v>4844.7700000000004</v>
      </c>
      <c r="N687" s="11">
        <v>4993.3</v>
      </c>
      <c r="O687" s="61"/>
      <c r="P687" s="61"/>
      <c r="Q687" s="62"/>
      <c r="R687" s="62"/>
      <c r="S687" s="139"/>
      <c r="T687" s="8"/>
      <c r="U687" s="146"/>
      <c r="V687" s="179"/>
      <c r="X687" s="118"/>
      <c r="Y687" s="118"/>
      <c r="Z687" s="118"/>
      <c r="AA687" s="118"/>
    </row>
    <row r="688" spans="1:29" ht="22.8" x14ac:dyDescent="0.3">
      <c r="A688"/>
      <c r="B688" s="24"/>
      <c r="C688" s="6"/>
      <c r="D688" s="6"/>
      <c r="E688" s="61" t="s">
        <v>188</v>
      </c>
      <c r="F688" s="40">
        <f t="shared" ref="F688:N688" si="224">IF(((F686="")*AND(F687="")),"",(F686-F687)*2)</f>
        <v>3826.8199999999997</v>
      </c>
      <c r="G688" s="40">
        <f t="shared" si="224"/>
        <v>4025.3200000000015</v>
      </c>
      <c r="H688" s="40">
        <f t="shared" si="224"/>
        <v>4065.9599999999991</v>
      </c>
      <c r="I688" s="40">
        <f t="shared" si="224"/>
        <v>4016.9600000000009</v>
      </c>
      <c r="J688" s="40">
        <f t="shared" si="224"/>
        <v>3828.9799999999996</v>
      </c>
      <c r="K688" s="40">
        <f t="shared" si="224"/>
        <v>3694.7199999999993</v>
      </c>
      <c r="L688" s="40">
        <f t="shared" si="224"/>
        <v>4008.26</v>
      </c>
      <c r="M688" s="40">
        <f t="shared" si="224"/>
        <v>4067.5999999999985</v>
      </c>
      <c r="N688" s="40">
        <f t="shared" si="224"/>
        <v>3917.7799999999988</v>
      </c>
      <c r="O688" s="61"/>
      <c r="P688" s="61"/>
      <c r="Q688" s="62"/>
      <c r="R688" s="62"/>
      <c r="S688" s="139"/>
      <c r="T688" s="8"/>
      <c r="U688" s="146"/>
      <c r="V688" s="179"/>
      <c r="X688" s="118"/>
      <c r="Y688" s="118"/>
      <c r="Z688" s="118"/>
      <c r="AA688" s="118"/>
    </row>
    <row r="689" spans="1:29" x14ac:dyDescent="0.25">
      <c r="A689" s="210">
        <v>43397</v>
      </c>
      <c r="B689" s="215" t="s">
        <v>169</v>
      </c>
      <c r="C689" s="6" t="s">
        <v>171</v>
      </c>
      <c r="D689" s="6" t="s">
        <v>189</v>
      </c>
      <c r="E689" s="61" t="s">
        <v>186</v>
      </c>
      <c r="F689" s="11">
        <v>1932.85</v>
      </c>
      <c r="G689" s="11">
        <v>1930.26</v>
      </c>
      <c r="H689" s="11">
        <v>1927.21</v>
      </c>
      <c r="I689" s="11">
        <v>1930.64</v>
      </c>
      <c r="J689" s="11">
        <v>1933.02</v>
      </c>
      <c r="K689" s="11">
        <v>1934.76</v>
      </c>
      <c r="L689" s="11">
        <v>1927.98</v>
      </c>
      <c r="M689" s="11">
        <v>1932.22</v>
      </c>
      <c r="N689" s="11">
        <v>1935.08</v>
      </c>
      <c r="O689" s="61">
        <f>IF((N690=""),"",MAX(F691:N691))</f>
        <v>2083.2000000000003</v>
      </c>
      <c r="P689" s="61">
        <f>IF(N690="","",MIN(F691:N691))</f>
        <v>1964.91</v>
      </c>
      <c r="Q689" s="62">
        <f>IF((N691=""),"",AVERAGE(F691:N691))</f>
        <v>2036.9299999999998</v>
      </c>
      <c r="R689" s="62">
        <f>IF((N690=""),"",(O689-P689)/(O689+P689)*100)</f>
        <v>2.9221043894558245</v>
      </c>
      <c r="S689" s="139">
        <f>STDEV(F691:N691)</f>
        <v>43.497897362976111</v>
      </c>
      <c r="T689" s="5" t="str">
        <f>IF(N690="","",IF(Q689&gt;1940,IF(R689&lt;8.3,IF(Q689&lt;2180,"Pass","Fail"),"Fail"),"Fail"))</f>
        <v>Pass</v>
      </c>
      <c r="U689" s="146">
        <v>1159</v>
      </c>
      <c r="V689" s="179" t="s">
        <v>212</v>
      </c>
      <c r="X689" s="116">
        <v>2000</v>
      </c>
      <c r="Y689" s="116">
        <v>3000</v>
      </c>
      <c r="Z689" s="116">
        <v>1940</v>
      </c>
      <c r="AA689" s="116">
        <v>2180</v>
      </c>
      <c r="AB689" s="31">
        <v>5.2</v>
      </c>
      <c r="AC689" s="31">
        <v>5.2</v>
      </c>
    </row>
    <row r="690" spans="1:29" ht="15.6" x14ac:dyDescent="0.3">
      <c r="A690"/>
      <c r="B690" s="24"/>
      <c r="C690" s="6"/>
      <c r="D690" s="6"/>
      <c r="E690" s="61" t="s">
        <v>187</v>
      </c>
      <c r="F690" s="11">
        <v>1260.81</v>
      </c>
      <c r="G690" s="11">
        <v>1236.2</v>
      </c>
      <c r="H690" s="11">
        <v>1240.83</v>
      </c>
      <c r="I690" s="11">
        <v>1241.55</v>
      </c>
      <c r="J690" s="11">
        <v>1278.05</v>
      </c>
      <c r="K690" s="11">
        <v>1265.45</v>
      </c>
      <c r="L690" s="11">
        <v>1240.18</v>
      </c>
      <c r="M690" s="11">
        <v>1237.82</v>
      </c>
      <c r="N690" s="11">
        <v>1272.3399999999999</v>
      </c>
      <c r="O690" s="61"/>
      <c r="P690" s="61"/>
      <c r="Q690" s="62"/>
      <c r="R690" s="62"/>
      <c r="S690" s="139"/>
      <c r="T690" s="5"/>
      <c r="U690" s="140"/>
      <c r="V690" s="179"/>
      <c r="X690" s="118"/>
      <c r="Y690" s="118"/>
      <c r="Z690" s="118"/>
      <c r="AA690" s="118"/>
    </row>
    <row r="691" spans="1:29" ht="21.6" customHeight="1" x14ac:dyDescent="0.3">
      <c r="A691"/>
      <c r="B691" s="24"/>
      <c r="C691" s="6"/>
      <c r="D691" s="6"/>
      <c r="E691" s="61" t="s">
        <v>190</v>
      </c>
      <c r="F691" s="40">
        <f t="shared" ref="F691:N691" si="225">IF(((F689="")*AND(F690="")),"",(F689-F690)*3)</f>
        <v>2016.12</v>
      </c>
      <c r="G691" s="40">
        <f t="shared" si="225"/>
        <v>2082.1799999999998</v>
      </c>
      <c r="H691" s="40">
        <f t="shared" si="225"/>
        <v>2059.1400000000003</v>
      </c>
      <c r="I691" s="40">
        <f t="shared" si="225"/>
        <v>2067.2700000000004</v>
      </c>
      <c r="J691" s="40">
        <f t="shared" si="225"/>
        <v>1964.91</v>
      </c>
      <c r="K691" s="40">
        <f t="shared" si="225"/>
        <v>2007.9299999999998</v>
      </c>
      <c r="L691" s="40">
        <f t="shared" si="225"/>
        <v>2063.3999999999996</v>
      </c>
      <c r="M691" s="40">
        <f t="shared" si="225"/>
        <v>2083.2000000000003</v>
      </c>
      <c r="N691" s="40">
        <f t="shared" si="225"/>
        <v>1988.22</v>
      </c>
      <c r="O691" s="61"/>
      <c r="P691" s="61"/>
      <c r="Q691" s="62"/>
      <c r="R691" s="62"/>
      <c r="S691" s="139"/>
      <c r="T691" s="5"/>
      <c r="U691" s="140"/>
      <c r="V691" s="179"/>
      <c r="X691" s="118"/>
      <c r="Y691" s="118"/>
      <c r="Z691" s="118"/>
      <c r="AA691" s="118"/>
    </row>
    <row r="692" spans="1:29" x14ac:dyDescent="0.25">
      <c r="A692" s="210">
        <v>43397</v>
      </c>
      <c r="B692" s="218" t="s">
        <v>185</v>
      </c>
      <c r="C692" s="6" t="s">
        <v>173</v>
      </c>
      <c r="D692" s="6" t="s">
        <v>172</v>
      </c>
      <c r="E692" s="61" t="s">
        <v>186</v>
      </c>
      <c r="F692" s="11">
        <v>24639.67</v>
      </c>
      <c r="G692" s="11">
        <v>24864.33</v>
      </c>
      <c r="H692" s="11">
        <v>24955.78</v>
      </c>
      <c r="I692" s="11">
        <v>24878.22</v>
      </c>
      <c r="J692" s="11">
        <v>24626.35</v>
      </c>
      <c r="K692" s="11">
        <v>24737.47</v>
      </c>
      <c r="L692" s="11">
        <v>24917</v>
      </c>
      <c r="M692" s="11">
        <v>24812.61</v>
      </c>
      <c r="N692" s="11">
        <v>24541.77</v>
      </c>
      <c r="O692" s="61">
        <f>IF((N693=""),"",MAX(F694:N694))</f>
        <v>4643.5500000000065</v>
      </c>
      <c r="P692" s="61">
        <f>IF(N693="","",MIN(F694:N694))</f>
        <v>4202.7299999999996</v>
      </c>
      <c r="Q692" s="62">
        <f>IF((N694=""),"",AVERAGE(F694:N694))</f>
        <v>4385.1799999999994</v>
      </c>
      <c r="R692" s="62">
        <f>IF((N693=""),"",(O692-P692)/(O692+P692)*100)</f>
        <v>4.9831115451919521</v>
      </c>
      <c r="S692" s="139">
        <f>STDEV(F694:N694)</f>
        <v>163.23632546096951</v>
      </c>
      <c r="T692" s="5" t="str">
        <f>IF(N693="","",IF(R692&lt;16,IF(Q692&gt;3200,IF(R692,IF(Q692&lt;5240,"Pass","Fail"),"Fail"),"Fail")))</f>
        <v>Pass</v>
      </c>
      <c r="U692" s="146">
        <v>1159</v>
      </c>
      <c r="V692" s="179" t="s">
        <v>212</v>
      </c>
      <c r="X692" s="116">
        <v>4200</v>
      </c>
      <c r="Y692" s="116">
        <v>5500</v>
      </c>
      <c r="Z692" s="116">
        <v>3200</v>
      </c>
      <c r="AA692" s="116">
        <v>5240</v>
      </c>
      <c r="AB692" s="31">
        <v>16</v>
      </c>
      <c r="AC692" s="31">
        <v>16</v>
      </c>
    </row>
    <row r="693" spans="1:29" ht="15.6" x14ac:dyDescent="0.3">
      <c r="A693"/>
      <c r="B693" s="24"/>
      <c r="C693" s="6"/>
      <c r="D693" s="6"/>
      <c r="E693" s="61" t="s">
        <v>187</v>
      </c>
      <c r="F693" s="11">
        <v>23145.360000000001</v>
      </c>
      <c r="G693" s="11">
        <v>23444.7</v>
      </c>
      <c r="H693" s="11">
        <v>23554.87</v>
      </c>
      <c r="I693" s="11">
        <v>23448.63</v>
      </c>
      <c r="J693" s="11">
        <v>23097.79</v>
      </c>
      <c r="K693" s="11">
        <v>23246.240000000002</v>
      </c>
      <c r="L693" s="11">
        <v>23504.39</v>
      </c>
      <c r="M693" s="11">
        <v>23381.759999999998</v>
      </c>
      <c r="N693" s="11">
        <v>22993.919999999998</v>
      </c>
      <c r="O693" s="61"/>
      <c r="P693" s="61"/>
      <c r="Q693" s="62"/>
      <c r="R693" s="62"/>
      <c r="S693" s="139"/>
      <c r="T693" s="5"/>
      <c r="U693" s="140"/>
      <c r="V693" s="179"/>
      <c r="X693" s="118"/>
      <c r="Y693" s="118"/>
      <c r="Z693" s="118"/>
      <c r="AA693" s="118"/>
    </row>
    <row r="694" spans="1:29" ht="23.4" thickBot="1" x14ac:dyDescent="0.35">
      <c r="A694"/>
      <c r="B694" s="63"/>
      <c r="C694" s="64"/>
      <c r="D694" s="64"/>
      <c r="E694" s="65" t="s">
        <v>188</v>
      </c>
      <c r="F694" s="53">
        <f t="shared" ref="F694:N694" si="226">IF(((F692="")*AND(F693="")),"",(F692-F693)*3)</f>
        <v>4482.929999999993</v>
      </c>
      <c r="G694" s="53">
        <f t="shared" si="226"/>
        <v>4258.8900000000031</v>
      </c>
      <c r="H694" s="53">
        <f t="shared" si="226"/>
        <v>4202.7299999999996</v>
      </c>
      <c r="I694" s="53">
        <f t="shared" si="226"/>
        <v>4288.7700000000004</v>
      </c>
      <c r="J694" s="53">
        <f t="shared" si="226"/>
        <v>4585.679999999993</v>
      </c>
      <c r="K694" s="53">
        <f t="shared" si="226"/>
        <v>4473.6899999999987</v>
      </c>
      <c r="L694" s="53">
        <f t="shared" si="226"/>
        <v>4237.8300000000017</v>
      </c>
      <c r="M694" s="53">
        <f t="shared" si="226"/>
        <v>4292.5500000000065</v>
      </c>
      <c r="N694" s="53">
        <f t="shared" si="226"/>
        <v>4643.5500000000065</v>
      </c>
      <c r="O694" s="65"/>
      <c r="P694" s="65"/>
      <c r="Q694" s="66"/>
      <c r="R694" s="66"/>
      <c r="S694" s="142"/>
      <c r="T694" s="143"/>
      <c r="U694" s="144"/>
      <c r="V694" s="179"/>
      <c r="X694" s="118"/>
      <c r="Y694" s="118"/>
      <c r="Z694" s="118"/>
      <c r="AA694" s="118"/>
    </row>
    <row r="695" spans="1:29" x14ac:dyDescent="0.25">
      <c r="A695" s="210">
        <v>43401</v>
      </c>
      <c r="B695" s="219" t="s">
        <v>174</v>
      </c>
      <c r="C695" s="39" t="s">
        <v>176</v>
      </c>
      <c r="D695" s="39" t="s">
        <v>175</v>
      </c>
      <c r="E695" s="41" t="s">
        <v>186</v>
      </c>
      <c r="F695" s="11">
        <v>4940.8500000000004</v>
      </c>
      <c r="G695" s="11">
        <v>4836.93</v>
      </c>
      <c r="H695" s="11">
        <v>4863.9799999999996</v>
      </c>
      <c r="I695" s="11">
        <v>4849.74</v>
      </c>
      <c r="J695" s="11">
        <v>4985.08</v>
      </c>
      <c r="K695" s="11">
        <v>5024.28</v>
      </c>
      <c r="L695" s="11">
        <v>4878.17</v>
      </c>
      <c r="M695" s="11">
        <v>4853.58</v>
      </c>
      <c r="N695" s="11">
        <v>4999.28</v>
      </c>
      <c r="O695" s="41">
        <f>IF((N696=""),"",MAX(F697:N697))</f>
        <v>4155.08</v>
      </c>
      <c r="P695" s="41">
        <f>IF(N696="","",MIN(F697:N697))</f>
        <v>3758.4799999999996</v>
      </c>
      <c r="Q695" s="42">
        <f>IF((N697=""),"",AVERAGE(F697:N697))</f>
        <v>4018.7577777777778</v>
      </c>
      <c r="R695" s="42">
        <f>IF((N696=""),"",(O695-P695)/(O695+P695)*100)</f>
        <v>5.0116508878431496</v>
      </c>
      <c r="S695" s="151">
        <f>STDEV(F697:N697)</f>
        <v>134.0789056654493</v>
      </c>
      <c r="T695" s="119" t="str">
        <f>IF(N696="","",IF(Q695&gt;3650,IF(R695&lt;7,IF(Q695&lt;4450,"Pass","Fail"),"Fail"),"Fail"))</f>
        <v>Pass</v>
      </c>
      <c r="U695" s="145">
        <v>1335</v>
      </c>
      <c r="V695" s="224"/>
      <c r="X695" s="116">
        <v>3650</v>
      </c>
      <c r="Y695" s="116">
        <v>4450</v>
      </c>
      <c r="Z695" s="116">
        <v>3700</v>
      </c>
      <c r="AA695" s="116">
        <v>4100</v>
      </c>
      <c r="AB695" s="31">
        <v>7</v>
      </c>
      <c r="AC695" s="31">
        <v>6.5</v>
      </c>
    </row>
    <row r="696" spans="1:29" ht="15.6" x14ac:dyDescent="0.3">
      <c r="A696"/>
      <c r="B696" s="24"/>
      <c r="C696" s="6"/>
      <c r="D696" s="6"/>
      <c r="E696" s="61" t="s">
        <v>187</v>
      </c>
      <c r="F696" s="11">
        <v>2977.58</v>
      </c>
      <c r="G696" s="11">
        <v>2780.34</v>
      </c>
      <c r="H696" s="11">
        <v>2793.04</v>
      </c>
      <c r="I696" s="11">
        <v>2803.52</v>
      </c>
      <c r="J696" s="11">
        <v>3038.01</v>
      </c>
      <c r="K696" s="11">
        <v>3145.04</v>
      </c>
      <c r="L696" s="11">
        <v>2837.95</v>
      </c>
      <c r="M696" s="11">
        <v>2776.04</v>
      </c>
      <c r="N696" s="11">
        <v>2995.96</v>
      </c>
      <c r="O696" s="61"/>
      <c r="P696" s="61"/>
      <c r="Q696" s="62"/>
      <c r="R696" s="62"/>
      <c r="S696" s="139"/>
      <c r="T696" s="8"/>
      <c r="U696" s="146"/>
      <c r="V696" s="179"/>
      <c r="X696" s="118"/>
      <c r="Y696" s="118"/>
      <c r="Z696" s="118"/>
      <c r="AA696" s="118"/>
    </row>
    <row r="697" spans="1:29" ht="22.8" x14ac:dyDescent="0.3">
      <c r="A697"/>
      <c r="B697" s="24"/>
      <c r="C697" s="6"/>
      <c r="D697" s="6"/>
      <c r="E697" s="61" t="s">
        <v>188</v>
      </c>
      <c r="F697" s="40">
        <f t="shared" ref="F697:N697" si="227">IF(((F695="")*AND(F696="")),"",(F695-F696)*2)</f>
        <v>3926.5400000000009</v>
      </c>
      <c r="G697" s="40">
        <f t="shared" si="227"/>
        <v>4113.18</v>
      </c>
      <c r="H697" s="40">
        <f t="shared" si="227"/>
        <v>4141.8799999999992</v>
      </c>
      <c r="I697" s="40">
        <f t="shared" si="227"/>
        <v>4092.4399999999996</v>
      </c>
      <c r="J697" s="40">
        <f t="shared" si="227"/>
        <v>3894.1399999999994</v>
      </c>
      <c r="K697" s="40">
        <f t="shared" si="227"/>
        <v>3758.4799999999996</v>
      </c>
      <c r="L697" s="40">
        <f t="shared" si="227"/>
        <v>4080.4400000000005</v>
      </c>
      <c r="M697" s="40">
        <f t="shared" si="227"/>
        <v>4155.08</v>
      </c>
      <c r="N697" s="40">
        <f t="shared" si="227"/>
        <v>4006.6399999999994</v>
      </c>
      <c r="O697" s="61"/>
      <c r="P697" s="61"/>
      <c r="Q697" s="62"/>
      <c r="R697" s="62"/>
      <c r="S697" s="139"/>
      <c r="T697" s="8"/>
      <c r="U697" s="146"/>
      <c r="V697" s="179"/>
      <c r="X697" s="118"/>
      <c r="Y697" s="118"/>
      <c r="Z697" s="118"/>
      <c r="AA697" s="118"/>
    </row>
    <row r="698" spans="1:29" x14ac:dyDescent="0.25">
      <c r="A698" s="210">
        <v>43401</v>
      </c>
      <c r="B698" s="215" t="s">
        <v>169</v>
      </c>
      <c r="C698" s="6" t="s">
        <v>171</v>
      </c>
      <c r="D698" s="6" t="s">
        <v>189</v>
      </c>
      <c r="E698" s="61" t="s">
        <v>186</v>
      </c>
      <c r="F698" s="11">
        <v>1266.5899999999999</v>
      </c>
      <c r="G698" s="11">
        <v>1237.8599999999999</v>
      </c>
      <c r="H698" s="11">
        <v>1237.02</v>
      </c>
      <c r="I698" s="11">
        <v>1244.4000000000001</v>
      </c>
      <c r="J698" s="11">
        <v>1280.71</v>
      </c>
      <c r="K698" s="11">
        <v>1272.77</v>
      </c>
      <c r="L698" s="11">
        <v>1243.71</v>
      </c>
      <c r="M698" s="11">
        <v>1239.3699999999999</v>
      </c>
      <c r="N698" s="11">
        <v>1268.2</v>
      </c>
      <c r="O698" s="61">
        <f>IF((N699=""),"",MAX(F700:N700))</f>
        <v>2101.7699999999995</v>
      </c>
      <c r="P698" s="61">
        <f>IF(N699="","",MIN(F700:N700))</f>
        <v>1993.8000000000002</v>
      </c>
      <c r="Q698" s="62">
        <f>IF((N700=""),"",AVERAGE(F700:N700))</f>
        <v>2061.0766666666664</v>
      </c>
      <c r="R698" s="62">
        <f>IF((N699=""),"",(O698-P698)/(O698+P698)*100)</f>
        <v>2.6362630842593182</v>
      </c>
      <c r="S698" s="139">
        <f>STDEV(F700:N700)</f>
        <v>42.624560994806671</v>
      </c>
      <c r="T698" s="5" t="str">
        <f>IF(N699="","",IF(Q698&gt;1940,IF(R698&lt;8.3,IF(Q698&lt;2180,"Pass","Fail"),"Fail"),"Fail"))</f>
        <v>Pass</v>
      </c>
      <c r="U698" s="146">
        <v>1335</v>
      </c>
      <c r="V698" s="179"/>
      <c r="X698" s="116">
        <v>2000</v>
      </c>
      <c r="Y698" s="116">
        <v>3000</v>
      </c>
      <c r="Z698" s="116">
        <v>1940</v>
      </c>
      <c r="AA698" s="116">
        <v>2180</v>
      </c>
      <c r="AB698" s="31">
        <v>5.2</v>
      </c>
      <c r="AC698" s="31">
        <v>5.2</v>
      </c>
    </row>
    <row r="699" spans="1:29" ht="15.6" x14ac:dyDescent="0.3">
      <c r="A699"/>
      <c r="B699" s="24"/>
      <c r="C699" s="6"/>
      <c r="D699" s="6"/>
      <c r="E699" s="61" t="s">
        <v>187</v>
      </c>
      <c r="F699" s="11">
        <v>589.89</v>
      </c>
      <c r="G699" s="11">
        <v>538.96</v>
      </c>
      <c r="H699" s="11">
        <v>537.91</v>
      </c>
      <c r="I699" s="11">
        <v>546.11</v>
      </c>
      <c r="J699" s="11">
        <v>609.98</v>
      </c>
      <c r="K699" s="11">
        <v>594.04</v>
      </c>
      <c r="L699" s="11">
        <v>548.13</v>
      </c>
      <c r="M699" s="11">
        <v>538.78</v>
      </c>
      <c r="N699" s="11">
        <v>603.6</v>
      </c>
      <c r="O699" s="61"/>
      <c r="P699" s="61"/>
      <c r="Q699" s="62"/>
      <c r="R699" s="62"/>
      <c r="S699" s="139"/>
      <c r="T699" s="5"/>
      <c r="U699" s="140"/>
      <c r="V699" s="179"/>
      <c r="X699" s="118"/>
      <c r="Y699" s="118"/>
      <c r="Z699" s="118"/>
      <c r="AA699" s="118"/>
    </row>
    <row r="700" spans="1:29" ht="15.6" x14ac:dyDescent="0.3">
      <c r="A700"/>
      <c r="B700" s="24"/>
      <c r="C700" s="6"/>
      <c r="D700" s="6"/>
      <c r="E700" s="61" t="s">
        <v>190</v>
      </c>
      <c r="F700" s="40">
        <f t="shared" ref="F700:N700" si="228">IF(((F698="")*AND(F699="")),"",(F698-F699)*3)</f>
        <v>2030.1</v>
      </c>
      <c r="G700" s="40">
        <f t="shared" si="228"/>
        <v>2096.6999999999998</v>
      </c>
      <c r="H700" s="40">
        <f t="shared" si="228"/>
        <v>2097.33</v>
      </c>
      <c r="I700" s="40">
        <f t="shared" si="228"/>
        <v>2094.8700000000003</v>
      </c>
      <c r="J700" s="40">
        <f t="shared" si="228"/>
        <v>2012.19</v>
      </c>
      <c r="K700" s="40">
        <f t="shared" si="228"/>
        <v>2036.19</v>
      </c>
      <c r="L700" s="40">
        <f t="shared" si="228"/>
        <v>2086.7400000000002</v>
      </c>
      <c r="M700" s="40">
        <f t="shared" si="228"/>
        <v>2101.7699999999995</v>
      </c>
      <c r="N700" s="40">
        <f t="shared" si="228"/>
        <v>1993.8000000000002</v>
      </c>
      <c r="O700" s="61"/>
      <c r="P700" s="61"/>
      <c r="Q700" s="62"/>
      <c r="R700" s="62"/>
      <c r="S700" s="139"/>
      <c r="T700" s="5"/>
      <c r="U700" s="140"/>
      <c r="V700" s="179"/>
      <c r="X700" s="118"/>
      <c r="Y700" s="118"/>
      <c r="Z700" s="118"/>
      <c r="AA700" s="118"/>
    </row>
    <row r="701" spans="1:29" x14ac:dyDescent="0.25">
      <c r="A701" s="210">
        <v>43401</v>
      </c>
      <c r="B701" s="218" t="s">
        <v>185</v>
      </c>
      <c r="C701" s="6" t="s">
        <v>173</v>
      </c>
      <c r="D701" s="6" t="s">
        <v>172</v>
      </c>
      <c r="E701" s="61" t="s">
        <v>186</v>
      </c>
      <c r="F701" s="11">
        <v>23089.54</v>
      </c>
      <c r="G701" s="11">
        <v>23397.7</v>
      </c>
      <c r="H701" s="11">
        <v>23505.14</v>
      </c>
      <c r="I701" s="11">
        <v>23396.799999999999</v>
      </c>
      <c r="J701" s="11">
        <v>23044.99</v>
      </c>
      <c r="K701" s="11">
        <v>23191.759999999998</v>
      </c>
      <c r="L701" s="11">
        <v>23454.27</v>
      </c>
      <c r="M701" s="11">
        <v>23331.77</v>
      </c>
      <c r="N701" s="11">
        <v>22937.08</v>
      </c>
      <c r="O701" s="61">
        <f>IF((N702=""),"",MAX(F703:N703))</f>
        <v>4684.2600000000057</v>
      </c>
      <c r="P701" s="61">
        <f>IF(N702="","",MIN(F703:N703))</f>
        <v>4211.6400000000031</v>
      </c>
      <c r="Q701" s="62">
        <f>IF((N703=""),"",AVERAGE(F703:N703))</f>
        <v>4412.9833333333336</v>
      </c>
      <c r="R701" s="62">
        <f>IF((N702=""),"",(O701-P701)/(O701+P701)*100)</f>
        <v>5.3127845411931576</v>
      </c>
      <c r="S701" s="139">
        <f>STDEV(F703:N703)</f>
        <v>185.46633164809478</v>
      </c>
      <c r="T701" s="5" t="str">
        <f>IF(N702="","",IF(R701&lt;16,IF(Q701&gt;3200,IF(R701,IF(Q701&lt;5240,"Pass","Fail"),"Fail"),"Fail")))</f>
        <v>Pass</v>
      </c>
      <c r="U701" s="146">
        <v>1335</v>
      </c>
      <c r="V701" s="179"/>
      <c r="X701" s="116">
        <v>4200</v>
      </c>
      <c r="Y701" s="116">
        <v>5500</v>
      </c>
      <c r="Z701" s="116">
        <v>3200</v>
      </c>
      <c r="AA701" s="116">
        <v>5240</v>
      </c>
      <c r="AB701" s="31">
        <v>16</v>
      </c>
      <c r="AC701" s="31">
        <v>16</v>
      </c>
    </row>
    <row r="702" spans="1:29" ht="15.6" x14ac:dyDescent="0.3">
      <c r="A702"/>
      <c r="B702" s="24"/>
      <c r="C702" s="6"/>
      <c r="D702" s="6"/>
      <c r="E702" s="61" t="s">
        <v>187</v>
      </c>
      <c r="F702" s="11">
        <v>21538.959999999999</v>
      </c>
      <c r="G702" s="11">
        <v>21965.74</v>
      </c>
      <c r="H702" s="11">
        <v>22101.26</v>
      </c>
      <c r="I702" s="11">
        <v>21980.13</v>
      </c>
      <c r="J702" s="11">
        <v>21530.959999999999</v>
      </c>
      <c r="K702" s="11">
        <v>21686.36</v>
      </c>
      <c r="L702" s="11">
        <v>22038.33</v>
      </c>
      <c r="M702" s="11">
        <v>21892.7</v>
      </c>
      <c r="N702" s="11">
        <v>21375.66</v>
      </c>
      <c r="O702" s="61"/>
      <c r="P702" s="61"/>
      <c r="Q702" s="62"/>
      <c r="R702" s="62"/>
      <c r="S702" s="139"/>
      <c r="T702" s="5"/>
      <c r="U702" s="140"/>
      <c r="V702" s="179"/>
      <c r="X702" s="118"/>
      <c r="Y702" s="118"/>
      <c r="Z702" s="118"/>
      <c r="AA702" s="118"/>
    </row>
    <row r="703" spans="1:29" ht="23.4" thickBot="1" x14ac:dyDescent="0.35">
      <c r="A703"/>
      <c r="B703" s="63"/>
      <c r="C703" s="64"/>
      <c r="D703" s="64"/>
      <c r="E703" s="65" t="s">
        <v>188</v>
      </c>
      <c r="F703" s="53">
        <f t="shared" ref="F703:N703" si="229">IF(((F701="")*AND(F702="")),"",(F701-F702)*3)</f>
        <v>4651.7400000000052</v>
      </c>
      <c r="G703" s="53">
        <f t="shared" si="229"/>
        <v>4295.8799999999974</v>
      </c>
      <c r="H703" s="53">
        <f t="shared" si="229"/>
        <v>4211.6400000000031</v>
      </c>
      <c r="I703" s="53">
        <f t="shared" si="229"/>
        <v>4250.0099999999948</v>
      </c>
      <c r="J703" s="53">
        <f t="shared" si="229"/>
        <v>4542.0900000000074</v>
      </c>
      <c r="K703" s="53">
        <f t="shared" si="229"/>
        <v>4516.1999999999935</v>
      </c>
      <c r="L703" s="53">
        <f t="shared" si="229"/>
        <v>4247.8199999999961</v>
      </c>
      <c r="M703" s="53">
        <f t="shared" si="229"/>
        <v>4317.2099999999991</v>
      </c>
      <c r="N703" s="53">
        <f t="shared" si="229"/>
        <v>4684.2600000000057</v>
      </c>
      <c r="O703" s="65"/>
      <c r="P703" s="65"/>
      <c r="Q703" s="66"/>
      <c r="R703" s="66"/>
      <c r="S703" s="142"/>
      <c r="T703" s="143"/>
      <c r="U703" s="144"/>
      <c r="V703" s="179"/>
      <c r="X703" s="118"/>
      <c r="Y703" s="118"/>
      <c r="Z703" s="118"/>
      <c r="AA703" s="118"/>
    </row>
    <row r="704" spans="1:29" x14ac:dyDescent="0.25">
      <c r="A704" s="207">
        <v>43404</v>
      </c>
      <c r="B704" s="219" t="s">
        <v>174</v>
      </c>
      <c r="C704" s="39" t="s">
        <v>176</v>
      </c>
      <c r="D704" s="39" t="s">
        <v>175</v>
      </c>
      <c r="E704" s="41" t="s">
        <v>186</v>
      </c>
      <c r="F704" s="11">
        <v>2984.52</v>
      </c>
      <c r="G704" s="11">
        <v>2786.95</v>
      </c>
      <c r="H704" s="11">
        <v>2799.84</v>
      </c>
      <c r="I704" s="11">
        <v>2810.01</v>
      </c>
      <c r="J704" s="11">
        <v>3044.96</v>
      </c>
      <c r="K704" s="11">
        <v>3152.39</v>
      </c>
      <c r="L704" s="11">
        <v>2844.83</v>
      </c>
      <c r="M704" s="11">
        <v>2782.63</v>
      </c>
      <c r="N704" s="11">
        <v>3003.37</v>
      </c>
      <c r="O704" s="41">
        <f>IF((N705=""),"",MAX(F706:N706))</f>
        <v>4115.76</v>
      </c>
      <c r="P704" s="41">
        <f>IF(N705="","",MIN(F706:N706))</f>
        <v>3779.18</v>
      </c>
      <c r="Q704" s="42">
        <f>IF((N706=""),"",AVERAGE(F706:N706))</f>
        <v>3995.9355555555553</v>
      </c>
      <c r="R704" s="42">
        <f>IF((N705=""),"",(O704-P704)/(O704+P704)*100)</f>
        <v>4.2632369593689168</v>
      </c>
      <c r="S704" s="151">
        <f>STDEV(F706:N706)</f>
        <v>117.17436996962175</v>
      </c>
      <c r="T704" s="119" t="str">
        <f>IF(N705="","",IF(Q704&gt;3650,IF(R704&lt;7,IF(Q704&lt;4450,"Pass","Fail"),"Fail"),"Fail"))</f>
        <v>Pass</v>
      </c>
      <c r="U704" s="145">
        <v>64</v>
      </c>
      <c r="V704" s="224"/>
      <c r="X704" s="116">
        <v>3650</v>
      </c>
      <c r="Y704" s="116">
        <v>4450</v>
      </c>
      <c r="Z704" s="116">
        <v>3700</v>
      </c>
      <c r="AA704" s="116">
        <v>4100</v>
      </c>
      <c r="AB704" s="31">
        <v>7</v>
      </c>
      <c r="AC704" s="31">
        <v>6.5</v>
      </c>
    </row>
    <row r="705" spans="1:29" ht="15.6" x14ac:dyDescent="0.3">
      <c r="A705"/>
      <c r="B705" s="24"/>
      <c r="C705" s="6"/>
      <c r="D705" s="6"/>
      <c r="E705" s="61" t="s">
        <v>187</v>
      </c>
      <c r="F705" s="11">
        <v>1030.94</v>
      </c>
      <c r="G705" s="11">
        <v>750.57</v>
      </c>
      <c r="H705" s="11">
        <v>741.96</v>
      </c>
      <c r="I705" s="11">
        <v>778.4</v>
      </c>
      <c r="J705" s="11">
        <v>1102.81</v>
      </c>
      <c r="K705" s="11">
        <v>1262.8</v>
      </c>
      <c r="L705" s="11">
        <v>814.01</v>
      </c>
      <c r="M705" s="11">
        <v>728.18</v>
      </c>
      <c r="N705" s="11">
        <v>1018.12</v>
      </c>
      <c r="O705" s="61"/>
      <c r="P705" s="61"/>
      <c r="Q705" s="62"/>
      <c r="R705" s="62"/>
      <c r="S705" s="139"/>
      <c r="T705" s="8"/>
      <c r="U705" s="146"/>
      <c r="V705" s="179"/>
      <c r="X705" s="118"/>
      <c r="Y705" s="118"/>
      <c r="Z705" s="118"/>
      <c r="AA705" s="118"/>
    </row>
    <row r="706" spans="1:29" ht="22.8" x14ac:dyDescent="0.3">
      <c r="A706"/>
      <c r="B706" s="24"/>
      <c r="C706" s="6"/>
      <c r="D706" s="6"/>
      <c r="E706" s="61" t="s">
        <v>188</v>
      </c>
      <c r="F706" s="40">
        <f t="shared" ref="F706:N706" si="230">IF(((F704="")*AND(F705="")),"",(F704-F705)*2)</f>
        <v>3907.16</v>
      </c>
      <c r="G706" s="40">
        <f t="shared" si="230"/>
        <v>4072.7599999999993</v>
      </c>
      <c r="H706" s="40">
        <f t="shared" si="230"/>
        <v>4115.76</v>
      </c>
      <c r="I706" s="40">
        <f t="shared" si="230"/>
        <v>4063.2200000000003</v>
      </c>
      <c r="J706" s="40">
        <f t="shared" si="230"/>
        <v>3884.3</v>
      </c>
      <c r="K706" s="40">
        <f t="shared" si="230"/>
        <v>3779.18</v>
      </c>
      <c r="L706" s="40">
        <f t="shared" si="230"/>
        <v>4061.64</v>
      </c>
      <c r="M706" s="40">
        <f t="shared" si="230"/>
        <v>4108.9000000000005</v>
      </c>
      <c r="N706" s="40">
        <f t="shared" si="230"/>
        <v>3970.5</v>
      </c>
      <c r="O706" s="61"/>
      <c r="P706" s="61"/>
      <c r="Q706" s="62"/>
      <c r="R706" s="62"/>
      <c r="S706" s="139"/>
      <c r="T706" s="8"/>
      <c r="U706" s="146"/>
      <c r="V706" s="179"/>
      <c r="X706" s="118"/>
      <c r="Y706" s="118"/>
      <c r="Z706" s="118"/>
      <c r="AA706" s="118"/>
    </row>
    <row r="707" spans="1:29" x14ac:dyDescent="0.25">
      <c r="A707" s="210">
        <v>43404</v>
      </c>
      <c r="B707" s="215" t="s">
        <v>169</v>
      </c>
      <c r="C707" s="6" t="s">
        <v>171</v>
      </c>
      <c r="D707" s="6" t="s">
        <v>189</v>
      </c>
      <c r="E707" s="61" t="s">
        <v>186</v>
      </c>
      <c r="F707" s="11">
        <v>1939.14</v>
      </c>
      <c r="G707" s="11">
        <v>1932.78</v>
      </c>
      <c r="H707" s="11">
        <v>1924.36</v>
      </c>
      <c r="I707" s="11">
        <v>1932.59</v>
      </c>
      <c r="J707" s="11">
        <v>1934.36</v>
      </c>
      <c r="K707" s="11">
        <v>1940.14</v>
      </c>
      <c r="L707" s="11">
        <v>1932.24</v>
      </c>
      <c r="M707" s="11">
        <v>1932.34</v>
      </c>
      <c r="N707" s="11">
        <v>1936.81</v>
      </c>
      <c r="O707" s="61">
        <f>IF((N708=""),"",MAX(F709:N709))</f>
        <v>2078.2799999999997</v>
      </c>
      <c r="P707" s="61">
        <f>IF(N708="","",MIN(F709:N709))</f>
        <v>1951.4399999999994</v>
      </c>
      <c r="Q707" s="62">
        <f>IF((N709=""),"",AVERAGE(F709:N709))</f>
        <v>2027.0666666666662</v>
      </c>
      <c r="R707" s="62">
        <f>IF((N708=""),"",(O707-P707)/(O707+P707)*100)</f>
        <v>3.1476132336738134</v>
      </c>
      <c r="S707" s="139">
        <f>STDEV(F709:N709)</f>
        <v>53.527109486689106</v>
      </c>
      <c r="T707" s="5" t="str">
        <f>IF(N708="","",IF(Q707&gt;1940,IF(R707&lt;8.3,IF(Q707&lt;2180,"Pass","Fail"),"Fail"),"Fail"))</f>
        <v>Pass</v>
      </c>
      <c r="U707" s="146">
        <v>64</v>
      </c>
      <c r="V707" s="179"/>
      <c r="X707" s="116">
        <v>2000</v>
      </c>
      <c r="Y707" s="116">
        <v>3000</v>
      </c>
      <c r="Z707" s="116">
        <v>1940</v>
      </c>
      <c r="AA707" s="116">
        <v>2180</v>
      </c>
      <c r="AB707" s="31">
        <v>5.2</v>
      </c>
      <c r="AC707" s="31">
        <v>5.2</v>
      </c>
    </row>
    <row r="708" spans="1:29" ht="15.6" x14ac:dyDescent="0.3">
      <c r="A708"/>
      <c r="B708" s="24"/>
      <c r="C708" s="6"/>
      <c r="D708" s="6"/>
      <c r="E708" s="61" t="s">
        <v>187</v>
      </c>
      <c r="F708" s="11">
        <v>1276.76</v>
      </c>
      <c r="G708" s="11">
        <v>1242.73</v>
      </c>
      <c r="H708" s="11">
        <v>1232.8699999999999</v>
      </c>
      <c r="I708" s="11">
        <v>1241.71</v>
      </c>
      <c r="J708" s="11">
        <v>1283.8800000000001</v>
      </c>
      <c r="K708" s="11">
        <v>1277.69</v>
      </c>
      <c r="L708" s="11">
        <v>1245.7</v>
      </c>
      <c r="M708" s="11">
        <v>1239.58</v>
      </c>
      <c r="N708" s="11">
        <v>1282.6400000000001</v>
      </c>
      <c r="O708" s="61"/>
      <c r="P708" s="61"/>
      <c r="Q708" s="62"/>
      <c r="R708" s="62"/>
      <c r="S708" s="139"/>
      <c r="T708" s="5"/>
      <c r="U708" s="140"/>
      <c r="V708" s="179"/>
      <c r="X708" s="118"/>
      <c r="Y708" s="118"/>
      <c r="Z708" s="118"/>
      <c r="AA708" s="118"/>
    </row>
    <row r="709" spans="1:29" ht="15.6" x14ac:dyDescent="0.3">
      <c r="A709"/>
      <c r="B709" s="24"/>
      <c r="C709" s="6"/>
      <c r="D709" s="6"/>
      <c r="E709" s="61" t="s">
        <v>190</v>
      </c>
      <c r="F709" s="40">
        <f t="shared" ref="F709:N709" si="231">IF(((F707="")*AND(F708="")),"",(F707-F708)*3)</f>
        <v>1987.1400000000003</v>
      </c>
      <c r="G709" s="40">
        <f t="shared" si="231"/>
        <v>2070.1499999999996</v>
      </c>
      <c r="H709" s="40">
        <f t="shared" si="231"/>
        <v>2074.4700000000003</v>
      </c>
      <c r="I709" s="40">
        <f t="shared" si="231"/>
        <v>2072.6399999999994</v>
      </c>
      <c r="J709" s="40">
        <f t="shared" si="231"/>
        <v>1951.4399999999994</v>
      </c>
      <c r="K709" s="40">
        <f t="shared" si="231"/>
        <v>1987.3500000000001</v>
      </c>
      <c r="L709" s="40">
        <f t="shared" si="231"/>
        <v>2059.62</v>
      </c>
      <c r="M709" s="40">
        <f t="shared" si="231"/>
        <v>2078.2799999999997</v>
      </c>
      <c r="N709" s="40">
        <f t="shared" si="231"/>
        <v>1962.5099999999995</v>
      </c>
      <c r="O709" s="61"/>
      <c r="P709" s="61"/>
      <c r="Q709" s="62"/>
      <c r="R709" s="62"/>
      <c r="S709" s="139"/>
      <c r="T709" s="5"/>
      <c r="U709" s="140"/>
      <c r="V709" s="179"/>
      <c r="X709" s="118"/>
      <c r="Y709" s="118"/>
      <c r="Z709" s="118"/>
      <c r="AA709" s="118"/>
    </row>
    <row r="710" spans="1:29" x14ac:dyDescent="0.25">
      <c r="A710" s="210">
        <v>43404</v>
      </c>
      <c r="B710" s="218" t="s">
        <v>185</v>
      </c>
      <c r="C710" s="6" t="s">
        <v>173</v>
      </c>
      <c r="D710" s="6" t="s">
        <v>172</v>
      </c>
      <c r="E710" s="61" t="s">
        <v>186</v>
      </c>
      <c r="F710" s="11">
        <v>21496.49</v>
      </c>
      <c r="G710" s="11">
        <v>21927.17</v>
      </c>
      <c r="H710" s="11">
        <v>22062.46</v>
      </c>
      <c r="I710" s="11">
        <v>21948.68</v>
      </c>
      <c r="J710" s="11">
        <v>21491.55</v>
      </c>
      <c r="K710" s="11">
        <v>21652.13</v>
      </c>
      <c r="L710" s="11">
        <v>21999.759999999998</v>
      </c>
      <c r="M710" s="11">
        <v>21853.919999999998</v>
      </c>
      <c r="N710" s="11">
        <v>21330.38</v>
      </c>
      <c r="O710" s="61">
        <f>IF((N711=""),"",MAX(F712:N712))</f>
        <v>4917.8100000000013</v>
      </c>
      <c r="P710" s="61">
        <f>IF(N711="","",MIN(F712:N712))</f>
        <v>4417.1999999999935</v>
      </c>
      <c r="Q710" s="62">
        <f>IF((N712=""),"",AVERAGE(F712:N712))</f>
        <v>4631.0899999999983</v>
      </c>
      <c r="R710" s="62">
        <f>IF((N711=""),"",(O710-P710)/(O710+P710)*100)</f>
        <v>5.3627151979484564</v>
      </c>
      <c r="S710" s="139">
        <f>STDEV(F712:N712)</f>
        <v>179.98432306731769</v>
      </c>
      <c r="T710" s="5" t="str">
        <f>IF(N711="","",IF(R710&lt;16,IF(Q710&gt;3200,IF(R710,IF(Q710&lt;5240,"Pass","Fail"),"Fail"),"Fail")))</f>
        <v>Pass</v>
      </c>
      <c r="U710" s="146">
        <v>64</v>
      </c>
      <c r="V710" s="179"/>
      <c r="X710" s="116">
        <v>4200</v>
      </c>
      <c r="Y710" s="116">
        <v>5500</v>
      </c>
      <c r="Z710" s="116">
        <v>3200</v>
      </c>
      <c r="AA710" s="116">
        <v>5240</v>
      </c>
      <c r="AB710" s="31">
        <v>16</v>
      </c>
      <c r="AC710" s="31">
        <v>16</v>
      </c>
    </row>
    <row r="711" spans="1:29" ht="15.6" x14ac:dyDescent="0.3">
      <c r="A711"/>
      <c r="B711" s="24"/>
      <c r="C711" s="6"/>
      <c r="D711" s="6"/>
      <c r="E711" s="61" t="s">
        <v>187</v>
      </c>
      <c r="F711" s="11">
        <v>19899.38</v>
      </c>
      <c r="G711" s="11">
        <v>20427.14</v>
      </c>
      <c r="H711" s="11">
        <v>20590.060000000001</v>
      </c>
      <c r="I711" s="11">
        <v>20442.66</v>
      </c>
      <c r="J711" s="11">
        <v>19883.45</v>
      </c>
      <c r="K711" s="11">
        <v>20089.21</v>
      </c>
      <c r="L711" s="11">
        <v>20514.53</v>
      </c>
      <c r="M711" s="11">
        <v>20331.73</v>
      </c>
      <c r="N711" s="11">
        <v>19691.11</v>
      </c>
      <c r="O711" s="61"/>
      <c r="P711" s="61"/>
      <c r="Q711" s="62"/>
      <c r="R711" s="62"/>
      <c r="S711" s="139"/>
      <c r="T711" s="5"/>
      <c r="U711" s="140"/>
      <c r="V711" s="179"/>
      <c r="X711" s="118"/>
      <c r="Y711" s="118"/>
      <c r="Z711" s="118"/>
      <c r="AA711" s="118"/>
    </row>
    <row r="712" spans="1:29" ht="23.4" thickBot="1" x14ac:dyDescent="0.35">
      <c r="A712"/>
      <c r="B712" s="63"/>
      <c r="C712" s="64"/>
      <c r="D712" s="64"/>
      <c r="E712" s="65" t="s">
        <v>188</v>
      </c>
      <c r="F712" s="53">
        <f t="shared" ref="F712:N712" si="232">IF(((F710="")*AND(F711="")),"",(F710-F711)*3)</f>
        <v>4791.3300000000017</v>
      </c>
      <c r="G712" s="53">
        <f t="shared" si="232"/>
        <v>4500.0899999999965</v>
      </c>
      <c r="H712" s="53">
        <f t="shared" si="232"/>
        <v>4417.1999999999935</v>
      </c>
      <c r="I712" s="53">
        <f t="shared" si="232"/>
        <v>4518.0600000000013</v>
      </c>
      <c r="J712" s="53">
        <f t="shared" si="232"/>
        <v>4824.2999999999956</v>
      </c>
      <c r="K712" s="53">
        <f t="shared" si="232"/>
        <v>4688.7600000000057</v>
      </c>
      <c r="L712" s="53">
        <f t="shared" si="232"/>
        <v>4455.6899999999987</v>
      </c>
      <c r="M712" s="53">
        <f t="shared" si="232"/>
        <v>4566.5699999999961</v>
      </c>
      <c r="N712" s="53">
        <f t="shared" si="232"/>
        <v>4917.8100000000013</v>
      </c>
      <c r="O712" s="65"/>
      <c r="P712" s="65"/>
      <c r="Q712" s="66"/>
      <c r="R712" s="66"/>
      <c r="S712" s="142"/>
      <c r="T712" s="143"/>
      <c r="U712" s="144"/>
      <c r="V712" s="179"/>
      <c r="X712" s="118"/>
      <c r="Y712" s="118"/>
      <c r="Z712" s="118"/>
      <c r="AA712" s="118"/>
    </row>
    <row r="713" spans="1:29" x14ac:dyDescent="0.25">
      <c r="A713" s="206">
        <v>43408</v>
      </c>
      <c r="B713" s="219" t="s">
        <v>174</v>
      </c>
      <c r="C713" s="39" t="s">
        <v>176</v>
      </c>
      <c r="D713" s="39" t="s">
        <v>175</v>
      </c>
      <c r="E713" s="41" t="s">
        <v>186</v>
      </c>
      <c r="F713" s="11">
        <v>7034.53</v>
      </c>
      <c r="G713" s="11">
        <v>7021.95</v>
      </c>
      <c r="H713" s="11">
        <v>7041.48</v>
      </c>
      <c r="I713" s="11">
        <v>6989.85</v>
      </c>
      <c r="J713" s="11">
        <v>7061.53</v>
      </c>
      <c r="K713" s="11">
        <v>7004.32</v>
      </c>
      <c r="L713" s="11">
        <v>6995.06</v>
      </c>
      <c r="M713" s="11">
        <v>7026.66</v>
      </c>
      <c r="N713" s="11">
        <v>7115.41</v>
      </c>
      <c r="O713" s="41">
        <f>IF((N714=""),"",MAX(F715:N715))</f>
        <v>4062.2999999999993</v>
      </c>
      <c r="P713" s="41">
        <f>IF(N714="","",MIN(F715:N715))</f>
        <v>3677.5399999999991</v>
      </c>
      <c r="Q713" s="42">
        <f>IF((N715=""),"",AVERAGE(F715:N715))</f>
        <v>3929.96</v>
      </c>
      <c r="R713" s="42">
        <f>IF((N714=""),"",(O713-P713)/(O713+P713)*100)</f>
        <v>4.9711621945673334</v>
      </c>
      <c r="S713" s="151">
        <f>STDEV(F715:N715)</f>
        <v>133.01954668393665</v>
      </c>
      <c r="T713" s="119" t="str">
        <f>IF(N714="","",IF(Q713&gt;3650,IF(R713&lt;7,IF(Q713&lt;4450,"Pass","Fail"),"Fail"),"Fail"))</f>
        <v>Pass</v>
      </c>
      <c r="U713" s="145">
        <v>121</v>
      </c>
      <c r="V713" s="224" t="s">
        <v>213</v>
      </c>
      <c r="X713" s="116">
        <v>3650</v>
      </c>
      <c r="Y713" s="116">
        <v>4450</v>
      </c>
      <c r="Z713" s="116">
        <v>3700</v>
      </c>
      <c r="AA713" s="116">
        <v>4100</v>
      </c>
      <c r="AB713" s="31">
        <v>7</v>
      </c>
      <c r="AC713" s="31">
        <v>6.5</v>
      </c>
    </row>
    <row r="714" spans="1:29" ht="15.6" x14ac:dyDescent="0.3">
      <c r="A714"/>
      <c r="B714" s="24"/>
      <c r="C714" s="6"/>
      <c r="D714" s="6"/>
      <c r="E714" s="61" t="s">
        <v>187</v>
      </c>
      <c r="F714" s="11">
        <v>5110.74</v>
      </c>
      <c r="G714" s="11">
        <v>5007.29</v>
      </c>
      <c r="H714" s="11">
        <v>5012.68</v>
      </c>
      <c r="I714" s="11">
        <v>4989.09</v>
      </c>
      <c r="J714" s="11">
        <v>5162.12</v>
      </c>
      <c r="K714" s="11">
        <v>5165.55</v>
      </c>
      <c r="L714" s="11">
        <v>4997.76</v>
      </c>
      <c r="M714" s="11">
        <v>4995.51</v>
      </c>
      <c r="N714" s="11">
        <v>5165.2299999999996</v>
      </c>
      <c r="O714" s="61"/>
      <c r="P714" s="61"/>
      <c r="Q714" s="62"/>
      <c r="R714" s="62"/>
      <c r="S714" s="139"/>
      <c r="T714" s="8"/>
      <c r="U714" s="146"/>
      <c r="V714" s="179"/>
      <c r="X714" s="118"/>
      <c r="Y714" s="118"/>
      <c r="Z714" s="118"/>
      <c r="AA714" s="118"/>
    </row>
    <row r="715" spans="1:29" ht="22.8" x14ac:dyDescent="0.3">
      <c r="A715"/>
      <c r="B715" s="24"/>
      <c r="C715" s="6"/>
      <c r="D715" s="6"/>
      <c r="E715" s="61" t="s">
        <v>188</v>
      </c>
      <c r="F715" s="40">
        <f t="shared" ref="F715:N715" si="233">IF(((F713="")*AND(F714="")),"",(F713-F714)*2)</f>
        <v>3847.58</v>
      </c>
      <c r="G715" s="40">
        <f t="shared" si="233"/>
        <v>4029.3199999999997</v>
      </c>
      <c r="H715" s="40">
        <f t="shared" si="233"/>
        <v>4057.5999999999985</v>
      </c>
      <c r="I715" s="40">
        <f t="shared" si="233"/>
        <v>4001.5200000000004</v>
      </c>
      <c r="J715" s="40">
        <f t="shared" si="233"/>
        <v>3798.8199999999997</v>
      </c>
      <c r="K715" s="40">
        <f t="shared" si="233"/>
        <v>3677.5399999999991</v>
      </c>
      <c r="L715" s="40">
        <f t="shared" si="233"/>
        <v>3994.6000000000004</v>
      </c>
      <c r="M715" s="40">
        <f t="shared" si="233"/>
        <v>4062.2999999999993</v>
      </c>
      <c r="N715" s="40">
        <f t="shared" si="233"/>
        <v>3900.3600000000006</v>
      </c>
      <c r="O715" s="61"/>
      <c r="P715" s="61"/>
      <c r="Q715" s="62"/>
      <c r="R715" s="62"/>
      <c r="S715" s="139"/>
      <c r="T715" s="8"/>
      <c r="U715" s="146"/>
      <c r="V715" s="179"/>
      <c r="X715" s="118"/>
      <c r="Y715" s="118"/>
      <c r="Z715" s="118"/>
      <c r="AA715" s="118"/>
    </row>
    <row r="716" spans="1:29" x14ac:dyDescent="0.25">
      <c r="A716" s="188">
        <v>43408</v>
      </c>
      <c r="B716" s="215" t="s">
        <v>169</v>
      </c>
      <c r="C716" s="6" t="s">
        <v>171</v>
      </c>
      <c r="D716" s="6" t="s">
        <v>189</v>
      </c>
      <c r="E716" s="61" t="s">
        <v>186</v>
      </c>
      <c r="F716" s="11">
        <v>1282.19</v>
      </c>
      <c r="G716" s="11">
        <v>1245.93</v>
      </c>
      <c r="H716" s="11">
        <v>1235.99</v>
      </c>
      <c r="I716" s="11">
        <v>1245.82</v>
      </c>
      <c r="J716" s="11">
        <v>1287.1199999999999</v>
      </c>
      <c r="K716" s="11">
        <v>1283.9000000000001</v>
      </c>
      <c r="L716" s="11">
        <v>1249.3800000000001</v>
      </c>
      <c r="M716" s="11">
        <v>1241.4100000000001</v>
      </c>
      <c r="N716" s="11">
        <v>1280.77</v>
      </c>
      <c r="O716" s="61">
        <f>IF((N717=""),"",MAX(F718:N718))</f>
        <v>2098.92</v>
      </c>
      <c r="P716" s="61">
        <f>IF(N717="","",MIN(F718:N718))</f>
        <v>1989.8099999999995</v>
      </c>
      <c r="Q716" s="62">
        <f>IF((N718=""),"",AVERAGE(F718:N718))</f>
        <v>2054.0166666666669</v>
      </c>
      <c r="R716" s="62">
        <f>IF((N717=""),"",(O716-P716)/(O716+P716)*100)</f>
        <v>2.6685547835147001</v>
      </c>
      <c r="S716" s="139">
        <f>STDEV(F718:N718)</f>
        <v>49.297692897335587</v>
      </c>
      <c r="T716" s="5" t="str">
        <f>IF(N717="","",IF(Q716&gt;1940,IF(R716&lt;8.3,IF(Q716&lt;2180,"Pass","Fail"),"Fail"),"Fail"))</f>
        <v>Pass</v>
      </c>
      <c r="U716" s="146">
        <v>121</v>
      </c>
      <c r="V716" s="179" t="s">
        <v>213</v>
      </c>
      <c r="X716" s="116">
        <v>2000</v>
      </c>
      <c r="Y716" s="116">
        <v>3000</v>
      </c>
      <c r="Z716" s="116">
        <v>1940</v>
      </c>
      <c r="AA716" s="116">
        <v>2180</v>
      </c>
      <c r="AB716" s="31">
        <v>5.2</v>
      </c>
      <c r="AC716" s="31">
        <v>5.2</v>
      </c>
    </row>
    <row r="717" spans="1:29" ht="15.6" x14ac:dyDescent="0.3">
      <c r="A717"/>
      <c r="B717" s="24"/>
      <c r="C717" s="6"/>
      <c r="D717" s="6"/>
      <c r="E717" s="61" t="s">
        <v>187</v>
      </c>
      <c r="F717" s="11">
        <v>607.99</v>
      </c>
      <c r="G717" s="11">
        <v>548.11</v>
      </c>
      <c r="H717" s="11">
        <v>537.03</v>
      </c>
      <c r="I717" s="11">
        <v>546.17999999999995</v>
      </c>
      <c r="J717" s="11">
        <v>623.85</v>
      </c>
      <c r="K717" s="11">
        <v>618.09</v>
      </c>
      <c r="L717" s="11">
        <v>552.32000000000005</v>
      </c>
      <c r="M717" s="11">
        <v>543.37</v>
      </c>
      <c r="N717" s="11">
        <v>613.52</v>
      </c>
      <c r="O717" s="61"/>
      <c r="P717" s="61"/>
      <c r="Q717" s="62"/>
      <c r="R717" s="62"/>
      <c r="S717" s="139"/>
      <c r="T717" s="5"/>
      <c r="U717" s="140"/>
      <c r="V717" s="179"/>
      <c r="X717" s="118"/>
      <c r="Y717" s="118"/>
      <c r="Z717" s="118"/>
      <c r="AA717" s="118"/>
    </row>
    <row r="718" spans="1:29" ht="15.6" x14ac:dyDescent="0.3">
      <c r="A718"/>
      <c r="B718" s="24"/>
      <c r="C718" s="6"/>
      <c r="D718" s="6"/>
      <c r="E718" s="61" t="s">
        <v>190</v>
      </c>
      <c r="F718" s="40">
        <f t="shared" ref="F718:N718" si="234">IF(((F716="")*AND(F717="")),"",(F716-F717)*3)</f>
        <v>2022.6000000000001</v>
      </c>
      <c r="G718" s="40">
        <f t="shared" si="234"/>
        <v>2093.46</v>
      </c>
      <c r="H718" s="40">
        <f t="shared" si="234"/>
        <v>2096.88</v>
      </c>
      <c r="I718" s="40">
        <f t="shared" si="234"/>
        <v>2098.92</v>
      </c>
      <c r="J718" s="40">
        <f t="shared" si="234"/>
        <v>1989.8099999999995</v>
      </c>
      <c r="K718" s="40">
        <f t="shared" si="234"/>
        <v>1997.4300000000003</v>
      </c>
      <c r="L718" s="40">
        <f t="shared" si="234"/>
        <v>2091.1800000000003</v>
      </c>
      <c r="M718" s="40">
        <f t="shared" si="234"/>
        <v>2094.1200000000003</v>
      </c>
      <c r="N718" s="40">
        <f t="shared" si="234"/>
        <v>2001.75</v>
      </c>
      <c r="O718" s="61"/>
      <c r="P718" s="61"/>
      <c r="Q718" s="62"/>
      <c r="R718" s="62"/>
      <c r="S718" s="139"/>
      <c r="T718" s="5"/>
      <c r="U718" s="140"/>
      <c r="V718" s="179"/>
      <c r="X718" s="118"/>
      <c r="Y718" s="118"/>
      <c r="Z718" s="118"/>
      <c r="AA718" s="118"/>
    </row>
    <row r="719" spans="1:29" x14ac:dyDescent="0.25">
      <c r="A719" s="188">
        <v>43408</v>
      </c>
      <c r="B719" s="218" t="s">
        <v>185</v>
      </c>
      <c r="C719" s="6" t="s">
        <v>173</v>
      </c>
      <c r="D719" s="6" t="s">
        <v>172</v>
      </c>
      <c r="E719" s="61" t="s">
        <v>186</v>
      </c>
      <c r="F719" s="11">
        <v>29381.93</v>
      </c>
      <c r="G719" s="11">
        <v>29292.79</v>
      </c>
      <c r="H719" s="11">
        <v>29313.82</v>
      </c>
      <c r="I719" s="11">
        <v>29282.79</v>
      </c>
      <c r="J719" s="11">
        <v>29394.63</v>
      </c>
      <c r="K719" s="11">
        <v>29385.72</v>
      </c>
      <c r="L719" s="11">
        <v>29274.76</v>
      </c>
      <c r="M719" s="11">
        <v>29336.69</v>
      </c>
      <c r="N719" s="11">
        <v>29367.08</v>
      </c>
      <c r="O719" s="61">
        <f>IF((N720=""),"",MAX(F721:N721))</f>
        <v>4516.8000000000065</v>
      </c>
      <c r="P719" s="61">
        <f>IF(N720="","",MIN(F721:N721))</f>
        <v>4055.5500000000065</v>
      </c>
      <c r="Q719" s="62">
        <f>IF((N721=""),"",AVERAGE(F721:N721))</f>
        <v>4276.2166666666681</v>
      </c>
      <c r="R719" s="62">
        <f>IF((N720=""),"",(O719-P719)/(O719+P719)*100)</f>
        <v>5.3806715778053782</v>
      </c>
      <c r="S719" s="139">
        <f>STDEV(F721:N721)</f>
        <v>181.97322447272325</v>
      </c>
      <c r="T719" s="5" t="str">
        <f>IF(N720="","",IF(R719&lt;16,IF(Q719&gt;3200,IF(R719,IF(Q719&lt;5240,"Pass","Fail"),"Fail"),"Fail")))</f>
        <v>Pass</v>
      </c>
      <c r="U719" s="146">
        <v>121</v>
      </c>
      <c r="V719" s="179" t="s">
        <v>213</v>
      </c>
      <c r="X719" s="116">
        <v>4200</v>
      </c>
      <c r="Y719" s="116">
        <v>5500</v>
      </c>
      <c r="Z719" s="116">
        <v>3200</v>
      </c>
      <c r="AA719" s="116">
        <v>5240</v>
      </c>
      <c r="AB719" s="31">
        <v>16</v>
      </c>
      <c r="AC719" s="31">
        <v>16</v>
      </c>
    </row>
    <row r="720" spans="1:29" ht="15.6" x14ac:dyDescent="0.3">
      <c r="A720"/>
      <c r="B720" s="24"/>
      <c r="C720" s="6"/>
      <c r="D720" s="6"/>
      <c r="E720" s="61" t="s">
        <v>187</v>
      </c>
      <c r="F720" s="11">
        <v>27919.27</v>
      </c>
      <c r="G720" s="11">
        <v>27927.95</v>
      </c>
      <c r="H720" s="11">
        <v>27925.439999999999</v>
      </c>
      <c r="I720" s="11">
        <v>27930.94</v>
      </c>
      <c r="J720" s="11">
        <v>27898.82</v>
      </c>
      <c r="K720" s="11">
        <v>27933.86</v>
      </c>
      <c r="L720" s="11">
        <v>27918.78</v>
      </c>
      <c r="M720" s="11">
        <v>27885.02</v>
      </c>
      <c r="N720" s="11">
        <v>27861.48</v>
      </c>
      <c r="O720" s="61"/>
      <c r="P720" s="61"/>
      <c r="Q720" s="62"/>
      <c r="R720" s="62"/>
      <c r="S720" s="139"/>
      <c r="T720" s="5"/>
      <c r="U720" s="140"/>
      <c r="V720" s="179"/>
      <c r="X720" s="118"/>
      <c r="Y720" s="118"/>
      <c r="Z720" s="118"/>
      <c r="AA720" s="118"/>
    </row>
    <row r="721" spans="1:29" ht="23.4" thickBot="1" x14ac:dyDescent="0.35">
      <c r="A721"/>
      <c r="B721" s="63"/>
      <c r="C721" s="64"/>
      <c r="D721" s="64"/>
      <c r="E721" s="65" t="s">
        <v>188</v>
      </c>
      <c r="F721" s="53">
        <f t="shared" ref="F721:N721" si="235">IF(((F719="")*AND(F720="")),"",(F719-F720)*3)</f>
        <v>4387.9799999999996</v>
      </c>
      <c r="G721" s="53">
        <f t="shared" si="235"/>
        <v>4094.5200000000004</v>
      </c>
      <c r="H721" s="53">
        <f t="shared" si="235"/>
        <v>4165.1400000000031</v>
      </c>
      <c r="I721" s="53">
        <f t="shared" si="235"/>
        <v>4055.5500000000065</v>
      </c>
      <c r="J721" s="53">
        <f t="shared" si="235"/>
        <v>4487.4300000000039</v>
      </c>
      <c r="K721" s="53">
        <f t="shared" si="235"/>
        <v>4355.5800000000017</v>
      </c>
      <c r="L721" s="53">
        <f t="shared" si="235"/>
        <v>4067.9399999999987</v>
      </c>
      <c r="M721" s="53">
        <f t="shared" si="235"/>
        <v>4355.0099999999948</v>
      </c>
      <c r="N721" s="53">
        <f t="shared" si="235"/>
        <v>4516.8000000000065</v>
      </c>
      <c r="O721" s="65"/>
      <c r="P721" s="65"/>
      <c r="Q721" s="66"/>
      <c r="R721" s="66"/>
      <c r="S721" s="142"/>
      <c r="T721" s="143"/>
      <c r="U721" s="144"/>
      <c r="V721" s="179"/>
      <c r="X721" s="118"/>
      <c r="Y721" s="118"/>
      <c r="Z721" s="118"/>
      <c r="AA721" s="118"/>
    </row>
    <row r="722" spans="1:29" x14ac:dyDescent="0.25">
      <c r="A722" s="188">
        <v>43412</v>
      </c>
      <c r="B722" s="219" t="s">
        <v>174</v>
      </c>
      <c r="C722" s="39" t="s">
        <v>176</v>
      </c>
      <c r="D722" s="39" t="s">
        <v>175</v>
      </c>
      <c r="E722" s="41" t="s">
        <v>186</v>
      </c>
      <c r="F722" s="11">
        <v>5116.88</v>
      </c>
      <c r="G722" s="11">
        <v>5013.6099999999997</v>
      </c>
      <c r="H722" s="11">
        <v>5018.6099999999997</v>
      </c>
      <c r="I722" s="11">
        <v>4995.26</v>
      </c>
      <c r="J722" s="11">
        <v>5168.1400000000003</v>
      </c>
      <c r="K722" s="11">
        <v>5171.47</v>
      </c>
      <c r="L722" s="11">
        <v>5004.13</v>
      </c>
      <c r="M722" s="11">
        <v>5001.46</v>
      </c>
      <c r="N722" s="11">
        <v>5171.24</v>
      </c>
      <c r="O722" s="41">
        <f>IF((N723=""),"",MAX(F724:N724))</f>
        <v>4153.4400000000005</v>
      </c>
      <c r="P722" s="41">
        <f>IF(N723="","",MIN(F724:N724))</f>
        <v>3756.1000000000004</v>
      </c>
      <c r="Q722" s="42">
        <f>IF((N724=""),"",AVERAGE(F724:N724))</f>
        <v>4016.1088888888894</v>
      </c>
      <c r="R722" s="42">
        <f>IF((N723=""),"",(O722-P722)/(O722+P722)*100)</f>
        <v>5.0235538349891407</v>
      </c>
      <c r="S722" s="151">
        <f>STDEV(F724:N724)</f>
        <v>135.34461500595827</v>
      </c>
      <c r="T722" s="119" t="str">
        <f>IF(N723="","",IF(Q722&gt;3650,IF(R722&lt;7,IF(Q722&lt;4450,"Pass","Fail"),"Fail"),"Fail"))</f>
        <v>Pass</v>
      </c>
      <c r="U722" s="145">
        <v>1335</v>
      </c>
      <c r="V722" s="224" t="s">
        <v>214</v>
      </c>
      <c r="X722" s="116">
        <v>3650</v>
      </c>
      <c r="Y722" s="116">
        <v>4450</v>
      </c>
      <c r="Z722" s="116">
        <v>3700</v>
      </c>
      <c r="AA722" s="116">
        <v>4100</v>
      </c>
      <c r="AB722" s="31">
        <v>7</v>
      </c>
      <c r="AC722" s="31">
        <v>6.5</v>
      </c>
    </row>
    <row r="723" spans="1:29" ht="15.6" x14ac:dyDescent="0.3">
      <c r="A723"/>
      <c r="B723" s="24"/>
      <c r="C723" s="6"/>
      <c r="D723" s="6"/>
      <c r="E723" s="61" t="s">
        <v>187</v>
      </c>
      <c r="F723" s="11">
        <v>3165.16</v>
      </c>
      <c r="G723" s="11">
        <v>2963.34</v>
      </c>
      <c r="H723" s="11">
        <v>2946.93</v>
      </c>
      <c r="I723" s="11">
        <v>2943.94</v>
      </c>
      <c r="J723" s="11">
        <v>3214.28</v>
      </c>
      <c r="K723" s="11">
        <v>3293.42</v>
      </c>
      <c r="L723" s="11">
        <v>2962.92</v>
      </c>
      <c r="M723" s="11">
        <v>2924.74</v>
      </c>
      <c r="N723" s="11">
        <v>3173.58</v>
      </c>
      <c r="O723" s="61"/>
      <c r="P723" s="61"/>
      <c r="Q723" s="62"/>
      <c r="R723" s="62"/>
      <c r="S723" s="139"/>
      <c r="T723" s="8"/>
      <c r="U723" s="146"/>
      <c r="V723" s="179"/>
      <c r="X723" s="118"/>
      <c r="Y723" s="118"/>
      <c r="Z723" s="118"/>
      <c r="AA723" s="118"/>
    </row>
    <row r="724" spans="1:29" ht="22.8" x14ac:dyDescent="0.3">
      <c r="A724"/>
      <c r="B724" s="24"/>
      <c r="C724" s="6"/>
      <c r="D724" s="6"/>
      <c r="E724" s="61" t="s">
        <v>188</v>
      </c>
      <c r="F724" s="40">
        <f t="shared" ref="F724:N724" si="236">IF(((F722="")*AND(F723="")),"",(F722-F723)*2)</f>
        <v>3903.4400000000005</v>
      </c>
      <c r="G724" s="40">
        <f t="shared" si="236"/>
        <v>4100.5399999999991</v>
      </c>
      <c r="H724" s="40">
        <f t="shared" si="236"/>
        <v>4143.3599999999997</v>
      </c>
      <c r="I724" s="40">
        <f t="shared" si="236"/>
        <v>4102.6400000000003</v>
      </c>
      <c r="J724" s="40">
        <f t="shared" si="236"/>
        <v>3907.7200000000003</v>
      </c>
      <c r="K724" s="40">
        <f t="shared" si="236"/>
        <v>3756.1000000000004</v>
      </c>
      <c r="L724" s="40">
        <f t="shared" si="236"/>
        <v>4082.42</v>
      </c>
      <c r="M724" s="40">
        <f t="shared" si="236"/>
        <v>4153.4400000000005</v>
      </c>
      <c r="N724" s="40">
        <f t="shared" si="236"/>
        <v>3995.3199999999997</v>
      </c>
      <c r="O724" s="61"/>
      <c r="P724" s="61"/>
      <c r="Q724" s="62"/>
      <c r="R724" s="62"/>
      <c r="S724" s="139"/>
      <c r="T724" s="8"/>
      <c r="U724" s="146"/>
      <c r="V724" s="179"/>
      <c r="X724" s="118"/>
      <c r="Y724" s="118"/>
      <c r="Z724" s="118"/>
      <c r="AA724" s="118"/>
    </row>
    <row r="725" spans="1:29" x14ac:dyDescent="0.25">
      <c r="A725" s="188">
        <v>43412</v>
      </c>
      <c r="B725" s="215" t="s">
        <v>169</v>
      </c>
      <c r="C725" s="6" t="s">
        <v>171</v>
      </c>
      <c r="D725" s="6" t="s">
        <v>189</v>
      </c>
      <c r="E725" s="61" t="s">
        <v>186</v>
      </c>
      <c r="F725" s="11">
        <v>1918.25</v>
      </c>
      <c r="G725" s="11">
        <v>1914.63</v>
      </c>
      <c r="H725" s="11">
        <v>1913.37</v>
      </c>
      <c r="I725" s="11">
        <v>1912.71</v>
      </c>
      <c r="J725" s="11">
        <v>1916.78</v>
      </c>
      <c r="K725" s="11">
        <v>1919.53</v>
      </c>
      <c r="L725" s="11">
        <v>1916.2</v>
      </c>
      <c r="M725" s="11">
        <v>1913.94</v>
      </c>
      <c r="N725" s="11">
        <v>1918.93</v>
      </c>
      <c r="O725" s="61">
        <f>IF((N726=""),"",MAX(F727:N727))</f>
        <v>2089.5300000000007</v>
      </c>
      <c r="P725" s="61">
        <f>IF(N726="","",MIN(F727:N727))</f>
        <v>1992.5400000000002</v>
      </c>
      <c r="Q725" s="62">
        <f>IF((N727=""),"",AVERAGE(F727:N727))</f>
        <v>2044.9033333333334</v>
      </c>
      <c r="R725" s="62">
        <f>IF((N726=""),"",(O725-P725)/(O725+P725)*100)</f>
        <v>2.3760004115559128</v>
      </c>
      <c r="S725" s="139">
        <f>STDEV(F727:N727)</f>
        <v>41.029744088892535</v>
      </c>
      <c r="T725" s="5" t="str">
        <f>IF(N726="","",IF(Q725&gt;1940,IF(R725&lt;8.3,IF(Q725&lt;2180,"Pass","Fail"),"Fail"),"Fail"))</f>
        <v>Pass</v>
      </c>
      <c r="U725" s="146">
        <v>1335</v>
      </c>
      <c r="V725" s="179" t="s">
        <v>214</v>
      </c>
      <c r="X725" s="116">
        <v>2000</v>
      </c>
      <c r="Y725" s="116">
        <v>3000</v>
      </c>
      <c r="Z725" s="116">
        <v>1940</v>
      </c>
      <c r="AA725" s="116">
        <v>2180</v>
      </c>
      <c r="AB725" s="31">
        <v>5.2</v>
      </c>
      <c r="AC725" s="31">
        <v>5.2</v>
      </c>
    </row>
    <row r="726" spans="1:29" ht="15.6" x14ac:dyDescent="0.3">
      <c r="A726"/>
      <c r="B726" s="24"/>
      <c r="C726" s="6"/>
      <c r="D726" s="6"/>
      <c r="E726" s="61" t="s">
        <v>187</v>
      </c>
      <c r="F726" s="11">
        <v>1249.79</v>
      </c>
      <c r="G726" s="11">
        <v>1218.1199999999999</v>
      </c>
      <c r="H726" s="11">
        <v>1219.3499999999999</v>
      </c>
      <c r="I726" s="11">
        <v>1224.08</v>
      </c>
      <c r="J726" s="11">
        <v>1252.5999999999999</v>
      </c>
      <c r="K726" s="11">
        <v>1246.73</v>
      </c>
      <c r="L726" s="11">
        <v>1222.45</v>
      </c>
      <c r="M726" s="11">
        <v>1222.6099999999999</v>
      </c>
      <c r="N726" s="11">
        <v>1253.9000000000001</v>
      </c>
      <c r="O726" s="61"/>
      <c r="P726" s="61"/>
      <c r="Q726" s="62"/>
      <c r="R726" s="62"/>
      <c r="S726" s="139"/>
      <c r="T726" s="5"/>
      <c r="U726" s="140"/>
      <c r="V726" s="179"/>
      <c r="X726" s="118"/>
      <c r="Y726" s="118"/>
      <c r="Z726" s="118"/>
      <c r="AA726" s="118"/>
    </row>
    <row r="727" spans="1:29" ht="15.6" x14ac:dyDescent="0.3">
      <c r="A727"/>
      <c r="B727" s="24"/>
      <c r="C727" s="6"/>
      <c r="D727" s="6"/>
      <c r="E727" s="61" t="s">
        <v>190</v>
      </c>
      <c r="F727" s="40">
        <f t="shared" ref="F727:N727" si="237">IF(((F725="")*AND(F726="")),"",(F725-F726)*3)</f>
        <v>2005.38</v>
      </c>
      <c r="G727" s="40">
        <f t="shared" si="237"/>
        <v>2089.5300000000007</v>
      </c>
      <c r="H727" s="40">
        <f t="shared" si="237"/>
        <v>2082.06</v>
      </c>
      <c r="I727" s="40">
        <f t="shared" si="237"/>
        <v>2065.8900000000003</v>
      </c>
      <c r="J727" s="40">
        <f t="shared" si="237"/>
        <v>1992.5400000000002</v>
      </c>
      <c r="K727" s="40">
        <f t="shared" si="237"/>
        <v>2018.3999999999999</v>
      </c>
      <c r="L727" s="40">
        <f t="shared" si="237"/>
        <v>2081.25</v>
      </c>
      <c r="M727" s="40">
        <f t="shared" si="237"/>
        <v>2073.9900000000007</v>
      </c>
      <c r="N727" s="40">
        <f t="shared" si="237"/>
        <v>1995.09</v>
      </c>
      <c r="O727" s="61"/>
      <c r="P727" s="61"/>
      <c r="Q727" s="62"/>
      <c r="R727" s="62"/>
      <c r="S727" s="139"/>
      <c r="T727" s="5"/>
      <c r="U727" s="140"/>
      <c r="V727" s="179"/>
      <c r="X727" s="118"/>
      <c r="Y727" s="118"/>
      <c r="Z727" s="118"/>
      <c r="AA727" s="118"/>
    </row>
    <row r="728" spans="1:29" x14ac:dyDescent="0.25">
      <c r="A728" s="188">
        <v>43412</v>
      </c>
      <c r="B728" s="218" t="s">
        <v>185</v>
      </c>
      <c r="C728" s="6" t="s">
        <v>173</v>
      </c>
      <c r="D728" s="6" t="s">
        <v>172</v>
      </c>
      <c r="E728" s="61" t="s">
        <v>186</v>
      </c>
      <c r="F728" s="11">
        <v>27811.15</v>
      </c>
      <c r="G728" s="11">
        <v>27901.62</v>
      </c>
      <c r="H728" s="11">
        <v>27859.81</v>
      </c>
      <c r="I728" s="11">
        <v>27862.799999999999</v>
      </c>
      <c r="J728" s="11">
        <v>27836.53</v>
      </c>
      <c r="K728" s="11">
        <v>27841.96</v>
      </c>
      <c r="L728" s="11">
        <v>27852.3</v>
      </c>
      <c r="M728" s="11">
        <v>27842.04</v>
      </c>
      <c r="N728" s="11">
        <v>27766.880000000001</v>
      </c>
      <c r="O728" s="61">
        <f>IF((N729=""),"",MAX(F730:N730))</f>
        <v>4387.0499999999956</v>
      </c>
      <c r="P728" s="61">
        <f>IF(N729="","",MIN(F730:N730))</f>
        <v>3931.5600000000013</v>
      </c>
      <c r="Q728" s="62">
        <f>IF((N730=""),"",AVERAGE(F730:N730))</f>
        <v>4178.9866666666676</v>
      </c>
      <c r="R728" s="62">
        <f>IF((N729=""),"",(O728-P728)/(O728+P728)*100)</f>
        <v>5.4755542091767069</v>
      </c>
      <c r="S728" s="139">
        <f>STDEV(F730:N730)</f>
        <v>166.72588401325058</v>
      </c>
      <c r="T728" s="5" t="str">
        <f>IF(N729="","",IF(R728&lt;16,IF(Q728&gt;3200,IF(R728,IF(Q728&lt;5240,"Pass","Fail"),"Fail"),"Fail")))</f>
        <v>Pass</v>
      </c>
      <c r="U728" s="146">
        <v>1335</v>
      </c>
      <c r="V728" s="179" t="s">
        <v>214</v>
      </c>
      <c r="X728" s="116">
        <v>4200</v>
      </c>
      <c r="Y728" s="116">
        <v>5500</v>
      </c>
      <c r="Z728" s="116">
        <v>3200</v>
      </c>
      <c r="AA728" s="116">
        <v>5240</v>
      </c>
      <c r="AB728" s="31">
        <v>16</v>
      </c>
      <c r="AC728" s="31">
        <v>16</v>
      </c>
    </row>
    <row r="729" spans="1:29" ht="15.6" x14ac:dyDescent="0.3">
      <c r="A729"/>
      <c r="B729" s="24"/>
      <c r="C729" s="6"/>
      <c r="D729" s="6"/>
      <c r="E729" s="61" t="s">
        <v>187</v>
      </c>
      <c r="F729" s="11">
        <v>26372.48</v>
      </c>
      <c r="G729" s="11">
        <v>26481.439999999999</v>
      </c>
      <c r="H729" s="11">
        <v>26549.29</v>
      </c>
      <c r="I729" s="11">
        <v>26499.439999999999</v>
      </c>
      <c r="J729" s="11">
        <v>26398.84</v>
      </c>
      <c r="K729" s="11">
        <v>26379.61</v>
      </c>
      <c r="L729" s="11">
        <v>26534.28</v>
      </c>
      <c r="M729" s="11">
        <v>26478.74</v>
      </c>
      <c r="N729" s="11">
        <v>26344.01</v>
      </c>
      <c r="O729" s="61"/>
      <c r="P729" s="61"/>
      <c r="Q729" s="62"/>
      <c r="R729" s="62"/>
      <c r="S729" s="139"/>
      <c r="T729" s="5"/>
      <c r="U729" s="140"/>
      <c r="V729" s="179"/>
      <c r="X729" s="118"/>
      <c r="Y729" s="118"/>
      <c r="Z729" s="118"/>
      <c r="AA729" s="118"/>
    </row>
    <row r="730" spans="1:29" ht="23.4" thickBot="1" x14ac:dyDescent="0.35">
      <c r="A730"/>
      <c r="B730" s="63"/>
      <c r="C730" s="64"/>
      <c r="D730" s="64"/>
      <c r="E730" s="65" t="s">
        <v>188</v>
      </c>
      <c r="F730" s="53">
        <f t="shared" ref="F730:N730" si="238">IF(((F728="")*AND(F729="")),"",(F728-F729)*3)</f>
        <v>4316.0100000000057</v>
      </c>
      <c r="G730" s="53">
        <f t="shared" si="238"/>
        <v>4260.5400000000009</v>
      </c>
      <c r="H730" s="53">
        <f t="shared" si="238"/>
        <v>3931.5600000000013</v>
      </c>
      <c r="I730" s="53">
        <f t="shared" si="238"/>
        <v>4090.0800000000017</v>
      </c>
      <c r="J730" s="53">
        <f t="shared" si="238"/>
        <v>4313.0699999999961</v>
      </c>
      <c r="K730" s="53">
        <f t="shared" si="238"/>
        <v>4387.0499999999956</v>
      </c>
      <c r="L730" s="53">
        <f t="shared" si="238"/>
        <v>3954.0600000000013</v>
      </c>
      <c r="M730" s="53">
        <f t="shared" si="238"/>
        <v>4089.8999999999978</v>
      </c>
      <c r="N730" s="53">
        <f t="shared" si="238"/>
        <v>4268.6100000000079</v>
      </c>
      <c r="O730" s="65"/>
      <c r="P730" s="65"/>
      <c r="Q730" s="66"/>
      <c r="R730" s="66"/>
      <c r="S730" s="142"/>
      <c r="T730" s="143"/>
      <c r="U730" s="144"/>
      <c r="V730" s="179"/>
      <c r="X730" s="118"/>
      <c r="Y730" s="118"/>
      <c r="Z730" s="118"/>
      <c r="AA730" s="118"/>
    </row>
    <row r="731" spans="1:29" x14ac:dyDescent="0.25">
      <c r="A731" s="207">
        <v>43416</v>
      </c>
      <c r="B731" s="219" t="s">
        <v>174</v>
      </c>
      <c r="C731" s="39" t="s">
        <v>176</v>
      </c>
      <c r="D731" s="39" t="s">
        <v>175</v>
      </c>
      <c r="E731" s="41" t="s">
        <v>186</v>
      </c>
      <c r="F731" s="11">
        <v>3165.16</v>
      </c>
      <c r="G731" s="11">
        <v>2963.34</v>
      </c>
      <c r="H731" s="11">
        <v>2946.93</v>
      </c>
      <c r="I731" s="11">
        <v>2943.94</v>
      </c>
      <c r="J731" s="11">
        <v>3214.28</v>
      </c>
      <c r="K731" s="11">
        <v>3293.42</v>
      </c>
      <c r="L731" s="11">
        <v>2962.92</v>
      </c>
      <c r="M731" s="11">
        <v>2924.74</v>
      </c>
      <c r="N731" s="11">
        <v>3173.58</v>
      </c>
      <c r="O731" s="41">
        <f>IF((N732=""),"",MAX(F733:N733))</f>
        <v>4085.6399999999994</v>
      </c>
      <c r="P731" s="41">
        <f>IF(N732="","",MIN(F733:N733))</f>
        <v>3720.58</v>
      </c>
      <c r="Q731" s="42">
        <f>IF((N733=""),"",AVERAGE(F733:N733))</f>
        <v>3958.8933333333334</v>
      </c>
      <c r="R731" s="42">
        <f>IF((N732=""),"",(O731-P731)/(O731+P731)*100)</f>
        <v>4.6765271796080494</v>
      </c>
      <c r="S731" s="151">
        <f>STDEV(F733:N733)</f>
        <v>123.45592533369944</v>
      </c>
      <c r="T731" s="119" t="str">
        <f>IF(N732="","",IF(Q731&gt;3650,IF(R731&lt;7,IF(Q731&lt;4450,"Pass","Fail"),"Fail"),"Fail"))</f>
        <v>Pass</v>
      </c>
      <c r="U731" s="145">
        <v>121</v>
      </c>
      <c r="V731" s="224" t="s">
        <v>215</v>
      </c>
      <c r="X731" s="116">
        <v>3650</v>
      </c>
      <c r="Y731" s="116">
        <v>4450</v>
      </c>
      <c r="Z731" s="116">
        <v>3700</v>
      </c>
      <c r="AA731" s="116">
        <v>4100</v>
      </c>
      <c r="AB731" s="31">
        <v>7</v>
      </c>
      <c r="AC731" s="31">
        <v>6.5</v>
      </c>
    </row>
    <row r="732" spans="1:29" ht="15.6" x14ac:dyDescent="0.3">
      <c r="A732"/>
      <c r="B732" s="24"/>
      <c r="C732" s="6"/>
      <c r="D732" s="6"/>
      <c r="E732" s="61" t="s">
        <v>187</v>
      </c>
      <c r="F732" s="11">
        <v>1229.51</v>
      </c>
      <c r="G732" s="11">
        <v>937.57</v>
      </c>
      <c r="H732" s="11">
        <v>908.12</v>
      </c>
      <c r="I732" s="11">
        <v>931.51</v>
      </c>
      <c r="J732" s="11">
        <v>1285.58</v>
      </c>
      <c r="K732" s="11">
        <v>1433.13</v>
      </c>
      <c r="L732" s="11">
        <v>955.86</v>
      </c>
      <c r="M732" s="11">
        <v>881.92</v>
      </c>
      <c r="N732" s="11">
        <v>1210.0899999999999</v>
      </c>
      <c r="O732" s="61"/>
      <c r="P732" s="61"/>
      <c r="Q732" s="62"/>
      <c r="R732" s="62"/>
      <c r="S732" s="139"/>
      <c r="T732" s="8"/>
      <c r="U732" s="146"/>
      <c r="V732" s="179"/>
      <c r="X732" s="118"/>
      <c r="Y732" s="118"/>
      <c r="Z732" s="118"/>
      <c r="AA732" s="118"/>
    </row>
    <row r="733" spans="1:29" ht="22.8" x14ac:dyDescent="0.3">
      <c r="A733"/>
      <c r="B733" s="24"/>
      <c r="C733" s="6"/>
      <c r="D733" s="6"/>
      <c r="E733" s="61" t="s">
        <v>188</v>
      </c>
      <c r="F733" s="40">
        <f t="shared" ref="F733:N733" si="239">IF(((F731="")*AND(F732="")),"",(F731-F732)*2)</f>
        <v>3871.2999999999997</v>
      </c>
      <c r="G733" s="40">
        <f t="shared" si="239"/>
        <v>4051.54</v>
      </c>
      <c r="H733" s="40">
        <f t="shared" si="239"/>
        <v>4077.62</v>
      </c>
      <c r="I733" s="40">
        <f t="shared" si="239"/>
        <v>4024.86</v>
      </c>
      <c r="J733" s="40">
        <f t="shared" si="239"/>
        <v>3857.4000000000005</v>
      </c>
      <c r="K733" s="40">
        <f t="shared" si="239"/>
        <v>3720.58</v>
      </c>
      <c r="L733" s="40">
        <f t="shared" si="239"/>
        <v>4014.12</v>
      </c>
      <c r="M733" s="40">
        <f t="shared" si="239"/>
        <v>4085.6399999999994</v>
      </c>
      <c r="N733" s="40">
        <f t="shared" si="239"/>
        <v>3926.98</v>
      </c>
      <c r="O733" s="61"/>
      <c r="P733" s="61"/>
      <c r="Q733" s="62"/>
      <c r="R733" s="62"/>
      <c r="S733" s="139"/>
      <c r="T733" s="8"/>
      <c r="U733" s="146"/>
      <c r="V733" s="179"/>
      <c r="X733" s="118"/>
      <c r="Y733" s="118"/>
      <c r="Z733" s="118"/>
      <c r="AA733" s="118"/>
    </row>
    <row r="734" spans="1:29" x14ac:dyDescent="0.25">
      <c r="A734" s="210">
        <v>43416</v>
      </c>
      <c r="B734" s="215" t="s">
        <v>169</v>
      </c>
      <c r="C734" s="6" t="s">
        <v>171</v>
      </c>
      <c r="D734" s="6" t="s">
        <v>189</v>
      </c>
      <c r="E734" s="61" t="s">
        <v>186</v>
      </c>
      <c r="F734" s="11">
        <v>1249.79</v>
      </c>
      <c r="G734" s="11">
        <v>1218.1199999999999</v>
      </c>
      <c r="H734" s="11">
        <v>1219.3499999999999</v>
      </c>
      <c r="I734" s="11">
        <v>1224.08</v>
      </c>
      <c r="J734" s="11">
        <v>1252.5999999999999</v>
      </c>
      <c r="K734" s="11">
        <v>1246.73</v>
      </c>
      <c r="L734" s="11">
        <v>1222.45</v>
      </c>
      <c r="M734" s="11">
        <v>1222.6099999999999</v>
      </c>
      <c r="N734" s="11">
        <v>1253.9000000000001</v>
      </c>
      <c r="O734" s="61">
        <f>IF((N735=""),"",MAX(F736:N736))</f>
        <v>2100.21</v>
      </c>
      <c r="P734" s="61">
        <f>IF(N735="","",MIN(F736:N736))</f>
        <v>1979.0700000000002</v>
      </c>
      <c r="Q734" s="62">
        <f>IF((N736=""),"",AVERAGE(F736:N736))</f>
        <v>2048.3999999999996</v>
      </c>
      <c r="R734" s="62">
        <f>IF((N735=""),"",(O734-P734)/(O734+P734)*100)</f>
        <v>2.969641701476728</v>
      </c>
      <c r="S734" s="139">
        <f>STDEV(F736:N736)</f>
        <v>49.873511255976339</v>
      </c>
      <c r="T734" s="5" t="str">
        <f>IF(N735="","",IF(Q734&gt;1940,IF(R734&lt;8.3,IF(Q734&lt;2180,"Pass","Fail"),"Fail"),"Fail"))</f>
        <v>Pass</v>
      </c>
      <c r="U734" s="146">
        <v>121</v>
      </c>
      <c r="V734" s="179" t="s">
        <v>215</v>
      </c>
      <c r="X734" s="116">
        <v>2000</v>
      </c>
      <c r="Y734" s="116">
        <v>3000</v>
      </c>
      <c r="Z734" s="116">
        <v>1940</v>
      </c>
      <c r="AA734" s="116">
        <v>2180</v>
      </c>
      <c r="AB734" s="31">
        <v>5.2</v>
      </c>
      <c r="AC734" s="31">
        <v>5.2</v>
      </c>
    </row>
    <row r="735" spans="1:29" ht="15.6" x14ac:dyDescent="0.3">
      <c r="A735"/>
      <c r="B735" s="24"/>
      <c r="C735" s="6"/>
      <c r="D735" s="6"/>
      <c r="E735" s="61" t="s">
        <v>187</v>
      </c>
      <c r="F735" s="11">
        <v>576.9</v>
      </c>
      <c r="G735" s="11">
        <v>521.28</v>
      </c>
      <c r="H735" s="11">
        <v>525.05999999999995</v>
      </c>
      <c r="I735" s="11">
        <v>527.66999999999996</v>
      </c>
      <c r="J735" s="11">
        <v>591.70000000000005</v>
      </c>
      <c r="K735" s="11">
        <v>576.62</v>
      </c>
      <c r="L735" s="11">
        <v>528.45000000000005</v>
      </c>
      <c r="M735" s="11">
        <v>522.54</v>
      </c>
      <c r="N735" s="11">
        <v>594.21</v>
      </c>
      <c r="O735" s="61"/>
      <c r="P735" s="61"/>
      <c r="Q735" s="62"/>
      <c r="R735" s="62"/>
      <c r="S735" s="139"/>
      <c r="T735" s="5"/>
      <c r="U735" s="140"/>
      <c r="V735" s="179"/>
      <c r="X735" s="118"/>
      <c r="Y735" s="118"/>
      <c r="Z735" s="118"/>
      <c r="AA735" s="118"/>
    </row>
    <row r="736" spans="1:29" ht="15.6" x14ac:dyDescent="0.3">
      <c r="A736"/>
      <c r="B736" s="24"/>
      <c r="C736" s="6"/>
      <c r="D736" s="6"/>
      <c r="E736" s="61" t="s">
        <v>190</v>
      </c>
      <c r="F736" s="40">
        <f t="shared" ref="F736:N736" si="240">IF(((F734="")*AND(F735="")),"",(F734-F735)*3)</f>
        <v>2018.67</v>
      </c>
      <c r="G736" s="40">
        <f t="shared" si="240"/>
        <v>2090.5199999999995</v>
      </c>
      <c r="H736" s="40">
        <f t="shared" si="240"/>
        <v>2082.87</v>
      </c>
      <c r="I736" s="40">
        <f t="shared" si="240"/>
        <v>2089.23</v>
      </c>
      <c r="J736" s="40">
        <f t="shared" si="240"/>
        <v>1982.6999999999996</v>
      </c>
      <c r="K736" s="40">
        <f t="shared" si="240"/>
        <v>2010.33</v>
      </c>
      <c r="L736" s="40">
        <f t="shared" si="240"/>
        <v>2082</v>
      </c>
      <c r="M736" s="40">
        <f t="shared" si="240"/>
        <v>2100.21</v>
      </c>
      <c r="N736" s="40">
        <f t="shared" si="240"/>
        <v>1979.0700000000002</v>
      </c>
      <c r="O736" s="61"/>
      <c r="P736" s="61"/>
      <c r="Q736" s="62"/>
      <c r="R736" s="62"/>
      <c r="S736" s="139"/>
      <c r="T736" s="5"/>
      <c r="U736" s="140"/>
      <c r="V736" s="179"/>
      <c r="X736" s="118"/>
      <c r="Y736" s="118"/>
      <c r="Z736" s="118"/>
      <c r="AA736" s="118"/>
    </row>
    <row r="737" spans="1:29" x14ac:dyDescent="0.25">
      <c r="A737" s="210">
        <v>43416</v>
      </c>
      <c r="B737" s="218" t="s">
        <v>185</v>
      </c>
      <c r="C737" s="6" t="s">
        <v>173</v>
      </c>
      <c r="D737" s="6" t="s">
        <v>172</v>
      </c>
      <c r="E737" s="61" t="s">
        <v>186</v>
      </c>
      <c r="F737" s="11">
        <v>26372.48</v>
      </c>
      <c r="G737" s="11">
        <v>26481.439999999999</v>
      </c>
      <c r="H737" s="11">
        <v>26549.29</v>
      </c>
      <c r="I737" s="11">
        <v>26499.439999999999</v>
      </c>
      <c r="J737" s="11">
        <v>26398.84</v>
      </c>
      <c r="K737" s="11">
        <v>26379.61</v>
      </c>
      <c r="L737" s="11">
        <v>26534.28</v>
      </c>
      <c r="M737" s="11">
        <v>26478.74</v>
      </c>
      <c r="N737" s="11">
        <v>26344.01</v>
      </c>
      <c r="O737" s="61">
        <f>IF((N738=""),"",MAX(F739:N739))</f>
        <v>5093.9099999999926</v>
      </c>
      <c r="P737" s="61">
        <f>IF(N738="","",MIN(F739:N739))</f>
        <v>4353.6000000000022</v>
      </c>
      <c r="Q737" s="62">
        <f>IF((N739=""),"",AVERAGE(F739:N739))</f>
        <v>4655.406666666664</v>
      </c>
      <c r="R737" s="62">
        <f>IF((N738=""),"",(O737-P737)/(O737+P737)*100)</f>
        <v>7.8360329864693528</v>
      </c>
      <c r="S737" s="139">
        <f>STDEV(F739:N739)</f>
        <v>266.73041577592795</v>
      </c>
      <c r="T737" s="5" t="str">
        <f>IF(N738="","",IF(R737&lt;16,IF(Q737&gt;3200,IF(R737,IF(Q737&lt;5240,"Pass","Fail"),"Fail"),"Fail")))</f>
        <v>Pass</v>
      </c>
      <c r="U737" s="146">
        <v>121</v>
      </c>
      <c r="V737" s="179" t="s">
        <v>215</v>
      </c>
      <c r="X737" s="116">
        <v>4200</v>
      </c>
      <c r="Y737" s="116">
        <v>5500</v>
      </c>
      <c r="Z737" s="116">
        <v>3200</v>
      </c>
      <c r="AA737" s="116">
        <v>5240</v>
      </c>
      <c r="AB737" s="31">
        <v>16</v>
      </c>
      <c r="AC737" s="31">
        <v>16</v>
      </c>
    </row>
    <row r="738" spans="1:29" ht="15.6" x14ac:dyDescent="0.3">
      <c r="A738"/>
      <c r="B738" s="24"/>
      <c r="C738" s="6"/>
      <c r="D738" s="6"/>
      <c r="E738" s="61" t="s">
        <v>187</v>
      </c>
      <c r="F738" s="11">
        <v>24778.1</v>
      </c>
      <c r="G738" s="11">
        <v>25019.27</v>
      </c>
      <c r="H738" s="11">
        <v>25098.09</v>
      </c>
      <c r="I738" s="11">
        <v>25046.25</v>
      </c>
      <c r="J738" s="11">
        <v>24787.88</v>
      </c>
      <c r="K738" s="11">
        <v>24841.4</v>
      </c>
      <c r="L738" s="11">
        <v>24896</v>
      </c>
      <c r="M738" s="11">
        <v>24958.880000000001</v>
      </c>
      <c r="N738" s="11">
        <v>24646.04</v>
      </c>
      <c r="O738" s="61"/>
      <c r="P738" s="61"/>
      <c r="Q738" s="62"/>
      <c r="R738" s="62"/>
      <c r="S738" s="139"/>
      <c r="T738" s="5"/>
      <c r="U738" s="140"/>
      <c r="V738" s="179"/>
      <c r="X738" s="118"/>
      <c r="Y738" s="118"/>
      <c r="Z738" s="118"/>
      <c r="AA738" s="118"/>
    </row>
    <row r="739" spans="1:29" ht="23.4" thickBot="1" x14ac:dyDescent="0.35">
      <c r="A739"/>
      <c r="B739" s="63"/>
      <c r="C739" s="64"/>
      <c r="D739" s="64"/>
      <c r="E739" s="65" t="s">
        <v>188</v>
      </c>
      <c r="F739" s="53">
        <f t="shared" ref="F739:N739" si="241">IF(((F737="")*AND(F738="")),"",(F737-F738)*3)</f>
        <v>4783.1400000000031</v>
      </c>
      <c r="G739" s="53">
        <f t="shared" si="241"/>
        <v>4386.5099999999948</v>
      </c>
      <c r="H739" s="53">
        <f t="shared" si="241"/>
        <v>4353.6000000000022</v>
      </c>
      <c r="I739" s="53">
        <f t="shared" si="241"/>
        <v>4359.5699999999961</v>
      </c>
      <c r="J739" s="53">
        <f t="shared" si="241"/>
        <v>4832.8799999999974</v>
      </c>
      <c r="K739" s="53">
        <f t="shared" si="241"/>
        <v>4614.6299999999974</v>
      </c>
      <c r="L739" s="53">
        <f t="shared" si="241"/>
        <v>4914.8399999999965</v>
      </c>
      <c r="M739" s="53">
        <f t="shared" si="241"/>
        <v>4559.5800000000017</v>
      </c>
      <c r="N739" s="53">
        <f t="shared" si="241"/>
        <v>5093.9099999999926</v>
      </c>
      <c r="O739" s="65"/>
      <c r="P739" s="65"/>
      <c r="Q739" s="66"/>
      <c r="R739" s="66"/>
      <c r="S739" s="142"/>
      <c r="T739" s="143"/>
      <c r="U739" s="144"/>
      <c r="V739" s="179"/>
      <c r="X739" s="118"/>
      <c r="Y739" s="118"/>
      <c r="Z739" s="118"/>
      <c r="AA739" s="118"/>
    </row>
    <row r="740" spans="1:29" x14ac:dyDescent="0.25">
      <c r="A740" s="207">
        <v>43424</v>
      </c>
      <c r="B740" s="219" t="s">
        <v>174</v>
      </c>
      <c r="C740" s="39" t="s">
        <v>176</v>
      </c>
      <c r="D740" s="39" t="s">
        <v>175</v>
      </c>
      <c r="E740" s="41" t="s">
        <v>186</v>
      </c>
      <c r="F740" s="156">
        <v>6916.07</v>
      </c>
      <c r="G740" s="156">
        <v>6921.4</v>
      </c>
      <c r="H740" s="156">
        <v>6944.65</v>
      </c>
      <c r="I740" s="156">
        <v>6884.1</v>
      </c>
      <c r="J740" s="156">
        <v>6926.58</v>
      </c>
      <c r="K740" s="156">
        <v>6873.06</v>
      </c>
      <c r="L740" s="156">
        <v>6889.99</v>
      </c>
      <c r="M740" s="156">
        <v>6926.8</v>
      </c>
      <c r="N740" s="156">
        <v>6992.45</v>
      </c>
      <c r="O740" s="41">
        <f>IF((N741=""),"",MAX(F742:N742))</f>
        <v>4132.42</v>
      </c>
      <c r="P740" s="41">
        <f>IF(N741="","",MIN(F742:N742))</f>
        <v>3730.4000000000015</v>
      </c>
      <c r="Q740" s="42">
        <f>IF((N742=""),"",AVERAGE(F742:N742))</f>
        <v>3990.92</v>
      </c>
      <c r="R740" s="42">
        <f>IF((N741=""),"",(O740-P740)/(O740+P740)*100)</f>
        <v>5.1129238619222948</v>
      </c>
      <c r="S740" s="151">
        <f>STDEV(F742:N742)</f>
        <v>133.58480377647723</v>
      </c>
      <c r="T740" s="119" t="str">
        <f>IF(N741="","",IF(Q740&gt;3650,IF(R740&lt;7,IF(Q740&lt;4450,"Pass","Fail"),"Fail"),"Fail"))</f>
        <v>Pass</v>
      </c>
      <c r="U740" s="145">
        <v>121</v>
      </c>
      <c r="V740" s="224" t="s">
        <v>216</v>
      </c>
      <c r="X740" s="116">
        <v>3650</v>
      </c>
      <c r="Y740" s="116">
        <v>4450</v>
      </c>
      <c r="Z740" s="116">
        <v>3700</v>
      </c>
      <c r="AA740" s="116">
        <v>4100</v>
      </c>
      <c r="AB740" s="31">
        <v>7</v>
      </c>
      <c r="AC740" s="31">
        <v>6.5</v>
      </c>
    </row>
    <row r="741" spans="1:29" ht="15.6" x14ac:dyDescent="0.3">
      <c r="A741"/>
      <c r="B741" s="24"/>
      <c r="C741" s="6"/>
      <c r="D741" s="6"/>
      <c r="E741" s="61" t="s">
        <v>187</v>
      </c>
      <c r="F741" s="11">
        <v>4971.33</v>
      </c>
      <c r="G741" s="11">
        <v>4881.4799999999996</v>
      </c>
      <c r="H741" s="11">
        <v>4887.6499999999996</v>
      </c>
      <c r="I741" s="11">
        <v>4854.05</v>
      </c>
      <c r="J741" s="11">
        <v>4990.13</v>
      </c>
      <c r="K741" s="11">
        <v>5007.8599999999997</v>
      </c>
      <c r="L741" s="11">
        <v>4868.1400000000003</v>
      </c>
      <c r="M741" s="11">
        <v>4860.59</v>
      </c>
      <c r="N741" s="11">
        <v>4994.7299999999996</v>
      </c>
      <c r="O741" s="61"/>
      <c r="P741" s="61"/>
      <c r="Q741" s="62"/>
      <c r="R741" s="62"/>
      <c r="S741" s="139"/>
      <c r="T741" s="8"/>
      <c r="U741" s="146"/>
      <c r="V741" s="179"/>
      <c r="X741" s="118"/>
      <c r="Y741" s="118"/>
      <c r="Z741" s="118"/>
      <c r="AA741" s="118"/>
    </row>
    <row r="742" spans="1:29" ht="22.8" x14ac:dyDescent="0.3">
      <c r="A742"/>
      <c r="B742" s="24"/>
      <c r="C742" s="6"/>
      <c r="D742" s="6"/>
      <c r="E742" s="61" t="s">
        <v>188</v>
      </c>
      <c r="F742" s="40">
        <f t="shared" ref="F742:N742" si="242">IF(((F740="")*AND(F741="")),"",(F740-F741)*2)</f>
        <v>3889.4799999999996</v>
      </c>
      <c r="G742" s="40">
        <f t="shared" si="242"/>
        <v>4079.84</v>
      </c>
      <c r="H742" s="40">
        <f t="shared" si="242"/>
        <v>4114</v>
      </c>
      <c r="I742" s="40">
        <f t="shared" si="242"/>
        <v>4060.1000000000004</v>
      </c>
      <c r="J742" s="40">
        <f t="shared" si="242"/>
        <v>3872.8999999999996</v>
      </c>
      <c r="K742" s="40">
        <f t="shared" si="242"/>
        <v>3730.4000000000015</v>
      </c>
      <c r="L742" s="40">
        <f t="shared" si="242"/>
        <v>4043.6999999999989</v>
      </c>
      <c r="M742" s="40">
        <f t="shared" si="242"/>
        <v>4132.42</v>
      </c>
      <c r="N742" s="40">
        <f t="shared" si="242"/>
        <v>3995.4400000000005</v>
      </c>
      <c r="O742" s="61"/>
      <c r="P742" s="61"/>
      <c r="Q742" s="62"/>
      <c r="R742" s="62"/>
      <c r="S742" s="139"/>
      <c r="T742" s="8"/>
      <c r="U742" s="146"/>
      <c r="V742" s="179"/>
      <c r="X742" s="118"/>
      <c r="Y742" s="118"/>
      <c r="Z742" s="118"/>
      <c r="AA742" s="118"/>
    </row>
    <row r="743" spans="1:29" x14ac:dyDescent="0.25">
      <c r="A743" s="210">
        <v>43424</v>
      </c>
      <c r="B743" s="215" t="s">
        <v>169</v>
      </c>
      <c r="C743" s="6" t="s">
        <v>171</v>
      </c>
      <c r="D743" s="6" t="s">
        <v>189</v>
      </c>
      <c r="E743" s="61" t="s">
        <v>186</v>
      </c>
      <c r="F743" s="11">
        <v>1908.66</v>
      </c>
      <c r="G743" s="11">
        <v>1905.57</v>
      </c>
      <c r="H743" s="11">
        <v>1899.72</v>
      </c>
      <c r="I743" s="11">
        <v>1903.49</v>
      </c>
      <c r="J743" s="11">
        <v>1909.45</v>
      </c>
      <c r="K743" s="11">
        <v>1906.88</v>
      </c>
      <c r="L743" s="11">
        <v>1902.96</v>
      </c>
      <c r="M743" s="11">
        <v>1907.25</v>
      </c>
      <c r="N743" s="11">
        <v>1910.4</v>
      </c>
      <c r="O743" s="61">
        <f>IF((N744=""),"",MAX(F745:N745))</f>
        <v>2093.13</v>
      </c>
      <c r="P743" s="61">
        <f>IF(N744="","",MIN(F745:N745))</f>
        <v>1978.41</v>
      </c>
      <c r="Q743" s="62">
        <f>IF((N745=""),"",AVERAGE(F745:N745))</f>
        <v>2037.7366666666667</v>
      </c>
      <c r="R743" s="62">
        <f>IF((N744=""),"",(O743-P743)/(O743+P743)*100)</f>
        <v>2.8176070970689233</v>
      </c>
      <c r="S743" s="139">
        <f>STDEV(F745:N745)</f>
        <v>47.286195924392196</v>
      </c>
      <c r="T743" s="5" t="str">
        <f>IF(N744="","",IF(Q743&gt;1940,IF(R743&lt;8.3,IF(Q743&lt;2180,"Pass","Fail"),"Fail"),"Fail"))</f>
        <v>Pass</v>
      </c>
      <c r="U743" s="146">
        <v>121</v>
      </c>
      <c r="V743" s="179" t="s">
        <v>216</v>
      </c>
      <c r="X743" s="116">
        <v>2000</v>
      </c>
      <c r="Y743" s="116">
        <v>3000</v>
      </c>
      <c r="Z743" s="116">
        <v>1940</v>
      </c>
      <c r="AA743" s="116">
        <v>2180</v>
      </c>
      <c r="AB743" s="31">
        <v>5.2</v>
      </c>
      <c r="AC743" s="31">
        <v>5.2</v>
      </c>
    </row>
    <row r="744" spans="1:29" ht="15.6" x14ac:dyDescent="0.3">
      <c r="A744"/>
      <c r="B744" s="24"/>
      <c r="C744" s="6"/>
      <c r="D744" s="6"/>
      <c r="E744" s="61" t="s">
        <v>187</v>
      </c>
      <c r="F744" s="11">
        <v>1244.48</v>
      </c>
      <c r="G744" s="11">
        <v>1210.8699999999999</v>
      </c>
      <c r="H744" s="11">
        <v>1207.97</v>
      </c>
      <c r="I744" s="11">
        <v>1212.83</v>
      </c>
      <c r="J744" s="11">
        <v>1245.29</v>
      </c>
      <c r="K744" s="11">
        <v>1242.6400000000001</v>
      </c>
      <c r="L744" s="11">
        <v>1216.6199999999999</v>
      </c>
      <c r="M744" s="11">
        <v>1209.54</v>
      </c>
      <c r="N744" s="11">
        <v>1250.93</v>
      </c>
      <c r="O744" s="61"/>
      <c r="P744" s="61"/>
      <c r="Q744" s="62"/>
      <c r="R744" s="62"/>
      <c r="S744" s="139"/>
      <c r="T744" s="5"/>
      <c r="U744" s="140"/>
      <c r="V744" s="179"/>
      <c r="X744" s="118"/>
      <c r="Y744" s="118"/>
      <c r="Z744" s="118"/>
      <c r="AA744" s="118"/>
    </row>
    <row r="745" spans="1:29" ht="15.6" x14ac:dyDescent="0.3">
      <c r="A745"/>
      <c r="B745" s="24"/>
      <c r="C745" s="6"/>
      <c r="D745" s="6"/>
      <c r="E745" s="61" t="s">
        <v>190</v>
      </c>
      <c r="F745" s="40">
        <f t="shared" ref="F745:N745" si="243">IF(((F743="")*AND(F744="")),"",(F743-F744)*3)</f>
        <v>1992.5400000000002</v>
      </c>
      <c r="G745" s="40">
        <f t="shared" si="243"/>
        <v>2084.1000000000004</v>
      </c>
      <c r="H745" s="40">
        <f t="shared" si="243"/>
        <v>2075.25</v>
      </c>
      <c r="I745" s="40">
        <f t="shared" si="243"/>
        <v>2071.9800000000005</v>
      </c>
      <c r="J745" s="40">
        <f t="shared" si="243"/>
        <v>1992.4800000000002</v>
      </c>
      <c r="K745" s="40">
        <f t="shared" si="243"/>
        <v>1992.72</v>
      </c>
      <c r="L745" s="40">
        <f t="shared" si="243"/>
        <v>2059.0200000000004</v>
      </c>
      <c r="M745" s="40">
        <f t="shared" si="243"/>
        <v>2093.13</v>
      </c>
      <c r="N745" s="40">
        <f t="shared" si="243"/>
        <v>1978.41</v>
      </c>
      <c r="O745" s="61"/>
      <c r="P745" s="61"/>
      <c r="Q745" s="62"/>
      <c r="R745" s="62"/>
      <c r="S745" s="139"/>
      <c r="T745" s="5"/>
      <c r="U745" s="140"/>
      <c r="V745" s="179"/>
      <c r="X745" s="118"/>
      <c r="Y745" s="118"/>
      <c r="Z745" s="118"/>
      <c r="AA745" s="118"/>
    </row>
    <row r="746" spans="1:29" x14ac:dyDescent="0.25">
      <c r="A746" s="210">
        <v>43424</v>
      </c>
      <c r="B746" s="218" t="s">
        <v>185</v>
      </c>
      <c r="C746" s="6" t="s">
        <v>173</v>
      </c>
      <c r="D746" s="6" t="s">
        <v>172</v>
      </c>
      <c r="E746" s="61" t="s">
        <v>186</v>
      </c>
      <c r="F746" s="11">
        <v>24824</v>
      </c>
      <c r="G746" s="11">
        <v>24870.01</v>
      </c>
      <c r="H746" s="11">
        <v>25016.07</v>
      </c>
      <c r="I746" s="11">
        <v>24890.26</v>
      </c>
      <c r="J746" s="11">
        <v>24691.01</v>
      </c>
      <c r="K746" s="11">
        <v>24778.84</v>
      </c>
      <c r="L746" s="11">
        <v>24951.439999999999</v>
      </c>
      <c r="M746" s="11">
        <v>24818.59</v>
      </c>
      <c r="N746" s="11">
        <v>24577.8</v>
      </c>
      <c r="O746" s="61">
        <f>IF((N747=""),"",MAX(F748:N748))</f>
        <v>5114.8500000000022</v>
      </c>
      <c r="P746" s="61">
        <f>IF(N747="","",MIN(F748:N748))</f>
        <v>4053.2700000000004</v>
      </c>
      <c r="Q746" s="62">
        <f>IF((N748=""),"",AVERAGE(F748:N748))</f>
        <v>4423.7299999999987</v>
      </c>
      <c r="R746" s="62">
        <f>IF((N747=""),"",(O746-P746)/(O746+P746)*100)</f>
        <v>11.579036923600492</v>
      </c>
      <c r="S746" s="139">
        <f>STDEV(F748:N748)</f>
        <v>340.75511324116786</v>
      </c>
      <c r="T746" s="5" t="str">
        <f>IF(N747="","",IF(R746&lt;16,IF(Q746&gt;3200,IF(R746,IF(Q746&lt;5240,"Pass","Fail"),"Fail"),"Fail")))</f>
        <v>Pass</v>
      </c>
      <c r="U746" s="146">
        <v>121</v>
      </c>
      <c r="V746" s="179" t="s">
        <v>216</v>
      </c>
      <c r="X746" s="116">
        <v>4200</v>
      </c>
      <c r="Y746" s="116">
        <v>5500</v>
      </c>
      <c r="Z746" s="116">
        <v>3200</v>
      </c>
      <c r="AA746" s="116">
        <v>5240</v>
      </c>
      <c r="AB746" s="31">
        <v>16</v>
      </c>
      <c r="AC746" s="31">
        <v>16</v>
      </c>
    </row>
    <row r="747" spans="1:29" ht="15.6" x14ac:dyDescent="0.3">
      <c r="A747"/>
      <c r="B747" s="24"/>
      <c r="C747" s="6"/>
      <c r="D747" s="6"/>
      <c r="E747" s="61" t="s">
        <v>187</v>
      </c>
      <c r="F747" s="11">
        <v>23119.05</v>
      </c>
      <c r="G747" s="11">
        <v>23518.92</v>
      </c>
      <c r="H747" s="11">
        <v>23555.77</v>
      </c>
      <c r="I747" s="11">
        <v>23524.02</v>
      </c>
      <c r="J747" s="11">
        <v>23190.13</v>
      </c>
      <c r="K747" s="11">
        <v>23228.57</v>
      </c>
      <c r="L747" s="11">
        <v>23540.03</v>
      </c>
      <c r="M747" s="11">
        <v>23433.9</v>
      </c>
      <c r="N747" s="11">
        <v>23036.44</v>
      </c>
      <c r="O747" s="61"/>
      <c r="P747" s="61"/>
      <c r="Q747" s="62"/>
      <c r="R747" s="62"/>
      <c r="S747" s="139"/>
      <c r="T747" s="5"/>
      <c r="U747" s="140"/>
      <c r="V747" s="179"/>
      <c r="X747" s="118"/>
      <c r="Y747" s="118"/>
      <c r="Z747" s="118"/>
      <c r="AA747" s="118"/>
    </row>
    <row r="748" spans="1:29" ht="23.4" thickBot="1" x14ac:dyDescent="0.35">
      <c r="A748"/>
      <c r="B748" s="63"/>
      <c r="C748" s="64"/>
      <c r="D748" s="64"/>
      <c r="E748" s="65" t="s">
        <v>188</v>
      </c>
      <c r="F748" s="53">
        <f t="shared" ref="F748:N748" si="244">IF(((F746="")*AND(F747="")),"",(F746-F747)*3)</f>
        <v>5114.8500000000022</v>
      </c>
      <c r="G748" s="53">
        <f t="shared" si="244"/>
        <v>4053.2700000000004</v>
      </c>
      <c r="H748" s="53">
        <f t="shared" si="244"/>
        <v>4380.8999999999978</v>
      </c>
      <c r="I748" s="53">
        <f t="shared" si="244"/>
        <v>4098.7199999999939</v>
      </c>
      <c r="J748" s="53">
        <f t="shared" si="244"/>
        <v>4502.6399999999921</v>
      </c>
      <c r="K748" s="53">
        <f t="shared" si="244"/>
        <v>4650.8100000000013</v>
      </c>
      <c r="L748" s="53">
        <f t="shared" si="244"/>
        <v>4234.2299999999996</v>
      </c>
      <c r="M748" s="53">
        <f t="shared" si="244"/>
        <v>4154.0699999999961</v>
      </c>
      <c r="N748" s="53">
        <f t="shared" si="244"/>
        <v>4624.0800000000017</v>
      </c>
      <c r="O748" s="65"/>
      <c r="P748" s="65"/>
      <c r="Q748" s="66"/>
      <c r="R748" s="66"/>
      <c r="S748" s="142"/>
      <c r="T748" s="143"/>
      <c r="U748" s="144"/>
      <c r="V748" s="179"/>
      <c r="X748" s="118"/>
      <c r="Y748" s="118"/>
      <c r="Z748" s="118"/>
      <c r="AA748" s="118"/>
    </row>
    <row r="749" spans="1:29" x14ac:dyDescent="0.25">
      <c r="A749" s="207">
        <v>43430</v>
      </c>
      <c r="B749" s="219" t="s">
        <v>174</v>
      </c>
      <c r="C749" s="39" t="s">
        <v>176</v>
      </c>
      <c r="D749" s="39" t="s">
        <v>175</v>
      </c>
      <c r="E749" s="41" t="s">
        <v>186</v>
      </c>
      <c r="F749" s="11">
        <v>4978.78</v>
      </c>
      <c r="G749" s="11">
        <v>4889.5600000000004</v>
      </c>
      <c r="H749" s="11">
        <v>4896.01</v>
      </c>
      <c r="I749" s="11">
        <v>4863.05</v>
      </c>
      <c r="J749" s="11">
        <v>4996.4399999999996</v>
      </c>
      <c r="K749" s="11">
        <v>5014.53</v>
      </c>
      <c r="L749" s="11">
        <v>4876.8100000000004</v>
      </c>
      <c r="M749" s="11">
        <v>4869.54</v>
      </c>
      <c r="N749" s="11">
        <v>5001.38</v>
      </c>
      <c r="O749" s="41">
        <f>IF((N750=""),"",MAX(F751:N751))</f>
        <v>4203.82</v>
      </c>
      <c r="P749" s="41">
        <f>IF(N750="","",MIN(F751:N751))</f>
        <v>3802.8199999999997</v>
      </c>
      <c r="Q749" s="42">
        <f>IF((N751=""),"",AVERAGE(F751:N751))</f>
        <v>4079.6324999999997</v>
      </c>
      <c r="R749" s="42">
        <f>IF((N750=""),"",(O749-P749)/(O749+P749)*100)</f>
        <v>5.0083430752475451</v>
      </c>
      <c r="S749" s="151">
        <f>STDEV(F751:N751)</f>
        <v>138.31290031250603</v>
      </c>
      <c r="T749" s="119" t="str">
        <f>IF(N750="","",IF(Q749&gt;3650,IF(R749&lt;7,IF(Q749&lt;4450,"Pass","Fail"),"Fail"),"Fail"))</f>
        <v>Pass</v>
      </c>
      <c r="U749" s="145">
        <v>1340</v>
      </c>
      <c r="V749" s="359"/>
      <c r="X749" s="116">
        <v>3650</v>
      </c>
      <c r="Y749" s="116">
        <v>4450</v>
      </c>
      <c r="Z749" s="116">
        <v>3700</v>
      </c>
      <c r="AA749" s="116">
        <v>4100</v>
      </c>
      <c r="AB749" s="31">
        <v>7</v>
      </c>
      <c r="AC749" s="31">
        <v>6.5</v>
      </c>
    </row>
    <row r="750" spans="1:29" ht="15.6" x14ac:dyDescent="0.3">
      <c r="A750"/>
      <c r="B750" s="24"/>
      <c r="C750" s="6"/>
      <c r="D750" s="6"/>
      <c r="E750" s="61" t="s">
        <v>187</v>
      </c>
      <c r="F750" s="11">
        <v>3004.46</v>
      </c>
      <c r="G750" s="11">
        <v>2815.36</v>
      </c>
      <c r="H750" s="11">
        <v>2800.63</v>
      </c>
      <c r="I750" s="11">
        <v>2787.51</v>
      </c>
      <c r="J750" s="11">
        <v>3020.03</v>
      </c>
      <c r="K750" s="11">
        <v>3113.12</v>
      </c>
      <c r="L750" s="11">
        <v>2809.95</v>
      </c>
      <c r="M750" s="11">
        <v>2767.63</v>
      </c>
      <c r="N750" s="11">
        <v>2974.56</v>
      </c>
      <c r="O750" s="61"/>
      <c r="P750" s="61"/>
      <c r="Q750" s="62"/>
      <c r="R750" s="62"/>
      <c r="S750" s="139"/>
      <c r="T750" s="8"/>
      <c r="U750" s="146"/>
      <c r="V750" s="359"/>
      <c r="X750" s="118"/>
      <c r="Y750" s="118"/>
      <c r="Z750" s="118"/>
      <c r="AA750" s="118"/>
    </row>
    <row r="751" spans="1:29" ht="22.8" x14ac:dyDescent="0.3">
      <c r="A751"/>
      <c r="B751" s="24"/>
      <c r="C751" s="6"/>
      <c r="D751" s="6"/>
      <c r="E751" s="61" t="s">
        <v>188</v>
      </c>
      <c r="F751" s="11"/>
      <c r="G751" s="40">
        <f t="shared" ref="G751:N751" si="245">IF(((G749="")*AND(G750="")),"",(G749-G750)*2)</f>
        <v>4148.4000000000005</v>
      </c>
      <c r="H751" s="40">
        <f t="shared" si="245"/>
        <v>4190.76</v>
      </c>
      <c r="I751" s="40">
        <f t="shared" si="245"/>
        <v>4151.08</v>
      </c>
      <c r="J751" s="40">
        <f t="shared" si="245"/>
        <v>3952.8199999999988</v>
      </c>
      <c r="K751" s="40">
        <f t="shared" si="245"/>
        <v>3802.8199999999997</v>
      </c>
      <c r="L751" s="40">
        <f t="shared" si="245"/>
        <v>4133.7200000000012</v>
      </c>
      <c r="M751" s="40">
        <f t="shared" si="245"/>
        <v>4203.82</v>
      </c>
      <c r="N751" s="40">
        <f t="shared" si="245"/>
        <v>4053.6400000000003</v>
      </c>
      <c r="O751" s="61"/>
      <c r="P751" s="61"/>
      <c r="Q751" s="62"/>
      <c r="R751" s="62"/>
      <c r="S751" s="139"/>
      <c r="T751" s="8"/>
      <c r="U751" s="146"/>
      <c r="V751" s="359"/>
      <c r="X751" s="118"/>
      <c r="Y751" s="118"/>
      <c r="Z751" s="118"/>
      <c r="AA751" s="118"/>
    </row>
    <row r="752" spans="1:29" x14ac:dyDescent="0.25">
      <c r="A752" s="210">
        <v>43430</v>
      </c>
      <c r="B752" s="215" t="s">
        <v>169</v>
      </c>
      <c r="C752" s="6" t="s">
        <v>171</v>
      </c>
      <c r="D752" s="6" t="s">
        <v>189</v>
      </c>
      <c r="E752" s="61" t="s">
        <v>186</v>
      </c>
      <c r="F752" s="11">
        <v>1918.98</v>
      </c>
      <c r="G752" s="11">
        <v>1914.88</v>
      </c>
      <c r="H752" s="11">
        <v>1907.19</v>
      </c>
      <c r="I752" s="11">
        <v>1917.57</v>
      </c>
      <c r="J752" s="11">
        <v>1921.47</v>
      </c>
      <c r="K752" s="11">
        <v>1920.12</v>
      </c>
      <c r="L752" s="11">
        <v>1913.55</v>
      </c>
      <c r="M752" s="11">
        <v>1917.9</v>
      </c>
      <c r="N752" s="11">
        <v>1920.61</v>
      </c>
      <c r="O752" s="61">
        <f>IF((N753=""),"",MAX(F754:N754))</f>
        <v>2089.0500000000002</v>
      </c>
      <c r="P752" s="61">
        <f>IF(N753="","",MIN(F754:N754))</f>
        <v>1984.59</v>
      </c>
      <c r="Q752" s="62">
        <f>IF((N754=""),"",AVERAGE(F754:N754))</f>
        <v>2035.8712500000001</v>
      </c>
      <c r="R752" s="62">
        <f>IF((N753=""),"",(O752-P752)/(O752+P752)*100)</f>
        <v>2.5642913954104989</v>
      </c>
      <c r="S752" s="139">
        <f>STDEV(F754:N754)</f>
        <v>43.083575073007196</v>
      </c>
      <c r="T752" s="5" t="str">
        <f>IF(N753="","",IF(Q752&gt;1940,IF(R752&lt;8.3,IF(Q752&lt;2180,"Pass","Fail"),"Fail"),"Fail"))</f>
        <v>Pass</v>
      </c>
      <c r="U752" s="146">
        <v>1340</v>
      </c>
      <c r="V752" s="359"/>
      <c r="X752" s="116">
        <v>2000</v>
      </c>
      <c r="Y752" s="116">
        <v>3000</v>
      </c>
      <c r="Z752" s="116">
        <v>1940</v>
      </c>
      <c r="AA752" s="116">
        <v>2180</v>
      </c>
      <c r="AB752" s="31">
        <v>5.2</v>
      </c>
      <c r="AC752" s="31">
        <v>5.2</v>
      </c>
    </row>
    <row r="753" spans="1:29" ht="15.6" x14ac:dyDescent="0.3">
      <c r="A753"/>
      <c r="B753" s="24"/>
      <c r="C753" s="6"/>
      <c r="D753" s="6"/>
      <c r="E753" s="61" t="s">
        <v>187</v>
      </c>
      <c r="F753" s="11">
        <v>1250.8599999999999</v>
      </c>
      <c r="G753" s="11">
        <v>1223.8499999999999</v>
      </c>
      <c r="H753" s="11">
        <v>1222.8699999999999</v>
      </c>
      <c r="I753" s="11">
        <v>1228.53</v>
      </c>
      <c r="J753" s="11">
        <v>1259.77</v>
      </c>
      <c r="K753" s="11">
        <v>1257.1300000000001</v>
      </c>
      <c r="L753" s="11">
        <v>1231.52</v>
      </c>
      <c r="M753" s="11">
        <v>1221.55</v>
      </c>
      <c r="N753" s="11">
        <v>1259.08</v>
      </c>
      <c r="O753" s="61"/>
      <c r="P753" s="61"/>
      <c r="Q753" s="62"/>
      <c r="R753" s="62"/>
      <c r="S753" s="139"/>
      <c r="T753" s="5"/>
      <c r="U753" s="140"/>
      <c r="V753" s="359"/>
      <c r="X753" s="118"/>
      <c r="Y753" s="118"/>
      <c r="Z753" s="118"/>
      <c r="AA753" s="118"/>
    </row>
    <row r="754" spans="1:29" ht="15.6" x14ac:dyDescent="0.3">
      <c r="A754"/>
      <c r="B754" s="24"/>
      <c r="C754" s="6"/>
      <c r="D754" s="6"/>
      <c r="E754" s="61" t="s">
        <v>190</v>
      </c>
      <c r="F754" s="11"/>
      <c r="G754" s="40">
        <f t="shared" ref="G754:N754" si="246">IF(((G752="")*AND(G753="")),"",(G752-G753)*3)</f>
        <v>2073.0900000000006</v>
      </c>
      <c r="H754" s="40">
        <f t="shared" si="246"/>
        <v>2052.9600000000005</v>
      </c>
      <c r="I754" s="40">
        <f t="shared" si="246"/>
        <v>2067.12</v>
      </c>
      <c r="J754" s="40">
        <f t="shared" si="246"/>
        <v>1985.1000000000001</v>
      </c>
      <c r="K754" s="40">
        <f t="shared" si="246"/>
        <v>1988.9699999999993</v>
      </c>
      <c r="L754" s="40">
        <f t="shared" si="246"/>
        <v>2046.09</v>
      </c>
      <c r="M754" s="40">
        <f t="shared" si="246"/>
        <v>2089.0500000000002</v>
      </c>
      <c r="N754" s="40">
        <f t="shared" si="246"/>
        <v>1984.59</v>
      </c>
      <c r="O754" s="61"/>
      <c r="P754" s="61"/>
      <c r="Q754" s="62"/>
      <c r="R754" s="62"/>
      <c r="S754" s="139"/>
      <c r="T754" s="5"/>
      <c r="U754" s="140"/>
      <c r="V754" s="359"/>
      <c r="X754" s="118"/>
      <c r="Y754" s="118"/>
      <c r="Z754" s="118"/>
      <c r="AA754" s="118"/>
    </row>
    <row r="755" spans="1:29" x14ac:dyDescent="0.25">
      <c r="A755" s="210">
        <v>43430</v>
      </c>
      <c r="B755" s="218" t="s">
        <v>185</v>
      </c>
      <c r="C755" s="6" t="s">
        <v>173</v>
      </c>
      <c r="D755" s="6" t="s">
        <v>172</v>
      </c>
      <c r="E755" s="61" t="s">
        <v>186</v>
      </c>
      <c r="F755" s="11">
        <v>27390.31</v>
      </c>
      <c r="G755" s="11">
        <v>27368.3</v>
      </c>
      <c r="H755" s="11">
        <v>27423.97</v>
      </c>
      <c r="I755" s="11">
        <v>27342.28</v>
      </c>
      <c r="J755" s="11">
        <v>27351.65</v>
      </c>
      <c r="K755" s="11">
        <v>27357.040000000001</v>
      </c>
      <c r="L755" s="11">
        <v>27357.29</v>
      </c>
      <c r="M755" s="11">
        <v>27321.53</v>
      </c>
      <c r="N755" s="11">
        <v>27356.22</v>
      </c>
      <c r="O755" s="61">
        <f>IF((N756=""),"",MAX(F757:N757))</f>
        <v>4805.7600000000057</v>
      </c>
      <c r="P755" s="61">
        <f>IF(N756="","",MIN(F757:N757))</f>
        <v>4290.3000000000065</v>
      </c>
      <c r="Q755" s="62">
        <f>IF((N757=""),"",AVERAGE(F757:N757))</f>
        <v>4518.9733333333343</v>
      </c>
      <c r="R755" s="62">
        <f>IF((N756=""),"",(O755-P755)/(O755+P755)*100)</f>
        <v>5.6668491632640778</v>
      </c>
      <c r="S755" s="139">
        <f>STDEV(F757:N757)</f>
        <v>193.83843143195497</v>
      </c>
      <c r="T755" s="5" t="str">
        <f>IF(N756="","",IF(R755&lt;16,IF(Q755&gt;3200,IF(R755,IF(Q755&lt;5240,"Pass","Fail"),"Fail"),"Fail")))</f>
        <v>Pass</v>
      </c>
      <c r="U755" s="146">
        <v>1340</v>
      </c>
      <c r="V755" s="359"/>
      <c r="X755" s="116">
        <v>4200</v>
      </c>
      <c r="Y755" s="116">
        <v>5500</v>
      </c>
      <c r="Z755" s="116">
        <v>3200</v>
      </c>
      <c r="AA755" s="116">
        <v>5240</v>
      </c>
      <c r="AB755" s="31">
        <v>16</v>
      </c>
      <c r="AC755" s="31">
        <v>16</v>
      </c>
    </row>
    <row r="756" spans="1:29" ht="15.6" x14ac:dyDescent="0.3">
      <c r="A756"/>
      <c r="B756" s="24"/>
      <c r="C756" s="6"/>
      <c r="D756" s="6"/>
      <c r="E756" s="61" t="s">
        <v>187</v>
      </c>
      <c r="F756" s="11">
        <v>25805.99</v>
      </c>
      <c r="G756" s="11">
        <v>25897.29</v>
      </c>
      <c r="H756" s="11">
        <v>25993.87</v>
      </c>
      <c r="I756" s="11">
        <v>25886.87</v>
      </c>
      <c r="J756" s="11">
        <v>25790.62</v>
      </c>
      <c r="K756" s="11">
        <v>25821.360000000001</v>
      </c>
      <c r="L756" s="11">
        <v>25906.97</v>
      </c>
      <c r="M756" s="11">
        <v>25854.400000000001</v>
      </c>
      <c r="N756" s="11">
        <v>25754.3</v>
      </c>
      <c r="O756" s="61"/>
      <c r="P756" s="61"/>
      <c r="Q756" s="62"/>
      <c r="R756" s="62"/>
      <c r="S756" s="139"/>
      <c r="T756" s="5"/>
      <c r="U756" s="140"/>
      <c r="V756" s="359"/>
      <c r="X756" s="118"/>
      <c r="Y756" s="118"/>
      <c r="Z756" s="118"/>
      <c r="AA756" s="118"/>
    </row>
    <row r="757" spans="1:29" ht="23.4" thickBot="1" x14ac:dyDescent="0.35">
      <c r="A757"/>
      <c r="B757" s="63"/>
      <c r="C757" s="64"/>
      <c r="D757" s="64"/>
      <c r="E757" s="65" t="s">
        <v>188</v>
      </c>
      <c r="F757" s="53">
        <f t="shared" ref="F757:N757" si="247">IF(((F755="")*AND(F756="")),"",(F755-F756)*3)</f>
        <v>4752.9599999999991</v>
      </c>
      <c r="G757" s="53">
        <f t="shared" si="247"/>
        <v>4413.0299999999952</v>
      </c>
      <c r="H757" s="53">
        <f t="shared" si="247"/>
        <v>4290.3000000000065</v>
      </c>
      <c r="I757" s="53">
        <f t="shared" si="247"/>
        <v>4366.2299999999996</v>
      </c>
      <c r="J757" s="53">
        <f t="shared" si="247"/>
        <v>4683.0900000000074</v>
      </c>
      <c r="K757" s="53">
        <f t="shared" si="247"/>
        <v>4607.0400000000009</v>
      </c>
      <c r="L757" s="53">
        <f t="shared" si="247"/>
        <v>4350.9599999999991</v>
      </c>
      <c r="M757" s="53">
        <f t="shared" si="247"/>
        <v>4401.3899999999921</v>
      </c>
      <c r="N757" s="53">
        <f t="shared" si="247"/>
        <v>4805.7600000000057</v>
      </c>
      <c r="O757" s="65"/>
      <c r="P757" s="65"/>
      <c r="Q757" s="66"/>
      <c r="R757" s="66"/>
      <c r="S757" s="142"/>
      <c r="T757" s="143"/>
      <c r="U757" s="144"/>
      <c r="V757" s="359"/>
      <c r="X757" s="118"/>
      <c r="Y757" s="118"/>
      <c r="Z757" s="118"/>
      <c r="AA757" s="118"/>
    </row>
    <row r="758" spans="1:29" x14ac:dyDescent="0.25">
      <c r="A758" s="207">
        <v>43438</v>
      </c>
      <c r="B758" s="219" t="s">
        <v>174</v>
      </c>
      <c r="C758" s="39" t="s">
        <v>176</v>
      </c>
      <c r="D758" s="39" t="s">
        <v>175</v>
      </c>
      <c r="E758" s="41" t="s">
        <v>186</v>
      </c>
      <c r="F758" s="11">
        <v>3014.44</v>
      </c>
      <c r="G758" s="11">
        <v>2824.75</v>
      </c>
      <c r="H758" s="11">
        <v>2809.7</v>
      </c>
      <c r="I758" s="11">
        <v>2796.58</v>
      </c>
      <c r="J758" s="11">
        <v>3029.4</v>
      </c>
      <c r="K758" s="11">
        <v>3122.74</v>
      </c>
      <c r="L758" s="11">
        <v>2818.95</v>
      </c>
      <c r="M758" s="11">
        <v>2776.59</v>
      </c>
      <c r="N758" s="11">
        <v>2984.27</v>
      </c>
      <c r="O758" s="41">
        <f>IF((N759=""),"",MAX(F760:N760))</f>
        <v>4172</v>
      </c>
      <c r="P758" s="41">
        <f>IF(N759="","",MIN(F760:N760))</f>
        <v>3780.1199999999994</v>
      </c>
      <c r="Q758" s="42">
        <f>IF((N760=""),"",AVERAGE(F760:N760))</f>
        <v>4031.8911111111106</v>
      </c>
      <c r="R758" s="42">
        <f>IF((N759=""),"",(O758-P758)/(O758+P758)*100)</f>
        <v>4.9279940443554748</v>
      </c>
      <c r="S758" s="151">
        <f>STDEV(F760:N760)</f>
        <v>128.71646052899035</v>
      </c>
      <c r="T758" s="119" t="str">
        <f>IF(N759="","",IF(Q758&gt;3650,IF(R758&lt;7,IF(Q758&lt;4450,"Pass","Fail"),"Fail"),"Fail"))</f>
        <v>Pass</v>
      </c>
      <c r="U758" s="145">
        <v>74</v>
      </c>
      <c r="V758" s="359"/>
      <c r="X758" s="116">
        <v>3650</v>
      </c>
      <c r="Y758" s="116">
        <v>4450</v>
      </c>
      <c r="Z758" s="116">
        <v>3700</v>
      </c>
      <c r="AA758" s="116">
        <v>4100</v>
      </c>
      <c r="AB758" s="31">
        <v>7</v>
      </c>
      <c r="AC758" s="31">
        <v>6.5</v>
      </c>
    </row>
    <row r="759" spans="1:29" ht="15.6" x14ac:dyDescent="0.3">
      <c r="A759"/>
      <c r="B759" s="24"/>
      <c r="C759" s="6"/>
      <c r="D759" s="6"/>
      <c r="E759" s="61" t="s">
        <v>187</v>
      </c>
      <c r="F759" s="11">
        <v>1048.1600000000001</v>
      </c>
      <c r="G759" s="11">
        <v>768.26</v>
      </c>
      <c r="H759" s="11">
        <v>736.5</v>
      </c>
      <c r="I759" s="11">
        <v>747.53</v>
      </c>
      <c r="J759" s="11">
        <v>1070.7</v>
      </c>
      <c r="K759" s="11">
        <v>1232.68</v>
      </c>
      <c r="L759" s="11">
        <v>779.58</v>
      </c>
      <c r="M759" s="11">
        <v>690.59</v>
      </c>
      <c r="N759" s="11">
        <v>959.91</v>
      </c>
      <c r="O759" s="61"/>
      <c r="P759" s="61"/>
      <c r="Q759" s="62"/>
      <c r="R759" s="62"/>
      <c r="S759" s="139"/>
      <c r="T759" s="8"/>
      <c r="U759" s="146"/>
      <c r="V759" s="359"/>
      <c r="X759" s="118"/>
      <c r="Y759" s="118"/>
      <c r="Z759" s="118"/>
      <c r="AA759" s="118"/>
    </row>
    <row r="760" spans="1:29" ht="22.8" x14ac:dyDescent="0.3">
      <c r="A760"/>
      <c r="B760" s="24"/>
      <c r="C760" s="6"/>
      <c r="D760" s="6"/>
      <c r="E760" s="61" t="s">
        <v>188</v>
      </c>
      <c r="F760" s="40">
        <f t="shared" ref="F760:N760" si="248">IF(((F758="")*AND(F759="")),"",(F758-F759)*2)</f>
        <v>3932.56</v>
      </c>
      <c r="G760" s="40">
        <f t="shared" si="248"/>
        <v>4112.9799999999996</v>
      </c>
      <c r="H760" s="40">
        <f t="shared" si="248"/>
        <v>4146.3999999999996</v>
      </c>
      <c r="I760" s="40">
        <f t="shared" si="248"/>
        <v>4098.1000000000004</v>
      </c>
      <c r="J760" s="40">
        <f t="shared" si="248"/>
        <v>3917.4</v>
      </c>
      <c r="K760" s="40">
        <f t="shared" si="248"/>
        <v>3780.1199999999994</v>
      </c>
      <c r="L760" s="40">
        <f t="shared" si="248"/>
        <v>4078.74</v>
      </c>
      <c r="M760" s="40">
        <f t="shared" si="248"/>
        <v>4172</v>
      </c>
      <c r="N760" s="40">
        <f t="shared" si="248"/>
        <v>4048.7200000000003</v>
      </c>
      <c r="O760" s="61"/>
      <c r="P760" s="61"/>
      <c r="Q760" s="62"/>
      <c r="R760" s="62"/>
      <c r="S760" s="139"/>
      <c r="T760" s="8"/>
      <c r="U760" s="146"/>
      <c r="V760" s="359"/>
      <c r="X760" s="118"/>
      <c r="Y760" s="118"/>
      <c r="Z760" s="118"/>
      <c r="AA760" s="118"/>
    </row>
    <row r="761" spans="1:29" x14ac:dyDescent="0.25">
      <c r="A761" s="207">
        <v>43438</v>
      </c>
      <c r="B761" s="215" t="s">
        <v>169</v>
      </c>
      <c r="C761" s="6" t="s">
        <v>171</v>
      </c>
      <c r="D761" s="6" t="s">
        <v>189</v>
      </c>
      <c r="E761" s="61" t="s">
        <v>186</v>
      </c>
      <c r="F761" s="11">
        <v>1252.47</v>
      </c>
      <c r="G761" s="11">
        <v>1226.24</v>
      </c>
      <c r="H761" s="11">
        <v>1220.9100000000001</v>
      </c>
      <c r="I761" s="11">
        <v>1230.48</v>
      </c>
      <c r="J761" s="11">
        <v>1261.0999999999999</v>
      </c>
      <c r="K761" s="11">
        <v>1268.06</v>
      </c>
      <c r="L761" s="11">
        <v>1233.3699999999999</v>
      </c>
      <c r="M761" s="11">
        <v>1224.74</v>
      </c>
      <c r="N761" s="11">
        <v>1254.76</v>
      </c>
      <c r="O761" s="61">
        <f>IF((N762=""),"",MAX(F763:N763))</f>
        <v>2113.77</v>
      </c>
      <c r="P761" s="61">
        <f>IF(N762="","",MIN(F763:N763))</f>
        <v>1995.4499999999998</v>
      </c>
      <c r="Q761" s="62">
        <f>IF((N763=""),"",AVERAGE(F763:N763))</f>
        <v>2065.3266666666664</v>
      </c>
      <c r="R761" s="62">
        <f>IF((N762=""),"",(O761-P761)/(O761+P761)*100)</f>
        <v>2.8793785681954285</v>
      </c>
      <c r="S761" s="139">
        <f>STDEV(F763:N763)</f>
        <v>46.274415987670814</v>
      </c>
      <c r="T761" s="5" t="str">
        <f>IF(N762="","",IF(Q761&gt;1940,IF(R761&lt;8.3,IF(Q761&lt;2180,"Pass","Fail"),"Fail"),"Fail"))</f>
        <v>Pass</v>
      </c>
      <c r="U761" s="146">
        <v>74</v>
      </c>
      <c r="V761" s="359"/>
      <c r="X761" s="116">
        <v>2000</v>
      </c>
      <c r="Y761" s="116">
        <v>3000</v>
      </c>
      <c r="Z761" s="116">
        <v>1940</v>
      </c>
      <c r="AA761" s="116">
        <v>2180</v>
      </c>
      <c r="AB761" s="31">
        <v>5.2</v>
      </c>
      <c r="AC761" s="31">
        <v>5.2</v>
      </c>
    </row>
    <row r="762" spans="1:29" ht="15.6" x14ac:dyDescent="0.3">
      <c r="A762"/>
      <c r="B762" s="24"/>
      <c r="C762" s="6"/>
      <c r="D762" s="6"/>
      <c r="E762" s="61" t="s">
        <v>187</v>
      </c>
      <c r="F762" s="11">
        <v>570.47</v>
      </c>
      <c r="G762" s="11">
        <v>522.36</v>
      </c>
      <c r="H762" s="11">
        <v>516.32000000000005</v>
      </c>
      <c r="I762" s="11">
        <v>534.38</v>
      </c>
      <c r="J762" s="11">
        <v>594.42999999999995</v>
      </c>
      <c r="K762" s="11">
        <v>587.30999999999995</v>
      </c>
      <c r="L762" s="11">
        <v>538.78</v>
      </c>
      <c r="M762" s="11">
        <v>522.49</v>
      </c>
      <c r="N762" s="11">
        <v>589.61</v>
      </c>
      <c r="O762" s="61"/>
      <c r="P762" s="61"/>
      <c r="Q762" s="62"/>
      <c r="R762" s="62"/>
      <c r="S762" s="139"/>
      <c r="T762" s="5"/>
      <c r="U762" s="140"/>
      <c r="V762" s="359"/>
      <c r="X762" s="118"/>
      <c r="Y762" s="118"/>
      <c r="Z762" s="118"/>
      <c r="AA762" s="118"/>
    </row>
    <row r="763" spans="1:29" ht="15.6" x14ac:dyDescent="0.3">
      <c r="A763"/>
      <c r="B763" s="24"/>
      <c r="C763" s="6"/>
      <c r="D763" s="6"/>
      <c r="E763" s="61" t="s">
        <v>190</v>
      </c>
      <c r="F763" s="40">
        <f t="shared" ref="F763:N763" si="249">IF(((F761="")*AND(F762="")),"",(F761-F762)*3)</f>
        <v>2046</v>
      </c>
      <c r="G763" s="40">
        <f t="shared" si="249"/>
        <v>2111.64</v>
      </c>
      <c r="H763" s="40">
        <f t="shared" si="249"/>
        <v>2113.77</v>
      </c>
      <c r="I763" s="40">
        <f t="shared" si="249"/>
        <v>2088.3000000000002</v>
      </c>
      <c r="J763" s="40">
        <f t="shared" si="249"/>
        <v>2000.0099999999998</v>
      </c>
      <c r="K763" s="40">
        <f t="shared" si="249"/>
        <v>2042.25</v>
      </c>
      <c r="L763" s="40">
        <f t="shared" si="249"/>
        <v>2083.7699999999995</v>
      </c>
      <c r="M763" s="40">
        <f t="shared" si="249"/>
        <v>2106.75</v>
      </c>
      <c r="N763" s="40">
        <f t="shared" si="249"/>
        <v>1995.4499999999998</v>
      </c>
      <c r="O763" s="61"/>
      <c r="P763" s="61"/>
      <c r="Q763" s="62"/>
      <c r="R763" s="62"/>
      <c r="S763" s="139"/>
      <c r="T763" s="5"/>
      <c r="U763" s="140"/>
      <c r="V763" s="359"/>
      <c r="X763" s="118"/>
      <c r="Y763" s="118"/>
      <c r="Z763" s="118"/>
      <c r="AA763" s="118"/>
    </row>
    <row r="764" spans="1:29" x14ac:dyDescent="0.25">
      <c r="A764" s="207">
        <v>43438</v>
      </c>
      <c r="B764" s="218" t="s">
        <v>185</v>
      </c>
      <c r="C764" s="6" t="s">
        <v>173</v>
      </c>
      <c r="D764" s="6" t="s">
        <v>172</v>
      </c>
      <c r="E764" s="61" t="s">
        <v>186</v>
      </c>
      <c r="F764" s="11">
        <v>25785.360000000001</v>
      </c>
      <c r="G764" s="11">
        <v>25878.05</v>
      </c>
      <c r="H764" s="11">
        <v>25965.84</v>
      </c>
      <c r="I764" s="11">
        <v>25857.09</v>
      </c>
      <c r="J764" s="11">
        <v>25755.279999999999</v>
      </c>
      <c r="K764" s="11">
        <v>25791.39</v>
      </c>
      <c r="L764" s="11">
        <v>25883.38</v>
      </c>
      <c r="M764" s="11">
        <v>25832.82</v>
      </c>
      <c r="N764" s="11">
        <v>25722.560000000001</v>
      </c>
      <c r="O764" s="61">
        <f>IF((N765=""),"",MAX(F766:N766))</f>
        <v>4722.3300000000017</v>
      </c>
      <c r="P764" s="61">
        <f>IF(N765="","",MIN(F766:N766))</f>
        <v>4275.4799999999996</v>
      </c>
      <c r="Q764" s="62">
        <f>IF((N766=""),"",AVERAGE(F766:N766))</f>
        <v>4462.93</v>
      </c>
      <c r="R764" s="62">
        <f>IF((N765=""),"",(O764-P764)/(O764+P764)*100)</f>
        <v>4.9662084440547432</v>
      </c>
      <c r="S764" s="139">
        <f>STDEV(F766:N766)</f>
        <v>168.86911396108007</v>
      </c>
      <c r="T764" s="5" t="str">
        <f>IF(N765="","",IF(R764&lt;16,IF(Q764&gt;3200,IF(R764,IF(Q764&lt;5240,"Pass","Fail"),"Fail"),"Fail")))</f>
        <v>Pass</v>
      </c>
      <c r="U764" s="146">
        <v>74</v>
      </c>
      <c r="V764" s="359"/>
      <c r="X764" s="116">
        <v>4200</v>
      </c>
      <c r="Y764" s="116">
        <v>5500</v>
      </c>
      <c r="Z764" s="116">
        <v>3200</v>
      </c>
      <c r="AA764" s="116">
        <v>5240</v>
      </c>
      <c r="AB764" s="31">
        <v>16</v>
      </c>
      <c r="AC764" s="31">
        <v>16</v>
      </c>
    </row>
    <row r="765" spans="1:29" ht="15.6" x14ac:dyDescent="0.3">
      <c r="A765"/>
      <c r="B765" s="24"/>
      <c r="C765" s="6"/>
      <c r="D765" s="6"/>
      <c r="E765" s="61" t="s">
        <v>187</v>
      </c>
      <c r="F765" s="11">
        <v>24264.639999999999</v>
      </c>
      <c r="G765" s="11">
        <v>24430.1</v>
      </c>
      <c r="H765" s="11">
        <v>24540.68</v>
      </c>
      <c r="I765" s="11">
        <v>24406.38</v>
      </c>
      <c r="J765" s="11">
        <v>24198.26</v>
      </c>
      <c r="K765" s="11">
        <v>24268.82</v>
      </c>
      <c r="L765" s="11">
        <v>24450.57</v>
      </c>
      <c r="M765" s="11">
        <v>24375.08</v>
      </c>
      <c r="N765" s="11">
        <v>24148.45</v>
      </c>
      <c r="O765" s="61"/>
      <c r="P765" s="61"/>
      <c r="Q765" s="62"/>
      <c r="R765" s="62"/>
      <c r="S765" s="139"/>
      <c r="T765" s="5"/>
      <c r="U765" s="140"/>
      <c r="V765" s="359"/>
      <c r="X765" s="118"/>
      <c r="Y765" s="118"/>
      <c r="Z765" s="118"/>
      <c r="AA765" s="118"/>
    </row>
    <row r="766" spans="1:29" ht="23.4" thickBot="1" x14ac:dyDescent="0.35">
      <c r="A766"/>
      <c r="B766" s="63"/>
      <c r="C766" s="64"/>
      <c r="D766" s="64"/>
      <c r="E766" s="65" t="s">
        <v>188</v>
      </c>
      <c r="F766" s="53">
        <f t="shared" ref="F766:N766" si="250">IF(((F764="")*AND(F765="")),"",(F764-F765)*3)</f>
        <v>4562.1600000000035</v>
      </c>
      <c r="G766" s="53">
        <f t="shared" si="250"/>
        <v>4343.8500000000022</v>
      </c>
      <c r="H766" s="53">
        <f t="shared" si="250"/>
        <v>4275.4799999999996</v>
      </c>
      <c r="I766" s="53">
        <f t="shared" si="250"/>
        <v>4352.1299999999974</v>
      </c>
      <c r="J766" s="53">
        <f t="shared" si="250"/>
        <v>4671.0600000000013</v>
      </c>
      <c r="K766" s="53">
        <f t="shared" si="250"/>
        <v>4567.7099999999991</v>
      </c>
      <c r="L766" s="53">
        <f t="shared" si="250"/>
        <v>4298.4300000000039</v>
      </c>
      <c r="M766" s="53">
        <f t="shared" si="250"/>
        <v>4373.2199999999939</v>
      </c>
      <c r="N766" s="53">
        <f t="shared" si="250"/>
        <v>4722.3300000000017</v>
      </c>
      <c r="O766" s="65"/>
      <c r="P766" s="65"/>
      <c r="Q766" s="66"/>
      <c r="R766" s="66"/>
      <c r="S766" s="142"/>
      <c r="T766" s="143"/>
      <c r="U766" s="144"/>
      <c r="V766" s="359"/>
      <c r="X766" s="118"/>
      <c r="Y766" s="118"/>
      <c r="Z766" s="118"/>
      <c r="AA766" s="118"/>
    </row>
    <row r="767" spans="1:29" x14ac:dyDescent="0.25">
      <c r="A767" s="207">
        <v>43445</v>
      </c>
      <c r="B767" s="217" t="s">
        <v>174</v>
      </c>
      <c r="C767" s="44" t="s">
        <v>176</v>
      </c>
      <c r="D767" s="44" t="s">
        <v>175</v>
      </c>
      <c r="E767" s="59" t="s">
        <v>186</v>
      </c>
      <c r="F767" s="11">
        <v>6871.08</v>
      </c>
      <c r="G767" s="11">
        <v>6876.74</v>
      </c>
      <c r="H767" s="11">
        <v>6922.42</v>
      </c>
      <c r="I767" s="11">
        <v>6869.47</v>
      </c>
      <c r="J767" s="11">
        <v>6875.27</v>
      </c>
      <c r="K767" s="11">
        <v>6883.21</v>
      </c>
      <c r="L767" s="11">
        <v>6901.27</v>
      </c>
      <c r="M767" s="11">
        <v>6913.18</v>
      </c>
      <c r="N767" s="11">
        <v>6974.11</v>
      </c>
      <c r="O767" s="59">
        <f>IF((N768=""),"",MAX(F769:N769))</f>
        <v>3797.34</v>
      </c>
      <c r="P767" s="59">
        <f>IF(N768="","",MIN(F769:N769))</f>
        <v>3534.58</v>
      </c>
      <c r="Q767" s="60">
        <f>IF((N769=""),"",AVERAGE(F769:N769))</f>
        <v>3708.5244444444447</v>
      </c>
      <c r="R767" s="60">
        <f>IF((N768=""),"",(O767-P767)/(O767+P767)*100)</f>
        <v>3.5837816015450281</v>
      </c>
      <c r="S767" s="113">
        <f>STDEV(F769:N769)</f>
        <v>90.47911735741998</v>
      </c>
      <c r="T767" s="137" t="str">
        <f>IF(N768="","",IF(Q767&gt;3650,IF(R767&lt;7,IF(Q767&lt;4450,"Pass","Fail"),"Fail"),"Fail"))</f>
        <v>Pass</v>
      </c>
      <c r="U767" s="149" t="s">
        <v>217</v>
      </c>
      <c r="V767" s="359"/>
      <c r="X767" s="116">
        <v>3650</v>
      </c>
      <c r="Y767" s="116">
        <v>4450</v>
      </c>
      <c r="Z767" s="116">
        <v>3700</v>
      </c>
      <c r="AA767" s="116">
        <v>4100</v>
      </c>
      <c r="AB767" s="31">
        <v>7</v>
      </c>
      <c r="AC767" s="31">
        <v>6.5</v>
      </c>
    </row>
    <row r="768" spans="1:29" ht="15.6" x14ac:dyDescent="0.3">
      <c r="A768"/>
      <c r="B768" s="24"/>
      <c r="C768" s="6"/>
      <c r="D768" s="6"/>
      <c r="E768" s="61" t="s">
        <v>187</v>
      </c>
      <c r="F768" s="11">
        <v>5050.88</v>
      </c>
      <c r="G768" s="11">
        <v>4992.38</v>
      </c>
      <c r="H768" s="11">
        <v>5030.1400000000003</v>
      </c>
      <c r="I768" s="11">
        <v>4991.51</v>
      </c>
      <c r="J768" s="11">
        <v>5067.8500000000004</v>
      </c>
      <c r="K768" s="11">
        <v>5115.92</v>
      </c>
      <c r="L768" s="11">
        <v>5025.33</v>
      </c>
      <c r="M768" s="11">
        <v>5014.51</v>
      </c>
      <c r="N768" s="11">
        <v>5109.87</v>
      </c>
      <c r="O768" s="61"/>
      <c r="P768" s="61"/>
      <c r="Q768" s="62"/>
      <c r="R768" s="62"/>
      <c r="S768" s="139"/>
      <c r="T768" s="8"/>
      <c r="U768" s="146"/>
      <c r="V768" s="359"/>
      <c r="X768" s="118"/>
      <c r="Y768" s="118"/>
      <c r="Z768" s="118"/>
      <c r="AA768" s="118"/>
    </row>
    <row r="769" spans="1:29" ht="23.4" thickBot="1" x14ac:dyDescent="0.35">
      <c r="A769"/>
      <c r="B769" s="24"/>
      <c r="C769" s="6"/>
      <c r="D769" s="6"/>
      <c r="E769" s="61" t="s">
        <v>188</v>
      </c>
      <c r="F769" s="40">
        <f t="shared" ref="F769:N769" si="251">IF(((F767="")*AND(F768="")),"",(F767-F768)*2)</f>
        <v>3640.3999999999996</v>
      </c>
      <c r="G769" s="40">
        <f t="shared" si="251"/>
        <v>3768.7199999999993</v>
      </c>
      <c r="H769" s="40">
        <f t="shared" si="251"/>
        <v>3784.5599999999995</v>
      </c>
      <c r="I769" s="40">
        <f t="shared" si="251"/>
        <v>3755.92</v>
      </c>
      <c r="J769" s="40">
        <f t="shared" si="251"/>
        <v>3614.84</v>
      </c>
      <c r="K769" s="40">
        <f t="shared" si="251"/>
        <v>3534.58</v>
      </c>
      <c r="L769" s="40">
        <f t="shared" si="251"/>
        <v>3751.880000000001</v>
      </c>
      <c r="M769" s="40">
        <f t="shared" si="251"/>
        <v>3797.34</v>
      </c>
      <c r="N769" s="40">
        <f t="shared" si="251"/>
        <v>3728.4799999999996</v>
      </c>
      <c r="O769" s="61"/>
      <c r="P769" s="61"/>
      <c r="Q769" s="62"/>
      <c r="R769" s="62"/>
      <c r="S769" s="139"/>
      <c r="T769" s="8"/>
      <c r="U769" s="146"/>
      <c r="V769" s="359"/>
      <c r="X769" s="118"/>
      <c r="Y769" s="118"/>
      <c r="Z769" s="118"/>
      <c r="AA769" s="118"/>
    </row>
    <row r="770" spans="1:29" x14ac:dyDescent="0.25">
      <c r="A770" s="207">
        <v>43445</v>
      </c>
      <c r="B770" s="215" t="s">
        <v>169</v>
      </c>
      <c r="C770" s="6" t="s">
        <v>171</v>
      </c>
      <c r="D770" s="6" t="s">
        <v>189</v>
      </c>
      <c r="E770" s="61" t="s">
        <v>186</v>
      </c>
      <c r="F770" s="11">
        <v>1973.08</v>
      </c>
      <c r="G770" s="11">
        <v>1950.62</v>
      </c>
      <c r="H770" s="11">
        <v>1948.98</v>
      </c>
      <c r="I770" s="11">
        <v>1946.23</v>
      </c>
      <c r="J770" s="11">
        <v>1967.11</v>
      </c>
      <c r="K770" s="11">
        <v>1972.42</v>
      </c>
      <c r="L770" s="11">
        <v>1953.82</v>
      </c>
      <c r="M770" s="11">
        <v>1949</v>
      </c>
      <c r="N770" s="11">
        <v>1965.14</v>
      </c>
      <c r="O770" s="61">
        <f>IF((N771=""),"",MAX(F772:N772))</f>
        <v>2142.06</v>
      </c>
      <c r="P770" s="61">
        <f>IF(N771="","",MIN(F772:N772))</f>
        <v>2055.9899999999998</v>
      </c>
      <c r="Q770" s="62">
        <f>IF((N772=""),"",AVERAGE(F772:N772))</f>
        <v>2089.3833333333332</v>
      </c>
      <c r="R770" s="62">
        <f>IF((N771=""),"",(O770-P770)/(O770+P770)*100)</f>
        <v>2.0502376103190811</v>
      </c>
      <c r="S770" s="139">
        <f>STDEV(F772:N772)</f>
        <v>33.235296749088882</v>
      </c>
      <c r="T770" s="5" t="str">
        <f>IF(N771="","",IF(Q770&gt;1940,IF(R770&lt;8.3,IF(Q770&lt;2180,"Pass","Fail"),"Fail"),"Fail"))</f>
        <v>Pass</v>
      </c>
      <c r="U770" s="149" t="s">
        <v>217</v>
      </c>
      <c r="V770" s="359"/>
      <c r="X770" s="116">
        <v>2000</v>
      </c>
      <c r="Y770" s="116">
        <v>3000</v>
      </c>
      <c r="Z770" s="116">
        <v>1940</v>
      </c>
      <c r="AA770" s="116">
        <v>2180</v>
      </c>
      <c r="AB770" s="31">
        <v>5.2</v>
      </c>
      <c r="AC770" s="31">
        <v>5.2</v>
      </c>
    </row>
    <row r="771" spans="1:29" ht="15.6" x14ac:dyDescent="0.3">
      <c r="A771"/>
      <c r="B771" s="24"/>
      <c r="C771" s="6"/>
      <c r="D771" s="6"/>
      <c r="E771" s="61" t="s">
        <v>187</v>
      </c>
      <c r="F771" s="11">
        <v>1259.06</v>
      </c>
      <c r="G771" s="11">
        <v>1257.1600000000001</v>
      </c>
      <c r="H771" s="11">
        <v>1263.6500000000001</v>
      </c>
      <c r="I771" s="11">
        <v>1260.69</v>
      </c>
      <c r="J771" s="11">
        <v>1264.6600000000001</v>
      </c>
      <c r="K771" s="11">
        <v>1258.99</v>
      </c>
      <c r="L771" s="11">
        <v>1263.0899999999999</v>
      </c>
      <c r="M771" s="11">
        <v>1260.3499999999999</v>
      </c>
      <c r="N771" s="11">
        <v>1270.5999999999999</v>
      </c>
      <c r="O771" s="61"/>
      <c r="P771" s="61"/>
      <c r="Q771" s="62"/>
      <c r="R771" s="62"/>
      <c r="S771" s="139"/>
      <c r="T771" s="5"/>
      <c r="U771" s="140"/>
      <c r="V771" s="359"/>
      <c r="X771" s="118"/>
      <c r="Y771" s="118"/>
      <c r="Z771" s="118"/>
      <c r="AA771" s="118"/>
    </row>
    <row r="772" spans="1:29" ht="16.2" thickBot="1" x14ac:dyDescent="0.35">
      <c r="A772"/>
      <c r="B772" s="24"/>
      <c r="C772" s="6"/>
      <c r="D772" s="6"/>
      <c r="E772" s="61" t="s">
        <v>190</v>
      </c>
      <c r="F772" s="40">
        <f t="shared" ref="F772:N772" si="252">IF(((F770="")*AND(F771="")),"",(F770-F771)*3)</f>
        <v>2142.06</v>
      </c>
      <c r="G772" s="40">
        <f t="shared" si="252"/>
        <v>2080.3799999999992</v>
      </c>
      <c r="H772" s="40">
        <f t="shared" si="252"/>
        <v>2055.9899999999998</v>
      </c>
      <c r="I772" s="40">
        <f t="shared" si="252"/>
        <v>2056.62</v>
      </c>
      <c r="J772" s="40">
        <f t="shared" si="252"/>
        <v>2107.3499999999995</v>
      </c>
      <c r="K772" s="40">
        <f t="shared" si="252"/>
        <v>2140.29</v>
      </c>
      <c r="L772" s="40">
        <f t="shared" si="252"/>
        <v>2072.19</v>
      </c>
      <c r="M772" s="40">
        <f t="shared" si="252"/>
        <v>2065.9500000000003</v>
      </c>
      <c r="N772" s="40">
        <f t="shared" si="252"/>
        <v>2083.6200000000008</v>
      </c>
      <c r="O772" s="61"/>
      <c r="P772" s="61"/>
      <c r="Q772" s="62"/>
      <c r="R772" s="62"/>
      <c r="S772" s="139"/>
      <c r="T772" s="5"/>
      <c r="U772" s="140"/>
      <c r="V772" s="359"/>
      <c r="X772" s="118"/>
      <c r="Y772" s="118"/>
      <c r="Z772" s="118"/>
      <c r="AA772" s="118"/>
    </row>
    <row r="773" spans="1:29" x14ac:dyDescent="0.25">
      <c r="A773" s="207">
        <v>43445</v>
      </c>
      <c r="B773" s="218" t="s">
        <v>185</v>
      </c>
      <c r="C773" s="6" t="s">
        <v>173</v>
      </c>
      <c r="D773" s="6" t="s">
        <v>172</v>
      </c>
      <c r="E773" s="61" t="s">
        <v>186</v>
      </c>
      <c r="F773" s="11">
        <v>29211.13</v>
      </c>
      <c r="G773" s="11">
        <v>29098.5</v>
      </c>
      <c r="H773" s="11">
        <v>29095.51</v>
      </c>
      <c r="I773" s="11">
        <v>29106.87</v>
      </c>
      <c r="J773" s="11">
        <v>29178.7</v>
      </c>
      <c r="K773" s="11">
        <v>29157.75</v>
      </c>
      <c r="L773" s="11">
        <v>29081.27</v>
      </c>
      <c r="M773" s="11">
        <v>29111.97</v>
      </c>
      <c r="N773" s="11">
        <v>29215.22</v>
      </c>
      <c r="O773" s="61">
        <f>IF((N774=""),"",MAX(F775:N775))</f>
        <v>4366.6800000000039</v>
      </c>
      <c r="P773" s="61">
        <f>IF(N774="","",MIN(F775:N775))</f>
        <v>3849.1499999999978</v>
      </c>
      <c r="Q773" s="62">
        <f>IF((N775=""),"",AVERAGE(F775:N775))</f>
        <v>4068.3500000000008</v>
      </c>
      <c r="R773" s="62">
        <f>IF((N774=""),"",(O773-P773)/(O773+P773)*100)</f>
        <v>6.2991809713687603</v>
      </c>
      <c r="S773" s="139">
        <f>STDEV(F775:N775)</f>
        <v>196.1411167374163</v>
      </c>
      <c r="T773" s="5" t="str">
        <f>IF(N774="","",IF(R773&lt;16,IF(Q773&gt;3200,IF(R773,IF(Q773&lt;5240,"Pass","Fail"),"Fail"),"Fail")))</f>
        <v>Pass</v>
      </c>
      <c r="U773" s="149" t="s">
        <v>217</v>
      </c>
      <c r="V773" s="359"/>
      <c r="X773" s="116">
        <v>4200</v>
      </c>
      <c r="Y773" s="116">
        <v>5500</v>
      </c>
      <c r="Z773" s="116">
        <v>3200</v>
      </c>
      <c r="AA773" s="116">
        <v>5240</v>
      </c>
      <c r="AB773" s="31">
        <v>16</v>
      </c>
      <c r="AC773" s="31">
        <v>16</v>
      </c>
    </row>
    <row r="774" spans="1:29" ht="15.6" x14ac:dyDescent="0.3">
      <c r="A774"/>
      <c r="B774" s="24"/>
      <c r="C774" s="6"/>
      <c r="D774" s="6"/>
      <c r="E774" s="61" t="s">
        <v>187</v>
      </c>
      <c r="F774" s="11">
        <v>27765.59</v>
      </c>
      <c r="G774" s="11">
        <v>27780.12</v>
      </c>
      <c r="H774" s="11">
        <v>27812.46</v>
      </c>
      <c r="I774" s="11">
        <v>27797.29</v>
      </c>
      <c r="J774" s="11">
        <v>27775.53</v>
      </c>
      <c r="K774" s="11">
        <v>27783.38</v>
      </c>
      <c r="L774" s="11">
        <v>27782.15</v>
      </c>
      <c r="M774" s="11">
        <v>27795.69</v>
      </c>
      <c r="N774" s="11">
        <v>27759.66</v>
      </c>
      <c r="O774" s="61"/>
      <c r="P774" s="61"/>
      <c r="Q774" s="62"/>
      <c r="R774" s="62"/>
      <c r="S774" s="139"/>
      <c r="T774" s="5"/>
      <c r="U774" s="140"/>
      <c r="V774" s="359"/>
      <c r="X774" s="118"/>
      <c r="Y774" s="118"/>
      <c r="Z774" s="118"/>
      <c r="AA774" s="118"/>
    </row>
    <row r="775" spans="1:29" ht="23.4" thickBot="1" x14ac:dyDescent="0.35">
      <c r="A775"/>
      <c r="B775" s="63"/>
      <c r="C775" s="64"/>
      <c r="D775" s="64"/>
      <c r="E775" s="65" t="s">
        <v>188</v>
      </c>
      <c r="F775" s="53">
        <f t="shared" ref="F775:N775" si="253">IF(((F773="")*AND(F774="")),"",(F773-F774)*3)</f>
        <v>4336.6200000000026</v>
      </c>
      <c r="G775" s="53">
        <f t="shared" si="253"/>
        <v>3955.1400000000031</v>
      </c>
      <c r="H775" s="53">
        <f t="shared" si="253"/>
        <v>3849.1499999999978</v>
      </c>
      <c r="I775" s="53">
        <f t="shared" si="253"/>
        <v>3928.7399999999943</v>
      </c>
      <c r="J775" s="53">
        <f t="shared" si="253"/>
        <v>4209.5100000000057</v>
      </c>
      <c r="K775" s="53">
        <f t="shared" si="253"/>
        <v>4123.1099999999969</v>
      </c>
      <c r="L775" s="53">
        <f t="shared" si="253"/>
        <v>3897.3599999999969</v>
      </c>
      <c r="M775" s="53">
        <f t="shared" si="253"/>
        <v>3948.8400000000074</v>
      </c>
      <c r="N775" s="53">
        <f t="shared" si="253"/>
        <v>4366.6800000000039</v>
      </c>
      <c r="O775" s="65"/>
      <c r="P775" s="65"/>
      <c r="Q775" s="66"/>
      <c r="R775" s="66"/>
      <c r="S775" s="142"/>
      <c r="T775" s="143"/>
      <c r="U775" s="144"/>
      <c r="V775" s="359"/>
      <c r="X775" s="118"/>
      <c r="Y775" s="118"/>
      <c r="Z775" s="118"/>
      <c r="AA775" s="118"/>
    </row>
    <row r="776" spans="1:29" x14ac:dyDescent="0.25">
      <c r="A776" s="207">
        <v>43451</v>
      </c>
      <c r="B776" s="219" t="s">
        <v>174</v>
      </c>
      <c r="C776" s="39" t="s">
        <v>176</v>
      </c>
      <c r="D776" s="39" t="s">
        <v>175</v>
      </c>
      <c r="E776" s="41" t="s">
        <v>186</v>
      </c>
      <c r="F776" s="11">
        <v>6849</v>
      </c>
      <c r="G776" s="11">
        <v>6830</v>
      </c>
      <c r="H776" s="11">
        <v>6874</v>
      </c>
      <c r="I776" s="11">
        <v>6838</v>
      </c>
      <c r="J776" s="11">
        <v>6903</v>
      </c>
      <c r="K776" s="128">
        <v>6872</v>
      </c>
      <c r="L776" s="128">
        <v>6863</v>
      </c>
      <c r="M776" s="128">
        <v>6866</v>
      </c>
      <c r="N776" s="128">
        <v>6956</v>
      </c>
      <c r="O776" s="59">
        <f>IF((N777=""),"",MAX(F778:N778))</f>
        <v>3836</v>
      </c>
      <c r="P776" s="59">
        <f>IF(N777="","",MIN(F778:N778))</f>
        <v>3614</v>
      </c>
      <c r="Q776" s="60">
        <f>IF((N778=""),"",AVERAGE(F778:N778))</f>
        <v>3762.4444444444443</v>
      </c>
      <c r="R776" s="60">
        <f>IF((N777=""),"",(O776-P776)/(O776+P776)*100)</f>
        <v>2.9798657718120807</v>
      </c>
      <c r="S776" s="113">
        <f>STDEV(F778:N778)</f>
        <v>78.611562621396729</v>
      </c>
      <c r="T776" s="137" t="str">
        <f>IF(N777="","",IF(Q776&gt;3650,IF(R776&lt;7,IF(Q776&lt;4450,"Pass","Fail"),"Fail"),"Fail"))</f>
        <v>Pass</v>
      </c>
      <c r="U776" s="149">
        <v>1340</v>
      </c>
      <c r="V776" s="359"/>
      <c r="X776" s="116">
        <v>3650</v>
      </c>
      <c r="Y776" s="116">
        <v>4450</v>
      </c>
      <c r="Z776" s="116">
        <v>3700</v>
      </c>
      <c r="AA776" s="116">
        <v>4100</v>
      </c>
      <c r="AB776" s="31">
        <v>7</v>
      </c>
      <c r="AC776" s="31">
        <v>6.5</v>
      </c>
    </row>
    <row r="777" spans="1:29" ht="15.6" x14ac:dyDescent="0.3">
      <c r="A777"/>
      <c r="B777" s="24"/>
      <c r="C777" s="6"/>
      <c r="D777" s="6"/>
      <c r="E777" s="61" t="s">
        <v>187</v>
      </c>
      <c r="F777" s="11">
        <v>5008</v>
      </c>
      <c r="G777" s="11">
        <v>4926</v>
      </c>
      <c r="H777" s="11">
        <v>4959</v>
      </c>
      <c r="I777" s="11">
        <v>4933</v>
      </c>
      <c r="J777" s="11">
        <v>5055</v>
      </c>
      <c r="K777" s="11">
        <v>5065</v>
      </c>
      <c r="L777" s="11">
        <v>4960</v>
      </c>
      <c r="M777" s="11">
        <v>4948</v>
      </c>
      <c r="N777" s="11">
        <v>5066</v>
      </c>
      <c r="O777" s="61"/>
      <c r="P777" s="61"/>
      <c r="Q777" s="62"/>
      <c r="R777" s="62"/>
      <c r="S777" s="139"/>
      <c r="T777" s="8"/>
      <c r="U777" s="146"/>
      <c r="V777" s="359"/>
      <c r="X777" s="118"/>
      <c r="Y777" s="118"/>
      <c r="Z777" s="118"/>
      <c r="AA777" s="118"/>
    </row>
    <row r="778" spans="1:29" ht="23.4" thickBot="1" x14ac:dyDescent="0.35">
      <c r="A778"/>
      <c r="B778" s="24"/>
      <c r="C778" s="6"/>
      <c r="D778" s="6"/>
      <c r="E778" s="61" t="s">
        <v>188</v>
      </c>
      <c r="F778" s="40">
        <f t="shared" ref="F778:N778" si="254">IF(((F776="")*AND(F777="")),"",(F776-F777)*2)</f>
        <v>3682</v>
      </c>
      <c r="G778" s="40">
        <f t="shared" si="254"/>
        <v>3808</v>
      </c>
      <c r="H778" s="40">
        <f t="shared" si="254"/>
        <v>3830</v>
      </c>
      <c r="I778" s="40">
        <f t="shared" si="254"/>
        <v>3810</v>
      </c>
      <c r="J778" s="40">
        <f t="shared" si="254"/>
        <v>3696</v>
      </c>
      <c r="K778" s="40">
        <f t="shared" si="254"/>
        <v>3614</v>
      </c>
      <c r="L778" s="40">
        <f t="shared" si="254"/>
        <v>3806</v>
      </c>
      <c r="M778" s="40">
        <f t="shared" si="254"/>
        <v>3836</v>
      </c>
      <c r="N778" s="40">
        <f t="shared" si="254"/>
        <v>3780</v>
      </c>
      <c r="O778" s="61"/>
      <c r="P778" s="61"/>
      <c r="Q778" s="62"/>
      <c r="R778" s="62"/>
      <c r="S778" s="139"/>
      <c r="T778" s="8"/>
      <c r="U778" s="146"/>
      <c r="V778" s="359"/>
      <c r="X778" s="118"/>
      <c r="Y778" s="118"/>
      <c r="Z778" s="118"/>
      <c r="AA778" s="118"/>
    </row>
    <row r="779" spans="1:29" x14ac:dyDescent="0.25">
      <c r="A779" s="210">
        <v>43451</v>
      </c>
      <c r="B779" s="215" t="s">
        <v>169</v>
      </c>
      <c r="C779" s="6" t="s">
        <v>171</v>
      </c>
      <c r="D779" s="6" t="s">
        <v>189</v>
      </c>
      <c r="E779" s="61" t="s">
        <v>186</v>
      </c>
      <c r="F779" s="11">
        <v>1256</v>
      </c>
      <c r="G779" s="11">
        <v>1237</v>
      </c>
      <c r="H779" s="11">
        <v>1223</v>
      </c>
      <c r="I779" s="11">
        <v>1237</v>
      </c>
      <c r="J779" s="11">
        <v>1262</v>
      </c>
      <c r="K779" s="11">
        <v>1268</v>
      </c>
      <c r="L779" s="11">
        <v>1233</v>
      </c>
      <c r="M779" s="11">
        <v>1239</v>
      </c>
      <c r="N779" s="11">
        <v>1261</v>
      </c>
      <c r="O779" s="61">
        <f>IF((N780=""),"",MAX(F781:N781))</f>
        <v>2034</v>
      </c>
      <c r="P779" s="61">
        <f>IF(N780="","",MIN(F781:N781))</f>
        <v>1956</v>
      </c>
      <c r="Q779" s="62">
        <f>IF((N781=""),"",AVERAGE(F781:N781))</f>
        <v>1999.6666666666667</v>
      </c>
      <c r="R779" s="62">
        <f>IF((N780=""),"",(O779-P779)/(O779+P779)*100)</f>
        <v>1.9548872180451129</v>
      </c>
      <c r="S779" s="139">
        <f>STDEV(F781:N781)</f>
        <v>28.464890654980568</v>
      </c>
      <c r="T779" s="5" t="str">
        <f>IF(N780="","",IF(Q779&gt;1940,IF(R779&lt;8.3,IF(Q779&lt;2180,"Pass","Fail"),"Fail"),"Fail"))</f>
        <v>Pass</v>
      </c>
      <c r="U779" s="149">
        <v>1340</v>
      </c>
      <c r="V779" s="359"/>
      <c r="X779" s="116">
        <v>2000</v>
      </c>
      <c r="Y779" s="116">
        <v>3000</v>
      </c>
      <c r="Z779" s="116">
        <v>1940</v>
      </c>
      <c r="AA779" s="116">
        <v>2180</v>
      </c>
      <c r="AB779" s="31">
        <v>5.2</v>
      </c>
      <c r="AC779" s="31">
        <v>5.2</v>
      </c>
    </row>
    <row r="780" spans="1:29" ht="15.6" x14ac:dyDescent="0.3">
      <c r="A780"/>
      <c r="B780" s="24"/>
      <c r="C780" s="6"/>
      <c r="D780" s="6"/>
      <c r="E780" s="61" t="s">
        <v>187</v>
      </c>
      <c r="F780" s="11">
        <v>578</v>
      </c>
      <c r="G780" s="11">
        <v>568</v>
      </c>
      <c r="H780" s="11">
        <v>569</v>
      </c>
      <c r="I780" s="128">
        <v>574</v>
      </c>
      <c r="J780" s="128">
        <v>594</v>
      </c>
      <c r="K780" s="128">
        <v>590</v>
      </c>
      <c r="L780" s="11">
        <v>581</v>
      </c>
      <c r="M780" s="11">
        <v>565</v>
      </c>
      <c r="N780" s="11">
        <v>598</v>
      </c>
      <c r="O780" s="61"/>
      <c r="P780" s="61"/>
      <c r="Q780" s="62"/>
      <c r="R780" s="62"/>
      <c r="S780" s="139"/>
      <c r="T780" s="5"/>
      <c r="U780" s="140"/>
      <c r="V780" s="359"/>
      <c r="X780" s="118"/>
      <c r="Y780" s="118"/>
      <c r="Z780" s="118"/>
      <c r="AA780" s="118"/>
    </row>
    <row r="781" spans="1:29" ht="16.2" thickBot="1" x14ac:dyDescent="0.35">
      <c r="A781"/>
      <c r="B781" s="24"/>
      <c r="C781" s="6"/>
      <c r="D781" s="6"/>
      <c r="E781" s="61" t="s">
        <v>190</v>
      </c>
      <c r="F781" s="40">
        <f t="shared" ref="F781:N781" si="255">IF(((F779="")*AND(F780="")),"",(F779-F780)*3)</f>
        <v>2034</v>
      </c>
      <c r="G781" s="40">
        <f t="shared" si="255"/>
        <v>2007</v>
      </c>
      <c r="H781" s="40">
        <f t="shared" si="255"/>
        <v>1962</v>
      </c>
      <c r="I781" s="40">
        <f t="shared" si="255"/>
        <v>1989</v>
      </c>
      <c r="J781" s="40">
        <f t="shared" si="255"/>
        <v>2004</v>
      </c>
      <c r="K781" s="40">
        <f t="shared" si="255"/>
        <v>2034</v>
      </c>
      <c r="L781" s="40">
        <f t="shared" si="255"/>
        <v>1956</v>
      </c>
      <c r="M781" s="40">
        <f t="shared" si="255"/>
        <v>2022</v>
      </c>
      <c r="N781" s="40">
        <f t="shared" si="255"/>
        <v>1989</v>
      </c>
      <c r="O781" s="61"/>
      <c r="P781" s="61"/>
      <c r="Q781" s="62"/>
      <c r="R781" s="62"/>
      <c r="S781" s="139"/>
      <c r="T781" s="5"/>
      <c r="U781" s="140"/>
      <c r="V781" s="359"/>
      <c r="X781" s="118"/>
      <c r="Y781" s="118"/>
      <c r="Z781" s="118"/>
      <c r="AA781" s="118"/>
    </row>
    <row r="782" spans="1:29" x14ac:dyDescent="0.25">
      <c r="A782" s="210">
        <v>43451</v>
      </c>
      <c r="B782" s="218" t="s">
        <v>185</v>
      </c>
      <c r="C782" s="6" t="s">
        <v>173</v>
      </c>
      <c r="D782" s="6" t="s">
        <v>172</v>
      </c>
      <c r="E782" s="61" t="s">
        <v>186</v>
      </c>
      <c r="F782" s="11">
        <v>29027</v>
      </c>
      <c r="G782" s="11">
        <v>28971</v>
      </c>
      <c r="H782" s="11">
        <v>28924</v>
      </c>
      <c r="I782" s="11">
        <v>28962</v>
      </c>
      <c r="J782" s="11">
        <v>29003</v>
      </c>
      <c r="K782" s="128">
        <v>28766</v>
      </c>
      <c r="L782" s="128">
        <v>28905</v>
      </c>
      <c r="M782" s="128">
        <v>28883</v>
      </c>
      <c r="N782" s="128">
        <v>28967</v>
      </c>
      <c r="O782" s="61">
        <f>IF((N783=""),"",MAX(F784:N784))</f>
        <v>4335</v>
      </c>
      <c r="P782" s="61">
        <f>IF(N783="","",MIN(F784:N784))</f>
        <v>3441</v>
      </c>
      <c r="Q782" s="62">
        <f>IF((N784=""),"",AVERAGE(F784:N784))</f>
        <v>3887.3333333333335</v>
      </c>
      <c r="R782" s="62">
        <f>IF((N783=""),"",(O782-P782)/(O782+P782)*100)</f>
        <v>11.496913580246913</v>
      </c>
      <c r="S782" s="139">
        <f>STDEV(F784:N784)</f>
        <v>281.61986790707789</v>
      </c>
      <c r="T782" s="5" t="str">
        <f>IF(N783="","",IF(R782&lt;16,IF(Q782&gt;3200,IF(R782,IF(Q782&lt;5240,"Pass","Fail"),"Fail"),"Fail")))</f>
        <v>Pass</v>
      </c>
      <c r="U782" s="149">
        <v>1340</v>
      </c>
      <c r="V782" s="359"/>
      <c r="X782" s="116">
        <v>4200</v>
      </c>
      <c r="Y782" s="116">
        <v>5500</v>
      </c>
      <c r="Z782" s="116">
        <v>3200</v>
      </c>
      <c r="AA782" s="116">
        <v>5240</v>
      </c>
      <c r="AB782" s="31">
        <v>16</v>
      </c>
      <c r="AC782" s="31">
        <v>16</v>
      </c>
    </row>
    <row r="783" spans="1:29" ht="15.6" x14ac:dyDescent="0.3">
      <c r="A783"/>
      <c r="B783" s="24"/>
      <c r="C783" s="6"/>
      <c r="D783" s="6"/>
      <c r="E783" s="61" t="s">
        <v>187</v>
      </c>
      <c r="F783" s="11">
        <v>27582</v>
      </c>
      <c r="G783" s="11">
        <v>27666</v>
      </c>
      <c r="H783" s="11">
        <v>27711</v>
      </c>
      <c r="I783" s="128">
        <v>27662</v>
      </c>
      <c r="J783" s="128">
        <v>27650</v>
      </c>
      <c r="K783" s="128">
        <v>27619</v>
      </c>
      <c r="L783" s="128">
        <v>27664</v>
      </c>
      <c r="M783" s="128">
        <v>27627</v>
      </c>
      <c r="N783" s="128">
        <v>27565</v>
      </c>
      <c r="O783" s="61"/>
      <c r="P783" s="61"/>
      <c r="Q783" s="62"/>
      <c r="R783" s="62"/>
      <c r="S783" s="139"/>
      <c r="T783" s="5"/>
      <c r="U783" s="140"/>
      <c r="V783" s="359"/>
      <c r="X783" s="118"/>
      <c r="Y783" s="118"/>
      <c r="Z783" s="118"/>
      <c r="AA783" s="118"/>
    </row>
    <row r="784" spans="1:29" ht="23.4" thickBot="1" x14ac:dyDescent="0.35">
      <c r="A784"/>
      <c r="B784" s="63"/>
      <c r="C784" s="64"/>
      <c r="D784" s="64"/>
      <c r="E784" s="65" t="s">
        <v>188</v>
      </c>
      <c r="F784" s="53">
        <f t="shared" ref="F784:N784" si="256">IF(((F782="")*AND(F783="")),"",(F782-F783)*3)</f>
        <v>4335</v>
      </c>
      <c r="G784" s="53">
        <f t="shared" si="256"/>
        <v>3915</v>
      </c>
      <c r="H784" s="53">
        <f t="shared" si="256"/>
        <v>3639</v>
      </c>
      <c r="I784" s="53">
        <f t="shared" si="256"/>
        <v>3900</v>
      </c>
      <c r="J784" s="53">
        <f t="shared" si="256"/>
        <v>4059</v>
      </c>
      <c r="K784" s="53">
        <f t="shared" si="256"/>
        <v>3441</v>
      </c>
      <c r="L784" s="53">
        <f t="shared" si="256"/>
        <v>3723</v>
      </c>
      <c r="M784" s="53">
        <f t="shared" si="256"/>
        <v>3768</v>
      </c>
      <c r="N784" s="53">
        <f t="shared" si="256"/>
        <v>4206</v>
      </c>
      <c r="O784" s="65"/>
      <c r="P784" s="65"/>
      <c r="Q784" s="66"/>
      <c r="R784" s="66"/>
      <c r="S784" s="142"/>
      <c r="T784" s="143"/>
      <c r="U784" s="144"/>
      <c r="V784" s="359"/>
      <c r="X784" s="118"/>
      <c r="Y784" s="118"/>
      <c r="Z784" s="118"/>
      <c r="AA784" s="118"/>
    </row>
    <row r="785" spans="1:29" x14ac:dyDescent="0.25">
      <c r="A785" s="207">
        <v>43460</v>
      </c>
      <c r="B785" s="219" t="s">
        <v>174</v>
      </c>
      <c r="C785" s="39" t="s">
        <v>176</v>
      </c>
      <c r="D785" s="39" t="s">
        <v>175</v>
      </c>
      <c r="E785" s="41" t="s">
        <v>186</v>
      </c>
      <c r="F785" s="11">
        <v>5018.34</v>
      </c>
      <c r="G785" s="11">
        <v>4937.29</v>
      </c>
      <c r="H785" s="11">
        <v>4968.3</v>
      </c>
      <c r="I785" s="11">
        <v>4942.92</v>
      </c>
      <c r="J785" s="11">
        <v>5064.83</v>
      </c>
      <c r="K785" s="11">
        <v>5074.83</v>
      </c>
      <c r="L785" s="11">
        <v>4969.8100000000004</v>
      </c>
      <c r="M785" s="11">
        <v>4958.4399999999996</v>
      </c>
      <c r="N785" s="11">
        <v>5075.38</v>
      </c>
      <c r="O785" s="59">
        <f>IF((N786=""),"",MAX(F787:N787))</f>
        <v>3854.1399999999994</v>
      </c>
      <c r="P785" s="59">
        <f>IF(N786="","",MIN(F787:N787))</f>
        <v>3564.76</v>
      </c>
      <c r="Q785" s="60">
        <f>IF((N787=""),"",AVERAGE(F787:N787))</f>
        <v>3754.4866666666671</v>
      </c>
      <c r="R785" s="60">
        <f>IF((N786=""),"",(O785-P785)/(O785+P785)*100)</f>
        <v>3.9005782528407069</v>
      </c>
      <c r="S785" s="113">
        <f>STDEV(F787:N787)</f>
        <v>97.111780953702947</v>
      </c>
      <c r="T785" s="137" t="str">
        <f>IF(N786="","",IF(Q785&gt;3650,IF(R785&lt;7,IF(Q785&lt;4450,"Pass","Fail"),"Fail"),"Fail"))</f>
        <v>Pass</v>
      </c>
      <c r="U785" s="149">
        <v>74</v>
      </c>
      <c r="X785" s="116">
        <v>3650</v>
      </c>
      <c r="Y785" s="116">
        <v>4450</v>
      </c>
      <c r="Z785" s="116">
        <v>3700</v>
      </c>
      <c r="AA785" s="116">
        <v>4100</v>
      </c>
      <c r="AB785" s="31">
        <v>7</v>
      </c>
      <c r="AC785" s="31">
        <v>6.5</v>
      </c>
    </row>
    <row r="786" spans="1:29" ht="15.6" x14ac:dyDescent="0.3">
      <c r="A786"/>
      <c r="B786" s="24"/>
      <c r="C786" s="6"/>
      <c r="D786" s="6"/>
      <c r="E786" s="61" t="s">
        <v>187</v>
      </c>
      <c r="F786" s="11">
        <v>3190.58</v>
      </c>
      <c r="G786" s="11">
        <v>3035.89</v>
      </c>
      <c r="H786" s="11">
        <v>3053.67</v>
      </c>
      <c r="I786" s="11">
        <v>3034.87</v>
      </c>
      <c r="J786" s="11">
        <v>3223.27</v>
      </c>
      <c r="K786" s="11">
        <v>3292.45</v>
      </c>
      <c r="L786" s="11">
        <v>3071.3</v>
      </c>
      <c r="M786" s="11">
        <v>3031.37</v>
      </c>
      <c r="N786" s="11">
        <v>3181.55</v>
      </c>
      <c r="O786" s="61"/>
      <c r="P786" s="61"/>
      <c r="Q786" s="62"/>
      <c r="R786" s="62"/>
      <c r="S786" s="139"/>
      <c r="T786" s="8"/>
      <c r="U786" s="146"/>
      <c r="X786" s="116">
        <v>3650</v>
      </c>
      <c r="Y786" s="116">
        <v>4450</v>
      </c>
      <c r="Z786" s="116">
        <v>3700</v>
      </c>
      <c r="AA786" s="116">
        <v>4100</v>
      </c>
      <c r="AB786" s="31">
        <v>7</v>
      </c>
      <c r="AC786" s="31">
        <v>6.5</v>
      </c>
    </row>
    <row r="787" spans="1:29" ht="23.4" thickBot="1" x14ac:dyDescent="0.35">
      <c r="A787"/>
      <c r="B787" s="24"/>
      <c r="C787" s="6"/>
      <c r="D787" s="6"/>
      <c r="E787" s="61" t="s">
        <v>188</v>
      </c>
      <c r="F787" s="40">
        <f t="shared" ref="F787:N787" si="257">IF(((F785="")*AND(F786="")),"",(F785-F786)*2)</f>
        <v>3655.5200000000004</v>
      </c>
      <c r="G787" s="40">
        <f t="shared" si="257"/>
        <v>3802.8</v>
      </c>
      <c r="H787" s="40">
        <f t="shared" si="257"/>
        <v>3829.26</v>
      </c>
      <c r="I787" s="40">
        <f t="shared" si="257"/>
        <v>3816.1000000000004</v>
      </c>
      <c r="J787" s="40">
        <f t="shared" si="257"/>
        <v>3683.12</v>
      </c>
      <c r="K787" s="40">
        <f t="shared" si="257"/>
        <v>3564.76</v>
      </c>
      <c r="L787" s="40">
        <f t="shared" si="257"/>
        <v>3797.0200000000004</v>
      </c>
      <c r="M787" s="40">
        <f t="shared" si="257"/>
        <v>3854.1399999999994</v>
      </c>
      <c r="N787" s="40">
        <f t="shared" si="257"/>
        <v>3787.66</v>
      </c>
      <c r="O787" s="61"/>
      <c r="P787" s="61"/>
      <c r="Q787" s="62"/>
      <c r="R787" s="62"/>
      <c r="S787" s="139"/>
      <c r="T787" s="8"/>
      <c r="U787" s="146"/>
      <c r="X787" s="118"/>
      <c r="Y787" s="118"/>
      <c r="Z787" s="118"/>
      <c r="AA787" s="118"/>
    </row>
    <row r="788" spans="1:29" x14ac:dyDescent="0.25">
      <c r="A788" s="207">
        <v>43460</v>
      </c>
      <c r="B788" s="215" t="s">
        <v>169</v>
      </c>
      <c r="C788" s="6" t="s">
        <v>171</v>
      </c>
      <c r="D788" s="6" t="s">
        <v>189</v>
      </c>
      <c r="E788" s="61" t="s">
        <v>186</v>
      </c>
      <c r="F788" s="11">
        <v>1264.92</v>
      </c>
      <c r="G788" s="11">
        <v>1234.75</v>
      </c>
      <c r="H788" s="11">
        <v>1225.06</v>
      </c>
      <c r="I788" s="11">
        <v>1228.19</v>
      </c>
      <c r="J788" s="11">
        <v>1249.06</v>
      </c>
      <c r="K788" s="11">
        <v>1256.24</v>
      </c>
      <c r="L788" s="11">
        <v>1227.31</v>
      </c>
      <c r="M788" s="11">
        <v>1235.0899999999999</v>
      </c>
      <c r="N788" s="11">
        <v>1261.07</v>
      </c>
      <c r="O788" s="61">
        <f>IF((N789=""),"",MAX(F790:N790))</f>
        <v>2057.34</v>
      </c>
      <c r="P788" s="61">
        <f>IF(N789="","",MIN(F790:N790))</f>
        <v>1938.8999999999999</v>
      </c>
      <c r="Q788" s="62">
        <f>IF((N790=""),"",AVERAGE(F790:N790))</f>
        <v>1993.5033333333331</v>
      </c>
      <c r="R788" s="62">
        <f>IF((N789=""),"",(O788-P788)/(O788+P788)*100)</f>
        <v>2.9637859588012803</v>
      </c>
      <c r="S788" s="139">
        <f>STDEV(F790:N790)</f>
        <v>36.008559746260381</v>
      </c>
      <c r="T788" s="5" t="str">
        <f>IF(N789="","",IF(Q788&gt;1940,IF(R788&lt;8.3,IF(Q788&lt;2180,"Pass","Fail"),"Fail"),"Fail"))</f>
        <v>Pass</v>
      </c>
      <c r="U788" s="149">
        <v>74</v>
      </c>
      <c r="X788" s="116">
        <v>2000</v>
      </c>
      <c r="Y788" s="116">
        <v>3000</v>
      </c>
      <c r="Z788" s="116">
        <v>1940</v>
      </c>
      <c r="AA788" s="116">
        <v>2180</v>
      </c>
      <c r="AB788" s="31">
        <v>5.2</v>
      </c>
      <c r="AC788" s="31">
        <v>5.2</v>
      </c>
    </row>
    <row r="789" spans="1:29" ht="15.6" x14ac:dyDescent="0.3">
      <c r="A789"/>
      <c r="B789" s="24"/>
      <c r="C789" s="6"/>
      <c r="D789" s="6"/>
      <c r="E789" s="61" t="s">
        <v>187</v>
      </c>
      <c r="F789" s="11">
        <v>579.14</v>
      </c>
      <c r="G789" s="11">
        <v>561.74</v>
      </c>
      <c r="H789" s="11">
        <v>562.63</v>
      </c>
      <c r="I789" s="11">
        <v>569.30999999999995</v>
      </c>
      <c r="J789" s="11">
        <v>602.76</v>
      </c>
      <c r="K789" s="11">
        <v>592.24</v>
      </c>
      <c r="L789" s="11">
        <v>572.33000000000004</v>
      </c>
      <c r="M789" s="11">
        <v>558.85</v>
      </c>
      <c r="N789" s="11">
        <v>602.17999999999995</v>
      </c>
      <c r="O789" s="61"/>
      <c r="P789" s="61"/>
      <c r="Q789" s="62"/>
      <c r="R789" s="62"/>
      <c r="S789" s="139"/>
      <c r="T789" s="5"/>
      <c r="U789" s="140"/>
      <c r="X789" s="118"/>
      <c r="Y789" s="118"/>
      <c r="Z789" s="118"/>
      <c r="AA789" s="118"/>
    </row>
    <row r="790" spans="1:29" ht="16.2" thickBot="1" x14ac:dyDescent="0.35">
      <c r="A790"/>
      <c r="B790" s="24"/>
      <c r="C790" s="6"/>
      <c r="D790" s="6"/>
      <c r="E790" s="61" t="s">
        <v>190</v>
      </c>
      <c r="F790" s="40">
        <f t="shared" ref="F790:N790" si="258">IF(((F788="")*AND(F789="")),"",(F788-F789)*3)</f>
        <v>2057.34</v>
      </c>
      <c r="G790" s="40">
        <f t="shared" si="258"/>
        <v>2019.03</v>
      </c>
      <c r="H790" s="40">
        <f t="shared" si="258"/>
        <v>1987.29</v>
      </c>
      <c r="I790" s="40">
        <f t="shared" si="258"/>
        <v>1976.6400000000003</v>
      </c>
      <c r="J790" s="40">
        <f t="shared" si="258"/>
        <v>1938.8999999999999</v>
      </c>
      <c r="K790" s="40">
        <f t="shared" si="258"/>
        <v>1992</v>
      </c>
      <c r="L790" s="40">
        <f t="shared" si="258"/>
        <v>1964.9399999999996</v>
      </c>
      <c r="M790" s="40">
        <f t="shared" si="258"/>
        <v>2028.7199999999998</v>
      </c>
      <c r="N790" s="40">
        <f t="shared" si="258"/>
        <v>1976.67</v>
      </c>
      <c r="O790" s="61"/>
      <c r="P790" s="61"/>
      <c r="Q790" s="62"/>
      <c r="R790" s="62"/>
      <c r="S790" s="139"/>
      <c r="T790" s="5"/>
      <c r="U790" s="140"/>
      <c r="X790" s="118"/>
      <c r="Y790" s="118"/>
      <c r="Z790" s="118"/>
      <c r="AA790" s="118"/>
    </row>
    <row r="791" spans="1:29" x14ac:dyDescent="0.25">
      <c r="A791" s="207">
        <v>43460</v>
      </c>
      <c r="B791" s="218" t="s">
        <v>185</v>
      </c>
      <c r="C791" s="6" t="s">
        <v>173</v>
      </c>
      <c r="D791" s="6" t="s">
        <v>172</v>
      </c>
      <c r="E791" s="61" t="s">
        <v>186</v>
      </c>
      <c r="F791" s="11">
        <v>27534.17</v>
      </c>
      <c r="G791" s="11">
        <v>27573.27</v>
      </c>
      <c r="H791" s="11">
        <v>27665.85</v>
      </c>
      <c r="I791" s="11">
        <v>27608.21</v>
      </c>
      <c r="J791" s="11">
        <v>27588.54</v>
      </c>
      <c r="K791" s="11">
        <v>27633.94</v>
      </c>
      <c r="L791" s="11">
        <v>27599.279999999999</v>
      </c>
      <c r="M791" s="11">
        <v>27596.79</v>
      </c>
      <c r="N791" s="11">
        <v>27556.52</v>
      </c>
      <c r="O791" s="61">
        <f>IF((N792=""),"",MAX(F793:N793))</f>
        <v>4449.6299999999974</v>
      </c>
      <c r="P791" s="61">
        <f>IF(N792="","",MIN(F793:N793))</f>
        <v>3885.7799999999952</v>
      </c>
      <c r="Q791" s="62">
        <f>IF((N793=""),"",AVERAGE(F793:N793))</f>
        <v>4131.3133333333317</v>
      </c>
      <c r="R791" s="62">
        <f>IF((N792=""),"",(O791-P791)/(O791+P791)*100)</f>
        <v>6.7645142830406986</v>
      </c>
      <c r="S791" s="139">
        <f>STDEV(F793:N793)</f>
        <v>210.09872720937651</v>
      </c>
      <c r="T791" s="5" t="str">
        <f>IF(N792="","",IF(R791&lt;16,IF(Q791&gt;3200,IF(R791,IF(Q791&lt;5240,"Pass","Fail"),"Fail"),"Fail")))</f>
        <v>Pass</v>
      </c>
      <c r="U791" s="149">
        <v>74</v>
      </c>
      <c r="X791" s="116">
        <v>4200</v>
      </c>
      <c r="Y791" s="116">
        <v>5500</v>
      </c>
      <c r="Z791" s="116">
        <v>3200</v>
      </c>
      <c r="AA791" s="116">
        <v>5240</v>
      </c>
      <c r="AB791" s="31">
        <v>16</v>
      </c>
      <c r="AC791" s="31">
        <v>16</v>
      </c>
    </row>
    <row r="792" spans="1:29" ht="15.6" x14ac:dyDescent="0.3">
      <c r="A792"/>
      <c r="B792" s="24"/>
      <c r="C792" s="6"/>
      <c r="D792" s="6"/>
      <c r="E792" s="61" t="s">
        <v>187</v>
      </c>
      <c r="F792" s="11">
        <v>26076.77</v>
      </c>
      <c r="G792" s="11">
        <v>26229.19</v>
      </c>
      <c r="H792" s="11">
        <v>26370.59</v>
      </c>
      <c r="I792" s="11">
        <v>26298.33</v>
      </c>
      <c r="J792" s="11">
        <v>26175.34</v>
      </c>
      <c r="K792" s="11">
        <v>26203.89</v>
      </c>
      <c r="L792" s="11">
        <v>26288.34</v>
      </c>
      <c r="M792" s="11">
        <v>26246.87</v>
      </c>
      <c r="N792" s="11">
        <v>26073.31</v>
      </c>
      <c r="O792" s="61"/>
      <c r="P792" s="61"/>
      <c r="Q792" s="62"/>
      <c r="R792" s="62"/>
      <c r="S792" s="139"/>
      <c r="T792" s="5"/>
      <c r="U792" s="140"/>
      <c r="X792" s="118"/>
      <c r="Y792" s="118"/>
      <c r="Z792" s="118"/>
      <c r="AA792" s="118"/>
    </row>
    <row r="793" spans="1:29" ht="23.4" thickBot="1" x14ac:dyDescent="0.35">
      <c r="A793"/>
      <c r="B793" s="63"/>
      <c r="C793" s="64"/>
      <c r="D793" s="64"/>
      <c r="E793" s="65" t="s">
        <v>188</v>
      </c>
      <c r="F793" s="53">
        <f t="shared" ref="F793:N793" si="259">IF(((F791="")*AND(F792="")),"",(F791-F792)*3)</f>
        <v>4372.1999999999935</v>
      </c>
      <c r="G793" s="53">
        <f t="shared" si="259"/>
        <v>4032.2400000000052</v>
      </c>
      <c r="H793" s="53">
        <f t="shared" si="259"/>
        <v>3885.7799999999952</v>
      </c>
      <c r="I793" s="53">
        <f t="shared" si="259"/>
        <v>3929.6399999999921</v>
      </c>
      <c r="J793" s="53">
        <f t="shared" si="259"/>
        <v>4239.6000000000022</v>
      </c>
      <c r="K793" s="53">
        <f t="shared" si="259"/>
        <v>4290.1499999999978</v>
      </c>
      <c r="L793" s="53">
        <f t="shared" si="259"/>
        <v>3932.8199999999961</v>
      </c>
      <c r="M793" s="53">
        <f t="shared" si="259"/>
        <v>4049.7600000000057</v>
      </c>
      <c r="N793" s="53">
        <f t="shared" si="259"/>
        <v>4449.6299999999974</v>
      </c>
      <c r="O793" s="65"/>
      <c r="P793" s="65"/>
      <c r="Q793" s="66"/>
      <c r="R793" s="66"/>
      <c r="S793" s="142"/>
      <c r="T793" s="143"/>
      <c r="U793" s="144"/>
      <c r="X793" s="118"/>
      <c r="Y793" s="118"/>
      <c r="Z793" s="118"/>
      <c r="AA793" s="118"/>
    </row>
    <row r="794" spans="1:29" x14ac:dyDescent="0.25">
      <c r="A794" s="207">
        <v>43465</v>
      </c>
      <c r="B794" s="219" t="s">
        <v>174</v>
      </c>
      <c r="C794" s="39" t="s">
        <v>176</v>
      </c>
      <c r="D794" s="39" t="s">
        <v>175</v>
      </c>
      <c r="E794" s="41" t="s">
        <v>186</v>
      </c>
      <c r="F794" s="11">
        <v>3197.81</v>
      </c>
      <c r="G794" s="11">
        <v>3042.46</v>
      </c>
      <c r="H794" s="11">
        <v>3060.52</v>
      </c>
      <c r="I794" s="11">
        <v>3041.89</v>
      </c>
      <c r="J794" s="11">
        <v>3231.15</v>
      </c>
      <c r="K794" s="11">
        <v>3300.36</v>
      </c>
      <c r="L794" s="11">
        <v>3078.05</v>
      </c>
      <c r="M794" s="11">
        <v>3038.16</v>
      </c>
      <c r="N794" s="11">
        <v>3189.25</v>
      </c>
      <c r="O794" s="59">
        <f>IF((N795=""),"",MAX(F796:N796))</f>
        <v>3834.24</v>
      </c>
      <c r="P794" s="59">
        <f>IF(N795="","",MIN(F796:N796))</f>
        <v>3628.26</v>
      </c>
      <c r="Q794" s="60">
        <f>IF((N796=""),"",AVERAGE(F796:N796))</f>
        <v>3771.1600000000003</v>
      </c>
      <c r="R794" s="60">
        <f>IF((N795=""),"",(O794-P794)/(O794+P794)*100)</f>
        <v>2.7602010050251198</v>
      </c>
      <c r="S794" s="113">
        <f>STDEV(F796:N796)</f>
        <v>70.735963271874624</v>
      </c>
      <c r="T794" s="137" t="str">
        <f>IF(N795="","",IF(Q794&gt;3650,IF(R794&lt;7,IF(Q794&lt;4450,"Pass","Fail"),"Fail"),"Fail"))</f>
        <v>Pass</v>
      </c>
      <c r="U794" s="149">
        <v>121</v>
      </c>
      <c r="V794" s="11" t="s">
        <v>218</v>
      </c>
      <c r="X794" s="116">
        <v>3650</v>
      </c>
      <c r="Y794" s="116">
        <v>4450</v>
      </c>
      <c r="Z794" s="116">
        <v>3700</v>
      </c>
      <c r="AA794" s="116">
        <v>4100</v>
      </c>
      <c r="AB794" s="31">
        <v>7</v>
      </c>
      <c r="AC794" s="31">
        <v>6.5</v>
      </c>
    </row>
    <row r="795" spans="1:29" ht="15.6" x14ac:dyDescent="0.3">
      <c r="A795"/>
      <c r="B795" s="24"/>
      <c r="C795" s="6"/>
      <c r="D795" s="6"/>
      <c r="E795" s="61" t="s">
        <v>187</v>
      </c>
      <c r="F795" s="11">
        <v>1350.41</v>
      </c>
      <c r="G795" s="11">
        <v>1143.73</v>
      </c>
      <c r="H795" s="11">
        <v>1146.55</v>
      </c>
      <c r="I795" s="11">
        <v>1137.44</v>
      </c>
      <c r="J795" s="11">
        <v>1365.42</v>
      </c>
      <c r="K795" s="11">
        <v>1486.23</v>
      </c>
      <c r="L795" s="11">
        <v>1176.56</v>
      </c>
      <c r="M795" s="11">
        <v>1121.04</v>
      </c>
      <c r="N795" s="11">
        <v>1282.05</v>
      </c>
      <c r="O795" s="61"/>
      <c r="P795" s="61"/>
      <c r="Q795" s="62"/>
      <c r="R795" s="62"/>
      <c r="S795" s="139"/>
      <c r="T795" s="8"/>
      <c r="U795" s="146"/>
      <c r="X795" s="116">
        <v>3650</v>
      </c>
      <c r="Y795" s="116">
        <v>4450</v>
      </c>
      <c r="Z795" s="116">
        <v>3700</v>
      </c>
      <c r="AA795" s="116">
        <v>4100</v>
      </c>
      <c r="AB795" s="31">
        <v>7</v>
      </c>
      <c r="AC795" s="31">
        <v>6.5</v>
      </c>
    </row>
    <row r="796" spans="1:29" ht="23.4" thickBot="1" x14ac:dyDescent="0.35">
      <c r="A796"/>
      <c r="B796" s="24"/>
      <c r="C796" s="6"/>
      <c r="D796" s="6"/>
      <c r="E796" s="61" t="s">
        <v>188</v>
      </c>
      <c r="F796" s="40">
        <f t="shared" ref="F796:N796" si="260">IF(((F794="")*AND(F795="")),"",(F794-F795)*2)</f>
        <v>3694.7999999999997</v>
      </c>
      <c r="G796" s="40">
        <f t="shared" si="260"/>
        <v>3797.46</v>
      </c>
      <c r="H796" s="40">
        <f t="shared" si="260"/>
        <v>3827.94</v>
      </c>
      <c r="I796" s="40">
        <f t="shared" si="260"/>
        <v>3808.8999999999996</v>
      </c>
      <c r="J796" s="40">
        <f t="shared" si="260"/>
        <v>3731.46</v>
      </c>
      <c r="K796" s="40">
        <f t="shared" si="260"/>
        <v>3628.26</v>
      </c>
      <c r="L796" s="40">
        <f t="shared" si="260"/>
        <v>3802.9800000000005</v>
      </c>
      <c r="M796" s="40">
        <f t="shared" si="260"/>
        <v>3834.24</v>
      </c>
      <c r="N796" s="40">
        <f t="shared" si="260"/>
        <v>3814.4</v>
      </c>
      <c r="O796" s="61"/>
      <c r="P796" s="61"/>
      <c r="Q796" s="62"/>
      <c r="R796" s="62"/>
      <c r="S796" s="139"/>
      <c r="T796" s="8"/>
      <c r="U796" s="146"/>
      <c r="X796" s="118"/>
      <c r="Y796" s="118"/>
      <c r="Z796" s="118"/>
      <c r="AA796" s="118"/>
    </row>
    <row r="797" spans="1:29" x14ac:dyDescent="0.25">
      <c r="A797" s="207">
        <v>43465</v>
      </c>
      <c r="B797" s="215" t="s">
        <v>169</v>
      </c>
      <c r="C797" s="6" t="s">
        <v>171</v>
      </c>
      <c r="D797" s="6" t="s">
        <v>189</v>
      </c>
      <c r="E797" s="61" t="s">
        <v>186</v>
      </c>
      <c r="F797" s="11">
        <v>1281.1600000000001</v>
      </c>
      <c r="G797" s="11">
        <v>1250.76</v>
      </c>
      <c r="H797" s="11">
        <v>1243.26</v>
      </c>
      <c r="I797" s="11">
        <v>1249.0999999999999</v>
      </c>
      <c r="J797" s="11">
        <v>1269.3800000000001</v>
      </c>
      <c r="K797" s="11">
        <v>1279.43</v>
      </c>
      <c r="L797" s="11">
        <v>1246.26</v>
      </c>
      <c r="M797" s="11">
        <v>1254.8699999999999</v>
      </c>
      <c r="N797" s="11">
        <v>1276.83</v>
      </c>
      <c r="O797" s="61">
        <f>IF((N798=""),"",MAX(F799:N799))</f>
        <v>2050.4400000000005</v>
      </c>
      <c r="P797" s="61">
        <f>IF(N798="","",MIN(F799:N799))</f>
        <v>1950.54</v>
      </c>
      <c r="Q797" s="62">
        <f>IF((N799=""),"",AVERAGE(F799:N799))</f>
        <v>1998.5366666666669</v>
      </c>
      <c r="R797" s="62">
        <f>IF((N798=""),"",(O797-P797)/(O797+P797)*100)</f>
        <v>2.4968882623757316</v>
      </c>
      <c r="S797" s="139">
        <f>STDEV(F799:N799)</f>
        <v>32.020241254556446</v>
      </c>
      <c r="T797" s="5" t="str">
        <f>IF(N798="","",IF(Q797&gt;1940,IF(R797&lt;8.3,IF(Q797&lt;2180,"Pass","Fail"),"Fail"),"Fail"))</f>
        <v>Pass</v>
      </c>
      <c r="U797" s="149">
        <v>121</v>
      </c>
      <c r="V797" s="11" t="s">
        <v>218</v>
      </c>
      <c r="X797" s="116">
        <v>2000</v>
      </c>
      <c r="Y797" s="116">
        <v>3000</v>
      </c>
      <c r="Z797" s="116">
        <v>1940</v>
      </c>
      <c r="AA797" s="116">
        <v>2180</v>
      </c>
      <c r="AB797" s="31">
        <v>5.2</v>
      </c>
      <c r="AC797" s="31">
        <v>5.2</v>
      </c>
    </row>
    <row r="798" spans="1:29" ht="15.6" x14ac:dyDescent="0.3">
      <c r="A798"/>
      <c r="B798" s="24"/>
      <c r="C798" s="6"/>
      <c r="D798" s="6"/>
      <c r="E798" s="61" t="s">
        <v>187</v>
      </c>
      <c r="F798" s="11">
        <v>597.67999999999995</v>
      </c>
      <c r="G798" s="11">
        <v>583.76</v>
      </c>
      <c r="H798" s="11">
        <v>577.79999999999995</v>
      </c>
      <c r="I798" s="11">
        <v>585.91</v>
      </c>
      <c r="J798" s="11">
        <v>616.38</v>
      </c>
      <c r="K798" s="11">
        <v>614.07000000000005</v>
      </c>
      <c r="L798" s="11">
        <v>596.08000000000004</v>
      </c>
      <c r="M798" s="11">
        <v>575.89</v>
      </c>
      <c r="N798" s="11">
        <v>607.87</v>
      </c>
      <c r="O798" s="61"/>
      <c r="P798" s="61"/>
      <c r="Q798" s="62"/>
      <c r="R798" s="62"/>
      <c r="S798" s="139"/>
      <c r="T798" s="5"/>
      <c r="U798" s="140"/>
      <c r="X798" s="118"/>
      <c r="Y798" s="118"/>
      <c r="Z798" s="118"/>
      <c r="AA798" s="118"/>
    </row>
    <row r="799" spans="1:29" ht="26.7" customHeight="1" thickBot="1" x14ac:dyDescent="0.35">
      <c r="A799"/>
      <c r="B799" s="24"/>
      <c r="C799" s="6"/>
      <c r="D799" s="6"/>
      <c r="E799" s="61" t="s">
        <v>190</v>
      </c>
      <c r="F799" s="40">
        <f t="shared" ref="F799:N799" si="261">IF(((F797="")*AND(F798="")),"",(F797-F798)*3)</f>
        <v>2050.4400000000005</v>
      </c>
      <c r="G799" s="40">
        <f t="shared" si="261"/>
        <v>2001</v>
      </c>
      <c r="H799" s="40">
        <f t="shared" si="261"/>
        <v>1996.38</v>
      </c>
      <c r="I799" s="40">
        <f t="shared" si="261"/>
        <v>1989.5699999999997</v>
      </c>
      <c r="J799" s="40">
        <f t="shared" si="261"/>
        <v>1959.0000000000005</v>
      </c>
      <c r="K799" s="40">
        <f t="shared" si="261"/>
        <v>1996.08</v>
      </c>
      <c r="L799" s="40">
        <f t="shared" si="261"/>
        <v>1950.54</v>
      </c>
      <c r="M799" s="40">
        <f t="shared" si="261"/>
        <v>2036.9399999999996</v>
      </c>
      <c r="N799" s="40">
        <f t="shared" si="261"/>
        <v>2006.8799999999997</v>
      </c>
      <c r="O799" s="61"/>
      <c r="P799" s="61"/>
      <c r="Q799" s="62"/>
      <c r="R799" s="62"/>
      <c r="S799" s="139"/>
      <c r="T799" s="5"/>
      <c r="U799" s="140"/>
      <c r="X799" s="118"/>
      <c r="Y799" s="118"/>
      <c r="Z799" s="118"/>
      <c r="AA799" s="118"/>
    </row>
    <row r="800" spans="1:29" x14ac:dyDescent="0.25">
      <c r="A800" s="207">
        <v>43465</v>
      </c>
      <c r="B800" s="218" t="s">
        <v>185</v>
      </c>
      <c r="C800" s="6" t="s">
        <v>173</v>
      </c>
      <c r="D800" s="6" t="s">
        <v>172</v>
      </c>
      <c r="E800" s="61" t="s">
        <v>186</v>
      </c>
      <c r="F800" s="11">
        <v>26036.93</v>
      </c>
      <c r="G800" s="11">
        <v>26219.77</v>
      </c>
      <c r="H800" s="11">
        <v>26322.240000000002</v>
      </c>
      <c r="I800" s="11">
        <v>26248.32</v>
      </c>
      <c r="J800" s="11">
        <v>26149.84</v>
      </c>
      <c r="K800" s="11">
        <v>26154.06</v>
      </c>
      <c r="L800" s="11">
        <v>26249.54</v>
      </c>
      <c r="M800" s="11">
        <v>26216.44</v>
      </c>
      <c r="N800" s="11">
        <v>26016.959999999999</v>
      </c>
      <c r="O800" s="61">
        <f>IF((N801=""),"",MAX(F802:N802))</f>
        <v>4442.5200000000004</v>
      </c>
      <c r="P800" s="61">
        <f>IF(N801="","",MIN(F802:N802))</f>
        <v>3870.7200000000048</v>
      </c>
      <c r="Q800" s="62">
        <f>IF((N802=""),"",AVERAGE(F802:N802))</f>
        <v>4177.7000000000007</v>
      </c>
      <c r="R800" s="62">
        <f>IF((N801=""),"",(O800-P800)/(O800+P800)*100)</f>
        <v>6.8781846788977017</v>
      </c>
      <c r="S800" s="139">
        <f>STDEV(F802:N802)</f>
        <v>214.11617004560765</v>
      </c>
      <c r="T800" s="5" t="str">
        <f>IF(N801="","",IF(R800&lt;16,IF(Q800&gt;3200,IF(R800,IF(Q800&lt;5240,"Pass","Fail"),"Fail"),"Fail")))</f>
        <v>Pass</v>
      </c>
      <c r="U800" s="149">
        <v>121</v>
      </c>
      <c r="V800" s="11" t="s">
        <v>218</v>
      </c>
      <c r="X800" s="116">
        <v>4200</v>
      </c>
      <c r="Y800" s="116">
        <v>5500</v>
      </c>
      <c r="Z800" s="116">
        <v>3200</v>
      </c>
      <c r="AA800" s="116">
        <v>5240</v>
      </c>
      <c r="AB800" s="31">
        <v>16</v>
      </c>
      <c r="AC800" s="31">
        <v>16</v>
      </c>
    </row>
    <row r="801" spans="1:29" ht="15.6" x14ac:dyDescent="0.3">
      <c r="A801"/>
      <c r="B801" s="24"/>
      <c r="C801" s="6"/>
      <c r="D801" s="6"/>
      <c r="E801" s="61" t="s">
        <v>187</v>
      </c>
      <c r="F801" s="11">
        <v>24575</v>
      </c>
      <c r="G801" s="11">
        <v>24866</v>
      </c>
      <c r="H801" s="11">
        <v>25032</v>
      </c>
      <c r="I801" s="128">
        <v>24945</v>
      </c>
      <c r="J801" s="128">
        <v>24669</v>
      </c>
      <c r="K801" s="128">
        <v>24721</v>
      </c>
      <c r="L801" s="128">
        <v>24906</v>
      </c>
      <c r="M801" s="128">
        <v>24804</v>
      </c>
      <c r="N801" s="128">
        <v>24563</v>
      </c>
      <c r="O801" s="61"/>
      <c r="P801" s="61"/>
      <c r="Q801" s="62"/>
      <c r="R801" s="62"/>
      <c r="S801" s="139"/>
      <c r="T801" s="5"/>
      <c r="U801" s="140"/>
      <c r="X801" s="118"/>
      <c r="Y801" s="118"/>
      <c r="Z801" s="118"/>
      <c r="AA801" s="118"/>
    </row>
    <row r="802" spans="1:29" ht="23.4" thickBot="1" x14ac:dyDescent="0.35">
      <c r="A802"/>
      <c r="B802" s="63"/>
      <c r="C802" s="64"/>
      <c r="D802" s="64"/>
      <c r="E802" s="65" t="s">
        <v>188</v>
      </c>
      <c r="F802" s="53">
        <f t="shared" ref="F802:N802" si="262">IF(((F800="")*AND(F801="")),"",(F800-F801)*3)</f>
        <v>4385.7900000000009</v>
      </c>
      <c r="G802" s="53">
        <f t="shared" si="262"/>
        <v>4061.3100000000013</v>
      </c>
      <c r="H802" s="53">
        <f t="shared" si="262"/>
        <v>3870.7200000000048</v>
      </c>
      <c r="I802" s="53">
        <f t="shared" si="262"/>
        <v>3909.9599999999991</v>
      </c>
      <c r="J802" s="53">
        <f t="shared" si="262"/>
        <v>4442.5200000000004</v>
      </c>
      <c r="K802" s="53">
        <f t="shared" si="262"/>
        <v>4299.1800000000039</v>
      </c>
      <c r="L802" s="53">
        <f t="shared" si="262"/>
        <v>4030.6200000000026</v>
      </c>
      <c r="M802" s="53">
        <f t="shared" si="262"/>
        <v>4237.3199999999961</v>
      </c>
      <c r="N802" s="53">
        <f t="shared" si="262"/>
        <v>4361.8799999999974</v>
      </c>
      <c r="O802" s="65"/>
      <c r="P802" s="65"/>
      <c r="Q802" s="66"/>
      <c r="R802" s="66"/>
      <c r="S802" s="142"/>
      <c r="T802" s="143"/>
      <c r="U802" s="144"/>
      <c r="X802" s="118"/>
      <c r="Y802" s="118"/>
      <c r="Z802" s="118"/>
      <c r="AA802" s="118"/>
    </row>
    <row r="803" spans="1:29" x14ac:dyDescent="0.25">
      <c r="A803" s="207">
        <v>43476</v>
      </c>
      <c r="B803" s="219" t="s">
        <v>174</v>
      </c>
      <c r="C803" s="39" t="s">
        <v>176</v>
      </c>
      <c r="D803" s="39" t="s">
        <v>175</v>
      </c>
      <c r="E803" s="41" t="s">
        <v>186</v>
      </c>
      <c r="F803" s="11">
        <v>6939.81</v>
      </c>
      <c r="G803" s="11">
        <v>6922.94</v>
      </c>
      <c r="H803" s="11">
        <v>6939.67</v>
      </c>
      <c r="I803" s="11">
        <v>6890.16</v>
      </c>
      <c r="J803" s="11">
        <v>6970.1</v>
      </c>
      <c r="K803" s="11">
        <v>6913.96</v>
      </c>
      <c r="L803" s="11">
        <v>6895.81</v>
      </c>
      <c r="M803" s="11">
        <v>6925.93</v>
      </c>
      <c r="N803" s="11">
        <v>7019.46</v>
      </c>
      <c r="O803" s="59">
        <f>IF((N804=""),"",MAX(F805:N805))</f>
        <v>3749.1400000000012</v>
      </c>
      <c r="P803" s="59">
        <f>IF(N804="","",MIN(F805:N805))</f>
        <v>3473.2000000000007</v>
      </c>
      <c r="Q803" s="60">
        <f>IF((N805=""),"",AVERAGE(F805:N805))</f>
        <v>3653.4066666666672</v>
      </c>
      <c r="R803" s="60">
        <f>IF((N804=""),"",(O803-P803)/(O803+P803)*100)</f>
        <v>3.8206453863983199</v>
      </c>
      <c r="S803" s="113">
        <f>STDEV(F805:N805)</f>
        <v>91.456127186755424</v>
      </c>
      <c r="T803" s="137" t="str">
        <f>IF(N804="","",IF(Q803&gt;3650,IF(R803&lt;7,IF(Q803&lt;4450,"Pass","Fail"),"Fail"),"Fail"))</f>
        <v>Pass</v>
      </c>
      <c r="U803" s="149">
        <v>74</v>
      </c>
      <c r="V803" s="127"/>
      <c r="W803" s="11"/>
      <c r="X803" s="116">
        <v>3650</v>
      </c>
      <c r="Y803" s="116">
        <v>4450</v>
      </c>
      <c r="Z803" s="116">
        <v>3700</v>
      </c>
      <c r="AA803" s="116">
        <v>4100</v>
      </c>
      <c r="AB803" s="31">
        <v>7</v>
      </c>
      <c r="AC803" s="31">
        <v>6.5</v>
      </c>
    </row>
    <row r="804" spans="1:29" ht="15.6" x14ac:dyDescent="0.3">
      <c r="A804"/>
      <c r="B804" s="24"/>
      <c r="C804" s="6"/>
      <c r="D804" s="6"/>
      <c r="E804" s="61" t="s">
        <v>187</v>
      </c>
      <c r="F804" s="11">
        <v>5155.21</v>
      </c>
      <c r="G804" s="11">
        <v>5070.25</v>
      </c>
      <c r="H804" s="11">
        <v>5075.22</v>
      </c>
      <c r="I804" s="11">
        <v>5036.9399999999996</v>
      </c>
      <c r="J804" s="11">
        <v>5179.3100000000004</v>
      </c>
      <c r="K804" s="11">
        <v>5177.3599999999997</v>
      </c>
      <c r="L804" s="11">
        <v>5052.92</v>
      </c>
      <c r="M804" s="11">
        <v>5051.3599999999997</v>
      </c>
      <c r="N804" s="11">
        <v>5178.9399999999996</v>
      </c>
      <c r="O804" s="61"/>
      <c r="P804" s="61"/>
      <c r="Q804" s="62"/>
      <c r="R804" s="62"/>
      <c r="S804" s="139"/>
      <c r="T804" s="8"/>
      <c r="U804" s="146"/>
      <c r="V804" s="127"/>
      <c r="W804" s="11"/>
      <c r="X804" s="118"/>
      <c r="Y804" s="118"/>
      <c r="Z804" s="118"/>
      <c r="AA804" s="118"/>
    </row>
    <row r="805" spans="1:29" ht="23.4" thickBot="1" x14ac:dyDescent="0.35">
      <c r="A805"/>
      <c r="B805" s="24"/>
      <c r="C805" s="6"/>
      <c r="D805" s="6"/>
      <c r="E805" s="61" t="s">
        <v>188</v>
      </c>
      <c r="F805" s="40">
        <f t="shared" ref="F805:N805" si="263">IF(((F803="")*AND(F804="")),"",(F803-F804)*2)</f>
        <v>3569.2000000000007</v>
      </c>
      <c r="G805" s="40">
        <f t="shared" si="263"/>
        <v>3705.3799999999992</v>
      </c>
      <c r="H805" s="40">
        <f t="shared" si="263"/>
        <v>3728.8999999999996</v>
      </c>
      <c r="I805" s="40">
        <f t="shared" si="263"/>
        <v>3706.4400000000005</v>
      </c>
      <c r="J805" s="40">
        <f t="shared" si="263"/>
        <v>3581.58</v>
      </c>
      <c r="K805" s="40">
        <f t="shared" si="263"/>
        <v>3473.2000000000007</v>
      </c>
      <c r="L805" s="40">
        <f t="shared" si="263"/>
        <v>3685.7800000000007</v>
      </c>
      <c r="M805" s="40">
        <f t="shared" si="263"/>
        <v>3749.1400000000012</v>
      </c>
      <c r="N805" s="40">
        <f t="shared" si="263"/>
        <v>3681.0400000000009</v>
      </c>
      <c r="O805" s="61"/>
      <c r="P805" s="61"/>
      <c r="Q805" s="62"/>
      <c r="R805" s="62"/>
      <c r="S805" s="139"/>
      <c r="T805" s="8"/>
      <c r="U805" s="146"/>
      <c r="V805" s="127"/>
      <c r="W805" s="11"/>
      <c r="X805" s="118"/>
      <c r="Y805" s="118"/>
      <c r="Z805" s="118"/>
      <c r="AA805" s="118"/>
    </row>
    <row r="806" spans="1:29" x14ac:dyDescent="0.25">
      <c r="A806" s="207">
        <v>43477</v>
      </c>
      <c r="B806" s="215" t="s">
        <v>169</v>
      </c>
      <c r="C806" s="6" t="s">
        <v>171</v>
      </c>
      <c r="D806" s="6" t="s">
        <v>189</v>
      </c>
      <c r="E806" s="61" t="s">
        <v>186</v>
      </c>
      <c r="F806" s="11">
        <v>1922.45</v>
      </c>
      <c r="G806" s="11">
        <v>1919.41</v>
      </c>
      <c r="H806" s="11">
        <v>1915.35</v>
      </c>
      <c r="I806" s="11">
        <v>1919.27</v>
      </c>
      <c r="J806" s="11">
        <v>1928.33</v>
      </c>
      <c r="K806" s="11">
        <v>1925.87</v>
      </c>
      <c r="L806" s="11">
        <v>1917.61</v>
      </c>
      <c r="M806" s="11">
        <v>1920.38</v>
      </c>
      <c r="N806" s="11">
        <v>1923.01</v>
      </c>
      <c r="O806" s="61">
        <f>IF((N807=""),"",MAX(F808:N808))</f>
        <v>2001.9899999999998</v>
      </c>
      <c r="P806" s="61">
        <f>IF(N807="","",MIN(F808:N808))</f>
        <v>1945.0799999999997</v>
      </c>
      <c r="Q806" s="62">
        <f>IF((N808=""),"",AVERAGE(F808:N808))</f>
        <v>1974.0133333333335</v>
      </c>
      <c r="R806" s="62">
        <f>IF((N807=""),"",(O806-P806)/(O806+P806)*100)</f>
        <v>1.4418290022725739</v>
      </c>
      <c r="S806" s="139">
        <f>STDEV(F808:N808)</f>
        <v>18.393927666488231</v>
      </c>
      <c r="T806" s="5" t="str">
        <f>IF(N807="","",IF(Q806&gt;1940,IF(R806&lt;8.3,IF(Q806&lt;2180,"Pass","Fail"),"Fail"),"Fail"))</f>
        <v>Pass</v>
      </c>
      <c r="U806" s="149">
        <v>74</v>
      </c>
      <c r="V806" s="127"/>
      <c r="W806" s="11"/>
      <c r="X806" s="116">
        <v>2000</v>
      </c>
      <c r="Y806" s="116">
        <v>3000</v>
      </c>
      <c r="Z806" s="116">
        <v>1940</v>
      </c>
      <c r="AA806" s="116">
        <v>2180</v>
      </c>
      <c r="AB806" s="31">
        <v>5.2</v>
      </c>
      <c r="AC806" s="31">
        <v>5.2</v>
      </c>
    </row>
    <row r="807" spans="1:29" ht="15.6" x14ac:dyDescent="0.3">
      <c r="A807"/>
      <c r="B807" s="24"/>
      <c r="C807" s="6"/>
      <c r="D807" s="6"/>
      <c r="E807" s="61" t="s">
        <v>187</v>
      </c>
      <c r="F807" s="11">
        <v>1258.3599999999999</v>
      </c>
      <c r="G807" s="11">
        <v>1262.26</v>
      </c>
      <c r="H807" s="11">
        <v>1266.99</v>
      </c>
      <c r="I807" s="11">
        <v>1262.5999999999999</v>
      </c>
      <c r="J807" s="11">
        <v>1266.17</v>
      </c>
      <c r="K807" s="11">
        <v>1258.54</v>
      </c>
      <c r="L807" s="11">
        <v>1265.06</v>
      </c>
      <c r="M807" s="11">
        <v>1259.54</v>
      </c>
      <c r="N807" s="11">
        <v>1270.1199999999999</v>
      </c>
      <c r="O807" s="61"/>
      <c r="P807" s="61"/>
      <c r="Q807" s="62"/>
      <c r="R807" s="62"/>
      <c r="S807" s="139"/>
      <c r="T807" s="5"/>
      <c r="U807" s="140"/>
      <c r="V807" s="173"/>
      <c r="W807" s="11"/>
      <c r="X807" s="118"/>
      <c r="Y807" s="118"/>
      <c r="Z807" s="118"/>
      <c r="AA807" s="118"/>
    </row>
    <row r="808" spans="1:29" ht="16.2" thickBot="1" x14ac:dyDescent="0.35">
      <c r="A808"/>
      <c r="B808" s="24"/>
      <c r="C808" s="6"/>
      <c r="D808" s="6"/>
      <c r="E808" s="61" t="s">
        <v>190</v>
      </c>
      <c r="F808" s="40">
        <f t="shared" ref="F808:N808" si="264">IF(((F806="")*AND(F807="")),"",(F806-F807)*3)</f>
        <v>1992.2700000000004</v>
      </c>
      <c r="G808" s="40">
        <f t="shared" si="264"/>
        <v>1971.4500000000003</v>
      </c>
      <c r="H808" s="40">
        <f t="shared" si="264"/>
        <v>1945.0799999999997</v>
      </c>
      <c r="I808" s="40">
        <f t="shared" si="264"/>
        <v>1970.0100000000002</v>
      </c>
      <c r="J808" s="40">
        <f t="shared" si="264"/>
        <v>1986.4799999999996</v>
      </c>
      <c r="K808" s="40">
        <f t="shared" si="264"/>
        <v>2001.9899999999998</v>
      </c>
      <c r="L808" s="40">
        <f t="shared" si="264"/>
        <v>1957.6499999999999</v>
      </c>
      <c r="M808" s="40">
        <f t="shared" si="264"/>
        <v>1982.5200000000004</v>
      </c>
      <c r="N808" s="40">
        <f t="shared" si="264"/>
        <v>1958.6700000000003</v>
      </c>
      <c r="O808" s="61"/>
      <c r="P808" s="61"/>
      <c r="Q808" s="62"/>
      <c r="R808" s="62"/>
      <c r="S808" s="139"/>
      <c r="T808" s="5"/>
      <c r="U808" s="140"/>
      <c r="V808" s="173"/>
      <c r="W808" s="11"/>
      <c r="X808" s="118"/>
      <c r="Y808" s="118"/>
      <c r="Z808" s="118"/>
      <c r="AA808" s="118"/>
    </row>
    <row r="809" spans="1:29" x14ac:dyDescent="0.25">
      <c r="A809" s="207">
        <v>43478</v>
      </c>
      <c r="B809" s="218" t="s">
        <v>185</v>
      </c>
      <c r="C809" s="6" t="s">
        <v>173</v>
      </c>
      <c r="D809" s="6" t="s">
        <v>172</v>
      </c>
      <c r="E809" s="61" t="s">
        <v>186</v>
      </c>
      <c r="F809" s="11">
        <v>24543.46</v>
      </c>
      <c r="G809" s="11">
        <v>24833.8</v>
      </c>
      <c r="H809" s="11">
        <v>25004.29</v>
      </c>
      <c r="I809" s="11">
        <v>24879.01</v>
      </c>
      <c r="J809" s="11">
        <v>24614.34</v>
      </c>
      <c r="K809" s="11">
        <v>24643.3</v>
      </c>
      <c r="L809" s="11">
        <v>24831.48</v>
      </c>
      <c r="M809" s="11">
        <v>24773.84</v>
      </c>
      <c r="N809" s="11">
        <v>24643.3</v>
      </c>
      <c r="O809" s="61">
        <f>IF((N810=""),"",MAX(F811:N811))</f>
        <v>4999.5299999999952</v>
      </c>
      <c r="P809" s="61">
        <f>IF(N810="","",MIN(F811:N811))</f>
        <v>3631.4100000000035</v>
      </c>
      <c r="Q809" s="62">
        <f>IF((N811=""),"",AVERAGE(F811:N811))</f>
        <v>4117.9166666666652</v>
      </c>
      <c r="R809" s="62">
        <f>IF((N810=""),"",(O809-P809)/(O809+P809)*100)</f>
        <v>15.85134411779009</v>
      </c>
      <c r="S809" s="139">
        <f>STDEV(F811:N811)</f>
        <v>394.61487199546747</v>
      </c>
      <c r="T809" s="5" t="str">
        <f>IF(N810="","",IF(R809&lt;16,IF(Q809&gt;3200,IF(R809,IF(Q809&lt;5240,"Pass","Fail"),"Fail"),"Fail")))</f>
        <v>Pass</v>
      </c>
      <c r="U809" s="149">
        <v>74</v>
      </c>
      <c r="V809" s="127"/>
      <c r="W809" s="11"/>
      <c r="X809" s="116">
        <v>4200</v>
      </c>
      <c r="Y809" s="116">
        <v>5500</v>
      </c>
      <c r="Z809" s="116">
        <v>3200</v>
      </c>
      <c r="AA809" s="116">
        <v>5240</v>
      </c>
      <c r="AB809" s="31">
        <v>16</v>
      </c>
      <c r="AC809" s="31">
        <v>16</v>
      </c>
    </row>
    <row r="810" spans="1:29" ht="15.6" x14ac:dyDescent="0.3">
      <c r="A810"/>
      <c r="B810" s="24"/>
      <c r="C810" s="6"/>
      <c r="D810" s="6"/>
      <c r="E810" s="61" t="s">
        <v>187</v>
      </c>
      <c r="F810" s="11">
        <v>23104.91</v>
      </c>
      <c r="G810" s="11">
        <v>23511.88</v>
      </c>
      <c r="H810" s="11">
        <v>23671.15</v>
      </c>
      <c r="I810" s="11">
        <v>23552.14</v>
      </c>
      <c r="J810" s="11">
        <v>23166.01</v>
      </c>
      <c r="K810" s="11">
        <v>23335.4</v>
      </c>
      <c r="L810" s="11">
        <v>23621.01</v>
      </c>
      <c r="M810" s="11">
        <v>23473.78</v>
      </c>
      <c r="N810" s="11">
        <v>22976.79</v>
      </c>
      <c r="O810" s="61"/>
      <c r="P810" s="61"/>
      <c r="Q810" s="62"/>
      <c r="R810" s="62"/>
      <c r="S810" s="139"/>
      <c r="T810" s="5"/>
      <c r="U810" s="140"/>
      <c r="V810" s="173"/>
      <c r="W810" s="11"/>
      <c r="X810" s="118"/>
      <c r="Y810" s="118"/>
      <c r="Z810" s="118"/>
      <c r="AA810" s="118"/>
    </row>
    <row r="811" spans="1:29" ht="23.4" thickBot="1" x14ac:dyDescent="0.35">
      <c r="A811"/>
      <c r="B811" s="63"/>
      <c r="C811" s="64"/>
      <c r="D811" s="64"/>
      <c r="E811" s="65" t="s">
        <v>188</v>
      </c>
      <c r="F811" s="53">
        <f t="shared" ref="F811:N811" si="265">IF(((F809="")*AND(F810="")),"",(F809-F810)*3)</f>
        <v>4315.6499999999978</v>
      </c>
      <c r="G811" s="53">
        <f t="shared" si="265"/>
        <v>3965.7599999999948</v>
      </c>
      <c r="H811" s="53">
        <f t="shared" si="265"/>
        <v>3999.4199999999983</v>
      </c>
      <c r="I811" s="53">
        <f t="shared" si="265"/>
        <v>3980.6099999999969</v>
      </c>
      <c r="J811" s="53">
        <f t="shared" si="265"/>
        <v>4344.9900000000052</v>
      </c>
      <c r="K811" s="53">
        <f t="shared" si="265"/>
        <v>3923.6999999999935</v>
      </c>
      <c r="L811" s="53">
        <f t="shared" si="265"/>
        <v>3631.4100000000035</v>
      </c>
      <c r="M811" s="53">
        <f t="shared" si="265"/>
        <v>3900.1800000000039</v>
      </c>
      <c r="N811" s="53">
        <f t="shared" si="265"/>
        <v>4999.5299999999952</v>
      </c>
      <c r="O811" s="65"/>
      <c r="P811" s="65"/>
      <c r="Q811" s="66"/>
      <c r="R811" s="66"/>
      <c r="S811" s="142"/>
      <c r="T811" s="143"/>
      <c r="U811" s="144"/>
      <c r="V811" s="173"/>
      <c r="W811" s="11"/>
      <c r="X811" s="118"/>
      <c r="Y811" s="118"/>
      <c r="Z811" s="118"/>
      <c r="AA811" s="118"/>
    </row>
    <row r="812" spans="1:29" x14ac:dyDescent="0.25">
      <c r="A812" s="207">
        <v>43480</v>
      </c>
      <c r="B812" s="219" t="s">
        <v>174</v>
      </c>
      <c r="C812" s="39" t="s">
        <v>176</v>
      </c>
      <c r="D812" s="39" t="s">
        <v>175</v>
      </c>
      <c r="E812" s="41" t="s">
        <v>186</v>
      </c>
      <c r="F812" s="11">
        <v>5160.83</v>
      </c>
      <c r="G812" s="11">
        <v>5075.62</v>
      </c>
      <c r="H812" s="11">
        <v>5080.17</v>
      </c>
      <c r="I812" s="11">
        <v>5042.2</v>
      </c>
      <c r="J812" s="11">
        <v>5184.54</v>
      </c>
      <c r="K812" s="11">
        <v>5182.7</v>
      </c>
      <c r="L812" s="11">
        <v>5058.43</v>
      </c>
      <c r="M812" s="11">
        <v>5056.38</v>
      </c>
      <c r="N812" s="11">
        <v>5184.5200000000004</v>
      </c>
      <c r="O812" s="59">
        <f>IF((N813=""),"",MAX(F814:N814))</f>
        <v>3845.2800000000007</v>
      </c>
      <c r="P812" s="59">
        <f>IF(N813="","",MIN(F814:N814))</f>
        <v>3563.3999999999996</v>
      </c>
      <c r="Q812" s="60">
        <f>IF((N814=""),"",AVERAGE(F814:N814))</f>
        <v>3749.4644444444452</v>
      </c>
      <c r="R812" s="60">
        <f>IF((N813=""),"",(O812-P812)/(O812+P812)*100)</f>
        <v>3.8047263480134248</v>
      </c>
      <c r="S812" s="113">
        <f>STDEV(F814:N814)</f>
        <v>94.300986091227074</v>
      </c>
      <c r="T812" s="137" t="str">
        <f>IF(N813="","",IF(Q812&gt;3650,IF(R812&lt;7,IF(Q812&lt;4450,"Pass","Fail"),"Fail"),"Fail"))</f>
        <v>Pass</v>
      </c>
      <c r="U812" s="149">
        <v>1159</v>
      </c>
      <c r="V812" s="127"/>
      <c r="W812" s="11"/>
      <c r="X812" s="116">
        <v>3650</v>
      </c>
      <c r="Y812" s="116">
        <v>4450</v>
      </c>
      <c r="Z812" s="116">
        <v>3700</v>
      </c>
      <c r="AA812" s="116">
        <v>4100</v>
      </c>
      <c r="AB812" s="31">
        <v>7</v>
      </c>
      <c r="AC812" s="31">
        <v>6.5</v>
      </c>
    </row>
    <row r="813" spans="1:29" ht="15.6" x14ac:dyDescent="0.3">
      <c r="A813"/>
      <c r="B813" s="24"/>
      <c r="C813" s="6"/>
      <c r="D813" s="6"/>
      <c r="E813" s="61" t="s">
        <v>187</v>
      </c>
      <c r="F813" s="11">
        <v>3321.24</v>
      </c>
      <c r="G813" s="11">
        <v>3172.78</v>
      </c>
      <c r="H813" s="11">
        <v>3167.34</v>
      </c>
      <c r="I813" s="11">
        <v>3140.79</v>
      </c>
      <c r="J813" s="11">
        <v>3355.33</v>
      </c>
      <c r="K813" s="11">
        <v>3401</v>
      </c>
      <c r="L813" s="11">
        <v>3163.16</v>
      </c>
      <c r="M813" s="11">
        <v>3133.74</v>
      </c>
      <c r="N813" s="11">
        <v>3297.42</v>
      </c>
      <c r="O813" s="61"/>
      <c r="P813" s="61"/>
      <c r="Q813" s="62"/>
      <c r="R813" s="62"/>
      <c r="S813" s="139"/>
      <c r="T813" s="8"/>
      <c r="U813" s="146"/>
      <c r="V813" s="127"/>
      <c r="W813" s="11"/>
      <c r="X813" s="118"/>
      <c r="Y813" s="118"/>
      <c r="Z813" s="118"/>
      <c r="AA813" s="118"/>
    </row>
    <row r="814" spans="1:29" ht="23.4" thickBot="1" x14ac:dyDescent="0.35">
      <c r="A814"/>
      <c r="B814" s="24"/>
      <c r="C814" s="6"/>
      <c r="D814" s="6"/>
      <c r="E814" s="61" t="s">
        <v>188</v>
      </c>
      <c r="F814" s="40">
        <f t="shared" ref="F814:N814" si="266">IF(((F812="")*AND(F813="")),"",(F812-F813)*2)</f>
        <v>3679.1800000000003</v>
      </c>
      <c r="G814" s="40">
        <f t="shared" si="266"/>
        <v>3805.6799999999994</v>
      </c>
      <c r="H814" s="40">
        <f t="shared" si="266"/>
        <v>3825.66</v>
      </c>
      <c r="I814" s="40">
        <f t="shared" si="266"/>
        <v>3802.8199999999997</v>
      </c>
      <c r="J814" s="40">
        <f t="shared" si="266"/>
        <v>3658.42</v>
      </c>
      <c r="K814" s="40">
        <f t="shared" si="266"/>
        <v>3563.3999999999996</v>
      </c>
      <c r="L814" s="40">
        <f t="shared" si="266"/>
        <v>3790.5400000000009</v>
      </c>
      <c r="M814" s="40">
        <f t="shared" si="266"/>
        <v>3845.2800000000007</v>
      </c>
      <c r="N814" s="40">
        <f t="shared" si="266"/>
        <v>3774.2000000000007</v>
      </c>
      <c r="O814" s="61"/>
      <c r="P814" s="61"/>
      <c r="Q814" s="62"/>
      <c r="R814" s="62"/>
      <c r="S814" s="139"/>
      <c r="T814" s="8"/>
      <c r="U814" s="146"/>
      <c r="V814" s="127"/>
      <c r="W814" s="11"/>
      <c r="X814" s="118"/>
      <c r="Y814" s="118"/>
      <c r="Z814" s="118"/>
      <c r="AA814" s="118"/>
    </row>
    <row r="815" spans="1:29" x14ac:dyDescent="0.25">
      <c r="A815" s="207">
        <v>43480</v>
      </c>
      <c r="B815" s="215" t="s">
        <v>169</v>
      </c>
      <c r="C815" s="6" t="s">
        <v>171</v>
      </c>
      <c r="D815" s="6" t="s">
        <v>189</v>
      </c>
      <c r="E815" s="61" t="s">
        <v>186</v>
      </c>
      <c r="F815" s="11">
        <v>1935.21</v>
      </c>
      <c r="G815" s="11">
        <v>1932.6</v>
      </c>
      <c r="H815" s="11">
        <v>1927.4</v>
      </c>
      <c r="I815" s="11">
        <v>1935.54</v>
      </c>
      <c r="J815" s="11">
        <v>1940.7</v>
      </c>
      <c r="K815" s="11">
        <v>1940.74</v>
      </c>
      <c r="L815" s="11">
        <v>1935.35</v>
      </c>
      <c r="M815" s="11">
        <v>1930.72</v>
      </c>
      <c r="N815" s="11">
        <v>1940.2</v>
      </c>
      <c r="O815" s="61">
        <f>IF((N816=""),"",MAX(F817:N817))</f>
        <v>2008.8600000000004</v>
      </c>
      <c r="P815" s="61">
        <f>IF(N816="","",MIN(F817:N817))</f>
        <v>1955.97</v>
      </c>
      <c r="Q815" s="62">
        <f>IF((N817=""),"",AVERAGE(F817:N817))</f>
        <v>1974.8500000000001</v>
      </c>
      <c r="R815" s="62">
        <f>IF((N816=""),"",(O815-P815)/(O815+P815)*100)</f>
        <v>1.3339790104493843</v>
      </c>
      <c r="S815" s="139">
        <f>STDEV(F817:N817)</f>
        <v>16.761411038453861</v>
      </c>
      <c r="T815" s="5" t="str">
        <f>IF(N816="","",IF(Q815&gt;1940,IF(R815&lt;8.3,IF(Q815&lt;2180,"Pass","Fail"),"Fail"),"Fail"))</f>
        <v>Pass</v>
      </c>
      <c r="U815" s="149">
        <v>1159</v>
      </c>
      <c r="V815" s="127"/>
      <c r="W815" s="11"/>
      <c r="X815" s="116">
        <v>2000</v>
      </c>
      <c r="Y815" s="116">
        <v>3000</v>
      </c>
      <c r="Z815" s="116">
        <v>1940</v>
      </c>
      <c r="AA815" s="116">
        <v>2180</v>
      </c>
      <c r="AB815" s="31">
        <v>5.2</v>
      </c>
      <c r="AC815" s="31">
        <v>5.2</v>
      </c>
    </row>
    <row r="816" spans="1:29" ht="15.6" x14ac:dyDescent="0.3">
      <c r="A816"/>
      <c r="B816" s="24"/>
      <c r="C816" s="6"/>
      <c r="D816" s="6"/>
      <c r="E816" s="61" t="s">
        <v>187</v>
      </c>
      <c r="F816" s="11">
        <v>1265.5899999999999</v>
      </c>
      <c r="G816" s="11">
        <v>1276.6600000000001</v>
      </c>
      <c r="H816" s="11">
        <v>1271.8900000000001</v>
      </c>
      <c r="I816" s="11">
        <v>1279.0899999999999</v>
      </c>
      <c r="J816" s="11">
        <v>1288.71</v>
      </c>
      <c r="K816" s="11">
        <v>1275.9000000000001</v>
      </c>
      <c r="L816" s="11">
        <v>1279.05</v>
      </c>
      <c r="M816" s="11">
        <v>1271.07</v>
      </c>
      <c r="N816" s="11">
        <v>1285.95</v>
      </c>
      <c r="O816" s="61"/>
      <c r="P816" s="61"/>
      <c r="Q816" s="62"/>
      <c r="R816" s="62"/>
      <c r="S816" s="139"/>
      <c r="T816" s="5"/>
      <c r="U816" s="140"/>
      <c r="V816" s="173"/>
      <c r="W816" s="11"/>
      <c r="X816" s="118"/>
      <c r="Y816" s="118"/>
      <c r="Z816" s="118"/>
      <c r="AA816" s="118"/>
    </row>
    <row r="817" spans="1:29" ht="16.2" thickBot="1" x14ac:dyDescent="0.35">
      <c r="A817"/>
      <c r="B817" s="24"/>
      <c r="C817" s="6"/>
      <c r="D817" s="6"/>
      <c r="E817" s="61" t="s">
        <v>190</v>
      </c>
      <c r="F817" s="40">
        <f t="shared" ref="F817:N817" si="267">IF(((F815="")*AND(F816="")),"",(F815-F816)*3)</f>
        <v>2008.8600000000004</v>
      </c>
      <c r="G817" s="40">
        <f t="shared" si="267"/>
        <v>1967.8199999999995</v>
      </c>
      <c r="H817" s="40">
        <f t="shared" si="267"/>
        <v>1966.53</v>
      </c>
      <c r="I817" s="40">
        <f t="shared" si="267"/>
        <v>1969.3500000000001</v>
      </c>
      <c r="J817" s="40">
        <f t="shared" si="267"/>
        <v>1955.97</v>
      </c>
      <c r="K817" s="40">
        <f t="shared" si="267"/>
        <v>1994.5199999999998</v>
      </c>
      <c r="L817" s="40">
        <f t="shared" si="267"/>
        <v>1968.8999999999999</v>
      </c>
      <c r="M817" s="40">
        <f t="shared" si="267"/>
        <v>1978.9500000000003</v>
      </c>
      <c r="N817" s="40">
        <f t="shared" si="267"/>
        <v>1962.75</v>
      </c>
      <c r="O817" s="61"/>
      <c r="P817" s="61"/>
      <c r="Q817" s="62"/>
      <c r="R817" s="62"/>
      <c r="S817" s="139"/>
      <c r="T817" s="5"/>
      <c r="U817" s="140"/>
      <c r="V817" s="173"/>
      <c r="W817" s="11"/>
      <c r="X817" s="118"/>
      <c r="Y817" s="118"/>
      <c r="Z817" s="118"/>
      <c r="AA817" s="118"/>
    </row>
    <row r="818" spans="1:29" x14ac:dyDescent="0.25">
      <c r="A818" s="207">
        <v>43480</v>
      </c>
      <c r="B818" s="218" t="s">
        <v>185</v>
      </c>
      <c r="C818" s="6" t="s">
        <v>173</v>
      </c>
      <c r="D818" s="6" t="s">
        <v>172</v>
      </c>
      <c r="E818" s="61" t="s">
        <v>186</v>
      </c>
      <c r="F818" s="11">
        <v>29008.16</v>
      </c>
      <c r="G818" s="11">
        <v>28940.29</v>
      </c>
      <c r="H818" s="11">
        <v>28951.41</v>
      </c>
      <c r="I818" s="11">
        <v>28949.55</v>
      </c>
      <c r="J818" s="11">
        <v>29040.33</v>
      </c>
      <c r="K818" s="11">
        <v>29008.79</v>
      </c>
      <c r="L818" s="11">
        <v>28936.06</v>
      </c>
      <c r="M818" s="11">
        <v>28946.67</v>
      </c>
      <c r="N818" s="11">
        <v>29037.42</v>
      </c>
      <c r="O818" s="61">
        <f>IF((N819=""),"",MAX(F820:N820))</f>
        <v>4374.9599999999991</v>
      </c>
      <c r="P818" s="61">
        <f>IF(N819="","",MIN(F820:N820))</f>
        <v>3938.4899999999943</v>
      </c>
      <c r="Q818" s="62">
        <f>IF((N820=""),"",AVERAGE(F820:N820))</f>
        <v>4118.0966666666673</v>
      </c>
      <c r="R818" s="62">
        <f>IF((N819=""),"",(O818-P818)/(O818+P818)*100)</f>
        <v>5.2501668982192129</v>
      </c>
      <c r="S818" s="139">
        <f>STDEV(F820:N820)</f>
        <v>175.59900184796115</v>
      </c>
      <c r="T818" s="5" t="str">
        <f>IF(N819="","",IF(R818&lt;16,IF(Q818&gt;3200,IF(R818,IF(Q818&lt;5240,"Pass","Fail"),"Fail"),"Fail")))</f>
        <v>Pass</v>
      </c>
      <c r="U818" s="149">
        <v>1159</v>
      </c>
      <c r="V818" s="127"/>
      <c r="W818" s="11"/>
      <c r="X818" s="116">
        <v>4200</v>
      </c>
      <c r="Y818" s="116">
        <v>5500</v>
      </c>
      <c r="Z818" s="116">
        <v>3200</v>
      </c>
      <c r="AA818" s="116">
        <v>5240</v>
      </c>
      <c r="AB818" s="31">
        <v>16</v>
      </c>
      <c r="AC818" s="31">
        <v>16</v>
      </c>
    </row>
    <row r="819" spans="1:29" ht="15.6" x14ac:dyDescent="0.3">
      <c r="A819"/>
      <c r="B819" s="24"/>
      <c r="C819" s="6"/>
      <c r="D819" s="6"/>
      <c r="E819" s="61" t="s">
        <v>187</v>
      </c>
      <c r="F819" s="11">
        <v>27594.22</v>
      </c>
      <c r="G819" s="11">
        <v>27617.1</v>
      </c>
      <c r="H819" s="11">
        <v>27638.58</v>
      </c>
      <c r="I819" s="11">
        <v>27615.7</v>
      </c>
      <c r="J819" s="11">
        <v>27594.37</v>
      </c>
      <c r="K819" s="11">
        <v>27599.45</v>
      </c>
      <c r="L819" s="11">
        <v>27617.71</v>
      </c>
      <c r="M819" s="11">
        <v>27608.16</v>
      </c>
      <c r="N819" s="11">
        <v>27579.1</v>
      </c>
      <c r="O819" s="61"/>
      <c r="P819" s="61"/>
      <c r="Q819" s="62"/>
      <c r="R819" s="62"/>
      <c r="S819" s="139"/>
      <c r="T819" s="5"/>
      <c r="U819" s="140"/>
      <c r="V819" s="173"/>
      <c r="W819" s="11"/>
      <c r="X819" s="118"/>
      <c r="Y819" s="118"/>
      <c r="Z819" s="118"/>
      <c r="AA819" s="118"/>
    </row>
    <row r="820" spans="1:29" ht="23.4" thickBot="1" x14ac:dyDescent="0.35">
      <c r="A820"/>
      <c r="B820" s="63"/>
      <c r="C820" s="64"/>
      <c r="D820" s="64"/>
      <c r="E820" s="65" t="s">
        <v>188</v>
      </c>
      <c r="F820" s="53">
        <f t="shared" ref="F820:N820" si="268">IF(((F818="")*AND(F819="")),"",(F818-F819)*3)</f>
        <v>4241.8199999999961</v>
      </c>
      <c r="G820" s="53">
        <f t="shared" si="268"/>
        <v>3969.570000000007</v>
      </c>
      <c r="H820" s="53">
        <f t="shared" si="268"/>
        <v>3938.4899999999943</v>
      </c>
      <c r="I820" s="53">
        <f t="shared" si="268"/>
        <v>4001.5499999999956</v>
      </c>
      <c r="J820" s="53">
        <f t="shared" si="268"/>
        <v>4337.8800000000083</v>
      </c>
      <c r="K820" s="53">
        <f t="shared" si="268"/>
        <v>4228.0200000000004</v>
      </c>
      <c r="L820" s="53">
        <f t="shared" si="268"/>
        <v>3955.0500000000065</v>
      </c>
      <c r="M820" s="53">
        <f t="shared" si="268"/>
        <v>4015.5299999999952</v>
      </c>
      <c r="N820" s="53">
        <f t="shared" si="268"/>
        <v>4374.9599999999991</v>
      </c>
      <c r="O820" s="65"/>
      <c r="P820" s="65"/>
      <c r="Q820" s="66"/>
      <c r="R820" s="66"/>
      <c r="S820" s="142"/>
      <c r="T820" s="143"/>
      <c r="U820" s="144"/>
      <c r="V820" s="173"/>
      <c r="W820" s="11"/>
      <c r="X820" s="118"/>
      <c r="Y820" s="118"/>
      <c r="Z820" s="118"/>
      <c r="AA820" s="118"/>
    </row>
    <row r="821" spans="1:29" x14ac:dyDescent="0.25">
      <c r="A821" s="207">
        <v>43486</v>
      </c>
      <c r="B821" s="219" t="s">
        <v>174</v>
      </c>
      <c r="C821" s="39" t="s">
        <v>176</v>
      </c>
      <c r="D821" s="39" t="s">
        <v>175</v>
      </c>
      <c r="E821" s="41" t="s">
        <v>186</v>
      </c>
      <c r="F821" s="11">
        <v>3329.62</v>
      </c>
      <c r="G821" s="11">
        <v>3180.47</v>
      </c>
      <c r="H821" s="11">
        <v>3175.09</v>
      </c>
      <c r="I821" s="11">
        <v>3148.09</v>
      </c>
      <c r="J821" s="11">
        <v>3363.15</v>
      </c>
      <c r="K821" s="11">
        <v>3409.82</v>
      </c>
      <c r="L821" s="11">
        <v>3170.93</v>
      </c>
      <c r="M821" s="11">
        <v>3141.27</v>
      </c>
      <c r="N821" s="11">
        <v>3305.73</v>
      </c>
      <c r="O821" s="59">
        <f>IF((N822=""),"",MAX(F823:N823))</f>
        <v>3891.4600000000005</v>
      </c>
      <c r="P821" s="59">
        <f>IF(N822="","",MIN(F823:N823))</f>
        <v>3657.7000000000003</v>
      </c>
      <c r="Q821" s="60">
        <f>IF((N823=""),"",AVERAGE(F823:N823))</f>
        <v>3825.8866666666672</v>
      </c>
      <c r="R821" s="60">
        <f>IF((N822=""),"",(O821-P821)/(O821+P821)*100)</f>
        <v>3.0965034520396997</v>
      </c>
      <c r="S821" s="113">
        <f>STDEV(F823:N823)</f>
        <v>80.488584904941604</v>
      </c>
      <c r="T821" s="137" t="str">
        <f>IF(N822="","",IF(Q821&gt;3650,IF(R821&lt;7,IF(Q821&lt;4450,"Pass","Fail"),"Fail"),"Fail"))</f>
        <v>Pass</v>
      </c>
      <c r="U821" s="149">
        <v>1428</v>
      </c>
      <c r="V821" s="127"/>
      <c r="W821" s="11"/>
      <c r="X821" s="116">
        <v>3650</v>
      </c>
      <c r="Y821" s="116">
        <v>4450</v>
      </c>
      <c r="Z821" s="116">
        <v>3700</v>
      </c>
      <c r="AA821" s="116">
        <v>4100</v>
      </c>
      <c r="AB821" s="31">
        <v>7</v>
      </c>
      <c r="AC821" s="31">
        <v>6.5</v>
      </c>
    </row>
    <row r="822" spans="1:29" ht="15.6" x14ac:dyDescent="0.3">
      <c r="A822"/>
      <c r="B822" s="24"/>
      <c r="C822" s="6"/>
      <c r="D822" s="6"/>
      <c r="E822" s="61" t="s">
        <v>187</v>
      </c>
      <c r="F822" s="11">
        <v>1447.07</v>
      </c>
      <c r="G822" s="11">
        <v>1242.52</v>
      </c>
      <c r="H822" s="11">
        <v>1229.3599999999999</v>
      </c>
      <c r="I822" s="11">
        <v>1218.54</v>
      </c>
      <c r="J822" s="11">
        <v>1483.3</v>
      </c>
      <c r="K822" s="11">
        <v>1580.97</v>
      </c>
      <c r="L822" s="11">
        <v>1240.04</v>
      </c>
      <c r="M822" s="11">
        <v>1196.0899999999999</v>
      </c>
      <c r="N822" s="11">
        <v>1369.79</v>
      </c>
      <c r="O822" s="61"/>
      <c r="P822" s="61"/>
      <c r="Q822" s="62"/>
      <c r="R822" s="62"/>
      <c r="S822" s="139"/>
      <c r="T822" s="8"/>
      <c r="U822" s="146"/>
      <c r="V822" s="127"/>
      <c r="W822" s="11"/>
      <c r="X822" s="118"/>
      <c r="Y822" s="118"/>
      <c r="Z822" s="118"/>
      <c r="AA822" s="118"/>
    </row>
    <row r="823" spans="1:29" ht="23.4" thickBot="1" x14ac:dyDescent="0.35">
      <c r="A823"/>
      <c r="B823" s="24"/>
      <c r="C823" s="6"/>
      <c r="D823" s="6"/>
      <c r="E823" s="61" t="s">
        <v>188</v>
      </c>
      <c r="F823" s="40">
        <f t="shared" ref="F823:N823" si="269">IF(((F821="")*AND(F822="")),"",(F821-F822)*2)</f>
        <v>3765.1</v>
      </c>
      <c r="G823" s="40">
        <f t="shared" si="269"/>
        <v>3875.8999999999996</v>
      </c>
      <c r="H823" s="40">
        <f t="shared" si="269"/>
        <v>3891.4600000000005</v>
      </c>
      <c r="I823" s="40">
        <f t="shared" si="269"/>
        <v>3859.1000000000004</v>
      </c>
      <c r="J823" s="40">
        <f t="shared" si="269"/>
        <v>3759.7000000000003</v>
      </c>
      <c r="K823" s="40">
        <f t="shared" si="269"/>
        <v>3657.7000000000003</v>
      </c>
      <c r="L823" s="40">
        <f t="shared" si="269"/>
        <v>3861.7799999999997</v>
      </c>
      <c r="M823" s="40">
        <f t="shared" si="269"/>
        <v>3890.36</v>
      </c>
      <c r="N823" s="40">
        <f t="shared" si="269"/>
        <v>3871.88</v>
      </c>
      <c r="O823" s="61"/>
      <c r="P823" s="61"/>
      <c r="Q823" s="62"/>
      <c r="R823" s="62"/>
      <c r="S823" s="139"/>
      <c r="T823" s="8"/>
      <c r="U823" s="146"/>
      <c r="V823" s="127"/>
      <c r="W823" s="11"/>
      <c r="X823" s="118"/>
      <c r="Y823" s="118"/>
      <c r="Z823" s="118"/>
      <c r="AA823" s="118"/>
    </row>
    <row r="824" spans="1:29" x14ac:dyDescent="0.25">
      <c r="A824" s="207">
        <v>43486</v>
      </c>
      <c r="B824" s="215" t="s">
        <v>169</v>
      </c>
      <c r="C824" s="6" t="s">
        <v>171</v>
      </c>
      <c r="D824" s="6" t="s">
        <v>189</v>
      </c>
      <c r="E824" s="61" t="s">
        <v>186</v>
      </c>
      <c r="F824" s="11">
        <v>1268.8599999999999</v>
      </c>
      <c r="G824" s="11">
        <v>1279.6300000000001</v>
      </c>
      <c r="H824" s="11">
        <v>1278.8599999999999</v>
      </c>
      <c r="I824" s="11">
        <v>1281.79</v>
      </c>
      <c r="J824" s="11">
        <v>1293.1600000000001</v>
      </c>
      <c r="K824" s="11">
        <v>1279.47</v>
      </c>
      <c r="L824" s="11">
        <v>1283.6099999999999</v>
      </c>
      <c r="M824" s="11">
        <v>1274.48</v>
      </c>
      <c r="N824" s="11">
        <v>1283.55</v>
      </c>
      <c r="O824" s="61">
        <f>IF((N825=""),"",MAX(F826:N826))</f>
        <v>2017.6799999999998</v>
      </c>
      <c r="P824" s="61">
        <f>IF(N825="","",MIN(F826:N826))</f>
        <v>1970.85</v>
      </c>
      <c r="Q824" s="62">
        <f>IF((N826=""),"",AVERAGE(F826:N826))</f>
        <v>1992.1033333333335</v>
      </c>
      <c r="R824" s="62">
        <f>IF((N825=""),"",(O824-P824)/(O824+P824)*100)</f>
        <v>1.1741167798662648</v>
      </c>
      <c r="S824" s="139">
        <f>STDEV(F826:N826)</f>
        <v>14.432284988871256</v>
      </c>
      <c r="T824" s="5" t="str">
        <f>IF(N825="","",IF(Q824&gt;1940,IF(R824&lt;8.3,IF(Q824&lt;2180,"Pass","Fail"),"Fail"),"Fail"))</f>
        <v>Pass</v>
      </c>
      <c r="U824" s="149">
        <v>1428</v>
      </c>
      <c r="V824" s="127"/>
      <c r="W824" s="11"/>
      <c r="X824" s="116">
        <v>2000</v>
      </c>
      <c r="Y824" s="116">
        <v>3000</v>
      </c>
      <c r="Z824" s="116">
        <v>1940</v>
      </c>
      <c r="AA824" s="116">
        <v>2180</v>
      </c>
      <c r="AB824" s="31">
        <v>5.2</v>
      </c>
      <c r="AC824" s="31">
        <v>5.2</v>
      </c>
    </row>
    <row r="825" spans="1:29" ht="15.6" x14ac:dyDescent="0.3">
      <c r="A825"/>
      <c r="B825" s="24"/>
      <c r="C825" s="6"/>
      <c r="D825" s="6"/>
      <c r="E825" s="61" t="s">
        <v>187</v>
      </c>
      <c r="F825" s="11">
        <v>596.29999999999995</v>
      </c>
      <c r="G825" s="11">
        <v>615.21</v>
      </c>
      <c r="H825" s="11">
        <v>614.11</v>
      </c>
      <c r="I825" s="11">
        <v>619.34</v>
      </c>
      <c r="J825" s="11">
        <v>634.20000000000005</v>
      </c>
      <c r="K825" s="11">
        <v>618.22</v>
      </c>
      <c r="L825" s="11">
        <v>626.66</v>
      </c>
      <c r="M825" s="11">
        <v>607.94000000000005</v>
      </c>
      <c r="N825" s="11">
        <v>615.12</v>
      </c>
      <c r="O825" s="61"/>
      <c r="P825" s="61"/>
      <c r="Q825" s="62"/>
      <c r="R825" s="62"/>
      <c r="S825" s="139"/>
      <c r="T825" s="5"/>
      <c r="U825" s="140"/>
      <c r="V825" s="173"/>
      <c r="W825" s="11"/>
      <c r="X825" s="118"/>
      <c r="Y825" s="118"/>
      <c r="Z825" s="118"/>
      <c r="AA825" s="118"/>
    </row>
    <row r="826" spans="1:29" ht="16.2" thickBot="1" x14ac:dyDescent="0.35">
      <c r="A826"/>
      <c r="B826" s="24"/>
      <c r="C826" s="6"/>
      <c r="D826" s="6"/>
      <c r="E826" s="61" t="s">
        <v>190</v>
      </c>
      <c r="F826" s="40">
        <f t="shared" ref="F826:N826" si="270">IF(((F824="")*AND(F825="")),"",(F824-F825)*3)</f>
        <v>2017.6799999999998</v>
      </c>
      <c r="G826" s="40">
        <f t="shared" si="270"/>
        <v>1993.2600000000002</v>
      </c>
      <c r="H826" s="40">
        <f t="shared" si="270"/>
        <v>1994.2499999999995</v>
      </c>
      <c r="I826" s="40">
        <f t="shared" si="270"/>
        <v>1987.35</v>
      </c>
      <c r="J826" s="40">
        <f t="shared" si="270"/>
        <v>1976.88</v>
      </c>
      <c r="K826" s="40">
        <f t="shared" si="270"/>
        <v>1983.75</v>
      </c>
      <c r="L826" s="40">
        <f t="shared" si="270"/>
        <v>1970.85</v>
      </c>
      <c r="M826" s="40">
        <f t="shared" si="270"/>
        <v>1999.62</v>
      </c>
      <c r="N826" s="40">
        <f t="shared" si="270"/>
        <v>2005.29</v>
      </c>
      <c r="O826" s="61"/>
      <c r="P826" s="61"/>
      <c r="Q826" s="62"/>
      <c r="R826" s="62"/>
      <c r="S826" s="139"/>
      <c r="T826" s="5"/>
      <c r="U826" s="140"/>
      <c r="V826" s="173"/>
      <c r="W826" s="11"/>
      <c r="X826" s="118"/>
      <c r="Y826" s="118"/>
      <c r="Z826" s="118"/>
      <c r="AA826" s="118"/>
    </row>
    <row r="827" spans="1:29" x14ac:dyDescent="0.25">
      <c r="A827" s="207">
        <v>43486</v>
      </c>
      <c r="B827" s="218" t="s">
        <v>185</v>
      </c>
      <c r="C827" s="6" t="s">
        <v>173</v>
      </c>
      <c r="D827" s="6" t="s">
        <v>172</v>
      </c>
      <c r="E827" s="61" t="s">
        <v>186</v>
      </c>
      <c r="F827" s="11">
        <v>27536.29</v>
      </c>
      <c r="G827" s="11">
        <v>27567.97</v>
      </c>
      <c r="H827" s="11">
        <v>27582.51</v>
      </c>
      <c r="I827" s="11">
        <v>27557.19</v>
      </c>
      <c r="J827" s="11">
        <v>27537.82</v>
      </c>
      <c r="K827" s="11">
        <v>27541.13</v>
      </c>
      <c r="L827" s="11">
        <v>27559.32</v>
      </c>
      <c r="M827" s="11">
        <v>27548.45</v>
      </c>
      <c r="N827" s="11">
        <v>27519.11</v>
      </c>
      <c r="O827" s="61">
        <f>IF((N828=""),"",MAX(F829:N829))</f>
        <v>4459.1699999999983</v>
      </c>
      <c r="P827" s="61">
        <f>IF(N828="","",MIN(F829:N829))</f>
        <v>3929.1299999999974</v>
      </c>
      <c r="Q827" s="62">
        <f>IF((N829=""),"",AVERAGE(F829:N829))</f>
        <v>4135.93</v>
      </c>
      <c r="R827" s="62">
        <f>IF((N828=""),"",(O827-P827)/(O827+P827)*100)</f>
        <v>6.318801187368134</v>
      </c>
      <c r="S827" s="139">
        <f>STDEV(F829:N829)</f>
        <v>193.64542035638326</v>
      </c>
      <c r="T827" s="5" t="str">
        <f>IF(N828="","",IF(R827&lt;16,IF(Q827&gt;3200,IF(R827,IF(Q827&lt;5240,"Pass","Fail"),"Fail"),"Fail")))</f>
        <v>Pass</v>
      </c>
      <c r="U827" s="149">
        <v>1428</v>
      </c>
      <c r="V827" s="127"/>
      <c r="W827" s="11"/>
      <c r="X827" s="116">
        <v>4200</v>
      </c>
      <c r="Y827" s="116">
        <v>5500</v>
      </c>
      <c r="Z827" s="116">
        <v>3200</v>
      </c>
      <c r="AA827" s="116">
        <v>5240</v>
      </c>
      <c r="AB827" s="31">
        <v>16</v>
      </c>
      <c r="AC827" s="31">
        <v>16</v>
      </c>
    </row>
    <row r="828" spans="1:29" ht="15.6" x14ac:dyDescent="0.3">
      <c r="A828"/>
      <c r="B828" s="24"/>
      <c r="C828" s="6"/>
      <c r="D828" s="6"/>
      <c r="E828" s="61" t="s">
        <v>187</v>
      </c>
      <c r="F828" s="11">
        <v>26086.14</v>
      </c>
      <c r="G828" s="11">
        <v>26226.66</v>
      </c>
      <c r="H828" s="11">
        <v>26272.799999999999</v>
      </c>
      <c r="I828" s="11">
        <v>26231.17</v>
      </c>
      <c r="J828" s="11">
        <v>26107.87</v>
      </c>
      <c r="K828" s="11">
        <v>26143.88</v>
      </c>
      <c r="L828" s="11">
        <v>26243.72</v>
      </c>
      <c r="M828" s="11">
        <v>26197.040000000001</v>
      </c>
      <c r="N828" s="11">
        <v>26032.720000000001</v>
      </c>
      <c r="O828" s="61"/>
      <c r="P828" s="61"/>
      <c r="Q828" s="62"/>
      <c r="R828" s="62"/>
      <c r="S828" s="139"/>
      <c r="T828" s="5"/>
      <c r="U828" s="140"/>
      <c r="V828" s="173"/>
      <c r="W828" s="11"/>
      <c r="X828" s="118"/>
      <c r="Y828" s="118"/>
      <c r="Z828" s="118"/>
      <c r="AA828" s="118"/>
    </row>
    <row r="829" spans="1:29" ht="23.4" thickBot="1" x14ac:dyDescent="0.35">
      <c r="A829"/>
      <c r="B829" s="63"/>
      <c r="C829" s="64"/>
      <c r="D829" s="64"/>
      <c r="E829" s="65" t="s">
        <v>188</v>
      </c>
      <c r="F829" s="53">
        <f t="shared" ref="F829:N829" si="271">IF(((F827="")*AND(F828="")),"",(F827-F828)*3)</f>
        <v>4350.4500000000044</v>
      </c>
      <c r="G829" s="53">
        <f t="shared" si="271"/>
        <v>4023.9300000000039</v>
      </c>
      <c r="H829" s="53">
        <f t="shared" si="271"/>
        <v>3929.1299999999974</v>
      </c>
      <c r="I829" s="53">
        <f t="shared" si="271"/>
        <v>3978.0600000000013</v>
      </c>
      <c r="J829" s="53">
        <f t="shared" si="271"/>
        <v>4289.8500000000022</v>
      </c>
      <c r="K829" s="53">
        <f t="shared" si="271"/>
        <v>4191.75</v>
      </c>
      <c r="L829" s="53">
        <f t="shared" si="271"/>
        <v>3946.7999999999956</v>
      </c>
      <c r="M829" s="53">
        <f t="shared" si="271"/>
        <v>4054.2299999999996</v>
      </c>
      <c r="N829" s="53">
        <f t="shared" si="271"/>
        <v>4459.1699999999983</v>
      </c>
      <c r="O829" s="65"/>
      <c r="P829" s="65"/>
      <c r="Q829" s="66"/>
      <c r="R829" s="66"/>
      <c r="S829" s="142"/>
      <c r="T829" s="143"/>
      <c r="U829" s="144"/>
      <c r="V829" s="173"/>
      <c r="W829" s="11"/>
      <c r="X829" s="118"/>
      <c r="Y829" s="118"/>
      <c r="Z829" s="118"/>
      <c r="AA829" s="118"/>
    </row>
    <row r="830" spans="1:29" x14ac:dyDescent="0.25">
      <c r="A830" s="207">
        <v>43489</v>
      </c>
      <c r="B830" s="219" t="s">
        <v>174</v>
      </c>
      <c r="C830" s="39" t="s">
        <v>176</v>
      </c>
      <c r="D830" s="39" t="s">
        <v>175</v>
      </c>
      <c r="E830" s="41" t="s">
        <v>186</v>
      </c>
      <c r="F830" s="11">
        <v>6929.83</v>
      </c>
      <c r="G830" s="11">
        <v>6937.99</v>
      </c>
      <c r="H830" s="11">
        <v>6957.14</v>
      </c>
      <c r="I830" s="11">
        <v>6895.84</v>
      </c>
      <c r="J830" s="11">
        <v>6938.07</v>
      </c>
      <c r="K830" s="11">
        <v>6881.99</v>
      </c>
      <c r="L830" s="11">
        <v>6901.4</v>
      </c>
      <c r="M830" s="11">
        <v>6941.57</v>
      </c>
      <c r="N830" s="11">
        <v>7005.33</v>
      </c>
      <c r="O830" s="59">
        <f>IF((N831=""),"",MAX(F832:N832))</f>
        <v>3811.5</v>
      </c>
      <c r="P830" s="59">
        <f>IF(N831="","",MIN(F832:N832))</f>
        <v>3536.2999999999993</v>
      </c>
      <c r="Q830" s="60">
        <f>IF((N832=""),"",AVERAGE(F832:N832))</f>
        <v>3714.9377777777781</v>
      </c>
      <c r="R830" s="60">
        <f>IF((N831=""),"",(O830-P830)/(O830+P830)*100)</f>
        <v>3.7453387408476111</v>
      </c>
      <c r="S830" s="113">
        <f>STDEV(F832:N832)</f>
        <v>92.705022757370116</v>
      </c>
      <c r="T830" s="137" t="str">
        <f>IF(N831="","",IF(Q830&gt;3650,IF(R830&lt;7,IF(Q830&lt;4450,"Pass","Fail"),"Fail"),"Fail"))</f>
        <v>Pass</v>
      </c>
      <c r="U830" s="149">
        <v>1340</v>
      </c>
      <c r="V830" s="11" t="s">
        <v>219</v>
      </c>
      <c r="X830" s="116">
        <v>3650</v>
      </c>
      <c r="Y830" s="116">
        <v>4450</v>
      </c>
      <c r="Z830" s="116">
        <v>3700</v>
      </c>
      <c r="AA830" s="116">
        <v>4100</v>
      </c>
      <c r="AB830" s="31">
        <v>7</v>
      </c>
      <c r="AC830" s="31">
        <v>6.5</v>
      </c>
    </row>
    <row r="831" spans="1:29" ht="15.6" x14ac:dyDescent="0.3">
      <c r="A831"/>
      <c r="B831" s="24"/>
      <c r="C831" s="6"/>
      <c r="D831" s="6"/>
      <c r="E831" s="61" t="s">
        <v>187</v>
      </c>
      <c r="F831" s="11">
        <v>5118.41</v>
      </c>
      <c r="G831" s="11">
        <v>5057.74</v>
      </c>
      <c r="H831" s="11">
        <v>5060.37</v>
      </c>
      <c r="I831" s="11">
        <v>5010.05</v>
      </c>
      <c r="J831" s="11">
        <v>5117.1000000000004</v>
      </c>
      <c r="K831" s="11">
        <v>5113.84</v>
      </c>
      <c r="L831" s="11">
        <v>5025.03</v>
      </c>
      <c r="M831" s="11">
        <v>5035.82</v>
      </c>
      <c r="N831" s="11">
        <v>5133.58</v>
      </c>
      <c r="O831" s="61"/>
      <c r="P831" s="61"/>
      <c r="Q831" s="62"/>
      <c r="R831" s="62"/>
      <c r="S831" s="139"/>
      <c r="T831" s="8"/>
      <c r="U831" s="146"/>
      <c r="X831" s="118"/>
      <c r="Y831" s="118"/>
      <c r="Z831" s="118"/>
      <c r="AA831" s="118"/>
    </row>
    <row r="832" spans="1:29" ht="23.4" thickBot="1" x14ac:dyDescent="0.35">
      <c r="A832"/>
      <c r="B832" s="24"/>
      <c r="C832" s="6"/>
      <c r="D832" s="6"/>
      <c r="E832" s="61" t="s">
        <v>188</v>
      </c>
      <c r="F832" s="40">
        <f t="shared" ref="F832:N832" si="272">IF(((F830="")*AND(F831="")),"",(F830-F831)*2)</f>
        <v>3622.84</v>
      </c>
      <c r="G832" s="40">
        <f t="shared" si="272"/>
        <v>3760.5</v>
      </c>
      <c r="H832" s="40">
        <f t="shared" si="272"/>
        <v>3793.5400000000009</v>
      </c>
      <c r="I832" s="40">
        <f t="shared" si="272"/>
        <v>3771.58</v>
      </c>
      <c r="J832" s="40">
        <f t="shared" si="272"/>
        <v>3641.9399999999987</v>
      </c>
      <c r="K832" s="40">
        <f t="shared" si="272"/>
        <v>3536.2999999999993</v>
      </c>
      <c r="L832" s="40">
        <f t="shared" si="272"/>
        <v>3752.74</v>
      </c>
      <c r="M832" s="40">
        <f t="shared" si="272"/>
        <v>3811.5</v>
      </c>
      <c r="N832" s="40">
        <f t="shared" si="272"/>
        <v>3743.5</v>
      </c>
      <c r="O832" s="61"/>
      <c r="P832" s="61"/>
      <c r="Q832" s="62"/>
      <c r="R832" s="62"/>
      <c r="S832" s="139"/>
      <c r="T832" s="8"/>
      <c r="U832" s="146"/>
      <c r="X832" s="118"/>
      <c r="Y832" s="118"/>
      <c r="Z832" s="118"/>
      <c r="AA832" s="118"/>
    </row>
    <row r="833" spans="1:29" x14ac:dyDescent="0.25">
      <c r="A833" s="207">
        <v>43489</v>
      </c>
      <c r="B833" s="215" t="s">
        <v>169</v>
      </c>
      <c r="C833" s="6" t="s">
        <v>171</v>
      </c>
      <c r="D833" s="6" t="s">
        <v>189</v>
      </c>
      <c r="E833" s="61" t="s">
        <v>186</v>
      </c>
      <c r="F833" s="11">
        <v>1958.05</v>
      </c>
      <c r="G833" s="11">
        <v>1951.31</v>
      </c>
      <c r="H833" s="11">
        <v>1949.48</v>
      </c>
      <c r="I833" s="11">
        <v>1950.57</v>
      </c>
      <c r="J833" s="11">
        <v>1955.24</v>
      </c>
      <c r="K833" s="11">
        <v>1956.39</v>
      </c>
      <c r="L833" s="11">
        <v>1951.83</v>
      </c>
      <c r="M833" s="11">
        <v>1953.31</v>
      </c>
      <c r="N833" s="11">
        <v>1954.85</v>
      </c>
      <c r="O833" s="61">
        <f>IF((N834=""),"",MAX(F835:N835))</f>
        <v>2002.7699999999998</v>
      </c>
      <c r="P833" s="61">
        <f>IF(N834="","",MIN(F835:N835))</f>
        <v>1928.1000000000001</v>
      </c>
      <c r="Q833" s="62">
        <f>IF((N835=""),"",AVERAGE(F835:N835))</f>
        <v>1963.3933333333334</v>
      </c>
      <c r="R833" s="62">
        <f>IF((N834=""),"",(O833-P833)/(O833+P833)*100)</f>
        <v>1.8995794824046488</v>
      </c>
      <c r="S833" s="139">
        <f>STDEV(F835:N835)</f>
        <v>21.130827007005596</v>
      </c>
      <c r="T833" s="5" t="str">
        <f>IF(N834="","",IF(Q833&gt;1940,IF(R833&lt;8.3,IF(Q833&lt;2180,"Pass","Fail"),"Fail"),"Fail"))</f>
        <v>Pass</v>
      </c>
      <c r="U833" s="149">
        <v>1340</v>
      </c>
      <c r="V833" s="11" t="s">
        <v>219</v>
      </c>
      <c r="X833" s="116">
        <v>2000</v>
      </c>
      <c r="Y833" s="116">
        <v>3000</v>
      </c>
      <c r="Z833" s="116">
        <v>1940</v>
      </c>
      <c r="AA833" s="116">
        <v>2180</v>
      </c>
      <c r="AB833" s="31">
        <v>5.2</v>
      </c>
      <c r="AC833" s="31">
        <v>5.2</v>
      </c>
    </row>
    <row r="834" spans="1:29" ht="15.6" x14ac:dyDescent="0.3">
      <c r="A834"/>
      <c r="B834" s="24"/>
      <c r="C834" s="6"/>
      <c r="D834" s="6"/>
      <c r="E834" s="61" t="s">
        <v>187</v>
      </c>
      <c r="F834" s="11">
        <v>1290.46</v>
      </c>
      <c r="G834" s="11">
        <v>1294.3499999999999</v>
      </c>
      <c r="H834" s="11">
        <v>1294.78</v>
      </c>
      <c r="I834" s="11">
        <v>1299.71</v>
      </c>
      <c r="J834" s="11">
        <v>1312.54</v>
      </c>
      <c r="K834" s="11">
        <v>1299.98</v>
      </c>
      <c r="L834" s="11">
        <v>1302.52</v>
      </c>
      <c r="M834" s="11">
        <v>1293.43</v>
      </c>
      <c r="N834" s="11">
        <v>1303.08</v>
      </c>
      <c r="O834" s="61"/>
      <c r="P834" s="61"/>
      <c r="Q834" s="62"/>
      <c r="R834" s="62"/>
      <c r="S834" s="139"/>
      <c r="T834" s="5"/>
      <c r="U834" s="140"/>
      <c r="X834" s="118"/>
      <c r="Y834" s="118"/>
      <c r="Z834" s="118"/>
      <c r="AA834" s="118"/>
    </row>
    <row r="835" spans="1:29" ht="24.45" customHeight="1" thickBot="1" x14ac:dyDescent="0.35">
      <c r="A835"/>
      <c r="B835" s="24"/>
      <c r="C835" s="6"/>
      <c r="D835" s="6"/>
      <c r="E835" s="61" t="s">
        <v>190</v>
      </c>
      <c r="F835" s="40">
        <f t="shared" ref="F835:N835" si="273">IF(((F833="")*AND(F834="")),"",(F833-F834)*3)</f>
        <v>2002.7699999999998</v>
      </c>
      <c r="G835" s="40">
        <f t="shared" si="273"/>
        <v>1970.88</v>
      </c>
      <c r="H835" s="40">
        <f t="shared" si="273"/>
        <v>1964.1000000000001</v>
      </c>
      <c r="I835" s="40">
        <f t="shared" si="273"/>
        <v>1952.5799999999997</v>
      </c>
      <c r="J835" s="40">
        <f t="shared" si="273"/>
        <v>1928.1000000000001</v>
      </c>
      <c r="K835" s="40">
        <f t="shared" si="273"/>
        <v>1969.2300000000002</v>
      </c>
      <c r="L835" s="40">
        <f t="shared" si="273"/>
        <v>1947.9299999999998</v>
      </c>
      <c r="M835" s="40">
        <f t="shared" si="273"/>
        <v>1979.6399999999996</v>
      </c>
      <c r="N835" s="40">
        <f t="shared" si="273"/>
        <v>1955.31</v>
      </c>
      <c r="O835" s="61"/>
      <c r="P835" s="61"/>
      <c r="Q835" s="62"/>
      <c r="R835" s="62"/>
      <c r="S835" s="139"/>
      <c r="T835" s="5"/>
      <c r="U835" s="140"/>
      <c r="X835" s="118"/>
      <c r="Y835" s="118"/>
      <c r="Z835" s="118"/>
      <c r="AA835" s="118"/>
    </row>
    <row r="836" spans="1:29" x14ac:dyDescent="0.25">
      <c r="A836" s="207">
        <v>43489</v>
      </c>
      <c r="B836" s="218" t="s">
        <v>185</v>
      </c>
      <c r="C836" s="6" t="s">
        <v>173</v>
      </c>
      <c r="D836" s="6" t="s">
        <v>172</v>
      </c>
      <c r="E836" s="61" t="s">
        <v>186</v>
      </c>
      <c r="F836" s="11">
        <v>29045.200000000001</v>
      </c>
      <c r="G836" s="11">
        <v>28966.57</v>
      </c>
      <c r="H836" s="11">
        <v>28963.95</v>
      </c>
      <c r="I836" s="11">
        <v>28954.89</v>
      </c>
      <c r="J836" s="11">
        <v>29054.51</v>
      </c>
      <c r="K836" s="11">
        <v>29029.49</v>
      </c>
      <c r="L836" s="11">
        <v>28955.59</v>
      </c>
      <c r="M836" s="11">
        <v>28950.46</v>
      </c>
      <c r="N836" s="11">
        <v>29028.49</v>
      </c>
      <c r="O836" s="61">
        <f>IF((N837=""),"",MAX(F838:N838))</f>
        <v>4417.7700000000004</v>
      </c>
      <c r="P836" s="61">
        <f>IF(N837="","",MIN(F838:N838))</f>
        <v>3921.3000000000065</v>
      </c>
      <c r="Q836" s="62">
        <f>IF((N838=""),"",AVERAGE(F838:N838))</f>
        <v>4136.4000000000005</v>
      </c>
      <c r="R836" s="62">
        <f>IF((N837=""),"",(O836-P836)/(O836+P836)*100)</f>
        <v>5.95354158197489</v>
      </c>
      <c r="S836" s="139">
        <f>STDEV(F838:N838)</f>
        <v>195.07817240788248</v>
      </c>
      <c r="T836" s="5" t="str">
        <f>IF(N837="","",IF(R836&lt;16,IF(Q836&gt;3200,IF(R836,IF(Q836&lt;5240,"Pass","Fail"),"Fail"),"Fail")))</f>
        <v>Pass</v>
      </c>
      <c r="U836" s="149">
        <v>1340</v>
      </c>
      <c r="V836" s="11" t="s">
        <v>219</v>
      </c>
      <c r="X836" s="116">
        <v>4200</v>
      </c>
      <c r="Y836" s="116">
        <v>5500</v>
      </c>
      <c r="Z836" s="116">
        <v>3200</v>
      </c>
      <c r="AA836" s="116">
        <v>5240</v>
      </c>
      <c r="AB836" s="31">
        <v>16</v>
      </c>
      <c r="AC836" s="31">
        <v>16</v>
      </c>
    </row>
    <row r="837" spans="1:29" ht="15.6" x14ac:dyDescent="0.3">
      <c r="A837"/>
      <c r="B837" s="24"/>
      <c r="C837" s="6"/>
      <c r="D837" s="6"/>
      <c r="E837" s="61" t="s">
        <v>187</v>
      </c>
      <c r="F837" s="11">
        <v>27622.63</v>
      </c>
      <c r="G837" s="11">
        <v>27645.07</v>
      </c>
      <c r="H837" s="11">
        <v>27656.85</v>
      </c>
      <c r="I837" s="11">
        <v>27624.33</v>
      </c>
      <c r="J837" s="11">
        <v>27596.240000000002</v>
      </c>
      <c r="K837" s="11">
        <v>27604.92</v>
      </c>
      <c r="L837" s="11">
        <v>27631.67</v>
      </c>
      <c r="M837" s="11">
        <v>27602.34</v>
      </c>
      <c r="N837" s="11">
        <v>27555.9</v>
      </c>
      <c r="O837" s="61"/>
      <c r="P837" s="61"/>
      <c r="Q837" s="62"/>
      <c r="R837" s="62"/>
      <c r="S837" s="139"/>
      <c r="T837" s="5"/>
      <c r="U837" s="140"/>
      <c r="X837" s="118"/>
      <c r="Y837" s="118"/>
      <c r="Z837" s="118"/>
      <c r="AA837" s="118"/>
    </row>
    <row r="838" spans="1:29" ht="23.4" thickBot="1" x14ac:dyDescent="0.35">
      <c r="A838"/>
      <c r="B838" s="63"/>
      <c r="C838" s="64"/>
      <c r="D838" s="64"/>
      <c r="E838" s="65" t="s">
        <v>188</v>
      </c>
      <c r="F838" s="53">
        <f t="shared" ref="F838:N838" si="274">IF(((F836="")*AND(F837="")),"",(F836-F837)*3)</f>
        <v>4267.7099999999991</v>
      </c>
      <c r="G838" s="53">
        <f t="shared" si="274"/>
        <v>3964.5</v>
      </c>
      <c r="H838" s="53">
        <f t="shared" si="274"/>
        <v>3921.3000000000065</v>
      </c>
      <c r="I838" s="53">
        <f t="shared" si="274"/>
        <v>3991.679999999993</v>
      </c>
      <c r="J838" s="53">
        <f t="shared" si="274"/>
        <v>4374.8099999999904</v>
      </c>
      <c r="K838" s="53">
        <f t="shared" si="274"/>
        <v>4273.71000000001</v>
      </c>
      <c r="L838" s="53">
        <f t="shared" si="274"/>
        <v>3971.7600000000057</v>
      </c>
      <c r="M838" s="53">
        <f t="shared" si="274"/>
        <v>4044.3599999999969</v>
      </c>
      <c r="N838" s="53">
        <f t="shared" si="274"/>
        <v>4417.7700000000004</v>
      </c>
      <c r="O838" s="65"/>
      <c r="P838" s="65"/>
      <c r="Q838" s="66"/>
      <c r="R838" s="66"/>
      <c r="S838" s="142"/>
      <c r="T838" s="143"/>
      <c r="U838" s="144"/>
      <c r="X838" s="118"/>
      <c r="Y838" s="118"/>
      <c r="Z838" s="118"/>
      <c r="AA838" s="118"/>
    </row>
    <row r="839" spans="1:29" x14ac:dyDescent="0.25">
      <c r="A839" s="207">
        <v>43493</v>
      </c>
      <c r="B839" s="219" t="s">
        <v>174</v>
      </c>
      <c r="C839" s="39" t="s">
        <v>176</v>
      </c>
      <c r="D839" s="39" t="s">
        <v>175</v>
      </c>
      <c r="E839" s="41" t="s">
        <v>186</v>
      </c>
      <c r="F839" s="11">
        <v>5118.41</v>
      </c>
      <c r="G839" s="11">
        <v>5057.74</v>
      </c>
      <c r="H839" s="11">
        <v>5060.37</v>
      </c>
      <c r="I839" s="11">
        <v>5010.05</v>
      </c>
      <c r="J839" s="11">
        <v>5117.1000000000004</v>
      </c>
      <c r="K839" s="11">
        <v>5113.84</v>
      </c>
      <c r="L839" s="11">
        <v>5025.03</v>
      </c>
      <c r="M839" s="11">
        <v>5035.82</v>
      </c>
      <c r="N839" s="11">
        <v>5133.58</v>
      </c>
      <c r="O839" s="59">
        <f>IF((N840=""),"",MAX(F841:N841))</f>
        <v>3885.7599999999993</v>
      </c>
      <c r="P839" s="59">
        <f>IF(N840="","",MIN(F841:N841))</f>
        <v>3599.46</v>
      </c>
      <c r="Q839" s="60">
        <f>IF((N841=""),"",AVERAGE(F841:N841))</f>
        <v>3787.2111111111103</v>
      </c>
      <c r="R839" s="60">
        <f>IF((N840=""),"",(O839-P839)/(O839+P839)*100)</f>
        <v>3.8248708788786341</v>
      </c>
      <c r="S839" s="113">
        <f>STDEV(F841:N841)</f>
        <v>94.614286506378548</v>
      </c>
      <c r="T839" s="137" t="str">
        <f>IF(N840="","",IF(Q839&gt;3650,IF(R839&lt;7,IF(Q839&lt;4450,"Pass","Fail"),"Fail"),"Fail"))</f>
        <v>Pass</v>
      </c>
      <c r="U839" s="149">
        <v>1340</v>
      </c>
      <c r="V839" s="11" t="s">
        <v>220</v>
      </c>
      <c r="X839" s="116">
        <v>3650</v>
      </c>
      <c r="Y839" s="116">
        <v>4450</v>
      </c>
      <c r="Z839" s="116">
        <v>3700</v>
      </c>
      <c r="AA839" s="116">
        <v>4100</v>
      </c>
      <c r="AB839" s="31">
        <v>7</v>
      </c>
      <c r="AC839" s="31">
        <v>6.5</v>
      </c>
    </row>
    <row r="840" spans="1:29" ht="15.6" x14ac:dyDescent="0.3">
      <c r="A840"/>
      <c r="B840" s="24"/>
      <c r="C840" s="6"/>
      <c r="D840" s="6"/>
      <c r="E840" s="61" t="s">
        <v>187</v>
      </c>
      <c r="F840" s="11">
        <v>3262.07</v>
      </c>
      <c r="G840" s="11">
        <v>3137.22</v>
      </c>
      <c r="H840" s="11">
        <v>3129.12</v>
      </c>
      <c r="I840" s="11">
        <v>3090.11</v>
      </c>
      <c r="J840" s="11">
        <v>3266.58</v>
      </c>
      <c r="K840" s="11">
        <v>3314.11</v>
      </c>
      <c r="L840" s="11">
        <v>3113.16</v>
      </c>
      <c r="M840" s="11">
        <v>3092.94</v>
      </c>
      <c r="N840" s="11">
        <v>3224.18</v>
      </c>
      <c r="O840" s="61"/>
      <c r="P840" s="61"/>
      <c r="Q840" s="62"/>
      <c r="R840" s="62"/>
      <c r="S840" s="139"/>
      <c r="T840" s="8"/>
      <c r="U840" s="146"/>
      <c r="X840" s="118"/>
      <c r="Y840" s="118"/>
      <c r="Z840" s="118"/>
      <c r="AA840" s="118"/>
    </row>
    <row r="841" spans="1:29" ht="23.4" thickBot="1" x14ac:dyDescent="0.35">
      <c r="A841"/>
      <c r="B841" s="24"/>
      <c r="C841" s="6"/>
      <c r="D841" s="6"/>
      <c r="E841" s="61" t="s">
        <v>188</v>
      </c>
      <c r="F841" s="40">
        <f t="shared" ref="F841:N841" si="275">IF(((F839="")*AND(F840="")),"",(F839-F840)*2)</f>
        <v>3712.6799999999994</v>
      </c>
      <c r="G841" s="40">
        <f t="shared" si="275"/>
        <v>3841.04</v>
      </c>
      <c r="H841" s="40">
        <f t="shared" si="275"/>
        <v>3862.5</v>
      </c>
      <c r="I841" s="40">
        <f t="shared" si="275"/>
        <v>3839.88</v>
      </c>
      <c r="J841" s="40">
        <f t="shared" si="275"/>
        <v>3701.0400000000009</v>
      </c>
      <c r="K841" s="40">
        <f t="shared" si="275"/>
        <v>3599.46</v>
      </c>
      <c r="L841" s="40">
        <f t="shared" si="275"/>
        <v>3823.74</v>
      </c>
      <c r="M841" s="40">
        <f t="shared" si="275"/>
        <v>3885.7599999999993</v>
      </c>
      <c r="N841" s="40">
        <f t="shared" si="275"/>
        <v>3818.8</v>
      </c>
      <c r="O841" s="61"/>
      <c r="P841" s="61"/>
      <c r="Q841" s="62"/>
      <c r="R841" s="62"/>
      <c r="S841" s="139"/>
      <c r="T841" s="8"/>
      <c r="U841" s="146"/>
      <c r="X841" s="118"/>
      <c r="Y841" s="118"/>
      <c r="Z841" s="118"/>
      <c r="AA841" s="118"/>
    </row>
    <row r="842" spans="1:29" x14ac:dyDescent="0.25">
      <c r="A842" s="207">
        <v>43493</v>
      </c>
      <c r="B842" s="215" t="s">
        <v>169</v>
      </c>
      <c r="C842" s="6" t="s">
        <v>171</v>
      </c>
      <c r="D842" s="6" t="s">
        <v>189</v>
      </c>
      <c r="E842" s="61" t="s">
        <v>186</v>
      </c>
      <c r="F842" s="11">
        <v>1290.46</v>
      </c>
      <c r="G842" s="11">
        <v>1294.3499999999999</v>
      </c>
      <c r="H842" s="11">
        <v>1294.78</v>
      </c>
      <c r="I842" s="11">
        <v>1299.71</v>
      </c>
      <c r="J842" s="11">
        <v>1312.54</v>
      </c>
      <c r="K842" s="11">
        <v>1299.98</v>
      </c>
      <c r="L842" s="11">
        <v>1302.52</v>
      </c>
      <c r="M842" s="11">
        <v>1293.43</v>
      </c>
      <c r="N842" s="11">
        <v>1303.08</v>
      </c>
      <c r="O842" s="61">
        <f>IF((N843=""),"",MAX(F844:N844))</f>
        <v>2025.15</v>
      </c>
      <c r="P842" s="61">
        <f>IF(N843="","",MIN(F844:N844))</f>
        <v>1944.1499999999999</v>
      </c>
      <c r="Q842" s="62">
        <f>IF((N844=""),"",AVERAGE(F844:N844))</f>
        <v>1982.1733333333332</v>
      </c>
      <c r="R842" s="62">
        <f>IF((N843=""),"",(O842-P842)/(O842+P842)*100)</f>
        <v>2.0406620814753285</v>
      </c>
      <c r="S842" s="139">
        <f>STDEV(F844:N844)</f>
        <v>22.320494506170792</v>
      </c>
      <c r="T842" s="5" t="str">
        <f>IF(N843="","",IF(Q842&gt;1940,IF(R842&lt;8.3,IF(Q842&lt;2180,"Pass","Fail"),"Fail"),"Fail"))</f>
        <v>Pass</v>
      </c>
      <c r="U842" s="149">
        <v>1340</v>
      </c>
      <c r="V842" s="11" t="s">
        <v>220</v>
      </c>
      <c r="X842" s="116">
        <v>2000</v>
      </c>
      <c r="Y842" s="116">
        <v>3000</v>
      </c>
      <c r="Z842" s="116">
        <v>1940</v>
      </c>
      <c r="AA842" s="116">
        <v>2180</v>
      </c>
      <c r="AB842" s="31">
        <v>5.2</v>
      </c>
      <c r="AC842" s="31">
        <v>5.2</v>
      </c>
    </row>
    <row r="843" spans="1:29" ht="15.6" x14ac:dyDescent="0.3">
      <c r="A843"/>
      <c r="B843" s="24"/>
      <c r="C843" s="6"/>
      <c r="D843" s="6"/>
      <c r="E843" s="61" t="s">
        <v>187</v>
      </c>
      <c r="F843" s="11">
        <v>615.41</v>
      </c>
      <c r="G843" s="11">
        <v>629.28</v>
      </c>
      <c r="H843" s="11">
        <v>636.97</v>
      </c>
      <c r="I843" s="11">
        <v>642.65</v>
      </c>
      <c r="J843" s="11">
        <v>664.49</v>
      </c>
      <c r="K843" s="11">
        <v>640.63</v>
      </c>
      <c r="L843" s="11">
        <v>645.38</v>
      </c>
      <c r="M843" s="11">
        <v>628.19000000000005</v>
      </c>
      <c r="N843" s="11">
        <v>641.33000000000004</v>
      </c>
      <c r="O843" s="61"/>
      <c r="P843" s="61"/>
      <c r="Q843" s="62"/>
      <c r="R843" s="62"/>
      <c r="S843" s="139"/>
      <c r="T843" s="5"/>
      <c r="U843" s="140"/>
      <c r="X843" s="118"/>
      <c r="Y843" s="118"/>
      <c r="Z843" s="118"/>
      <c r="AA843" s="118"/>
    </row>
    <row r="844" spans="1:29" ht="23.25" customHeight="1" thickBot="1" x14ac:dyDescent="0.35">
      <c r="A844"/>
      <c r="B844" s="24"/>
      <c r="C844" s="6"/>
      <c r="D844" s="6"/>
      <c r="E844" s="61" t="s">
        <v>190</v>
      </c>
      <c r="F844" s="40">
        <f t="shared" ref="F844:N844" si="276">IF(((F842="")*AND(F843="")),"",(F842-F843)*3)</f>
        <v>2025.15</v>
      </c>
      <c r="G844" s="40">
        <f t="shared" si="276"/>
        <v>1995.2099999999998</v>
      </c>
      <c r="H844" s="40">
        <f t="shared" si="276"/>
        <v>1973.4299999999998</v>
      </c>
      <c r="I844" s="40">
        <f t="shared" si="276"/>
        <v>1971.1800000000003</v>
      </c>
      <c r="J844" s="40">
        <f t="shared" si="276"/>
        <v>1944.1499999999999</v>
      </c>
      <c r="K844" s="40">
        <f t="shared" si="276"/>
        <v>1978.0500000000002</v>
      </c>
      <c r="L844" s="40">
        <f t="shared" si="276"/>
        <v>1971.42</v>
      </c>
      <c r="M844" s="40">
        <f t="shared" si="276"/>
        <v>1995.72</v>
      </c>
      <c r="N844" s="40">
        <f t="shared" si="276"/>
        <v>1985.2499999999995</v>
      </c>
      <c r="O844" s="61"/>
      <c r="P844" s="61"/>
      <c r="Q844" s="62"/>
      <c r="R844" s="62"/>
      <c r="S844" s="139"/>
      <c r="T844" s="5"/>
      <c r="U844" s="140"/>
      <c r="X844" s="118"/>
      <c r="Y844" s="118"/>
      <c r="Z844" s="118"/>
      <c r="AA844" s="118"/>
    </row>
    <row r="845" spans="1:29" x14ac:dyDescent="0.25">
      <c r="A845" s="207">
        <v>43493</v>
      </c>
      <c r="B845" s="218" t="s">
        <v>185</v>
      </c>
      <c r="C845" s="6" t="s">
        <v>173</v>
      </c>
      <c r="D845" s="6" t="s">
        <v>172</v>
      </c>
      <c r="E845" s="61" t="s">
        <v>186</v>
      </c>
      <c r="F845" s="11">
        <v>27622.63</v>
      </c>
      <c r="G845" s="11">
        <v>27645.07</v>
      </c>
      <c r="H845" s="11">
        <v>27656.85</v>
      </c>
      <c r="I845" s="11">
        <v>27624.33</v>
      </c>
      <c r="J845" s="11">
        <v>27596.240000000002</v>
      </c>
      <c r="K845" s="11">
        <v>27604.92</v>
      </c>
      <c r="L845" s="11">
        <v>27631.67</v>
      </c>
      <c r="M845" s="11">
        <v>27602.34</v>
      </c>
      <c r="N845" s="11">
        <v>27555.9</v>
      </c>
      <c r="O845" s="61">
        <f>IF((N846=""),"",MAX(F847:N847))</f>
        <v>4598.7600000000057</v>
      </c>
      <c r="P845" s="61">
        <f>IF(N846="","",MIN(F847:N847))</f>
        <v>4078.9799999999996</v>
      </c>
      <c r="Q845" s="62">
        <f>IF((N847=""),"",AVERAGE(F847:N847))</f>
        <v>4281.6133333333337</v>
      </c>
      <c r="R845" s="62">
        <f>IF((N846=""),"",(O845-P845)/(O845+P845)*100)</f>
        <v>5.9898084063362784</v>
      </c>
      <c r="S845" s="139">
        <f>STDEV(F847:N847)</f>
        <v>184.83170067658924</v>
      </c>
      <c r="T845" s="5" t="str">
        <f>IF(N846="","",IF(R845&lt;16,IF(Q845&gt;3200,IF(R845,IF(Q845&lt;5240,"Pass","Fail"),"Fail"),"Fail")))</f>
        <v>Pass</v>
      </c>
      <c r="U845" s="149">
        <v>1340</v>
      </c>
      <c r="V845" s="11" t="s">
        <v>220</v>
      </c>
      <c r="X845" s="116">
        <v>4200</v>
      </c>
      <c r="Y845" s="116">
        <v>5500</v>
      </c>
      <c r="Z845" s="116">
        <v>3200</v>
      </c>
      <c r="AA845" s="116">
        <v>5240</v>
      </c>
      <c r="AB845" s="31">
        <v>16</v>
      </c>
      <c r="AC845" s="31">
        <v>16</v>
      </c>
    </row>
    <row r="846" spans="1:29" ht="15.6" x14ac:dyDescent="0.3">
      <c r="A846"/>
      <c r="B846" s="24"/>
      <c r="C846" s="6"/>
      <c r="D846" s="6"/>
      <c r="E846" s="61" t="s">
        <v>187</v>
      </c>
      <c r="F846" s="11">
        <v>26126.99</v>
      </c>
      <c r="G846" s="11">
        <v>26253.37</v>
      </c>
      <c r="H846" s="11">
        <v>26297.19</v>
      </c>
      <c r="I846" s="11">
        <v>26247.21</v>
      </c>
      <c r="J846" s="11">
        <v>26122.240000000002</v>
      </c>
      <c r="K846" s="11">
        <v>26163.07</v>
      </c>
      <c r="L846" s="11">
        <v>26259.34</v>
      </c>
      <c r="M846" s="11">
        <v>26202.720000000001</v>
      </c>
      <c r="N846" s="11">
        <v>26022.98</v>
      </c>
      <c r="O846" s="61"/>
      <c r="P846" s="61"/>
      <c r="Q846" s="62"/>
      <c r="R846" s="62"/>
      <c r="S846" s="139"/>
      <c r="T846" s="5"/>
      <c r="U846" s="140"/>
      <c r="X846" s="118"/>
      <c r="Y846" s="118"/>
      <c r="Z846" s="118"/>
      <c r="AA846" s="118"/>
    </row>
    <row r="847" spans="1:29" ht="23.4" thickBot="1" x14ac:dyDescent="0.35">
      <c r="A847"/>
      <c r="B847" s="63"/>
      <c r="C847" s="64"/>
      <c r="D847" s="64"/>
      <c r="E847" s="65" t="s">
        <v>188</v>
      </c>
      <c r="F847" s="53">
        <f t="shared" ref="F847:N847" si="277">IF(((F845="")*AND(F846="")),"",(F845-F846)*3)</f>
        <v>4486.9199999999983</v>
      </c>
      <c r="G847" s="53">
        <f t="shared" si="277"/>
        <v>4175.1000000000022</v>
      </c>
      <c r="H847" s="53">
        <f t="shared" si="277"/>
        <v>4078.9799999999996</v>
      </c>
      <c r="I847" s="53">
        <f t="shared" si="277"/>
        <v>4131.3600000000079</v>
      </c>
      <c r="J847" s="53">
        <f t="shared" si="277"/>
        <v>4422</v>
      </c>
      <c r="K847" s="53">
        <f t="shared" si="277"/>
        <v>4325.5499999999956</v>
      </c>
      <c r="L847" s="53">
        <f t="shared" si="277"/>
        <v>4116.9899999999943</v>
      </c>
      <c r="M847" s="53">
        <f t="shared" si="277"/>
        <v>4198.8599999999969</v>
      </c>
      <c r="N847" s="53">
        <f t="shared" si="277"/>
        <v>4598.7600000000057</v>
      </c>
      <c r="O847" s="65"/>
      <c r="P847" s="65"/>
      <c r="Q847" s="66"/>
      <c r="R847" s="66"/>
      <c r="S847" s="142"/>
      <c r="T847" s="143"/>
      <c r="U847" s="144"/>
      <c r="X847" s="118"/>
      <c r="Y847" s="118"/>
      <c r="Z847" s="118"/>
      <c r="AA847" s="118"/>
    </row>
    <row r="848" spans="1:29" x14ac:dyDescent="0.25">
      <c r="A848" s="207">
        <v>43497</v>
      </c>
      <c r="B848" s="219" t="s">
        <v>174</v>
      </c>
      <c r="C848" s="39" t="s">
        <v>176</v>
      </c>
      <c r="D848" s="39" t="s">
        <v>175</v>
      </c>
      <c r="E848" s="41" t="s">
        <v>186</v>
      </c>
      <c r="F848" s="11">
        <v>3269.02</v>
      </c>
      <c r="G848" s="11">
        <v>3143.67</v>
      </c>
      <c r="H848" s="11">
        <v>3135.49</v>
      </c>
      <c r="I848" s="11">
        <v>3096</v>
      </c>
      <c r="J848" s="11">
        <v>3273.08</v>
      </c>
      <c r="K848" s="11">
        <v>3321.21</v>
      </c>
      <c r="L848" s="11">
        <v>3119.42</v>
      </c>
      <c r="M848" s="11">
        <v>3098.94</v>
      </c>
      <c r="N848" s="11">
        <v>3230.45</v>
      </c>
      <c r="O848" s="59">
        <f>IF((N849=""),"",MAX(F850:N850))</f>
        <v>3875.06</v>
      </c>
      <c r="P848" s="59">
        <f>IF(N849="","",MIN(F850:N850))</f>
        <v>3647.84</v>
      </c>
      <c r="Q848" s="60">
        <f>IF((N850=""),"",AVERAGE(F850:N850))</f>
        <v>3806.8244444444445</v>
      </c>
      <c r="R848" s="60">
        <f>IF((N849=""),"",(O848-P848)/(O848+P848)*100)</f>
        <v>3.020377779845536</v>
      </c>
      <c r="S848" s="113">
        <f>STDEV(F850:N850)</f>
        <v>75.9381924842682</v>
      </c>
      <c r="T848" s="137" t="str">
        <f>IF(N849="","",IF(Q848&gt;3650,IF(R848&lt;7,IF(Q848&lt;4450,"Pass","Fail"),"Fail"),"Fail"))</f>
        <v>Pass</v>
      </c>
      <c r="U848" s="149">
        <v>1159</v>
      </c>
      <c r="V848" s="11" t="s">
        <v>221</v>
      </c>
      <c r="X848" s="116">
        <v>3650</v>
      </c>
      <c r="Y848" s="116">
        <v>4450</v>
      </c>
      <c r="Z848" s="116">
        <v>3700</v>
      </c>
      <c r="AA848" s="116">
        <v>4100</v>
      </c>
      <c r="AB848" s="31">
        <v>7</v>
      </c>
      <c r="AC848" s="31">
        <v>6.5</v>
      </c>
    </row>
    <row r="849" spans="1:29" ht="15.6" x14ac:dyDescent="0.3">
      <c r="A849"/>
      <c r="B849" s="24"/>
      <c r="C849" s="6"/>
      <c r="D849" s="6"/>
      <c r="E849" s="61" t="s">
        <v>187</v>
      </c>
      <c r="F849" s="11">
        <v>1389.52</v>
      </c>
      <c r="G849" s="11">
        <v>1217.71</v>
      </c>
      <c r="H849" s="11">
        <v>1201.06</v>
      </c>
      <c r="I849" s="11">
        <v>1178.52</v>
      </c>
      <c r="J849" s="11">
        <v>1403.46</v>
      </c>
      <c r="K849" s="11">
        <v>1497.29</v>
      </c>
      <c r="L849" s="11">
        <v>1202.75</v>
      </c>
      <c r="M849" s="11">
        <v>1161.4100000000001</v>
      </c>
      <c r="N849" s="11">
        <v>1304.8499999999999</v>
      </c>
      <c r="O849" s="61"/>
      <c r="P849" s="61"/>
      <c r="Q849" s="62"/>
      <c r="R849" s="62"/>
      <c r="S849" s="139"/>
      <c r="T849" s="8"/>
      <c r="U849" s="146"/>
      <c r="X849" s="118"/>
      <c r="Y849" s="118"/>
      <c r="Z849" s="118"/>
      <c r="AA849" s="118"/>
    </row>
    <row r="850" spans="1:29" ht="23.4" thickBot="1" x14ac:dyDescent="0.35">
      <c r="A850"/>
      <c r="B850" s="24"/>
      <c r="C850" s="6"/>
      <c r="D850" s="6"/>
      <c r="E850" s="61" t="s">
        <v>188</v>
      </c>
      <c r="F850" s="40">
        <f t="shared" ref="F850:N850" si="278">IF(((F848="")*AND(F849="")),"",(F848-F849)*2)</f>
        <v>3759</v>
      </c>
      <c r="G850" s="40">
        <f t="shared" si="278"/>
        <v>3851.92</v>
      </c>
      <c r="H850" s="40">
        <f t="shared" si="278"/>
        <v>3868.8599999999997</v>
      </c>
      <c r="I850" s="40">
        <f t="shared" si="278"/>
        <v>3834.96</v>
      </c>
      <c r="J850" s="40">
        <f t="shared" si="278"/>
        <v>3739.24</v>
      </c>
      <c r="K850" s="40">
        <f t="shared" si="278"/>
        <v>3647.84</v>
      </c>
      <c r="L850" s="40">
        <f t="shared" si="278"/>
        <v>3833.34</v>
      </c>
      <c r="M850" s="40">
        <f t="shared" si="278"/>
        <v>3875.06</v>
      </c>
      <c r="N850" s="40">
        <f t="shared" si="278"/>
        <v>3851.2</v>
      </c>
      <c r="O850" s="61"/>
      <c r="P850" s="61"/>
      <c r="Q850" s="62"/>
      <c r="R850" s="62"/>
      <c r="S850" s="139"/>
      <c r="T850" s="8"/>
      <c r="U850" s="146"/>
      <c r="X850" s="118"/>
      <c r="Y850" s="118"/>
      <c r="Z850" s="118"/>
      <c r="AA850" s="118"/>
    </row>
    <row r="851" spans="1:29" x14ac:dyDescent="0.25">
      <c r="A851" s="207">
        <v>43497</v>
      </c>
      <c r="B851" s="215" t="s">
        <v>169</v>
      </c>
      <c r="C851" s="6" t="s">
        <v>171</v>
      </c>
      <c r="D851" s="6" t="s">
        <v>189</v>
      </c>
      <c r="E851" s="61" t="s">
        <v>186</v>
      </c>
      <c r="F851" s="11">
        <v>1951.14</v>
      </c>
      <c r="G851" s="11">
        <v>1947.97</v>
      </c>
      <c r="H851" s="11">
        <v>1947.18</v>
      </c>
      <c r="I851" s="11">
        <v>1940.91</v>
      </c>
      <c r="J851" s="11">
        <v>1948.83</v>
      </c>
      <c r="K851" s="11">
        <v>1950.94</v>
      </c>
      <c r="L851" s="11">
        <v>1942.46</v>
      </c>
      <c r="M851" s="11">
        <v>1947.59</v>
      </c>
      <c r="N851" s="11">
        <v>1952.16</v>
      </c>
      <c r="O851" s="61">
        <f>IF((N852=""),"",MAX(F853:N853))</f>
        <v>2026.3200000000002</v>
      </c>
      <c r="P851" s="61">
        <f>IF(N852="","",MIN(F853:N853))</f>
        <v>1937.25</v>
      </c>
      <c r="Q851" s="62">
        <f>IF((N853=""),"",AVERAGE(F853:N853))</f>
        <v>1974.5433333333333</v>
      </c>
      <c r="R851" s="62">
        <f>IF((N852=""),"",(O851-P851)/(O851+P851)*100)</f>
        <v>2.2472165244968592</v>
      </c>
      <c r="S851" s="139">
        <f>STDEV(F853:N853)</f>
        <v>28.464461175297256</v>
      </c>
      <c r="T851" s="5" t="str">
        <f>IF(N852="","",IF(Q851&gt;1940,IF(R851&lt;8.3,IF(Q851&lt;2180,"Pass","Fail"),"Fail"),"Fail"))</f>
        <v>Pass</v>
      </c>
      <c r="U851" s="149">
        <v>1159</v>
      </c>
      <c r="V851" s="11" t="s">
        <v>221</v>
      </c>
      <c r="X851" s="116">
        <v>2000</v>
      </c>
      <c r="Y851" s="116">
        <v>3000</v>
      </c>
      <c r="Z851" s="116">
        <v>1940</v>
      </c>
      <c r="AA851" s="116">
        <v>2180</v>
      </c>
      <c r="AB851" s="31">
        <v>5.2</v>
      </c>
      <c r="AC851" s="31">
        <v>5.2</v>
      </c>
    </row>
    <row r="852" spans="1:29" ht="15.6" x14ac:dyDescent="0.3">
      <c r="A852"/>
      <c r="B852" s="24"/>
      <c r="C852" s="6"/>
      <c r="D852" s="6"/>
      <c r="E852" s="61" t="s">
        <v>187</v>
      </c>
      <c r="F852" s="11">
        <v>1275.7</v>
      </c>
      <c r="G852" s="11">
        <v>1283.5999999999999</v>
      </c>
      <c r="H852" s="11">
        <v>1287.01</v>
      </c>
      <c r="I852" s="11">
        <v>1293.8900000000001</v>
      </c>
      <c r="J852" s="11">
        <v>1303.08</v>
      </c>
      <c r="K852" s="11">
        <v>1286.78</v>
      </c>
      <c r="L852" s="11">
        <v>1288.67</v>
      </c>
      <c r="M852" s="11">
        <v>1286.6500000000001</v>
      </c>
      <c r="N852" s="11">
        <v>1300.17</v>
      </c>
      <c r="O852" s="61"/>
      <c r="P852" s="61"/>
      <c r="Q852" s="62"/>
      <c r="R852" s="62"/>
      <c r="S852" s="139"/>
      <c r="T852" s="5"/>
      <c r="U852" s="140"/>
      <c r="X852" s="118"/>
      <c r="Y852" s="118"/>
      <c r="Z852" s="118"/>
      <c r="AA852" s="118"/>
    </row>
    <row r="853" spans="1:29" ht="26.7" customHeight="1" thickBot="1" x14ac:dyDescent="0.35">
      <c r="A853"/>
      <c r="B853" s="24"/>
      <c r="C853" s="6"/>
      <c r="D853" s="6"/>
      <c r="E853" s="61" t="s">
        <v>190</v>
      </c>
      <c r="F853" s="40">
        <f t="shared" ref="F853:N853" si="279">IF(((F851="")*AND(F852="")),"",(F851-F852)*3)</f>
        <v>2026.3200000000002</v>
      </c>
      <c r="G853" s="40">
        <f t="shared" si="279"/>
        <v>1993.1100000000004</v>
      </c>
      <c r="H853" s="40">
        <f t="shared" si="279"/>
        <v>1980.5100000000002</v>
      </c>
      <c r="I853" s="40">
        <f t="shared" si="279"/>
        <v>1941.06</v>
      </c>
      <c r="J853" s="40">
        <f t="shared" si="279"/>
        <v>1937.25</v>
      </c>
      <c r="K853" s="40">
        <f t="shared" si="279"/>
        <v>1992.4800000000002</v>
      </c>
      <c r="L853" s="40">
        <f t="shared" si="279"/>
        <v>1961.37</v>
      </c>
      <c r="M853" s="40">
        <f t="shared" si="279"/>
        <v>1982.8199999999995</v>
      </c>
      <c r="N853" s="40">
        <f t="shared" si="279"/>
        <v>1955.97</v>
      </c>
      <c r="O853" s="61"/>
      <c r="P853" s="61"/>
      <c r="Q853" s="62"/>
      <c r="R853" s="62"/>
      <c r="S853" s="139"/>
      <c r="T853" s="5"/>
      <c r="U853" s="140"/>
      <c r="X853" s="118"/>
      <c r="Y853" s="118"/>
      <c r="Z853" s="118"/>
      <c r="AA853" s="118"/>
    </row>
    <row r="854" spans="1:29" x14ac:dyDescent="0.25">
      <c r="A854" s="207">
        <v>43497</v>
      </c>
      <c r="B854" s="218" t="s">
        <v>185</v>
      </c>
      <c r="C854" s="6" t="s">
        <v>173</v>
      </c>
      <c r="D854" s="6" t="s">
        <v>172</v>
      </c>
      <c r="E854" s="61" t="s">
        <v>186</v>
      </c>
      <c r="F854" s="11">
        <v>26057.01</v>
      </c>
      <c r="G854" s="11">
        <v>26203.18</v>
      </c>
      <c r="H854" s="11">
        <v>26252.53</v>
      </c>
      <c r="I854" s="11">
        <v>26209.99</v>
      </c>
      <c r="J854" s="11">
        <v>26081.279999999999</v>
      </c>
      <c r="K854" s="11">
        <v>26115.63</v>
      </c>
      <c r="L854" s="11">
        <v>26214.37</v>
      </c>
      <c r="M854" s="11">
        <v>26158.26</v>
      </c>
      <c r="N854" s="11">
        <v>25981.43</v>
      </c>
      <c r="O854" s="61">
        <f>IF((N855=""),"",MAX(F856:N856))</f>
        <v>4460.6099999999969</v>
      </c>
      <c r="P854" s="61">
        <f>IF(N855="","",MIN(F856:N856))</f>
        <v>3933.7799999999952</v>
      </c>
      <c r="Q854" s="62">
        <f>IF((N856=""),"",AVERAGE(F856:N856))</f>
        <v>4172.21</v>
      </c>
      <c r="R854" s="62">
        <f>IF((N855=""),"",(O854-P854)/(O854+P854)*100)</f>
        <v>6.2759771704674465</v>
      </c>
      <c r="S854" s="139">
        <f>STDEV(F856:N856)</f>
        <v>206.5429051069049</v>
      </c>
      <c r="T854" s="5" t="str">
        <f>IF(N855="","",IF(R854&lt;16,IF(Q854&gt;3200,IF(R854,IF(Q854&lt;5240,"Pass","Fail"),"Fail"),"Fail")))</f>
        <v>Pass</v>
      </c>
      <c r="U854" s="149">
        <v>1159</v>
      </c>
      <c r="V854" s="11" t="s">
        <v>221</v>
      </c>
      <c r="X854" s="116">
        <v>4200</v>
      </c>
      <c r="Y854" s="116">
        <v>5500</v>
      </c>
      <c r="Z854" s="116">
        <v>3200</v>
      </c>
      <c r="AA854" s="116">
        <v>5240</v>
      </c>
      <c r="AB854" s="31">
        <v>16</v>
      </c>
      <c r="AC854" s="31">
        <v>16</v>
      </c>
    </row>
    <row r="855" spans="1:29" ht="15.6" x14ac:dyDescent="0.3">
      <c r="A855"/>
      <c r="B855" s="24"/>
      <c r="C855" s="6"/>
      <c r="D855" s="6"/>
      <c r="E855" s="61" t="s">
        <v>187</v>
      </c>
      <c r="F855" s="11">
        <v>24620.38</v>
      </c>
      <c r="G855" s="11">
        <v>24867.4</v>
      </c>
      <c r="H855" s="11">
        <v>24941.27</v>
      </c>
      <c r="I855" s="11">
        <v>24850.3</v>
      </c>
      <c r="J855" s="11">
        <v>24605.82</v>
      </c>
      <c r="K855" s="11">
        <v>24673.85</v>
      </c>
      <c r="L855" s="11">
        <v>24889.3</v>
      </c>
      <c r="M855" s="11">
        <v>24814.17</v>
      </c>
      <c r="N855" s="11">
        <v>24494.560000000001</v>
      </c>
      <c r="O855" s="61"/>
      <c r="P855" s="61"/>
      <c r="Q855" s="62"/>
      <c r="R855" s="62"/>
      <c r="S855" s="139"/>
      <c r="T855" s="5"/>
      <c r="U855" s="140"/>
      <c r="X855" s="118"/>
      <c r="Y855" s="118"/>
      <c r="Z855" s="118"/>
      <c r="AA855" s="118"/>
    </row>
    <row r="856" spans="1:29" ht="23.4" thickBot="1" x14ac:dyDescent="0.35">
      <c r="A856"/>
      <c r="B856" s="63"/>
      <c r="C856" s="64"/>
      <c r="D856" s="64"/>
      <c r="E856" s="65" t="s">
        <v>188</v>
      </c>
      <c r="F856" s="53">
        <f t="shared" ref="F856:N856" si="280">IF(((F854="")*AND(F855="")),"",(F854-F855)*3)</f>
        <v>4309.8899999999921</v>
      </c>
      <c r="G856" s="53">
        <f t="shared" si="280"/>
        <v>4007.3399999999965</v>
      </c>
      <c r="H856" s="53">
        <f t="shared" si="280"/>
        <v>3933.7799999999952</v>
      </c>
      <c r="I856" s="53">
        <f t="shared" si="280"/>
        <v>4079.070000000007</v>
      </c>
      <c r="J856" s="53">
        <f t="shared" si="280"/>
        <v>4426.3799999999974</v>
      </c>
      <c r="K856" s="53">
        <f t="shared" si="280"/>
        <v>4325.3400000000074</v>
      </c>
      <c r="L856" s="53">
        <f t="shared" si="280"/>
        <v>3975.2099999999991</v>
      </c>
      <c r="M856" s="53">
        <f t="shared" si="280"/>
        <v>4032.2700000000004</v>
      </c>
      <c r="N856" s="53">
        <f t="shared" si="280"/>
        <v>4460.6099999999969</v>
      </c>
      <c r="O856" s="65"/>
      <c r="P856" s="65"/>
      <c r="Q856" s="66"/>
      <c r="R856" s="66"/>
      <c r="S856" s="142"/>
      <c r="T856" s="143"/>
      <c r="U856" s="144"/>
      <c r="X856" s="118"/>
      <c r="Y856" s="118"/>
      <c r="Z856" s="118"/>
      <c r="AA856" s="118"/>
    </row>
    <row r="857" spans="1:29" x14ac:dyDescent="0.25">
      <c r="A857" s="207">
        <v>43503</v>
      </c>
      <c r="B857" s="219" t="s">
        <v>174</v>
      </c>
      <c r="C857" s="39" t="s">
        <v>176</v>
      </c>
      <c r="D857" s="39" t="s">
        <v>175</v>
      </c>
      <c r="E857" s="41" t="s">
        <v>186</v>
      </c>
      <c r="F857" s="11">
        <v>6845.34</v>
      </c>
      <c r="G857" s="11">
        <v>6831.55</v>
      </c>
      <c r="H857" s="11">
        <v>6876.31</v>
      </c>
      <c r="I857" s="11">
        <v>6837.8</v>
      </c>
      <c r="J857" s="11">
        <v>6889.62</v>
      </c>
      <c r="K857" s="11">
        <v>6867.8</v>
      </c>
      <c r="L857" s="11">
        <v>6863.99</v>
      </c>
      <c r="M857" s="11">
        <v>6867.53</v>
      </c>
      <c r="N857" s="11">
        <v>6950.11</v>
      </c>
      <c r="O857" s="59">
        <f>IF((N858=""),"",MAX(F859:N859))</f>
        <v>3808.7000000000007</v>
      </c>
      <c r="P857" s="59">
        <f>IF(N858="","",MIN(F859:N859))</f>
        <v>3579.0400000000009</v>
      </c>
      <c r="Q857" s="60">
        <f>IF((N859=""),"",AVERAGE(F859:N859))</f>
        <v>3730.0311111111109</v>
      </c>
      <c r="R857" s="60">
        <f>IF((N858=""),"",(O857-P857)/(O857+P857)*100)</f>
        <v>3.1086638132906654</v>
      </c>
      <c r="S857" s="113">
        <f>STDEV(F859:N859)</f>
        <v>82.571386757829558</v>
      </c>
      <c r="T857" s="137" t="str">
        <f>IF(N858="","",IF(Q857&gt;3650,IF(R857&lt;7,IF(Q857&lt;4450,"Pass","Fail"),"Fail"),"Fail"))</f>
        <v>Pass</v>
      </c>
      <c r="U857" s="149">
        <v>1340</v>
      </c>
      <c r="V857" s="11" t="s">
        <v>222</v>
      </c>
      <c r="X857" s="116">
        <v>3650</v>
      </c>
      <c r="Y857" s="116">
        <v>4450</v>
      </c>
      <c r="Z857" s="116">
        <v>3700</v>
      </c>
      <c r="AA857" s="116">
        <v>4100</v>
      </c>
      <c r="AB857" s="31">
        <v>7</v>
      </c>
      <c r="AC857" s="31">
        <v>6.5</v>
      </c>
    </row>
    <row r="858" spans="1:29" ht="15.6" x14ac:dyDescent="0.3">
      <c r="A858"/>
      <c r="B858" s="24"/>
      <c r="C858" s="6"/>
      <c r="D858" s="6"/>
      <c r="E858" s="61" t="s">
        <v>187</v>
      </c>
      <c r="F858" s="11">
        <v>5021.13</v>
      </c>
      <c r="G858" s="11">
        <v>4944.96</v>
      </c>
      <c r="H858" s="11">
        <v>4971.96</v>
      </c>
      <c r="I858" s="11">
        <v>4945.7</v>
      </c>
      <c r="J858" s="11">
        <v>5062.12</v>
      </c>
      <c r="K858" s="11">
        <v>5078.28</v>
      </c>
      <c r="L858" s="11">
        <v>4972.71</v>
      </c>
      <c r="M858" s="11">
        <v>4964.7700000000004</v>
      </c>
      <c r="N858" s="11">
        <v>5083.28</v>
      </c>
      <c r="O858" s="61"/>
      <c r="P858" s="61"/>
      <c r="Q858" s="62"/>
      <c r="R858" s="62"/>
      <c r="S858" s="139"/>
      <c r="T858" s="8"/>
      <c r="U858" s="146"/>
      <c r="X858" s="118"/>
      <c r="Y858" s="118"/>
      <c r="Z858" s="118"/>
      <c r="AA858" s="118"/>
    </row>
    <row r="859" spans="1:29" ht="23.4" thickBot="1" x14ac:dyDescent="0.35">
      <c r="A859"/>
      <c r="B859" s="24"/>
      <c r="C859" s="6"/>
      <c r="D859" s="6"/>
      <c r="E859" s="61" t="s">
        <v>188</v>
      </c>
      <c r="F859" s="40">
        <f t="shared" ref="F859:N859" si="281">IF(((F857="")*AND(F858="")),"",(F857-F858)*2)</f>
        <v>3648.42</v>
      </c>
      <c r="G859" s="40">
        <f t="shared" si="281"/>
        <v>3773.1800000000003</v>
      </c>
      <c r="H859" s="40">
        <f t="shared" si="281"/>
        <v>3808.7000000000007</v>
      </c>
      <c r="I859" s="40">
        <f t="shared" si="281"/>
        <v>3784.2000000000007</v>
      </c>
      <c r="J859" s="40">
        <f t="shared" si="281"/>
        <v>3655</v>
      </c>
      <c r="K859" s="40">
        <f t="shared" si="281"/>
        <v>3579.0400000000009</v>
      </c>
      <c r="L859" s="40">
        <f t="shared" si="281"/>
        <v>3782.5599999999995</v>
      </c>
      <c r="M859" s="40">
        <f t="shared" si="281"/>
        <v>3805.5199999999986</v>
      </c>
      <c r="N859" s="40">
        <f t="shared" si="281"/>
        <v>3733.66</v>
      </c>
      <c r="O859" s="61"/>
      <c r="P859" s="61"/>
      <c r="Q859" s="62"/>
      <c r="R859" s="62"/>
      <c r="S859" s="139"/>
      <c r="T859" s="8"/>
      <c r="U859" s="146"/>
      <c r="X859" s="118"/>
      <c r="Y859" s="118"/>
      <c r="Z859" s="118"/>
      <c r="AA859" s="118"/>
    </row>
    <row r="860" spans="1:29" x14ac:dyDescent="0.25">
      <c r="A860" s="207">
        <v>43503</v>
      </c>
      <c r="B860" s="215" t="s">
        <v>169</v>
      </c>
      <c r="C860" s="6" t="s">
        <v>171</v>
      </c>
      <c r="D860" s="6" t="s">
        <v>189</v>
      </c>
      <c r="E860" s="61" t="s">
        <v>186</v>
      </c>
      <c r="F860" s="11">
        <v>1974.93</v>
      </c>
      <c r="G860" s="11">
        <v>1968.42</v>
      </c>
      <c r="H860" s="11">
        <v>1964.79</v>
      </c>
      <c r="I860" s="11">
        <v>1970.54</v>
      </c>
      <c r="J860" s="11">
        <v>1980.92</v>
      </c>
      <c r="K860" s="11">
        <v>1979.97</v>
      </c>
      <c r="L860" s="11">
        <v>1969.2</v>
      </c>
      <c r="M860" s="11">
        <v>1972.04</v>
      </c>
      <c r="N860" s="11">
        <v>1977.76</v>
      </c>
      <c r="O860" s="61">
        <f>IF((N861=""),"",MAX(F862:N862))</f>
        <v>2057.7300000000005</v>
      </c>
      <c r="P860" s="61">
        <f>IF(N861="","",MIN(F862:N862))</f>
        <v>2007.2999999999997</v>
      </c>
      <c r="Q860" s="62">
        <f>IF((N862=""),"",AVERAGE(F862:N862))</f>
        <v>2028.6233333333334</v>
      </c>
      <c r="R860" s="62">
        <f>IF((N861=""),"",(O860-P860)/(O860+P860)*100)</f>
        <v>1.2405812503228941</v>
      </c>
      <c r="S860" s="139">
        <f>STDEV(F862:N862)</f>
        <v>15.687022502693249</v>
      </c>
      <c r="T860" s="5" t="str">
        <f>IF(N861="","",IF(Q860&gt;1940,IF(R860&lt;8.3,IF(Q860&lt;2180,"Pass","Fail"),"Fail"),"Fail"))</f>
        <v>Pass</v>
      </c>
      <c r="U860" s="149">
        <v>1340</v>
      </c>
      <c r="V860" s="11" t="s">
        <v>222</v>
      </c>
      <c r="X860" s="116">
        <v>2000</v>
      </c>
      <c r="Y860" s="116">
        <v>3000</v>
      </c>
      <c r="Z860" s="116">
        <v>1940</v>
      </c>
      <c r="AA860" s="116">
        <v>2180</v>
      </c>
      <c r="AB860" s="31">
        <v>5.2</v>
      </c>
      <c r="AC860" s="31">
        <v>5.2</v>
      </c>
    </row>
    <row r="861" spans="1:29" ht="15.6" x14ac:dyDescent="0.3">
      <c r="A861"/>
      <c r="B861" s="24"/>
      <c r="C861" s="6"/>
      <c r="D861" s="6"/>
      <c r="E861" s="61" t="s">
        <v>187</v>
      </c>
      <c r="F861" s="11">
        <v>1289.02</v>
      </c>
      <c r="G861" s="11">
        <v>1291.1099999999999</v>
      </c>
      <c r="H861" s="11">
        <v>1295.69</v>
      </c>
      <c r="I861" s="11">
        <v>1296.32</v>
      </c>
      <c r="J861" s="11">
        <v>1307.78</v>
      </c>
      <c r="K861" s="11">
        <v>1298.27</v>
      </c>
      <c r="L861" s="11">
        <v>1296.42</v>
      </c>
      <c r="M861" s="11">
        <v>1293.24</v>
      </c>
      <c r="N861" s="11">
        <v>1304.8499999999999</v>
      </c>
      <c r="O861" s="61"/>
      <c r="P861" s="61"/>
      <c r="Q861" s="62"/>
      <c r="R861" s="62"/>
      <c r="S861" s="139"/>
      <c r="T861" s="5"/>
      <c r="U861" s="140"/>
      <c r="X861" s="118"/>
      <c r="Y861" s="118"/>
      <c r="Z861" s="118"/>
      <c r="AA861" s="118"/>
    </row>
    <row r="862" spans="1:29" ht="25.5" customHeight="1" thickBot="1" x14ac:dyDescent="0.35">
      <c r="A862"/>
      <c r="B862" s="24"/>
      <c r="C862" s="6"/>
      <c r="D862" s="6"/>
      <c r="E862" s="61" t="s">
        <v>190</v>
      </c>
      <c r="F862" s="40">
        <f t="shared" ref="F862:N862" si="282">IF(((F860="")*AND(F861="")),"",(F860-F861)*3)</f>
        <v>2057.7300000000005</v>
      </c>
      <c r="G862" s="40">
        <f t="shared" si="282"/>
        <v>2031.9300000000005</v>
      </c>
      <c r="H862" s="40">
        <f t="shared" si="282"/>
        <v>2007.2999999999997</v>
      </c>
      <c r="I862" s="40">
        <f t="shared" si="282"/>
        <v>2022.66</v>
      </c>
      <c r="J862" s="40">
        <f t="shared" si="282"/>
        <v>2019.4200000000003</v>
      </c>
      <c r="K862" s="40">
        <f t="shared" si="282"/>
        <v>2045.1000000000001</v>
      </c>
      <c r="L862" s="40">
        <f t="shared" si="282"/>
        <v>2018.34</v>
      </c>
      <c r="M862" s="40">
        <f t="shared" si="282"/>
        <v>2036.3999999999999</v>
      </c>
      <c r="N862" s="40">
        <f t="shared" si="282"/>
        <v>2018.7300000000002</v>
      </c>
      <c r="O862" s="61"/>
      <c r="P862" s="61"/>
      <c r="Q862" s="62"/>
      <c r="R862" s="62"/>
      <c r="S862" s="139"/>
      <c r="T862" s="5"/>
      <c r="U862" s="140"/>
      <c r="X862" s="118"/>
      <c r="Y862" s="118"/>
      <c r="Z862" s="118"/>
      <c r="AA862" s="118"/>
    </row>
    <row r="863" spans="1:29" x14ac:dyDescent="0.25">
      <c r="A863" s="207">
        <v>43503</v>
      </c>
      <c r="B863" s="218" t="s">
        <v>185</v>
      </c>
      <c r="C863" s="6" t="s">
        <v>173</v>
      </c>
      <c r="D863" s="6" t="s">
        <v>172</v>
      </c>
      <c r="E863" s="61" t="s">
        <v>186</v>
      </c>
      <c r="F863" s="11">
        <v>29173.66</v>
      </c>
      <c r="G863" s="11">
        <v>29092.11</v>
      </c>
      <c r="H863" s="11">
        <v>29091.13</v>
      </c>
      <c r="I863" s="11">
        <v>29094.62</v>
      </c>
      <c r="J863" s="11">
        <v>29190.21</v>
      </c>
      <c r="K863" s="11">
        <v>29172.45</v>
      </c>
      <c r="L863" s="11">
        <v>29079.79</v>
      </c>
      <c r="M863" s="11">
        <v>29083.22</v>
      </c>
      <c r="N863" s="11">
        <v>29162.14</v>
      </c>
      <c r="O863" s="61">
        <f>IF((N864=""),"",MAX(F865:N865))</f>
        <v>4485</v>
      </c>
      <c r="P863" s="61">
        <f>IF(N864="","",MIN(F865:N865))</f>
        <v>3989.4900000000052</v>
      </c>
      <c r="Q863" s="62">
        <f>IF((N865=""),"",AVERAGE(F865:N865))</f>
        <v>4202.8633333333337</v>
      </c>
      <c r="R863" s="62">
        <f>IF((N864=""),"",(O863-P863)/(O863+P863)*100)</f>
        <v>5.847077523249121</v>
      </c>
      <c r="S863" s="139">
        <f>STDEV(F865:N865)</f>
        <v>194.75707548122526</v>
      </c>
      <c r="T863" s="5" t="str">
        <f>IF(N864="","",IF(R863&lt;16,IF(Q863&gt;3200,IF(R863,IF(Q863&lt;5240,"Pass","Fail"),"Fail"),"Fail")))</f>
        <v>Pass</v>
      </c>
      <c r="U863" s="149">
        <v>1340</v>
      </c>
      <c r="V863" s="11" t="s">
        <v>222</v>
      </c>
      <c r="X863" s="116">
        <v>4200</v>
      </c>
      <c r="Y863" s="116">
        <v>5500</v>
      </c>
      <c r="Z863" s="116">
        <v>3200</v>
      </c>
      <c r="AA863" s="116">
        <v>5240</v>
      </c>
      <c r="AB863" s="31">
        <v>16</v>
      </c>
      <c r="AC863" s="31">
        <v>16</v>
      </c>
    </row>
    <row r="864" spans="1:29" ht="15.6" x14ac:dyDescent="0.3">
      <c r="A864"/>
      <c r="B864" s="24"/>
      <c r="C864" s="6"/>
      <c r="D864" s="6"/>
      <c r="E864" s="61" t="s">
        <v>187</v>
      </c>
      <c r="F864" s="11">
        <v>27725.93</v>
      </c>
      <c r="G864" s="11">
        <v>27740.38</v>
      </c>
      <c r="H864" s="11">
        <v>27761.3</v>
      </c>
      <c r="I864" s="11">
        <v>27740.2</v>
      </c>
      <c r="J864" s="11">
        <v>27705.59</v>
      </c>
      <c r="K864" s="11">
        <v>27734.84</v>
      </c>
      <c r="L864" s="11">
        <v>27737.15</v>
      </c>
      <c r="M864" s="11">
        <v>27718.21</v>
      </c>
      <c r="N864" s="11">
        <v>27667.14</v>
      </c>
      <c r="O864" s="61"/>
      <c r="P864" s="61"/>
      <c r="Q864" s="62"/>
      <c r="R864" s="62"/>
      <c r="S864" s="139"/>
      <c r="T864" s="5"/>
      <c r="U864" s="140"/>
      <c r="X864" s="118"/>
      <c r="Y864" s="118"/>
      <c r="Z864" s="118"/>
      <c r="AA864" s="118"/>
    </row>
    <row r="865" spans="1:29" ht="23.4" thickBot="1" x14ac:dyDescent="0.35">
      <c r="A865"/>
      <c r="B865" s="63"/>
      <c r="C865" s="64"/>
      <c r="D865" s="64"/>
      <c r="E865" s="65" t="s">
        <v>188</v>
      </c>
      <c r="F865" s="53">
        <f t="shared" ref="F865:N865" si="283">IF(((F863="")*AND(F864="")),"",(F863-F864)*3)</f>
        <v>4343.1899999999987</v>
      </c>
      <c r="G865" s="53">
        <f t="shared" si="283"/>
        <v>4055.1899999999987</v>
      </c>
      <c r="H865" s="53">
        <f t="shared" si="283"/>
        <v>3989.4900000000052</v>
      </c>
      <c r="I865" s="53">
        <f t="shared" si="283"/>
        <v>4063.2599999999948</v>
      </c>
      <c r="J865" s="53">
        <f t="shared" si="283"/>
        <v>4453.8599999999969</v>
      </c>
      <c r="K865" s="53">
        <f t="shared" si="283"/>
        <v>4312.8300000000017</v>
      </c>
      <c r="L865" s="53">
        <f t="shared" si="283"/>
        <v>4027.9199999999983</v>
      </c>
      <c r="M865" s="53">
        <f t="shared" si="283"/>
        <v>4095.0300000000061</v>
      </c>
      <c r="N865" s="53">
        <f t="shared" si="283"/>
        <v>4485</v>
      </c>
      <c r="O865" s="65"/>
      <c r="P865" s="65"/>
      <c r="Q865" s="66"/>
      <c r="R865" s="66"/>
      <c r="S865" s="142"/>
      <c r="T865" s="143"/>
      <c r="U865" s="144"/>
      <c r="X865" s="118"/>
      <c r="Y865" s="118"/>
      <c r="Z865" s="118"/>
      <c r="AA865" s="118"/>
    </row>
    <row r="866" spans="1:29" x14ac:dyDescent="0.25">
      <c r="A866" s="207">
        <v>43507</v>
      </c>
      <c r="B866" s="219" t="s">
        <v>174</v>
      </c>
      <c r="C866" s="39" t="s">
        <v>176</v>
      </c>
      <c r="D866" s="39" t="s">
        <v>175</v>
      </c>
      <c r="E866" s="41" t="s">
        <v>186</v>
      </c>
      <c r="F866" s="11">
        <v>5027.67</v>
      </c>
      <c r="G866" s="11">
        <v>4952.79</v>
      </c>
      <c r="H866" s="11">
        <v>4979</v>
      </c>
      <c r="I866" s="11">
        <v>4953.25</v>
      </c>
      <c r="J866" s="11">
        <v>5068.3599999999997</v>
      </c>
      <c r="K866" s="11">
        <v>5084.84</v>
      </c>
      <c r="L866" s="11">
        <v>4979.67</v>
      </c>
      <c r="M866" s="11">
        <v>4971.6499999999996</v>
      </c>
      <c r="N866" s="11">
        <v>5089.3999999999996</v>
      </c>
      <c r="O866" s="59">
        <f>IF((N867=""),"",MAX(F868:N868))</f>
        <v>3912.5199999999995</v>
      </c>
      <c r="P866" s="59">
        <f>IF(N867="","",MIN(F868:N868))</f>
        <v>3645.16</v>
      </c>
      <c r="Q866" s="60">
        <f>IF((N868=""),"",AVERAGE(F868:N868))</f>
        <v>3817.6022222222218</v>
      </c>
      <c r="R866" s="60">
        <f>IF((N867=""),"",(O866-P866)/(O866+P866)*100)</f>
        <v>3.5375935472261291</v>
      </c>
      <c r="S866" s="113">
        <f>STDEV(F868:N868)</f>
        <v>91.919321388076156</v>
      </c>
      <c r="T866" s="137" t="str">
        <f>IF(N867="","",IF(Q866&gt;3650,IF(R866&lt;7,IF(Q866&lt;4450,"Pass","Fail"),"Fail"),"Fail"))</f>
        <v>Pass</v>
      </c>
      <c r="U866" s="149">
        <v>1159</v>
      </c>
      <c r="V866" s="11" t="s">
        <v>223</v>
      </c>
      <c r="X866" s="116">
        <v>3650</v>
      </c>
      <c r="Y866" s="116">
        <v>4450</v>
      </c>
      <c r="Z866" s="116">
        <v>3700</v>
      </c>
      <c r="AA866" s="116">
        <v>4100</v>
      </c>
      <c r="AB866" s="31">
        <v>7</v>
      </c>
      <c r="AC866" s="31">
        <v>6.5</v>
      </c>
    </row>
    <row r="867" spans="1:29" ht="15.6" x14ac:dyDescent="0.3">
      <c r="A867"/>
      <c r="B867" s="24"/>
      <c r="C867" s="6"/>
      <c r="D867" s="6"/>
      <c r="E867" s="61" t="s">
        <v>187</v>
      </c>
      <c r="F867" s="11">
        <v>3167.62</v>
      </c>
      <c r="G867" s="11">
        <v>3022</v>
      </c>
      <c r="H867" s="11">
        <v>3032.09</v>
      </c>
      <c r="I867" s="11">
        <v>3015.38</v>
      </c>
      <c r="J867" s="11">
        <v>3196.82</v>
      </c>
      <c r="K867" s="11">
        <v>3262.26</v>
      </c>
      <c r="L867" s="11">
        <v>3049.06</v>
      </c>
      <c r="M867" s="11">
        <v>3015.39</v>
      </c>
      <c r="N867" s="11">
        <v>3166.8</v>
      </c>
      <c r="O867" s="61"/>
      <c r="P867" s="61"/>
      <c r="Q867" s="62"/>
      <c r="R867" s="62"/>
      <c r="S867" s="139"/>
      <c r="T867" s="8"/>
      <c r="U867" s="146"/>
      <c r="X867" s="118"/>
      <c r="Y867" s="118"/>
      <c r="Z867" s="118"/>
      <c r="AA867" s="118"/>
    </row>
    <row r="868" spans="1:29" ht="23.4" thickBot="1" x14ac:dyDescent="0.35">
      <c r="A868"/>
      <c r="B868" s="24"/>
      <c r="C868" s="6"/>
      <c r="D868" s="6"/>
      <c r="E868" s="61" t="s">
        <v>188</v>
      </c>
      <c r="F868" s="40">
        <f t="shared" ref="F868:N868" si="284">IF(((F866="")*AND(F867="")),"",(F866-F867)*2)</f>
        <v>3720.1000000000004</v>
      </c>
      <c r="G868" s="40">
        <f t="shared" si="284"/>
        <v>3861.58</v>
      </c>
      <c r="H868" s="40">
        <f t="shared" si="284"/>
        <v>3893.8199999999997</v>
      </c>
      <c r="I868" s="40">
        <f t="shared" si="284"/>
        <v>3875.74</v>
      </c>
      <c r="J868" s="40">
        <f t="shared" si="284"/>
        <v>3743.079999999999</v>
      </c>
      <c r="K868" s="40">
        <f t="shared" si="284"/>
        <v>3645.16</v>
      </c>
      <c r="L868" s="40">
        <f t="shared" si="284"/>
        <v>3861.2200000000003</v>
      </c>
      <c r="M868" s="40">
        <f t="shared" si="284"/>
        <v>3912.5199999999995</v>
      </c>
      <c r="N868" s="40">
        <f t="shared" si="284"/>
        <v>3845.1999999999989</v>
      </c>
      <c r="O868" s="61"/>
      <c r="P868" s="61"/>
      <c r="Q868" s="62"/>
      <c r="R868" s="62"/>
      <c r="S868" s="139"/>
      <c r="T868" s="8"/>
      <c r="U868" s="146"/>
      <c r="X868" s="118"/>
      <c r="Y868" s="118"/>
      <c r="Z868" s="118"/>
      <c r="AA868" s="118"/>
    </row>
    <row r="869" spans="1:29" x14ac:dyDescent="0.25">
      <c r="A869" s="207">
        <v>43507</v>
      </c>
      <c r="B869" s="215" t="s">
        <v>169</v>
      </c>
      <c r="C869" s="6" t="s">
        <v>171</v>
      </c>
      <c r="D869" s="6" t="s">
        <v>189</v>
      </c>
      <c r="E869" s="61" t="s">
        <v>186</v>
      </c>
      <c r="F869" s="11">
        <v>1294.07</v>
      </c>
      <c r="G869" s="11">
        <v>1295.48</v>
      </c>
      <c r="H869" s="11">
        <v>1295.4100000000001</v>
      </c>
      <c r="I869" s="11">
        <v>1299.94</v>
      </c>
      <c r="J869" s="11">
        <v>1310.5899999999999</v>
      </c>
      <c r="K869" s="11">
        <v>1302.56</v>
      </c>
      <c r="L869" s="11">
        <v>1299.6199999999999</v>
      </c>
      <c r="M869" s="11">
        <v>1295.02</v>
      </c>
      <c r="N869" s="11">
        <v>1307.79</v>
      </c>
      <c r="O869" s="61">
        <f>IF((N870=""),"",MAX(F871:N871))</f>
        <v>2036.9699999999998</v>
      </c>
      <c r="P869" s="61">
        <f>IF(N870="","",MIN(F871:N871))</f>
        <v>1955.79</v>
      </c>
      <c r="Q869" s="62">
        <f>IF((N871=""),"",AVERAGE(F871:N871))</f>
        <v>1995.5899999999997</v>
      </c>
      <c r="R869" s="62">
        <f>IF((N870=""),"",(O869-P869)/(O869+P869)*100)</f>
        <v>2.0331800559011772</v>
      </c>
      <c r="S869" s="139">
        <f>STDEV(F871:N871)</f>
        <v>24.255255100699273</v>
      </c>
      <c r="T869" s="5" t="str">
        <f>IF(N870="","",IF(Q869&gt;1940,IF(R869&lt;8.3,IF(Q869&lt;2180,"Pass","Fail"),"Fail"),"Fail"))</f>
        <v>Pass</v>
      </c>
      <c r="U869" s="149">
        <v>1159</v>
      </c>
      <c r="V869" s="11" t="s">
        <v>223</v>
      </c>
      <c r="X869" s="116">
        <v>2000</v>
      </c>
      <c r="Y869" s="116">
        <v>3000</v>
      </c>
      <c r="Z869" s="116">
        <v>1940</v>
      </c>
      <c r="AA869" s="116">
        <v>2180</v>
      </c>
      <c r="AB869" s="31">
        <v>5.2</v>
      </c>
      <c r="AC869" s="31">
        <v>5.2</v>
      </c>
    </row>
    <row r="870" spans="1:29" ht="15.6" x14ac:dyDescent="0.3">
      <c r="A870"/>
      <c r="B870" s="24"/>
      <c r="C870" s="6"/>
      <c r="D870" s="6"/>
      <c r="E870" s="61" t="s">
        <v>187</v>
      </c>
      <c r="F870" s="11">
        <v>615.08000000000004</v>
      </c>
      <c r="G870" s="11">
        <v>625.34</v>
      </c>
      <c r="H870" s="11">
        <v>636.08000000000004</v>
      </c>
      <c r="I870" s="11">
        <v>633.91</v>
      </c>
      <c r="J870" s="11">
        <v>658.66</v>
      </c>
      <c r="K870" s="11">
        <v>642.9</v>
      </c>
      <c r="L870" s="11">
        <v>636.79999999999995</v>
      </c>
      <c r="M870" s="11">
        <v>622.03</v>
      </c>
      <c r="N870" s="11">
        <v>642.91</v>
      </c>
      <c r="O870" s="61"/>
      <c r="P870" s="61"/>
      <c r="Q870" s="62"/>
      <c r="R870" s="62"/>
      <c r="S870" s="139"/>
      <c r="T870" s="5"/>
      <c r="U870" s="140"/>
      <c r="X870" s="118"/>
      <c r="Y870" s="118"/>
      <c r="Z870" s="118"/>
      <c r="AA870" s="118"/>
    </row>
    <row r="871" spans="1:29" ht="26.7" customHeight="1" thickBot="1" x14ac:dyDescent="0.35">
      <c r="A871"/>
      <c r="B871" s="24"/>
      <c r="C871" s="6"/>
      <c r="D871" s="6"/>
      <c r="E871" s="61" t="s">
        <v>190</v>
      </c>
      <c r="F871" s="40">
        <f t="shared" ref="F871:N871" si="285">IF(((F869="")*AND(F870="")),"",(F869-F870)*3)</f>
        <v>2036.9699999999998</v>
      </c>
      <c r="G871" s="40">
        <f t="shared" si="285"/>
        <v>2010.42</v>
      </c>
      <c r="H871" s="40">
        <f t="shared" si="285"/>
        <v>1977.9900000000002</v>
      </c>
      <c r="I871" s="40">
        <f t="shared" si="285"/>
        <v>1998.0900000000001</v>
      </c>
      <c r="J871" s="40">
        <f t="shared" si="285"/>
        <v>1955.79</v>
      </c>
      <c r="K871" s="40">
        <f t="shared" si="285"/>
        <v>1978.98</v>
      </c>
      <c r="L871" s="40">
        <f t="shared" si="285"/>
        <v>1988.4599999999998</v>
      </c>
      <c r="M871" s="40">
        <f t="shared" si="285"/>
        <v>2018.97</v>
      </c>
      <c r="N871" s="40">
        <f t="shared" si="285"/>
        <v>1994.6399999999999</v>
      </c>
      <c r="O871" s="61"/>
      <c r="P871" s="61"/>
      <c r="Q871" s="62"/>
      <c r="R871" s="62"/>
      <c r="S871" s="139"/>
      <c r="T871" s="5"/>
      <c r="U871" s="140"/>
      <c r="X871" s="118"/>
      <c r="Y871" s="118"/>
      <c r="Z871" s="118"/>
      <c r="AA871" s="118"/>
    </row>
    <row r="872" spans="1:29" x14ac:dyDescent="0.25">
      <c r="A872" s="207">
        <v>43507</v>
      </c>
      <c r="B872" s="218" t="s">
        <v>185</v>
      </c>
      <c r="C872" s="6" t="s">
        <v>173</v>
      </c>
      <c r="D872" s="6" t="s">
        <v>172</v>
      </c>
      <c r="E872" s="61" t="s">
        <v>186</v>
      </c>
      <c r="F872" s="11">
        <v>27655.01</v>
      </c>
      <c r="G872" s="11">
        <v>27670.59</v>
      </c>
      <c r="H872" s="11">
        <v>27695.48</v>
      </c>
      <c r="I872" s="11">
        <v>27668.33</v>
      </c>
      <c r="J872" s="11">
        <v>27627.08</v>
      </c>
      <c r="K872" s="11">
        <v>27663.439999999999</v>
      </c>
      <c r="L872" s="11">
        <v>27665.19</v>
      </c>
      <c r="M872" s="11">
        <v>27652.080000000002</v>
      </c>
      <c r="N872" s="11">
        <v>27609.51</v>
      </c>
      <c r="O872" s="61">
        <f>IF((N873=""),"",MAX(F874:N874))</f>
        <v>4590.8699999999917</v>
      </c>
      <c r="P872" s="61">
        <f>IF(N873="","",MIN(F874:N874))</f>
        <v>4059.7799999999952</v>
      </c>
      <c r="Q872" s="62">
        <f>IF((N874=""),"",AVERAGE(F874:N874))</f>
        <v>4263.2099999999982</v>
      </c>
      <c r="R872" s="62">
        <f>IF((N873=""),"",(O872-P872)/(O872+P872)*100)</f>
        <v>6.1393074508851626</v>
      </c>
      <c r="S872" s="139">
        <f>STDEV(F874:N874)</f>
        <v>186.75119577930201</v>
      </c>
      <c r="T872" s="5" t="str">
        <f>IF(N873="","",IF(R872&lt;16,IF(Q872&gt;3200,IF(R872,IF(Q872&lt;5240,"Pass","Fail"),"Fail"),"Fail")))</f>
        <v>Pass</v>
      </c>
      <c r="U872" s="149">
        <v>1159</v>
      </c>
      <c r="V872" s="11" t="s">
        <v>223</v>
      </c>
      <c r="X872" s="116">
        <v>4200</v>
      </c>
      <c r="Y872" s="116">
        <v>5500</v>
      </c>
      <c r="Z872" s="116">
        <v>3200</v>
      </c>
      <c r="AA872" s="116">
        <v>5240</v>
      </c>
      <c r="AB872" s="31">
        <v>16</v>
      </c>
      <c r="AC872" s="31">
        <v>16</v>
      </c>
    </row>
    <row r="873" spans="1:29" ht="15.6" x14ac:dyDescent="0.3">
      <c r="A873"/>
      <c r="B873" s="24"/>
      <c r="C873" s="6"/>
      <c r="D873" s="6"/>
      <c r="E873" s="61" t="s">
        <v>187</v>
      </c>
      <c r="F873" s="11">
        <v>26171.79</v>
      </c>
      <c r="G873" s="11">
        <v>26293.61</v>
      </c>
      <c r="H873" s="11">
        <v>26342.22</v>
      </c>
      <c r="I873" s="11">
        <v>26294.81</v>
      </c>
      <c r="J873" s="11">
        <v>26158.02</v>
      </c>
      <c r="K873" s="11">
        <v>26222.13</v>
      </c>
      <c r="L873" s="11">
        <v>26299.71</v>
      </c>
      <c r="M873" s="11">
        <v>26255.57</v>
      </c>
      <c r="N873" s="11">
        <v>26079.22</v>
      </c>
      <c r="O873" s="61"/>
      <c r="P873" s="61"/>
      <c r="Q873" s="62"/>
      <c r="R873" s="62"/>
      <c r="S873" s="139"/>
      <c r="T873" s="5"/>
      <c r="U873" s="140"/>
      <c r="X873" s="118"/>
      <c r="Y873" s="118"/>
      <c r="Z873" s="118"/>
      <c r="AA873" s="118"/>
    </row>
    <row r="874" spans="1:29" ht="23.4" thickBot="1" x14ac:dyDescent="0.35">
      <c r="A874"/>
      <c r="B874" s="63"/>
      <c r="C874" s="64"/>
      <c r="D874" s="64"/>
      <c r="E874" s="65" t="s">
        <v>188</v>
      </c>
      <c r="F874" s="53">
        <f t="shared" ref="F874:N874" si="286">IF(((F872="")*AND(F873="")),"",(F872-F873)*3)</f>
        <v>4449.6599999999926</v>
      </c>
      <c r="G874" s="53">
        <f t="shared" si="286"/>
        <v>4130.9399999999987</v>
      </c>
      <c r="H874" s="53">
        <f t="shared" si="286"/>
        <v>4059.7799999999952</v>
      </c>
      <c r="I874" s="53">
        <f t="shared" si="286"/>
        <v>4120.5600000000013</v>
      </c>
      <c r="J874" s="53">
        <f t="shared" si="286"/>
        <v>4407.1800000000039</v>
      </c>
      <c r="K874" s="53">
        <f t="shared" si="286"/>
        <v>4323.929999999993</v>
      </c>
      <c r="L874" s="53">
        <f t="shared" si="286"/>
        <v>4096.4399999999987</v>
      </c>
      <c r="M874" s="53">
        <f t="shared" si="286"/>
        <v>4189.5300000000061</v>
      </c>
      <c r="N874" s="53">
        <f t="shared" si="286"/>
        <v>4590.8699999999917</v>
      </c>
      <c r="O874" s="65"/>
      <c r="P874" s="65"/>
      <c r="Q874" s="66"/>
      <c r="R874" s="66"/>
      <c r="S874" s="142"/>
      <c r="T874" s="143"/>
      <c r="U874" s="144"/>
      <c r="X874" s="118"/>
      <c r="Y874" s="118"/>
      <c r="Z874" s="118"/>
      <c r="AA874" s="118"/>
    </row>
    <row r="875" spans="1:29" x14ac:dyDescent="0.25">
      <c r="A875" s="207">
        <v>43510</v>
      </c>
      <c r="B875" s="219" t="s">
        <v>174</v>
      </c>
      <c r="C875" s="39" t="s">
        <v>176</v>
      </c>
      <c r="D875" s="39" t="s">
        <v>175</v>
      </c>
      <c r="E875" s="41" t="s">
        <v>186</v>
      </c>
      <c r="F875" s="11">
        <v>3167.62</v>
      </c>
      <c r="G875" s="11">
        <v>3022</v>
      </c>
      <c r="H875" s="11">
        <v>3032.09</v>
      </c>
      <c r="I875" s="11">
        <v>3015.38</v>
      </c>
      <c r="J875" s="11">
        <v>3196.82</v>
      </c>
      <c r="K875" s="11">
        <v>3262.26</v>
      </c>
      <c r="L875" s="11">
        <v>3049.06</v>
      </c>
      <c r="M875" s="11">
        <v>3015.39</v>
      </c>
      <c r="N875" s="11">
        <v>3166.8</v>
      </c>
      <c r="O875" s="59">
        <f>IF((N876=""),"",MAX(F877:N877))</f>
        <v>3810.56</v>
      </c>
      <c r="P875" s="59">
        <f>IF(N876="","",MIN(F877:N877))</f>
        <v>3611.5600000000004</v>
      </c>
      <c r="Q875" s="60">
        <f>IF((N877=""),"",AVERAGE(F877:N877))</f>
        <v>3748.0133333333338</v>
      </c>
      <c r="R875" s="60">
        <f>IF((N876=""),"",(O875-P875)/(O875+P875)*100)</f>
        <v>2.6811746509083596</v>
      </c>
      <c r="S875" s="113">
        <f>STDEV(F877:N877)</f>
        <v>66.797431088328537</v>
      </c>
      <c r="T875" s="137" t="str">
        <f>IF(N876="","",IF(Q875&gt;3650,IF(R875&lt;7,IF(Q875&lt;4450,"Pass","Fail"),"Fail"),"Fail"))</f>
        <v>Pass</v>
      </c>
      <c r="U875" s="149">
        <v>121</v>
      </c>
      <c r="X875" s="116">
        <v>3650</v>
      </c>
      <c r="Y875" s="116">
        <v>4450</v>
      </c>
      <c r="Z875" s="116">
        <v>3700</v>
      </c>
      <c r="AA875" s="116">
        <v>4100</v>
      </c>
      <c r="AB875" s="31">
        <v>7</v>
      </c>
      <c r="AC875" s="31">
        <v>6.5</v>
      </c>
    </row>
    <row r="876" spans="1:29" ht="15.6" x14ac:dyDescent="0.3">
      <c r="A876"/>
      <c r="B876" s="24"/>
      <c r="C876" s="6"/>
      <c r="D876" s="6"/>
      <c r="E876" s="61" t="s">
        <v>187</v>
      </c>
      <c r="F876" s="11">
        <v>1328.67</v>
      </c>
      <c r="G876" s="11">
        <v>1139.4100000000001</v>
      </c>
      <c r="H876" s="11">
        <v>1130.22</v>
      </c>
      <c r="I876" s="11">
        <v>1125.1199999999999</v>
      </c>
      <c r="J876" s="11">
        <v>1339.13</v>
      </c>
      <c r="K876" s="11">
        <v>1456.48</v>
      </c>
      <c r="L876" s="11">
        <v>1162.08</v>
      </c>
      <c r="M876" s="11">
        <v>1110.1099999999999</v>
      </c>
      <c r="N876" s="11">
        <v>1270.1400000000001</v>
      </c>
      <c r="O876" s="61"/>
      <c r="P876" s="61"/>
      <c r="Q876" s="62"/>
      <c r="R876" s="62"/>
      <c r="S876" s="139"/>
      <c r="T876" s="8"/>
      <c r="U876" s="146"/>
      <c r="X876" s="118"/>
      <c r="Y876" s="118"/>
      <c r="Z876" s="118"/>
      <c r="AA876" s="118"/>
    </row>
    <row r="877" spans="1:29" ht="23.4" thickBot="1" x14ac:dyDescent="0.35">
      <c r="A877"/>
      <c r="B877" s="24"/>
      <c r="C877" s="6"/>
      <c r="D877" s="6"/>
      <c r="E877" s="61" t="s">
        <v>188</v>
      </c>
      <c r="F877" s="40">
        <f t="shared" ref="F877:N877" si="287">IF(((F875="")*AND(F876="")),"",(F875-F876)*2)</f>
        <v>3677.8999999999996</v>
      </c>
      <c r="G877" s="40">
        <f t="shared" si="287"/>
        <v>3765.18</v>
      </c>
      <c r="H877" s="40">
        <f t="shared" si="287"/>
        <v>3803.7400000000002</v>
      </c>
      <c r="I877" s="40">
        <f t="shared" si="287"/>
        <v>3780.5200000000004</v>
      </c>
      <c r="J877" s="40">
        <f t="shared" si="287"/>
        <v>3715.38</v>
      </c>
      <c r="K877" s="40">
        <f t="shared" si="287"/>
        <v>3611.5600000000004</v>
      </c>
      <c r="L877" s="40">
        <f t="shared" si="287"/>
        <v>3773.96</v>
      </c>
      <c r="M877" s="40">
        <f t="shared" si="287"/>
        <v>3810.56</v>
      </c>
      <c r="N877" s="40">
        <f t="shared" si="287"/>
        <v>3793.32</v>
      </c>
      <c r="O877" s="61"/>
      <c r="P877" s="61"/>
      <c r="Q877" s="62"/>
      <c r="R877" s="62"/>
      <c r="S877" s="139"/>
      <c r="T877" s="8"/>
      <c r="U877" s="146"/>
      <c r="X877" s="118"/>
      <c r="Y877" s="118"/>
      <c r="Z877" s="118"/>
      <c r="AA877" s="118"/>
    </row>
    <row r="878" spans="1:29" x14ac:dyDescent="0.25">
      <c r="A878" s="207">
        <v>43510</v>
      </c>
      <c r="B878" s="215" t="s">
        <v>169</v>
      </c>
      <c r="C878" s="6" t="s">
        <v>171</v>
      </c>
      <c r="D878" s="6" t="s">
        <v>189</v>
      </c>
      <c r="E878" s="61" t="s">
        <v>186</v>
      </c>
      <c r="F878" s="11">
        <v>1930.41</v>
      </c>
      <c r="G878" s="11">
        <v>1928.62</v>
      </c>
      <c r="H878" s="11">
        <v>1923.58</v>
      </c>
      <c r="I878" s="11">
        <v>1924.63</v>
      </c>
      <c r="J878" s="11">
        <v>1928.55</v>
      </c>
      <c r="K878" s="11">
        <v>1932.74</v>
      </c>
      <c r="L878" s="11">
        <v>1927.92</v>
      </c>
      <c r="M878" s="11">
        <v>1923.6</v>
      </c>
      <c r="N878" s="11">
        <v>1932.51</v>
      </c>
      <c r="O878" s="61">
        <f>IF((N879=""),"",MAX(F880:N880))</f>
        <v>2003.1000000000001</v>
      </c>
      <c r="P878" s="61">
        <f>IF(N879="","",MIN(F880:N880))</f>
        <v>1938.09</v>
      </c>
      <c r="Q878" s="62">
        <f>IF((N880=""),"",AVERAGE(F880:N880))</f>
        <v>1967.0133333333333</v>
      </c>
      <c r="R878" s="62">
        <f>IF((N879=""),"",(O878-P878)/(O878+P878)*100)</f>
        <v>1.6495018002177064</v>
      </c>
      <c r="S878" s="139">
        <f>STDEV(F880:N880)</f>
        <v>18.466312571815735</v>
      </c>
      <c r="T878" s="5" t="str">
        <f>IF(N879="","",IF(Q878&gt;1940,IF(R878&lt;8.3,IF(Q878&lt;2180,"Pass","Fail"),"Fail"),"Fail"))</f>
        <v>Pass</v>
      </c>
      <c r="U878" s="149">
        <v>121</v>
      </c>
      <c r="X878" s="116">
        <v>2000</v>
      </c>
      <c r="Y878" s="116">
        <v>3000</v>
      </c>
      <c r="Z878" s="116">
        <v>1940</v>
      </c>
      <c r="AA878" s="116">
        <v>2180</v>
      </c>
      <c r="AB878" s="31">
        <v>5.2</v>
      </c>
      <c r="AC878" s="31">
        <v>5.2</v>
      </c>
    </row>
    <row r="879" spans="1:29" ht="15.6" x14ac:dyDescent="0.3">
      <c r="A879"/>
      <c r="B879" s="24"/>
      <c r="C879" s="6"/>
      <c r="D879" s="6"/>
      <c r="E879" s="61" t="s">
        <v>187</v>
      </c>
      <c r="F879" s="11">
        <v>1262.71</v>
      </c>
      <c r="G879" s="11">
        <v>1269.8599999999999</v>
      </c>
      <c r="H879" s="11">
        <v>1270.83</v>
      </c>
      <c r="I879" s="11">
        <v>1274.6099999999999</v>
      </c>
      <c r="J879" s="11">
        <v>1282.52</v>
      </c>
      <c r="K879" s="11">
        <v>1273.8499999999999</v>
      </c>
      <c r="L879" s="11">
        <v>1274.1300000000001</v>
      </c>
      <c r="M879" s="11">
        <v>1267.1400000000001</v>
      </c>
      <c r="N879" s="11">
        <v>1275.8699999999999</v>
      </c>
      <c r="O879" s="61"/>
      <c r="P879" s="61"/>
      <c r="Q879" s="62"/>
      <c r="R879" s="62"/>
      <c r="S879" s="139"/>
      <c r="T879" s="5"/>
      <c r="U879" s="140"/>
      <c r="X879" s="118"/>
      <c r="Y879" s="118"/>
      <c r="Z879" s="118"/>
      <c r="AA879" s="118"/>
    </row>
    <row r="880" spans="1:29" ht="25.5" customHeight="1" thickBot="1" x14ac:dyDescent="0.35">
      <c r="A880"/>
      <c r="B880" s="24"/>
      <c r="C880" s="6"/>
      <c r="D880" s="6"/>
      <c r="E880" s="61" t="s">
        <v>190</v>
      </c>
      <c r="F880" s="40">
        <f t="shared" ref="F880:N880" si="288">IF(((F878="")*AND(F879="")),"",(F878-F879)*3)</f>
        <v>2003.1000000000001</v>
      </c>
      <c r="G880" s="40">
        <f t="shared" si="288"/>
        <v>1976.28</v>
      </c>
      <c r="H880" s="40">
        <f t="shared" si="288"/>
        <v>1958.25</v>
      </c>
      <c r="I880" s="40">
        <f t="shared" si="288"/>
        <v>1950.0600000000006</v>
      </c>
      <c r="J880" s="40">
        <f t="shared" si="288"/>
        <v>1938.09</v>
      </c>
      <c r="K880" s="40">
        <f t="shared" si="288"/>
        <v>1976.6700000000003</v>
      </c>
      <c r="L880" s="40">
        <f t="shared" si="288"/>
        <v>1961.37</v>
      </c>
      <c r="M880" s="40">
        <f t="shared" si="288"/>
        <v>1969.3799999999994</v>
      </c>
      <c r="N880" s="40">
        <f t="shared" si="288"/>
        <v>1969.9200000000003</v>
      </c>
      <c r="O880" s="61"/>
      <c r="P880" s="61"/>
      <c r="Q880" s="62"/>
      <c r="R880" s="62"/>
      <c r="S880" s="139"/>
      <c r="T880" s="5"/>
      <c r="U880" s="140"/>
      <c r="X880" s="118"/>
      <c r="Y880" s="118"/>
      <c r="Z880" s="118"/>
      <c r="AA880" s="118"/>
    </row>
    <row r="881" spans="1:29" x14ac:dyDescent="0.25">
      <c r="A881" s="207">
        <v>43510</v>
      </c>
      <c r="B881" s="218" t="s">
        <v>185</v>
      </c>
      <c r="C881" s="6" t="s">
        <v>173</v>
      </c>
      <c r="D881" s="6" t="s">
        <v>172</v>
      </c>
      <c r="E881" s="61" t="s">
        <v>186</v>
      </c>
      <c r="F881" s="11">
        <v>26171.79</v>
      </c>
      <c r="G881" s="11">
        <v>26293.61</v>
      </c>
      <c r="H881" s="11">
        <v>26342.22</v>
      </c>
      <c r="I881" s="11">
        <v>26294.81</v>
      </c>
      <c r="J881" s="11">
        <v>26158.02</v>
      </c>
      <c r="K881" s="11">
        <v>26222.13</v>
      </c>
      <c r="L881" s="11">
        <v>26299.71</v>
      </c>
      <c r="M881" s="11">
        <v>26255.57</v>
      </c>
      <c r="N881" s="11">
        <v>26079.22</v>
      </c>
      <c r="O881" s="61">
        <f>IF((N882=""),"",MAX(F883:N883))</f>
        <v>4543.7400000000052</v>
      </c>
      <c r="P881" s="61">
        <f>IF(N882="","",MIN(F883:N883))</f>
        <v>4064.7000000000044</v>
      </c>
      <c r="Q881" s="62">
        <f>IF((N883=""),"",AVERAGE(F883:N883))</f>
        <v>4279.5766666666686</v>
      </c>
      <c r="R881" s="62">
        <f>IF((N882=""),"",(O881-P881)/(O881+P881)*100)</f>
        <v>5.5647713174512496</v>
      </c>
      <c r="S881" s="139">
        <f>STDEV(F883:N883)</f>
        <v>196.7513349382919</v>
      </c>
      <c r="T881" s="5" t="str">
        <f>IF(N882="","",IF(R881&lt;16,IF(Q881&gt;3200,IF(R881,IF(Q881&lt;5240,"Pass","Fail"),"Fail"),"Fail")))</f>
        <v>Pass</v>
      </c>
      <c r="U881" s="149">
        <v>121</v>
      </c>
      <c r="X881" s="116">
        <v>4200</v>
      </c>
      <c r="Y881" s="116">
        <v>5500</v>
      </c>
      <c r="Z881" s="116">
        <v>3200</v>
      </c>
      <c r="AA881" s="116">
        <v>5240</v>
      </c>
      <c r="AB881" s="31">
        <v>16</v>
      </c>
      <c r="AC881" s="31">
        <v>16</v>
      </c>
    </row>
    <row r="882" spans="1:29" ht="15.6" x14ac:dyDescent="0.3">
      <c r="A882"/>
      <c r="B882" s="24"/>
      <c r="C882" s="6"/>
      <c r="D882" s="6"/>
      <c r="E882" s="61" t="s">
        <v>187</v>
      </c>
      <c r="F882" s="11">
        <v>24666.240000000002</v>
      </c>
      <c r="G882" s="11">
        <v>24914.84</v>
      </c>
      <c r="H882" s="11">
        <v>24987.32</v>
      </c>
      <c r="I882" s="11">
        <v>24920.09</v>
      </c>
      <c r="J882" s="11">
        <v>24668.29</v>
      </c>
      <c r="K882" s="11">
        <v>24756.67</v>
      </c>
      <c r="L882" s="11">
        <v>24921.48</v>
      </c>
      <c r="M882" s="11">
        <v>24878.78</v>
      </c>
      <c r="N882" s="11">
        <v>24564.639999999999</v>
      </c>
      <c r="O882" s="61"/>
      <c r="P882" s="61"/>
      <c r="Q882" s="62"/>
      <c r="R882" s="62"/>
      <c r="S882" s="139"/>
      <c r="T882" s="5"/>
      <c r="U882" s="140"/>
      <c r="X882" s="118"/>
      <c r="Y882" s="118"/>
      <c r="Z882" s="118"/>
      <c r="AA882" s="118"/>
    </row>
    <row r="883" spans="1:29" ht="23.4" thickBot="1" x14ac:dyDescent="0.35">
      <c r="A883"/>
      <c r="B883" s="63"/>
      <c r="C883" s="64"/>
      <c r="D883" s="64"/>
      <c r="E883" s="65" t="s">
        <v>188</v>
      </c>
      <c r="F883" s="53">
        <f t="shared" ref="F883:N883" si="289">IF(((F881="")*AND(F882="")),"",(F881-F882)*3)</f>
        <v>4516.6499999999978</v>
      </c>
      <c r="G883" s="53">
        <f t="shared" si="289"/>
        <v>4136.3100000000013</v>
      </c>
      <c r="H883" s="53">
        <f t="shared" si="289"/>
        <v>4064.7000000000044</v>
      </c>
      <c r="I883" s="53">
        <f t="shared" si="289"/>
        <v>4124.1600000000035</v>
      </c>
      <c r="J883" s="53">
        <f t="shared" si="289"/>
        <v>4469.1899999999987</v>
      </c>
      <c r="K883" s="53">
        <f t="shared" si="289"/>
        <v>4396.3800000000083</v>
      </c>
      <c r="L883" s="53">
        <f t="shared" si="289"/>
        <v>4134.6899999999987</v>
      </c>
      <c r="M883" s="53">
        <f t="shared" si="289"/>
        <v>4130.3700000000026</v>
      </c>
      <c r="N883" s="53">
        <f t="shared" si="289"/>
        <v>4543.7400000000052</v>
      </c>
      <c r="O883" s="65"/>
      <c r="P883" s="65"/>
      <c r="Q883" s="66"/>
      <c r="R883" s="66"/>
      <c r="S883" s="142"/>
      <c r="T883" s="143"/>
      <c r="U883" s="144"/>
      <c r="X883" s="118"/>
      <c r="Y883" s="118"/>
      <c r="Z883" s="118"/>
      <c r="AA883" s="118"/>
    </row>
    <row r="884" spans="1:29" x14ac:dyDescent="0.25">
      <c r="A884" s="207">
        <v>43514</v>
      </c>
      <c r="B884" s="219" t="s">
        <v>174</v>
      </c>
      <c r="C884" s="39" t="s">
        <v>176</v>
      </c>
      <c r="D884" s="39" t="s">
        <v>175</v>
      </c>
      <c r="E884" s="41" t="s">
        <v>186</v>
      </c>
      <c r="F884" s="11">
        <v>6831.48</v>
      </c>
      <c r="G884" s="11">
        <v>6810.46</v>
      </c>
      <c r="H884" s="11">
        <v>6822.97</v>
      </c>
      <c r="I884" s="11">
        <v>6777.55</v>
      </c>
      <c r="J884" s="11">
        <v>6717.69</v>
      </c>
      <c r="K884" s="11">
        <v>6773.31</v>
      </c>
      <c r="L884" s="11">
        <v>6797.6</v>
      </c>
      <c r="M884" s="11">
        <v>6844.34</v>
      </c>
      <c r="N884" s="11">
        <v>6871.12</v>
      </c>
      <c r="O884" s="59">
        <f>IF((N885=""),"",MAX(F886:N886))</f>
        <v>3890.2800000000007</v>
      </c>
      <c r="P884" s="59">
        <f>IF(N885="","",MIN(F886:N886))</f>
        <v>3617.3000000000011</v>
      </c>
      <c r="Q884" s="60">
        <f>IF((N886=""),"",AVERAGE(F886:N886))</f>
        <v>3792.1311111111113</v>
      </c>
      <c r="R884" s="60">
        <f>IF((N885=""),"",(O884-P884)/(O884+P884)*100)</f>
        <v>3.6360584902192121</v>
      </c>
      <c r="S884" s="113">
        <f>STDEV(F886:N886)</f>
        <v>102.28929959243575</v>
      </c>
      <c r="T884" s="137" t="str">
        <f>IF(N885="","",IF(Q884&gt;3650,IF(R884&lt;7,IF(Q884&lt;4450,"Pass","Fail"),"Fail"),"Fail"))</f>
        <v>Pass</v>
      </c>
      <c r="U884" s="149">
        <v>1428</v>
      </c>
      <c r="X884" s="116">
        <v>3650</v>
      </c>
      <c r="Y884" s="116">
        <v>4450</v>
      </c>
      <c r="Z884" s="116">
        <v>3700</v>
      </c>
      <c r="AA884" s="116">
        <v>4100</v>
      </c>
      <c r="AB884" s="31">
        <v>7</v>
      </c>
      <c r="AC884" s="31">
        <v>6.5</v>
      </c>
    </row>
    <row r="885" spans="1:29" ht="15.6" x14ac:dyDescent="0.3">
      <c r="A885"/>
      <c r="B885" s="24"/>
      <c r="C885" s="6"/>
      <c r="D885" s="6"/>
      <c r="E885" s="61" t="s">
        <v>187</v>
      </c>
      <c r="F885" s="11">
        <v>4979.1099999999997</v>
      </c>
      <c r="G885" s="11">
        <v>4880.13</v>
      </c>
      <c r="H885" s="11">
        <v>4879.97</v>
      </c>
      <c r="I885" s="11">
        <v>4851.43</v>
      </c>
      <c r="J885" s="11">
        <v>4882.7299999999996</v>
      </c>
      <c r="K885" s="11">
        <v>4964.66</v>
      </c>
      <c r="L885" s="11">
        <v>4870.68</v>
      </c>
      <c r="M885" s="11">
        <v>4899.2</v>
      </c>
      <c r="N885" s="11">
        <v>4974.0200000000004</v>
      </c>
      <c r="O885" s="61"/>
      <c r="P885" s="61"/>
      <c r="Q885" s="62"/>
      <c r="R885" s="62"/>
      <c r="S885" s="139"/>
      <c r="T885" s="8"/>
      <c r="U885" s="146"/>
      <c r="X885" s="118"/>
      <c r="Y885" s="118"/>
      <c r="Z885" s="118"/>
      <c r="AA885" s="118"/>
    </row>
    <row r="886" spans="1:29" ht="23.4" thickBot="1" x14ac:dyDescent="0.35">
      <c r="A886"/>
      <c r="B886" s="24"/>
      <c r="C886" s="6"/>
      <c r="D886" s="6"/>
      <c r="E886" s="61" t="s">
        <v>188</v>
      </c>
      <c r="F886" s="40">
        <f t="shared" ref="F886:N886" si="290">IF(((F884="")*AND(F885="")),"",(F884-F885)*2)</f>
        <v>3704.74</v>
      </c>
      <c r="G886" s="40">
        <f t="shared" si="290"/>
        <v>3860.66</v>
      </c>
      <c r="H886" s="40">
        <f t="shared" si="290"/>
        <v>3886</v>
      </c>
      <c r="I886" s="40">
        <f t="shared" si="290"/>
        <v>3852.24</v>
      </c>
      <c r="J886" s="40">
        <f t="shared" si="290"/>
        <v>3669.92</v>
      </c>
      <c r="K886" s="40">
        <f t="shared" si="290"/>
        <v>3617.3000000000011</v>
      </c>
      <c r="L886" s="40">
        <f t="shared" si="290"/>
        <v>3853.84</v>
      </c>
      <c r="M886" s="40">
        <f t="shared" si="290"/>
        <v>3890.2800000000007</v>
      </c>
      <c r="N886" s="40">
        <f t="shared" si="290"/>
        <v>3794.1999999999989</v>
      </c>
      <c r="O886" s="61"/>
      <c r="P886" s="61"/>
      <c r="Q886" s="62"/>
      <c r="R886" s="62"/>
      <c r="S886" s="139"/>
      <c r="T886" s="8"/>
      <c r="U886" s="146"/>
      <c r="X886" s="118"/>
      <c r="Y886" s="118"/>
      <c r="Z886" s="118"/>
      <c r="AA886" s="118"/>
    </row>
    <row r="887" spans="1:29" x14ac:dyDescent="0.25">
      <c r="A887" s="207">
        <v>43514</v>
      </c>
      <c r="B887" s="215" t="s">
        <v>169</v>
      </c>
      <c r="C887" s="6" t="s">
        <v>171</v>
      </c>
      <c r="D887" s="6" t="s">
        <v>189</v>
      </c>
      <c r="E887" s="61" t="s">
        <v>186</v>
      </c>
      <c r="F887" s="11">
        <v>1933.9</v>
      </c>
      <c r="G887" s="11">
        <v>1928.16</v>
      </c>
      <c r="H887" s="11">
        <v>1923.04</v>
      </c>
      <c r="I887" s="11">
        <v>1931.92</v>
      </c>
      <c r="J887" s="11">
        <v>1937.51</v>
      </c>
      <c r="K887" s="11">
        <v>1934.59</v>
      </c>
      <c r="L887" s="11">
        <v>1930.76</v>
      </c>
      <c r="M887" s="11">
        <v>1929.56</v>
      </c>
      <c r="N887" s="11">
        <v>1937.25</v>
      </c>
      <c r="O887" s="61">
        <f>IF((N888=""),"",MAX(F889:N889))</f>
        <v>1987.7100000000005</v>
      </c>
      <c r="P887" s="61">
        <f>IF(N888="","",MIN(F889:N889))</f>
        <v>1943.5499999999997</v>
      </c>
      <c r="Q887" s="62">
        <f>IF((N889=""),"",AVERAGE(F889:N889))</f>
        <v>1968.3000000000002</v>
      </c>
      <c r="R887" s="62">
        <f>IF((N888=""),"",(O887-P887)/(O887+P887)*100)</f>
        <v>1.1233039788770205</v>
      </c>
      <c r="S887" s="139">
        <f>STDEV(F889:N889)</f>
        <v>13.449572483912071</v>
      </c>
      <c r="T887" s="5" t="str">
        <f>IF(N888="","",IF(Q887&gt;1940,IF(R887&lt;8.3,IF(Q887&lt;2180,"Pass","Fail"),"Fail"),"Fail"))</f>
        <v>Pass</v>
      </c>
      <c r="U887" s="149">
        <v>1428</v>
      </c>
      <c r="X887" s="116">
        <v>2000</v>
      </c>
      <c r="Y887" s="116">
        <v>3000</v>
      </c>
      <c r="Z887" s="116">
        <v>1940</v>
      </c>
      <c r="AA887" s="116">
        <v>2180</v>
      </c>
      <c r="AB887" s="31">
        <v>5.2</v>
      </c>
      <c r="AC887" s="31">
        <v>5.2</v>
      </c>
    </row>
    <row r="888" spans="1:29" ht="15.6" x14ac:dyDescent="0.3">
      <c r="A888"/>
      <c r="B888" s="24"/>
      <c r="C888" s="6"/>
      <c r="D888" s="6"/>
      <c r="E888" s="61" t="s">
        <v>187</v>
      </c>
      <c r="F888" s="11">
        <v>1271.33</v>
      </c>
      <c r="G888" s="11">
        <v>1269.24</v>
      </c>
      <c r="H888" s="11">
        <v>1267.4000000000001</v>
      </c>
      <c r="I888" s="11">
        <v>1276.44</v>
      </c>
      <c r="J888" s="11">
        <v>1289.6600000000001</v>
      </c>
      <c r="K888" s="11">
        <v>1278.96</v>
      </c>
      <c r="L888" s="11">
        <v>1273.58</v>
      </c>
      <c r="M888" s="11">
        <v>1269.23</v>
      </c>
      <c r="N888" s="11">
        <v>1285.95</v>
      </c>
      <c r="O888" s="61"/>
      <c r="P888" s="61"/>
      <c r="Q888" s="62"/>
      <c r="R888" s="62"/>
      <c r="S888" s="139"/>
      <c r="T888" s="5"/>
      <c r="U888" s="140"/>
      <c r="X888" s="118"/>
      <c r="Y888" s="118"/>
      <c r="Z888" s="118"/>
      <c r="AA888" s="118"/>
    </row>
    <row r="889" spans="1:29" ht="26.7" customHeight="1" thickBot="1" x14ac:dyDescent="0.35">
      <c r="A889"/>
      <c r="B889" s="24"/>
      <c r="C889" s="6"/>
      <c r="D889" s="6"/>
      <c r="E889" s="61" t="s">
        <v>190</v>
      </c>
      <c r="F889" s="40">
        <f t="shared" ref="F889:N889" si="291">IF(((F887="")*AND(F888="")),"",(F887-F888)*3)</f>
        <v>1987.7100000000005</v>
      </c>
      <c r="G889" s="40">
        <f t="shared" si="291"/>
        <v>1976.7600000000002</v>
      </c>
      <c r="H889" s="40">
        <f t="shared" si="291"/>
        <v>1966.9199999999996</v>
      </c>
      <c r="I889" s="40">
        <f t="shared" si="291"/>
        <v>1966.44</v>
      </c>
      <c r="J889" s="40">
        <f t="shared" si="291"/>
        <v>1943.5499999999997</v>
      </c>
      <c r="K889" s="40">
        <f t="shared" si="291"/>
        <v>1966.8899999999996</v>
      </c>
      <c r="L889" s="40">
        <f t="shared" si="291"/>
        <v>1971.5400000000002</v>
      </c>
      <c r="M889" s="40">
        <f t="shared" si="291"/>
        <v>1980.9899999999998</v>
      </c>
      <c r="N889" s="40">
        <f t="shared" si="291"/>
        <v>1953.8999999999999</v>
      </c>
      <c r="O889" s="61"/>
      <c r="P889" s="61"/>
      <c r="Q889" s="62"/>
      <c r="R889" s="62"/>
      <c r="S889" s="139"/>
      <c r="T889" s="5"/>
      <c r="U889" s="140"/>
      <c r="X889" s="118"/>
      <c r="Y889" s="118"/>
      <c r="Z889" s="118"/>
      <c r="AA889" s="118"/>
    </row>
    <row r="890" spans="1:29" x14ac:dyDescent="0.25">
      <c r="A890" s="207">
        <v>43514</v>
      </c>
      <c r="B890" s="218" t="s">
        <v>185</v>
      </c>
      <c r="C890" s="6" t="s">
        <v>173</v>
      </c>
      <c r="D890" s="6" t="s">
        <v>172</v>
      </c>
      <c r="E890" s="61" t="s">
        <v>186</v>
      </c>
      <c r="F890" s="11">
        <v>29126.880000000001</v>
      </c>
      <c r="G890" s="11">
        <v>29058.02</v>
      </c>
      <c r="H890" s="11">
        <v>29088.14</v>
      </c>
      <c r="I890" s="11">
        <v>29064.51</v>
      </c>
      <c r="J890" s="11">
        <v>29159.599999999999</v>
      </c>
      <c r="K890" s="11">
        <v>29102.89</v>
      </c>
      <c r="L890" s="11">
        <v>29071.16</v>
      </c>
      <c r="M890" s="11">
        <v>29076.28</v>
      </c>
      <c r="N890" s="11">
        <v>29122.34</v>
      </c>
      <c r="O890" s="61">
        <f>IF((N891=""),"",MAX(F892:N892))</f>
        <v>4428.6899999999987</v>
      </c>
      <c r="P890" s="61">
        <f>IF(N891="","",MIN(F892:N892))</f>
        <v>3937.5300000000061</v>
      </c>
      <c r="Q890" s="62">
        <f>IF((N892=""),"",AVERAGE(F892:N892))</f>
        <v>4148.126666666667</v>
      </c>
      <c r="R890" s="62">
        <f>IF((N891=""),"",(O890-P890)/(O890+P890)*100)</f>
        <v>5.8707516656266785</v>
      </c>
      <c r="S890" s="139">
        <f>STDEV(F892:N892)</f>
        <v>187.93563179982473</v>
      </c>
      <c r="T890" s="5" t="str">
        <f>IF(N891="","",IF(R890&lt;16,IF(Q890&gt;3200,IF(R890,IF(Q890&lt;5240,"Pass","Fail"),"Fail"),"Fail")))</f>
        <v>Pass</v>
      </c>
      <c r="U890" s="149">
        <v>1428</v>
      </c>
      <c r="X890" s="116">
        <v>4200</v>
      </c>
      <c r="Y890" s="116">
        <v>5500</v>
      </c>
      <c r="Z890" s="116">
        <v>3200</v>
      </c>
      <c r="AA890" s="116">
        <v>5240</v>
      </c>
      <c r="AB890" s="31">
        <v>16</v>
      </c>
      <c r="AC890" s="31">
        <v>16</v>
      </c>
    </row>
    <row r="891" spans="1:29" ht="15.6" x14ac:dyDescent="0.3">
      <c r="A891"/>
      <c r="B891" s="24"/>
      <c r="C891" s="6"/>
      <c r="D891" s="6"/>
      <c r="E891" s="61" t="s">
        <v>187</v>
      </c>
      <c r="F891" s="11">
        <v>27709.08</v>
      </c>
      <c r="G891" s="11">
        <v>27745.51</v>
      </c>
      <c r="H891" s="11">
        <v>27766.5</v>
      </c>
      <c r="I891" s="11">
        <v>27735.1</v>
      </c>
      <c r="J891" s="11">
        <v>27692.880000000001</v>
      </c>
      <c r="K891" s="11">
        <v>27689.78</v>
      </c>
      <c r="L891" s="11">
        <v>27728.38</v>
      </c>
      <c r="M891" s="11">
        <v>27712.1</v>
      </c>
      <c r="N891" s="11">
        <v>27646.11</v>
      </c>
      <c r="O891" s="61"/>
      <c r="P891" s="61"/>
      <c r="Q891" s="62"/>
      <c r="R891" s="62"/>
      <c r="S891" s="139"/>
      <c r="T891" s="5"/>
      <c r="U891" s="140"/>
      <c r="X891" s="118"/>
      <c r="Y891" s="118"/>
      <c r="Z891" s="118"/>
      <c r="AA891" s="118"/>
    </row>
    <row r="892" spans="1:29" ht="23.4" thickBot="1" x14ac:dyDescent="0.35">
      <c r="A892"/>
      <c r="B892" s="63"/>
      <c r="C892" s="64"/>
      <c r="D892" s="64"/>
      <c r="E892" s="65" t="s">
        <v>188</v>
      </c>
      <c r="F892" s="53">
        <f t="shared" ref="F892:N892" si="292">IF(((F890="")*AND(F891="")),"",(F890-F891)*3)</f>
        <v>4253.3999999999978</v>
      </c>
      <c r="G892" s="53">
        <f t="shared" si="292"/>
        <v>3937.5300000000061</v>
      </c>
      <c r="H892" s="53">
        <f t="shared" si="292"/>
        <v>3964.9199999999983</v>
      </c>
      <c r="I892" s="53">
        <f t="shared" si="292"/>
        <v>3988.2299999999996</v>
      </c>
      <c r="J892" s="53">
        <f t="shared" si="292"/>
        <v>4400.1599999999926</v>
      </c>
      <c r="K892" s="53">
        <f t="shared" si="292"/>
        <v>4239.3300000000017</v>
      </c>
      <c r="L892" s="53">
        <f t="shared" si="292"/>
        <v>4028.3399999999965</v>
      </c>
      <c r="M892" s="53">
        <f t="shared" si="292"/>
        <v>4092.5400000000009</v>
      </c>
      <c r="N892" s="53">
        <f t="shared" si="292"/>
        <v>4428.6899999999987</v>
      </c>
      <c r="O892" s="65"/>
      <c r="P892" s="65"/>
      <c r="Q892" s="66"/>
      <c r="R892" s="66"/>
      <c r="S892" s="142"/>
      <c r="T892" s="143"/>
      <c r="U892" s="144"/>
      <c r="X892" s="118"/>
      <c r="Y892" s="118"/>
      <c r="Z892" s="118"/>
      <c r="AA892" s="118"/>
    </row>
    <row r="893" spans="1:29" x14ac:dyDescent="0.25">
      <c r="A893" s="207">
        <v>43517</v>
      </c>
      <c r="B893" s="219" t="s">
        <v>174</v>
      </c>
      <c r="C893" s="39" t="s">
        <v>176</v>
      </c>
      <c r="D893" s="39" t="s">
        <v>175</v>
      </c>
      <c r="E893" s="41" t="s">
        <v>186</v>
      </c>
      <c r="F893" s="11">
        <v>4984.8599999999997</v>
      </c>
      <c r="G893" s="11">
        <v>4889.7</v>
      </c>
      <c r="H893" s="11">
        <v>4889.24</v>
      </c>
      <c r="I893" s="11">
        <v>4861.38</v>
      </c>
      <c r="J893" s="11">
        <v>4890.8500000000004</v>
      </c>
      <c r="K893" s="11">
        <v>4970.7299999999996</v>
      </c>
      <c r="L893" s="11">
        <v>4880.1400000000003</v>
      </c>
      <c r="M893" s="11">
        <v>4907.9399999999996</v>
      </c>
      <c r="N893" s="11">
        <v>4981.17</v>
      </c>
      <c r="O893" s="59">
        <f>IF((N894=""),"",MAX(F895:N895))</f>
        <v>3918.7599999999993</v>
      </c>
      <c r="P893" s="59">
        <f>IF(N894="","",MIN(F895:N895))</f>
        <v>3642.6999999999989</v>
      </c>
      <c r="Q893" s="60">
        <f>IF((N895=""),"",AVERAGE(F895:N895))</f>
        <v>3823.2688888888888</v>
      </c>
      <c r="R893" s="60">
        <f>IF((N894=""),"",(O893-P893)/(O893+P893)*100)</f>
        <v>3.6508822370283052</v>
      </c>
      <c r="S893" s="113">
        <f>STDEV(F895:N895)</f>
        <v>102.82517693206826</v>
      </c>
      <c r="T893" s="137" t="str">
        <f>IF(N894="","",IF(Q893&gt;3650,IF(R893&lt;7,IF(Q893&lt;4450,"Pass","Fail"),"Fail"),"Fail"))</f>
        <v>Pass</v>
      </c>
      <c r="U893" s="149">
        <v>1428</v>
      </c>
      <c r="X893" s="116">
        <v>3650</v>
      </c>
      <c r="Y893" s="116">
        <v>4450</v>
      </c>
      <c r="Z893" s="116">
        <v>3700</v>
      </c>
      <c r="AA893" s="116">
        <v>4100</v>
      </c>
      <c r="AB893" s="31">
        <v>7</v>
      </c>
      <c r="AC893" s="31">
        <v>6.5</v>
      </c>
    </row>
    <row r="894" spans="1:29" ht="15.6" x14ac:dyDescent="0.3">
      <c r="A894"/>
      <c r="B894" s="24"/>
      <c r="C894" s="6"/>
      <c r="D894" s="6"/>
      <c r="E894" s="61" t="s">
        <v>187</v>
      </c>
      <c r="F894" s="11">
        <v>3121.23</v>
      </c>
      <c r="G894" s="11">
        <v>2940.37</v>
      </c>
      <c r="H894" s="11">
        <v>2932.23</v>
      </c>
      <c r="I894" s="11">
        <v>2915.83</v>
      </c>
      <c r="J894" s="11">
        <v>3032.02</v>
      </c>
      <c r="K894" s="11">
        <v>3149.38</v>
      </c>
      <c r="L894" s="11">
        <v>2937.37</v>
      </c>
      <c r="M894" s="11">
        <v>2948.56</v>
      </c>
      <c r="N894" s="11">
        <v>3074.31</v>
      </c>
      <c r="O894" s="61"/>
      <c r="P894" s="61"/>
      <c r="Q894" s="62"/>
      <c r="R894" s="62"/>
      <c r="S894" s="139"/>
      <c r="T894" s="8"/>
      <c r="U894" s="146"/>
      <c r="X894" s="118"/>
      <c r="Y894" s="118"/>
      <c r="Z894" s="118"/>
      <c r="AA894" s="118"/>
    </row>
    <row r="895" spans="1:29" ht="23.4" thickBot="1" x14ac:dyDescent="0.35">
      <c r="A895"/>
      <c r="B895" s="24"/>
      <c r="C895" s="6"/>
      <c r="D895" s="6"/>
      <c r="E895" s="61" t="s">
        <v>188</v>
      </c>
      <c r="F895" s="40">
        <f t="shared" ref="F895:N895" si="293">IF(((F893="")*AND(F894="")),"",(F893-F894)*2)</f>
        <v>3727.2599999999993</v>
      </c>
      <c r="G895" s="40">
        <f t="shared" si="293"/>
        <v>3898.66</v>
      </c>
      <c r="H895" s="40">
        <f t="shared" si="293"/>
        <v>3914.0199999999995</v>
      </c>
      <c r="I895" s="40">
        <f t="shared" si="293"/>
        <v>3891.1000000000004</v>
      </c>
      <c r="J895" s="40">
        <f t="shared" si="293"/>
        <v>3717.6600000000008</v>
      </c>
      <c r="K895" s="40">
        <f t="shared" si="293"/>
        <v>3642.6999999999989</v>
      </c>
      <c r="L895" s="40">
        <f t="shared" si="293"/>
        <v>3885.5400000000009</v>
      </c>
      <c r="M895" s="40">
        <f t="shared" si="293"/>
        <v>3918.7599999999993</v>
      </c>
      <c r="N895" s="40">
        <f t="shared" si="293"/>
        <v>3813.7200000000003</v>
      </c>
      <c r="O895" s="61"/>
      <c r="P895" s="61"/>
      <c r="Q895" s="62"/>
      <c r="R895" s="62"/>
      <c r="S895" s="139"/>
      <c r="T895" s="8"/>
      <c r="U895" s="146"/>
      <c r="X895" s="118"/>
      <c r="Y895" s="118"/>
      <c r="Z895" s="118"/>
      <c r="AA895" s="118"/>
    </row>
    <row r="896" spans="1:29" x14ac:dyDescent="0.25">
      <c r="A896" s="207">
        <v>43517</v>
      </c>
      <c r="B896" s="215" t="s">
        <v>169</v>
      </c>
      <c r="C896" s="6" t="s">
        <v>171</v>
      </c>
      <c r="D896" s="6" t="s">
        <v>189</v>
      </c>
      <c r="E896" s="61" t="s">
        <v>186</v>
      </c>
      <c r="F896" s="11">
        <v>1273.5999999999999</v>
      </c>
      <c r="G896" s="11">
        <v>1268.7</v>
      </c>
      <c r="H896" s="11">
        <v>1264.7</v>
      </c>
      <c r="I896" s="11">
        <v>1278.45</v>
      </c>
      <c r="J896" s="11">
        <v>1288.94</v>
      </c>
      <c r="K896" s="11">
        <v>1278.6400000000001</v>
      </c>
      <c r="L896" s="11">
        <v>1276.1400000000001</v>
      </c>
      <c r="M896" s="11">
        <v>1269.68</v>
      </c>
      <c r="N896" s="11">
        <v>1288.4000000000001</v>
      </c>
      <c r="O896" s="61">
        <f>IF((N897=""),"",MAX(F898:N898))</f>
        <v>2038.3199999999997</v>
      </c>
      <c r="P896" s="61">
        <f>IF(N897="","",MIN(F898:N898))</f>
        <v>1955.8200000000002</v>
      </c>
      <c r="Q896" s="62">
        <f>IF((N898=""),"",AVERAGE(F898:N898))</f>
        <v>2003.98</v>
      </c>
      <c r="R896" s="62">
        <f>IF((N897=""),"",(O896-P896)/(O896+P896)*100)</f>
        <v>2.0655259955835183</v>
      </c>
      <c r="S896" s="139">
        <f>STDEV(F898:N898)</f>
        <v>22.938482404030022</v>
      </c>
      <c r="T896" s="5" t="str">
        <f>IF(N897="","",IF(Q896&gt;1940,IF(R896&lt;8.3,IF(Q896&lt;2180,"Pass","Fail"),"Fail"),"Fail"))</f>
        <v>Pass</v>
      </c>
      <c r="U896" s="149">
        <v>1428</v>
      </c>
      <c r="X896" s="116">
        <v>2000</v>
      </c>
      <c r="Y896" s="116">
        <v>3000</v>
      </c>
      <c r="Z896" s="116">
        <v>1940</v>
      </c>
      <c r="AA896" s="116">
        <v>2180</v>
      </c>
      <c r="AB896" s="31">
        <v>5.2</v>
      </c>
      <c r="AC896" s="31">
        <v>5.2</v>
      </c>
    </row>
    <row r="897" spans="1:29" ht="15.6" x14ac:dyDescent="0.3">
      <c r="A897"/>
      <c r="B897" s="24"/>
      <c r="C897" s="6"/>
      <c r="D897" s="6"/>
      <c r="E897" s="61" t="s">
        <v>187</v>
      </c>
      <c r="F897" s="11">
        <v>594.16</v>
      </c>
      <c r="G897" s="11">
        <v>594.58000000000004</v>
      </c>
      <c r="H897" s="11">
        <v>599.42999999999995</v>
      </c>
      <c r="I897" s="11">
        <v>610.59</v>
      </c>
      <c r="J897" s="11">
        <v>637</v>
      </c>
      <c r="K897" s="11">
        <v>610.1</v>
      </c>
      <c r="L897" s="11">
        <v>608.32000000000005</v>
      </c>
      <c r="M897" s="11">
        <v>597.13</v>
      </c>
      <c r="N897" s="11">
        <v>624</v>
      </c>
      <c r="O897" s="61"/>
      <c r="P897" s="61"/>
      <c r="Q897" s="62"/>
      <c r="R897" s="62"/>
      <c r="S897" s="139"/>
      <c r="T897" s="5"/>
      <c r="U897" s="140"/>
      <c r="X897" s="118"/>
      <c r="Y897" s="118"/>
      <c r="Z897" s="118"/>
      <c r="AA897" s="118"/>
    </row>
    <row r="898" spans="1:29" ht="25.5" customHeight="1" thickBot="1" x14ac:dyDescent="0.35">
      <c r="A898"/>
      <c r="B898" s="24"/>
      <c r="C898" s="6"/>
      <c r="D898" s="6"/>
      <c r="E898" s="61" t="s">
        <v>190</v>
      </c>
      <c r="F898" s="40">
        <f t="shared" ref="F898:N898" si="294">IF(((F896="")*AND(F897="")),"",(F896-F897)*3)</f>
        <v>2038.3199999999997</v>
      </c>
      <c r="G898" s="40">
        <f t="shared" si="294"/>
        <v>2022.3600000000001</v>
      </c>
      <c r="H898" s="40">
        <f t="shared" si="294"/>
        <v>1995.8100000000004</v>
      </c>
      <c r="I898" s="40">
        <f t="shared" si="294"/>
        <v>2003.58</v>
      </c>
      <c r="J898" s="40">
        <f t="shared" si="294"/>
        <v>1955.8200000000002</v>
      </c>
      <c r="K898" s="40">
        <f t="shared" si="294"/>
        <v>2005.6200000000003</v>
      </c>
      <c r="L898" s="40">
        <f t="shared" si="294"/>
        <v>2003.46</v>
      </c>
      <c r="M898" s="40">
        <f t="shared" si="294"/>
        <v>2017.65</v>
      </c>
      <c r="N898" s="40">
        <f t="shared" si="294"/>
        <v>1993.2000000000003</v>
      </c>
      <c r="O898" s="61"/>
      <c r="P898" s="61"/>
      <c r="Q898" s="62"/>
      <c r="R898" s="62"/>
      <c r="S898" s="139"/>
      <c r="T898" s="5"/>
      <c r="U898" s="140"/>
      <c r="X898" s="118"/>
      <c r="Y898" s="118"/>
      <c r="Z898" s="118"/>
      <c r="AA898" s="118"/>
    </row>
    <row r="899" spans="1:29" x14ac:dyDescent="0.25">
      <c r="A899" s="207">
        <v>43517</v>
      </c>
      <c r="B899" s="218" t="s">
        <v>185</v>
      </c>
      <c r="C899" s="6" t="s">
        <v>173</v>
      </c>
      <c r="D899" s="6" t="s">
        <v>172</v>
      </c>
      <c r="E899" s="61" t="s">
        <v>186</v>
      </c>
      <c r="F899" s="11">
        <v>27647.17</v>
      </c>
      <c r="G899" s="11">
        <v>27703.62</v>
      </c>
      <c r="H899" s="11">
        <v>27724</v>
      </c>
      <c r="I899" s="11">
        <v>27682.32</v>
      </c>
      <c r="J899" s="11">
        <v>27634.66</v>
      </c>
      <c r="K899" s="11">
        <v>27617.360000000001</v>
      </c>
      <c r="L899" s="11">
        <v>27709.3</v>
      </c>
      <c r="M899" s="11">
        <v>27637.09</v>
      </c>
      <c r="N899" s="11">
        <v>27603.66</v>
      </c>
      <c r="O899" s="61">
        <f>IF((N900=""),"",MAX(F901:N901))</f>
        <v>4525.8599999999969</v>
      </c>
      <c r="P899" s="61">
        <f>IF(N900="","",MIN(F901:N901))</f>
        <v>3950.0699999999961</v>
      </c>
      <c r="Q899" s="62">
        <f>IF((N901=""),"",AVERAGE(F901:N901))</f>
        <v>4200.7499999999982</v>
      </c>
      <c r="R899" s="62">
        <f>IF((N900=""),"",(O899-P899)/(O899+P899)*100)</f>
        <v>6.7932368483458614</v>
      </c>
      <c r="S899" s="139">
        <f>STDEV(F901:N901)</f>
        <v>197.72572594379369</v>
      </c>
      <c r="T899" s="5" t="str">
        <f>IF(N900="","",IF(R899&lt;16,IF(Q899&gt;3200,IF(R899,IF(Q899&lt;5240,"Pass","Fail"),"Fail"),"Fail")))</f>
        <v>Pass</v>
      </c>
      <c r="U899" s="149">
        <v>1428</v>
      </c>
      <c r="X899" s="116">
        <v>4200</v>
      </c>
      <c r="Y899" s="116">
        <v>5500</v>
      </c>
      <c r="Z899" s="116">
        <v>3200</v>
      </c>
      <c r="AA899" s="116">
        <v>5240</v>
      </c>
      <c r="AB899" s="31">
        <v>16</v>
      </c>
      <c r="AC899" s="31">
        <v>16</v>
      </c>
    </row>
    <row r="900" spans="1:29" ht="15.6" x14ac:dyDescent="0.3">
      <c r="A900"/>
      <c r="B900" s="24"/>
      <c r="C900" s="6"/>
      <c r="D900" s="6"/>
      <c r="E900" s="61" t="s">
        <v>187</v>
      </c>
      <c r="F900" s="11">
        <v>26179</v>
      </c>
      <c r="G900" s="11">
        <v>26334.58</v>
      </c>
      <c r="H900" s="11">
        <v>26407.31</v>
      </c>
      <c r="I900" s="11">
        <v>26326.07</v>
      </c>
      <c r="J900" s="11">
        <v>26164.959999999999</v>
      </c>
      <c r="K900" s="11">
        <v>26218.41</v>
      </c>
      <c r="L900" s="11">
        <v>26349.97</v>
      </c>
      <c r="M900" s="11">
        <v>26281.59</v>
      </c>
      <c r="N900" s="11">
        <v>26095.040000000001</v>
      </c>
      <c r="O900" s="61"/>
      <c r="P900" s="61"/>
      <c r="Q900" s="62"/>
      <c r="R900" s="62"/>
      <c r="S900" s="139"/>
      <c r="T900" s="5"/>
      <c r="U900" s="140"/>
      <c r="X900" s="118"/>
      <c r="Y900" s="118"/>
      <c r="Z900" s="118"/>
      <c r="AA900" s="118"/>
    </row>
    <row r="901" spans="1:29" ht="23.4" thickBot="1" x14ac:dyDescent="0.35">
      <c r="A901"/>
      <c r="B901" s="63"/>
      <c r="C901" s="64"/>
      <c r="D901" s="64"/>
      <c r="E901" s="65" t="s">
        <v>188</v>
      </c>
      <c r="F901" s="53">
        <f t="shared" ref="F901:N901" si="295">IF(((F899="")*AND(F900="")),"",(F899-F900)*3)</f>
        <v>4404.5099999999948</v>
      </c>
      <c r="G901" s="53">
        <f t="shared" si="295"/>
        <v>4107.1199999999917</v>
      </c>
      <c r="H901" s="53">
        <f t="shared" si="295"/>
        <v>3950.0699999999961</v>
      </c>
      <c r="I901" s="53">
        <f t="shared" si="295"/>
        <v>4068.75</v>
      </c>
      <c r="J901" s="53">
        <f t="shared" si="295"/>
        <v>4409.1000000000022</v>
      </c>
      <c r="K901" s="53">
        <f t="shared" si="295"/>
        <v>4196.8500000000022</v>
      </c>
      <c r="L901" s="53">
        <f t="shared" si="295"/>
        <v>4077.9899999999943</v>
      </c>
      <c r="M901" s="53">
        <f t="shared" si="295"/>
        <v>4066.5</v>
      </c>
      <c r="N901" s="53">
        <f t="shared" si="295"/>
        <v>4525.8599999999969</v>
      </c>
      <c r="O901" s="65"/>
      <c r="P901" s="65"/>
      <c r="Q901" s="66"/>
      <c r="R901" s="66"/>
      <c r="S901" s="142"/>
      <c r="T901" s="143"/>
      <c r="U901" s="144"/>
      <c r="X901" s="118"/>
      <c r="Y901" s="118"/>
      <c r="Z901" s="118"/>
      <c r="AA901" s="118"/>
    </row>
    <row r="902" spans="1:29" x14ac:dyDescent="0.25">
      <c r="A902" s="207">
        <v>43521</v>
      </c>
      <c r="B902" s="219" t="s">
        <v>174</v>
      </c>
      <c r="C902" s="39" t="s">
        <v>176</v>
      </c>
      <c r="D902" s="39" t="s">
        <v>175</v>
      </c>
      <c r="E902" s="41" t="s">
        <v>186</v>
      </c>
      <c r="F902" s="11">
        <v>3134.87</v>
      </c>
      <c r="G902" s="11">
        <v>2954.5</v>
      </c>
      <c r="H902" s="11">
        <v>2944.49</v>
      </c>
      <c r="I902" s="11">
        <v>2925.52</v>
      </c>
      <c r="J902" s="11">
        <v>3040.59</v>
      </c>
      <c r="K902" s="11">
        <v>3160.65</v>
      </c>
      <c r="L902" s="11">
        <v>2948.81</v>
      </c>
      <c r="M902" s="11">
        <v>2960.1</v>
      </c>
      <c r="N902" s="11">
        <v>3087.13</v>
      </c>
      <c r="O902" s="59">
        <f>IF((N903=""),"",MAX(F904:N904))</f>
        <v>3909.8999999999996</v>
      </c>
      <c r="P902" s="59">
        <f>IF(N903="","",MIN(F904:N904))</f>
        <v>3627.36</v>
      </c>
      <c r="Q902" s="60">
        <f>IF((N904=""),"",AVERAGE(F904:N904))</f>
        <v>3812.255555555555</v>
      </c>
      <c r="R902" s="60">
        <f>IF((N903=""),"",(O902-P902)/(O902+P902)*100)</f>
        <v>3.7485770691206026</v>
      </c>
      <c r="S902" s="113">
        <f>STDEV(F904:N904)</f>
        <v>100.93238171061721</v>
      </c>
      <c r="T902" s="137" t="str">
        <f>IF(N903="","",IF(Q902&gt;3650,IF(R902&lt;7,IF(Q902&lt;4450,"Pass","Fail"),"Fail"),"Fail"))</f>
        <v>Pass</v>
      </c>
      <c r="U902" s="149"/>
      <c r="V902" s="223" t="s">
        <v>224</v>
      </c>
      <c r="X902" s="116">
        <v>3650</v>
      </c>
      <c r="Y902" s="116">
        <v>4450</v>
      </c>
      <c r="Z902" s="116">
        <v>3700</v>
      </c>
      <c r="AA902" s="116">
        <v>4100</v>
      </c>
      <c r="AB902" s="31">
        <v>7</v>
      </c>
      <c r="AC902" s="31">
        <v>6.5</v>
      </c>
    </row>
    <row r="903" spans="1:29" ht="15.6" x14ac:dyDescent="0.3">
      <c r="A903"/>
      <c r="B903" s="24"/>
      <c r="C903" s="6"/>
      <c r="D903" s="6"/>
      <c r="E903" s="61" t="s">
        <v>187</v>
      </c>
      <c r="F903" s="11">
        <v>1281.1099999999999</v>
      </c>
      <c r="G903" s="11">
        <v>1019.99</v>
      </c>
      <c r="H903" s="11">
        <v>994.32</v>
      </c>
      <c r="I903" s="11">
        <v>987.19</v>
      </c>
      <c r="J903" s="11">
        <v>1179.06</v>
      </c>
      <c r="K903" s="11">
        <v>1346.97</v>
      </c>
      <c r="L903" s="11">
        <v>1012.78</v>
      </c>
      <c r="M903" s="11">
        <v>1005.15</v>
      </c>
      <c r="N903" s="11">
        <v>1174.94</v>
      </c>
      <c r="O903" s="61"/>
      <c r="P903" s="61"/>
      <c r="Q903" s="62"/>
      <c r="R903" s="62"/>
      <c r="S903" s="139"/>
      <c r="T903" s="8"/>
      <c r="U903" s="146"/>
      <c r="V903" s="178"/>
      <c r="X903" s="118"/>
      <c r="Y903" s="118"/>
      <c r="Z903" s="118"/>
      <c r="AA903" s="118"/>
    </row>
    <row r="904" spans="1:29" ht="23.4" thickBot="1" x14ac:dyDescent="0.35">
      <c r="A904"/>
      <c r="B904" s="24"/>
      <c r="C904" s="6"/>
      <c r="D904" s="6"/>
      <c r="E904" s="61" t="s">
        <v>188</v>
      </c>
      <c r="F904" s="40">
        <f t="shared" ref="F904:N904" si="296">IF(((F902="")*AND(F903="")),"",(F902-F903)*2)</f>
        <v>3707.52</v>
      </c>
      <c r="G904" s="40">
        <f t="shared" si="296"/>
        <v>3869.02</v>
      </c>
      <c r="H904" s="40">
        <f t="shared" si="296"/>
        <v>3900.3399999999992</v>
      </c>
      <c r="I904" s="40">
        <f t="shared" si="296"/>
        <v>3876.66</v>
      </c>
      <c r="J904" s="40">
        <f t="shared" si="296"/>
        <v>3723.0600000000004</v>
      </c>
      <c r="K904" s="40">
        <f t="shared" si="296"/>
        <v>3627.36</v>
      </c>
      <c r="L904" s="40">
        <f t="shared" si="296"/>
        <v>3872.06</v>
      </c>
      <c r="M904" s="40">
        <f t="shared" si="296"/>
        <v>3909.8999999999996</v>
      </c>
      <c r="N904" s="40">
        <f t="shared" si="296"/>
        <v>3824.38</v>
      </c>
      <c r="O904" s="61"/>
      <c r="P904" s="61"/>
      <c r="Q904" s="62"/>
      <c r="R904" s="62"/>
      <c r="S904" s="139"/>
      <c r="T904" s="8"/>
      <c r="U904" s="146"/>
      <c r="V904" s="178"/>
      <c r="X904" s="118"/>
      <c r="Y904" s="118"/>
      <c r="Z904" s="118"/>
      <c r="AA904" s="118"/>
    </row>
    <row r="905" spans="1:29" x14ac:dyDescent="0.25">
      <c r="A905" s="207">
        <v>43521</v>
      </c>
      <c r="B905" s="215" t="s">
        <v>169</v>
      </c>
      <c r="C905" s="6" t="s">
        <v>171</v>
      </c>
      <c r="D905" s="6" t="s">
        <v>189</v>
      </c>
      <c r="E905" s="61" t="s">
        <v>186</v>
      </c>
      <c r="F905" s="11">
        <v>1950.16</v>
      </c>
      <c r="G905" s="11">
        <v>1942.9</v>
      </c>
      <c r="H905" s="11">
        <v>1943.48</v>
      </c>
      <c r="I905" s="11">
        <v>1946.06</v>
      </c>
      <c r="J905" s="11">
        <v>1950.68</v>
      </c>
      <c r="K905" s="11">
        <v>1950.59</v>
      </c>
      <c r="L905" s="11">
        <v>1941.85</v>
      </c>
      <c r="M905" s="11">
        <v>1942.18</v>
      </c>
      <c r="N905" s="11">
        <v>1948.12</v>
      </c>
      <c r="O905" s="61">
        <f>IF((N906=""),"",MAX(F907:N907))</f>
        <v>2010.2700000000004</v>
      </c>
      <c r="P905" s="61">
        <f>IF(N906="","",MIN(F907:N907))</f>
        <v>1956.5400000000002</v>
      </c>
      <c r="Q905" s="62">
        <f>IF((N907=""),"",AVERAGE(F907:N907))</f>
        <v>1979.04</v>
      </c>
      <c r="R905" s="62">
        <f>IF((N906=""),"",(O905-P905)/(O905+P905)*100)</f>
        <v>1.354488871410535</v>
      </c>
      <c r="S905" s="139">
        <f>STDEV(F907:N907)</f>
        <v>15.742548237182094</v>
      </c>
      <c r="T905" s="5" t="str">
        <f>IF(N906="","",IF(Q905&gt;1940,IF(R905&lt;8.3,IF(Q905&lt;2180,"Pass","Fail"),"Fail"),"Fail"))</f>
        <v>Pass</v>
      </c>
      <c r="U905" s="149"/>
      <c r="V905" s="178" t="s">
        <v>224</v>
      </c>
      <c r="X905" s="116">
        <v>2000</v>
      </c>
      <c r="Y905" s="116">
        <v>3000</v>
      </c>
      <c r="Z905" s="116">
        <v>1940</v>
      </c>
      <c r="AA905" s="116">
        <v>2180</v>
      </c>
      <c r="AB905" s="31">
        <v>5.2</v>
      </c>
      <c r="AC905" s="31">
        <v>5.2</v>
      </c>
    </row>
    <row r="906" spans="1:29" ht="15.6" x14ac:dyDescent="0.3">
      <c r="A906"/>
      <c r="B906" s="24"/>
      <c r="C906" s="6"/>
      <c r="D906" s="6"/>
      <c r="E906" s="61" t="s">
        <v>187</v>
      </c>
      <c r="F906" s="11">
        <v>1280.07</v>
      </c>
      <c r="G906" s="11">
        <v>1282.32</v>
      </c>
      <c r="H906" s="11">
        <v>1284.55</v>
      </c>
      <c r="I906" s="11">
        <v>1285.72</v>
      </c>
      <c r="J906" s="11">
        <v>1298.5</v>
      </c>
      <c r="K906" s="11">
        <v>1287.42</v>
      </c>
      <c r="L906" s="11">
        <v>1287.42</v>
      </c>
      <c r="M906" s="11">
        <v>1281.01</v>
      </c>
      <c r="N906" s="11">
        <v>1291.8900000000001</v>
      </c>
      <c r="O906" s="61"/>
      <c r="P906" s="61"/>
      <c r="Q906" s="62"/>
      <c r="R906" s="62"/>
      <c r="S906" s="139"/>
      <c r="T906" s="5"/>
      <c r="U906" s="140"/>
      <c r="V906" s="178"/>
      <c r="X906" s="118"/>
      <c r="Y906" s="118"/>
      <c r="Z906" s="118"/>
      <c r="AA906" s="118"/>
    </row>
    <row r="907" spans="1:29" ht="25.5" customHeight="1" thickBot="1" x14ac:dyDescent="0.35">
      <c r="A907"/>
      <c r="B907" s="24"/>
      <c r="C907" s="6"/>
      <c r="D907" s="6"/>
      <c r="E907" s="61" t="s">
        <v>190</v>
      </c>
      <c r="F907" s="40">
        <f t="shared" ref="F907:N907" si="297">IF(((F905="")*AND(F906="")),"",(F905-F906)*3)</f>
        <v>2010.2700000000004</v>
      </c>
      <c r="G907" s="40">
        <f t="shared" si="297"/>
        <v>1981.7400000000005</v>
      </c>
      <c r="H907" s="40">
        <f t="shared" si="297"/>
        <v>1976.7900000000002</v>
      </c>
      <c r="I907" s="40">
        <f t="shared" si="297"/>
        <v>1981.0199999999998</v>
      </c>
      <c r="J907" s="40">
        <f t="shared" si="297"/>
        <v>1956.5400000000002</v>
      </c>
      <c r="K907" s="40">
        <f t="shared" si="297"/>
        <v>1989.5099999999995</v>
      </c>
      <c r="L907" s="40">
        <f t="shared" si="297"/>
        <v>1963.2899999999995</v>
      </c>
      <c r="M907" s="40">
        <f t="shared" si="297"/>
        <v>1983.5100000000002</v>
      </c>
      <c r="N907" s="40">
        <f t="shared" si="297"/>
        <v>1968.6899999999994</v>
      </c>
      <c r="O907" s="61"/>
      <c r="P907" s="61"/>
      <c r="Q907" s="62"/>
      <c r="R907" s="62"/>
      <c r="S907" s="139"/>
      <c r="T907" s="5"/>
      <c r="U907" s="140"/>
      <c r="V907" s="178"/>
      <c r="X907" s="118"/>
      <c r="Y907" s="118"/>
      <c r="Z907" s="118"/>
      <c r="AA907" s="118"/>
    </row>
    <row r="908" spans="1:29" x14ac:dyDescent="0.25">
      <c r="A908" s="207">
        <v>43521</v>
      </c>
      <c r="B908" s="218" t="s">
        <v>185</v>
      </c>
      <c r="C908" s="6" t="s">
        <v>173</v>
      </c>
      <c r="D908" s="6" t="s">
        <v>172</v>
      </c>
      <c r="E908" s="61" t="s">
        <v>186</v>
      </c>
      <c r="F908" s="11">
        <v>26151.34</v>
      </c>
      <c r="G908" s="11">
        <v>26265.5</v>
      </c>
      <c r="H908" s="11">
        <v>26343.1</v>
      </c>
      <c r="I908" s="11">
        <v>26279.200000000001</v>
      </c>
      <c r="J908" s="11">
        <v>26130.95</v>
      </c>
      <c r="K908" s="11">
        <v>26164.61</v>
      </c>
      <c r="L908" s="11">
        <v>26287.84</v>
      </c>
      <c r="M908" s="11">
        <v>26242.33</v>
      </c>
      <c r="N908" s="11">
        <v>26058.080000000002</v>
      </c>
      <c r="O908" s="61">
        <f>IF((N909=""),"",MAX(F910:N910))</f>
        <v>4632.4200000000092</v>
      </c>
      <c r="P908" s="61">
        <f>IF(N909="","",MIN(F910:N910))</f>
        <v>4175.8799999999974</v>
      </c>
      <c r="Q908" s="62">
        <f>IF((N910=""),"",AVERAGE(F910:N910))</f>
        <v>4404.2400000000016</v>
      </c>
      <c r="R908" s="62">
        <f>IF((N909=""),"",(O908-P908)/(O908+P908)*100)</f>
        <v>5.1830659718675731</v>
      </c>
      <c r="S908" s="139">
        <f>STDEV(F910:N910)</f>
        <v>204.54803995638858</v>
      </c>
      <c r="T908" s="5" t="str">
        <f>IF(N909="","",IF(R908&lt;16,IF(Q908&gt;3200,IF(R908,IF(Q908&lt;5240,"Pass","Fail"),"Fail"),"Fail")))</f>
        <v>Pass</v>
      </c>
      <c r="U908" s="149"/>
      <c r="V908" s="178" t="s">
        <v>224</v>
      </c>
      <c r="X908" s="116">
        <v>4200</v>
      </c>
      <c r="Y908" s="116">
        <v>5500</v>
      </c>
      <c r="Z908" s="116">
        <v>3200</v>
      </c>
      <c r="AA908" s="116">
        <v>5240</v>
      </c>
      <c r="AB908" s="31">
        <v>16</v>
      </c>
      <c r="AC908" s="31">
        <v>16</v>
      </c>
    </row>
    <row r="909" spans="1:29" ht="15.6" x14ac:dyDescent="0.3">
      <c r="A909"/>
      <c r="B909" s="24"/>
      <c r="C909" s="6"/>
      <c r="D909" s="6"/>
      <c r="E909" s="61" t="s">
        <v>187</v>
      </c>
      <c r="F909" s="11">
        <v>24609.61</v>
      </c>
      <c r="G909" s="11">
        <v>24869.79</v>
      </c>
      <c r="H909" s="11">
        <v>24893.86</v>
      </c>
      <c r="I909" s="11">
        <v>24887.24</v>
      </c>
      <c r="J909" s="11">
        <v>24589.53</v>
      </c>
      <c r="K909" s="11">
        <v>24643.49</v>
      </c>
      <c r="L909" s="11">
        <v>24858.51</v>
      </c>
      <c r="M909" s="11">
        <v>24844.26</v>
      </c>
      <c r="N909" s="11">
        <v>24513.94</v>
      </c>
      <c r="O909" s="61"/>
      <c r="P909" s="61"/>
      <c r="Q909" s="62"/>
      <c r="R909" s="62"/>
      <c r="S909" s="139"/>
      <c r="T909" s="5"/>
      <c r="U909" s="140"/>
      <c r="V909" s="178"/>
      <c r="X909" s="118"/>
      <c r="Y909" s="118"/>
      <c r="Z909" s="118"/>
      <c r="AA909" s="118"/>
    </row>
    <row r="910" spans="1:29" ht="23.4" thickBot="1" x14ac:dyDescent="0.35">
      <c r="A910"/>
      <c r="B910" s="63"/>
      <c r="C910" s="64"/>
      <c r="D910" s="64"/>
      <c r="E910" s="65" t="s">
        <v>188</v>
      </c>
      <c r="F910" s="53">
        <f t="shared" ref="F910:N910" si="298">IF(((F908="")*AND(F909="")),"",(F908-F909)*3)</f>
        <v>4625.1899999999987</v>
      </c>
      <c r="G910" s="53">
        <f t="shared" si="298"/>
        <v>4187.1299999999974</v>
      </c>
      <c r="H910" s="53">
        <f t="shared" si="298"/>
        <v>4347.7199999999939</v>
      </c>
      <c r="I910" s="53">
        <f t="shared" si="298"/>
        <v>4175.8799999999974</v>
      </c>
      <c r="J910" s="53">
        <f t="shared" si="298"/>
        <v>4624.2600000000057</v>
      </c>
      <c r="K910" s="53">
        <f t="shared" si="298"/>
        <v>4563.3599999999969</v>
      </c>
      <c r="L910" s="53">
        <f t="shared" si="298"/>
        <v>4287.9900000000052</v>
      </c>
      <c r="M910" s="53">
        <f t="shared" si="298"/>
        <v>4194.21000000001</v>
      </c>
      <c r="N910" s="53">
        <f t="shared" si="298"/>
        <v>4632.4200000000092</v>
      </c>
      <c r="O910" s="65"/>
      <c r="P910" s="65"/>
      <c r="Q910" s="66"/>
      <c r="R910" s="66"/>
      <c r="S910" s="142"/>
      <c r="T910" s="143"/>
      <c r="U910" s="144"/>
      <c r="V910" s="178"/>
      <c r="X910" s="118"/>
      <c r="Y910" s="118"/>
      <c r="Z910" s="118"/>
      <c r="AA910" s="118"/>
    </row>
    <row r="911" spans="1:29" x14ac:dyDescent="0.25">
      <c r="A911" s="207">
        <v>43524</v>
      </c>
      <c r="B911" s="219" t="s">
        <v>174</v>
      </c>
      <c r="C911" s="39" t="s">
        <v>176</v>
      </c>
      <c r="D911" s="39" t="s">
        <v>175</v>
      </c>
      <c r="E911" s="41" t="s">
        <v>186</v>
      </c>
      <c r="F911" s="11">
        <v>6899.66</v>
      </c>
      <c r="G911" s="11">
        <v>6867.25</v>
      </c>
      <c r="H911" s="11">
        <v>6889.77</v>
      </c>
      <c r="I911" s="11">
        <v>6846.95</v>
      </c>
      <c r="J911" s="11">
        <v>6808.74</v>
      </c>
      <c r="K911" s="11">
        <v>6878.9</v>
      </c>
      <c r="L911" s="11">
        <v>6869.11</v>
      </c>
      <c r="M911" s="11">
        <v>6903.36</v>
      </c>
      <c r="N911" s="11">
        <v>6937.64</v>
      </c>
      <c r="O911" s="59">
        <f>IF((N912=""),"",MAX(F913:N913))</f>
        <v>3907.34</v>
      </c>
      <c r="P911" s="59">
        <f>IF(N912="","",MIN(F913:N913))</f>
        <v>3640.4399999999987</v>
      </c>
      <c r="Q911" s="60">
        <f>IF((N913=""),"",AVERAGE(F913:N913))</f>
        <v>3809.9444444444434</v>
      </c>
      <c r="R911" s="60">
        <f>IF((N912=""),"",(O911-P911)/(O911+P911)*100)</f>
        <v>3.5361391031535301</v>
      </c>
      <c r="S911" s="113">
        <f>STDEV(F913:N913)</f>
        <v>96.754457663602722</v>
      </c>
      <c r="T911" s="137" t="str">
        <f>IF(N912="","",IF(Q911&gt;3650,IF(R911&lt;7,IF(Q911&lt;4450,"Pass","Fail"),"Fail"),"Fail"))</f>
        <v>Pass</v>
      </c>
      <c r="U911" s="149" t="s">
        <v>99</v>
      </c>
      <c r="V911" s="223" t="s">
        <v>225</v>
      </c>
      <c r="X911" s="116">
        <v>3650</v>
      </c>
      <c r="Y911" s="116">
        <v>4450</v>
      </c>
      <c r="Z911" s="116">
        <v>3700</v>
      </c>
      <c r="AA911" s="116">
        <v>4100</v>
      </c>
      <c r="AB911" s="31">
        <v>7</v>
      </c>
      <c r="AC911" s="31">
        <v>6.5</v>
      </c>
    </row>
    <row r="912" spans="1:29" ht="15.6" x14ac:dyDescent="0.3">
      <c r="A912"/>
      <c r="B912" s="24"/>
      <c r="C912" s="6"/>
      <c r="D912" s="6"/>
      <c r="E912" s="61" t="s">
        <v>187</v>
      </c>
      <c r="F912" s="11">
        <v>5034.5200000000004</v>
      </c>
      <c r="G912" s="11">
        <v>4929.45</v>
      </c>
      <c r="H912" s="11">
        <v>4940.93</v>
      </c>
      <c r="I912" s="11">
        <v>4914.3900000000003</v>
      </c>
      <c r="J912" s="11">
        <v>4958.8900000000003</v>
      </c>
      <c r="K912" s="11">
        <v>5058.68</v>
      </c>
      <c r="L912" s="11">
        <v>4936.2299999999996</v>
      </c>
      <c r="M912" s="11">
        <v>4949.6899999999996</v>
      </c>
      <c r="N912" s="11">
        <v>5033.8500000000004</v>
      </c>
      <c r="O912" s="61"/>
      <c r="P912" s="61"/>
      <c r="Q912" s="62"/>
      <c r="R912" s="62"/>
      <c r="S912" s="139"/>
      <c r="T912" s="8"/>
      <c r="U912" s="146"/>
      <c r="V912" s="178"/>
      <c r="X912" s="118"/>
      <c r="Y912" s="118"/>
      <c r="Z912" s="118"/>
      <c r="AA912" s="118"/>
    </row>
    <row r="913" spans="1:29" ht="23.4" thickBot="1" x14ac:dyDescent="0.35">
      <c r="A913"/>
      <c r="B913" s="24"/>
      <c r="C913" s="6"/>
      <c r="D913" s="6"/>
      <c r="E913" s="61" t="s">
        <v>188</v>
      </c>
      <c r="F913" s="40">
        <f t="shared" ref="F913:N913" si="299">IF(((F911="")*AND(F912="")),"",(F911-F912)*2)</f>
        <v>3730.2799999999988</v>
      </c>
      <c r="G913" s="40">
        <f t="shared" si="299"/>
        <v>3875.6000000000004</v>
      </c>
      <c r="H913" s="40">
        <f t="shared" si="299"/>
        <v>3897.6800000000003</v>
      </c>
      <c r="I913" s="40">
        <f t="shared" si="299"/>
        <v>3865.119999999999</v>
      </c>
      <c r="J913" s="40">
        <f t="shared" si="299"/>
        <v>3699.6999999999989</v>
      </c>
      <c r="K913" s="40">
        <f t="shared" si="299"/>
        <v>3640.4399999999987</v>
      </c>
      <c r="L913" s="40">
        <f t="shared" si="299"/>
        <v>3865.76</v>
      </c>
      <c r="M913" s="40">
        <f t="shared" si="299"/>
        <v>3907.34</v>
      </c>
      <c r="N913" s="40">
        <f t="shared" si="299"/>
        <v>3807.58</v>
      </c>
      <c r="O913" s="61"/>
      <c r="P913" s="61"/>
      <c r="Q913" s="62"/>
      <c r="R913" s="62"/>
      <c r="S913" s="139"/>
      <c r="T913" s="8"/>
      <c r="U913" s="146"/>
      <c r="V913" s="178"/>
      <c r="X913" s="118"/>
      <c r="Y913" s="118"/>
      <c r="Z913" s="118"/>
      <c r="AA913" s="118"/>
    </row>
    <row r="914" spans="1:29" x14ac:dyDescent="0.25">
      <c r="A914" s="207">
        <v>43524</v>
      </c>
      <c r="B914" s="215" t="s">
        <v>169</v>
      </c>
      <c r="C914" s="6" t="s">
        <v>171</v>
      </c>
      <c r="D914" s="6" t="s">
        <v>189</v>
      </c>
      <c r="E914" s="61" t="s">
        <v>186</v>
      </c>
      <c r="F914" s="11">
        <v>1281.19</v>
      </c>
      <c r="G914" s="11">
        <v>1284.1400000000001</v>
      </c>
      <c r="H914" s="11">
        <v>1290.67</v>
      </c>
      <c r="I914" s="11">
        <v>1287.79</v>
      </c>
      <c r="J914" s="11">
        <v>1301.1099999999999</v>
      </c>
      <c r="K914" s="11">
        <v>1288.4100000000001</v>
      </c>
      <c r="L914" s="11">
        <v>1289.07</v>
      </c>
      <c r="M914" s="11">
        <v>1284.05</v>
      </c>
      <c r="N914" s="11">
        <v>1293.94</v>
      </c>
      <c r="O914" s="61">
        <f>IF((N915=""),"",MAX(F916:N916))</f>
        <v>2026.41</v>
      </c>
      <c r="P914" s="61">
        <f>IF(N915="","",MIN(F916:N916))</f>
        <v>1985.6699999999996</v>
      </c>
      <c r="Q914" s="62">
        <f>IF((N916=""),"",AVERAGE(F916:N916))</f>
        <v>2011.6666666666667</v>
      </c>
      <c r="R914" s="62">
        <f>IF((N915=""),"",(O914-P914)/(O914+P914)*100)</f>
        <v>1.0154333911587123</v>
      </c>
      <c r="S914" s="139">
        <f>STDEV(F916:N916)</f>
        <v>13.526874176985757</v>
      </c>
      <c r="T914" s="5" t="str">
        <f>IF(N915="","",IF(Q914&gt;1940,IF(R914&lt;8.3,IF(Q914&lt;2180,"Pass","Fail"),"Fail"),"Fail"))</f>
        <v>Pass</v>
      </c>
      <c r="U914" s="149" t="s">
        <v>99</v>
      </c>
      <c r="V914" s="178" t="s">
        <v>225</v>
      </c>
      <c r="X914" s="116">
        <v>2000</v>
      </c>
      <c r="Y914" s="116">
        <v>3000</v>
      </c>
      <c r="Z914" s="116">
        <v>1940</v>
      </c>
      <c r="AA914" s="116">
        <v>2180</v>
      </c>
      <c r="AB914" s="31">
        <v>5.2</v>
      </c>
      <c r="AC914" s="31">
        <v>5.2</v>
      </c>
    </row>
    <row r="915" spans="1:29" ht="15.6" x14ac:dyDescent="0.3">
      <c r="A915"/>
      <c r="B915" s="24"/>
      <c r="C915" s="6"/>
      <c r="D915" s="6"/>
      <c r="E915" s="61" t="s">
        <v>187</v>
      </c>
      <c r="F915" s="11">
        <v>605.72</v>
      </c>
      <c r="G915" s="11">
        <v>611</v>
      </c>
      <c r="H915" s="11">
        <v>619.54999999999995</v>
      </c>
      <c r="I915" s="11">
        <v>620.30999999999995</v>
      </c>
      <c r="J915" s="11">
        <v>639.22</v>
      </c>
      <c r="K915" s="11">
        <v>614.41999999999996</v>
      </c>
      <c r="L915" s="11">
        <v>619.54</v>
      </c>
      <c r="M915" s="11">
        <v>608.78</v>
      </c>
      <c r="N915" s="11">
        <v>626.83000000000004</v>
      </c>
      <c r="O915" s="61"/>
      <c r="P915" s="61"/>
      <c r="Q915" s="62"/>
      <c r="R915" s="62"/>
      <c r="S915" s="139"/>
      <c r="T915" s="5"/>
      <c r="U915" s="140"/>
      <c r="V915" s="178"/>
      <c r="X915" s="118"/>
      <c r="Y915" s="118"/>
      <c r="Z915" s="118"/>
      <c r="AA915" s="118"/>
    </row>
    <row r="916" spans="1:29" ht="27.15" customHeight="1" thickBot="1" x14ac:dyDescent="0.35">
      <c r="A916"/>
      <c r="B916" s="24"/>
      <c r="C916" s="6"/>
      <c r="D916" s="6"/>
      <c r="E916" s="61" t="s">
        <v>190</v>
      </c>
      <c r="F916" s="40">
        <f t="shared" ref="F916:N916" si="300">IF(((F914="")*AND(F915="")),"",(F914-F915)*3)</f>
        <v>2026.41</v>
      </c>
      <c r="G916" s="40">
        <f t="shared" si="300"/>
        <v>2019.4200000000003</v>
      </c>
      <c r="H916" s="40">
        <f t="shared" si="300"/>
        <v>2013.3600000000004</v>
      </c>
      <c r="I916" s="40">
        <f t="shared" si="300"/>
        <v>2002.44</v>
      </c>
      <c r="J916" s="40">
        <f t="shared" si="300"/>
        <v>1985.6699999999996</v>
      </c>
      <c r="K916" s="40">
        <f t="shared" si="300"/>
        <v>2021.9700000000003</v>
      </c>
      <c r="L916" s="40">
        <f t="shared" si="300"/>
        <v>2008.59</v>
      </c>
      <c r="M916" s="40">
        <f t="shared" si="300"/>
        <v>2025.81</v>
      </c>
      <c r="N916" s="40">
        <f t="shared" si="300"/>
        <v>2001.33</v>
      </c>
      <c r="O916" s="61"/>
      <c r="P916" s="61"/>
      <c r="Q916" s="62"/>
      <c r="R916" s="62"/>
      <c r="S916" s="139"/>
      <c r="T916" s="5"/>
      <c r="U916" s="140"/>
      <c r="V916" s="178"/>
      <c r="X916" s="118"/>
      <c r="Y916" s="118"/>
      <c r="Z916" s="118"/>
      <c r="AA916" s="118"/>
    </row>
    <row r="917" spans="1:29" x14ac:dyDescent="0.25">
      <c r="A917" s="207">
        <v>43524</v>
      </c>
      <c r="B917" s="218" t="s">
        <v>185</v>
      </c>
      <c r="C917" s="6" t="s">
        <v>173</v>
      </c>
      <c r="D917" s="6" t="s">
        <v>172</v>
      </c>
      <c r="E917" s="61" t="s">
        <v>186</v>
      </c>
      <c r="F917" s="11">
        <v>24531.32</v>
      </c>
      <c r="G917" s="11">
        <v>24793.599999999999</v>
      </c>
      <c r="H917" s="11">
        <v>24896.32</v>
      </c>
      <c r="I917" s="11">
        <v>24844.31</v>
      </c>
      <c r="J917" s="11">
        <v>24555.31</v>
      </c>
      <c r="K917" s="11">
        <v>24585.13</v>
      </c>
      <c r="L917" s="11">
        <v>24834.71</v>
      </c>
      <c r="M917" s="11">
        <v>24799.86</v>
      </c>
      <c r="N917" s="11">
        <v>24447.53</v>
      </c>
      <c r="O917" s="61">
        <f>IF((N918=""),"",MAX(F919:N919))</f>
        <v>5003.0999999999913</v>
      </c>
      <c r="P917" s="61">
        <f>IF(N918="","",MIN(F919:N919))</f>
        <v>4010.4599999999991</v>
      </c>
      <c r="Q917" s="62">
        <f>IF((N919=""),"",AVERAGE(F919:N919))</f>
        <v>4453.3933333333343</v>
      </c>
      <c r="R917" s="62">
        <f>IF((N918=""),"",(O917-P917)/(O917+P917)*100)</f>
        <v>11.012740803855449</v>
      </c>
      <c r="S917" s="139">
        <f>STDEV(F919:N919)</f>
        <v>340.68986527338848</v>
      </c>
      <c r="T917" s="5" t="str">
        <f>IF(N918="","",IF(R917&lt;16,IF(Q917&gt;3200,IF(R917,IF(Q917&lt;5240,"Pass","Fail"),"Fail"),"Fail")))</f>
        <v>Pass</v>
      </c>
      <c r="U917" s="149" t="s">
        <v>99</v>
      </c>
      <c r="V917" s="178" t="s">
        <v>225</v>
      </c>
      <c r="X917" s="116">
        <v>4200</v>
      </c>
      <c r="Y917" s="116">
        <v>5500</v>
      </c>
      <c r="Z917" s="116">
        <v>3200</v>
      </c>
      <c r="AA917" s="116">
        <v>5240</v>
      </c>
      <c r="AB917" s="31">
        <v>16</v>
      </c>
      <c r="AC917" s="31">
        <v>16</v>
      </c>
    </row>
    <row r="918" spans="1:29" ht="15.6" x14ac:dyDescent="0.3">
      <c r="A918"/>
      <c r="B918" s="24"/>
      <c r="C918" s="6"/>
      <c r="D918" s="6"/>
      <c r="E918" s="61" t="s">
        <v>187</v>
      </c>
      <c r="F918" s="11">
        <v>22945.35</v>
      </c>
      <c r="G918" s="11">
        <v>23416.14</v>
      </c>
      <c r="H918" s="11">
        <v>23559.5</v>
      </c>
      <c r="I918" s="11">
        <v>23424.19</v>
      </c>
      <c r="J918" s="11">
        <v>22976.98</v>
      </c>
      <c r="K918" s="11">
        <v>23033.78</v>
      </c>
      <c r="L918" s="11">
        <v>23431.1</v>
      </c>
      <c r="M918" s="11">
        <v>23361.040000000001</v>
      </c>
      <c r="N918" s="11">
        <v>22779.83</v>
      </c>
      <c r="O918" s="61"/>
      <c r="P918" s="61"/>
      <c r="Q918" s="62"/>
      <c r="R918" s="62"/>
      <c r="S918" s="139"/>
      <c r="T918" s="5"/>
      <c r="U918" s="140"/>
      <c r="V918" s="178"/>
      <c r="X918" s="118"/>
      <c r="Y918" s="118"/>
      <c r="Z918" s="118"/>
      <c r="AA918" s="118"/>
    </row>
    <row r="919" spans="1:29" ht="23.4" thickBot="1" x14ac:dyDescent="0.35">
      <c r="A919"/>
      <c r="B919" s="63"/>
      <c r="C919" s="64"/>
      <c r="D919" s="64"/>
      <c r="E919" s="65" t="s">
        <v>188</v>
      </c>
      <c r="F919" s="53">
        <f t="shared" ref="F919:N919" si="301">IF(((F917="")*AND(F918="")),"",(F917-F918)*3)</f>
        <v>4757.9100000000035</v>
      </c>
      <c r="G919" s="53">
        <f t="shared" si="301"/>
        <v>4132.3799999999974</v>
      </c>
      <c r="H919" s="53">
        <f t="shared" si="301"/>
        <v>4010.4599999999991</v>
      </c>
      <c r="I919" s="53">
        <f t="shared" si="301"/>
        <v>4260.3600000000079</v>
      </c>
      <c r="J919" s="53">
        <f t="shared" si="301"/>
        <v>4734.9900000000052</v>
      </c>
      <c r="K919" s="53">
        <f t="shared" si="301"/>
        <v>4654.0500000000065</v>
      </c>
      <c r="L919" s="53">
        <f t="shared" si="301"/>
        <v>4210.8300000000017</v>
      </c>
      <c r="M919" s="53">
        <f t="shared" si="301"/>
        <v>4316.4599999999991</v>
      </c>
      <c r="N919" s="53">
        <f t="shared" si="301"/>
        <v>5003.0999999999913</v>
      </c>
      <c r="O919" s="65"/>
      <c r="P919" s="65"/>
      <c r="Q919" s="66"/>
      <c r="R919" s="66"/>
      <c r="S919" s="142"/>
      <c r="T919" s="143"/>
      <c r="U919" s="144"/>
      <c r="V919" s="178"/>
      <c r="X919" s="118"/>
      <c r="Y919" s="118"/>
      <c r="Z919" s="118"/>
      <c r="AA919" s="118"/>
    </row>
    <row r="920" spans="1:29" x14ac:dyDescent="0.25">
      <c r="A920" s="207">
        <v>43528</v>
      </c>
      <c r="B920" s="219" t="s">
        <v>174</v>
      </c>
      <c r="C920" s="39" t="s">
        <v>176</v>
      </c>
      <c r="D920" s="39" t="s">
        <v>175</v>
      </c>
      <c r="E920" s="41" t="s">
        <v>186</v>
      </c>
      <c r="F920" s="11">
        <v>5041.7299999999996</v>
      </c>
      <c r="G920" s="11">
        <v>4938.58</v>
      </c>
      <c r="H920" s="11">
        <v>4949.63</v>
      </c>
      <c r="I920" s="11">
        <v>4923.26</v>
      </c>
      <c r="J920" s="11">
        <v>4965.93</v>
      </c>
      <c r="K920" s="11">
        <v>5065.49</v>
      </c>
      <c r="L920" s="11">
        <v>4945.03</v>
      </c>
      <c r="M920" s="11">
        <v>4957.7299999999996</v>
      </c>
      <c r="N920" s="11">
        <v>5041.1899999999996</v>
      </c>
      <c r="O920" s="59">
        <f>IF((N921=""),"",MAX(F922:N922))</f>
        <v>3965.4399999999987</v>
      </c>
      <c r="P920" s="59">
        <f>IF(N921="","",MIN(F922:N922))</f>
        <v>3701.8999999999996</v>
      </c>
      <c r="Q920" s="60">
        <f>IF((N922=""),"",AVERAGE(F922:N922))</f>
        <v>3873.0933333333328</v>
      </c>
      <c r="R920" s="60">
        <f>IF((N921=""),"",(O920-P920)/(O920+P920)*100)</f>
        <v>3.4371763871172938</v>
      </c>
      <c r="S920" s="113">
        <f>STDEV(F922:N922)</f>
        <v>96.315950911570297</v>
      </c>
      <c r="T920" s="137" t="str">
        <f>IF(N921="","",IF(Q920&gt;3650,IF(R920&lt;7,IF(Q920&lt;4450,"Pass","Fail"),"Fail"),"Fail"))</f>
        <v>Pass</v>
      </c>
      <c r="U920" s="149">
        <v>74</v>
      </c>
      <c r="V920" s="223" t="s">
        <v>226</v>
      </c>
      <c r="X920" s="116">
        <v>3650</v>
      </c>
      <c r="Y920" s="116">
        <v>4450</v>
      </c>
      <c r="Z920" s="116">
        <v>3700</v>
      </c>
      <c r="AA920" s="116">
        <v>4100</v>
      </c>
      <c r="AB920" s="31">
        <v>7</v>
      </c>
      <c r="AC920" s="31">
        <v>6.5</v>
      </c>
    </row>
    <row r="921" spans="1:29" ht="15.6" x14ac:dyDescent="0.3">
      <c r="A921"/>
      <c r="B921" s="24"/>
      <c r="C921" s="6"/>
      <c r="D921" s="6"/>
      <c r="E921" s="61" t="s">
        <v>187</v>
      </c>
      <c r="F921" s="11">
        <v>3156.5</v>
      </c>
      <c r="G921" s="11">
        <v>2974.1</v>
      </c>
      <c r="H921" s="11">
        <v>2970.22</v>
      </c>
      <c r="I921" s="11">
        <v>2952.18</v>
      </c>
      <c r="J921" s="11">
        <v>3071.42</v>
      </c>
      <c r="K921" s="11">
        <v>3214.54</v>
      </c>
      <c r="L921" s="11">
        <v>2978.83</v>
      </c>
      <c r="M921" s="11">
        <v>2975.01</v>
      </c>
      <c r="N921" s="11">
        <v>3106.85</v>
      </c>
      <c r="O921" s="61"/>
      <c r="P921" s="61"/>
      <c r="Q921" s="62"/>
      <c r="R921" s="62"/>
      <c r="S921" s="139"/>
      <c r="T921" s="8"/>
      <c r="U921" s="146"/>
      <c r="V921" s="178"/>
      <c r="X921" s="118"/>
      <c r="Y921" s="118"/>
      <c r="Z921" s="118"/>
      <c r="AA921" s="118"/>
    </row>
    <row r="922" spans="1:29" ht="23.4" thickBot="1" x14ac:dyDescent="0.35">
      <c r="A922"/>
      <c r="B922" s="24"/>
      <c r="C922" s="6"/>
      <c r="D922" s="6"/>
      <c r="E922" s="61" t="s">
        <v>188</v>
      </c>
      <c r="F922" s="40">
        <f t="shared" ref="F922:N922" si="302">IF(((F920="")*AND(F921="")),"",(F920-F921)*2)</f>
        <v>3770.4599999999991</v>
      </c>
      <c r="G922" s="40">
        <f t="shared" si="302"/>
        <v>3928.96</v>
      </c>
      <c r="H922" s="40">
        <f t="shared" si="302"/>
        <v>3958.8200000000006</v>
      </c>
      <c r="I922" s="40">
        <f t="shared" si="302"/>
        <v>3942.1600000000008</v>
      </c>
      <c r="J922" s="40">
        <f t="shared" si="302"/>
        <v>3789.0200000000004</v>
      </c>
      <c r="K922" s="40">
        <f t="shared" si="302"/>
        <v>3701.8999999999996</v>
      </c>
      <c r="L922" s="40">
        <f t="shared" si="302"/>
        <v>3932.3999999999996</v>
      </c>
      <c r="M922" s="40">
        <f t="shared" si="302"/>
        <v>3965.4399999999987</v>
      </c>
      <c r="N922" s="40">
        <f t="shared" si="302"/>
        <v>3868.6799999999994</v>
      </c>
      <c r="O922" s="61"/>
      <c r="P922" s="61"/>
      <c r="Q922" s="62"/>
      <c r="R922" s="62"/>
      <c r="S922" s="139"/>
      <c r="T922" s="8"/>
      <c r="U922" s="146"/>
      <c r="V922" s="178"/>
      <c r="X922" s="118"/>
      <c r="Y922" s="118"/>
      <c r="Z922" s="118"/>
      <c r="AA922" s="118"/>
    </row>
    <row r="923" spans="1:29" x14ac:dyDescent="0.25">
      <c r="A923" s="207">
        <v>43528</v>
      </c>
      <c r="B923" s="215" t="s">
        <v>169</v>
      </c>
      <c r="C923" s="6" t="s">
        <v>171</v>
      </c>
      <c r="D923" s="6" t="s">
        <v>189</v>
      </c>
      <c r="E923" s="61" t="s">
        <v>186</v>
      </c>
      <c r="F923" s="11">
        <v>1306.44</v>
      </c>
      <c r="G923" s="11">
        <v>1295.1199999999999</v>
      </c>
      <c r="H923" s="11">
        <v>1294.72</v>
      </c>
      <c r="I923" s="11">
        <v>1285.74</v>
      </c>
      <c r="J923" s="11">
        <v>1280.18</v>
      </c>
      <c r="K923" s="11">
        <v>1300.6199999999999</v>
      </c>
      <c r="L923" s="11">
        <v>1289.79</v>
      </c>
      <c r="M923" s="11">
        <v>1292.97</v>
      </c>
      <c r="N923" s="11">
        <v>1289.8599999999999</v>
      </c>
      <c r="O923" s="61">
        <f>IF((N924=""),"",MAX(F925:N925))</f>
        <v>2135.16</v>
      </c>
      <c r="P923" s="61">
        <f>IF(N924="","",MIN(F925:N925))</f>
        <v>1925.0700000000002</v>
      </c>
      <c r="Q923" s="62">
        <f>IF((N925=""),"",AVERAGE(F925:N925))</f>
        <v>2025.8799999999999</v>
      </c>
      <c r="R923" s="62">
        <f>IF((N924=""),"",(O923-P923)/(O923+P923)*100)</f>
        <v>5.1743374143829213</v>
      </c>
      <c r="S923" s="139">
        <f>STDEV(F925:N925)</f>
        <v>59.580821368960564</v>
      </c>
      <c r="T923" s="5" t="str">
        <f>IF(N924="","",IF(Q923&gt;1940,IF(R923&lt;8.3,IF(Q923&lt;2180,"Pass","Fail"),"Fail"),"Fail"))</f>
        <v>Pass</v>
      </c>
      <c r="U923" s="149">
        <v>74</v>
      </c>
      <c r="V923" s="178" t="s">
        <v>226</v>
      </c>
      <c r="X923" s="116">
        <v>2000</v>
      </c>
      <c r="Y923" s="116">
        <v>3000</v>
      </c>
      <c r="Z923" s="116">
        <v>1940</v>
      </c>
      <c r="AA923" s="116">
        <v>2180</v>
      </c>
      <c r="AB923" s="31">
        <v>5.2</v>
      </c>
      <c r="AC923" s="31">
        <v>5.2</v>
      </c>
    </row>
    <row r="924" spans="1:29" ht="15.6" x14ac:dyDescent="0.3">
      <c r="A924"/>
      <c r="B924" s="24"/>
      <c r="C924" s="6"/>
      <c r="D924" s="6"/>
      <c r="E924" s="61" t="s">
        <v>187</v>
      </c>
      <c r="F924" s="11">
        <v>594.72</v>
      </c>
      <c r="G924" s="11">
        <v>607.62</v>
      </c>
      <c r="H924" s="11">
        <v>617.33000000000004</v>
      </c>
      <c r="I924" s="11">
        <v>622.77</v>
      </c>
      <c r="J924" s="11">
        <v>638.49</v>
      </c>
      <c r="K924" s="11">
        <v>616.91</v>
      </c>
      <c r="L924" s="11">
        <v>621.58000000000004</v>
      </c>
      <c r="M924" s="11">
        <v>609.47</v>
      </c>
      <c r="N924" s="11">
        <v>628.91</v>
      </c>
      <c r="O924" s="61"/>
      <c r="P924" s="61"/>
      <c r="Q924" s="62"/>
      <c r="R924" s="62"/>
      <c r="S924" s="139"/>
      <c r="T924" s="5"/>
      <c r="U924" s="140"/>
      <c r="V924" s="178"/>
      <c r="X924" s="118"/>
      <c r="Y924" s="118"/>
      <c r="Z924" s="118"/>
      <c r="AA924" s="118"/>
    </row>
    <row r="925" spans="1:29" ht="24.45" customHeight="1" thickBot="1" x14ac:dyDescent="0.35">
      <c r="A925"/>
      <c r="B925" s="24"/>
      <c r="C925" s="6"/>
      <c r="D925" s="6"/>
      <c r="E925" s="61" t="s">
        <v>190</v>
      </c>
      <c r="F925" s="40">
        <f t="shared" ref="F925:N925" si="303">IF(((F923="")*AND(F924="")),"",(F923-F924)*3)</f>
        <v>2135.16</v>
      </c>
      <c r="G925" s="40">
        <f t="shared" si="303"/>
        <v>2062.4999999999995</v>
      </c>
      <c r="H925" s="40">
        <f t="shared" si="303"/>
        <v>2032.17</v>
      </c>
      <c r="I925" s="40">
        <f t="shared" si="303"/>
        <v>1988.91</v>
      </c>
      <c r="J925" s="40">
        <f t="shared" si="303"/>
        <v>1925.0700000000002</v>
      </c>
      <c r="K925" s="40">
        <f t="shared" si="303"/>
        <v>2051.1299999999997</v>
      </c>
      <c r="L925" s="40">
        <f t="shared" si="303"/>
        <v>2004.6299999999997</v>
      </c>
      <c r="M925" s="40">
        <f t="shared" si="303"/>
        <v>2050.5</v>
      </c>
      <c r="N925" s="40">
        <f t="shared" si="303"/>
        <v>1982.85</v>
      </c>
      <c r="O925" s="61"/>
      <c r="P925" s="61"/>
      <c r="Q925" s="62"/>
      <c r="R925" s="62"/>
      <c r="S925" s="139"/>
      <c r="T925" s="5"/>
      <c r="U925" s="140"/>
      <c r="V925" s="178"/>
      <c r="X925" s="118"/>
      <c r="Y925" s="118"/>
      <c r="Z925" s="118"/>
      <c r="AA925" s="118"/>
    </row>
    <row r="926" spans="1:29" x14ac:dyDescent="0.25">
      <c r="A926" s="207">
        <v>43528</v>
      </c>
      <c r="B926" s="218" t="s">
        <v>185</v>
      </c>
      <c r="C926" s="6" t="s">
        <v>173</v>
      </c>
      <c r="D926" s="6" t="s">
        <v>172</v>
      </c>
      <c r="E926" s="61" t="s">
        <v>186</v>
      </c>
      <c r="F926" s="11">
        <v>22877.63</v>
      </c>
      <c r="G926" s="11">
        <v>23370.69</v>
      </c>
      <c r="H926" s="11">
        <v>23501.88</v>
      </c>
      <c r="I926" s="11">
        <v>23376.61</v>
      </c>
      <c r="J926" s="11">
        <v>23376.61</v>
      </c>
      <c r="K926" s="11">
        <v>22980.68</v>
      </c>
      <c r="L926" s="11">
        <v>23410.06</v>
      </c>
      <c r="M926" s="11">
        <v>23314.49</v>
      </c>
      <c r="N926" s="11">
        <v>22696.46</v>
      </c>
      <c r="O926" s="61">
        <f>IF((N927=""),"",MAX(F928:N928))</f>
        <v>4837.8300000000017</v>
      </c>
      <c r="P926" s="61">
        <f>IF(N927="","",MIN(F928:N928))</f>
        <v>4089.6300000000083</v>
      </c>
      <c r="Q926" s="62">
        <f>IF((N928=""),"",AVERAGE(F928:N928))</f>
        <v>4340.5366666666687</v>
      </c>
      <c r="R926" s="62">
        <f>IF((N927=""),"",(O926-P926)/(O926+P926)*100)</f>
        <v>8.3808832523471697</v>
      </c>
      <c r="S926" s="139">
        <f>STDEV(F928:N928)</f>
        <v>249.03472805012535</v>
      </c>
      <c r="T926" s="5" t="str">
        <f>IF(N927="","",IF(R926&lt;16,IF(Q926&gt;3200,IF(R926,IF(Q926&lt;5240,"Pass","Fail"),"Fail"),"Fail")))</f>
        <v>Pass</v>
      </c>
      <c r="U926" s="149">
        <v>74</v>
      </c>
      <c r="V926" s="178" t="s">
        <v>226</v>
      </c>
      <c r="X926" s="116">
        <v>4200</v>
      </c>
      <c r="Y926" s="116">
        <v>5500</v>
      </c>
      <c r="Z926" s="116">
        <v>3200</v>
      </c>
      <c r="AA926" s="116">
        <v>5240</v>
      </c>
      <c r="AB926" s="31">
        <v>16</v>
      </c>
      <c r="AC926" s="31">
        <v>16</v>
      </c>
    </row>
    <row r="927" spans="1:29" ht="15.6" x14ac:dyDescent="0.3">
      <c r="A927"/>
      <c r="B927" s="24"/>
      <c r="C927" s="6"/>
      <c r="D927" s="6"/>
      <c r="E927" s="61" t="s">
        <v>187</v>
      </c>
      <c r="F927" s="11">
        <v>21360.19</v>
      </c>
      <c r="G927" s="11">
        <v>21981.72</v>
      </c>
      <c r="H927" s="11">
        <v>22138.67</v>
      </c>
      <c r="I927" s="11">
        <v>21977.77</v>
      </c>
      <c r="J927" s="11">
        <v>21764</v>
      </c>
      <c r="K927" s="11">
        <v>21487.34</v>
      </c>
      <c r="L927" s="11">
        <v>22029.96</v>
      </c>
      <c r="M927" s="11">
        <v>21919.97</v>
      </c>
      <c r="N927" s="11">
        <v>21223.88</v>
      </c>
      <c r="O927" s="61"/>
      <c r="P927" s="61"/>
      <c r="Q927" s="62"/>
      <c r="R927" s="62"/>
      <c r="S927" s="139"/>
      <c r="T927" s="5"/>
      <c r="U927" s="140"/>
      <c r="V927" s="178"/>
      <c r="X927" s="118"/>
      <c r="Y927" s="118"/>
      <c r="Z927" s="118"/>
      <c r="AA927" s="118"/>
    </row>
    <row r="928" spans="1:29" ht="23.4" thickBot="1" x14ac:dyDescent="0.35">
      <c r="A928"/>
      <c r="B928" s="63"/>
      <c r="C928" s="64"/>
      <c r="D928" s="64"/>
      <c r="E928" s="65" t="s">
        <v>188</v>
      </c>
      <c r="F928" s="53">
        <f t="shared" ref="F928:N928" si="304">IF(((F926="")*AND(F927="")),"",(F926-F927)*3)</f>
        <v>4552.320000000007</v>
      </c>
      <c r="G928" s="53">
        <f t="shared" si="304"/>
        <v>4166.9099999999926</v>
      </c>
      <c r="H928" s="53">
        <f t="shared" si="304"/>
        <v>4089.6300000000083</v>
      </c>
      <c r="I928" s="53">
        <f t="shared" si="304"/>
        <v>4196.5200000000004</v>
      </c>
      <c r="J928" s="53">
        <f t="shared" si="304"/>
        <v>4837.8300000000017</v>
      </c>
      <c r="K928" s="53">
        <f t="shared" si="304"/>
        <v>4480.0200000000004</v>
      </c>
      <c r="L928" s="53">
        <f t="shared" si="304"/>
        <v>4140.3000000000065</v>
      </c>
      <c r="M928" s="53">
        <f t="shared" si="304"/>
        <v>4183.5600000000013</v>
      </c>
      <c r="N928" s="53">
        <f t="shared" si="304"/>
        <v>4417.7399999999943</v>
      </c>
      <c r="O928" s="65"/>
      <c r="P928" s="65"/>
      <c r="Q928" s="66"/>
      <c r="R928" s="66"/>
      <c r="S928" s="142"/>
      <c r="T928" s="143"/>
      <c r="U928" s="144"/>
      <c r="V928" s="178"/>
      <c r="X928" s="118"/>
      <c r="Y928" s="118"/>
      <c r="Z928" s="118"/>
      <c r="AA928" s="118"/>
    </row>
    <row r="929" spans="1:29" x14ac:dyDescent="0.25">
      <c r="A929" s="207">
        <v>43531</v>
      </c>
      <c r="B929" s="219" t="s">
        <v>174</v>
      </c>
      <c r="C929" s="39" t="s">
        <v>176</v>
      </c>
      <c r="D929" s="39" t="s">
        <v>175</v>
      </c>
      <c r="E929" s="41" t="s">
        <v>186</v>
      </c>
      <c r="F929" s="11">
        <v>3165.93</v>
      </c>
      <c r="G929" s="11">
        <v>2983.92</v>
      </c>
      <c r="H929" s="11">
        <v>2978.56</v>
      </c>
      <c r="I929" s="11">
        <v>2958.13</v>
      </c>
      <c r="J929" s="11">
        <v>3076.09</v>
      </c>
      <c r="K929" s="11">
        <v>3221.3</v>
      </c>
      <c r="L929" s="11">
        <v>2986.34</v>
      </c>
      <c r="M929" s="11">
        <v>2982.86</v>
      </c>
      <c r="N929" s="11">
        <v>3115.68</v>
      </c>
      <c r="O929" s="59">
        <f>IF((N930=""),"",MAX(F931:N931))</f>
        <v>3917.8600000000006</v>
      </c>
      <c r="P929" s="59">
        <f>IF(N930="","",MIN(F931:N931))</f>
        <v>3620.76</v>
      </c>
      <c r="Q929" s="60">
        <f>IF((N931=""),"",AVERAGE(F931:N931))</f>
        <v>3814.3311111111107</v>
      </c>
      <c r="R929" s="60">
        <f>IF((N930=""),"",(O929-P929)/(O929+P929)*100)</f>
        <v>3.941039606718475</v>
      </c>
      <c r="S929" s="113">
        <f>STDEV(F931:N931)</f>
        <v>100.9878503143379</v>
      </c>
      <c r="T929" s="137" t="str">
        <f>IF(N930="","",IF(Q929&gt;3650,IF(R929&lt;7,IF(Q929&lt;4450,"Pass","Fail"),"Fail"),"Fail"))</f>
        <v>Pass</v>
      </c>
      <c r="U929" s="149" t="s">
        <v>217</v>
      </c>
      <c r="V929" s="223" t="s">
        <v>227</v>
      </c>
      <c r="X929" s="116">
        <v>3650</v>
      </c>
      <c r="Y929" s="116">
        <v>4450</v>
      </c>
      <c r="Z929" s="116">
        <v>3700</v>
      </c>
      <c r="AA929" s="116">
        <v>4100</v>
      </c>
      <c r="AB929" s="31">
        <v>7</v>
      </c>
      <c r="AC929" s="31">
        <v>6.5</v>
      </c>
    </row>
    <row r="930" spans="1:29" ht="15.6" x14ac:dyDescent="0.3">
      <c r="A930"/>
      <c r="B930" s="24"/>
      <c r="C930" s="6"/>
      <c r="D930" s="6"/>
      <c r="E930" s="61" t="s">
        <v>187</v>
      </c>
      <c r="F930" s="11">
        <v>1301.3</v>
      </c>
      <c r="G930" s="11">
        <v>1046.22</v>
      </c>
      <c r="H930" s="11">
        <v>1029.17</v>
      </c>
      <c r="I930" s="11">
        <v>1023.37</v>
      </c>
      <c r="J930" s="11">
        <v>1217.47</v>
      </c>
      <c r="K930" s="11">
        <v>1410.92</v>
      </c>
      <c r="L930" s="11">
        <v>1055.45</v>
      </c>
      <c r="M930" s="11">
        <v>1023.93</v>
      </c>
      <c r="N930" s="11">
        <v>1196.49</v>
      </c>
      <c r="O930" s="61"/>
      <c r="P930" s="61"/>
      <c r="Q930" s="62"/>
      <c r="R930" s="62"/>
      <c r="S930" s="139"/>
      <c r="T930" s="8"/>
      <c r="U930" s="146"/>
      <c r="V930" s="178"/>
      <c r="X930" s="118"/>
      <c r="Y930" s="118"/>
      <c r="Z930" s="118"/>
      <c r="AA930" s="118"/>
    </row>
    <row r="931" spans="1:29" ht="23.4" thickBot="1" x14ac:dyDescent="0.35">
      <c r="A931"/>
      <c r="B931" s="24"/>
      <c r="C931" s="6"/>
      <c r="D931" s="6"/>
      <c r="E931" s="61" t="s">
        <v>188</v>
      </c>
      <c r="F931" s="40">
        <f t="shared" ref="F931:N931" si="305">IF(((F929="")*AND(F930="")),"",(F929-F930)*2)</f>
        <v>3729.2599999999998</v>
      </c>
      <c r="G931" s="40">
        <f t="shared" si="305"/>
        <v>3875.4</v>
      </c>
      <c r="H931" s="40">
        <f t="shared" si="305"/>
        <v>3898.7799999999997</v>
      </c>
      <c r="I931" s="40">
        <f t="shared" si="305"/>
        <v>3869.5200000000004</v>
      </c>
      <c r="J931" s="40">
        <f t="shared" si="305"/>
        <v>3717.2400000000002</v>
      </c>
      <c r="K931" s="40">
        <f t="shared" si="305"/>
        <v>3620.76</v>
      </c>
      <c r="L931" s="40">
        <f t="shared" si="305"/>
        <v>3861.78</v>
      </c>
      <c r="M931" s="40">
        <f t="shared" si="305"/>
        <v>3917.8600000000006</v>
      </c>
      <c r="N931" s="40">
        <f t="shared" si="305"/>
        <v>3838.3799999999997</v>
      </c>
      <c r="O931" s="61"/>
      <c r="P931" s="61"/>
      <c r="Q931" s="62"/>
      <c r="R931" s="62"/>
      <c r="S931" s="139"/>
      <c r="T931" s="8"/>
      <c r="U931" s="146"/>
      <c r="V931" s="178"/>
      <c r="X931" s="118"/>
      <c r="Y931" s="118"/>
      <c r="Z931" s="118"/>
      <c r="AA931" s="118"/>
    </row>
    <row r="932" spans="1:29" x14ac:dyDescent="0.25">
      <c r="A932" s="207">
        <v>43531</v>
      </c>
      <c r="B932" s="215" t="s">
        <v>169</v>
      </c>
      <c r="C932" s="6" t="s">
        <v>171</v>
      </c>
      <c r="D932" s="6" t="s">
        <v>189</v>
      </c>
      <c r="E932" s="61" t="s">
        <v>186</v>
      </c>
      <c r="F932" s="11">
        <v>1929.32</v>
      </c>
      <c r="G932" s="11">
        <v>1927.02</v>
      </c>
      <c r="H932" s="11">
        <v>1923.41</v>
      </c>
      <c r="I932" s="11">
        <v>1929.46</v>
      </c>
      <c r="J932" s="11">
        <v>1928.46</v>
      </c>
      <c r="K932" s="11">
        <v>1933.56</v>
      </c>
      <c r="L932" s="11">
        <v>1924.44</v>
      </c>
      <c r="M932" s="11">
        <v>1926.96</v>
      </c>
      <c r="N932" s="11">
        <v>1936.05</v>
      </c>
      <c r="O932" s="61">
        <f>IF((N933=""),"",MAX(F934:N934))</f>
        <v>2006.91</v>
      </c>
      <c r="P932" s="61">
        <f>IF(N933="","",MIN(F934:N934))</f>
        <v>1957.1400000000003</v>
      </c>
      <c r="Q932" s="62">
        <f>IF((N934=""),"",AVERAGE(F934:N934))</f>
        <v>1993.4400000000003</v>
      </c>
      <c r="R932" s="62">
        <f>IF((N933=""),"",(O932-P932)/(O932+P932)*100)</f>
        <v>1.2555341128391355</v>
      </c>
      <c r="S932" s="139">
        <f>STDEV(F934:N934)</f>
        <v>16.570635171893642</v>
      </c>
      <c r="T932" s="5" t="str">
        <f>IF(N933="","",IF(Q932&gt;1940,IF(R932&lt;8.3,IF(Q932&lt;2180,"Pass","Fail"),"Fail"),"Fail"))</f>
        <v>Pass</v>
      </c>
      <c r="U932" s="149" t="s">
        <v>217</v>
      </c>
      <c r="V932" s="178" t="s">
        <v>227</v>
      </c>
      <c r="X932" s="116">
        <v>2000</v>
      </c>
      <c r="Y932" s="116">
        <v>3000</v>
      </c>
      <c r="Z932" s="116">
        <v>1940</v>
      </c>
      <c r="AA932" s="116">
        <v>2180</v>
      </c>
      <c r="AB932" s="31">
        <v>5.2</v>
      </c>
      <c r="AC932" s="31">
        <v>5.2</v>
      </c>
    </row>
    <row r="933" spans="1:29" ht="15.6" x14ac:dyDescent="0.3">
      <c r="A933"/>
      <c r="B933" s="24"/>
      <c r="C933" s="6"/>
      <c r="D933" s="6"/>
      <c r="E933" s="61" t="s">
        <v>187</v>
      </c>
      <c r="F933" s="11">
        <v>1265.75</v>
      </c>
      <c r="G933" s="11">
        <v>1258.28</v>
      </c>
      <c r="H933" s="11">
        <v>1254.44</v>
      </c>
      <c r="I933" s="11">
        <v>1262.0999999999999</v>
      </c>
      <c r="J933" s="11">
        <v>1276.08</v>
      </c>
      <c r="K933" s="11">
        <v>1265.3499999999999</v>
      </c>
      <c r="L933" s="11">
        <v>1261.18</v>
      </c>
      <c r="M933" s="11">
        <v>1258.9100000000001</v>
      </c>
      <c r="N933" s="11">
        <v>1276.27</v>
      </c>
      <c r="O933" s="61"/>
      <c r="P933" s="61"/>
      <c r="Q933" s="62"/>
      <c r="R933" s="62"/>
      <c r="S933" s="139"/>
      <c r="T933" s="5"/>
      <c r="U933" s="140"/>
      <c r="V933" s="178"/>
      <c r="X933" s="118"/>
      <c r="Y933" s="118"/>
      <c r="Z933" s="118"/>
      <c r="AA933" s="118"/>
    </row>
    <row r="934" spans="1:29" ht="24.9" customHeight="1" thickBot="1" x14ac:dyDescent="0.35">
      <c r="A934"/>
      <c r="B934" s="24"/>
      <c r="C934" s="6"/>
      <c r="D934" s="6"/>
      <c r="E934" s="61" t="s">
        <v>190</v>
      </c>
      <c r="F934" s="40">
        <f t="shared" ref="F934:N934" si="306">IF(((F932="")*AND(F933="")),"",(F932-F933)*3)</f>
        <v>1990.7099999999998</v>
      </c>
      <c r="G934" s="40">
        <f t="shared" si="306"/>
        <v>2006.22</v>
      </c>
      <c r="H934" s="40">
        <f t="shared" si="306"/>
        <v>2006.91</v>
      </c>
      <c r="I934" s="40">
        <f t="shared" si="306"/>
        <v>2002.0800000000004</v>
      </c>
      <c r="J934" s="40">
        <f t="shared" si="306"/>
        <v>1957.1400000000003</v>
      </c>
      <c r="K934" s="40">
        <f t="shared" si="306"/>
        <v>2004.63</v>
      </c>
      <c r="L934" s="40">
        <f t="shared" si="306"/>
        <v>1989.78</v>
      </c>
      <c r="M934" s="40">
        <f t="shared" si="306"/>
        <v>2004.1499999999999</v>
      </c>
      <c r="N934" s="40">
        <f t="shared" si="306"/>
        <v>1979.34</v>
      </c>
      <c r="O934" s="61"/>
      <c r="P934" s="61"/>
      <c r="Q934" s="62"/>
      <c r="R934" s="62"/>
      <c r="S934" s="139"/>
      <c r="T934" s="5"/>
      <c r="U934" s="140"/>
      <c r="V934" s="178"/>
      <c r="X934" s="118"/>
      <c r="Y934" s="118"/>
      <c r="Z934" s="118"/>
      <c r="AA934" s="118"/>
    </row>
    <row r="935" spans="1:29" x14ac:dyDescent="0.25">
      <c r="A935" s="207">
        <v>43531</v>
      </c>
      <c r="B935" s="218" t="s">
        <v>185</v>
      </c>
      <c r="C935" s="6" t="s">
        <v>173</v>
      </c>
      <c r="D935" s="6" t="s">
        <v>172</v>
      </c>
      <c r="E935" s="61" t="s">
        <v>186</v>
      </c>
      <c r="F935" s="11">
        <v>26873.55</v>
      </c>
      <c r="G935" s="11">
        <v>26845.3</v>
      </c>
      <c r="H935" s="11">
        <v>26908.77</v>
      </c>
      <c r="I935" s="11">
        <v>26790.18</v>
      </c>
      <c r="J935" s="11">
        <v>26831.55</v>
      </c>
      <c r="K935" s="11">
        <v>26795.98</v>
      </c>
      <c r="L935" s="11">
        <v>26851.86</v>
      </c>
      <c r="M935" s="11">
        <v>26809.35</v>
      </c>
      <c r="N935" s="11">
        <v>26821.32</v>
      </c>
      <c r="O935" s="61">
        <f>IF((N936=""),"",MAX(F937:N937))</f>
        <v>5050.9500000000044</v>
      </c>
      <c r="P935" s="61">
        <f>IF(N936="","",MIN(F937:N937))</f>
        <v>4193.6099999999969</v>
      </c>
      <c r="Q935" s="62">
        <f>IF((N937=""),"",AVERAGE(F937:N937))</f>
        <v>4521.9533333333311</v>
      </c>
      <c r="R935" s="62">
        <f>IF((N936=""),"",(O935-P935)/(O935+P935)*100)</f>
        <v>9.2739946519900052</v>
      </c>
      <c r="S935" s="139">
        <f>STDEV(F937:N937)</f>
        <v>284.17195555684413</v>
      </c>
      <c r="T935" s="5" t="str">
        <f>IF(N936="","",IF(R935&lt;16,IF(Q935&gt;3200,IF(R935,IF(Q935&lt;5240,"Pass","Fail"),"Fail"),"Fail")))</f>
        <v>Pass</v>
      </c>
      <c r="U935" s="149" t="s">
        <v>217</v>
      </c>
      <c r="V935" s="178" t="s">
        <v>227</v>
      </c>
      <c r="X935" s="116">
        <v>4200</v>
      </c>
      <c r="Y935" s="116">
        <v>5500</v>
      </c>
      <c r="Z935" s="116">
        <v>3200</v>
      </c>
      <c r="AA935" s="116">
        <v>5240</v>
      </c>
      <c r="AB935" s="31">
        <v>16</v>
      </c>
      <c r="AC935" s="31">
        <v>16</v>
      </c>
    </row>
    <row r="936" spans="1:29" ht="15.6" x14ac:dyDescent="0.3">
      <c r="A936"/>
      <c r="B936" s="24"/>
      <c r="C936" s="6"/>
      <c r="D936" s="6"/>
      <c r="E936" s="61" t="s">
        <v>187</v>
      </c>
      <c r="F936" s="11">
        <v>25286.74</v>
      </c>
      <c r="G936" s="11">
        <v>25385.63</v>
      </c>
      <c r="H936" s="11">
        <v>25510.9</v>
      </c>
      <c r="I936" s="11">
        <v>25362.86</v>
      </c>
      <c r="J936" s="11">
        <v>25257.42</v>
      </c>
      <c r="K936" s="11">
        <v>25250.54</v>
      </c>
      <c r="L936" s="11">
        <v>25415.22</v>
      </c>
      <c r="M936" s="11">
        <v>25355.02</v>
      </c>
      <c r="N936" s="11">
        <v>25137.67</v>
      </c>
      <c r="O936" s="61"/>
      <c r="P936" s="61"/>
      <c r="Q936" s="62"/>
      <c r="R936" s="62"/>
      <c r="S936" s="139"/>
      <c r="T936" s="5"/>
      <c r="U936" s="140"/>
      <c r="V936" s="178"/>
      <c r="X936" s="118"/>
      <c r="Y936" s="118"/>
      <c r="Z936" s="118"/>
      <c r="AA936" s="118"/>
    </row>
    <row r="937" spans="1:29" ht="23.4" thickBot="1" x14ac:dyDescent="0.35">
      <c r="A937"/>
      <c r="B937" s="63"/>
      <c r="C937" s="64"/>
      <c r="D937" s="64"/>
      <c r="E937" s="65" t="s">
        <v>188</v>
      </c>
      <c r="F937" s="53">
        <f t="shared" ref="F937:N937" si="307">IF(((F935="")*AND(F936="")),"",(F935-F936)*3)</f>
        <v>4760.429999999993</v>
      </c>
      <c r="G937" s="53">
        <f t="shared" si="307"/>
        <v>4379.0099999999948</v>
      </c>
      <c r="H937" s="53">
        <f t="shared" si="307"/>
        <v>4193.6099999999969</v>
      </c>
      <c r="I937" s="53">
        <f t="shared" si="307"/>
        <v>4281.9599999999991</v>
      </c>
      <c r="J937" s="53">
        <f t="shared" si="307"/>
        <v>4722.3900000000031</v>
      </c>
      <c r="K937" s="53">
        <f t="shared" si="307"/>
        <v>4636.3199999999961</v>
      </c>
      <c r="L937" s="53">
        <f t="shared" si="307"/>
        <v>4309.9199999999983</v>
      </c>
      <c r="M937" s="53">
        <f t="shared" si="307"/>
        <v>4362.9899999999943</v>
      </c>
      <c r="N937" s="53">
        <f t="shared" si="307"/>
        <v>5050.9500000000044</v>
      </c>
      <c r="O937" s="65"/>
      <c r="P937" s="65"/>
      <c r="Q937" s="66"/>
      <c r="R937" s="66"/>
      <c r="S937" s="142"/>
      <c r="T937" s="143"/>
      <c r="U937" s="144"/>
      <c r="V937" s="178"/>
      <c r="X937" s="118"/>
      <c r="Y937" s="118"/>
      <c r="Z937" s="118"/>
      <c r="AA937" s="118"/>
    </row>
    <row r="938" spans="1:29" x14ac:dyDescent="0.25">
      <c r="A938" s="207">
        <v>43535</v>
      </c>
      <c r="B938" s="219" t="s">
        <v>174</v>
      </c>
      <c r="C938" s="39" t="s">
        <v>176</v>
      </c>
      <c r="D938" s="39" t="s">
        <v>175</v>
      </c>
      <c r="E938" s="41" t="s">
        <v>186</v>
      </c>
      <c r="F938" s="11">
        <v>6911.39</v>
      </c>
      <c r="G938" s="11">
        <v>6874.94</v>
      </c>
      <c r="H938" s="11">
        <v>6888.93</v>
      </c>
      <c r="I938" s="11">
        <v>6843.16</v>
      </c>
      <c r="J938" s="11">
        <v>6807.85</v>
      </c>
      <c r="K938" s="11">
        <v>6871.49</v>
      </c>
      <c r="L938" s="11">
        <v>6864.56</v>
      </c>
      <c r="M938" s="11">
        <v>6908.57</v>
      </c>
      <c r="N938" s="11">
        <v>6957.81</v>
      </c>
      <c r="O938" s="59">
        <f>IF((N939=""),"",MAX(F940:N940))</f>
        <v>3954.0399999999991</v>
      </c>
      <c r="P938" s="59">
        <f>IF(N939="","",MIN(F940:N940))</f>
        <v>3692.9599999999991</v>
      </c>
      <c r="Q938" s="60">
        <f>IF((N940=""),"",AVERAGE(F940:N940))</f>
        <v>3860.9022222222225</v>
      </c>
      <c r="R938" s="60">
        <f>IF((N939=""),"",(O938-P938)/(O938+P938)*100)</f>
        <v>3.4141493396103049</v>
      </c>
      <c r="S938" s="113">
        <f>STDEV(F940:N940)</f>
        <v>94.170383053508232</v>
      </c>
      <c r="T938" s="137" t="str">
        <f>IF(N939="","",IF(Q938&gt;3650,IF(R938&lt;7,IF(Q938&lt;4450,"Pass","Fail"),"Fail"),"Fail"))</f>
        <v>Pass</v>
      </c>
      <c r="U938" s="149">
        <v>74</v>
      </c>
      <c r="V938" s="127"/>
      <c r="W938" s="11"/>
      <c r="X938" s="116">
        <v>3650</v>
      </c>
      <c r="Y938" s="116">
        <v>4450</v>
      </c>
      <c r="Z938" s="116">
        <v>3700</v>
      </c>
      <c r="AA938" s="116">
        <v>4100</v>
      </c>
      <c r="AB938" s="31">
        <v>7</v>
      </c>
      <c r="AC938" s="31">
        <v>6.5</v>
      </c>
    </row>
    <row r="939" spans="1:29" ht="15.6" x14ac:dyDescent="0.3">
      <c r="A939"/>
      <c r="B939" s="24"/>
      <c r="C939" s="6"/>
      <c r="D939" s="6"/>
      <c r="E939" s="61" t="s">
        <v>187</v>
      </c>
      <c r="F939" s="11">
        <v>5021.43</v>
      </c>
      <c r="G939" s="11">
        <v>4913.83</v>
      </c>
      <c r="H939" s="11">
        <v>4915.3999999999996</v>
      </c>
      <c r="I939" s="11">
        <v>4885.05</v>
      </c>
      <c r="J939" s="11">
        <v>4927.51</v>
      </c>
      <c r="K939" s="11">
        <v>5025.01</v>
      </c>
      <c r="L939" s="11">
        <v>4905.79</v>
      </c>
      <c r="M939" s="11">
        <v>4931.55</v>
      </c>
      <c r="N939" s="11">
        <v>5029.07</v>
      </c>
      <c r="O939" s="61"/>
      <c r="P939" s="61"/>
      <c r="Q939" s="62"/>
      <c r="R939" s="62"/>
      <c r="S939" s="139"/>
      <c r="T939" s="8"/>
      <c r="U939" s="146"/>
      <c r="V939" s="127"/>
      <c r="W939" s="11"/>
      <c r="X939" s="118"/>
      <c r="Y939" s="118"/>
      <c r="Z939" s="118"/>
      <c r="AA939" s="118"/>
    </row>
    <row r="940" spans="1:29" ht="23.4" thickBot="1" x14ac:dyDescent="0.35">
      <c r="A940"/>
      <c r="B940" s="24"/>
      <c r="C940" s="6"/>
      <c r="D940" s="6"/>
      <c r="E940" s="61" t="s">
        <v>188</v>
      </c>
      <c r="F940" s="40">
        <f t="shared" ref="F940:N940" si="308">IF(((F938="")*AND(F939="")),"",(F938-F939)*2)</f>
        <v>3779.92</v>
      </c>
      <c r="G940" s="40">
        <f t="shared" si="308"/>
        <v>3922.2199999999993</v>
      </c>
      <c r="H940" s="40">
        <f t="shared" si="308"/>
        <v>3947.0600000000013</v>
      </c>
      <c r="I940" s="40">
        <f t="shared" si="308"/>
        <v>3916.2199999999993</v>
      </c>
      <c r="J940" s="40">
        <f t="shared" si="308"/>
        <v>3760.6800000000003</v>
      </c>
      <c r="K940" s="40">
        <f t="shared" si="308"/>
        <v>3692.9599999999991</v>
      </c>
      <c r="L940" s="40">
        <f t="shared" si="308"/>
        <v>3917.5400000000009</v>
      </c>
      <c r="M940" s="40">
        <f t="shared" si="308"/>
        <v>3954.0399999999991</v>
      </c>
      <c r="N940" s="40">
        <f t="shared" si="308"/>
        <v>3857.4800000000014</v>
      </c>
      <c r="O940" s="61"/>
      <c r="P940" s="61"/>
      <c r="Q940" s="62"/>
      <c r="R940" s="62"/>
      <c r="S940" s="139"/>
      <c r="T940" s="8"/>
      <c r="U940" s="146"/>
      <c r="V940" s="127"/>
      <c r="W940" s="11"/>
      <c r="X940" s="118"/>
      <c r="Y940" s="118"/>
      <c r="Z940" s="118"/>
      <c r="AA940" s="118"/>
    </row>
    <row r="941" spans="1:29" x14ac:dyDescent="0.25">
      <c r="A941" s="207">
        <v>43535</v>
      </c>
      <c r="B941" s="215" t="s">
        <v>169</v>
      </c>
      <c r="C941" s="6" t="s">
        <v>171</v>
      </c>
      <c r="D941" s="6" t="s">
        <v>189</v>
      </c>
      <c r="E941" s="61" t="s">
        <v>186</v>
      </c>
      <c r="F941" s="11">
        <v>1950.17</v>
      </c>
      <c r="G941" s="11">
        <v>1943.46</v>
      </c>
      <c r="H941" s="11">
        <v>1941.35</v>
      </c>
      <c r="I941" s="11">
        <v>1937.41</v>
      </c>
      <c r="J941" s="11">
        <v>1946.79</v>
      </c>
      <c r="K941" s="11">
        <v>1949.47</v>
      </c>
      <c r="L941" s="11">
        <v>1940.85</v>
      </c>
      <c r="M941" s="11">
        <v>1941.49</v>
      </c>
      <c r="N941" s="11">
        <v>1948.58</v>
      </c>
      <c r="O941" s="61">
        <f>IF((N942=""),"",MAX(F943:N943))</f>
        <v>2065.5</v>
      </c>
      <c r="P941" s="61">
        <f>IF(N942="","",MIN(F943:N943))</f>
        <v>2032.53</v>
      </c>
      <c r="Q941" s="62">
        <f>IF((N943=""),"",AVERAGE(F943:N943))</f>
        <v>2046.9066666666668</v>
      </c>
      <c r="R941" s="62">
        <f>IF((N942=""),"",(O941-P941)/(O941+P941)*100)</f>
        <v>0.80453290971515645</v>
      </c>
      <c r="S941" s="139">
        <f>STDEV(F943:N943)</f>
        <v>13.655280114300355</v>
      </c>
      <c r="T941" s="5" t="str">
        <f>IF(N942="","",IF(Q941&gt;1940,IF(R941&lt;8.3,IF(Q941&lt;2180,"Pass","Fail"),"Fail"),"Fail"))</f>
        <v>Pass</v>
      </c>
      <c r="U941" s="149">
        <v>74</v>
      </c>
      <c r="V941" s="127"/>
      <c r="W941" s="11"/>
      <c r="X941" s="116">
        <v>2000</v>
      </c>
      <c r="Y941" s="116">
        <v>3000</v>
      </c>
      <c r="Z941" s="116">
        <v>1940</v>
      </c>
      <c r="AA941" s="116">
        <v>2180</v>
      </c>
      <c r="AB941" s="31">
        <v>5.2</v>
      </c>
      <c r="AC941" s="31">
        <v>5.2</v>
      </c>
    </row>
    <row r="942" spans="1:29" ht="15.6" x14ac:dyDescent="0.3">
      <c r="A942"/>
      <c r="B942" s="24"/>
      <c r="C942" s="6"/>
      <c r="D942" s="6"/>
      <c r="E942" s="61" t="s">
        <v>187</v>
      </c>
      <c r="F942" s="11">
        <v>1262.3499999999999</v>
      </c>
      <c r="G942" s="11">
        <v>1255.0999999999999</v>
      </c>
      <c r="H942" s="11">
        <v>1262.98</v>
      </c>
      <c r="I942" s="11">
        <v>1259.9000000000001</v>
      </c>
      <c r="J942" s="11">
        <v>1267.2</v>
      </c>
      <c r="K942" s="11">
        <v>1268.96</v>
      </c>
      <c r="L942" s="11">
        <v>1261.48</v>
      </c>
      <c r="M942" s="11">
        <v>1252.99</v>
      </c>
      <c r="N942" s="11">
        <v>1267.8900000000001</v>
      </c>
      <c r="O942" s="61"/>
      <c r="P942" s="61"/>
      <c r="Q942" s="62"/>
      <c r="R942" s="62"/>
      <c r="S942" s="139"/>
      <c r="T942" s="5"/>
      <c r="U942" s="140"/>
      <c r="V942" s="173"/>
      <c r="W942" s="11"/>
      <c r="X942" s="118"/>
      <c r="Y942" s="118"/>
      <c r="Z942" s="118"/>
      <c r="AA942" s="118"/>
    </row>
    <row r="943" spans="1:29" ht="25.5" customHeight="1" thickBot="1" x14ac:dyDescent="0.35">
      <c r="A943"/>
      <c r="B943" s="24"/>
      <c r="C943" s="6"/>
      <c r="D943" s="6"/>
      <c r="E943" s="61" t="s">
        <v>190</v>
      </c>
      <c r="F943" s="40">
        <f t="shared" ref="F943:N943" si="309">IF(((F941="")*AND(F942="")),"",(F941-F942)*3)</f>
        <v>2063.4600000000005</v>
      </c>
      <c r="G943" s="40">
        <f t="shared" si="309"/>
        <v>2065.0800000000004</v>
      </c>
      <c r="H943" s="40">
        <f t="shared" si="309"/>
        <v>2035.1099999999997</v>
      </c>
      <c r="I943" s="40">
        <f t="shared" si="309"/>
        <v>2032.53</v>
      </c>
      <c r="J943" s="40">
        <f t="shared" si="309"/>
        <v>2038.7699999999998</v>
      </c>
      <c r="K943" s="40">
        <f t="shared" si="309"/>
        <v>2041.53</v>
      </c>
      <c r="L943" s="40">
        <f t="shared" si="309"/>
        <v>2038.1099999999997</v>
      </c>
      <c r="M943" s="40">
        <f t="shared" si="309"/>
        <v>2065.5</v>
      </c>
      <c r="N943" s="40">
        <f t="shared" si="309"/>
        <v>2042.0699999999995</v>
      </c>
      <c r="O943" s="61"/>
      <c r="P943" s="61"/>
      <c r="Q943" s="62"/>
      <c r="R943" s="62"/>
      <c r="S943" s="139"/>
      <c r="T943" s="5"/>
      <c r="U943" s="140"/>
      <c r="V943" s="173"/>
      <c r="W943" s="11"/>
      <c r="X943" s="118"/>
      <c r="Y943" s="118"/>
      <c r="Z943" s="118"/>
      <c r="AA943" s="118"/>
    </row>
    <row r="944" spans="1:29" x14ac:dyDescent="0.25">
      <c r="A944" s="207">
        <v>43535</v>
      </c>
      <c r="B944" s="218" t="s">
        <v>185</v>
      </c>
      <c r="C944" s="6" t="s">
        <v>173</v>
      </c>
      <c r="D944" s="6" t="s">
        <v>172</v>
      </c>
      <c r="E944" s="61" t="s">
        <v>186</v>
      </c>
      <c r="F944" s="11">
        <v>25249.62</v>
      </c>
      <c r="G944" s="11">
        <v>25342.58</v>
      </c>
      <c r="H944" s="11">
        <v>25462.38</v>
      </c>
      <c r="I944" s="11">
        <v>25351.66</v>
      </c>
      <c r="J944" s="11">
        <v>25198.57</v>
      </c>
      <c r="K944" s="11">
        <v>25233.57</v>
      </c>
      <c r="L944" s="11">
        <v>25396.13</v>
      </c>
      <c r="M944" s="11">
        <v>25290.53</v>
      </c>
      <c r="N944" s="11">
        <v>25315</v>
      </c>
      <c r="O944" s="61">
        <f>IF((N945=""),"",MAX(F946:N946))</f>
        <v>4819.5899999999965</v>
      </c>
      <c r="P944" s="61">
        <f>IF(N945="","",MIN(F946:N946))</f>
        <v>4319.9700000000048</v>
      </c>
      <c r="Q944" s="62">
        <f>IF((N946=""),"",AVERAGE(F946:N946))</f>
        <v>4555.5333333333338</v>
      </c>
      <c r="R944" s="62">
        <f>IF((N945=""),"",(O944-P944)/(O944+P944)*100)</f>
        <v>5.4665651300499327</v>
      </c>
      <c r="S944" s="139">
        <f>STDEV(F946:N946)</f>
        <v>187.82500858511767</v>
      </c>
      <c r="T944" s="5" t="str">
        <f>IF(N945="","",IF(R944&lt;16,IF(Q944&gt;3200,IF(R944,IF(Q944&lt;5240,"Pass","Fail"),"Fail"),"Fail")))</f>
        <v>Pass</v>
      </c>
      <c r="U944" s="149">
        <v>74</v>
      </c>
      <c r="V944" s="127"/>
      <c r="W944" s="11"/>
      <c r="X944" s="116">
        <v>4200</v>
      </c>
      <c r="Y944" s="116">
        <v>5500</v>
      </c>
      <c r="Z944" s="116">
        <v>3200</v>
      </c>
      <c r="AA944" s="116">
        <v>5240</v>
      </c>
      <c r="AB944" s="31">
        <v>16</v>
      </c>
      <c r="AC944" s="31">
        <v>16</v>
      </c>
    </row>
    <row r="945" spans="1:29" ht="15.6" x14ac:dyDescent="0.3">
      <c r="A945"/>
      <c r="B945" s="24"/>
      <c r="C945" s="6"/>
      <c r="D945" s="6"/>
      <c r="E945" s="61" t="s">
        <v>187</v>
      </c>
      <c r="F945" s="11">
        <v>23643.09</v>
      </c>
      <c r="G945" s="11">
        <v>23873.42</v>
      </c>
      <c r="H945" s="11">
        <v>24022.39</v>
      </c>
      <c r="I945" s="11">
        <v>23871.34</v>
      </c>
      <c r="J945" s="11">
        <v>23593.919999999998</v>
      </c>
      <c r="K945" s="11">
        <v>23662.27</v>
      </c>
      <c r="L945" s="11">
        <v>23909.99</v>
      </c>
      <c r="M945" s="11">
        <v>23817.02</v>
      </c>
      <c r="N945" s="11">
        <v>23780</v>
      </c>
      <c r="O945" s="61"/>
      <c r="P945" s="61"/>
      <c r="Q945" s="62"/>
      <c r="R945" s="62"/>
      <c r="S945" s="139"/>
      <c r="T945" s="5"/>
      <c r="U945" s="140"/>
      <c r="V945" s="173"/>
      <c r="W945" s="11"/>
      <c r="X945" s="118"/>
      <c r="Y945" s="118"/>
      <c r="Z945" s="118"/>
      <c r="AA945" s="118"/>
    </row>
    <row r="946" spans="1:29" ht="23.4" thickBot="1" x14ac:dyDescent="0.35">
      <c r="A946"/>
      <c r="B946" s="63"/>
      <c r="C946" s="64"/>
      <c r="D946" s="64"/>
      <c r="E946" s="65" t="s">
        <v>188</v>
      </c>
      <c r="F946" s="53">
        <f t="shared" ref="F946:N946" si="310">IF(((F944="")*AND(F945="")),"",(F944-F945)*3)</f>
        <v>4819.5899999999965</v>
      </c>
      <c r="G946" s="53">
        <f t="shared" si="310"/>
        <v>4407.4800000000105</v>
      </c>
      <c r="H946" s="53">
        <f t="shared" si="310"/>
        <v>4319.9700000000048</v>
      </c>
      <c r="I946" s="53">
        <f t="shared" si="310"/>
        <v>4440.9599999999991</v>
      </c>
      <c r="J946" s="53">
        <f t="shared" si="310"/>
        <v>4813.9500000000044</v>
      </c>
      <c r="K946" s="53">
        <f t="shared" si="310"/>
        <v>4713.8999999999978</v>
      </c>
      <c r="L946" s="53">
        <f t="shared" si="310"/>
        <v>4458.4199999999983</v>
      </c>
      <c r="M946" s="53">
        <f t="shared" si="310"/>
        <v>4420.5299999999952</v>
      </c>
      <c r="N946" s="53">
        <f t="shared" si="310"/>
        <v>4605</v>
      </c>
      <c r="O946" s="65"/>
      <c r="P946" s="65"/>
      <c r="Q946" s="66"/>
      <c r="R946" s="66"/>
      <c r="S946" s="142"/>
      <c r="T946" s="143"/>
      <c r="U946" s="144"/>
      <c r="V946" s="173"/>
      <c r="W946" s="11"/>
      <c r="X946" s="118"/>
      <c r="Y946" s="118"/>
      <c r="Z946" s="118"/>
      <c r="AA946" s="118"/>
    </row>
    <row r="947" spans="1:29" x14ac:dyDescent="0.25">
      <c r="A947" s="207">
        <v>43538</v>
      </c>
      <c r="B947" s="219" t="s">
        <v>174</v>
      </c>
      <c r="C947" s="39" t="s">
        <v>176</v>
      </c>
      <c r="D947" s="39" t="s">
        <v>175</v>
      </c>
      <c r="E947" s="41" t="s">
        <v>186</v>
      </c>
      <c r="F947" s="11">
        <v>5021.43</v>
      </c>
      <c r="G947" s="11">
        <v>4913.83</v>
      </c>
      <c r="H947" s="11">
        <v>4915.3999999999996</v>
      </c>
      <c r="I947" s="11">
        <v>4885.05</v>
      </c>
      <c r="J947" s="11">
        <v>4927.51</v>
      </c>
      <c r="K947" s="11">
        <v>5025.01</v>
      </c>
      <c r="L947" s="11">
        <v>4905.79</v>
      </c>
      <c r="M947" s="11">
        <v>4931.55</v>
      </c>
      <c r="N947" s="11">
        <v>5029.07</v>
      </c>
      <c r="O947" s="59">
        <f>IF((N948=""),"",MAX(F949:N949))</f>
        <v>4052.1399999999994</v>
      </c>
      <c r="P947" s="59">
        <f>IF(N948="","",MIN(F949:N949))</f>
        <v>3687.46</v>
      </c>
      <c r="Q947" s="60">
        <f>IF((N949=""),"",AVERAGE(F949:N949))</f>
        <v>3893.9688888888891</v>
      </c>
      <c r="R947" s="60">
        <f>IF((N948=""),"",(O947-P947)/(O947+P947)*100)</f>
        <v>4.7118714145433795</v>
      </c>
      <c r="S947" s="113">
        <f>STDEV(F949:N949)</f>
        <v>110.04607585512102</v>
      </c>
      <c r="T947" s="137" t="str">
        <f>IF(N948="","",IF(Q947&gt;3650,IF(R947&lt;7,IF(Q947&lt;4450,"Pass","Fail"),"Fail"),"Fail"))</f>
        <v>Pass</v>
      </c>
      <c r="U947" s="149">
        <v>121</v>
      </c>
      <c r="V947" s="223" t="s">
        <v>228</v>
      </c>
      <c r="X947" s="116">
        <v>3650</v>
      </c>
      <c r="Y947" s="116">
        <v>4450</v>
      </c>
      <c r="Z947" s="116">
        <v>3700</v>
      </c>
      <c r="AA947" s="116">
        <v>4100</v>
      </c>
      <c r="AB947" s="31">
        <v>7</v>
      </c>
      <c r="AC947" s="31">
        <v>6.5</v>
      </c>
    </row>
    <row r="948" spans="1:29" ht="15.6" x14ac:dyDescent="0.3">
      <c r="A948"/>
      <c r="B948" s="24"/>
      <c r="C948" s="6"/>
      <c r="D948" s="6"/>
      <c r="E948" s="61" t="s">
        <v>187</v>
      </c>
      <c r="F948" s="11">
        <v>3137.81</v>
      </c>
      <c r="G948" s="11">
        <v>2954.78</v>
      </c>
      <c r="H948" s="11">
        <v>2940.64</v>
      </c>
      <c r="I948" s="11">
        <v>2916.07</v>
      </c>
      <c r="J948" s="11">
        <v>3003</v>
      </c>
      <c r="K948" s="11">
        <v>3181.28</v>
      </c>
      <c r="L948" s="11">
        <v>2945.28</v>
      </c>
      <c r="M948" s="11">
        <v>2949.92</v>
      </c>
      <c r="N948" s="11">
        <v>3003</v>
      </c>
      <c r="O948" s="61"/>
      <c r="P948" s="61"/>
      <c r="Q948" s="62"/>
      <c r="R948" s="62"/>
      <c r="S948" s="139"/>
      <c r="T948" s="8"/>
      <c r="U948" s="146"/>
      <c r="V948" s="178"/>
      <c r="X948" s="118"/>
      <c r="Y948" s="118"/>
      <c r="Z948" s="118"/>
      <c r="AA948" s="118"/>
    </row>
    <row r="949" spans="1:29" ht="23.4" thickBot="1" x14ac:dyDescent="0.35">
      <c r="A949"/>
      <c r="B949" s="24"/>
      <c r="C949" s="6"/>
      <c r="D949" s="6"/>
      <c r="E949" s="61" t="s">
        <v>188</v>
      </c>
      <c r="F949" s="40">
        <f t="shared" ref="F949:N949" si="311">IF(((F947="")*AND(F948="")),"",(F947-F948)*2)</f>
        <v>3767.2400000000007</v>
      </c>
      <c r="G949" s="40">
        <f t="shared" si="311"/>
        <v>3918.0999999999995</v>
      </c>
      <c r="H949" s="40">
        <f t="shared" si="311"/>
        <v>3949.5199999999995</v>
      </c>
      <c r="I949" s="40">
        <f t="shared" si="311"/>
        <v>3937.96</v>
      </c>
      <c r="J949" s="40">
        <f t="shared" si="311"/>
        <v>3849.0200000000004</v>
      </c>
      <c r="K949" s="40">
        <f t="shared" si="311"/>
        <v>3687.46</v>
      </c>
      <c r="L949" s="40">
        <f t="shared" si="311"/>
        <v>3921.0199999999995</v>
      </c>
      <c r="M949" s="40">
        <f t="shared" si="311"/>
        <v>3963.26</v>
      </c>
      <c r="N949" s="40">
        <f t="shared" si="311"/>
        <v>4052.1399999999994</v>
      </c>
      <c r="O949" s="61"/>
      <c r="P949" s="61"/>
      <c r="Q949" s="62"/>
      <c r="R949" s="62"/>
      <c r="S949" s="139"/>
      <c r="T949" s="8"/>
      <c r="U949" s="146"/>
      <c r="V949" s="178"/>
      <c r="X949" s="118"/>
      <c r="Y949" s="118"/>
      <c r="Z949" s="118"/>
      <c r="AA949" s="118"/>
    </row>
    <row r="950" spans="1:29" x14ac:dyDescent="0.25">
      <c r="A950" s="207">
        <v>43538</v>
      </c>
      <c r="B950" s="215" t="s">
        <v>169</v>
      </c>
      <c r="C950" s="6" t="s">
        <v>171</v>
      </c>
      <c r="D950" s="6" t="s">
        <v>189</v>
      </c>
      <c r="E950" s="61" t="s">
        <v>186</v>
      </c>
      <c r="F950" s="11">
        <v>1262.3499999999999</v>
      </c>
      <c r="G950" s="11">
        <v>1255.0999999999999</v>
      </c>
      <c r="H950" s="11">
        <v>1262.98</v>
      </c>
      <c r="I950" s="11">
        <v>1259.9000000000001</v>
      </c>
      <c r="J950" s="11">
        <v>1267.2</v>
      </c>
      <c r="K950" s="11">
        <v>1268.96</v>
      </c>
      <c r="L950" s="11">
        <v>1261.48</v>
      </c>
      <c r="M950" s="11">
        <v>1252.99</v>
      </c>
      <c r="N950" s="11">
        <v>1267.8900000000001</v>
      </c>
      <c r="O950" s="61">
        <f>IF((N951=""),"",MAX(F952:N952))</f>
        <v>2043.9599999999998</v>
      </c>
      <c r="P950" s="61">
        <f>IF(N951="","",MIN(F952:N952))</f>
        <v>1978.9800000000002</v>
      </c>
      <c r="Q950" s="62">
        <f>IF((N952=""),"",AVERAGE(F952:N952))</f>
        <v>2014.8733333333334</v>
      </c>
      <c r="R950" s="62">
        <f>IF((N951=""),"",(O950-P950)/(O950+P950)*100)</f>
        <v>1.6152366179957831</v>
      </c>
      <c r="S950" s="139">
        <f>STDEV(F952:N952)</f>
        <v>21.418960642383936</v>
      </c>
      <c r="T950" s="5" t="str">
        <f>IF(N951="","",IF(Q950&gt;1940,IF(R950&lt;8.3,IF(Q950&lt;2180,"Pass","Fail"),"Fail"),"Fail"))</f>
        <v>Pass</v>
      </c>
      <c r="U950" s="149">
        <v>121</v>
      </c>
      <c r="V950" s="178" t="s">
        <v>228</v>
      </c>
      <c r="X950" s="116">
        <v>2000</v>
      </c>
      <c r="Y950" s="116">
        <v>3000</v>
      </c>
      <c r="Z950" s="116">
        <v>1940</v>
      </c>
      <c r="AA950" s="116">
        <v>2180</v>
      </c>
      <c r="AB950" s="31">
        <v>5.2</v>
      </c>
      <c r="AC950" s="31">
        <v>5.2</v>
      </c>
    </row>
    <row r="951" spans="1:29" ht="15.6" x14ac:dyDescent="0.3">
      <c r="A951"/>
      <c r="B951" s="24"/>
      <c r="C951" s="6"/>
      <c r="D951" s="6"/>
      <c r="E951" s="61" t="s">
        <v>187</v>
      </c>
      <c r="F951" s="11">
        <v>581.03</v>
      </c>
      <c r="G951" s="11">
        <v>579.45000000000005</v>
      </c>
      <c r="H951" s="11">
        <v>588.04999999999995</v>
      </c>
      <c r="I951" s="11">
        <v>590.09</v>
      </c>
      <c r="J951" s="11">
        <v>607.54</v>
      </c>
      <c r="K951" s="11">
        <v>591.69000000000005</v>
      </c>
      <c r="L951" s="11">
        <v>591.19000000000005</v>
      </c>
      <c r="M951" s="11">
        <v>578.9</v>
      </c>
      <c r="N951" s="11">
        <v>606.29</v>
      </c>
      <c r="O951" s="61"/>
      <c r="P951" s="61"/>
      <c r="Q951" s="62"/>
      <c r="R951" s="62"/>
      <c r="S951" s="139"/>
      <c r="T951" s="5"/>
      <c r="U951" s="140"/>
      <c r="V951" s="178"/>
      <c r="X951" s="118"/>
      <c r="Y951" s="118"/>
      <c r="Z951" s="118"/>
      <c r="AA951" s="118"/>
    </row>
    <row r="952" spans="1:29" ht="25.5" customHeight="1" thickBot="1" x14ac:dyDescent="0.35">
      <c r="A952"/>
      <c r="B952" s="24"/>
      <c r="C952" s="6"/>
      <c r="D952" s="6"/>
      <c r="E952" s="61" t="s">
        <v>190</v>
      </c>
      <c r="F952" s="40">
        <f t="shared" ref="F952:N952" si="312">IF(((F950="")*AND(F951="")),"",(F950-F951)*3)</f>
        <v>2043.9599999999998</v>
      </c>
      <c r="G952" s="40">
        <f t="shared" si="312"/>
        <v>2026.9499999999996</v>
      </c>
      <c r="H952" s="40">
        <f t="shared" si="312"/>
        <v>2024.7900000000002</v>
      </c>
      <c r="I952" s="40">
        <f t="shared" si="312"/>
        <v>2009.4300000000003</v>
      </c>
      <c r="J952" s="40">
        <f t="shared" si="312"/>
        <v>1978.9800000000002</v>
      </c>
      <c r="K952" s="40">
        <f t="shared" si="312"/>
        <v>2031.81</v>
      </c>
      <c r="L952" s="40">
        <f t="shared" si="312"/>
        <v>2010.87</v>
      </c>
      <c r="M952" s="40">
        <f t="shared" si="312"/>
        <v>2022.27</v>
      </c>
      <c r="N952" s="40">
        <f t="shared" si="312"/>
        <v>1984.8000000000004</v>
      </c>
      <c r="O952" s="61"/>
      <c r="P952" s="61"/>
      <c r="Q952" s="62"/>
      <c r="R952" s="62"/>
      <c r="S952" s="139"/>
      <c r="T952" s="5"/>
      <c r="U952" s="140"/>
      <c r="V952" s="178"/>
      <c r="X952" s="118"/>
      <c r="Y952" s="118"/>
      <c r="Z952" s="118"/>
      <c r="AA952" s="118"/>
    </row>
    <row r="953" spans="1:29" x14ac:dyDescent="0.25">
      <c r="A953" s="207">
        <v>43538</v>
      </c>
      <c r="B953" s="218" t="s">
        <v>185</v>
      </c>
      <c r="C953" s="6" t="s">
        <v>173</v>
      </c>
      <c r="D953" s="6" t="s">
        <v>172</v>
      </c>
      <c r="E953" s="61" t="s">
        <v>186</v>
      </c>
      <c r="F953" s="11">
        <v>23643.09</v>
      </c>
      <c r="G953" s="11">
        <v>23873.42</v>
      </c>
      <c r="H953" s="11">
        <v>24022.39</v>
      </c>
      <c r="I953" s="11">
        <v>23871.34</v>
      </c>
      <c r="J953" s="11">
        <v>23593.919999999998</v>
      </c>
      <c r="K953" s="11">
        <v>23662.27</v>
      </c>
      <c r="L953" s="11">
        <v>23909.99</v>
      </c>
      <c r="M953" s="11">
        <v>23817.02</v>
      </c>
      <c r="N953" s="11">
        <v>23699</v>
      </c>
      <c r="O953" s="61">
        <f>IF((N954=""),"",MAX(F955:N955))</f>
        <v>5715.9900000000052</v>
      </c>
      <c r="P953" s="61">
        <f>IF(N954="","",MIN(F955:N955))</f>
        <v>4239</v>
      </c>
      <c r="Q953" s="62">
        <f>IF((N955=""),"",AVERAGE(F955:N955))</f>
        <v>4674.9599999999991</v>
      </c>
      <c r="R953" s="62">
        <f>IF((N954=""),"",(O953-P953)/(O953+P953)*100)</f>
        <v>14.836679896212898</v>
      </c>
      <c r="S953" s="139">
        <f>STDEV(F955:N955)</f>
        <v>469.02956583247601</v>
      </c>
      <c r="T953" s="5" t="str">
        <f>IF(N954="","",IF(R953&lt;16,IF(Q953&gt;3200,IF(R953,IF(Q953&lt;5240,"Pass","Fail"),"Fail"),"Fail")))</f>
        <v>Pass</v>
      </c>
      <c r="U953" s="149">
        <v>121</v>
      </c>
      <c r="V953" s="178" t="s">
        <v>228</v>
      </c>
      <c r="X953" s="116">
        <v>4200</v>
      </c>
      <c r="Y953" s="116">
        <v>5500</v>
      </c>
      <c r="Z953" s="116">
        <v>3200</v>
      </c>
      <c r="AA953" s="116">
        <v>5240</v>
      </c>
      <c r="AB953" s="31">
        <v>16</v>
      </c>
      <c r="AC953" s="31">
        <v>16</v>
      </c>
    </row>
    <row r="954" spans="1:29" ht="15.6" x14ac:dyDescent="0.3">
      <c r="A954"/>
      <c r="B954" s="24"/>
      <c r="C954" s="6"/>
      <c r="D954" s="6"/>
      <c r="E954" s="61" t="s">
        <v>187</v>
      </c>
      <c r="F954" s="11">
        <v>21967.79</v>
      </c>
      <c r="G954" s="11">
        <v>22399.29</v>
      </c>
      <c r="H954" s="11">
        <v>22609.39</v>
      </c>
      <c r="I954" s="11">
        <v>22411.86</v>
      </c>
      <c r="J954" s="11">
        <v>21995.77</v>
      </c>
      <c r="K954" s="11">
        <v>22082.7</v>
      </c>
      <c r="L954" s="11">
        <v>22482.3</v>
      </c>
      <c r="M954" s="11">
        <v>22324.79</v>
      </c>
      <c r="N954" s="11">
        <v>21793.67</v>
      </c>
      <c r="O954" s="61"/>
      <c r="P954" s="61"/>
      <c r="Q954" s="62"/>
      <c r="R954" s="62"/>
      <c r="S954" s="139"/>
      <c r="T954" s="5"/>
      <c r="U954" s="140"/>
      <c r="V954" s="178"/>
      <c r="X954" s="118"/>
      <c r="Y954" s="118"/>
      <c r="Z954" s="118"/>
      <c r="AA954" s="118"/>
    </row>
    <row r="955" spans="1:29" ht="23.4" thickBot="1" x14ac:dyDescent="0.35">
      <c r="A955"/>
      <c r="B955" s="63"/>
      <c r="C955" s="64"/>
      <c r="D955" s="64"/>
      <c r="E955" s="65" t="s">
        <v>188</v>
      </c>
      <c r="F955" s="53">
        <f t="shared" ref="F955:N955" si="313">IF(((F953="")*AND(F954="")),"",(F953-F954)*3)</f>
        <v>5025.8999999999978</v>
      </c>
      <c r="G955" s="53">
        <f t="shared" si="313"/>
        <v>4422.3899999999921</v>
      </c>
      <c r="H955" s="53">
        <f t="shared" si="313"/>
        <v>4239</v>
      </c>
      <c r="I955" s="53">
        <f t="shared" si="313"/>
        <v>4378.4399999999987</v>
      </c>
      <c r="J955" s="53">
        <f t="shared" si="313"/>
        <v>4794.4499999999935</v>
      </c>
      <c r="K955" s="53">
        <f t="shared" si="313"/>
        <v>4738.7099999999991</v>
      </c>
      <c r="L955" s="53">
        <f t="shared" si="313"/>
        <v>4283.070000000007</v>
      </c>
      <c r="M955" s="53">
        <f t="shared" si="313"/>
        <v>4476.6899999999987</v>
      </c>
      <c r="N955" s="53">
        <f t="shared" si="313"/>
        <v>5715.9900000000052</v>
      </c>
      <c r="O955" s="65"/>
      <c r="P955" s="65"/>
      <c r="Q955" s="66"/>
      <c r="R955" s="66"/>
      <c r="S955" s="142"/>
      <c r="T955" s="143"/>
      <c r="U955" s="144"/>
      <c r="V955" s="178"/>
      <c r="X955" s="118"/>
      <c r="Y955" s="118"/>
      <c r="Z955" s="118"/>
      <c r="AA955" s="118"/>
    </row>
    <row r="956" spans="1:29" x14ac:dyDescent="0.25">
      <c r="A956" s="207">
        <v>43542</v>
      </c>
      <c r="B956" s="219" t="s">
        <v>174</v>
      </c>
      <c r="C956" s="39" t="s">
        <v>176</v>
      </c>
      <c r="D956" s="39" t="s">
        <v>175</v>
      </c>
      <c r="E956" s="41" t="s">
        <v>186</v>
      </c>
      <c r="F956" s="11">
        <v>6959.52</v>
      </c>
      <c r="G956" s="11">
        <v>6936.07</v>
      </c>
      <c r="H956" s="11">
        <v>6959.36</v>
      </c>
      <c r="I956" s="11">
        <v>6905.43</v>
      </c>
      <c r="J956" s="11">
        <v>6842.86</v>
      </c>
      <c r="K956" s="11">
        <v>6906.74</v>
      </c>
      <c r="L956" s="11">
        <v>6921.74</v>
      </c>
      <c r="M956" s="11">
        <v>6979.01</v>
      </c>
      <c r="N956" s="11">
        <v>6913.47</v>
      </c>
      <c r="O956" s="59">
        <f>IF((N957=""),"",MAX(F958:N958))</f>
        <v>3987.1800000000003</v>
      </c>
      <c r="P956" s="59">
        <f>IF(N957="","",MIN(F958:N958))</f>
        <v>3717.76</v>
      </c>
      <c r="Q956" s="60">
        <f>IF((N958=""),"",AVERAGE(F958:N958))</f>
        <v>3892.3488888888887</v>
      </c>
      <c r="R956" s="60">
        <f>IF((N957=""),"",(O956-P956)/(O956+P956)*100)</f>
        <v>3.496717690209139</v>
      </c>
      <c r="S956" s="113">
        <f>STDEV(F958:N958)</f>
        <v>96.548252242653746</v>
      </c>
      <c r="T956" s="137" t="str">
        <f>IF(N957="","",IF(Q956&gt;3650,IF(R956&lt;7,IF(Q956&lt;4450,"Pass","Fail"),"Fail"),"Fail"))</f>
        <v>Pass</v>
      </c>
      <c r="U956" s="149">
        <v>1428</v>
      </c>
      <c r="V956" s="127"/>
      <c r="W956" s="352"/>
      <c r="X956" s="116">
        <v>3650</v>
      </c>
      <c r="Y956" s="116">
        <v>4450</v>
      </c>
      <c r="Z956" s="116">
        <v>3700</v>
      </c>
      <c r="AA956" s="116">
        <v>4100</v>
      </c>
      <c r="AB956" s="31">
        <v>7</v>
      </c>
      <c r="AC956" s="31">
        <v>6.5</v>
      </c>
    </row>
    <row r="957" spans="1:29" ht="15.6" x14ac:dyDescent="0.3">
      <c r="A957"/>
      <c r="B957" s="24"/>
      <c r="C957" s="6"/>
      <c r="D957" s="6"/>
      <c r="E957" s="61" t="s">
        <v>187</v>
      </c>
      <c r="F957" s="11">
        <v>5064.68</v>
      </c>
      <c r="G957" s="11">
        <v>4964.33</v>
      </c>
      <c r="H957" s="11">
        <v>4971</v>
      </c>
      <c r="I957" s="11">
        <v>4925.88</v>
      </c>
      <c r="J957" s="11">
        <v>4939.6099999999997</v>
      </c>
      <c r="K957" s="11">
        <v>5047.8599999999997</v>
      </c>
      <c r="L957" s="11">
        <v>4948.9399999999996</v>
      </c>
      <c r="M957" s="11">
        <v>4985.42</v>
      </c>
      <c r="N957" s="11">
        <v>4960.91</v>
      </c>
      <c r="O957" s="61"/>
      <c r="P957" s="61"/>
      <c r="Q957" s="62"/>
      <c r="R957" s="62"/>
      <c r="S957" s="139"/>
      <c r="T957" s="8"/>
      <c r="U957" s="146"/>
      <c r="V957" s="127"/>
      <c r="W957" s="352"/>
      <c r="X957" s="118"/>
      <c r="Y957" s="118"/>
      <c r="Z957" s="118"/>
      <c r="AA957" s="118"/>
    </row>
    <row r="958" spans="1:29" ht="23.4" thickBot="1" x14ac:dyDescent="0.35">
      <c r="A958"/>
      <c r="B958" s="24"/>
      <c r="C958" s="6"/>
      <c r="D958" s="6"/>
      <c r="E958" s="61" t="s">
        <v>188</v>
      </c>
      <c r="F958" s="40">
        <f t="shared" ref="F958:N958" si="314">IF(((F956="")*AND(F957="")),"",(F956-F957)*2)</f>
        <v>3789.6800000000003</v>
      </c>
      <c r="G958" s="40">
        <f t="shared" si="314"/>
        <v>3943.4799999999996</v>
      </c>
      <c r="H958" s="40">
        <f t="shared" si="314"/>
        <v>3976.7199999999993</v>
      </c>
      <c r="I958" s="40">
        <f t="shared" si="314"/>
        <v>3959.1000000000004</v>
      </c>
      <c r="J958" s="40">
        <f t="shared" si="314"/>
        <v>3806.5</v>
      </c>
      <c r="K958" s="40">
        <f t="shared" si="314"/>
        <v>3717.76</v>
      </c>
      <c r="L958" s="40">
        <f t="shared" si="314"/>
        <v>3945.6000000000004</v>
      </c>
      <c r="M958" s="40">
        <f t="shared" si="314"/>
        <v>3987.1800000000003</v>
      </c>
      <c r="N958" s="40">
        <f t="shared" si="314"/>
        <v>3905.1200000000008</v>
      </c>
      <c r="O958" s="61"/>
      <c r="P958" s="61"/>
      <c r="Q958" s="62"/>
      <c r="R958" s="62"/>
      <c r="S958" s="139"/>
      <c r="T958" s="8"/>
      <c r="U958" s="146"/>
      <c r="V958" s="127"/>
      <c r="W958" s="352"/>
      <c r="X958" s="118"/>
      <c r="Y958" s="118"/>
      <c r="Z958" s="118"/>
      <c r="AA958" s="118"/>
    </row>
    <row r="959" spans="1:29" x14ac:dyDescent="0.25">
      <c r="A959" s="207">
        <v>43542</v>
      </c>
      <c r="B959" s="215" t="s">
        <v>169</v>
      </c>
      <c r="C959" s="6" t="s">
        <v>171</v>
      </c>
      <c r="D959" s="6" t="s">
        <v>189</v>
      </c>
      <c r="E959" s="61" t="s">
        <v>186</v>
      </c>
      <c r="F959" s="11">
        <v>1866.56</v>
      </c>
      <c r="G959" s="11">
        <v>1818.2</v>
      </c>
      <c r="H959" s="11">
        <v>1846.8</v>
      </c>
      <c r="I959" s="11">
        <v>1837.15</v>
      </c>
      <c r="J959" s="11">
        <v>1824.71</v>
      </c>
      <c r="K959" s="11">
        <v>1844.45</v>
      </c>
      <c r="L959" s="11">
        <v>1832.25</v>
      </c>
      <c r="M959" s="11">
        <v>1875.4</v>
      </c>
      <c r="N959" s="11">
        <v>1832.64</v>
      </c>
      <c r="O959" s="61">
        <f>IF((N960=""),"",MAX(F961:N961))</f>
        <v>1905.0900000000006</v>
      </c>
      <c r="P959" s="61">
        <f>IF(N960="","",MIN(F961:N961))</f>
        <v>1671.72</v>
      </c>
      <c r="Q959" s="62">
        <f>IF((N961=""),"",AVERAGE(F961:N961))</f>
        <v>1771.3766666666666</v>
      </c>
      <c r="R959" s="62">
        <f>IF((N960=""),"",(O959-P959)/(O959+P959)*100)</f>
        <v>6.5245288399439882</v>
      </c>
      <c r="S959" s="139">
        <f>STDEV(F961:N961)</f>
        <v>75.478341761064144</v>
      </c>
      <c r="T959" s="5" t="str">
        <f>IF(N960="","",IF(Q959&gt;1940,IF(R959&lt;8.3,IF(Q959&lt;2180,"Pass","Fail"),"Fail"),"Fail"))</f>
        <v>Fail</v>
      </c>
      <c r="U959" s="149">
        <v>1428</v>
      </c>
      <c r="V959" s="127"/>
      <c r="W959" s="352"/>
      <c r="X959" s="116">
        <v>2000</v>
      </c>
      <c r="Y959" s="116">
        <v>3000</v>
      </c>
      <c r="Z959" s="116">
        <v>1940</v>
      </c>
      <c r="AA959" s="116">
        <v>2180</v>
      </c>
      <c r="AB959" s="31">
        <v>5.2</v>
      </c>
      <c r="AC959" s="31">
        <v>5.2</v>
      </c>
    </row>
    <row r="960" spans="1:29" ht="15.6" x14ac:dyDescent="0.3">
      <c r="A960"/>
      <c r="B960" s="24"/>
      <c r="C960" s="6"/>
      <c r="D960" s="6"/>
      <c r="E960" s="61" t="s">
        <v>187</v>
      </c>
      <c r="F960" s="11">
        <v>1243.99</v>
      </c>
      <c r="G960" s="11">
        <v>1249.5999999999999</v>
      </c>
      <c r="H960" s="11">
        <v>1246.4100000000001</v>
      </c>
      <c r="I960" s="11">
        <v>1251.22</v>
      </c>
      <c r="J960" s="11">
        <v>1267.47</v>
      </c>
      <c r="K960" s="11">
        <v>1255.18</v>
      </c>
      <c r="L960" s="11">
        <v>1257.06</v>
      </c>
      <c r="M960" s="11">
        <v>1240.3699999999999</v>
      </c>
      <c r="N960" s="11">
        <v>1252.73</v>
      </c>
      <c r="O960" s="61"/>
      <c r="P960" s="61"/>
      <c r="Q960" s="62"/>
      <c r="R960" s="62"/>
      <c r="S960" s="139"/>
      <c r="T960" s="5"/>
      <c r="U960" s="140"/>
      <c r="V960" s="173"/>
      <c r="W960" s="352"/>
      <c r="X960" s="118"/>
      <c r="Y960" s="118"/>
      <c r="Z960" s="118"/>
      <c r="AA960" s="118"/>
    </row>
    <row r="961" spans="1:29" ht="24.9" customHeight="1" thickBot="1" x14ac:dyDescent="0.35">
      <c r="A961"/>
      <c r="B961" s="24"/>
      <c r="C961" s="6"/>
      <c r="D961" s="6"/>
      <c r="E961" s="61" t="s">
        <v>190</v>
      </c>
      <c r="F961" s="40">
        <f t="shared" ref="F961:N961" si="315">IF(((F959="")*AND(F960="")),"",(F959-F960)*3)</f>
        <v>1867.7099999999998</v>
      </c>
      <c r="G961" s="40">
        <f t="shared" si="315"/>
        <v>1705.8000000000004</v>
      </c>
      <c r="H961" s="40">
        <f t="shared" si="315"/>
        <v>1801.1699999999996</v>
      </c>
      <c r="I961" s="40">
        <f t="shared" si="315"/>
        <v>1757.7900000000002</v>
      </c>
      <c r="J961" s="40">
        <f t="shared" si="315"/>
        <v>1671.72</v>
      </c>
      <c r="K961" s="40">
        <f t="shared" si="315"/>
        <v>1767.81</v>
      </c>
      <c r="L961" s="40">
        <f t="shared" si="315"/>
        <v>1725.5700000000002</v>
      </c>
      <c r="M961" s="40">
        <f t="shared" si="315"/>
        <v>1905.0900000000006</v>
      </c>
      <c r="N961" s="40">
        <f t="shared" si="315"/>
        <v>1739.7300000000002</v>
      </c>
      <c r="O961" s="61"/>
      <c r="P961" s="61"/>
      <c r="Q961" s="62"/>
      <c r="R961" s="62"/>
      <c r="S961" s="139"/>
      <c r="T961" s="5"/>
      <c r="U961" s="140"/>
      <c r="V961" s="173"/>
      <c r="W961" s="352"/>
      <c r="X961" s="118"/>
      <c r="Y961" s="118"/>
      <c r="Z961" s="118"/>
      <c r="AA961" s="118"/>
    </row>
    <row r="962" spans="1:29" x14ac:dyDescent="0.25">
      <c r="A962" s="207">
        <v>43542</v>
      </c>
      <c r="B962" s="218" t="s">
        <v>185</v>
      </c>
      <c r="C962" s="6" t="s">
        <v>173</v>
      </c>
      <c r="D962" s="6" t="s">
        <v>172</v>
      </c>
      <c r="E962" s="61" t="s">
        <v>186</v>
      </c>
      <c r="F962" s="11">
        <v>29320.66</v>
      </c>
      <c r="G962" s="11">
        <v>29210.94</v>
      </c>
      <c r="H962" s="11">
        <v>29218.36</v>
      </c>
      <c r="I962" s="11">
        <v>29196.26</v>
      </c>
      <c r="J962" s="11">
        <v>29308.9</v>
      </c>
      <c r="K962" s="11">
        <v>29285.5</v>
      </c>
      <c r="L962" s="11">
        <v>29203.82</v>
      </c>
      <c r="M962" s="11">
        <v>29159.9</v>
      </c>
      <c r="N962" s="11">
        <v>29270.16</v>
      </c>
      <c r="O962" s="61">
        <f>IF((N963=""),"",MAX(F964:N964))</f>
        <v>4818.6000000000022</v>
      </c>
      <c r="P962" s="61">
        <f>IF(N963="","",MIN(F964:N964))</f>
        <v>4205.7000000000044</v>
      </c>
      <c r="Q962" s="62">
        <f>IF((N964=""),"",AVERAGE(F964:N964))</f>
        <v>4463.4700000000012</v>
      </c>
      <c r="R962" s="62">
        <f>IF((N963=""),"",(O962-P962)/(O962+P962)*100)</f>
        <v>6.7916625112196778</v>
      </c>
      <c r="S962" s="139">
        <f>STDEV(F964:N964)</f>
        <v>223.33790296320151</v>
      </c>
      <c r="T962" s="5" t="str">
        <f>IF(N963="","",IF(R962&lt;16,IF(Q962&gt;3200,IF(R962,IF(Q962&lt;5240,"Pass","Fail"),"Fail"),"Fail")))</f>
        <v>Pass</v>
      </c>
      <c r="U962" s="149">
        <v>1428</v>
      </c>
      <c r="V962" s="127"/>
      <c r="W962" s="352"/>
      <c r="X962" s="116">
        <v>4200</v>
      </c>
      <c r="Y962" s="116">
        <v>5500</v>
      </c>
      <c r="Z962" s="116">
        <v>3200</v>
      </c>
      <c r="AA962" s="116">
        <v>5240</v>
      </c>
      <c r="AB962" s="31">
        <v>16</v>
      </c>
      <c r="AC962" s="31">
        <v>16</v>
      </c>
    </row>
    <row r="963" spans="1:29" ht="15.6" x14ac:dyDescent="0.3">
      <c r="A963"/>
      <c r="B963" s="24"/>
      <c r="C963" s="6"/>
      <c r="D963" s="6"/>
      <c r="E963" s="61" t="s">
        <v>187</v>
      </c>
      <c r="F963" s="11">
        <v>27714.46</v>
      </c>
      <c r="G963" s="11">
        <v>27755.79</v>
      </c>
      <c r="H963" s="11">
        <v>27798.94</v>
      </c>
      <c r="I963" s="11">
        <v>27751.51</v>
      </c>
      <c r="J963" s="11">
        <v>27783.87</v>
      </c>
      <c r="K963" s="11">
        <v>27729.279999999999</v>
      </c>
      <c r="L963" s="11">
        <v>27780.99</v>
      </c>
      <c r="M963" s="11">
        <v>27758</v>
      </c>
      <c r="N963" s="11">
        <v>27711.25</v>
      </c>
      <c r="O963" s="61"/>
      <c r="P963" s="61"/>
      <c r="Q963" s="62"/>
      <c r="R963" s="62"/>
      <c r="S963" s="139"/>
      <c r="T963" s="5"/>
      <c r="U963" s="140"/>
      <c r="V963" s="173"/>
      <c r="W963" s="352"/>
      <c r="X963" s="118"/>
      <c r="Y963" s="118"/>
      <c r="Z963" s="118"/>
      <c r="AA963" s="118"/>
    </row>
    <row r="964" spans="1:29" ht="23.4" thickBot="1" x14ac:dyDescent="0.35">
      <c r="A964"/>
      <c r="B964" s="63"/>
      <c r="C964" s="64"/>
      <c r="D964" s="64"/>
      <c r="E964" s="65" t="s">
        <v>188</v>
      </c>
      <c r="F964" s="53">
        <f t="shared" ref="F964:N964" si="316">IF(((F962="")*AND(F963="")),"",(F962-F963)*3)</f>
        <v>4818.6000000000022</v>
      </c>
      <c r="G964" s="53">
        <f t="shared" si="316"/>
        <v>4365.4499999999935</v>
      </c>
      <c r="H964" s="53">
        <f t="shared" si="316"/>
        <v>4258.2600000000057</v>
      </c>
      <c r="I964" s="53">
        <f t="shared" si="316"/>
        <v>4334.25</v>
      </c>
      <c r="J964" s="53">
        <f t="shared" si="316"/>
        <v>4575.0900000000074</v>
      </c>
      <c r="K964" s="53">
        <f t="shared" si="316"/>
        <v>4668.6600000000035</v>
      </c>
      <c r="L964" s="53">
        <f t="shared" si="316"/>
        <v>4268.4899999999943</v>
      </c>
      <c r="M964" s="53">
        <f t="shared" si="316"/>
        <v>4205.7000000000044</v>
      </c>
      <c r="N964" s="53">
        <f t="shared" si="316"/>
        <v>4676.7299999999996</v>
      </c>
      <c r="O964" s="65"/>
      <c r="P964" s="65"/>
      <c r="Q964" s="66"/>
      <c r="R964" s="66"/>
      <c r="S964" s="142"/>
      <c r="T964" s="143"/>
      <c r="U964" s="144"/>
      <c r="V964" s="173"/>
      <c r="W964" s="352"/>
      <c r="X964" s="118"/>
      <c r="Y964" s="118"/>
      <c r="Z964" s="118"/>
      <c r="AA964" s="118"/>
    </row>
    <row r="965" spans="1:29" x14ac:dyDescent="0.25">
      <c r="A965" s="207">
        <v>43542</v>
      </c>
      <c r="B965" s="215" t="s">
        <v>169</v>
      </c>
      <c r="C965" s="6" t="s">
        <v>171</v>
      </c>
      <c r="D965" s="6" t="s">
        <v>189</v>
      </c>
      <c r="E965" s="61" t="s">
        <v>186</v>
      </c>
      <c r="F965" s="11">
        <v>1243.99</v>
      </c>
      <c r="G965" s="11">
        <v>1249.5999999999999</v>
      </c>
      <c r="H965" s="11">
        <v>1246.4100000000001</v>
      </c>
      <c r="I965" s="11">
        <v>1251.22</v>
      </c>
      <c r="J965" s="11">
        <v>1267.47</v>
      </c>
      <c r="K965" s="11">
        <v>1255.18</v>
      </c>
      <c r="L965" s="11">
        <v>1257.06</v>
      </c>
      <c r="M965" s="11">
        <v>1240.3699999999999</v>
      </c>
      <c r="N965" s="11">
        <v>1252.73</v>
      </c>
      <c r="O965" s="61">
        <f>IF((N966=""),"",MAX(F967:N967))</f>
        <v>2098.8000000000002</v>
      </c>
      <c r="P965" s="61">
        <f>IF(N966="","",MIN(F967:N967))</f>
        <v>1994.19</v>
      </c>
      <c r="Q965" s="62">
        <f>IF((N967=""),"",AVERAGE(F967:N967))</f>
        <v>2039.3166666666668</v>
      </c>
      <c r="R965" s="62">
        <f>IF((N966=""),"",(O965-P965)/(O965+P965)*100)</f>
        <v>2.5558332661452901</v>
      </c>
      <c r="S965" s="139">
        <f>STDEV(F967:N967)</f>
        <v>41.867272719870364</v>
      </c>
      <c r="T965" s="5" t="str">
        <f>IF(N966="","",IF(Q965&gt;1940,IF(R965&lt;8.3,IF(Q965&lt;2180,"Pass","Fail"),"Fail"),"Fail"))</f>
        <v>Pass</v>
      </c>
      <c r="U965" s="149">
        <v>1428</v>
      </c>
      <c r="V965" s="127"/>
      <c r="W965" s="11"/>
      <c r="X965" s="116">
        <v>2000</v>
      </c>
      <c r="Y965" s="116">
        <v>3000</v>
      </c>
      <c r="Z965" s="116">
        <v>1940</v>
      </c>
      <c r="AA965" s="116">
        <v>2180</v>
      </c>
      <c r="AB965" s="31">
        <v>5.2</v>
      </c>
      <c r="AC965" s="31">
        <v>5.2</v>
      </c>
    </row>
    <row r="966" spans="1:29" ht="15.6" x14ac:dyDescent="0.3">
      <c r="A966"/>
      <c r="B966" s="24"/>
      <c r="C966" s="6"/>
      <c r="D966" s="6"/>
      <c r="E966" s="61" t="s">
        <v>187</v>
      </c>
      <c r="F966" s="11">
        <v>546.57000000000005</v>
      </c>
      <c r="G966" s="11">
        <v>571.66999999999996</v>
      </c>
      <c r="H966" s="11">
        <v>580.55999999999995</v>
      </c>
      <c r="I966" s="11">
        <v>586.49</v>
      </c>
      <c r="J966" s="11">
        <v>574.6</v>
      </c>
      <c r="K966" s="11">
        <v>555.58000000000004</v>
      </c>
      <c r="L966" s="11">
        <v>587.97</v>
      </c>
      <c r="M966" s="11">
        <v>572.32000000000005</v>
      </c>
      <c r="N966" s="11">
        <v>570.32000000000005</v>
      </c>
      <c r="O966" s="61"/>
      <c r="P966" s="61"/>
      <c r="Q966" s="62"/>
      <c r="R966" s="62"/>
      <c r="S966" s="139"/>
      <c r="T966" s="5"/>
      <c r="U966" s="140"/>
      <c r="V966" s="173"/>
      <c r="W966" s="11"/>
      <c r="X966" s="118"/>
      <c r="Y966" s="118"/>
      <c r="Z966" s="118"/>
      <c r="AA966" s="118"/>
    </row>
    <row r="967" spans="1:29" ht="27.15" customHeight="1" thickBot="1" x14ac:dyDescent="0.35">
      <c r="A967"/>
      <c r="B967" s="24"/>
      <c r="C967" s="6"/>
      <c r="D967" s="6"/>
      <c r="E967" s="61" t="s">
        <v>190</v>
      </c>
      <c r="F967" s="40">
        <f t="shared" ref="F967:N967" si="317">IF(((F965="")*AND(F966="")),"",(F965-F966)*3)</f>
        <v>2092.2599999999998</v>
      </c>
      <c r="G967" s="40">
        <f t="shared" si="317"/>
        <v>2033.79</v>
      </c>
      <c r="H967" s="40">
        <f t="shared" si="317"/>
        <v>1997.5500000000004</v>
      </c>
      <c r="I967" s="40">
        <f t="shared" si="317"/>
        <v>1994.19</v>
      </c>
      <c r="J967" s="40">
        <f t="shared" si="317"/>
        <v>2078.61</v>
      </c>
      <c r="K967" s="40">
        <f t="shared" si="317"/>
        <v>2098.8000000000002</v>
      </c>
      <c r="L967" s="40">
        <f t="shared" si="317"/>
        <v>2007.2699999999998</v>
      </c>
      <c r="M967" s="40">
        <f t="shared" si="317"/>
        <v>2004.1499999999996</v>
      </c>
      <c r="N967" s="40">
        <f t="shared" si="317"/>
        <v>2047.23</v>
      </c>
      <c r="O967" s="61"/>
      <c r="P967" s="61"/>
      <c r="Q967" s="62"/>
      <c r="R967" s="62"/>
      <c r="S967" s="139"/>
      <c r="T967" s="5"/>
      <c r="U967" s="140"/>
      <c r="V967" s="173"/>
      <c r="W967" s="11"/>
      <c r="X967" s="118"/>
      <c r="Y967" s="118"/>
      <c r="Z967" s="118"/>
      <c r="AA967" s="118"/>
    </row>
    <row r="968" spans="1:29" x14ac:dyDescent="0.25">
      <c r="A968" s="207">
        <v>43546</v>
      </c>
      <c r="B968" s="219" t="s">
        <v>174</v>
      </c>
      <c r="C968" s="39" t="s">
        <v>176</v>
      </c>
      <c r="D968" s="39" t="s">
        <v>175</v>
      </c>
      <c r="E968" s="41" t="s">
        <v>186</v>
      </c>
      <c r="F968" s="11">
        <v>5064.68</v>
      </c>
      <c r="G968" s="11">
        <v>4964.33</v>
      </c>
      <c r="H968" s="11">
        <v>4971</v>
      </c>
      <c r="I968" s="11">
        <v>4925.88</v>
      </c>
      <c r="J968" s="11">
        <v>4939.6099999999997</v>
      </c>
      <c r="K968" s="11">
        <v>5047.8599999999997</v>
      </c>
      <c r="L968" s="11">
        <v>4948.9399999999996</v>
      </c>
      <c r="M968" s="11">
        <v>4985.42</v>
      </c>
      <c r="N968" s="11">
        <v>4960.91</v>
      </c>
      <c r="O968" s="59">
        <f>IF((N969=""),"",MAX(F970:N970))</f>
        <v>3959.08</v>
      </c>
      <c r="P968" s="59">
        <f>IF(N969="","",MIN(F970:N970))</f>
        <v>3668.38</v>
      </c>
      <c r="Q968" s="60">
        <f>IF((N970=""),"",AVERAGE(F970:N970))</f>
        <v>3851.6000000000004</v>
      </c>
      <c r="R968" s="60">
        <f>IF((N969=""),"",(O968-P968)/(O968+P968)*100)</f>
        <v>3.8112294263096738</v>
      </c>
      <c r="S968" s="113">
        <f>STDEV(F970:N970)</f>
        <v>117.70309596607919</v>
      </c>
      <c r="T968" s="137" t="str">
        <f>IF(N969="","",IF(Q968&gt;3650,IF(R968&lt;7,IF(Q968&lt;4450,"Pass","Fail"),"Fail"),"Fail"))</f>
        <v>Pass</v>
      </c>
      <c r="U968" s="149">
        <v>1428</v>
      </c>
      <c r="V968" s="127"/>
      <c r="W968" s="11"/>
      <c r="X968" s="116">
        <v>3650</v>
      </c>
      <c r="Y968" s="116">
        <v>4450</v>
      </c>
      <c r="Z968" s="116">
        <v>3700</v>
      </c>
      <c r="AA968" s="116">
        <v>4100</v>
      </c>
      <c r="AB968" s="31">
        <v>7</v>
      </c>
      <c r="AC968" s="31">
        <v>6.5</v>
      </c>
    </row>
    <row r="969" spans="1:29" ht="15.6" x14ac:dyDescent="0.3">
      <c r="A969"/>
      <c r="B969" s="24"/>
      <c r="C969" s="6"/>
      <c r="D969" s="6"/>
      <c r="E969" s="61" t="s">
        <v>187</v>
      </c>
      <c r="F969" s="11">
        <v>3173.33</v>
      </c>
      <c r="G969" s="11">
        <v>2995.97</v>
      </c>
      <c r="H969" s="11">
        <v>2991.46</v>
      </c>
      <c r="I969" s="11">
        <v>2956.62</v>
      </c>
      <c r="J969" s="11">
        <v>3044.36</v>
      </c>
      <c r="K969" s="11">
        <v>3199.86</v>
      </c>
      <c r="L969" s="11">
        <v>2981.95</v>
      </c>
      <c r="M969" s="11">
        <v>3006.16</v>
      </c>
      <c r="N969" s="11">
        <v>3126.72</v>
      </c>
      <c r="O969" s="61"/>
      <c r="P969" s="61"/>
      <c r="Q969" s="62"/>
      <c r="R969" s="62"/>
      <c r="S969" s="139"/>
      <c r="T969" s="8"/>
      <c r="U969" s="146"/>
      <c r="V969" s="127"/>
      <c r="W969" s="11"/>
      <c r="X969" s="118"/>
      <c r="Y969" s="118"/>
      <c r="Z969" s="118"/>
      <c r="AA969" s="118"/>
    </row>
    <row r="970" spans="1:29" ht="23.4" thickBot="1" x14ac:dyDescent="0.35">
      <c r="A970"/>
      <c r="B970" s="24"/>
      <c r="C970" s="6"/>
      <c r="D970" s="6"/>
      <c r="E970" s="61" t="s">
        <v>188</v>
      </c>
      <c r="F970" s="40">
        <f t="shared" ref="F970:N970" si="318">IF(((F968="")*AND(F969="")),"",(F968-F969)*2)</f>
        <v>3782.7000000000007</v>
      </c>
      <c r="G970" s="40">
        <f t="shared" si="318"/>
        <v>3936.7200000000003</v>
      </c>
      <c r="H970" s="40">
        <f t="shared" si="318"/>
        <v>3959.08</v>
      </c>
      <c r="I970" s="40">
        <f t="shared" si="318"/>
        <v>3938.5200000000004</v>
      </c>
      <c r="J970" s="40">
        <f t="shared" si="318"/>
        <v>3790.4999999999991</v>
      </c>
      <c r="K970" s="40">
        <f t="shared" si="318"/>
        <v>3695.9999999999991</v>
      </c>
      <c r="L970" s="40">
        <f t="shared" si="318"/>
        <v>3933.9799999999996</v>
      </c>
      <c r="M970" s="40">
        <f t="shared" si="318"/>
        <v>3958.5200000000004</v>
      </c>
      <c r="N970" s="40">
        <f t="shared" si="318"/>
        <v>3668.38</v>
      </c>
      <c r="O970" s="61"/>
      <c r="P970" s="61"/>
      <c r="Q970" s="62"/>
      <c r="R970" s="62"/>
      <c r="S970" s="139"/>
      <c r="T970" s="8"/>
      <c r="U970" s="146"/>
      <c r="V970" s="127"/>
      <c r="W970" s="11"/>
      <c r="X970" s="118"/>
      <c r="Y970" s="118"/>
      <c r="Z970" s="118"/>
      <c r="AA970" s="118"/>
    </row>
    <row r="971" spans="1:29" x14ac:dyDescent="0.25">
      <c r="A971" s="207">
        <v>43546</v>
      </c>
      <c r="B971" s="215" t="s">
        <v>169</v>
      </c>
      <c r="C971" s="6" t="s">
        <v>171</v>
      </c>
      <c r="D971" s="6" t="s">
        <v>189</v>
      </c>
      <c r="E971" s="61" t="s">
        <v>186</v>
      </c>
      <c r="F971" s="11">
        <v>1981.98</v>
      </c>
      <c r="G971" s="11">
        <v>1978.12</v>
      </c>
      <c r="H971" s="11">
        <v>1975.4</v>
      </c>
      <c r="I971" s="11">
        <v>1976.25</v>
      </c>
      <c r="J971" s="11">
        <v>1975.39</v>
      </c>
      <c r="K971" s="11">
        <v>1977.61</v>
      </c>
      <c r="L971" s="11">
        <v>1972.4</v>
      </c>
      <c r="M971" s="11">
        <v>1976.36</v>
      </c>
      <c r="N971" s="11">
        <v>1986.83</v>
      </c>
      <c r="O971" s="61">
        <f>IF((N972=""),"",MAX(F973:N973))</f>
        <v>2073.54</v>
      </c>
      <c r="P971" s="61">
        <f>IF(N972="","",MIN(F973:N973))</f>
        <v>2028.3000000000004</v>
      </c>
      <c r="Q971" s="62">
        <f>IF((N973=""),"",AVERAGE(F973:N973))</f>
        <v>2054.0166666666669</v>
      </c>
      <c r="R971" s="62">
        <f>IF((N972=""),"",(O971-P971)/(O971+P971)*100)</f>
        <v>1.1029196653209183</v>
      </c>
      <c r="S971" s="139">
        <f>STDEV(F973:N973)</f>
        <v>16.683586245169156</v>
      </c>
      <c r="T971" s="5" t="str">
        <f>IF(N972="","",IF(Q971&gt;1940,IF(R971&lt;8.3,IF(Q971&lt;2180,"Pass","Fail"),"Fail"),"Fail"))</f>
        <v>Pass</v>
      </c>
      <c r="U971" s="149">
        <v>1428</v>
      </c>
      <c r="V971" s="127"/>
      <c r="W971" s="11"/>
      <c r="X971" s="116">
        <v>2000</v>
      </c>
      <c r="Y971" s="116">
        <v>3000</v>
      </c>
      <c r="Z971" s="116">
        <v>1940</v>
      </c>
      <c r="AA971" s="116">
        <v>2180</v>
      </c>
      <c r="AB971" s="31">
        <v>5.2</v>
      </c>
      <c r="AC971" s="31">
        <v>5.2</v>
      </c>
    </row>
    <row r="972" spans="1:29" ht="15.6" x14ac:dyDescent="0.3">
      <c r="A972"/>
      <c r="B972" s="24"/>
      <c r="C972" s="6"/>
      <c r="D972" s="6"/>
      <c r="E972" s="61" t="s">
        <v>187</v>
      </c>
      <c r="F972" s="11">
        <v>1290.8</v>
      </c>
      <c r="G972" s="11">
        <v>1287.58</v>
      </c>
      <c r="H972" s="11">
        <v>1293.5</v>
      </c>
      <c r="I972" s="11">
        <v>1292.1600000000001</v>
      </c>
      <c r="J972" s="11">
        <v>1299.29</v>
      </c>
      <c r="K972" s="11">
        <v>1298.96</v>
      </c>
      <c r="L972" s="11">
        <v>1291.19</v>
      </c>
      <c r="M972" s="11">
        <v>1287.33</v>
      </c>
      <c r="N972" s="11">
        <v>1297.48</v>
      </c>
      <c r="O972" s="61"/>
      <c r="P972" s="61"/>
      <c r="Q972" s="62"/>
      <c r="R972" s="62"/>
      <c r="S972" s="139"/>
      <c r="T972" s="5"/>
      <c r="U972" s="140"/>
      <c r="V972" s="173"/>
      <c r="W972" s="11"/>
      <c r="X972" s="118"/>
      <c r="Y972" s="118"/>
      <c r="Z972" s="118"/>
      <c r="AA972" s="118"/>
    </row>
    <row r="973" spans="1:29" ht="26.7" customHeight="1" thickBot="1" x14ac:dyDescent="0.35">
      <c r="A973"/>
      <c r="B973" s="24"/>
      <c r="C973" s="6"/>
      <c r="D973" s="6"/>
      <c r="E973" s="61" t="s">
        <v>190</v>
      </c>
      <c r="F973" s="40">
        <f t="shared" ref="F973:N973" si="319">IF(((F971="")*AND(F972="")),"",(F971-F972)*3)</f>
        <v>2073.54</v>
      </c>
      <c r="G973" s="40">
        <f t="shared" si="319"/>
        <v>2071.62</v>
      </c>
      <c r="H973" s="40">
        <f t="shared" si="319"/>
        <v>2045.7000000000003</v>
      </c>
      <c r="I973" s="40">
        <f t="shared" si="319"/>
        <v>2052.2699999999995</v>
      </c>
      <c r="J973" s="40">
        <f t="shared" si="319"/>
        <v>2028.3000000000004</v>
      </c>
      <c r="K973" s="40">
        <f t="shared" si="319"/>
        <v>2035.9499999999996</v>
      </c>
      <c r="L973" s="40">
        <f t="shared" si="319"/>
        <v>2043.63</v>
      </c>
      <c r="M973" s="40">
        <f t="shared" si="319"/>
        <v>2067.09</v>
      </c>
      <c r="N973" s="40">
        <f t="shared" si="319"/>
        <v>2068.0499999999997</v>
      </c>
      <c r="O973" s="61"/>
      <c r="P973" s="61"/>
      <c r="Q973" s="62"/>
      <c r="R973" s="62"/>
      <c r="S973" s="139"/>
      <c r="T973" s="5"/>
      <c r="U973" s="140"/>
      <c r="V973" s="173"/>
      <c r="W973" s="11"/>
      <c r="X973" s="118"/>
      <c r="Y973" s="118"/>
      <c r="Z973" s="118"/>
      <c r="AA973" s="118"/>
    </row>
    <row r="974" spans="1:29" x14ac:dyDescent="0.25">
      <c r="A974" s="207">
        <v>43546</v>
      </c>
      <c r="B974" s="218" t="s">
        <v>185</v>
      </c>
      <c r="C974" s="6" t="s">
        <v>173</v>
      </c>
      <c r="D974" s="6" t="s">
        <v>172</v>
      </c>
      <c r="E974" s="61" t="s">
        <v>186</v>
      </c>
      <c r="F974" s="11">
        <v>27640.98</v>
      </c>
      <c r="G974" s="11">
        <v>27679.78</v>
      </c>
      <c r="H974" s="11">
        <v>27688.44</v>
      </c>
      <c r="I974" s="11">
        <v>27691.31</v>
      </c>
      <c r="J974" s="11">
        <v>27664.3</v>
      </c>
      <c r="K974" s="11">
        <v>27665.38</v>
      </c>
      <c r="L974" s="11">
        <v>27698.27</v>
      </c>
      <c r="M974" s="11">
        <v>27648.09</v>
      </c>
      <c r="N974" s="11">
        <v>27623.43</v>
      </c>
      <c r="O974" s="61">
        <f>IF((N975=""),"",MAX(F976:N976))</f>
        <v>4659.6299999999974</v>
      </c>
      <c r="P974" s="61">
        <f>IF(N975="","",MIN(F976:N976))</f>
        <v>3964.0499999999956</v>
      </c>
      <c r="Q974" s="62">
        <f>IF((N976=""),"",AVERAGE(F976:N976))</f>
        <v>4320.2633333333351</v>
      </c>
      <c r="R974" s="62">
        <f>IF((N975=""),"",(O974-P974)/(O974+P974)*100)</f>
        <v>8.0659300901703475</v>
      </c>
      <c r="S974" s="139">
        <f>STDEV(F976:N976)</f>
        <v>243.04051966698819</v>
      </c>
      <c r="T974" s="5" t="str">
        <f>IF(N975="","",IF(R974&lt;16,IF(Q974&gt;3200,IF(R974,IF(Q974&lt;5240,"Pass","Fail"),"Fail"),"Fail")))</f>
        <v>Pass</v>
      </c>
      <c r="U974" s="149">
        <v>1428</v>
      </c>
      <c r="V974" s="127"/>
      <c r="W974" s="11"/>
      <c r="X974" s="116">
        <v>4200</v>
      </c>
      <c r="Y974" s="116">
        <v>5500</v>
      </c>
      <c r="Z974" s="116">
        <v>3200</v>
      </c>
      <c r="AA974" s="116">
        <v>5240</v>
      </c>
      <c r="AB974" s="31">
        <v>16</v>
      </c>
      <c r="AC974" s="31">
        <v>16</v>
      </c>
    </row>
    <row r="975" spans="1:29" ht="15.6" x14ac:dyDescent="0.3">
      <c r="A975"/>
      <c r="B975" s="24"/>
      <c r="C975" s="6"/>
      <c r="D975" s="6"/>
      <c r="E975" s="61" t="s">
        <v>187</v>
      </c>
      <c r="F975" s="11">
        <v>26140.75</v>
      </c>
      <c r="G975" s="11">
        <v>26301.439999999999</v>
      </c>
      <c r="H975" s="11">
        <v>26367.09</v>
      </c>
      <c r="I975" s="11">
        <v>26313.19</v>
      </c>
      <c r="J975" s="11">
        <v>26132.48</v>
      </c>
      <c r="K975" s="11">
        <v>26170.87</v>
      </c>
      <c r="L975" s="11">
        <v>26297.64</v>
      </c>
      <c r="M975" s="11">
        <v>26245.51</v>
      </c>
      <c r="N975" s="11">
        <v>26070.22</v>
      </c>
      <c r="O975" s="61"/>
      <c r="P975" s="61"/>
      <c r="Q975" s="62"/>
      <c r="R975" s="62"/>
      <c r="S975" s="139"/>
      <c r="T975" s="5"/>
      <c r="U975" s="140"/>
      <c r="V975" s="173"/>
      <c r="W975" s="11"/>
      <c r="X975" s="118"/>
      <c r="Y975" s="118"/>
      <c r="Z975" s="118"/>
      <c r="AA975" s="118"/>
    </row>
    <row r="976" spans="1:29" ht="23.4" thickBot="1" x14ac:dyDescent="0.35">
      <c r="A976"/>
      <c r="B976" s="63"/>
      <c r="C976" s="64"/>
      <c r="D976" s="64"/>
      <c r="E976" s="65" t="s">
        <v>188</v>
      </c>
      <c r="F976" s="53">
        <f t="shared" ref="F976:N976" si="320">IF(((F974="")*AND(F975="")),"",(F974-F975)*3)</f>
        <v>4500.6899999999987</v>
      </c>
      <c r="G976" s="53">
        <f t="shared" si="320"/>
        <v>4135.0200000000004</v>
      </c>
      <c r="H976" s="53">
        <f t="shared" si="320"/>
        <v>3964.0499999999956</v>
      </c>
      <c r="I976" s="53">
        <f t="shared" si="320"/>
        <v>4134.3600000000079</v>
      </c>
      <c r="J976" s="53">
        <f t="shared" si="320"/>
        <v>4595.4599999999991</v>
      </c>
      <c r="K976" s="53">
        <f t="shared" si="320"/>
        <v>4483.5300000000061</v>
      </c>
      <c r="L976" s="53">
        <f t="shared" si="320"/>
        <v>4201.8900000000031</v>
      </c>
      <c r="M976" s="53">
        <f t="shared" si="320"/>
        <v>4207.7400000000052</v>
      </c>
      <c r="N976" s="53">
        <f t="shared" si="320"/>
        <v>4659.6299999999974</v>
      </c>
      <c r="O976" s="65"/>
      <c r="P976" s="65"/>
      <c r="Q976" s="66"/>
      <c r="R976" s="66"/>
      <c r="S976" s="142"/>
      <c r="T976" s="143"/>
      <c r="U976" s="144"/>
      <c r="V976" s="173"/>
      <c r="W976" s="11"/>
      <c r="X976" s="118"/>
      <c r="Y976" s="118"/>
      <c r="Z976" s="118"/>
      <c r="AA976" s="118"/>
    </row>
    <row r="977" spans="1:29" x14ac:dyDescent="0.25">
      <c r="A977" s="207">
        <v>43549</v>
      </c>
      <c r="B977" s="219" t="s">
        <v>174</v>
      </c>
      <c r="C977" s="39" t="s">
        <v>176</v>
      </c>
      <c r="D977" s="39" t="s">
        <v>175</v>
      </c>
      <c r="E977" s="41" t="s">
        <v>186</v>
      </c>
      <c r="F977" s="11">
        <v>3185.74</v>
      </c>
      <c r="G977" s="11">
        <v>3008.39</v>
      </c>
      <c r="H977" s="11">
        <v>3003.78</v>
      </c>
      <c r="I977" s="11">
        <v>2966.22</v>
      </c>
      <c r="J977" s="11">
        <v>3053.3</v>
      </c>
      <c r="K977" s="11">
        <v>3208.26</v>
      </c>
      <c r="L977" s="11">
        <v>2993.3</v>
      </c>
      <c r="M977" s="11">
        <v>3017.06</v>
      </c>
      <c r="N977" s="11">
        <v>3135.22</v>
      </c>
      <c r="O977" s="59">
        <f>IF((N978=""),"",MAX(F979:N979))</f>
        <v>3976.2</v>
      </c>
      <c r="P977" s="59">
        <f>IF(N978="","",MIN(F979:N979))</f>
        <v>3719.1400000000003</v>
      </c>
      <c r="Q977" s="60">
        <f>IF((N979=""),"",AVERAGE(F979:N979))</f>
        <v>3889.6022222222218</v>
      </c>
      <c r="R977" s="60">
        <f>IF((N978=""),"",(O977-P977)/(O977+P977)*100)</f>
        <v>3.3404631894107277</v>
      </c>
      <c r="S977" s="113">
        <f>STDEV(F979:N979)</f>
        <v>91.843680481807951</v>
      </c>
      <c r="T977" s="137" t="str">
        <f>IF(N978="","",IF(Q977&gt;3650,IF(R977&lt;7,IF(Q977&lt;4450,"Pass","Fail"),"Fail"),"Fail"))</f>
        <v>Pass</v>
      </c>
      <c r="U977" s="149">
        <v>102</v>
      </c>
      <c r="V977" s="127"/>
      <c r="W977" s="180" t="s">
        <v>160</v>
      </c>
      <c r="X977" s="116">
        <v>3650</v>
      </c>
      <c r="Y977" s="116">
        <v>4450</v>
      </c>
      <c r="Z977" s="116">
        <v>3700</v>
      </c>
      <c r="AA977" s="116">
        <v>4100</v>
      </c>
      <c r="AB977" s="31">
        <v>7</v>
      </c>
      <c r="AC977" s="31">
        <v>6.5</v>
      </c>
    </row>
    <row r="978" spans="1:29" ht="15.6" x14ac:dyDescent="0.3">
      <c r="A978"/>
      <c r="B978" s="24"/>
      <c r="C978" s="6"/>
      <c r="D978" s="6"/>
      <c r="E978" s="61" t="s">
        <v>187</v>
      </c>
      <c r="F978" s="11">
        <v>1273.6400000000001</v>
      </c>
      <c r="G978" s="11">
        <v>1030.3900000000001</v>
      </c>
      <c r="H978" s="11">
        <v>1017.48</v>
      </c>
      <c r="I978" s="11">
        <v>993.83</v>
      </c>
      <c r="J978" s="11">
        <v>1158.23</v>
      </c>
      <c r="K978" s="11">
        <v>1348.69</v>
      </c>
      <c r="L978" s="11">
        <v>1024.05</v>
      </c>
      <c r="M978" s="11">
        <v>1028.96</v>
      </c>
      <c r="N978" s="11">
        <v>1192.79</v>
      </c>
      <c r="O978" s="61"/>
      <c r="P978" s="61"/>
      <c r="Q978" s="62"/>
      <c r="R978" s="62"/>
      <c r="S978" s="139"/>
      <c r="T978" s="8"/>
      <c r="U978" s="146"/>
      <c r="V978" s="127"/>
      <c r="W978" s="180"/>
      <c r="X978" s="118"/>
      <c r="Y978" s="118"/>
      <c r="Z978" s="118"/>
      <c r="AA978" s="118"/>
    </row>
    <row r="979" spans="1:29" ht="23.4" thickBot="1" x14ac:dyDescent="0.35">
      <c r="A979"/>
      <c r="B979" s="24"/>
      <c r="C979" s="6"/>
      <c r="D979" s="6"/>
      <c r="E979" s="61" t="s">
        <v>188</v>
      </c>
      <c r="F979" s="40">
        <f t="shared" ref="F979:N979" si="321">IF(((F977="")*AND(F978="")),"",(F977-F978)*2)</f>
        <v>3824.1999999999994</v>
      </c>
      <c r="G979" s="40">
        <f t="shared" si="321"/>
        <v>3955.9999999999995</v>
      </c>
      <c r="H979" s="40">
        <f t="shared" si="321"/>
        <v>3972.6000000000004</v>
      </c>
      <c r="I979" s="40">
        <f t="shared" si="321"/>
        <v>3944.7799999999997</v>
      </c>
      <c r="J979" s="40">
        <f t="shared" si="321"/>
        <v>3790.1400000000003</v>
      </c>
      <c r="K979" s="40">
        <f t="shared" si="321"/>
        <v>3719.1400000000003</v>
      </c>
      <c r="L979" s="40">
        <f t="shared" si="321"/>
        <v>3938.5000000000005</v>
      </c>
      <c r="M979" s="40">
        <f t="shared" si="321"/>
        <v>3976.2</v>
      </c>
      <c r="N979" s="40">
        <f t="shared" si="321"/>
        <v>3884.8599999999997</v>
      </c>
      <c r="O979" s="61"/>
      <c r="P979" s="61"/>
      <c r="Q979" s="62"/>
      <c r="R979" s="62"/>
      <c r="S979" s="139"/>
      <c r="T979" s="8"/>
      <c r="U979" s="146"/>
      <c r="V979" s="127"/>
      <c r="W979" s="180"/>
      <c r="X979" s="118"/>
      <c r="Y979" s="118"/>
      <c r="Z979" s="118"/>
      <c r="AA979" s="118"/>
    </row>
    <row r="980" spans="1:29" x14ac:dyDescent="0.25">
      <c r="A980" s="207">
        <v>43549</v>
      </c>
      <c r="B980" s="215" t="s">
        <v>169</v>
      </c>
      <c r="C980" s="6" t="s">
        <v>171</v>
      </c>
      <c r="D980" s="6" t="s">
        <v>189</v>
      </c>
      <c r="E980" s="61" t="s">
        <v>186</v>
      </c>
      <c r="F980" s="11">
        <v>1293.55</v>
      </c>
      <c r="G980" s="11">
        <v>1289.58</v>
      </c>
      <c r="H980" s="11">
        <v>1295.52</v>
      </c>
      <c r="I980" s="11">
        <v>1293.23</v>
      </c>
      <c r="J980" s="11">
        <v>1299.3699999999999</v>
      </c>
      <c r="K980" s="11">
        <v>1299.7</v>
      </c>
      <c r="L980" s="11">
        <v>1292.26</v>
      </c>
      <c r="M980" s="11">
        <v>1290.6400000000001</v>
      </c>
      <c r="N980" s="11">
        <v>1302.33</v>
      </c>
      <c r="O980" s="61">
        <f>IF((N981=""),"",MAX(F982:N982))</f>
        <v>2038.3800000000006</v>
      </c>
      <c r="P980" s="61">
        <f>IF(N981="","",MIN(F982:N982))</f>
        <v>1993.7399999999998</v>
      </c>
      <c r="Q980" s="62">
        <f>IF((N982=""),"",AVERAGE(F982:N982))</f>
        <v>2019.49</v>
      </c>
      <c r="R980" s="62">
        <f>IF((N981=""),"",(O980-P980)/(O980+P980)*100)</f>
        <v>1.10710990744325</v>
      </c>
      <c r="S980" s="139">
        <f>STDEV(F982:N982)</f>
        <v>15.576913205125297</v>
      </c>
      <c r="T980" s="5" t="str">
        <f>IF(N981="","",IF(Q980&gt;1940,IF(R980&lt;8.3,IF(Q980&lt;2180,"Pass","Fail"),"Fail"),"Fail"))</f>
        <v>Pass</v>
      </c>
      <c r="U980" s="149">
        <v>102</v>
      </c>
      <c r="V980" s="127"/>
      <c r="W980" s="180" t="s">
        <v>160</v>
      </c>
      <c r="X980" s="116">
        <v>2000</v>
      </c>
      <c r="Y980" s="116">
        <v>3000</v>
      </c>
      <c r="Z980" s="116">
        <v>1940</v>
      </c>
      <c r="AA980" s="116">
        <v>2180</v>
      </c>
      <c r="AB980" s="31">
        <v>5.2</v>
      </c>
      <c r="AC980" s="31">
        <v>5.2</v>
      </c>
    </row>
    <row r="981" spans="1:29" ht="15.6" x14ac:dyDescent="0.3">
      <c r="A981"/>
      <c r="B981" s="24"/>
      <c r="C981" s="6"/>
      <c r="D981" s="6"/>
      <c r="E981" s="61" t="s">
        <v>187</v>
      </c>
      <c r="F981" s="11">
        <v>618.62</v>
      </c>
      <c r="G981" s="11">
        <v>613.91999999999996</v>
      </c>
      <c r="H981" s="11">
        <v>619.54</v>
      </c>
      <c r="I981" s="11">
        <v>616</v>
      </c>
      <c r="J981" s="11">
        <v>634.46</v>
      </c>
      <c r="K981" s="11">
        <v>627.17999999999995</v>
      </c>
      <c r="L981" s="11">
        <v>619.05999999999995</v>
      </c>
      <c r="M981" s="11">
        <v>611.17999999999995</v>
      </c>
      <c r="N981" s="11">
        <v>637.75</v>
      </c>
      <c r="O981" s="61"/>
      <c r="P981" s="61"/>
      <c r="Q981" s="62"/>
      <c r="R981" s="62"/>
      <c r="S981" s="139"/>
      <c r="T981" s="5"/>
      <c r="U981" s="140"/>
      <c r="V981" s="173"/>
      <c r="W981" s="180"/>
      <c r="X981" s="118"/>
      <c r="Y981" s="118"/>
      <c r="Z981" s="118"/>
      <c r="AA981" s="118"/>
    </row>
    <row r="982" spans="1:29" ht="26.7" customHeight="1" thickBot="1" x14ac:dyDescent="0.35">
      <c r="A982"/>
      <c r="B982" s="24"/>
      <c r="C982" s="6"/>
      <c r="D982" s="6"/>
      <c r="E982" s="61" t="s">
        <v>190</v>
      </c>
      <c r="F982" s="40">
        <f t="shared" ref="F982:N982" si="322">IF(((F980="")*AND(F981="")),"",(F980-F981)*3)</f>
        <v>2024.79</v>
      </c>
      <c r="G982" s="40">
        <f t="shared" si="322"/>
        <v>2026.98</v>
      </c>
      <c r="H982" s="40">
        <f t="shared" si="322"/>
        <v>2027.94</v>
      </c>
      <c r="I982" s="40">
        <f t="shared" si="322"/>
        <v>2031.69</v>
      </c>
      <c r="J982" s="40">
        <f t="shared" si="322"/>
        <v>1994.7299999999996</v>
      </c>
      <c r="K982" s="40">
        <f t="shared" si="322"/>
        <v>2017.5600000000004</v>
      </c>
      <c r="L982" s="40">
        <f t="shared" si="322"/>
        <v>2019.6000000000001</v>
      </c>
      <c r="M982" s="40">
        <f t="shared" si="322"/>
        <v>2038.3800000000006</v>
      </c>
      <c r="N982" s="40">
        <f t="shared" si="322"/>
        <v>1993.7399999999998</v>
      </c>
      <c r="O982" s="61"/>
      <c r="P982" s="61"/>
      <c r="Q982" s="62"/>
      <c r="R982" s="62"/>
      <c r="S982" s="139"/>
      <c r="T982" s="5"/>
      <c r="U982" s="140"/>
      <c r="V982" s="173"/>
      <c r="W982" s="180"/>
      <c r="X982" s="118"/>
      <c r="Y982" s="118"/>
      <c r="Z982" s="118"/>
      <c r="AA982" s="118"/>
    </row>
    <row r="983" spans="1:29" x14ac:dyDescent="0.25">
      <c r="A983" s="207">
        <v>43549</v>
      </c>
      <c r="B983" s="218" t="s">
        <v>185</v>
      </c>
      <c r="C983" s="6" t="s">
        <v>173</v>
      </c>
      <c r="D983" s="6" t="s">
        <v>172</v>
      </c>
      <c r="E983" s="61" t="s">
        <v>186</v>
      </c>
      <c r="F983" s="11">
        <v>26073.18</v>
      </c>
      <c r="G983" s="11">
        <v>26212.59</v>
      </c>
      <c r="H983" s="11">
        <v>26300.21</v>
      </c>
      <c r="I983" s="11">
        <v>26233.040000000001</v>
      </c>
      <c r="J983" s="11">
        <v>26063.62</v>
      </c>
      <c r="K983" s="11">
        <v>26102.5</v>
      </c>
      <c r="L983" s="11">
        <v>26238.04</v>
      </c>
      <c r="M983" s="11">
        <v>26195.11</v>
      </c>
      <c r="N983" s="11">
        <v>26031.26</v>
      </c>
      <c r="O983" s="61">
        <f>IF((N984=""),"",MAX(F985:N985))</f>
        <v>4901.7299999999996</v>
      </c>
      <c r="P983" s="61">
        <f>IF(N984="","",MIN(F985:N985))</f>
        <v>4202.0400000000009</v>
      </c>
      <c r="Q983" s="62">
        <f>IF((N985=""),"",AVERAGE(F985:N985))</f>
        <v>4519.6266666666652</v>
      </c>
      <c r="R983" s="62">
        <f>IF((N984=""),"",(O983-P983)/(O983+P983)*100)</f>
        <v>7.6857170161372554</v>
      </c>
      <c r="S983" s="139">
        <f>STDEV(F985:N985)</f>
        <v>226.24944226450572</v>
      </c>
      <c r="T983" s="5" t="str">
        <f>IF(N984="","",IF(R983&lt;16,IF(Q983&gt;3200,IF(R983,IF(Q983&lt;5240,"Pass","Fail"),"Fail"),"Fail")))</f>
        <v>Pass</v>
      </c>
      <c r="U983" s="149">
        <v>102</v>
      </c>
      <c r="V983" s="127"/>
      <c r="W983" s="180" t="s">
        <v>160</v>
      </c>
      <c r="X983" s="116">
        <v>4200</v>
      </c>
      <c r="Y983" s="116">
        <v>5500</v>
      </c>
      <c r="Z983" s="116">
        <v>3200</v>
      </c>
      <c r="AA983" s="116">
        <v>5240</v>
      </c>
      <c r="AB983" s="31">
        <v>16</v>
      </c>
      <c r="AC983" s="31">
        <v>16</v>
      </c>
    </row>
    <row r="984" spans="1:29" ht="15.6" x14ac:dyDescent="0.3">
      <c r="A984"/>
      <c r="B984" s="24"/>
      <c r="C984" s="6"/>
      <c r="D984" s="6"/>
      <c r="E984" s="61" t="s">
        <v>187</v>
      </c>
      <c r="F984" s="11">
        <v>24496.73</v>
      </c>
      <c r="G984" s="11">
        <v>24737.360000000001</v>
      </c>
      <c r="H984" s="11">
        <v>24846.54</v>
      </c>
      <c r="I984" s="11">
        <v>24782.95</v>
      </c>
      <c r="J984" s="11">
        <v>24488.720000000001</v>
      </c>
      <c r="K984" s="11">
        <v>24579.39</v>
      </c>
      <c r="L984" s="11">
        <v>24837.360000000001</v>
      </c>
      <c r="M984" s="11">
        <v>24724.27</v>
      </c>
      <c r="N984" s="11">
        <v>24397.35</v>
      </c>
      <c r="O984" s="11"/>
      <c r="P984" s="61"/>
      <c r="Q984" s="62"/>
      <c r="R984" s="62"/>
      <c r="S984" s="139"/>
      <c r="T984" s="5"/>
      <c r="U984" s="140"/>
      <c r="V984" s="173"/>
      <c r="W984" s="180"/>
      <c r="X984" s="118"/>
      <c r="Y984" s="118"/>
      <c r="Z984" s="118"/>
      <c r="AA984" s="118"/>
    </row>
    <row r="985" spans="1:29" ht="23.4" thickBot="1" x14ac:dyDescent="0.35">
      <c r="A985"/>
      <c r="B985" s="63"/>
      <c r="C985" s="64"/>
      <c r="D985" s="64"/>
      <c r="E985" s="65" t="s">
        <v>188</v>
      </c>
      <c r="F985" s="53">
        <f t="shared" ref="F985:N985" si="323">IF(((F983="")*AND(F984="")),"",(F983-F984)*3)</f>
        <v>4729.3500000000022</v>
      </c>
      <c r="G985" s="53">
        <f t="shared" si="323"/>
        <v>4425.6899999999987</v>
      </c>
      <c r="H985" s="53">
        <f t="shared" si="323"/>
        <v>4361.0099999999948</v>
      </c>
      <c r="I985" s="53">
        <f t="shared" si="323"/>
        <v>4350.2700000000004</v>
      </c>
      <c r="J985" s="53">
        <f t="shared" si="323"/>
        <v>4724.6999999999935</v>
      </c>
      <c r="K985" s="53">
        <f t="shared" si="323"/>
        <v>4569.3300000000017</v>
      </c>
      <c r="L985" s="53">
        <f t="shared" si="323"/>
        <v>4202.0400000000009</v>
      </c>
      <c r="M985" s="53">
        <f t="shared" si="323"/>
        <v>4412.5200000000004</v>
      </c>
      <c r="N985" s="53">
        <f t="shared" si="323"/>
        <v>4901.7299999999996</v>
      </c>
      <c r="O985" s="65"/>
      <c r="P985" s="65"/>
      <c r="Q985" s="66"/>
      <c r="R985" s="66"/>
      <c r="S985" s="142"/>
      <c r="T985" s="143"/>
      <c r="U985" s="144"/>
      <c r="V985" s="173"/>
      <c r="W985" s="180"/>
      <c r="X985" s="118"/>
      <c r="Y985" s="118"/>
      <c r="Z985" s="118"/>
      <c r="AA985" s="118"/>
    </row>
    <row r="986" spans="1:29" x14ac:dyDescent="0.25">
      <c r="A986" s="207">
        <v>43552</v>
      </c>
      <c r="B986" s="219" t="s">
        <v>174</v>
      </c>
      <c r="C986" s="39" t="s">
        <v>176</v>
      </c>
      <c r="D986" s="39" t="s">
        <v>175</v>
      </c>
      <c r="E986" s="41" t="s">
        <v>186</v>
      </c>
      <c r="F986" s="11">
        <v>6955.91</v>
      </c>
      <c r="G986" s="11">
        <v>6914.94</v>
      </c>
      <c r="H986" s="11">
        <v>6932.83</v>
      </c>
      <c r="I986" s="11">
        <v>6887.4</v>
      </c>
      <c r="J986" s="11">
        <v>6853.48</v>
      </c>
      <c r="K986" s="11">
        <v>6929.08</v>
      </c>
      <c r="L986" s="11">
        <v>6910.03</v>
      </c>
      <c r="M986" s="11">
        <v>6945.56</v>
      </c>
      <c r="N986" s="11">
        <v>6984.13</v>
      </c>
      <c r="O986" s="59">
        <f>IF((N987=""),"",MAX(F988:N988))</f>
        <v>3916.3200000000015</v>
      </c>
      <c r="P986" s="59">
        <f>IF(N987="","",MIN(F988:N988))</f>
        <v>3645.42</v>
      </c>
      <c r="Q986" s="60">
        <f>IF((N988=""),"",AVERAGE(F988:N988))</f>
        <v>3822.2533333333331</v>
      </c>
      <c r="R986" s="60">
        <f>IF((N987=""),"",(O986-P986)/(O986+P986)*100)</f>
        <v>3.5825087876600015</v>
      </c>
      <c r="S986" s="113">
        <f>STDEV(F988:N988)</f>
        <v>97.834542468394019</v>
      </c>
      <c r="T986" s="137" t="str">
        <f>IF(N987="","",IF(Q986&gt;3650,IF(R986&lt;7,IF(Q986&lt;4450,"Pass","Fail"),"Fail"),"Fail"))</f>
        <v>Pass</v>
      </c>
      <c r="U986" s="149">
        <v>121</v>
      </c>
      <c r="V986" s="127"/>
      <c r="W986" s="11"/>
      <c r="X986" s="116">
        <v>3650</v>
      </c>
      <c r="Y986" s="116">
        <v>4450</v>
      </c>
      <c r="Z986" s="116">
        <v>3700</v>
      </c>
      <c r="AA986" s="116">
        <v>4100</v>
      </c>
      <c r="AB986" s="31">
        <v>7</v>
      </c>
      <c r="AC986" s="31">
        <v>6.5</v>
      </c>
    </row>
    <row r="987" spans="1:29" ht="15.6" x14ac:dyDescent="0.3">
      <c r="A987"/>
      <c r="B987" s="24"/>
      <c r="C987" s="6"/>
      <c r="D987" s="6"/>
      <c r="E987" s="61" t="s">
        <v>187</v>
      </c>
      <c r="F987" s="11">
        <v>5095.32</v>
      </c>
      <c r="G987" s="11">
        <v>4974.83</v>
      </c>
      <c r="H987" s="11">
        <v>4977.04</v>
      </c>
      <c r="I987" s="11">
        <v>4943.42</v>
      </c>
      <c r="J987" s="11">
        <v>4985.07</v>
      </c>
      <c r="K987" s="11">
        <v>5106.37</v>
      </c>
      <c r="L987" s="11">
        <v>4970.26</v>
      </c>
      <c r="M987" s="11">
        <v>4987.3999999999996</v>
      </c>
      <c r="N987" s="11">
        <v>5073.51</v>
      </c>
      <c r="O987" s="61"/>
      <c r="P987" s="61"/>
      <c r="Q987" s="62"/>
      <c r="R987" s="62"/>
      <c r="S987" s="139"/>
      <c r="T987" s="8"/>
      <c r="U987" s="146"/>
      <c r="V987" s="127"/>
      <c r="W987" s="11"/>
      <c r="X987" s="118"/>
      <c r="Y987" s="118"/>
      <c r="Z987" s="118"/>
      <c r="AA987" s="118"/>
    </row>
    <row r="988" spans="1:29" ht="23.4" thickBot="1" x14ac:dyDescent="0.35">
      <c r="A988"/>
      <c r="B988" s="24"/>
      <c r="C988" s="6"/>
      <c r="D988" s="6"/>
      <c r="E988" s="61" t="s">
        <v>188</v>
      </c>
      <c r="F988" s="40">
        <f t="shared" ref="F988:N988" si="324">IF(((F986="")*AND(F987="")),"",(F986-F987)*2)</f>
        <v>3721.1800000000003</v>
      </c>
      <c r="G988" s="40">
        <f t="shared" si="324"/>
        <v>3880.2199999999993</v>
      </c>
      <c r="H988" s="40">
        <f t="shared" si="324"/>
        <v>3911.58</v>
      </c>
      <c r="I988" s="40">
        <f t="shared" si="324"/>
        <v>3887.9599999999991</v>
      </c>
      <c r="J988" s="40">
        <f t="shared" si="324"/>
        <v>3736.8199999999997</v>
      </c>
      <c r="K988" s="40">
        <f t="shared" si="324"/>
        <v>3645.42</v>
      </c>
      <c r="L988" s="40">
        <f t="shared" si="324"/>
        <v>3879.5399999999991</v>
      </c>
      <c r="M988" s="40">
        <f t="shared" si="324"/>
        <v>3916.3200000000015</v>
      </c>
      <c r="N988" s="40">
        <f t="shared" si="324"/>
        <v>3821.24</v>
      </c>
      <c r="O988" s="61"/>
      <c r="P988" s="61"/>
      <c r="Q988" s="62"/>
      <c r="R988" s="62"/>
      <c r="S988" s="139"/>
      <c r="T988" s="8"/>
      <c r="U988" s="146"/>
      <c r="V988" s="127"/>
      <c r="W988" s="11"/>
      <c r="X988" s="118"/>
      <c r="Y988" s="118"/>
      <c r="Z988" s="118"/>
      <c r="AA988" s="118"/>
    </row>
    <row r="989" spans="1:29" x14ac:dyDescent="0.25">
      <c r="A989" s="207">
        <v>43552</v>
      </c>
      <c r="B989" s="215" t="s">
        <v>169</v>
      </c>
      <c r="C989" s="6" t="s">
        <v>171</v>
      </c>
      <c r="D989" s="6" t="s">
        <v>189</v>
      </c>
      <c r="E989" s="61" t="s">
        <v>186</v>
      </c>
      <c r="F989" s="11">
        <v>2016.99</v>
      </c>
      <c r="G989" s="11">
        <v>2013.65</v>
      </c>
      <c r="H989" s="11">
        <v>2000.25</v>
      </c>
      <c r="I989" s="11">
        <v>2008.73</v>
      </c>
      <c r="J989" s="11">
        <v>2016.28</v>
      </c>
      <c r="K989" s="11">
        <v>2019.05</v>
      </c>
      <c r="L989" s="11">
        <v>2003.13</v>
      </c>
      <c r="M989" s="11">
        <v>2006.5</v>
      </c>
      <c r="N989" s="11">
        <v>2024.56</v>
      </c>
      <c r="O989" s="61">
        <f>IF((N990=""),"",MAX(F991:N991))</f>
        <v>2130.2400000000007</v>
      </c>
      <c r="P989" s="61">
        <f>IF(N990="","",MIN(F991:N991))</f>
        <v>2080.2600000000002</v>
      </c>
      <c r="Q989" s="62">
        <f>IF((N991=""),"",AVERAGE(F991:N991))</f>
        <v>2103.8166666666671</v>
      </c>
      <c r="R989" s="62">
        <f>IF((N990=""),"",(O989-P989)/(O989+P989)*100)</f>
        <v>1.1870324189526293</v>
      </c>
      <c r="S989" s="139">
        <f>STDEV(F991:N991)</f>
        <v>17.091878188192211</v>
      </c>
      <c r="T989" s="5" t="str">
        <f>IF(N990="","",IF(Q989&gt;1940,IF(R989&lt;8.3,IF(Q989&lt;2180,"Pass","Fail"),"Fail"),"Fail"))</f>
        <v>Pass</v>
      </c>
      <c r="U989" s="149">
        <v>121</v>
      </c>
      <c r="V989" s="127"/>
      <c r="W989" s="11"/>
      <c r="X989" s="116">
        <v>2000</v>
      </c>
      <c r="Y989" s="116">
        <v>3000</v>
      </c>
      <c r="Z989" s="116">
        <v>1940</v>
      </c>
      <c r="AA989" s="116">
        <v>2180</v>
      </c>
      <c r="AB989" s="31">
        <v>5.2</v>
      </c>
      <c r="AC989" s="31">
        <v>5.2</v>
      </c>
    </row>
    <row r="990" spans="1:29" ht="15.6" x14ac:dyDescent="0.3">
      <c r="A990"/>
      <c r="B990" s="24"/>
      <c r="C990" s="6"/>
      <c r="D990" s="6"/>
      <c r="E990" s="61" t="s">
        <v>187</v>
      </c>
      <c r="F990" s="11">
        <v>1313.24</v>
      </c>
      <c r="G990" s="11">
        <v>1303.57</v>
      </c>
      <c r="H990" s="11">
        <v>1299.48</v>
      </c>
      <c r="I990" s="11">
        <v>1308.1600000000001</v>
      </c>
      <c r="J990" s="11">
        <v>1322.86</v>
      </c>
      <c r="K990" s="11">
        <v>1321.63</v>
      </c>
      <c r="L990" s="11">
        <v>1309.18</v>
      </c>
      <c r="M990" s="11">
        <v>1299.1600000000001</v>
      </c>
      <c r="N990" s="11">
        <v>1320.41</v>
      </c>
      <c r="O990" s="61"/>
      <c r="P990" s="61"/>
      <c r="Q990" s="62"/>
      <c r="R990" s="62"/>
      <c r="S990" s="139"/>
      <c r="T990" s="5"/>
      <c r="U990" s="140"/>
      <c r="V990" s="173"/>
      <c r="W990" s="11"/>
      <c r="X990" s="118"/>
      <c r="Y990" s="118"/>
      <c r="Z990" s="118"/>
      <c r="AA990" s="118"/>
    </row>
    <row r="991" spans="1:29" ht="26.7" customHeight="1" thickBot="1" x14ac:dyDescent="0.35">
      <c r="A991"/>
      <c r="B991" s="24"/>
      <c r="C991" s="6"/>
      <c r="D991" s="6"/>
      <c r="E991" s="61" t="s">
        <v>190</v>
      </c>
      <c r="F991" s="40">
        <f t="shared" ref="F991:N991" si="325">IF(((F989="")*AND(F990="")),"",(F989-F990)*3)</f>
        <v>2111.25</v>
      </c>
      <c r="G991" s="40">
        <f t="shared" si="325"/>
        <v>2130.2400000000007</v>
      </c>
      <c r="H991" s="40">
        <f t="shared" si="325"/>
        <v>2102.31</v>
      </c>
      <c r="I991" s="40">
        <f t="shared" si="325"/>
        <v>2101.71</v>
      </c>
      <c r="J991" s="40">
        <f t="shared" si="325"/>
        <v>2080.2600000000002</v>
      </c>
      <c r="K991" s="40">
        <f t="shared" si="325"/>
        <v>2092.2599999999993</v>
      </c>
      <c r="L991" s="40">
        <f t="shared" si="325"/>
        <v>2081.8500000000004</v>
      </c>
      <c r="M991" s="40">
        <f t="shared" si="325"/>
        <v>2122.0199999999995</v>
      </c>
      <c r="N991" s="40">
        <f t="shared" si="325"/>
        <v>2112.4499999999998</v>
      </c>
      <c r="O991" s="61"/>
      <c r="P991" s="61"/>
      <c r="Q991" s="62"/>
      <c r="R991" s="62"/>
      <c r="S991" s="139"/>
      <c r="T991" s="5"/>
      <c r="U991" s="140"/>
      <c r="V991" s="173"/>
      <c r="W991" s="11"/>
      <c r="X991" s="118"/>
      <c r="Y991" s="118"/>
      <c r="Z991" s="118"/>
      <c r="AA991" s="118"/>
    </row>
    <row r="992" spans="1:29" x14ac:dyDescent="0.25">
      <c r="A992" s="207">
        <v>43552</v>
      </c>
      <c r="B992" s="218" t="s">
        <v>185</v>
      </c>
      <c r="C992" s="6" t="s">
        <v>173</v>
      </c>
      <c r="D992" s="6" t="s">
        <v>172</v>
      </c>
      <c r="E992" s="61" t="s">
        <v>186</v>
      </c>
      <c r="F992" s="11">
        <v>24416.3</v>
      </c>
      <c r="G992" s="11">
        <v>24682.66</v>
      </c>
      <c r="H992" s="11">
        <v>24818.03</v>
      </c>
      <c r="I992" s="11">
        <v>24720.61</v>
      </c>
      <c r="J992" s="11">
        <v>24418.87</v>
      </c>
      <c r="K992" s="11">
        <v>24492.03</v>
      </c>
      <c r="L992" s="11">
        <v>24745.56</v>
      </c>
      <c r="M992" s="11">
        <v>24685.74</v>
      </c>
      <c r="N992" s="11">
        <v>24347.29</v>
      </c>
      <c r="O992" s="61">
        <f>IF((N993=""),"",MAX(F994:N994))</f>
        <v>5149.5600000000013</v>
      </c>
      <c r="P992" s="61">
        <f>IF(N993="","",MIN(F994:N994))</f>
        <v>4201.3500000000022</v>
      </c>
      <c r="Q992" s="62">
        <f>IF((N994=""),"",AVERAGE(F994:N994))</f>
        <v>4547.7533333333331</v>
      </c>
      <c r="R992" s="62">
        <f>IF((N993=""),"",(O992-P992)/(O992+P992)*100)</f>
        <v>10.140296505901551</v>
      </c>
      <c r="S992" s="139">
        <f>STDEV(F994:N994)</f>
        <v>301.57438999358044</v>
      </c>
      <c r="T992" s="5" t="str">
        <f>IF(N993="","",IF(R992&lt;16,IF(Q992&gt;3200,IF(R992,IF(Q992&lt;5240,"Pass","Fail"),"Fail"),"Fail")))</f>
        <v>Pass</v>
      </c>
      <c r="U992" s="149">
        <v>121</v>
      </c>
      <c r="V992" s="127"/>
      <c r="W992" s="11"/>
      <c r="X992" s="116">
        <v>4200</v>
      </c>
      <c r="Y992" s="116">
        <v>5500</v>
      </c>
      <c r="Z992" s="116">
        <v>3200</v>
      </c>
      <c r="AA992" s="116">
        <v>5240</v>
      </c>
      <c r="AB992" s="31">
        <v>16</v>
      </c>
      <c r="AC992" s="31">
        <v>16</v>
      </c>
    </row>
    <row r="993" spans="1:30" ht="15.6" x14ac:dyDescent="0.3">
      <c r="A993"/>
      <c r="B993" s="24"/>
      <c r="C993" s="6"/>
      <c r="D993" s="6"/>
      <c r="E993" s="61" t="s">
        <v>187</v>
      </c>
      <c r="F993" s="11">
        <v>22806.639999999999</v>
      </c>
      <c r="G993" s="11">
        <v>23282.21</v>
      </c>
      <c r="H993" s="11">
        <v>23359.9</v>
      </c>
      <c r="I993" s="11">
        <v>23283.52</v>
      </c>
      <c r="J993" s="11">
        <v>22862.44</v>
      </c>
      <c r="K993" s="11">
        <v>22947.93</v>
      </c>
      <c r="L993" s="11">
        <v>23298.080000000002</v>
      </c>
      <c r="M993" s="11">
        <v>23212.34</v>
      </c>
      <c r="N993" s="11">
        <v>22630.77</v>
      </c>
      <c r="O993" s="11"/>
      <c r="P993" s="61"/>
      <c r="Q993" s="62"/>
      <c r="R993" s="62"/>
      <c r="S993" s="139"/>
      <c r="T993" s="5"/>
      <c r="U993" s="140"/>
      <c r="V993" s="173"/>
      <c r="W993" s="11"/>
      <c r="X993" s="118"/>
      <c r="Y993" s="118"/>
      <c r="Z993" s="118"/>
      <c r="AA993" s="118"/>
    </row>
    <row r="994" spans="1:30" ht="23.4" thickBot="1" x14ac:dyDescent="0.35">
      <c r="A994"/>
      <c r="B994" s="63"/>
      <c r="C994" s="64"/>
      <c r="D994" s="64"/>
      <c r="E994" s="65" t="s">
        <v>188</v>
      </c>
      <c r="F994" s="53">
        <f t="shared" ref="F994:N994" si="326">IF(((F992="")*AND(F993="")),"",(F992-F993)*3)</f>
        <v>4828.9799999999996</v>
      </c>
      <c r="G994" s="53">
        <f t="shared" si="326"/>
        <v>4201.3500000000022</v>
      </c>
      <c r="H994" s="53">
        <f t="shared" si="326"/>
        <v>4374.3899999999921</v>
      </c>
      <c r="I994" s="53">
        <f t="shared" si="326"/>
        <v>4311.2700000000004</v>
      </c>
      <c r="J994" s="53">
        <f t="shared" si="326"/>
        <v>4669.2900000000009</v>
      </c>
      <c r="K994" s="53">
        <f t="shared" si="326"/>
        <v>4632.2999999999956</v>
      </c>
      <c r="L994" s="53">
        <f t="shared" si="326"/>
        <v>4342.4399999999987</v>
      </c>
      <c r="M994" s="53">
        <f t="shared" si="326"/>
        <v>4420.2000000000044</v>
      </c>
      <c r="N994" s="53">
        <f t="shared" si="326"/>
        <v>5149.5600000000013</v>
      </c>
      <c r="O994" s="65"/>
      <c r="P994" s="65"/>
      <c r="Q994" s="66"/>
      <c r="R994" s="66"/>
      <c r="S994" s="142"/>
      <c r="T994" s="143"/>
      <c r="U994" s="144"/>
      <c r="V994" s="173"/>
      <c r="W994" s="11"/>
      <c r="X994" s="118"/>
      <c r="Y994" s="118"/>
      <c r="Z994" s="118"/>
      <c r="AA994" s="118"/>
    </row>
    <row r="995" spans="1:30" x14ac:dyDescent="0.25">
      <c r="A995" s="207">
        <v>43556</v>
      </c>
      <c r="B995" s="219" t="s">
        <v>174</v>
      </c>
      <c r="C995" s="39" t="s">
        <v>176</v>
      </c>
      <c r="D995" s="39" t="s">
        <v>175</v>
      </c>
      <c r="E995" s="41" t="s">
        <v>186</v>
      </c>
      <c r="F995" s="11">
        <v>5095.32</v>
      </c>
      <c r="G995" s="11">
        <v>4974.83</v>
      </c>
      <c r="H995" s="11">
        <v>4977.04</v>
      </c>
      <c r="I995" s="11">
        <v>4943.42</v>
      </c>
      <c r="J995" s="11">
        <v>4985.07</v>
      </c>
      <c r="K995" s="11">
        <v>5106.37</v>
      </c>
      <c r="L995" s="11">
        <v>4970.26</v>
      </c>
      <c r="M995" s="11">
        <v>4987.3999999999996</v>
      </c>
      <c r="N995" s="11">
        <v>5073.51</v>
      </c>
      <c r="O995" s="59">
        <f>IF((N996=""),"",MAX(F997:N997))</f>
        <v>3950.579999999999</v>
      </c>
      <c r="P995" s="59">
        <f>IF(N996="","",MIN(F997:N997))</f>
        <v>3660.3999999999996</v>
      </c>
      <c r="Q995" s="60">
        <f>IF((N997=""),"",AVERAGE(F997:N997))</f>
        <v>3853.6977777777774</v>
      </c>
      <c r="R995" s="60">
        <f>IF((N996=""),"",(O995-P995)/(O995+P995)*100)</f>
        <v>3.8126496193656982</v>
      </c>
      <c r="S995" s="113">
        <f>STDEV(F997:N997)</f>
        <v>103.34393472499717</v>
      </c>
      <c r="T995" s="137" t="str">
        <f>IF(N996="","",IF(Q995&gt;3650,IF(R995&lt;7,IF(Q995&lt;4450,"Pass","Fail"),"Fail"),"Fail"))</f>
        <v>Pass</v>
      </c>
      <c r="U995" s="149">
        <v>1340</v>
      </c>
      <c r="V995" s="127"/>
      <c r="W995" s="11"/>
      <c r="X995" s="116">
        <v>3650</v>
      </c>
      <c r="Y995" s="116">
        <v>4450</v>
      </c>
      <c r="Z995" s="116">
        <v>3700</v>
      </c>
      <c r="AA995" s="116">
        <v>4100</v>
      </c>
      <c r="AB995" s="31">
        <v>7</v>
      </c>
      <c r="AC995" s="31">
        <v>6.5</v>
      </c>
    </row>
    <row r="996" spans="1:30" ht="15.6" x14ac:dyDescent="0.3">
      <c r="A996"/>
      <c r="B996" s="24"/>
      <c r="C996" s="6"/>
      <c r="D996" s="6"/>
      <c r="E996" s="61" t="s">
        <v>187</v>
      </c>
      <c r="F996" s="11">
        <v>3223.5</v>
      </c>
      <c r="G996" s="11">
        <v>3021.11</v>
      </c>
      <c r="H996" s="11">
        <v>3004.71</v>
      </c>
      <c r="I996" s="11">
        <v>2977.85</v>
      </c>
      <c r="J996" s="11">
        <v>3095.65</v>
      </c>
      <c r="K996" s="11">
        <v>3276.17</v>
      </c>
      <c r="L996" s="11">
        <v>3012.56</v>
      </c>
      <c r="M996" s="11">
        <v>3012.11</v>
      </c>
      <c r="N996" s="11">
        <v>3147.92</v>
      </c>
      <c r="O996" s="61"/>
      <c r="P996" s="61"/>
      <c r="Q996" s="62"/>
      <c r="R996" s="62"/>
      <c r="S996" s="139"/>
      <c r="T996" s="8"/>
      <c r="U996" s="146"/>
      <c r="V996" s="127"/>
      <c r="W996" s="11"/>
      <c r="X996" s="118"/>
      <c r="Y996" s="118"/>
      <c r="Z996" s="118"/>
      <c r="AA996" s="118"/>
    </row>
    <row r="997" spans="1:30" ht="23.4" thickBot="1" x14ac:dyDescent="0.35">
      <c r="A997"/>
      <c r="B997" s="24"/>
      <c r="C997" s="6"/>
      <c r="D997" s="6"/>
      <c r="E997" s="61" t="s">
        <v>188</v>
      </c>
      <c r="F997" s="40">
        <f t="shared" ref="F997:N997" si="327">IF(((F995="")*AND(F996="")),"",(F995-F996)*2)</f>
        <v>3743.6399999999994</v>
      </c>
      <c r="G997" s="40">
        <f t="shared" si="327"/>
        <v>3907.4399999999996</v>
      </c>
      <c r="H997" s="40">
        <f t="shared" si="327"/>
        <v>3944.66</v>
      </c>
      <c r="I997" s="40">
        <f t="shared" si="327"/>
        <v>3931.1400000000003</v>
      </c>
      <c r="J997" s="40">
        <f t="shared" si="327"/>
        <v>3778.8399999999992</v>
      </c>
      <c r="K997" s="40">
        <f t="shared" si="327"/>
        <v>3660.3999999999996</v>
      </c>
      <c r="L997" s="40">
        <f t="shared" si="327"/>
        <v>3915.4000000000005</v>
      </c>
      <c r="M997" s="40">
        <f t="shared" si="327"/>
        <v>3950.579999999999</v>
      </c>
      <c r="N997" s="40">
        <f t="shared" si="327"/>
        <v>3851.1800000000003</v>
      </c>
      <c r="O997" s="61"/>
      <c r="P997" s="61"/>
      <c r="Q997" s="62"/>
      <c r="R997" s="62"/>
      <c r="S997" s="139"/>
      <c r="T997" s="8"/>
      <c r="U997" s="146"/>
      <c r="V997" s="127"/>
      <c r="W997" s="11"/>
      <c r="X997" s="118"/>
      <c r="Y997" s="118"/>
      <c r="Z997" s="118"/>
      <c r="AA997" s="118"/>
    </row>
    <row r="998" spans="1:30" s="17" customFormat="1" x14ac:dyDescent="0.25">
      <c r="A998" s="207">
        <v>43556</v>
      </c>
      <c r="B998" s="215" t="s">
        <v>169</v>
      </c>
      <c r="C998" s="6" t="s">
        <v>171</v>
      </c>
      <c r="D998" s="6" t="s">
        <v>189</v>
      </c>
      <c r="E998" s="61" t="s">
        <v>186</v>
      </c>
      <c r="F998" s="11">
        <v>1955.66</v>
      </c>
      <c r="G998" s="11">
        <v>1954.47</v>
      </c>
      <c r="H998" s="11">
        <v>1949.4</v>
      </c>
      <c r="I998" s="11">
        <v>1947.01</v>
      </c>
      <c r="J998" s="11">
        <v>1953.23</v>
      </c>
      <c r="K998" s="11">
        <v>1958.07</v>
      </c>
      <c r="L998" s="11">
        <v>1946.31</v>
      </c>
      <c r="M998" s="11">
        <v>1949.97</v>
      </c>
      <c r="N998" s="11">
        <v>1953.87</v>
      </c>
      <c r="O998" s="61">
        <f>IF((N999=""),"",MAX(F1000:N1000))</f>
        <v>2034.84</v>
      </c>
      <c r="P998" s="61">
        <f>IF(N999="","",MIN(F1000:N1000))</f>
        <v>1966.1100000000004</v>
      </c>
      <c r="Q998" s="62">
        <f>IF((N1000=""),"",AVERAGE(F1000:N1000))</f>
        <v>2003.7333333333331</v>
      </c>
      <c r="R998" s="62">
        <f>IF((N999=""),"",(O998-P998)/(O998+P998)*100)</f>
        <v>1.7178420125220151</v>
      </c>
      <c r="S998" s="139">
        <f>STDEV(F1000:N1000)</f>
        <v>24.313132768115299</v>
      </c>
      <c r="T998" s="5" t="str">
        <f>IF(N999="","",IF(Q998&gt;1940,IF(R998&lt;8.3,IF(Q998&lt;2180,"Pass","Fail"),"Fail"),"Fail"))</f>
        <v>Pass</v>
      </c>
      <c r="U998" s="149">
        <v>1340</v>
      </c>
      <c r="V998" s="127"/>
      <c r="W998" s="11"/>
      <c r="X998" s="116">
        <v>2000</v>
      </c>
      <c r="Y998" s="116">
        <v>3000</v>
      </c>
      <c r="Z998" s="116">
        <v>1940</v>
      </c>
      <c r="AA998" s="116">
        <v>2180</v>
      </c>
      <c r="AB998" s="31">
        <v>5.2</v>
      </c>
      <c r="AC998" s="31">
        <v>5.2</v>
      </c>
      <c r="AD998" s="3"/>
    </row>
    <row r="999" spans="1:30" s="17" customFormat="1" ht="15.6" x14ac:dyDescent="0.3">
      <c r="A999"/>
      <c r="B999" s="24"/>
      <c r="C999" s="6"/>
      <c r="D999" s="6"/>
      <c r="E999" s="61" t="s">
        <v>187</v>
      </c>
      <c r="F999" s="11">
        <v>1285.76</v>
      </c>
      <c r="G999" s="11">
        <v>1276.19</v>
      </c>
      <c r="H999" s="11">
        <v>1273.92</v>
      </c>
      <c r="I999" s="11">
        <v>1280.22</v>
      </c>
      <c r="J999" s="11">
        <v>1297.8599999999999</v>
      </c>
      <c r="K999" s="11">
        <v>1295.29</v>
      </c>
      <c r="L999" s="11">
        <v>1282.93</v>
      </c>
      <c r="M999" s="11">
        <v>1271.83</v>
      </c>
      <c r="N999" s="11">
        <v>1292.79</v>
      </c>
      <c r="O999" s="61"/>
      <c r="P999" s="61"/>
      <c r="Q999" s="62"/>
      <c r="R999" s="62"/>
      <c r="S999" s="139"/>
      <c r="T999" s="5"/>
      <c r="U999" s="140"/>
      <c r="V999" s="173"/>
      <c r="W999" s="11"/>
      <c r="X999" s="118"/>
      <c r="Y999" s="118"/>
      <c r="Z999" s="118"/>
      <c r="AA999" s="118"/>
      <c r="AB999" s="11"/>
      <c r="AC999" s="11"/>
      <c r="AD999" s="3"/>
    </row>
    <row r="1000" spans="1:30" s="17" customFormat="1" ht="25.5" customHeight="1" thickBot="1" x14ac:dyDescent="0.35">
      <c r="A1000"/>
      <c r="B1000" s="24"/>
      <c r="C1000" s="6"/>
      <c r="D1000" s="6"/>
      <c r="E1000" s="61" t="s">
        <v>190</v>
      </c>
      <c r="F1000" s="40">
        <f t="shared" ref="F1000:N1000" si="328">IF(((F998="")*AND(F999="")),"",(F998-F999)*3)</f>
        <v>2009.7000000000003</v>
      </c>
      <c r="G1000" s="40">
        <f t="shared" si="328"/>
        <v>2034.84</v>
      </c>
      <c r="H1000" s="40">
        <f t="shared" si="328"/>
        <v>2026.44</v>
      </c>
      <c r="I1000" s="40">
        <f t="shared" si="328"/>
        <v>2000.37</v>
      </c>
      <c r="J1000" s="40">
        <f t="shared" si="328"/>
        <v>1966.1100000000004</v>
      </c>
      <c r="K1000" s="40">
        <f t="shared" si="328"/>
        <v>1988.34</v>
      </c>
      <c r="L1000" s="40">
        <f t="shared" si="328"/>
        <v>1990.1399999999996</v>
      </c>
      <c r="M1000" s="40">
        <f t="shared" si="328"/>
        <v>2034.4200000000003</v>
      </c>
      <c r="N1000" s="40">
        <f t="shared" si="328"/>
        <v>1983.2399999999998</v>
      </c>
      <c r="O1000" s="61"/>
      <c r="P1000" s="61"/>
      <c r="Q1000" s="62"/>
      <c r="R1000" s="62"/>
      <c r="S1000" s="139"/>
      <c r="T1000" s="5"/>
      <c r="U1000" s="140"/>
      <c r="V1000" s="173"/>
      <c r="W1000" s="11"/>
      <c r="X1000" s="118"/>
      <c r="Y1000" s="118"/>
      <c r="Z1000" s="118"/>
      <c r="AA1000" s="118"/>
      <c r="AB1000" s="11"/>
      <c r="AC1000" s="11"/>
      <c r="AD1000" s="3"/>
    </row>
    <row r="1001" spans="1:30" s="17" customFormat="1" x14ac:dyDescent="0.25">
      <c r="A1001" s="207">
        <v>43556</v>
      </c>
      <c r="B1001" s="218" t="s">
        <v>185</v>
      </c>
      <c r="C1001" s="6" t="s">
        <v>173</v>
      </c>
      <c r="D1001" s="6" t="s">
        <v>172</v>
      </c>
      <c r="E1001" s="61" t="s">
        <v>186</v>
      </c>
      <c r="F1001" s="11">
        <v>29250.91</v>
      </c>
      <c r="G1001" s="11">
        <v>29139.78</v>
      </c>
      <c r="H1001" s="11">
        <v>29115.360000000001</v>
      </c>
      <c r="I1001" s="11">
        <v>29156.240000000002</v>
      </c>
      <c r="J1001" s="11">
        <v>29203.64</v>
      </c>
      <c r="K1001" s="11">
        <v>29221.06</v>
      </c>
      <c r="L1001" s="11">
        <v>29138.95</v>
      </c>
      <c r="M1001" s="11">
        <v>29121.06</v>
      </c>
      <c r="N1001" s="11">
        <v>29250.58</v>
      </c>
      <c r="O1001" s="61">
        <f>IF((N1002=""),"",MAX(F1003:N1003))</f>
        <v>4770.1200000000026</v>
      </c>
      <c r="P1001" s="61">
        <f>IF(N1002="","",MIN(F1003:N1003))</f>
        <v>4110.6600000000035</v>
      </c>
      <c r="Q1001" s="62">
        <f>IF((N1003=""),"",AVERAGE(F1003:N1003))</f>
        <v>4401.4133333333339</v>
      </c>
      <c r="R1001" s="62">
        <f>IF((N1002=""),"",(O1001-P1001)/(O1001+P1001)*100)</f>
        <v>7.4256990939984853</v>
      </c>
      <c r="S1001" s="139">
        <f>STDEV(F1003:N1003)</f>
        <v>228.33768206321301</v>
      </c>
      <c r="T1001" s="5" t="str">
        <f>IF(N1002="","",IF(R1001&lt;16,IF(Q1001&gt;3200,IF(R1001,IF(Q1001&lt;5240,"Pass","Fail"),"Fail"),"Fail")))</f>
        <v>Pass</v>
      </c>
      <c r="U1001" s="149">
        <v>1340</v>
      </c>
      <c r="V1001" s="127"/>
      <c r="W1001" s="11"/>
      <c r="X1001" s="116">
        <v>4200</v>
      </c>
      <c r="Y1001" s="116">
        <v>5500</v>
      </c>
      <c r="Z1001" s="116">
        <v>3200</v>
      </c>
      <c r="AA1001" s="116">
        <v>5240</v>
      </c>
      <c r="AB1001" s="31">
        <v>16</v>
      </c>
      <c r="AC1001" s="31">
        <v>16</v>
      </c>
      <c r="AD1001" s="3"/>
    </row>
    <row r="1002" spans="1:30" s="17" customFormat="1" ht="15.6" x14ac:dyDescent="0.3">
      <c r="A1002"/>
      <c r="B1002" s="24"/>
      <c r="C1002" s="6"/>
      <c r="D1002" s="6"/>
      <c r="E1002" s="61" t="s">
        <v>187</v>
      </c>
      <c r="F1002" s="11">
        <v>27749.040000000001</v>
      </c>
      <c r="G1002" s="11">
        <v>27736.13</v>
      </c>
      <c r="H1002" s="11">
        <v>27697.73</v>
      </c>
      <c r="I1002" s="11">
        <v>27687.4</v>
      </c>
      <c r="J1002" s="11">
        <v>27710.18</v>
      </c>
      <c r="K1002" s="11">
        <v>27631.02</v>
      </c>
      <c r="L1002" s="11">
        <v>27740.83</v>
      </c>
      <c r="M1002" s="11">
        <v>27750.84</v>
      </c>
      <c r="N1002" s="11">
        <v>27690.17</v>
      </c>
      <c r="O1002" s="11"/>
      <c r="P1002" s="61"/>
      <c r="Q1002" s="62"/>
      <c r="R1002" s="62"/>
      <c r="S1002" s="139"/>
      <c r="T1002" s="5"/>
      <c r="U1002" s="140"/>
      <c r="V1002" s="173"/>
      <c r="W1002" s="11"/>
      <c r="X1002" s="118"/>
      <c r="Y1002" s="118"/>
      <c r="Z1002" s="118"/>
      <c r="AA1002" s="118"/>
      <c r="AB1002" s="11"/>
      <c r="AC1002" s="11"/>
      <c r="AD1002" s="3"/>
    </row>
    <row r="1003" spans="1:30" s="17" customFormat="1" ht="23.4" thickBot="1" x14ac:dyDescent="0.35">
      <c r="A1003"/>
      <c r="B1003" s="63"/>
      <c r="C1003" s="64"/>
      <c r="D1003" s="64"/>
      <c r="E1003" s="65" t="s">
        <v>188</v>
      </c>
      <c r="F1003" s="53">
        <f t="shared" ref="F1003:N1003" si="329">IF(((F1001="")*AND(F1002="")),"",(F1001-F1002)*3)</f>
        <v>4505.6099999999969</v>
      </c>
      <c r="G1003" s="53">
        <f t="shared" si="329"/>
        <v>4210.9499999999935</v>
      </c>
      <c r="H1003" s="53">
        <f t="shared" si="329"/>
        <v>4252.8900000000031</v>
      </c>
      <c r="I1003" s="53">
        <f t="shared" si="329"/>
        <v>4406.5200000000004</v>
      </c>
      <c r="J1003" s="53">
        <f t="shared" si="329"/>
        <v>4480.3799999999974</v>
      </c>
      <c r="K1003" s="53">
        <f t="shared" si="329"/>
        <v>4770.1200000000026</v>
      </c>
      <c r="L1003" s="53">
        <f t="shared" si="329"/>
        <v>4194.3599999999969</v>
      </c>
      <c r="M1003" s="53">
        <f t="shared" si="329"/>
        <v>4110.6600000000035</v>
      </c>
      <c r="N1003" s="53">
        <f t="shared" si="329"/>
        <v>4681.2300000000105</v>
      </c>
      <c r="O1003" s="65"/>
      <c r="P1003" s="65"/>
      <c r="Q1003" s="66"/>
      <c r="R1003" s="66"/>
      <c r="S1003" s="142"/>
      <c r="T1003" s="143"/>
      <c r="U1003" s="144"/>
      <c r="V1003" s="173"/>
      <c r="W1003" s="11"/>
      <c r="X1003" s="118"/>
      <c r="Y1003" s="118"/>
      <c r="Z1003" s="118"/>
      <c r="AA1003" s="118"/>
      <c r="AB1003" s="11"/>
      <c r="AC1003" s="11"/>
      <c r="AD1003" s="3"/>
    </row>
    <row r="1004" spans="1:30" s="17" customFormat="1" x14ac:dyDescent="0.25">
      <c r="A1004" s="207">
        <v>43559</v>
      </c>
      <c r="B1004" s="219" t="s">
        <v>174</v>
      </c>
      <c r="C1004" s="39" t="s">
        <v>176</v>
      </c>
      <c r="D1004" s="39" t="s">
        <v>175</v>
      </c>
      <c r="E1004" s="41" t="s">
        <v>186</v>
      </c>
      <c r="F1004" s="11">
        <v>3223.5</v>
      </c>
      <c r="G1004" s="11">
        <v>3021.11</v>
      </c>
      <c r="H1004" s="11">
        <v>3004.71</v>
      </c>
      <c r="I1004" s="11">
        <v>2977.85</v>
      </c>
      <c r="J1004" s="11">
        <v>3095.65</v>
      </c>
      <c r="K1004" s="11">
        <v>3276.17</v>
      </c>
      <c r="L1004" s="11">
        <v>3012.56</v>
      </c>
      <c r="M1004" s="11">
        <v>3012.11</v>
      </c>
      <c r="N1004" s="11">
        <v>3147.92</v>
      </c>
      <c r="O1004" s="59">
        <f>IF((N1005=""),"",MAX(F1006:N1006))</f>
        <v>3903.2400000000002</v>
      </c>
      <c r="P1004" s="59">
        <f>IF(N1005="","",MIN(F1006:N1006))</f>
        <v>3528.5200000000004</v>
      </c>
      <c r="Q1004" s="60">
        <f>IF((N1006=""),"",AVERAGE(F1006:N1006))</f>
        <v>3783.3111111111116</v>
      </c>
      <c r="R1004" s="60">
        <f>IF((N1005=""),"",(O1004-P1004)/(O1004+P1004)*100)</f>
        <v>5.042143449196419</v>
      </c>
      <c r="S1004" s="113">
        <f>STDEV(F1006:N1006)</f>
        <v>122.49340068391879</v>
      </c>
      <c r="T1004" s="137" t="str">
        <f>IF(N1005="","",IF(Q1004&gt;3650,IF(R1004&lt;7,IF(Q1004&lt;4450,"Pass","Fail"),"Fail"),"Fail"))</f>
        <v>Pass</v>
      </c>
      <c r="U1004" s="149">
        <v>1340</v>
      </c>
      <c r="V1004" s="127"/>
      <c r="W1004" s="11"/>
      <c r="X1004" s="116">
        <v>3650</v>
      </c>
      <c r="Y1004" s="116">
        <v>4450</v>
      </c>
      <c r="Z1004" s="116">
        <v>3700</v>
      </c>
      <c r="AA1004" s="116">
        <v>4100</v>
      </c>
      <c r="AB1004" s="31">
        <v>7</v>
      </c>
      <c r="AC1004" s="31">
        <v>6.5</v>
      </c>
      <c r="AD1004" s="3"/>
    </row>
    <row r="1005" spans="1:30" s="17" customFormat="1" ht="15.6" x14ac:dyDescent="0.3">
      <c r="A1005"/>
      <c r="B1005" s="24"/>
      <c r="C1005" s="6"/>
      <c r="D1005" s="6"/>
      <c r="E1005" s="61" t="s">
        <v>187</v>
      </c>
      <c r="F1005" s="11">
        <v>1337.31</v>
      </c>
      <c r="G1005" s="11">
        <v>1134.49</v>
      </c>
      <c r="H1005" s="11">
        <v>1053.0899999999999</v>
      </c>
      <c r="I1005" s="11">
        <v>1031.17</v>
      </c>
      <c r="J1005" s="11">
        <v>1212.43</v>
      </c>
      <c r="K1005" s="11">
        <v>1440.91</v>
      </c>
      <c r="L1005" s="11">
        <v>1077.43</v>
      </c>
      <c r="M1005" s="11">
        <v>1247.8499999999999</v>
      </c>
      <c r="N1005" s="11">
        <v>1212</v>
      </c>
      <c r="O1005" s="61"/>
      <c r="P1005" s="61"/>
      <c r="Q1005" s="62"/>
      <c r="R1005" s="62"/>
      <c r="S1005" s="139"/>
      <c r="T1005" s="8"/>
      <c r="U1005" s="146"/>
      <c r="V1005" s="127"/>
      <c r="W1005" s="11"/>
      <c r="X1005" s="118"/>
      <c r="Y1005" s="118"/>
      <c r="Z1005" s="118"/>
      <c r="AA1005" s="118"/>
      <c r="AB1005" s="11"/>
      <c r="AC1005" s="11"/>
      <c r="AD1005" s="3"/>
    </row>
    <row r="1006" spans="1:30" s="17" customFormat="1" ht="23.4" thickBot="1" x14ac:dyDescent="0.35">
      <c r="A1006"/>
      <c r="B1006" s="24"/>
      <c r="C1006" s="6"/>
      <c r="D1006" s="6"/>
      <c r="E1006" s="61" t="s">
        <v>188</v>
      </c>
      <c r="F1006" s="40">
        <f t="shared" ref="F1006:N1006" si="330">IF(((F1004="")*AND(F1005="")),"",(F1004-F1005)*2)</f>
        <v>3772.38</v>
      </c>
      <c r="G1006" s="40">
        <f t="shared" si="330"/>
        <v>3773.2400000000002</v>
      </c>
      <c r="H1006" s="40">
        <f t="shared" si="330"/>
        <v>3903.2400000000002</v>
      </c>
      <c r="I1006" s="40">
        <f t="shared" si="330"/>
        <v>3893.3599999999997</v>
      </c>
      <c r="J1006" s="40">
        <f t="shared" si="330"/>
        <v>3766.44</v>
      </c>
      <c r="K1006" s="40">
        <f t="shared" si="330"/>
        <v>3670.52</v>
      </c>
      <c r="L1006" s="40">
        <f t="shared" si="330"/>
        <v>3870.2599999999998</v>
      </c>
      <c r="M1006" s="40">
        <f t="shared" si="330"/>
        <v>3528.5200000000004</v>
      </c>
      <c r="N1006" s="40">
        <f t="shared" si="330"/>
        <v>3871.84</v>
      </c>
      <c r="O1006" s="61"/>
      <c r="P1006" s="61"/>
      <c r="Q1006" s="62"/>
      <c r="R1006" s="62"/>
      <c r="S1006" s="139"/>
      <c r="T1006" s="8"/>
      <c r="U1006" s="146"/>
      <c r="V1006" s="127"/>
      <c r="W1006" s="11"/>
      <c r="X1006" s="118"/>
      <c r="Y1006" s="118"/>
      <c r="Z1006" s="118"/>
      <c r="AA1006" s="118"/>
      <c r="AB1006" s="11"/>
      <c r="AC1006" s="11"/>
      <c r="AD1006" s="3"/>
    </row>
    <row r="1007" spans="1:30" s="17" customFormat="1" x14ac:dyDescent="0.25">
      <c r="A1007" s="207">
        <v>43559</v>
      </c>
      <c r="B1007" s="215" t="s">
        <v>169</v>
      </c>
      <c r="C1007" s="6" t="s">
        <v>171</v>
      </c>
      <c r="D1007" s="6" t="s">
        <v>189</v>
      </c>
      <c r="E1007" s="61" t="s">
        <v>186</v>
      </c>
      <c r="F1007" s="11">
        <v>1285.76</v>
      </c>
      <c r="G1007" s="11">
        <v>1276.19</v>
      </c>
      <c r="H1007" s="11">
        <v>1273.92</v>
      </c>
      <c r="I1007" s="11">
        <v>1280.22</v>
      </c>
      <c r="J1007" s="11">
        <v>1297.8599999999999</v>
      </c>
      <c r="K1007" s="11">
        <v>1295.29</v>
      </c>
      <c r="L1007" s="11">
        <v>1282.93</v>
      </c>
      <c r="M1007" s="11">
        <v>1271.83</v>
      </c>
      <c r="N1007" s="11">
        <v>1292.79</v>
      </c>
      <c r="O1007" s="61">
        <f>IF((N1008=""),"",MAX(F1009:N1009))</f>
        <v>2038.7399999999998</v>
      </c>
      <c r="P1007" s="61">
        <f>IF(N1008="","",MIN(F1009:N1009))</f>
        <v>1969.2299999999996</v>
      </c>
      <c r="Q1007" s="62">
        <f>IF((N1009=""),"",AVERAGE(F1009:N1009))</f>
        <v>2006.78</v>
      </c>
      <c r="R1007" s="62">
        <f>IF((N1008=""),"",(O1007-P1007)/(O1007+P1007)*100)</f>
        <v>1.7342944183714009</v>
      </c>
      <c r="S1007" s="139">
        <f>STDEV(F1009:N1009)</f>
        <v>24.195106943347145</v>
      </c>
      <c r="T1007" s="5" t="str">
        <f>IF(N1008="","",IF(Q1007&gt;1940,IF(R1007&lt;8.3,IF(Q1007&lt;2180,"Pass","Fail"),"Fail"),"Fail"))</f>
        <v>Pass</v>
      </c>
      <c r="U1007" s="149">
        <v>1340</v>
      </c>
      <c r="V1007" s="127"/>
      <c r="W1007" s="11"/>
      <c r="X1007" s="116">
        <v>2000</v>
      </c>
      <c r="Y1007" s="116">
        <v>3000</v>
      </c>
      <c r="Z1007" s="116">
        <v>1940</v>
      </c>
      <c r="AA1007" s="116">
        <v>2180</v>
      </c>
      <c r="AB1007" s="31">
        <v>5.2</v>
      </c>
      <c r="AC1007" s="31">
        <v>5.2</v>
      </c>
      <c r="AD1007" s="3"/>
    </row>
    <row r="1008" spans="1:30" s="17" customFormat="1" ht="15.6" x14ac:dyDescent="0.3">
      <c r="A1008"/>
      <c r="B1008" s="24"/>
      <c r="C1008" s="6"/>
      <c r="D1008" s="6"/>
      <c r="E1008" s="61" t="s">
        <v>187</v>
      </c>
      <c r="F1008" s="11">
        <v>616.32000000000005</v>
      </c>
      <c r="G1008" s="11">
        <v>597.66999999999996</v>
      </c>
      <c r="H1008" s="11">
        <v>607.16</v>
      </c>
      <c r="I1008" s="11">
        <v>607.04999999999995</v>
      </c>
      <c r="J1008" s="11">
        <v>641.45000000000005</v>
      </c>
      <c r="K1008" s="11">
        <v>627.17999999999995</v>
      </c>
      <c r="L1008" s="11">
        <v>612.07000000000005</v>
      </c>
      <c r="M1008" s="11">
        <v>592.25</v>
      </c>
      <c r="N1008" s="11">
        <v>635.29999999999995</v>
      </c>
      <c r="O1008" s="61"/>
      <c r="P1008" s="61"/>
      <c r="Q1008" s="62"/>
      <c r="R1008" s="62"/>
      <c r="S1008" s="139"/>
      <c r="T1008" s="5"/>
      <c r="U1008" s="140"/>
      <c r="V1008" s="173"/>
      <c r="W1008" s="11"/>
      <c r="X1008" s="118"/>
      <c r="Y1008" s="118"/>
      <c r="Z1008" s="118"/>
      <c r="AA1008" s="118"/>
      <c r="AB1008" s="11"/>
      <c r="AC1008" s="11"/>
      <c r="AD1008" s="3"/>
    </row>
    <row r="1009" spans="1:30" s="17" customFormat="1" ht="26.7" customHeight="1" thickBot="1" x14ac:dyDescent="0.35">
      <c r="A1009"/>
      <c r="B1009" s="24"/>
      <c r="C1009" s="6"/>
      <c r="D1009" s="6"/>
      <c r="E1009" s="61" t="s">
        <v>190</v>
      </c>
      <c r="F1009" s="40">
        <f t="shared" ref="F1009:N1009" si="331">IF(((F1007="")*AND(F1008="")),"",(F1007-F1008)*3)</f>
        <v>2008.3199999999997</v>
      </c>
      <c r="G1009" s="40">
        <f t="shared" si="331"/>
        <v>2035.5600000000004</v>
      </c>
      <c r="H1009" s="40">
        <f t="shared" si="331"/>
        <v>2000.2800000000002</v>
      </c>
      <c r="I1009" s="40">
        <f t="shared" si="331"/>
        <v>2019.5100000000002</v>
      </c>
      <c r="J1009" s="40">
        <f t="shared" si="331"/>
        <v>1969.2299999999996</v>
      </c>
      <c r="K1009" s="40">
        <f t="shared" si="331"/>
        <v>2004.33</v>
      </c>
      <c r="L1009" s="40">
        <f t="shared" si="331"/>
        <v>2012.58</v>
      </c>
      <c r="M1009" s="40">
        <f t="shared" si="331"/>
        <v>2038.7399999999998</v>
      </c>
      <c r="N1009" s="40">
        <f t="shared" si="331"/>
        <v>1972.47</v>
      </c>
      <c r="O1009" s="61"/>
      <c r="P1009" s="61"/>
      <c r="Q1009" s="62"/>
      <c r="R1009" s="62"/>
      <c r="S1009" s="139"/>
      <c r="T1009" s="5"/>
      <c r="U1009" s="140"/>
      <c r="V1009" s="173"/>
      <c r="W1009" s="11"/>
      <c r="X1009" s="118"/>
      <c r="Y1009" s="118"/>
      <c r="Z1009" s="118"/>
      <c r="AA1009" s="118"/>
      <c r="AB1009" s="11"/>
      <c r="AC1009" s="11"/>
      <c r="AD1009" s="3"/>
    </row>
    <row r="1010" spans="1:30" s="17" customFormat="1" x14ac:dyDescent="0.25">
      <c r="A1010" s="207">
        <v>43559</v>
      </c>
      <c r="B1010" s="218" t="s">
        <v>185</v>
      </c>
      <c r="C1010" s="6" t="s">
        <v>173</v>
      </c>
      <c r="D1010" s="6" t="s">
        <v>172</v>
      </c>
      <c r="E1010" s="61" t="s">
        <v>186</v>
      </c>
      <c r="F1010" s="11">
        <v>27749.040000000001</v>
      </c>
      <c r="G1010" s="11">
        <v>27736.13</v>
      </c>
      <c r="H1010" s="11">
        <v>27697.73</v>
      </c>
      <c r="I1010" s="11">
        <v>27687.4</v>
      </c>
      <c r="J1010" s="11">
        <v>27710.18</v>
      </c>
      <c r="K1010" s="11">
        <v>27631.02</v>
      </c>
      <c r="L1010" s="11">
        <v>27740.83</v>
      </c>
      <c r="M1010" s="11">
        <v>27750.84</v>
      </c>
      <c r="N1010" s="11">
        <v>27690.17</v>
      </c>
      <c r="O1010" s="61">
        <f>IF((N1011=""),"",MAX(F1012:N1012))</f>
        <v>5017.7700000000004</v>
      </c>
      <c r="P1010" s="61">
        <f>IF(N1011="","",MIN(F1012:N1012))</f>
        <v>4320.7199999999939</v>
      </c>
      <c r="Q1010" s="62">
        <f>IF((N1012=""),"",AVERAGE(F1012:N1012))</f>
        <v>4630.5733333333337</v>
      </c>
      <c r="R1010" s="62">
        <f>IF((N1011=""),"",(O1010-P1010)/(O1010+P1010)*100)</f>
        <v>7.4642688486040774</v>
      </c>
      <c r="S1010" s="139">
        <f>STDEV(F1012:N1012)</f>
        <v>257.69353634695563</v>
      </c>
      <c r="T1010" s="5" t="str">
        <f>IF(N1011="","",IF(R1010&lt;16,IF(Q1010&gt;3200,IF(R1010,IF(Q1010&lt;5240,"Pass","Fail"),"Fail"),"Fail")))</f>
        <v>Pass</v>
      </c>
      <c r="U1010" s="149">
        <v>1340</v>
      </c>
      <c r="V1010" s="127"/>
      <c r="W1010" s="11"/>
      <c r="X1010" s="116">
        <v>4200</v>
      </c>
      <c r="Y1010" s="116">
        <v>5500</v>
      </c>
      <c r="Z1010" s="116">
        <v>3200</v>
      </c>
      <c r="AA1010" s="116">
        <v>5240</v>
      </c>
      <c r="AB1010" s="31">
        <v>16</v>
      </c>
      <c r="AC1010" s="31">
        <v>16</v>
      </c>
      <c r="AD1010" s="3"/>
    </row>
    <row r="1011" spans="1:30" s="17" customFormat="1" ht="15.6" x14ac:dyDescent="0.3">
      <c r="A1011"/>
      <c r="B1011" s="24"/>
      <c r="C1011" s="6"/>
      <c r="D1011" s="6"/>
      <c r="E1011" s="61" t="s">
        <v>187</v>
      </c>
      <c r="F1011" s="11">
        <v>26085.25</v>
      </c>
      <c r="G1011" s="11">
        <v>26227.77</v>
      </c>
      <c r="H1011" s="11">
        <v>26257.49</v>
      </c>
      <c r="I1011" s="11">
        <v>26241.48</v>
      </c>
      <c r="J1011" s="11">
        <v>26037.59</v>
      </c>
      <c r="K1011" s="11">
        <v>26082.11</v>
      </c>
      <c r="L1011" s="11">
        <v>26242.42</v>
      </c>
      <c r="M1011" s="11">
        <v>26239.15</v>
      </c>
      <c r="N1011" s="11">
        <v>26088.36</v>
      </c>
      <c r="O1011" s="11"/>
      <c r="P1011" s="61"/>
      <c r="Q1011" s="62"/>
      <c r="R1011" s="62"/>
      <c r="S1011" s="139"/>
      <c r="T1011" s="5"/>
      <c r="U1011" s="140"/>
      <c r="V1011" s="173"/>
      <c r="W1011" s="11"/>
      <c r="X1011" s="118"/>
      <c r="Y1011" s="118"/>
      <c r="Z1011" s="118"/>
      <c r="AA1011" s="118"/>
      <c r="AB1011" s="11"/>
      <c r="AC1011" s="11"/>
      <c r="AD1011" s="3"/>
    </row>
    <row r="1012" spans="1:30" s="17" customFormat="1" ht="23.4" thickBot="1" x14ac:dyDescent="0.35">
      <c r="A1012"/>
      <c r="B1012" s="63"/>
      <c r="C1012" s="64"/>
      <c r="D1012" s="64"/>
      <c r="E1012" s="65" t="s">
        <v>188</v>
      </c>
      <c r="F1012" s="53">
        <f t="shared" ref="F1012:N1012" si="332">IF(((F1010="")*AND(F1011="")),"",(F1010-F1011)*3)</f>
        <v>4991.3700000000026</v>
      </c>
      <c r="G1012" s="53">
        <f t="shared" si="332"/>
        <v>4525.0800000000017</v>
      </c>
      <c r="H1012" s="53">
        <f t="shared" si="332"/>
        <v>4320.7199999999939</v>
      </c>
      <c r="I1012" s="53">
        <f t="shared" si="332"/>
        <v>4337.7600000000057</v>
      </c>
      <c r="J1012" s="53">
        <f t="shared" si="332"/>
        <v>5017.7700000000004</v>
      </c>
      <c r="K1012" s="53">
        <f t="shared" si="332"/>
        <v>4646.7299999999996</v>
      </c>
      <c r="L1012" s="53">
        <f t="shared" si="332"/>
        <v>4495.2300000000105</v>
      </c>
      <c r="M1012" s="53">
        <f t="shared" si="332"/>
        <v>4535.0699999999961</v>
      </c>
      <c r="N1012" s="53">
        <f t="shared" si="332"/>
        <v>4805.429999999993</v>
      </c>
      <c r="O1012" s="65"/>
      <c r="P1012" s="65"/>
      <c r="Q1012" s="66"/>
      <c r="R1012" s="66"/>
      <c r="S1012" s="142"/>
      <c r="T1012" s="143"/>
      <c r="U1012" s="144"/>
      <c r="V1012" s="173"/>
      <c r="W1012" s="11"/>
      <c r="X1012" s="118"/>
      <c r="Y1012" s="118"/>
      <c r="Z1012" s="118"/>
      <c r="AA1012" s="118"/>
      <c r="AB1012" s="11"/>
      <c r="AC1012" s="11"/>
      <c r="AD1012" s="3"/>
    </row>
    <row r="1013" spans="1:30" s="17" customFormat="1" x14ac:dyDescent="0.25">
      <c r="A1013" s="207">
        <v>43565</v>
      </c>
      <c r="B1013" s="219" t="s">
        <v>174</v>
      </c>
      <c r="C1013" s="39" t="s">
        <v>176</v>
      </c>
      <c r="D1013" s="39" t="s">
        <v>175</v>
      </c>
      <c r="E1013" s="41" t="s">
        <v>186</v>
      </c>
      <c r="F1013" s="11">
        <v>7047.1</v>
      </c>
      <c r="G1013" s="11">
        <v>7013.85</v>
      </c>
      <c r="H1013" s="11">
        <v>7042.53</v>
      </c>
      <c r="I1013" s="11">
        <v>6996.14</v>
      </c>
      <c r="J1013" s="11">
        <v>6944.66</v>
      </c>
      <c r="K1013" s="11">
        <v>7005.13</v>
      </c>
      <c r="L1013" s="11">
        <v>7002.94</v>
      </c>
      <c r="M1013" s="11">
        <v>7061.08</v>
      </c>
      <c r="N1013" s="11">
        <v>7087.6</v>
      </c>
      <c r="O1013" s="59">
        <f>IF((N1014=""),"",MAX(F1015:N1015))</f>
        <v>4010.9599999999991</v>
      </c>
      <c r="P1013" s="59">
        <f>IF(N1014="","",MIN(F1015:N1015))</f>
        <v>3649.6200000000008</v>
      </c>
      <c r="Q1013" s="60">
        <f>IF((N1015=""),"",AVERAGE(F1015:N1015))</f>
        <v>3898.4933333333342</v>
      </c>
      <c r="R1013" s="60">
        <f>IF((N1014=""),"",(O1013-P1013)/(O1013+P1013)*100)</f>
        <v>4.7168752235470199</v>
      </c>
      <c r="S1013" s="113">
        <f>STDEV(F1015:N1015)</f>
        <v>119.77308796219599</v>
      </c>
      <c r="T1013" s="137" t="str">
        <f>IF(N1014="","",IF(Q1013&gt;3650,IF(R1013&lt;7,IF(Q1013&lt;4450,"Pass","Fail"),"Fail"),"Fail"))</f>
        <v>Pass</v>
      </c>
      <c r="U1013" s="149">
        <v>1159</v>
      </c>
      <c r="V1013" s="11" t="s">
        <v>229</v>
      </c>
      <c r="X1013" s="116">
        <v>3650</v>
      </c>
      <c r="Y1013" s="116">
        <v>4450</v>
      </c>
      <c r="Z1013" s="116">
        <v>3700</v>
      </c>
      <c r="AA1013" s="116">
        <v>4100</v>
      </c>
      <c r="AB1013" s="31">
        <v>7</v>
      </c>
      <c r="AC1013" s="31">
        <v>6.5</v>
      </c>
      <c r="AD1013" s="3"/>
    </row>
    <row r="1014" spans="1:30" s="17" customFormat="1" ht="15.6" x14ac:dyDescent="0.3">
      <c r="A1014"/>
      <c r="B1014" s="24"/>
      <c r="C1014" s="6"/>
      <c r="D1014" s="6"/>
      <c r="E1014" s="61" t="s">
        <v>187</v>
      </c>
      <c r="F1014" s="11">
        <v>5153.8999999999996</v>
      </c>
      <c r="G1014" s="11">
        <v>5035.7299999999996</v>
      </c>
      <c r="H1014" s="11">
        <v>5045.49</v>
      </c>
      <c r="I1014" s="11">
        <v>5008.29</v>
      </c>
      <c r="J1014" s="11">
        <v>5029.7700000000004</v>
      </c>
      <c r="K1014" s="11">
        <v>5180.32</v>
      </c>
      <c r="L1014" s="11">
        <v>5022.6499999999996</v>
      </c>
      <c r="M1014" s="11">
        <v>5055.6000000000004</v>
      </c>
      <c r="N1014" s="11">
        <v>5126.0600000000004</v>
      </c>
      <c r="O1014" s="61"/>
      <c r="P1014" s="61"/>
      <c r="Q1014" s="62"/>
      <c r="R1014" s="62"/>
      <c r="S1014" s="139"/>
      <c r="T1014" s="8"/>
      <c r="U1014" s="146"/>
      <c r="V1014" s="11"/>
      <c r="X1014" s="118"/>
      <c r="Y1014" s="118"/>
      <c r="Z1014" s="118"/>
      <c r="AA1014" s="118"/>
      <c r="AB1014" s="11"/>
      <c r="AC1014" s="11"/>
      <c r="AD1014" s="3"/>
    </row>
    <row r="1015" spans="1:30" s="17" customFormat="1" ht="23.4" thickBot="1" x14ac:dyDescent="0.35">
      <c r="A1015"/>
      <c r="B1015" s="24"/>
      <c r="C1015" s="6"/>
      <c r="D1015" s="6"/>
      <c r="E1015" s="61" t="s">
        <v>188</v>
      </c>
      <c r="F1015" s="40">
        <f t="shared" ref="F1015:N1015" si="333">IF(((F1013="")*AND(F1014="")),"",(F1013-F1014)*2)</f>
        <v>3786.4000000000015</v>
      </c>
      <c r="G1015" s="40">
        <f t="shared" si="333"/>
        <v>3956.2400000000016</v>
      </c>
      <c r="H1015" s="40">
        <f t="shared" si="333"/>
        <v>3994.08</v>
      </c>
      <c r="I1015" s="40">
        <f t="shared" si="333"/>
        <v>3975.7000000000007</v>
      </c>
      <c r="J1015" s="40">
        <f t="shared" si="333"/>
        <v>3829.7799999999988</v>
      </c>
      <c r="K1015" s="40">
        <f t="shared" si="333"/>
        <v>3649.6200000000008</v>
      </c>
      <c r="L1015" s="40">
        <f t="shared" si="333"/>
        <v>3960.58</v>
      </c>
      <c r="M1015" s="40">
        <f t="shared" si="333"/>
        <v>4010.9599999999991</v>
      </c>
      <c r="N1015" s="40">
        <f t="shared" si="333"/>
        <v>3923.08</v>
      </c>
      <c r="O1015" s="61"/>
      <c r="P1015" s="61"/>
      <c r="Q1015" s="62"/>
      <c r="R1015" s="62"/>
      <c r="S1015" s="139"/>
      <c r="T1015" s="8"/>
      <c r="U1015" s="146"/>
      <c r="V1015" s="11"/>
      <c r="X1015" s="118"/>
      <c r="Y1015" s="118"/>
      <c r="Z1015" s="118"/>
      <c r="AA1015" s="118"/>
      <c r="AB1015" s="11"/>
      <c r="AC1015" s="11"/>
      <c r="AD1015" s="3"/>
    </row>
    <row r="1016" spans="1:30" s="17" customFormat="1" x14ac:dyDescent="0.25">
      <c r="A1016" s="207">
        <v>43565</v>
      </c>
      <c r="B1016" s="215" t="s">
        <v>169</v>
      </c>
      <c r="C1016" s="6" t="s">
        <v>171</v>
      </c>
      <c r="D1016" s="6" t="s">
        <v>189</v>
      </c>
      <c r="E1016" s="61" t="s">
        <v>186</v>
      </c>
      <c r="F1016" s="11">
        <v>1930.42</v>
      </c>
      <c r="G1016" s="11">
        <v>1926.41</v>
      </c>
      <c r="H1016" s="11">
        <v>1926.41</v>
      </c>
      <c r="I1016" s="11">
        <v>1932.38</v>
      </c>
      <c r="J1016" s="11">
        <v>1939.19</v>
      </c>
      <c r="K1016" s="11">
        <v>1935.73</v>
      </c>
      <c r="L1016" s="11">
        <v>1932.55</v>
      </c>
      <c r="M1016" s="11">
        <v>1924.3</v>
      </c>
      <c r="N1016" s="11">
        <v>1932.48</v>
      </c>
      <c r="O1016" s="61">
        <f>IF((N1017=""),"",MAX(F1018:N1018))</f>
        <v>2027.28</v>
      </c>
      <c r="P1016" s="61">
        <f>IF(N1017="","",MIN(F1018:N1018))</f>
        <v>1994.6700000000003</v>
      </c>
      <c r="Q1016" s="62">
        <f>IF((N1018=""),"",AVERAGE(F1018:N1018))</f>
        <v>2013.3600000000001</v>
      </c>
      <c r="R1016" s="62">
        <f>IF((N1017=""),"",(O1016-P1016)/(O1016+P1016)*100)</f>
        <v>0.81080073098869132</v>
      </c>
      <c r="S1016" s="139">
        <f>STDEV(F1018:N1018)</f>
        <v>12.033730718276791</v>
      </c>
      <c r="T1016" s="5" t="str">
        <f>IF(N1017="","",IF(Q1016&gt;1940,IF(R1016&lt;8.3,IF(Q1016&lt;2180,"Pass","Fail"),"Fail"),"Fail"))</f>
        <v>Pass</v>
      </c>
      <c r="U1016" s="149">
        <v>1159</v>
      </c>
      <c r="V1016" s="11" t="s">
        <v>229</v>
      </c>
      <c r="X1016" s="116">
        <v>2000</v>
      </c>
      <c r="Y1016" s="116">
        <v>3000</v>
      </c>
      <c r="Z1016" s="116">
        <v>1940</v>
      </c>
      <c r="AA1016" s="116">
        <v>2180</v>
      </c>
      <c r="AB1016" s="31">
        <v>5.2</v>
      </c>
      <c r="AC1016" s="31">
        <v>5.2</v>
      </c>
      <c r="AD1016" s="3"/>
    </row>
    <row r="1017" spans="1:30" s="17" customFormat="1" ht="15.6" x14ac:dyDescent="0.3">
      <c r="A1017"/>
      <c r="B1017" s="24"/>
      <c r="C1017" s="6"/>
      <c r="D1017" s="6"/>
      <c r="E1017" s="61" t="s">
        <v>187</v>
      </c>
      <c r="F1017" s="11">
        <v>1258.8900000000001</v>
      </c>
      <c r="G1017" s="11">
        <v>1252.6199999999999</v>
      </c>
      <c r="H1017" s="11">
        <v>1253.1400000000001</v>
      </c>
      <c r="I1017" s="11">
        <v>1257.8900000000001</v>
      </c>
      <c r="J1017" s="11">
        <v>1273.99</v>
      </c>
      <c r="K1017" s="11">
        <v>1267.33</v>
      </c>
      <c r="L1017" s="11">
        <v>1256.79</v>
      </c>
      <c r="M1017" s="11">
        <v>1251.55</v>
      </c>
      <c r="N1017" s="11">
        <v>1267.5899999999999</v>
      </c>
      <c r="O1017" s="61"/>
      <c r="P1017" s="61"/>
      <c r="Q1017" s="62"/>
      <c r="R1017" s="62"/>
      <c r="S1017" s="139"/>
      <c r="T1017" s="5"/>
      <c r="U1017" s="140"/>
      <c r="V1017" s="11"/>
      <c r="X1017" s="118"/>
      <c r="Y1017" s="118"/>
      <c r="Z1017" s="118"/>
      <c r="AA1017" s="118"/>
      <c r="AB1017" s="11"/>
      <c r="AC1017" s="11"/>
      <c r="AD1017" s="3"/>
    </row>
    <row r="1018" spans="1:30" s="17" customFormat="1" ht="26.7" customHeight="1" thickBot="1" x14ac:dyDescent="0.35">
      <c r="A1018"/>
      <c r="B1018" s="24"/>
      <c r="C1018" s="6"/>
      <c r="D1018" s="6"/>
      <c r="E1018" s="61" t="s">
        <v>190</v>
      </c>
      <c r="F1018" s="40">
        <f t="shared" ref="F1018:N1018" si="334">IF(((F1016="")*AND(F1017="")),"",(F1016-F1017)*3)</f>
        <v>2014.59</v>
      </c>
      <c r="G1018" s="40">
        <f t="shared" si="334"/>
        <v>2021.3700000000006</v>
      </c>
      <c r="H1018" s="40">
        <f t="shared" si="334"/>
        <v>2019.81</v>
      </c>
      <c r="I1018" s="40">
        <f t="shared" si="334"/>
        <v>2023.47</v>
      </c>
      <c r="J1018" s="40">
        <f t="shared" si="334"/>
        <v>1995.6000000000001</v>
      </c>
      <c r="K1018" s="40">
        <f t="shared" si="334"/>
        <v>2005.2000000000003</v>
      </c>
      <c r="L1018" s="40">
        <f t="shared" si="334"/>
        <v>2027.28</v>
      </c>
      <c r="M1018" s="40">
        <f t="shared" si="334"/>
        <v>2018.25</v>
      </c>
      <c r="N1018" s="40">
        <f t="shared" si="334"/>
        <v>1994.6700000000003</v>
      </c>
      <c r="O1018" s="61"/>
      <c r="P1018" s="61"/>
      <c r="Q1018" s="62"/>
      <c r="R1018" s="62"/>
      <c r="S1018" s="139"/>
      <c r="T1018" s="5"/>
      <c r="U1018" s="140"/>
      <c r="V1018" s="11"/>
      <c r="X1018" s="118"/>
      <c r="Y1018" s="118"/>
      <c r="Z1018" s="118"/>
      <c r="AA1018" s="118"/>
      <c r="AB1018" s="11"/>
      <c r="AC1018" s="11"/>
      <c r="AD1018" s="3"/>
    </row>
    <row r="1019" spans="1:30" s="17" customFormat="1" x14ac:dyDescent="0.25">
      <c r="A1019" s="207">
        <v>43565</v>
      </c>
      <c r="B1019" s="218" t="s">
        <v>185</v>
      </c>
      <c r="C1019" s="6" t="s">
        <v>173</v>
      </c>
      <c r="D1019" s="6" t="s">
        <v>172</v>
      </c>
      <c r="E1019" s="61" t="s">
        <v>186</v>
      </c>
      <c r="F1019" s="11">
        <v>25983.01</v>
      </c>
      <c r="G1019" s="11">
        <v>26158.89</v>
      </c>
      <c r="H1019" s="11">
        <v>26168.31</v>
      </c>
      <c r="I1019" s="11">
        <v>26140.03</v>
      </c>
      <c r="J1019" s="11">
        <v>25953.34</v>
      </c>
      <c r="K1019" s="11">
        <v>25989.21</v>
      </c>
      <c r="L1019" s="11">
        <v>26126.95</v>
      </c>
      <c r="M1019" s="11">
        <v>26123.39</v>
      </c>
      <c r="N1019" s="11">
        <v>26006.82</v>
      </c>
      <c r="O1019" s="61">
        <f>IF((N1020=""),"",MAX(F1021:N1021))</f>
        <v>4732.5299999999952</v>
      </c>
      <c r="P1019" s="61">
        <f>IF(N1020="","",MIN(F1021:N1021))</f>
        <v>4071.6600000000035</v>
      </c>
      <c r="Q1019" s="62">
        <f>IF((N1021=""),"",AVERAGE(F1021:N1021))</f>
        <v>4363.7999999999984</v>
      </c>
      <c r="R1019" s="62">
        <f>IF((N1020=""),"",(O1019-P1019)/(O1019+P1019)*100)</f>
        <v>7.5063123353765864</v>
      </c>
      <c r="S1019" s="139">
        <f>STDEV(F1021:N1021)</f>
        <v>238.94732060644316</v>
      </c>
      <c r="T1019" s="5" t="str">
        <f>IF(N1020="","",IF(R1019&lt;16,IF(Q1019&gt;3200,IF(R1019,IF(Q1019&lt;5240,"Pass","Fail"),"Fail"),"Fail")))</f>
        <v>Pass</v>
      </c>
      <c r="U1019" s="149">
        <v>1159</v>
      </c>
      <c r="V1019" s="11" t="s">
        <v>229</v>
      </c>
      <c r="X1019" s="116">
        <v>4200</v>
      </c>
      <c r="Y1019" s="116">
        <v>5500</v>
      </c>
      <c r="Z1019" s="116">
        <v>3200</v>
      </c>
      <c r="AA1019" s="116">
        <v>5240</v>
      </c>
      <c r="AB1019" s="31">
        <v>16</v>
      </c>
      <c r="AC1019" s="31">
        <v>16</v>
      </c>
      <c r="AD1019" s="3"/>
    </row>
    <row r="1020" spans="1:30" s="17" customFormat="1" ht="15.6" x14ac:dyDescent="0.3">
      <c r="A1020"/>
      <c r="B1020" s="24"/>
      <c r="C1020" s="6"/>
      <c r="D1020" s="6"/>
      <c r="E1020" s="61" t="s">
        <v>187</v>
      </c>
      <c r="F1020" s="11">
        <v>24462.22</v>
      </c>
      <c r="G1020" s="11">
        <v>24757.34</v>
      </c>
      <c r="H1020" s="11">
        <v>24811.09</v>
      </c>
      <c r="I1020" s="11">
        <v>24751.48</v>
      </c>
      <c r="J1020" s="11">
        <v>24425.15</v>
      </c>
      <c r="K1020" s="11">
        <v>24478.74</v>
      </c>
      <c r="L1020" s="11">
        <v>24702.69</v>
      </c>
      <c r="M1020" s="11">
        <v>24740.53</v>
      </c>
      <c r="N1020" s="11">
        <v>24429.31</v>
      </c>
      <c r="O1020" s="11"/>
      <c r="P1020" s="61"/>
      <c r="Q1020" s="62"/>
      <c r="R1020" s="62"/>
      <c r="S1020" s="139"/>
      <c r="T1020" s="5"/>
      <c r="U1020" s="140"/>
      <c r="V1020" s="11"/>
      <c r="X1020" s="118"/>
      <c r="Y1020" s="118"/>
      <c r="Z1020" s="118"/>
      <c r="AA1020" s="118"/>
      <c r="AB1020" s="11"/>
      <c r="AC1020" s="11"/>
      <c r="AD1020" s="3"/>
    </row>
    <row r="1021" spans="1:30" s="17" customFormat="1" ht="23.4" thickBot="1" x14ac:dyDescent="0.35">
      <c r="A1021"/>
      <c r="B1021" s="67"/>
      <c r="C1021" s="46"/>
      <c r="D1021" s="46"/>
      <c r="E1021" s="48" t="s">
        <v>188</v>
      </c>
      <c r="F1021" s="45">
        <f t="shared" ref="F1021:N1021" si="335">IF(((F1019="")*AND(F1020="")),"",(F1019-F1020)*3)</f>
        <v>4562.3699999999917</v>
      </c>
      <c r="G1021" s="45">
        <f t="shared" si="335"/>
        <v>4204.6499999999978</v>
      </c>
      <c r="H1021" s="45">
        <f t="shared" si="335"/>
        <v>4071.6600000000035</v>
      </c>
      <c r="I1021" s="45">
        <f t="shared" si="335"/>
        <v>4165.6499999999978</v>
      </c>
      <c r="J1021" s="45">
        <f t="shared" si="335"/>
        <v>4584.5699999999961</v>
      </c>
      <c r="K1021" s="45">
        <f t="shared" si="335"/>
        <v>4531.4099999999926</v>
      </c>
      <c r="L1021" s="45">
        <f t="shared" si="335"/>
        <v>4272.7800000000061</v>
      </c>
      <c r="M1021" s="45">
        <f t="shared" si="335"/>
        <v>4148.5800000000017</v>
      </c>
      <c r="N1021" s="45">
        <f t="shared" si="335"/>
        <v>4732.5299999999952</v>
      </c>
      <c r="O1021" s="48"/>
      <c r="P1021" s="48"/>
      <c r="Q1021" s="49"/>
      <c r="R1021" s="49"/>
      <c r="S1021" s="147"/>
      <c r="T1021" s="121"/>
      <c r="U1021" s="148"/>
      <c r="V1021" s="11"/>
      <c r="X1021" s="118"/>
      <c r="Y1021" s="118"/>
      <c r="Z1021" s="118"/>
      <c r="AA1021" s="118"/>
      <c r="AB1021" s="11"/>
      <c r="AC1021" s="11"/>
      <c r="AD1021" s="3"/>
    </row>
    <row r="1022" spans="1:30" s="17" customFormat="1" x14ac:dyDescent="0.25">
      <c r="A1022" s="209">
        <v>43568</v>
      </c>
      <c r="B1022" s="217" t="s">
        <v>174</v>
      </c>
      <c r="C1022" s="44" t="s">
        <v>176</v>
      </c>
      <c r="D1022" s="44" t="s">
        <v>175</v>
      </c>
      <c r="E1022" s="59" t="s">
        <v>186</v>
      </c>
      <c r="F1022" s="126">
        <v>5162.29</v>
      </c>
      <c r="G1022" s="126">
        <v>5043.22</v>
      </c>
      <c r="H1022" s="126">
        <v>5052.78</v>
      </c>
      <c r="I1022" s="126">
        <v>5015.88</v>
      </c>
      <c r="J1022" s="126">
        <v>5037.63</v>
      </c>
      <c r="K1022" s="126">
        <v>5188.75</v>
      </c>
      <c r="L1022" s="126">
        <v>5030.34</v>
      </c>
      <c r="M1022" s="126">
        <v>5062.71</v>
      </c>
      <c r="N1022" s="126">
        <v>5133.8999999999996</v>
      </c>
      <c r="O1022" s="59">
        <f>IF((N1023=""),"",MAX(F1024:N1024))</f>
        <v>4069.34</v>
      </c>
      <c r="P1022" s="59">
        <f>IF(N1023="","",MIN(F1024:N1024))</f>
        <v>3767.1000000000004</v>
      </c>
      <c r="Q1022" s="60">
        <f>IF((N1024=""),"",AVERAGE(F1024:N1024))</f>
        <v>3910.2555555555559</v>
      </c>
      <c r="R1022" s="60">
        <f>IF((N1023=""),"",(O1022-P1022)/(O1022+P1022)*100)</f>
        <v>3.8568533670901552</v>
      </c>
      <c r="S1022" s="131">
        <f>STDEV(F1024:N1024)</f>
        <v>94.928268591488546</v>
      </c>
      <c r="T1022" s="137" t="str">
        <f>IF(N1023="","",IF(Q1022&gt;3650,IF(R1022&lt;7,IF(Q1022&lt;4450,"Pass","Fail"),"Fail"),"Fail"))</f>
        <v>Pass</v>
      </c>
      <c r="U1022" s="149">
        <v>1159</v>
      </c>
      <c r="V1022" s="127"/>
      <c r="W1022" s="353"/>
      <c r="X1022" s="116">
        <v>3650</v>
      </c>
      <c r="Y1022" s="116">
        <v>4450</v>
      </c>
      <c r="Z1022" s="116">
        <v>3700</v>
      </c>
      <c r="AA1022" s="116">
        <v>4100</v>
      </c>
      <c r="AB1022" s="31">
        <v>7</v>
      </c>
      <c r="AC1022" s="31">
        <v>6.5</v>
      </c>
      <c r="AD1022" s="3"/>
    </row>
    <row r="1023" spans="1:30" s="17" customFormat="1" ht="15.6" x14ac:dyDescent="0.3">
      <c r="A1023" s="212"/>
      <c r="B1023" s="24"/>
      <c r="C1023" s="6"/>
      <c r="D1023" s="6"/>
      <c r="E1023" s="61" t="s">
        <v>187</v>
      </c>
      <c r="F1023" s="127">
        <v>3273.38</v>
      </c>
      <c r="G1023" s="127">
        <v>3075.52</v>
      </c>
      <c r="H1023" s="127">
        <v>3074.54</v>
      </c>
      <c r="I1023" s="127">
        <v>3050.66</v>
      </c>
      <c r="J1023" s="127">
        <v>3154.08</v>
      </c>
      <c r="K1023" s="127">
        <v>3154.08</v>
      </c>
      <c r="L1023" s="127">
        <v>3068.56</v>
      </c>
      <c r="M1023" s="127">
        <v>3078.86</v>
      </c>
      <c r="N1023" s="127">
        <v>3201.67</v>
      </c>
      <c r="O1023" s="61"/>
      <c r="P1023" s="61"/>
      <c r="Q1023" s="62"/>
      <c r="R1023" s="62"/>
      <c r="S1023" s="139"/>
      <c r="T1023" s="8"/>
      <c r="U1023" s="146"/>
      <c r="V1023" s="127"/>
      <c r="W1023" s="353"/>
      <c r="X1023" s="118"/>
      <c r="Y1023" s="118"/>
      <c r="Z1023" s="118"/>
      <c r="AA1023" s="118"/>
      <c r="AB1023" s="11"/>
      <c r="AC1023" s="11"/>
      <c r="AD1023" s="3"/>
    </row>
    <row r="1024" spans="1:30" s="17" customFormat="1" ht="23.4" thickBot="1" x14ac:dyDescent="0.35">
      <c r="A1024" s="212"/>
      <c r="B1024" s="24"/>
      <c r="C1024" s="6"/>
      <c r="D1024" s="6"/>
      <c r="E1024" s="61" t="s">
        <v>188</v>
      </c>
      <c r="F1024" s="40">
        <f t="shared" ref="F1024:N1024" si="336">IF(((F1022="")*AND(F1023="")),"",(F1022-F1023)*2)</f>
        <v>3777.8199999999997</v>
      </c>
      <c r="G1024" s="40">
        <f t="shared" si="336"/>
        <v>3935.4000000000005</v>
      </c>
      <c r="H1024" s="40">
        <f t="shared" si="336"/>
        <v>3956.4799999999996</v>
      </c>
      <c r="I1024" s="40">
        <f t="shared" si="336"/>
        <v>3930.4400000000005</v>
      </c>
      <c r="J1024" s="40">
        <f t="shared" si="336"/>
        <v>3767.1000000000004</v>
      </c>
      <c r="K1024" s="40">
        <f t="shared" si="336"/>
        <v>4069.34</v>
      </c>
      <c r="L1024" s="40">
        <f t="shared" si="336"/>
        <v>3923.5600000000004</v>
      </c>
      <c r="M1024" s="40">
        <f t="shared" si="336"/>
        <v>3967.7</v>
      </c>
      <c r="N1024" s="40">
        <f t="shared" si="336"/>
        <v>3864.4599999999991</v>
      </c>
      <c r="O1024" s="61"/>
      <c r="P1024" s="61"/>
      <c r="Q1024" s="62"/>
      <c r="R1024" s="62"/>
      <c r="S1024" s="139"/>
      <c r="T1024" s="8"/>
      <c r="U1024" s="146"/>
      <c r="V1024" s="127"/>
      <c r="W1024" s="353"/>
      <c r="X1024" s="118"/>
      <c r="Y1024" s="118"/>
      <c r="Z1024" s="118"/>
      <c r="AA1024" s="118"/>
      <c r="AB1024" s="11"/>
      <c r="AC1024" s="11"/>
      <c r="AD1024" s="3"/>
    </row>
    <row r="1025" spans="1:30" s="17" customFormat="1" x14ac:dyDescent="0.25">
      <c r="A1025" s="207">
        <v>43568</v>
      </c>
      <c r="B1025" s="215" t="s">
        <v>169</v>
      </c>
      <c r="C1025" s="6" t="s">
        <v>171</v>
      </c>
      <c r="D1025" s="6" t="s">
        <v>189</v>
      </c>
      <c r="E1025" s="61" t="s">
        <v>186</v>
      </c>
      <c r="F1025" s="127">
        <v>1265.31</v>
      </c>
      <c r="G1025" s="127">
        <v>1255.78</v>
      </c>
      <c r="H1025" s="127">
        <v>1258.3699999999999</v>
      </c>
      <c r="I1025" s="127">
        <v>1262.32</v>
      </c>
      <c r="J1025" s="127">
        <v>1278.3800000000001</v>
      </c>
      <c r="K1025" s="127">
        <v>1270.97</v>
      </c>
      <c r="L1025" s="127">
        <v>1259.47</v>
      </c>
      <c r="M1025" s="127">
        <v>1255.24</v>
      </c>
      <c r="N1025" s="127">
        <v>1271.29</v>
      </c>
      <c r="O1025" s="61">
        <f>IF((N1026=""),"",MAX(F1027:N1027))</f>
        <v>2055.2999999999997</v>
      </c>
      <c r="P1025" s="61">
        <f>IF(N1026="","",MIN(F1027:N1027))</f>
        <v>2003.1</v>
      </c>
      <c r="Q1025" s="62">
        <f>IF((N1027=""),"",AVERAGE(F1027:N1027))</f>
        <v>2035.0033333333331</v>
      </c>
      <c r="R1025" s="62">
        <f>IF((N1026=""),"",(O1025-P1025)/(O1025+P1025)*100)</f>
        <v>1.2862211709047857</v>
      </c>
      <c r="S1025" s="139">
        <f>STDEV(F1027:N1027)</f>
        <v>17.03034570993783</v>
      </c>
      <c r="T1025" s="5" t="str">
        <f>IF(N1026="","",IF(Q1025&gt;1940,IF(R1025&lt;8.3,IF(Q1025&lt;2180,"Pass","Fail"),"Fail"),"Fail"))</f>
        <v>Pass</v>
      </c>
      <c r="U1025" s="149">
        <v>1428</v>
      </c>
      <c r="V1025" s="127"/>
      <c r="W1025" s="353"/>
      <c r="X1025" s="116">
        <v>2000</v>
      </c>
      <c r="Y1025" s="116">
        <v>3000</v>
      </c>
      <c r="Z1025" s="116">
        <v>1940</v>
      </c>
      <c r="AA1025" s="116">
        <v>2180</v>
      </c>
      <c r="AB1025" s="31">
        <v>5.2</v>
      </c>
      <c r="AC1025" s="31">
        <v>5.2</v>
      </c>
      <c r="AD1025" s="3"/>
    </row>
    <row r="1026" spans="1:30" s="17" customFormat="1" ht="15.6" x14ac:dyDescent="0.3">
      <c r="A1026" s="212"/>
      <c r="B1026" s="24"/>
      <c r="C1026" s="6"/>
      <c r="D1026" s="6"/>
      <c r="E1026" s="61" t="s">
        <v>187</v>
      </c>
      <c r="F1026" s="127">
        <v>590.33000000000004</v>
      </c>
      <c r="G1026" s="127">
        <v>573.82000000000005</v>
      </c>
      <c r="H1026" s="127">
        <v>578.91999999999996</v>
      </c>
      <c r="I1026" s="127">
        <v>577.22</v>
      </c>
      <c r="J1026" s="127">
        <v>602.41</v>
      </c>
      <c r="K1026" s="127">
        <v>597.29</v>
      </c>
      <c r="L1026" s="127">
        <v>577.05999999999995</v>
      </c>
      <c r="M1026" s="127">
        <v>571.48</v>
      </c>
      <c r="N1026" s="127">
        <v>603.59</v>
      </c>
      <c r="O1026" s="61"/>
      <c r="P1026" s="61"/>
      <c r="Q1026" s="62"/>
      <c r="R1026" s="62"/>
      <c r="S1026" s="139"/>
      <c r="T1026" s="5"/>
      <c r="U1026" s="140"/>
      <c r="V1026" s="173"/>
      <c r="W1026" s="353"/>
      <c r="X1026" s="118"/>
      <c r="Y1026" s="118"/>
      <c r="Z1026" s="118"/>
      <c r="AA1026" s="118"/>
      <c r="AB1026" s="11"/>
      <c r="AC1026" s="11"/>
      <c r="AD1026" s="3"/>
    </row>
    <row r="1027" spans="1:30" s="17" customFormat="1" ht="27.15" customHeight="1" thickBot="1" x14ac:dyDescent="0.35">
      <c r="A1027" s="212"/>
      <c r="B1027" s="24"/>
      <c r="C1027" s="6"/>
      <c r="D1027" s="6"/>
      <c r="E1027" s="61" t="s">
        <v>190</v>
      </c>
      <c r="F1027" s="40">
        <f t="shared" ref="F1027:N1027" si="337">IF(((F1025="")*AND(F1026="")),"",(F1025-F1026)*3)</f>
        <v>2024.9399999999996</v>
      </c>
      <c r="G1027" s="40">
        <f t="shared" si="337"/>
        <v>2045.8799999999997</v>
      </c>
      <c r="H1027" s="40">
        <f t="shared" si="337"/>
        <v>2038.35</v>
      </c>
      <c r="I1027" s="40">
        <f t="shared" si="337"/>
        <v>2055.2999999999997</v>
      </c>
      <c r="J1027" s="40">
        <f t="shared" si="337"/>
        <v>2027.9100000000003</v>
      </c>
      <c r="K1027" s="40">
        <f t="shared" si="337"/>
        <v>2021.0400000000002</v>
      </c>
      <c r="L1027" s="40">
        <f t="shared" si="337"/>
        <v>2047.2300000000002</v>
      </c>
      <c r="M1027" s="40">
        <f t="shared" si="337"/>
        <v>2051.2799999999997</v>
      </c>
      <c r="N1027" s="40">
        <f t="shared" si="337"/>
        <v>2003.1</v>
      </c>
      <c r="O1027" s="61"/>
      <c r="P1027" s="61"/>
      <c r="Q1027" s="62"/>
      <c r="R1027" s="62"/>
      <c r="S1027" s="139"/>
      <c r="T1027" s="5"/>
      <c r="U1027" s="140"/>
      <c r="V1027" s="173"/>
      <c r="W1027" s="353"/>
      <c r="X1027" s="118"/>
      <c r="Y1027" s="118"/>
      <c r="Z1027" s="118"/>
      <c r="AA1027" s="118"/>
      <c r="AB1027" s="11"/>
      <c r="AC1027" s="11"/>
      <c r="AD1027" s="3"/>
    </row>
    <row r="1028" spans="1:30" s="17" customFormat="1" x14ac:dyDescent="0.25">
      <c r="A1028" s="207">
        <v>43568</v>
      </c>
      <c r="B1028" s="218" t="s">
        <v>185</v>
      </c>
      <c r="C1028" s="6" t="s">
        <v>173</v>
      </c>
      <c r="D1028" s="6" t="s">
        <v>172</v>
      </c>
      <c r="E1028" s="61" t="s">
        <v>186</v>
      </c>
      <c r="F1028" s="127">
        <v>25983.01</v>
      </c>
      <c r="G1028" s="127">
        <v>26158.89</v>
      </c>
      <c r="H1028" s="127">
        <v>26168.31</v>
      </c>
      <c r="I1028" s="127">
        <v>26140.03</v>
      </c>
      <c r="J1028" s="127">
        <v>25953.34</v>
      </c>
      <c r="K1028" s="127">
        <v>25989.21</v>
      </c>
      <c r="L1028" s="127">
        <v>26126.95</v>
      </c>
      <c r="M1028" s="127">
        <v>26123.39</v>
      </c>
      <c r="N1028" s="127">
        <v>26006.82</v>
      </c>
      <c r="O1028" s="61">
        <f>IF((N1029=""),"",MAX(F1030:N1030))</f>
        <v>9298.5599999999904</v>
      </c>
      <c r="P1028" s="61">
        <f>IF(N1029="","",MIN(F1030:N1030))</f>
        <v>8017.5600000000013</v>
      </c>
      <c r="Q1028" s="62">
        <f>IF((N1030=""),"",AVERAGE(F1030:N1030))</f>
        <v>8729.9066666666677</v>
      </c>
      <c r="R1028" s="62">
        <f>IF((N1029=""),"",(O1028-P1028)/(O1028+P1028)*100)</f>
        <v>7.3977311314543313</v>
      </c>
      <c r="S1028" s="139">
        <f>STDEV(F1030:N1030)</f>
        <v>479.90423992709123</v>
      </c>
      <c r="T1028" s="5" t="str">
        <f>IF(N1029="","",IF(R1028&lt;16,IF(Q1028&gt;3200,IF(R1028,IF(Q1028&lt;5240,"Pass","Fail"),"Fail"),"Fail")))</f>
        <v>Fail</v>
      </c>
      <c r="U1028" s="149">
        <v>1428</v>
      </c>
      <c r="V1028" s="127"/>
      <c r="W1028" s="353"/>
      <c r="X1028" s="116">
        <v>4200</v>
      </c>
      <c r="Y1028" s="116">
        <v>5500</v>
      </c>
      <c r="Z1028" s="116">
        <v>3200</v>
      </c>
      <c r="AA1028" s="116">
        <v>5240</v>
      </c>
      <c r="AB1028" s="31">
        <v>16</v>
      </c>
      <c r="AC1028" s="31">
        <v>16</v>
      </c>
      <c r="AD1028" s="3"/>
    </row>
    <row r="1029" spans="1:30" s="17" customFormat="1" ht="15.6" x14ac:dyDescent="0.3">
      <c r="A1029" s="212"/>
      <c r="B1029" s="24"/>
      <c r="C1029" s="6"/>
      <c r="D1029" s="6"/>
      <c r="E1029" s="61" t="s">
        <v>187</v>
      </c>
      <c r="F1029" s="127">
        <v>22883.49</v>
      </c>
      <c r="G1029" s="127">
        <v>23329.3</v>
      </c>
      <c r="H1029" s="127">
        <v>23495.79</v>
      </c>
      <c r="I1029" s="127">
        <v>23314.7</v>
      </c>
      <c r="J1029" s="127">
        <v>22905.8</v>
      </c>
      <c r="K1029" s="127">
        <v>22950.6</v>
      </c>
      <c r="L1029" s="127">
        <v>23334.91</v>
      </c>
      <c r="M1029" s="127">
        <v>23334.91</v>
      </c>
      <c r="N1029" s="127">
        <v>22910.73</v>
      </c>
      <c r="O1029" s="127"/>
      <c r="P1029" s="61"/>
      <c r="Q1029" s="62"/>
      <c r="R1029" s="62"/>
      <c r="S1029" s="139"/>
      <c r="T1029" s="5"/>
      <c r="U1029" s="140"/>
      <c r="V1029" s="173"/>
      <c r="W1029" s="353"/>
      <c r="X1029" s="118"/>
      <c r="Y1029" s="118"/>
      <c r="Z1029" s="118"/>
      <c r="AA1029" s="118"/>
      <c r="AB1029" s="11"/>
      <c r="AC1029" s="11"/>
      <c r="AD1029" s="3"/>
    </row>
    <row r="1030" spans="1:30" s="17" customFormat="1" ht="23.4" thickBot="1" x14ac:dyDescent="0.35">
      <c r="A1030" s="212"/>
      <c r="B1030" s="63"/>
      <c r="C1030" s="64"/>
      <c r="D1030" s="64"/>
      <c r="E1030" s="65" t="s">
        <v>188</v>
      </c>
      <c r="F1030" s="53">
        <f t="shared" ref="F1030:N1030" si="338">IF(((F1028="")*AND(F1029="")),"",(F1028-F1029)*3)</f>
        <v>9298.5599999999904</v>
      </c>
      <c r="G1030" s="53">
        <f t="shared" si="338"/>
        <v>8488.77</v>
      </c>
      <c r="H1030" s="53">
        <f t="shared" si="338"/>
        <v>8017.5600000000013</v>
      </c>
      <c r="I1030" s="53">
        <f t="shared" si="338"/>
        <v>8475.9899999999943</v>
      </c>
      <c r="J1030" s="53">
        <f t="shared" si="338"/>
        <v>9142.6200000000026</v>
      </c>
      <c r="K1030" s="53">
        <f t="shared" si="338"/>
        <v>9115.8300000000017</v>
      </c>
      <c r="L1030" s="53">
        <f t="shared" si="338"/>
        <v>8376.1200000000026</v>
      </c>
      <c r="M1030" s="53">
        <f t="shared" si="338"/>
        <v>8365.4399999999987</v>
      </c>
      <c r="N1030" s="53">
        <f t="shared" si="338"/>
        <v>9288.27</v>
      </c>
      <c r="O1030" s="65"/>
      <c r="P1030" s="65"/>
      <c r="Q1030" s="66"/>
      <c r="R1030" s="66"/>
      <c r="S1030" s="142"/>
      <c r="T1030" s="143"/>
      <c r="U1030" s="144"/>
      <c r="V1030" s="173"/>
      <c r="W1030" s="353"/>
      <c r="X1030" s="118"/>
      <c r="Y1030" s="118"/>
      <c r="Z1030" s="118"/>
      <c r="AA1030" s="118"/>
      <c r="AB1030" s="11"/>
      <c r="AC1030" s="11"/>
      <c r="AD1030" s="3"/>
    </row>
    <row r="1031" spans="1:30" s="17" customFormat="1" x14ac:dyDescent="0.25">
      <c r="A1031" s="207">
        <v>43568</v>
      </c>
      <c r="B1031" s="218" t="s">
        <v>185</v>
      </c>
      <c r="C1031" s="6" t="s">
        <v>173</v>
      </c>
      <c r="D1031" s="6" t="s">
        <v>172</v>
      </c>
      <c r="E1031" s="61" t="s">
        <v>186</v>
      </c>
      <c r="F1031" s="127">
        <v>29370.55</v>
      </c>
      <c r="G1031" s="127">
        <v>29279.26</v>
      </c>
      <c r="H1031" s="127">
        <v>29267.54</v>
      </c>
      <c r="I1031" s="127">
        <v>29267.14</v>
      </c>
      <c r="J1031" s="127">
        <v>29383.05</v>
      </c>
      <c r="K1031" s="127">
        <v>29340.73</v>
      </c>
      <c r="L1031" s="127">
        <v>29258.91</v>
      </c>
      <c r="M1031" s="127">
        <v>29258.59</v>
      </c>
      <c r="N1031" s="127">
        <v>29391.52</v>
      </c>
      <c r="O1031" s="61">
        <f>IF((N1032=""),"",MAX(F1033:N1033))</f>
        <v>4564.8300000000017</v>
      </c>
      <c r="P1031" s="61">
        <f>IF(N1032="","",MIN(F1033:N1033))</f>
        <v>4031.5800000000017</v>
      </c>
      <c r="Q1031" s="62">
        <f>IF((N1033=""),"",AVERAGE(F1033:N1033))</f>
        <v>4248.3033333333324</v>
      </c>
      <c r="R1031" s="62">
        <f>IF((N1032=""),"",(O1031-P1031)/(O1031+P1031)*100)</f>
        <v>6.2031708585328031</v>
      </c>
      <c r="S1031" s="139">
        <f>STDEV(F1033:N1033)</f>
        <v>192.64980515173247</v>
      </c>
      <c r="T1031" s="5" t="str">
        <f>IF(N1032="","",IF(R1031&lt;16,IF(Q1031&gt;3200,IF(R1031,IF(Q1031&lt;5240,"Pass","Fail"),"Fail"),"Fail")))</f>
        <v>Pass</v>
      </c>
      <c r="U1031" s="149">
        <v>1428</v>
      </c>
      <c r="V1031" s="127"/>
      <c r="W1031" s="11"/>
      <c r="X1031" s="116">
        <v>4200</v>
      </c>
      <c r="Y1031" s="116">
        <v>5500</v>
      </c>
      <c r="Z1031" s="116">
        <v>3200</v>
      </c>
      <c r="AA1031" s="116">
        <v>5240</v>
      </c>
      <c r="AB1031" s="31">
        <v>16</v>
      </c>
      <c r="AC1031" s="31">
        <v>16</v>
      </c>
      <c r="AD1031" s="3"/>
    </row>
    <row r="1032" spans="1:30" s="17" customFormat="1" ht="15.6" x14ac:dyDescent="0.3">
      <c r="A1032" s="212"/>
      <c r="B1032" s="24"/>
      <c r="C1032" s="6"/>
      <c r="D1032" s="6"/>
      <c r="E1032" s="61" t="s">
        <v>187</v>
      </c>
      <c r="F1032" s="127">
        <v>27903.38</v>
      </c>
      <c r="G1032" s="127">
        <v>27907.33</v>
      </c>
      <c r="H1032" s="127">
        <v>27923.68</v>
      </c>
      <c r="I1032" s="127">
        <v>27898.75</v>
      </c>
      <c r="J1032" s="127">
        <v>27895.759999999998</v>
      </c>
      <c r="K1032" s="127">
        <v>27900.05</v>
      </c>
      <c r="L1032" s="127">
        <v>27897.88</v>
      </c>
      <c r="M1032" s="127">
        <v>27875.64</v>
      </c>
      <c r="N1032" s="127">
        <v>27869.91</v>
      </c>
      <c r="O1032" s="127"/>
      <c r="P1032" s="61"/>
      <c r="Q1032" s="62"/>
      <c r="R1032" s="62"/>
      <c r="S1032" s="139"/>
      <c r="T1032" s="5"/>
      <c r="U1032" s="140"/>
      <c r="V1032" s="173"/>
      <c r="W1032" s="11"/>
      <c r="X1032" s="118"/>
      <c r="Y1032" s="118"/>
      <c r="Z1032" s="118"/>
      <c r="AA1032" s="118"/>
      <c r="AB1032" s="11"/>
      <c r="AC1032" s="11"/>
      <c r="AD1032" s="3"/>
    </row>
    <row r="1033" spans="1:30" s="17" customFormat="1" ht="23.4" thickBot="1" x14ac:dyDescent="0.35">
      <c r="A1033" s="213"/>
      <c r="B1033" s="63"/>
      <c r="C1033" s="64"/>
      <c r="D1033" s="64"/>
      <c r="E1033" s="65" t="s">
        <v>188</v>
      </c>
      <c r="F1033" s="53">
        <f t="shared" ref="F1033:N1033" si="339">IF(((F1031="")*AND(F1032="")),"",(F1031-F1032)*3)</f>
        <v>4401.5099999999948</v>
      </c>
      <c r="G1033" s="53">
        <f t="shared" si="339"/>
        <v>4115.78999999999</v>
      </c>
      <c r="H1033" s="53">
        <f t="shared" si="339"/>
        <v>4031.5800000000017</v>
      </c>
      <c r="I1033" s="53">
        <f t="shared" si="339"/>
        <v>4105.1699999999983</v>
      </c>
      <c r="J1033" s="53">
        <f t="shared" si="339"/>
        <v>4461.8700000000026</v>
      </c>
      <c r="K1033" s="53">
        <f t="shared" si="339"/>
        <v>4322.0400000000009</v>
      </c>
      <c r="L1033" s="53">
        <f t="shared" si="339"/>
        <v>4083.0899999999965</v>
      </c>
      <c r="M1033" s="53">
        <f t="shared" si="339"/>
        <v>4148.8500000000022</v>
      </c>
      <c r="N1033" s="53">
        <f t="shared" si="339"/>
        <v>4564.8300000000017</v>
      </c>
      <c r="O1033" s="65"/>
      <c r="P1033" s="65"/>
      <c r="Q1033" s="66"/>
      <c r="R1033" s="66"/>
      <c r="S1033" s="142"/>
      <c r="T1033" s="143"/>
      <c r="U1033" s="144"/>
      <c r="V1033" s="173"/>
      <c r="W1033" s="11"/>
      <c r="X1033" s="118"/>
      <c r="Y1033" s="118"/>
      <c r="Z1033" s="118"/>
      <c r="AA1033" s="118"/>
      <c r="AB1033" s="11"/>
      <c r="AC1033" s="11"/>
      <c r="AD1033" s="3"/>
    </row>
    <row r="1034" spans="1:30" s="17" customFormat="1" x14ac:dyDescent="0.25">
      <c r="A1034" s="209">
        <v>43577</v>
      </c>
      <c r="B1034" s="217" t="s">
        <v>174</v>
      </c>
      <c r="C1034" s="44" t="s">
        <v>176</v>
      </c>
      <c r="D1034" s="44" t="s">
        <v>175</v>
      </c>
      <c r="E1034" s="59" t="s">
        <v>186</v>
      </c>
      <c r="F1034" s="126">
        <v>3277.2</v>
      </c>
      <c r="G1034" s="126">
        <v>3176.7</v>
      </c>
      <c r="H1034" s="126">
        <v>3189.2</v>
      </c>
      <c r="I1034" s="126">
        <v>3181.2</v>
      </c>
      <c r="J1034" s="126">
        <v>3279.8</v>
      </c>
      <c r="K1034" s="126">
        <v>3272.8</v>
      </c>
      <c r="L1034" s="126">
        <v>3212.3</v>
      </c>
      <c r="M1034" s="126">
        <v>3230</v>
      </c>
      <c r="N1034" s="126">
        <v>3512.8</v>
      </c>
      <c r="O1034" s="59">
        <f>IF((N1035=""),"",MAX(F1036:N1036))</f>
        <v>4252.2</v>
      </c>
      <c r="P1034" s="59">
        <f>IF(N1035="","",MIN(F1036:N1036))</f>
        <v>3720.6000000000004</v>
      </c>
      <c r="Q1034" s="60">
        <f>IF((N1036=""),"",AVERAGE(F1036:N1036))</f>
        <v>4088.7777777777778</v>
      </c>
      <c r="R1034" s="60">
        <f>IF((N1035=""),"",(O1034-P1034)/(O1034+P1034)*100)</f>
        <v>6.6676700782660987</v>
      </c>
      <c r="S1034" s="131">
        <f>STDEV(F1036:N1036)</f>
        <v>187.42319612162311</v>
      </c>
      <c r="T1034" s="137" t="str">
        <f>IF(N1035="","",IF(Q1034&gt;3650,IF(R1034&lt;7,IF(Q1034&lt;4450,"Pass","Fail"),"Fail"),"Fail"))</f>
        <v>Pass</v>
      </c>
      <c r="U1034" s="149">
        <v>1159</v>
      </c>
      <c r="V1034" s="127"/>
      <c r="W1034" s="353"/>
      <c r="X1034" s="116">
        <v>3650</v>
      </c>
      <c r="Y1034" s="116">
        <v>4450</v>
      </c>
      <c r="Z1034" s="116">
        <v>3700</v>
      </c>
      <c r="AA1034" s="116">
        <v>4100</v>
      </c>
      <c r="AB1034" s="31">
        <v>7</v>
      </c>
      <c r="AC1034" s="31">
        <v>6.5</v>
      </c>
      <c r="AD1034" s="3"/>
    </row>
    <row r="1035" spans="1:30" s="17" customFormat="1" ht="15.6" x14ac:dyDescent="0.3">
      <c r="A1035" s="212"/>
      <c r="B1035" s="24"/>
      <c r="C1035" s="6"/>
      <c r="D1035" s="6"/>
      <c r="E1035" s="61" t="s">
        <v>187</v>
      </c>
      <c r="F1035" s="127">
        <v>1286.2</v>
      </c>
      <c r="G1035" s="127">
        <v>1057.2</v>
      </c>
      <c r="H1035" s="127">
        <v>1063.0999999999999</v>
      </c>
      <c r="I1035" s="127">
        <v>1068.5999999999999</v>
      </c>
      <c r="J1035" s="127">
        <v>1329.2</v>
      </c>
      <c r="K1035" s="127">
        <v>1243.8</v>
      </c>
      <c r="L1035" s="127">
        <v>1099.5</v>
      </c>
      <c r="M1035" s="127">
        <v>1132.4000000000001</v>
      </c>
      <c r="N1035" s="127">
        <v>1652.5</v>
      </c>
      <c r="O1035" s="61"/>
      <c r="P1035" s="61"/>
      <c r="Q1035" s="62"/>
      <c r="R1035" s="62"/>
      <c r="S1035" s="139"/>
      <c r="T1035" s="8"/>
      <c r="U1035" s="146"/>
      <c r="V1035" s="127"/>
      <c r="W1035" s="353"/>
      <c r="X1035" s="118"/>
      <c r="Y1035" s="118"/>
      <c r="Z1035" s="118"/>
      <c r="AA1035" s="118"/>
      <c r="AB1035" s="11"/>
      <c r="AC1035" s="11"/>
      <c r="AD1035" s="3"/>
    </row>
    <row r="1036" spans="1:30" s="17" customFormat="1" ht="23.4" thickBot="1" x14ac:dyDescent="0.35">
      <c r="A1036" s="212"/>
      <c r="B1036" s="24"/>
      <c r="C1036" s="6"/>
      <c r="D1036" s="6"/>
      <c r="E1036" s="61" t="s">
        <v>188</v>
      </c>
      <c r="F1036" s="40">
        <f t="shared" ref="F1036:N1036" si="340">IF(((F1034="")*AND(F1035="")),"",(F1034-F1035)*2)</f>
        <v>3981.9999999999995</v>
      </c>
      <c r="G1036" s="40">
        <f t="shared" si="340"/>
        <v>4239</v>
      </c>
      <c r="H1036" s="40">
        <f t="shared" si="340"/>
        <v>4252.2</v>
      </c>
      <c r="I1036" s="40">
        <f t="shared" si="340"/>
        <v>4225.2</v>
      </c>
      <c r="J1036" s="40">
        <f t="shared" si="340"/>
        <v>3901.2000000000003</v>
      </c>
      <c r="K1036" s="40">
        <f t="shared" si="340"/>
        <v>4058.0000000000005</v>
      </c>
      <c r="L1036" s="40">
        <f t="shared" si="340"/>
        <v>4225.6000000000004</v>
      </c>
      <c r="M1036" s="40">
        <f t="shared" si="340"/>
        <v>4195.2</v>
      </c>
      <c r="N1036" s="40">
        <f t="shared" si="340"/>
        <v>3720.6000000000004</v>
      </c>
      <c r="O1036" s="61"/>
      <c r="P1036" s="61"/>
      <c r="Q1036" s="62"/>
      <c r="R1036" s="62"/>
      <c r="S1036" s="139"/>
      <c r="T1036" s="8"/>
      <c r="U1036" s="146"/>
      <c r="V1036" s="127"/>
      <c r="W1036" s="353"/>
      <c r="X1036" s="118"/>
      <c r="Y1036" s="118"/>
      <c r="Z1036" s="118"/>
      <c r="AA1036" s="118"/>
      <c r="AB1036" s="11"/>
      <c r="AC1036" s="11"/>
      <c r="AD1036" s="3"/>
    </row>
    <row r="1037" spans="1:30" s="17" customFormat="1" x14ac:dyDescent="0.25">
      <c r="A1037" s="207">
        <v>43577</v>
      </c>
      <c r="B1037" s="215" t="s">
        <v>169</v>
      </c>
      <c r="C1037" s="6" t="s">
        <v>171</v>
      </c>
      <c r="D1037" s="6" t="s">
        <v>189</v>
      </c>
      <c r="E1037" s="61" t="s">
        <v>186</v>
      </c>
      <c r="F1037" s="127">
        <v>2012.6</v>
      </c>
      <c r="G1037" s="127">
        <v>2009.4</v>
      </c>
      <c r="H1037" s="127">
        <v>1998.2</v>
      </c>
      <c r="I1037" s="127">
        <v>2011.4</v>
      </c>
      <c r="J1037" s="127">
        <v>2016.2</v>
      </c>
      <c r="K1037" s="127">
        <v>2015.5</v>
      </c>
      <c r="L1037" s="127">
        <v>2007.4</v>
      </c>
      <c r="M1037" s="127">
        <v>2013.6</v>
      </c>
      <c r="N1037" s="127">
        <v>2018.8</v>
      </c>
      <c r="O1037" s="61">
        <f>IF((N1038=""),"",MAX(F1039:N1039))</f>
        <v>2204.7000000000003</v>
      </c>
      <c r="P1037" s="61">
        <f>IF(N1038="","",MIN(F1039:N1039))</f>
        <v>2121.8999999999996</v>
      </c>
      <c r="Q1037" s="62">
        <f>IF((N1039=""),"",AVERAGE(F1039:N1039))</f>
        <v>2171.3366666666666</v>
      </c>
      <c r="R1037" s="62">
        <f>IF((N1038=""),"",(O1037-P1037)/(O1037+P1037)*100)</f>
        <v>1.9137428928026772</v>
      </c>
      <c r="S1037" s="139">
        <f>STDEV(F1039:N1039)</f>
        <v>26.070562901479629</v>
      </c>
      <c r="T1037" s="5" t="str">
        <f>IF(N1038="","",IF(Q1037&gt;1940,IF(R1037&lt;8.3,IF(Q1037&lt;2180,"Pass","Fail"),"Fail"),"Fail"))</f>
        <v>Pass</v>
      </c>
      <c r="U1037" s="149">
        <v>1428</v>
      </c>
      <c r="V1037" s="127"/>
      <c r="W1037" s="353"/>
      <c r="X1037" s="116">
        <v>2000</v>
      </c>
      <c r="Y1037" s="116">
        <v>3000</v>
      </c>
      <c r="Z1037" s="116">
        <v>1940</v>
      </c>
      <c r="AA1037" s="116">
        <v>2180</v>
      </c>
      <c r="AB1037" s="31">
        <v>5.2</v>
      </c>
      <c r="AC1037" s="31">
        <v>5.2</v>
      </c>
      <c r="AD1037" s="3"/>
    </row>
    <row r="1038" spans="1:30" s="17" customFormat="1" ht="15.6" x14ac:dyDescent="0.3">
      <c r="A1038" s="212"/>
      <c r="B1038" s="24"/>
      <c r="C1038" s="6"/>
      <c r="D1038" s="6"/>
      <c r="E1038" s="61" t="s">
        <v>187</v>
      </c>
      <c r="F1038" s="127">
        <v>1283.0899999999999</v>
      </c>
      <c r="G1038" s="127">
        <v>1274.5</v>
      </c>
      <c r="H1038" s="127">
        <v>1275.78</v>
      </c>
      <c r="I1038" s="127">
        <v>1285.1199999999999</v>
      </c>
      <c r="J1038" s="127">
        <v>1308.9000000000001</v>
      </c>
      <c r="K1038" s="127">
        <v>1295.4000000000001</v>
      </c>
      <c r="L1038" s="127">
        <v>1281.9000000000001</v>
      </c>
      <c r="M1038" s="127">
        <v>1280.9000000000001</v>
      </c>
      <c r="N1038" s="127">
        <v>1303.5</v>
      </c>
      <c r="O1038" s="61"/>
      <c r="P1038" s="61"/>
      <c r="Q1038" s="62"/>
      <c r="R1038" s="62"/>
      <c r="S1038" s="139"/>
      <c r="T1038" s="5"/>
      <c r="U1038" s="140"/>
      <c r="V1038" s="173"/>
      <c r="W1038" s="353"/>
      <c r="X1038" s="118"/>
      <c r="Y1038" s="118"/>
      <c r="Z1038" s="118"/>
      <c r="AA1038" s="118"/>
      <c r="AB1038" s="11"/>
      <c r="AC1038" s="11"/>
      <c r="AD1038" s="3"/>
    </row>
    <row r="1039" spans="1:30" s="17" customFormat="1" ht="25.5" customHeight="1" thickBot="1" x14ac:dyDescent="0.35">
      <c r="A1039" s="212"/>
      <c r="B1039" s="24"/>
      <c r="C1039" s="6"/>
      <c r="D1039" s="6"/>
      <c r="E1039" s="61" t="s">
        <v>190</v>
      </c>
      <c r="F1039" s="40">
        <f t="shared" ref="F1039:N1039" si="341">IF(((F1037="")*AND(F1038="")),"",(F1037-F1038)*3)</f>
        <v>2188.5299999999997</v>
      </c>
      <c r="G1039" s="40">
        <f t="shared" si="341"/>
        <v>2204.7000000000003</v>
      </c>
      <c r="H1039" s="40">
        <f t="shared" si="341"/>
        <v>2167.2600000000002</v>
      </c>
      <c r="I1039" s="40">
        <f t="shared" si="341"/>
        <v>2178.8400000000006</v>
      </c>
      <c r="J1039" s="40">
        <f t="shared" si="341"/>
        <v>2121.8999999999996</v>
      </c>
      <c r="K1039" s="40">
        <f t="shared" si="341"/>
        <v>2160.2999999999997</v>
      </c>
      <c r="L1039" s="40">
        <f t="shared" si="341"/>
        <v>2176.5</v>
      </c>
      <c r="M1039" s="40">
        <f t="shared" si="341"/>
        <v>2198.0999999999995</v>
      </c>
      <c r="N1039" s="40">
        <f t="shared" si="341"/>
        <v>2145.8999999999996</v>
      </c>
      <c r="O1039" s="61"/>
      <c r="P1039" s="61"/>
      <c r="Q1039" s="62"/>
      <c r="R1039" s="62"/>
      <c r="S1039" s="139"/>
      <c r="T1039" s="5"/>
      <c r="U1039" s="140"/>
      <c r="V1039" s="173"/>
      <c r="W1039" s="353"/>
      <c r="X1039" s="118"/>
      <c r="Y1039" s="118"/>
      <c r="Z1039" s="118"/>
      <c r="AA1039" s="118"/>
      <c r="AB1039" s="11"/>
      <c r="AC1039" s="11"/>
      <c r="AD1039" s="3"/>
    </row>
    <row r="1040" spans="1:30" s="17" customFormat="1" x14ac:dyDescent="0.25">
      <c r="A1040" s="207">
        <v>43577</v>
      </c>
      <c r="B1040" s="218" t="s">
        <v>185</v>
      </c>
      <c r="C1040" s="6" t="s">
        <v>173</v>
      </c>
      <c r="D1040" s="6" t="s">
        <v>172</v>
      </c>
      <c r="E1040" s="61" t="s">
        <v>186</v>
      </c>
      <c r="F1040" s="127">
        <v>27771.5</v>
      </c>
      <c r="G1040" s="127">
        <v>27773.599999999999</v>
      </c>
      <c r="H1040" s="127">
        <v>27807.7</v>
      </c>
      <c r="I1040" s="127">
        <v>27773.5</v>
      </c>
      <c r="J1040" s="127">
        <v>27768.7</v>
      </c>
      <c r="K1040" s="127">
        <v>27784.400000000001</v>
      </c>
      <c r="L1040" s="127">
        <v>27781.9</v>
      </c>
      <c r="M1040" s="127">
        <v>27754.2</v>
      </c>
      <c r="N1040" s="127">
        <v>27741.8</v>
      </c>
      <c r="O1040" s="61">
        <f>IF((N1041=""),"",MAX(F1042:N1042))</f>
        <v>4934.7000000000044</v>
      </c>
      <c r="P1040" s="61">
        <f>IF(N1041="","",MIN(F1042:N1042))</f>
        <v>4148.3999999999978</v>
      </c>
      <c r="Q1040" s="62">
        <f>IF((N1042=""),"",AVERAGE(F1042:N1042))</f>
        <v>4531.0666666666675</v>
      </c>
      <c r="R1040" s="62">
        <f>IF((N1041=""),"",(O1040-P1040)/(O1040+P1040)*100)</f>
        <v>8.6567361363411859</v>
      </c>
      <c r="S1040" s="139">
        <f>STDEV(F1042:N1042)</f>
        <v>364.20723153172059</v>
      </c>
      <c r="T1040" s="5" t="str">
        <f>IF(N1041="","",IF(R1040&lt;16,IF(Q1040&gt;3200,IF(R1040,IF(Q1040&lt;5240,"Pass","Fail"),"Fail"),"Fail")))</f>
        <v>Pass</v>
      </c>
      <c r="U1040" s="149">
        <v>1428</v>
      </c>
      <c r="V1040" s="127"/>
      <c r="W1040" s="353"/>
      <c r="X1040" s="116">
        <v>4200</v>
      </c>
      <c r="Y1040" s="116">
        <v>5500</v>
      </c>
      <c r="Z1040" s="116">
        <v>3200</v>
      </c>
      <c r="AA1040" s="116">
        <v>5240</v>
      </c>
      <c r="AB1040" s="31">
        <v>16</v>
      </c>
      <c r="AC1040" s="31">
        <v>16</v>
      </c>
      <c r="AD1040" s="3"/>
    </row>
    <row r="1041" spans="1:30" s="17" customFormat="1" ht="15.6" x14ac:dyDescent="0.3">
      <c r="A1041" s="212"/>
      <c r="B1041" s="24"/>
      <c r="C1041" s="6"/>
      <c r="D1041" s="6"/>
      <c r="E1041" s="61" t="s">
        <v>187</v>
      </c>
      <c r="F1041" s="127">
        <v>26126.6</v>
      </c>
      <c r="G1041" s="127">
        <v>26362.400000000001</v>
      </c>
      <c r="H1041" s="127">
        <v>26424.9</v>
      </c>
      <c r="I1041" s="127">
        <v>26359.5</v>
      </c>
      <c r="J1041" s="127">
        <v>26131.4</v>
      </c>
      <c r="K1041" s="127">
        <v>26153.4</v>
      </c>
      <c r="L1041" s="127">
        <v>26368.5</v>
      </c>
      <c r="M1041" s="127">
        <v>26333.599999999999</v>
      </c>
      <c r="N1041" s="127">
        <v>26103.8</v>
      </c>
      <c r="O1041" s="127"/>
      <c r="P1041" s="61"/>
      <c r="Q1041" s="62"/>
      <c r="R1041" s="62"/>
      <c r="S1041" s="139"/>
      <c r="T1041" s="5"/>
      <c r="U1041" s="140"/>
      <c r="V1041" s="173"/>
      <c r="W1041" s="353"/>
      <c r="X1041" s="118"/>
      <c r="Y1041" s="118"/>
      <c r="Z1041" s="118"/>
      <c r="AA1041" s="118"/>
      <c r="AB1041" s="11"/>
      <c r="AC1041" s="11"/>
      <c r="AD1041" s="3"/>
    </row>
    <row r="1042" spans="1:30" s="17" customFormat="1" ht="23.4" thickBot="1" x14ac:dyDescent="0.35">
      <c r="A1042" s="213"/>
      <c r="B1042" s="63"/>
      <c r="C1042" s="64"/>
      <c r="D1042" s="64"/>
      <c r="E1042" s="65" t="s">
        <v>188</v>
      </c>
      <c r="F1042" s="53">
        <f t="shared" ref="F1042:N1042" si="342">IF(((F1040="")*AND(F1041="")),"",(F1040-F1041)*3)</f>
        <v>4934.7000000000044</v>
      </c>
      <c r="G1042" s="53">
        <f t="shared" si="342"/>
        <v>4233.5999999999913</v>
      </c>
      <c r="H1042" s="53">
        <f t="shared" si="342"/>
        <v>4148.3999999999978</v>
      </c>
      <c r="I1042" s="53">
        <f t="shared" si="342"/>
        <v>4242</v>
      </c>
      <c r="J1042" s="53">
        <f t="shared" si="342"/>
        <v>4911.8999999999978</v>
      </c>
      <c r="K1042" s="53">
        <f t="shared" si="342"/>
        <v>4893</v>
      </c>
      <c r="L1042" s="53">
        <f t="shared" si="342"/>
        <v>4240.2000000000044</v>
      </c>
      <c r="M1042" s="53">
        <f t="shared" si="342"/>
        <v>4261.8000000000065</v>
      </c>
      <c r="N1042" s="53">
        <f t="shared" si="342"/>
        <v>4914</v>
      </c>
      <c r="O1042" s="65"/>
      <c r="P1042" s="65"/>
      <c r="Q1042" s="66"/>
      <c r="R1042" s="66"/>
      <c r="S1042" s="142"/>
      <c r="T1042" s="143"/>
      <c r="U1042" s="144"/>
      <c r="V1042" s="173"/>
      <c r="W1042" s="353"/>
      <c r="X1042" s="118"/>
      <c r="Y1042" s="118"/>
      <c r="Z1042" s="118"/>
      <c r="AA1042" s="118"/>
      <c r="AB1042" s="11"/>
      <c r="AC1042" s="11"/>
      <c r="AD1042" s="3"/>
    </row>
    <row r="1043" spans="1:30" s="17" customFormat="1" x14ac:dyDescent="0.25">
      <c r="A1043" s="209">
        <v>43581</v>
      </c>
      <c r="B1043" s="217" t="s">
        <v>174</v>
      </c>
      <c r="C1043" s="44" t="s">
        <v>176</v>
      </c>
      <c r="D1043" s="44" t="s">
        <v>175</v>
      </c>
      <c r="E1043" s="59" t="s">
        <v>186</v>
      </c>
      <c r="F1043" s="126">
        <v>6971.21</v>
      </c>
      <c r="G1043" s="126">
        <v>6953.23</v>
      </c>
      <c r="H1043" s="126">
        <v>6970.1</v>
      </c>
      <c r="I1043" s="126">
        <v>6913.28</v>
      </c>
      <c r="J1043" s="126">
        <v>6831.42</v>
      </c>
      <c r="K1043" s="126">
        <v>6902.73</v>
      </c>
      <c r="L1043" s="126">
        <v>6925.35</v>
      </c>
      <c r="M1043" s="126">
        <v>6986.35</v>
      </c>
      <c r="N1043" s="126">
        <v>6998.53</v>
      </c>
      <c r="O1043" s="59">
        <f>IF((N1044=""),"",MAX(F1045:N1045))</f>
        <v>3932.3000000000011</v>
      </c>
      <c r="P1043" s="59">
        <f>IF(N1044="","",MIN(F1045:N1045))</f>
        <v>3572.7999999999993</v>
      </c>
      <c r="Q1043" s="60">
        <f>IF((N1045=""),"",AVERAGE(F1045:N1045))</f>
        <v>3824.1777777777775</v>
      </c>
      <c r="R1043" s="60">
        <f>IF((N1044=""),"",(O1043-P1043)/(O1043+P1043)*100)</f>
        <v>4.7900760815978707</v>
      </c>
      <c r="S1043" s="131">
        <f>STDEV(F1045:N1045)</f>
        <v>120.23788938784857</v>
      </c>
      <c r="T1043" s="137" t="str">
        <f>IF(N1044="","",IF(Q1043&gt;3650,IF(R1043&lt;7,IF(Q1043&lt;4450,"Pass","Fail"),"Fail"),"Fail"))</f>
        <v>Pass</v>
      </c>
      <c r="U1043" s="149">
        <v>74</v>
      </c>
      <c r="V1043" s="127"/>
      <c r="W1043" s="11"/>
      <c r="X1043" s="116">
        <v>3650</v>
      </c>
      <c r="Y1043" s="116">
        <v>4450</v>
      </c>
      <c r="Z1043" s="116">
        <v>3700</v>
      </c>
      <c r="AA1043" s="116">
        <v>4100</v>
      </c>
      <c r="AB1043" s="31">
        <v>7</v>
      </c>
      <c r="AC1043" s="31">
        <v>6.5</v>
      </c>
      <c r="AD1043" s="3"/>
    </row>
    <row r="1044" spans="1:30" s="17" customFormat="1" ht="15.6" x14ac:dyDescent="0.3">
      <c r="A1044" s="212"/>
      <c r="B1044" s="24"/>
      <c r="C1044" s="6"/>
      <c r="D1044" s="6"/>
      <c r="E1044" s="61" t="s">
        <v>187</v>
      </c>
      <c r="F1044" s="127">
        <v>5100.32</v>
      </c>
      <c r="G1044" s="127">
        <v>5003.17</v>
      </c>
      <c r="H1044" s="127">
        <v>5009.54</v>
      </c>
      <c r="I1044" s="127">
        <v>4967.3900000000003</v>
      </c>
      <c r="J1044" s="127">
        <v>4968.1000000000004</v>
      </c>
      <c r="K1044" s="127">
        <v>5116.33</v>
      </c>
      <c r="L1044" s="127">
        <v>4979.75</v>
      </c>
      <c r="M1044" s="127">
        <v>5020.2</v>
      </c>
      <c r="N1044" s="127">
        <v>5078.6000000000004</v>
      </c>
      <c r="O1044" s="61"/>
      <c r="P1044" s="61"/>
      <c r="Q1044" s="62"/>
      <c r="R1044" s="62"/>
      <c r="S1044" s="139"/>
      <c r="T1044" s="8"/>
      <c r="U1044" s="146"/>
      <c r="V1044" s="127"/>
      <c r="W1044" s="11"/>
      <c r="X1044" s="118"/>
      <c r="Y1044" s="118"/>
      <c r="Z1044" s="118"/>
      <c r="AA1044" s="118"/>
      <c r="AB1044" s="11"/>
      <c r="AC1044" s="11"/>
      <c r="AD1044" s="3"/>
    </row>
    <row r="1045" spans="1:30" s="17" customFormat="1" ht="23.4" thickBot="1" x14ac:dyDescent="0.35">
      <c r="A1045" s="212"/>
      <c r="B1045" s="24"/>
      <c r="C1045" s="6"/>
      <c r="D1045" s="6"/>
      <c r="E1045" s="61" t="s">
        <v>188</v>
      </c>
      <c r="F1045" s="40">
        <f t="shared" ref="F1045:N1045" si="343">IF(((F1043="")*AND(F1044="")),"",(F1043-F1044)*2)</f>
        <v>3741.7800000000007</v>
      </c>
      <c r="G1045" s="40">
        <f t="shared" si="343"/>
        <v>3900.119999999999</v>
      </c>
      <c r="H1045" s="40">
        <f t="shared" si="343"/>
        <v>3921.1200000000008</v>
      </c>
      <c r="I1045" s="40">
        <f t="shared" si="343"/>
        <v>3891.7799999999988</v>
      </c>
      <c r="J1045" s="40">
        <f t="shared" si="343"/>
        <v>3726.6399999999994</v>
      </c>
      <c r="K1045" s="40">
        <f t="shared" si="343"/>
        <v>3572.7999999999993</v>
      </c>
      <c r="L1045" s="40">
        <f t="shared" si="343"/>
        <v>3891.2000000000007</v>
      </c>
      <c r="M1045" s="40">
        <f t="shared" si="343"/>
        <v>3932.3000000000011</v>
      </c>
      <c r="N1045" s="40">
        <f t="shared" si="343"/>
        <v>3839.8599999999988</v>
      </c>
      <c r="O1045" s="61"/>
      <c r="P1045" s="61"/>
      <c r="Q1045" s="62"/>
      <c r="R1045" s="62"/>
      <c r="S1045" s="139"/>
      <c r="T1045" s="8"/>
      <c r="U1045" s="146"/>
      <c r="V1045" s="127"/>
      <c r="W1045" s="11"/>
      <c r="X1045" s="118"/>
      <c r="Y1045" s="118"/>
      <c r="Z1045" s="118"/>
      <c r="AA1045" s="118"/>
      <c r="AB1045" s="11"/>
      <c r="AC1045" s="11"/>
      <c r="AD1045" s="3"/>
    </row>
    <row r="1046" spans="1:30" x14ac:dyDescent="0.25">
      <c r="A1046" s="207">
        <v>43581</v>
      </c>
      <c r="B1046" s="215" t="s">
        <v>169</v>
      </c>
      <c r="C1046" s="6" t="s">
        <v>171</v>
      </c>
      <c r="D1046" s="6" t="s">
        <v>189</v>
      </c>
      <c r="E1046" s="61" t="s">
        <v>186</v>
      </c>
      <c r="F1046" s="127">
        <v>1957.03</v>
      </c>
      <c r="G1046" s="127">
        <v>1952.41</v>
      </c>
      <c r="H1046" s="127">
        <v>1952.66</v>
      </c>
      <c r="I1046" s="127">
        <v>1952.94</v>
      </c>
      <c r="J1046" s="127">
        <v>1956.39</v>
      </c>
      <c r="K1046" s="127">
        <v>1957.09</v>
      </c>
      <c r="L1046" s="127">
        <v>1954.16</v>
      </c>
      <c r="M1046" s="127">
        <v>1949.49</v>
      </c>
      <c r="N1046" s="127">
        <v>1958.18</v>
      </c>
      <c r="O1046" s="61">
        <f>IF((N1047=""),"",MAX(F1048:N1048))</f>
        <v>2044.5</v>
      </c>
      <c r="P1046" s="61">
        <f>IF(N1047="","",MIN(F1048:N1048))</f>
        <v>2002.6800000000005</v>
      </c>
      <c r="Q1046" s="62">
        <f>IF((N1048=""),"",AVERAGE(F1048:N1048))</f>
        <v>2024.25</v>
      </c>
      <c r="R1046" s="62">
        <f>IF((N1047=""),"",(O1046-P1046)/(O1046+P1046)*100)</f>
        <v>1.033312083969566</v>
      </c>
      <c r="S1046" s="139">
        <f>STDEV(F1048:N1048)</f>
        <v>14.496077917836894</v>
      </c>
      <c r="T1046" s="5" t="str">
        <f>IF(N1047="","",IF(Q1046&gt;1940,IF(R1046&lt;8.3,IF(Q1046&lt;2180,"Pass","Fail"),"Fail"),"Fail"))</f>
        <v>Pass</v>
      </c>
      <c r="U1046" s="149">
        <v>74</v>
      </c>
      <c r="V1046" s="127"/>
      <c r="W1046" s="11"/>
      <c r="X1046" s="116">
        <v>2000</v>
      </c>
      <c r="Y1046" s="116">
        <v>3000</v>
      </c>
      <c r="Z1046" s="116">
        <v>1940</v>
      </c>
      <c r="AA1046" s="116">
        <v>2180</v>
      </c>
      <c r="AB1046" s="31">
        <v>5.2</v>
      </c>
      <c r="AC1046" s="31">
        <v>5.2</v>
      </c>
    </row>
    <row r="1047" spans="1:30" ht="15.6" x14ac:dyDescent="0.3">
      <c r="A1047" s="212"/>
      <c r="B1047" s="24"/>
      <c r="C1047" s="6"/>
      <c r="D1047" s="6"/>
      <c r="E1047" s="61" t="s">
        <v>187</v>
      </c>
      <c r="F1047" s="127">
        <v>1287.54</v>
      </c>
      <c r="G1047" s="127">
        <v>1273.04</v>
      </c>
      <c r="H1047" s="127">
        <v>1274.46</v>
      </c>
      <c r="I1047" s="127">
        <v>1275.92</v>
      </c>
      <c r="J1047" s="127">
        <v>1285.71</v>
      </c>
      <c r="K1047" s="127">
        <v>1284.46</v>
      </c>
      <c r="L1047" s="127">
        <v>1272.6600000000001</v>
      </c>
      <c r="M1047" s="127">
        <v>1273.19</v>
      </c>
      <c r="N1047" s="127">
        <v>1290.6199999999999</v>
      </c>
      <c r="O1047" s="61"/>
      <c r="P1047" s="61"/>
      <c r="Q1047" s="62"/>
      <c r="R1047" s="62"/>
      <c r="S1047" s="139"/>
      <c r="T1047" s="5"/>
      <c r="U1047" s="140"/>
      <c r="V1047" s="173"/>
      <c r="W1047" s="11"/>
      <c r="X1047" s="118"/>
      <c r="Y1047" s="118"/>
      <c r="Z1047" s="118"/>
      <c r="AA1047" s="118"/>
    </row>
    <row r="1048" spans="1:30" ht="26.7" customHeight="1" thickBot="1" x14ac:dyDescent="0.35">
      <c r="A1048" s="212"/>
      <c r="B1048" s="24"/>
      <c r="C1048" s="6"/>
      <c r="D1048" s="6"/>
      <c r="E1048" s="61" t="s">
        <v>190</v>
      </c>
      <c r="F1048" s="40">
        <f t="shared" ref="F1048:N1048" si="344">IF(((F1046="")*AND(F1047="")),"",(F1046-F1047)*3)</f>
        <v>2008.47</v>
      </c>
      <c r="G1048" s="40">
        <f t="shared" si="344"/>
        <v>2038.1100000000004</v>
      </c>
      <c r="H1048" s="40">
        <f t="shared" si="344"/>
        <v>2034.6000000000001</v>
      </c>
      <c r="I1048" s="40">
        <f t="shared" si="344"/>
        <v>2031.06</v>
      </c>
      <c r="J1048" s="40">
        <f t="shared" si="344"/>
        <v>2012.0400000000002</v>
      </c>
      <c r="K1048" s="40">
        <f t="shared" si="344"/>
        <v>2017.8899999999996</v>
      </c>
      <c r="L1048" s="40">
        <f t="shared" si="344"/>
        <v>2044.5</v>
      </c>
      <c r="M1048" s="40">
        <f t="shared" si="344"/>
        <v>2028.8999999999999</v>
      </c>
      <c r="N1048" s="40">
        <f t="shared" si="344"/>
        <v>2002.6800000000005</v>
      </c>
      <c r="O1048" s="61"/>
      <c r="P1048" s="61"/>
      <c r="Q1048" s="62"/>
      <c r="R1048" s="62"/>
      <c r="S1048" s="139"/>
      <c r="T1048" s="5"/>
      <c r="U1048" s="140"/>
      <c r="V1048" s="173"/>
      <c r="W1048" s="11"/>
      <c r="X1048" s="118"/>
      <c r="Y1048" s="118"/>
      <c r="Z1048" s="118"/>
      <c r="AA1048" s="118"/>
    </row>
    <row r="1049" spans="1:30" x14ac:dyDescent="0.25">
      <c r="A1049" s="207">
        <v>43581</v>
      </c>
      <c r="B1049" s="218" t="s">
        <v>185</v>
      </c>
      <c r="C1049" s="6" t="s">
        <v>173</v>
      </c>
      <c r="D1049" s="6" t="s">
        <v>172</v>
      </c>
      <c r="E1049" s="61" t="s">
        <v>186</v>
      </c>
      <c r="F1049" s="127">
        <v>20760.099999999999</v>
      </c>
      <c r="G1049" s="127">
        <v>20538.080000000002</v>
      </c>
      <c r="H1049" s="127">
        <v>20527.27</v>
      </c>
      <c r="I1049" s="127">
        <v>20446.2</v>
      </c>
      <c r="J1049" s="127">
        <v>20522.68</v>
      </c>
      <c r="K1049" s="127">
        <v>20481.07</v>
      </c>
      <c r="L1049" s="127">
        <v>20476.16</v>
      </c>
      <c r="M1049" s="127">
        <v>20562.62</v>
      </c>
      <c r="N1049" s="127">
        <v>20674.13</v>
      </c>
      <c r="O1049" s="61">
        <f>IF((N1050=""),"",MAX(F1051:N1051))</f>
        <v>5016.3900000000031</v>
      </c>
      <c r="P1049" s="61">
        <f>IF(N1050="","",MIN(F1051:N1051))</f>
        <v>4301.0400000000009</v>
      </c>
      <c r="Q1049" s="62">
        <f>IF((N1051=""),"",AVERAGE(F1051:N1051))</f>
        <v>4656.0266666666676</v>
      </c>
      <c r="R1049" s="62">
        <f>IF((N1050=""),"",(O1049-P1049)/(O1049+P1049)*100)</f>
        <v>7.677546276172742</v>
      </c>
      <c r="S1049" s="139">
        <f>STDEV(F1051:N1051)</f>
        <v>247.72843659943334</v>
      </c>
      <c r="T1049" s="5" t="str">
        <f>IF(N1050="","",IF(R1049&lt;16,IF(Q1049&gt;3200,IF(R1049,IF(Q1049&lt;5240,"Pass","Fail"),"Fail"),"Fail")))</f>
        <v>Pass</v>
      </c>
      <c r="U1049" s="149">
        <v>74</v>
      </c>
      <c r="V1049" s="127"/>
      <c r="W1049" s="11"/>
      <c r="X1049" s="116">
        <v>4200</v>
      </c>
      <c r="Y1049" s="116">
        <v>5500</v>
      </c>
      <c r="Z1049" s="116">
        <v>3200</v>
      </c>
      <c r="AA1049" s="116">
        <v>5240</v>
      </c>
      <c r="AB1049" s="31">
        <v>16</v>
      </c>
      <c r="AC1049" s="31">
        <v>16</v>
      </c>
    </row>
    <row r="1050" spans="1:30" ht="15.6" x14ac:dyDescent="0.3">
      <c r="A1050" s="212"/>
      <c r="B1050" s="24"/>
      <c r="C1050" s="6"/>
      <c r="D1050" s="6"/>
      <c r="E1050" s="61" t="s">
        <v>187</v>
      </c>
      <c r="F1050" s="127">
        <v>19150.38</v>
      </c>
      <c r="G1050" s="127">
        <v>19104.400000000001</v>
      </c>
      <c r="H1050" s="127">
        <v>19065.93</v>
      </c>
      <c r="I1050" s="127">
        <v>18957.71</v>
      </c>
      <c r="J1050" s="127">
        <v>18902.91</v>
      </c>
      <c r="K1050" s="127">
        <v>18863.36</v>
      </c>
      <c r="L1050" s="127">
        <v>18964.439999999999</v>
      </c>
      <c r="M1050" s="127">
        <v>19009.099999999999</v>
      </c>
      <c r="N1050" s="127">
        <v>19002</v>
      </c>
      <c r="O1050" s="127"/>
      <c r="P1050" s="61"/>
      <c r="Q1050" s="62"/>
      <c r="R1050" s="62"/>
      <c r="S1050" s="139"/>
      <c r="T1050" s="5"/>
      <c r="U1050" s="140"/>
      <c r="V1050" s="173"/>
      <c r="W1050" s="11"/>
      <c r="X1050" s="118"/>
      <c r="Y1050" s="118"/>
      <c r="Z1050" s="118"/>
      <c r="AA1050" s="118"/>
    </row>
    <row r="1051" spans="1:30" ht="23.4" thickBot="1" x14ac:dyDescent="0.35">
      <c r="A1051" s="213"/>
      <c r="B1051" s="63"/>
      <c r="C1051" s="64"/>
      <c r="D1051" s="64"/>
      <c r="E1051" s="65" t="s">
        <v>188</v>
      </c>
      <c r="F1051" s="53">
        <f t="shared" ref="F1051:N1051" si="345">IF(((F1049="")*AND(F1050="")),"",(F1049-F1050)*3)</f>
        <v>4829.1599999999926</v>
      </c>
      <c r="G1051" s="53">
        <f t="shared" si="345"/>
        <v>4301.0400000000009</v>
      </c>
      <c r="H1051" s="53">
        <f t="shared" si="345"/>
        <v>4384.0200000000004</v>
      </c>
      <c r="I1051" s="53">
        <f t="shared" si="345"/>
        <v>4465.4700000000048</v>
      </c>
      <c r="J1051" s="53">
        <f t="shared" si="345"/>
        <v>4859.3100000000013</v>
      </c>
      <c r="K1051" s="53">
        <f t="shared" si="345"/>
        <v>4853.1299999999974</v>
      </c>
      <c r="L1051" s="53">
        <f t="shared" si="345"/>
        <v>4535.1600000000035</v>
      </c>
      <c r="M1051" s="53">
        <f t="shared" si="345"/>
        <v>4660.5600000000013</v>
      </c>
      <c r="N1051" s="53">
        <f t="shared" si="345"/>
        <v>5016.3900000000031</v>
      </c>
      <c r="O1051" s="65"/>
      <c r="P1051" s="65"/>
      <c r="Q1051" s="66"/>
      <c r="R1051" s="66"/>
      <c r="S1051" s="142"/>
      <c r="T1051" s="143"/>
      <c r="U1051" s="144"/>
      <c r="V1051" s="173"/>
      <c r="W1051" s="11"/>
      <c r="X1051" s="118"/>
      <c r="Y1051" s="118"/>
      <c r="Z1051" s="118"/>
      <c r="AA1051" s="118"/>
    </row>
    <row r="1052" spans="1:30" x14ac:dyDescent="0.25">
      <c r="A1052" s="209">
        <v>43585</v>
      </c>
      <c r="B1052" s="217" t="s">
        <v>174</v>
      </c>
      <c r="C1052" s="44" t="s">
        <v>176</v>
      </c>
      <c r="D1052" s="44" t="s">
        <v>175</v>
      </c>
      <c r="E1052" s="59" t="s">
        <v>186</v>
      </c>
      <c r="F1052" s="126">
        <v>3264</v>
      </c>
      <c r="G1052" s="126">
        <v>3145</v>
      </c>
      <c r="H1052" s="126">
        <v>3153</v>
      </c>
      <c r="I1052" s="126">
        <v>3137</v>
      </c>
      <c r="J1052" s="126">
        <v>3252</v>
      </c>
      <c r="K1052" s="126">
        <v>3241</v>
      </c>
      <c r="L1052" s="126">
        <v>3173</v>
      </c>
      <c r="M1052" s="126">
        <v>3190</v>
      </c>
      <c r="N1052" s="126">
        <v>3457</v>
      </c>
      <c r="O1052" s="59">
        <f>IF((N1053=""),"",MAX(F1054:N1054))</f>
        <v>4206</v>
      </c>
      <c r="P1052" s="59">
        <f>IF(N1053="","",MIN(F1054:N1054))</f>
        <v>3864</v>
      </c>
      <c r="Q1052" s="60">
        <f>IF((N1054=""),"",AVERAGE(F1054:N1054))</f>
        <v>4086</v>
      </c>
      <c r="R1052" s="60">
        <f>IF((N1053=""),"",(O1052-P1052)/(O1052+P1052)*100)</f>
        <v>4.2379182156133828</v>
      </c>
      <c r="S1052" s="131">
        <f>STDEV(F1054:N1054)</f>
        <v>109.80892495603443</v>
      </c>
      <c r="T1052" s="137" t="str">
        <f>IF(N1053="","",IF(Q1052&gt;3650,IF(R1052&lt;7,IF(Q1052&lt;4450,"Pass","Fail"),"Fail"),"Fail"))</f>
        <v>Pass</v>
      </c>
      <c r="U1052" s="149">
        <v>1340</v>
      </c>
      <c r="V1052" s="127"/>
      <c r="W1052" s="11"/>
      <c r="X1052" s="116">
        <v>3650</v>
      </c>
      <c r="Y1052" s="116">
        <v>4450</v>
      </c>
      <c r="Z1052" s="116">
        <v>3700</v>
      </c>
      <c r="AA1052" s="116">
        <v>4100</v>
      </c>
      <c r="AB1052" s="31">
        <v>7</v>
      </c>
      <c r="AC1052" s="31">
        <v>6.5</v>
      </c>
    </row>
    <row r="1053" spans="1:30" ht="15.6" x14ac:dyDescent="0.3">
      <c r="A1053" s="212"/>
      <c r="B1053" s="24"/>
      <c r="C1053" s="6"/>
      <c r="D1053" s="6"/>
      <c r="E1053" s="61" t="s">
        <v>187</v>
      </c>
      <c r="F1053" s="127">
        <v>1269</v>
      </c>
      <c r="G1053" s="127">
        <v>1069</v>
      </c>
      <c r="H1053" s="127">
        <v>1074</v>
      </c>
      <c r="I1053" s="127">
        <v>1073</v>
      </c>
      <c r="J1053" s="127">
        <v>1320</v>
      </c>
      <c r="K1053" s="127">
        <v>1240</v>
      </c>
      <c r="L1053" s="127">
        <v>1104</v>
      </c>
      <c r="M1053" s="127">
        <v>1122</v>
      </c>
      <c r="N1053" s="127">
        <v>1354</v>
      </c>
      <c r="O1053" s="61"/>
      <c r="P1053" s="61"/>
      <c r="Q1053" s="62"/>
      <c r="R1053" s="62"/>
      <c r="S1053" s="139"/>
      <c r="T1053" s="8"/>
      <c r="U1053" s="146"/>
      <c r="V1053" s="127"/>
      <c r="W1053" s="11"/>
      <c r="X1053" s="118"/>
      <c r="Y1053" s="118"/>
      <c r="Z1053" s="118"/>
      <c r="AA1053" s="118"/>
    </row>
    <row r="1054" spans="1:30" ht="23.4" thickBot="1" x14ac:dyDescent="0.35">
      <c r="A1054" s="212"/>
      <c r="B1054" s="24"/>
      <c r="C1054" s="6"/>
      <c r="D1054" s="6"/>
      <c r="E1054" s="61" t="s">
        <v>188</v>
      </c>
      <c r="F1054" s="40">
        <f t="shared" ref="F1054:N1054" si="346">IF(((F1052="")*AND(F1053="")),"",(F1052-F1053)*2)</f>
        <v>3990</v>
      </c>
      <c r="G1054" s="40">
        <f t="shared" si="346"/>
        <v>4152</v>
      </c>
      <c r="H1054" s="40">
        <f t="shared" si="346"/>
        <v>4158</v>
      </c>
      <c r="I1054" s="40">
        <f t="shared" si="346"/>
        <v>4128</v>
      </c>
      <c r="J1054" s="40">
        <f t="shared" si="346"/>
        <v>3864</v>
      </c>
      <c r="K1054" s="40">
        <f t="shared" si="346"/>
        <v>4002</v>
      </c>
      <c r="L1054" s="40">
        <f t="shared" si="346"/>
        <v>4138</v>
      </c>
      <c r="M1054" s="40">
        <f t="shared" si="346"/>
        <v>4136</v>
      </c>
      <c r="N1054" s="40">
        <f t="shared" si="346"/>
        <v>4206</v>
      </c>
      <c r="O1054" s="61"/>
      <c r="P1054" s="61"/>
      <c r="Q1054" s="62"/>
      <c r="R1054" s="62"/>
      <c r="S1054" s="139"/>
      <c r="T1054" s="8"/>
      <c r="U1054" s="146"/>
      <c r="V1054" s="127"/>
      <c r="W1054" s="11"/>
      <c r="X1054" s="118"/>
      <c r="Y1054" s="118"/>
      <c r="Z1054" s="118"/>
      <c r="AA1054" s="118"/>
    </row>
    <row r="1055" spans="1:30" x14ac:dyDescent="0.25">
      <c r="A1055" s="207">
        <v>43585</v>
      </c>
      <c r="B1055" s="215" t="s">
        <v>169</v>
      </c>
      <c r="C1055" s="6" t="s">
        <v>171</v>
      </c>
      <c r="D1055" s="6" t="s">
        <v>189</v>
      </c>
      <c r="E1055" s="61" t="s">
        <v>186</v>
      </c>
      <c r="F1055" s="127">
        <v>1997</v>
      </c>
      <c r="G1055" s="127">
        <v>1992</v>
      </c>
      <c r="H1055" s="127">
        <v>1983</v>
      </c>
      <c r="I1055" s="127">
        <v>1999</v>
      </c>
      <c r="J1055" s="127">
        <v>1998</v>
      </c>
      <c r="K1055" s="127">
        <v>2000</v>
      </c>
      <c r="L1055" s="127">
        <v>1994</v>
      </c>
      <c r="M1055" s="127">
        <v>1993</v>
      </c>
      <c r="N1055" s="127">
        <v>2003</v>
      </c>
      <c r="O1055" s="61">
        <f>IF((N1056=""),"",MAX(F1057:N1057))</f>
        <v>2196</v>
      </c>
      <c r="P1055" s="61">
        <f>IF(N1056="","",MIN(F1057:N1057))</f>
        <v>2121</v>
      </c>
      <c r="Q1055" s="62">
        <f>IF((N1057=""),"",AVERAGE(F1057:N1057))</f>
        <v>2171</v>
      </c>
      <c r="R1055" s="62">
        <f>IF((N1056=""),"",(O1055-P1055)/(O1055+P1055)*100)</f>
        <v>1.7373175816539264</v>
      </c>
      <c r="S1055" s="139">
        <f>STDEV(F1057:N1057)</f>
        <v>26.196373794859472</v>
      </c>
      <c r="T1055" s="5" t="str">
        <f>IF(N1056="","",IF(Q1055&gt;1940,IF(R1055&lt;8.3,IF(Q1055&lt;2180,"Pass","Fail"),"Fail"),"Fail"))</f>
        <v>Pass</v>
      </c>
      <c r="U1055" s="149">
        <v>1340</v>
      </c>
      <c r="V1055" s="127"/>
      <c r="W1055" s="11"/>
      <c r="X1055" s="116">
        <v>2000</v>
      </c>
      <c r="Y1055" s="116">
        <v>3000</v>
      </c>
      <c r="Z1055" s="116">
        <v>1940</v>
      </c>
      <c r="AA1055" s="116">
        <v>2180</v>
      </c>
      <c r="AB1055" s="31">
        <v>5.2</v>
      </c>
      <c r="AC1055" s="31">
        <v>5.2</v>
      </c>
    </row>
    <row r="1056" spans="1:30" ht="15.6" x14ac:dyDescent="0.3">
      <c r="A1056" s="212"/>
      <c r="B1056" s="24"/>
      <c r="C1056" s="6"/>
      <c r="D1056" s="6"/>
      <c r="E1056" s="61" t="s">
        <v>187</v>
      </c>
      <c r="F1056" s="127">
        <v>1277</v>
      </c>
      <c r="G1056" s="127">
        <v>1260</v>
      </c>
      <c r="H1056" s="127">
        <v>1255</v>
      </c>
      <c r="I1056" s="128">
        <v>1271</v>
      </c>
      <c r="J1056" s="128">
        <v>1291</v>
      </c>
      <c r="K1056" s="128">
        <v>1272</v>
      </c>
      <c r="L1056" s="127">
        <v>1265</v>
      </c>
      <c r="M1056" s="127">
        <v>1264</v>
      </c>
      <c r="N1056" s="127">
        <v>1291</v>
      </c>
      <c r="O1056" s="61"/>
      <c r="P1056" s="61"/>
      <c r="Q1056" s="62"/>
      <c r="R1056" s="62"/>
      <c r="S1056" s="139"/>
      <c r="T1056" s="5"/>
      <c r="U1056" s="140"/>
      <c r="V1056" s="173"/>
      <c r="W1056" s="11"/>
      <c r="X1056" s="118"/>
      <c r="Y1056" s="118"/>
      <c r="Z1056" s="118"/>
      <c r="AA1056" s="118"/>
    </row>
    <row r="1057" spans="1:29" ht="25.5" customHeight="1" thickBot="1" x14ac:dyDescent="0.35">
      <c r="A1057" s="212"/>
      <c r="B1057" s="24"/>
      <c r="C1057" s="6"/>
      <c r="D1057" s="6"/>
      <c r="E1057" s="61" t="s">
        <v>190</v>
      </c>
      <c r="F1057" s="40">
        <f t="shared" ref="F1057:N1057" si="347">IF(((F1055="")*AND(F1056="")),"",(F1055-F1056)*3)</f>
        <v>2160</v>
      </c>
      <c r="G1057" s="40">
        <f t="shared" si="347"/>
        <v>2196</v>
      </c>
      <c r="H1057" s="40">
        <f t="shared" si="347"/>
        <v>2184</v>
      </c>
      <c r="I1057" s="40">
        <f t="shared" si="347"/>
        <v>2184</v>
      </c>
      <c r="J1057" s="40">
        <f t="shared" si="347"/>
        <v>2121</v>
      </c>
      <c r="K1057" s="40">
        <f t="shared" si="347"/>
        <v>2184</v>
      </c>
      <c r="L1057" s="40">
        <f t="shared" si="347"/>
        <v>2187</v>
      </c>
      <c r="M1057" s="40">
        <f t="shared" si="347"/>
        <v>2187</v>
      </c>
      <c r="N1057" s="40">
        <f t="shared" si="347"/>
        <v>2136</v>
      </c>
      <c r="O1057" s="61"/>
      <c r="P1057" s="61"/>
      <c r="Q1057" s="62"/>
      <c r="R1057" s="62"/>
      <c r="S1057" s="139"/>
      <c r="T1057" s="5"/>
      <c r="U1057" s="140"/>
      <c r="V1057" s="173"/>
      <c r="W1057" s="11"/>
      <c r="X1057" s="118"/>
      <c r="Y1057" s="118"/>
      <c r="Z1057" s="118"/>
      <c r="AA1057" s="118"/>
    </row>
    <row r="1058" spans="1:29" x14ac:dyDescent="0.25">
      <c r="A1058" s="207">
        <v>43585</v>
      </c>
      <c r="B1058" s="218" t="s">
        <v>185</v>
      </c>
      <c r="C1058" s="6" t="s">
        <v>173</v>
      </c>
      <c r="D1058" s="6" t="s">
        <v>172</v>
      </c>
      <c r="E1058" s="61" t="s">
        <v>186</v>
      </c>
      <c r="F1058" s="127">
        <v>29103</v>
      </c>
      <c r="G1058" s="127">
        <v>29086</v>
      </c>
      <c r="H1058" s="127">
        <v>29068</v>
      </c>
      <c r="I1058" s="127">
        <v>29136</v>
      </c>
      <c r="J1058" s="127">
        <v>29051</v>
      </c>
      <c r="K1058" s="128">
        <v>29369</v>
      </c>
      <c r="L1058" s="128">
        <v>29151</v>
      </c>
      <c r="M1058" s="128">
        <v>29105</v>
      </c>
      <c r="N1058" s="128">
        <v>29364</v>
      </c>
      <c r="O1058" s="61">
        <f>IF((N1059=""),"",MAX(F1060:N1060))</f>
        <v>4833</v>
      </c>
      <c r="P1058" s="61">
        <f>IF(N1059="","",MIN(F1060:N1060))</f>
        <v>3951</v>
      </c>
      <c r="Q1058" s="62">
        <f>IF((N1060=""),"",AVERAGE(F1060:N1060))</f>
        <v>4244.333333333333</v>
      </c>
      <c r="R1058" s="62">
        <f>IF((N1059=""),"",(O1058-P1058)/(O1058+P1058)*100)</f>
        <v>10.040983606557377</v>
      </c>
      <c r="S1058" s="139">
        <f>STDEV(F1060:N1060)</f>
        <v>344.14059626844374</v>
      </c>
      <c r="T1058" s="5" t="str">
        <f>IF(N1059="","",IF(R1058&lt;16,IF(Q1058&gt;3200,IF(R1058,IF(Q1058&lt;5240,"Pass","Fail"),"Fail"),"Fail")))</f>
        <v>Pass</v>
      </c>
      <c r="U1058" s="149">
        <v>1340</v>
      </c>
      <c r="V1058" s="127"/>
      <c r="W1058" s="11"/>
      <c r="X1058" s="116">
        <v>4200</v>
      </c>
      <c r="Y1058" s="116">
        <v>5500</v>
      </c>
      <c r="Z1058" s="116">
        <v>3200</v>
      </c>
      <c r="AA1058" s="116">
        <v>5240</v>
      </c>
      <c r="AB1058" s="31">
        <v>16</v>
      </c>
      <c r="AC1058" s="31">
        <v>16</v>
      </c>
    </row>
    <row r="1059" spans="1:29" ht="15.6" x14ac:dyDescent="0.3">
      <c r="A1059" s="212"/>
      <c r="B1059" s="24"/>
      <c r="C1059" s="6"/>
      <c r="D1059" s="6"/>
      <c r="E1059" s="61" t="s">
        <v>187</v>
      </c>
      <c r="F1059" s="127">
        <v>27692</v>
      </c>
      <c r="G1059" s="127">
        <v>27769</v>
      </c>
      <c r="H1059" s="127">
        <v>27733</v>
      </c>
      <c r="I1059" s="128">
        <v>27713</v>
      </c>
      <c r="J1059" s="128">
        <v>27719</v>
      </c>
      <c r="K1059" s="128">
        <v>27758</v>
      </c>
      <c r="L1059" s="128">
        <v>27790</v>
      </c>
      <c r="M1059" s="128">
        <v>27765</v>
      </c>
      <c r="N1059" s="128">
        <v>27761</v>
      </c>
      <c r="O1059" s="127"/>
      <c r="P1059" s="61"/>
      <c r="Q1059" s="62"/>
      <c r="R1059" s="62"/>
      <c r="S1059" s="139"/>
      <c r="T1059" s="5"/>
      <c r="U1059" s="140"/>
      <c r="V1059" s="173"/>
      <c r="W1059" s="11"/>
      <c r="X1059" s="118"/>
      <c r="Y1059" s="118"/>
      <c r="Z1059" s="118"/>
      <c r="AA1059" s="118"/>
    </row>
    <row r="1060" spans="1:29" ht="23.4" thickBot="1" x14ac:dyDescent="0.35">
      <c r="A1060" s="213"/>
      <c r="B1060" s="63"/>
      <c r="C1060" s="64"/>
      <c r="D1060" s="64"/>
      <c r="E1060" s="65" t="s">
        <v>188</v>
      </c>
      <c r="F1060" s="53">
        <f t="shared" ref="F1060:N1060" si="348">IF(((F1058="")*AND(F1059="")),"",(F1058-F1059)*3)</f>
        <v>4233</v>
      </c>
      <c r="G1060" s="53">
        <f t="shared" si="348"/>
        <v>3951</v>
      </c>
      <c r="H1060" s="53">
        <f t="shared" si="348"/>
        <v>4005</v>
      </c>
      <c r="I1060" s="53">
        <f t="shared" si="348"/>
        <v>4269</v>
      </c>
      <c r="J1060" s="53">
        <f t="shared" si="348"/>
        <v>3996</v>
      </c>
      <c r="K1060" s="53">
        <f t="shared" si="348"/>
        <v>4833</v>
      </c>
      <c r="L1060" s="53">
        <f t="shared" si="348"/>
        <v>4083</v>
      </c>
      <c r="M1060" s="53">
        <f t="shared" si="348"/>
        <v>4020</v>
      </c>
      <c r="N1060" s="53">
        <f t="shared" si="348"/>
        <v>4809</v>
      </c>
      <c r="O1060" s="65"/>
      <c r="P1060" s="65"/>
      <c r="Q1060" s="66"/>
      <c r="R1060" s="66"/>
      <c r="S1060" s="142"/>
      <c r="T1060" s="143"/>
      <c r="U1060" s="144"/>
      <c r="V1060" s="173"/>
      <c r="W1060" s="11"/>
      <c r="X1060" s="118"/>
      <c r="Y1060" s="118"/>
      <c r="Z1060" s="118"/>
      <c r="AA1060" s="118"/>
    </row>
    <row r="1061" spans="1:29" x14ac:dyDescent="0.25">
      <c r="A1061" s="209">
        <v>43588</v>
      </c>
      <c r="B1061" s="217" t="s">
        <v>174</v>
      </c>
      <c r="C1061" s="44" t="s">
        <v>176</v>
      </c>
      <c r="D1061" s="44" t="s">
        <v>175</v>
      </c>
      <c r="E1061" s="59" t="s">
        <v>186</v>
      </c>
      <c r="F1061" s="126">
        <v>3264</v>
      </c>
      <c r="G1061" s="126">
        <v>3145</v>
      </c>
      <c r="H1061" s="126">
        <v>3153</v>
      </c>
      <c r="I1061" s="126">
        <v>3137</v>
      </c>
      <c r="J1061" s="126">
        <v>3252</v>
      </c>
      <c r="K1061" s="126">
        <v>3241</v>
      </c>
      <c r="L1061" s="126">
        <v>3173</v>
      </c>
      <c r="M1061" s="126">
        <v>3190</v>
      </c>
      <c r="N1061" s="126">
        <v>3457</v>
      </c>
      <c r="O1061" s="59">
        <f>IF((N1062=""),"",MAX(F1063:N1063))</f>
        <v>4206</v>
      </c>
      <c r="P1061" s="59">
        <f>IF(N1062="","",MIN(F1063:N1063))</f>
        <v>3864</v>
      </c>
      <c r="Q1061" s="60">
        <f>IF((N1063=""),"",AVERAGE(F1063:N1063))</f>
        <v>4086</v>
      </c>
      <c r="R1061" s="60">
        <f>IF((N1062=""),"",(O1061-P1061)/(O1061+P1061)*100)</f>
        <v>4.2379182156133828</v>
      </c>
      <c r="S1061" s="131">
        <f>STDEV(F1063:N1063)</f>
        <v>109.80892495603443</v>
      </c>
      <c r="T1061" s="137" t="str">
        <f>IF(N1062="","",IF(Q1061&gt;3650,IF(R1061&lt;7,IF(Q1061&lt;4450,"Pass","Fail"),"Fail"),"Fail"))</f>
        <v>Pass</v>
      </c>
      <c r="U1061" s="149">
        <v>1340</v>
      </c>
      <c r="V1061" s="127"/>
      <c r="W1061" s="11"/>
      <c r="X1061" s="116">
        <v>3650</v>
      </c>
      <c r="Y1061" s="116">
        <v>4450</v>
      </c>
      <c r="Z1061" s="116">
        <v>3700</v>
      </c>
      <c r="AA1061" s="116">
        <v>4100</v>
      </c>
      <c r="AB1061" s="31">
        <v>7</v>
      </c>
      <c r="AC1061" s="31">
        <v>6.5</v>
      </c>
    </row>
    <row r="1062" spans="1:29" ht="15.6" x14ac:dyDescent="0.3">
      <c r="A1062" s="212"/>
      <c r="B1062" s="24"/>
      <c r="C1062" s="6"/>
      <c r="D1062" s="6"/>
      <c r="E1062" s="61" t="s">
        <v>187</v>
      </c>
      <c r="F1062" s="127">
        <v>1269</v>
      </c>
      <c r="G1062" s="127">
        <v>1069</v>
      </c>
      <c r="H1062" s="127">
        <v>1074</v>
      </c>
      <c r="I1062" s="127">
        <v>1073</v>
      </c>
      <c r="J1062" s="127">
        <v>1320</v>
      </c>
      <c r="K1062" s="127">
        <v>1240</v>
      </c>
      <c r="L1062" s="127">
        <v>1104</v>
      </c>
      <c r="M1062" s="127">
        <v>1122</v>
      </c>
      <c r="N1062" s="127">
        <v>1354</v>
      </c>
      <c r="O1062" s="61"/>
      <c r="P1062" s="61"/>
      <c r="Q1062" s="62"/>
      <c r="R1062" s="62"/>
      <c r="S1062" s="139"/>
      <c r="T1062" s="8"/>
      <c r="U1062" s="146"/>
      <c r="V1062" s="127"/>
      <c r="W1062" s="11"/>
      <c r="X1062" s="118"/>
      <c r="Y1062" s="118"/>
      <c r="Z1062" s="118"/>
      <c r="AA1062" s="118"/>
    </row>
    <row r="1063" spans="1:29" ht="23.4" thickBot="1" x14ac:dyDescent="0.35">
      <c r="A1063" s="212"/>
      <c r="B1063" s="24"/>
      <c r="C1063" s="6"/>
      <c r="D1063" s="6"/>
      <c r="E1063" s="61" t="s">
        <v>188</v>
      </c>
      <c r="F1063" s="40">
        <f t="shared" ref="F1063:N1063" si="349">IF(((F1061="")*AND(F1062="")),"",(F1061-F1062)*2)</f>
        <v>3990</v>
      </c>
      <c r="G1063" s="40">
        <f t="shared" si="349"/>
        <v>4152</v>
      </c>
      <c r="H1063" s="40">
        <f t="shared" si="349"/>
        <v>4158</v>
      </c>
      <c r="I1063" s="40">
        <f t="shared" si="349"/>
        <v>4128</v>
      </c>
      <c r="J1063" s="40">
        <f t="shared" si="349"/>
        <v>3864</v>
      </c>
      <c r="K1063" s="40">
        <f t="shared" si="349"/>
        <v>4002</v>
      </c>
      <c r="L1063" s="40">
        <f t="shared" si="349"/>
        <v>4138</v>
      </c>
      <c r="M1063" s="40">
        <f t="shared" si="349"/>
        <v>4136</v>
      </c>
      <c r="N1063" s="40">
        <f t="shared" si="349"/>
        <v>4206</v>
      </c>
      <c r="O1063" s="61"/>
      <c r="P1063" s="61"/>
      <c r="Q1063" s="62"/>
      <c r="R1063" s="62"/>
      <c r="S1063" s="139"/>
      <c r="T1063" s="8"/>
      <c r="U1063" s="146"/>
      <c r="V1063" s="127"/>
      <c r="W1063" s="11"/>
      <c r="X1063" s="118"/>
      <c r="Y1063" s="118"/>
      <c r="Z1063" s="118"/>
      <c r="AA1063" s="118"/>
    </row>
    <row r="1064" spans="1:29" x14ac:dyDescent="0.25">
      <c r="A1064" s="207">
        <v>43588</v>
      </c>
      <c r="B1064" s="215" t="s">
        <v>169</v>
      </c>
      <c r="C1064" s="6" t="s">
        <v>171</v>
      </c>
      <c r="D1064" s="6" t="s">
        <v>189</v>
      </c>
      <c r="E1064" s="61" t="s">
        <v>186</v>
      </c>
      <c r="F1064" s="127">
        <v>1964.26</v>
      </c>
      <c r="G1064" s="127">
        <v>1969.48</v>
      </c>
      <c r="H1064" s="127">
        <v>1964.81</v>
      </c>
      <c r="I1064" s="127">
        <v>1967.28</v>
      </c>
      <c r="J1064" s="127">
        <v>1969.39</v>
      </c>
      <c r="K1064" s="127">
        <v>1965.98</v>
      </c>
      <c r="L1064" s="127">
        <v>1970.58</v>
      </c>
      <c r="M1064" s="127">
        <v>1968.79</v>
      </c>
      <c r="N1064" s="127">
        <v>1966.36</v>
      </c>
      <c r="O1064" s="61">
        <f>IF((N1065=""),"",MAX(F1066:N1066))</f>
        <v>2059.6799999999998</v>
      </c>
      <c r="P1064" s="61">
        <f>IF(N1065="","",MIN(F1066:N1066))</f>
        <v>2012.8199999999995</v>
      </c>
      <c r="Q1064" s="62">
        <f>IF((N1066=""),"",AVERAGE(F1066:N1066))</f>
        <v>2045.0633333333333</v>
      </c>
      <c r="R1064" s="62">
        <f>IF((N1065=""),"",(O1064-P1064)/(O1064+P1064)*100)</f>
        <v>1.1506445672191619</v>
      </c>
      <c r="S1064" s="139">
        <f>STDEV(F1066:N1066)</f>
        <v>17.807209916210859</v>
      </c>
      <c r="T1064" s="5" t="str">
        <f>IF(N1065="","",IF(Q1064&gt;1940,IF(R1064&lt;8.3,IF(Q1064&lt;2180,"Pass","Fail"),"Fail"),"Fail"))</f>
        <v>Pass</v>
      </c>
      <c r="U1064" s="149">
        <v>1340</v>
      </c>
      <c r="V1064" s="127"/>
      <c r="W1064" s="11"/>
      <c r="X1064" s="116">
        <v>2000</v>
      </c>
      <c r="Y1064" s="116">
        <v>3000</v>
      </c>
      <c r="Z1064" s="116">
        <v>1940</v>
      </c>
      <c r="AA1064" s="116">
        <v>2180</v>
      </c>
      <c r="AB1064" s="31">
        <v>5.2</v>
      </c>
      <c r="AC1064" s="31">
        <v>5.2</v>
      </c>
    </row>
    <row r="1065" spans="1:29" ht="15.6" x14ac:dyDescent="0.3">
      <c r="A1065" s="212"/>
      <c r="B1065" s="24"/>
      <c r="C1065" s="6"/>
      <c r="D1065" s="6"/>
      <c r="E1065" s="61" t="s">
        <v>187</v>
      </c>
      <c r="F1065" s="127">
        <v>1292.0999999999999</v>
      </c>
      <c r="G1065" s="127">
        <v>1284.1600000000001</v>
      </c>
      <c r="H1065" s="127">
        <v>1281.67</v>
      </c>
      <c r="I1065" s="127">
        <v>1281.3900000000001</v>
      </c>
      <c r="J1065" s="127">
        <v>1285.92</v>
      </c>
      <c r="K1065" s="127">
        <v>1283.9000000000001</v>
      </c>
      <c r="L1065" s="127">
        <v>1284.95</v>
      </c>
      <c r="M1065" s="127">
        <v>1282.23</v>
      </c>
      <c r="N1065" s="127">
        <v>1295.42</v>
      </c>
      <c r="O1065" s="61"/>
      <c r="P1065" s="61"/>
      <c r="Q1065" s="62"/>
      <c r="R1065" s="62"/>
      <c r="S1065" s="139"/>
      <c r="T1065" s="5"/>
      <c r="U1065" s="140"/>
      <c r="V1065" s="173"/>
      <c r="W1065" s="11"/>
      <c r="X1065" s="118"/>
      <c r="Y1065" s="118"/>
      <c r="Z1065" s="118"/>
      <c r="AA1065" s="118"/>
    </row>
    <row r="1066" spans="1:29" ht="21.6" customHeight="1" thickBot="1" x14ac:dyDescent="0.35">
      <c r="A1066" s="212"/>
      <c r="B1066" s="24"/>
      <c r="C1066" s="6"/>
      <c r="D1066" s="6"/>
      <c r="E1066" s="61" t="s">
        <v>190</v>
      </c>
      <c r="F1066" s="40">
        <f t="shared" ref="F1066:N1066" si="350">IF(((F1064="")*AND(F1065="")),"",(F1064-F1065)*3)</f>
        <v>2016.4800000000002</v>
      </c>
      <c r="G1066" s="40">
        <f t="shared" si="350"/>
        <v>2055.96</v>
      </c>
      <c r="H1066" s="40">
        <f t="shared" si="350"/>
        <v>2049.4199999999996</v>
      </c>
      <c r="I1066" s="40">
        <f t="shared" si="350"/>
        <v>2057.6699999999996</v>
      </c>
      <c r="J1066" s="40">
        <f t="shared" si="350"/>
        <v>2050.41</v>
      </c>
      <c r="K1066" s="40">
        <f t="shared" si="350"/>
        <v>2046.2399999999998</v>
      </c>
      <c r="L1066" s="40">
        <f t="shared" si="350"/>
        <v>2056.8899999999994</v>
      </c>
      <c r="M1066" s="40">
        <f t="shared" si="350"/>
        <v>2059.6799999999998</v>
      </c>
      <c r="N1066" s="40">
        <f t="shared" si="350"/>
        <v>2012.8199999999995</v>
      </c>
      <c r="O1066" s="61"/>
      <c r="P1066" s="61"/>
      <c r="Q1066" s="62"/>
      <c r="R1066" s="62"/>
      <c r="S1066" s="139"/>
      <c r="T1066" s="5"/>
      <c r="U1066" s="140"/>
      <c r="V1066" s="173"/>
      <c r="W1066" s="11"/>
      <c r="X1066" s="118"/>
      <c r="Y1066" s="118"/>
      <c r="Z1066" s="118"/>
      <c r="AA1066" s="118"/>
    </row>
    <row r="1067" spans="1:29" x14ac:dyDescent="0.25">
      <c r="A1067" s="207">
        <v>43588</v>
      </c>
      <c r="B1067" s="218" t="s">
        <v>185</v>
      </c>
      <c r="C1067" s="6" t="s">
        <v>173</v>
      </c>
      <c r="D1067" s="6" t="s">
        <v>172</v>
      </c>
      <c r="E1067" s="61" t="s">
        <v>186</v>
      </c>
      <c r="F1067" s="127">
        <v>28987.5</v>
      </c>
      <c r="G1067" s="127">
        <v>28920.44</v>
      </c>
      <c r="H1067" s="127">
        <v>28948.17</v>
      </c>
      <c r="I1067" s="127">
        <v>28918.13</v>
      </c>
      <c r="J1067" s="127">
        <v>29030.97</v>
      </c>
      <c r="K1067" s="127">
        <v>29043</v>
      </c>
      <c r="L1067" s="127">
        <v>28914.52</v>
      </c>
      <c r="M1067" s="127">
        <v>28912.21</v>
      </c>
      <c r="N1067" s="127">
        <v>29035.66</v>
      </c>
      <c r="O1067" s="61">
        <f>IF((N1068=""),"",MAX(F1069:N1069))</f>
        <v>4749.2399999999943</v>
      </c>
      <c r="P1067" s="61">
        <f>IF(N1068="","",MIN(F1069:N1069))</f>
        <v>4106.8500000000022</v>
      </c>
      <c r="Q1067" s="62">
        <f>IF((N1069=""),"",AVERAGE(F1069:N1069))</f>
        <v>4344.5066666666644</v>
      </c>
      <c r="R1067" s="62">
        <f>IF((N1068=""),"",(O1067-P1067)/(O1067+P1067)*100)</f>
        <v>7.2536525712813713</v>
      </c>
      <c r="S1067" s="139">
        <f>STDEV(F1069:N1069)</f>
        <v>223.33280799067603</v>
      </c>
      <c r="T1067" s="5" t="str">
        <f>IF(N1068="","",IF(R1067&lt;16,IF(Q1067&gt;3200,IF(R1067,IF(Q1067&lt;5240,"Pass","Fail"),"Fail"),"Fail")))</f>
        <v>Pass</v>
      </c>
      <c r="U1067" s="149">
        <v>1340</v>
      </c>
      <c r="V1067" s="127"/>
      <c r="W1067" s="11"/>
      <c r="X1067" s="116">
        <v>4200</v>
      </c>
      <c r="Y1067" s="116">
        <v>5500</v>
      </c>
      <c r="Z1067" s="116">
        <v>3200</v>
      </c>
      <c r="AA1067" s="116">
        <v>5240</v>
      </c>
      <c r="AB1067" s="31">
        <v>16</v>
      </c>
      <c r="AC1067" s="31">
        <v>16</v>
      </c>
    </row>
    <row r="1068" spans="1:29" ht="15.6" x14ac:dyDescent="0.3">
      <c r="A1068" s="212"/>
      <c r="B1068" s="24"/>
      <c r="C1068" s="6"/>
      <c r="D1068" s="6"/>
      <c r="E1068" s="61" t="s">
        <v>187</v>
      </c>
      <c r="F1068" s="127">
        <v>27491.84</v>
      </c>
      <c r="G1068" s="127">
        <v>27512.63</v>
      </c>
      <c r="H1068" s="127">
        <v>27576.27</v>
      </c>
      <c r="I1068" s="127">
        <v>27517.23</v>
      </c>
      <c r="J1068" s="127">
        <v>27513.89</v>
      </c>
      <c r="K1068" s="127">
        <v>27559.3</v>
      </c>
      <c r="L1068" s="127">
        <v>27545.57</v>
      </c>
      <c r="M1068" s="127">
        <v>27507.77</v>
      </c>
      <c r="N1068" s="127">
        <v>27452.58</v>
      </c>
      <c r="O1068" s="127"/>
      <c r="P1068" s="61"/>
      <c r="Q1068" s="62"/>
      <c r="R1068" s="62"/>
      <c r="S1068" s="139"/>
      <c r="T1068" s="5"/>
      <c r="U1068" s="140"/>
      <c r="V1068" s="173"/>
      <c r="W1068" s="11"/>
      <c r="X1068" s="118"/>
      <c r="Y1068" s="118"/>
      <c r="Z1068" s="118"/>
      <c r="AA1068" s="118"/>
    </row>
    <row r="1069" spans="1:29" ht="23.4" thickBot="1" x14ac:dyDescent="0.35">
      <c r="A1069" s="213"/>
      <c r="B1069" s="63"/>
      <c r="C1069" s="64"/>
      <c r="D1069" s="64"/>
      <c r="E1069" s="65" t="s">
        <v>188</v>
      </c>
      <c r="F1069" s="53">
        <f t="shared" ref="F1069:N1069" si="351">IF(((F1067="")*AND(F1068="")),"",(F1067-F1068)*3)</f>
        <v>4486.9799999999996</v>
      </c>
      <c r="G1069" s="53">
        <f t="shared" si="351"/>
        <v>4223.429999999993</v>
      </c>
      <c r="H1069" s="53">
        <f t="shared" si="351"/>
        <v>4115.6999999999935</v>
      </c>
      <c r="I1069" s="53">
        <f t="shared" si="351"/>
        <v>4202.7000000000044</v>
      </c>
      <c r="J1069" s="53">
        <f t="shared" si="351"/>
        <v>4551.2400000000052</v>
      </c>
      <c r="K1069" s="53">
        <f t="shared" si="351"/>
        <v>4451.1000000000022</v>
      </c>
      <c r="L1069" s="53">
        <f t="shared" si="351"/>
        <v>4106.8500000000022</v>
      </c>
      <c r="M1069" s="53">
        <f t="shared" si="351"/>
        <v>4213.3199999999961</v>
      </c>
      <c r="N1069" s="53">
        <f t="shared" si="351"/>
        <v>4749.2399999999943</v>
      </c>
      <c r="O1069" s="65"/>
      <c r="P1069" s="65"/>
      <c r="Q1069" s="66"/>
      <c r="R1069" s="66"/>
      <c r="S1069" s="142"/>
      <c r="T1069" s="143"/>
      <c r="U1069" s="144"/>
      <c r="V1069" s="173"/>
      <c r="W1069" s="11"/>
      <c r="X1069" s="118"/>
      <c r="Y1069" s="118"/>
      <c r="Z1069" s="118"/>
      <c r="AA1069" s="118"/>
    </row>
    <row r="1070" spans="1:29" customFormat="1" ht="16.2" thickBot="1" x14ac:dyDescent="0.35">
      <c r="A1070" s="209">
        <v>43595</v>
      </c>
      <c r="B1070" s="228" t="s">
        <v>174</v>
      </c>
      <c r="C1070" s="229" t="s">
        <v>176</v>
      </c>
      <c r="D1070" s="229" t="s">
        <v>175</v>
      </c>
      <c r="E1070" s="59" t="s">
        <v>186</v>
      </c>
      <c r="F1070">
        <v>3264</v>
      </c>
      <c r="G1070">
        <v>3045</v>
      </c>
      <c r="H1070">
        <v>3153</v>
      </c>
      <c r="I1070">
        <v>3037</v>
      </c>
      <c r="J1070">
        <v>3152</v>
      </c>
      <c r="K1070">
        <v>3241</v>
      </c>
      <c r="L1070">
        <v>3073</v>
      </c>
      <c r="M1070">
        <v>3090</v>
      </c>
      <c r="N1070">
        <v>3157</v>
      </c>
      <c r="O1070" s="230">
        <f>IF((N1071=""),"",MAX(F1072:N1072))</f>
        <v>4317</v>
      </c>
      <c r="P1070" s="230">
        <f>IF(N1071="","",MIN(F1072:N1072))</f>
        <v>3908.18</v>
      </c>
      <c r="Q1070" s="231">
        <f>IF((N1072=""),"",AVERAGE(F1072:N1072))</f>
        <v>4039.6644444444441</v>
      </c>
      <c r="R1070" s="231">
        <f>IF((N1071=""),"",(O1070-P1070)/(O1070+P1070)*100)</f>
        <v>4.9703471534969461</v>
      </c>
      <c r="S1070" s="232">
        <f>STDEV(F1072:N1072)</f>
        <v>122.72901400148939</v>
      </c>
      <c r="T1070" s="137" t="str">
        <f>IF(N1071="","",IF(Q1070&gt;3650,IF(R1070&lt;7,IF(Q1070&lt;4450,"Pass","Fail"),"Fail"),"Fail"))</f>
        <v>Pass</v>
      </c>
      <c r="U1070" s="249">
        <v>102</v>
      </c>
      <c r="V1070" t="s">
        <v>269</v>
      </c>
      <c r="W1070" s="233"/>
      <c r="X1070" s="116">
        <v>3650</v>
      </c>
      <c r="Y1070" s="116">
        <v>4450</v>
      </c>
      <c r="Z1070" s="116">
        <v>3700</v>
      </c>
      <c r="AA1070" s="116">
        <v>4100</v>
      </c>
      <c r="AB1070" s="31">
        <v>7</v>
      </c>
      <c r="AC1070" s="31">
        <v>6.5</v>
      </c>
    </row>
    <row r="1071" spans="1:29" customFormat="1" ht="16.649999999999999" customHeight="1" thickBot="1" x14ac:dyDescent="0.35">
      <c r="A1071" s="209"/>
      <c r="B1071" s="234"/>
      <c r="C1071" s="235"/>
      <c r="D1071" s="235"/>
      <c r="E1071" s="236" t="s">
        <v>187</v>
      </c>
      <c r="F1071">
        <v>1287.3599999999999</v>
      </c>
      <c r="G1071">
        <v>1019.48</v>
      </c>
      <c r="H1071">
        <v>994.5</v>
      </c>
      <c r="I1071">
        <v>993.6</v>
      </c>
      <c r="J1071">
        <v>1180.33</v>
      </c>
      <c r="K1071">
        <v>1227.54</v>
      </c>
      <c r="L1071">
        <v>1025.81</v>
      </c>
      <c r="M1071">
        <v>1135.9100000000001</v>
      </c>
      <c r="N1071">
        <v>1168.98</v>
      </c>
      <c r="O1071" s="237"/>
      <c r="P1071" s="237"/>
      <c r="Q1071" s="238"/>
      <c r="R1071" s="238"/>
      <c r="S1071" s="239"/>
      <c r="T1071" s="8"/>
      <c r="U1071" s="250"/>
      <c r="W1071" s="240"/>
      <c r="X1071" s="240"/>
      <c r="Y1071" s="240"/>
      <c r="Z1071" s="240"/>
      <c r="AA1071" s="221"/>
      <c r="AB1071" s="221"/>
    </row>
    <row r="1072" spans="1:29" customFormat="1" ht="22.65" customHeight="1" thickBot="1" x14ac:dyDescent="0.35">
      <c r="A1072" s="209"/>
      <c r="B1072" s="234"/>
      <c r="C1072" s="235"/>
      <c r="D1072" s="235"/>
      <c r="E1072" s="236" t="s">
        <v>188</v>
      </c>
      <c r="F1072" s="241">
        <f t="shared" ref="F1072:N1072" si="352">IF(((F1070="")*AND(F1071="")),"",(F1070-F1071)*2)</f>
        <v>3953.28</v>
      </c>
      <c r="G1072" s="241">
        <f t="shared" si="352"/>
        <v>4051.04</v>
      </c>
      <c r="H1072" s="241">
        <f t="shared" si="352"/>
        <v>4317</v>
      </c>
      <c r="I1072" s="241">
        <f t="shared" si="352"/>
        <v>4086.8</v>
      </c>
      <c r="J1072" s="241">
        <f t="shared" si="352"/>
        <v>3943.34</v>
      </c>
      <c r="K1072" s="241">
        <f t="shared" si="352"/>
        <v>4026.92</v>
      </c>
      <c r="L1072" s="241">
        <f t="shared" si="352"/>
        <v>4094.38</v>
      </c>
      <c r="M1072" s="241">
        <f t="shared" si="352"/>
        <v>3908.18</v>
      </c>
      <c r="N1072" s="241">
        <f t="shared" si="352"/>
        <v>3976.04</v>
      </c>
      <c r="O1072" s="237"/>
      <c r="P1072" s="237"/>
      <c r="Q1072" s="238"/>
      <c r="R1072" s="238"/>
      <c r="S1072" s="239"/>
      <c r="T1072" s="8"/>
      <c r="U1072" s="250"/>
      <c r="W1072" s="240"/>
      <c r="X1072" s="240"/>
      <c r="Y1072" s="240"/>
      <c r="Z1072" s="240"/>
      <c r="AA1072" s="221"/>
      <c r="AB1072" s="221"/>
    </row>
    <row r="1073" spans="1:29" customFormat="1" ht="16.649999999999999" customHeight="1" thickBot="1" x14ac:dyDescent="0.35">
      <c r="A1073" s="209">
        <v>43595</v>
      </c>
      <c r="B1073" s="235" t="s">
        <v>169</v>
      </c>
      <c r="C1073" s="235" t="s">
        <v>171</v>
      </c>
      <c r="D1073" s="235" t="s">
        <v>189</v>
      </c>
      <c r="E1073" s="61" t="s">
        <v>186</v>
      </c>
      <c r="F1073">
        <v>1974.88</v>
      </c>
      <c r="G1073">
        <v>1969.49</v>
      </c>
      <c r="H1073">
        <v>1961.5</v>
      </c>
      <c r="I1073">
        <v>1968.36</v>
      </c>
      <c r="J1073">
        <v>1973.96</v>
      </c>
      <c r="K1073">
        <v>1977.38</v>
      </c>
      <c r="L1073">
        <v>1969.85</v>
      </c>
      <c r="M1073">
        <v>1969.05</v>
      </c>
      <c r="N1073">
        <v>1971.46</v>
      </c>
      <c r="O1073" s="237">
        <f>IF((N1074=""),"",MAX(F1075:N1075))</f>
        <v>2115.66</v>
      </c>
      <c r="P1073" s="237">
        <f>IF(N1074="","",MIN(F1075:N1075))</f>
        <v>2043.12</v>
      </c>
      <c r="Q1073" s="238">
        <f>IF((N1075=""),"",AVERAGE(F1075:N1075))</f>
        <v>2089.2133333333331</v>
      </c>
      <c r="R1073" s="238">
        <f>IF((N1074=""),"",(O1073-P1073)/(O1073+P1073)*100)</f>
        <v>1.744261538239579</v>
      </c>
      <c r="S1073" s="239">
        <f>STDEV(F1075:N1075)</f>
        <v>27.425075205001587</v>
      </c>
      <c r="T1073" s="5" t="str">
        <f>IF(N1074="","",IF(Q1073&gt;1940,IF(R1073&lt;8.3,IF(Q1073&lt;2180,"Pass","Fail"),"Fail"),"Fail"))</f>
        <v>Pass</v>
      </c>
      <c r="U1073" s="249">
        <v>102</v>
      </c>
      <c r="V1073" t="s">
        <v>269</v>
      </c>
      <c r="W1073" s="233"/>
      <c r="X1073" s="116">
        <v>2000</v>
      </c>
      <c r="Y1073" s="116">
        <v>3000</v>
      </c>
      <c r="Z1073" s="116">
        <v>1940</v>
      </c>
      <c r="AA1073" s="116">
        <v>2180</v>
      </c>
      <c r="AB1073" s="31">
        <v>5.2</v>
      </c>
      <c r="AC1073" s="31">
        <v>5.2</v>
      </c>
    </row>
    <row r="1074" spans="1:29" customFormat="1" ht="16.649999999999999" customHeight="1" thickBot="1" x14ac:dyDescent="0.35">
      <c r="A1074" s="209"/>
      <c r="B1074" s="234"/>
      <c r="C1074" s="235"/>
      <c r="D1074" s="235"/>
      <c r="E1074" s="236" t="s">
        <v>187</v>
      </c>
      <c r="F1074">
        <v>1287.71</v>
      </c>
      <c r="G1074">
        <v>1265.5999999999999</v>
      </c>
      <c r="H1074">
        <v>1259.24</v>
      </c>
      <c r="I1074">
        <v>1265.08</v>
      </c>
      <c r="J1074">
        <v>1292.92</v>
      </c>
      <c r="K1074">
        <v>1285.33</v>
      </c>
      <c r="L1074">
        <v>1265.97</v>
      </c>
      <c r="M1074">
        <v>1263.83</v>
      </c>
      <c r="N1074">
        <v>1282.6099999999999</v>
      </c>
      <c r="O1074" s="237"/>
      <c r="P1074" s="237"/>
      <c r="Q1074" s="238"/>
      <c r="R1074" s="238"/>
      <c r="S1074" s="239"/>
      <c r="T1074" s="5"/>
      <c r="U1074" s="251"/>
      <c r="W1074" s="240"/>
      <c r="X1074" s="240"/>
      <c r="Y1074" s="240"/>
      <c r="Z1074" s="240"/>
      <c r="AA1074" s="221"/>
      <c r="AB1074" s="221"/>
    </row>
    <row r="1075" spans="1:29" customFormat="1" ht="16.649999999999999" customHeight="1" thickBot="1" x14ac:dyDescent="0.35">
      <c r="A1075" s="209"/>
      <c r="B1075" s="234"/>
      <c r="C1075" s="235"/>
      <c r="D1075" s="235"/>
      <c r="E1075" s="236" t="s">
        <v>190</v>
      </c>
      <c r="F1075" s="241">
        <f t="shared" ref="F1075:N1075" si="353">IF(((F1073="")*AND(F1074="")),"",(F1073-F1074)*3)</f>
        <v>2061.5100000000002</v>
      </c>
      <c r="G1075" s="241">
        <f t="shared" si="353"/>
        <v>2111.67</v>
      </c>
      <c r="H1075" s="241">
        <f t="shared" si="353"/>
        <v>2106.7799999999997</v>
      </c>
      <c r="I1075" s="241">
        <f t="shared" si="353"/>
        <v>2109.84</v>
      </c>
      <c r="J1075" s="241">
        <f t="shared" si="353"/>
        <v>2043.12</v>
      </c>
      <c r="K1075" s="241">
        <f t="shared" si="353"/>
        <v>2076.1500000000005</v>
      </c>
      <c r="L1075" s="241">
        <f t="shared" si="353"/>
        <v>2111.6399999999994</v>
      </c>
      <c r="M1075" s="241">
        <f t="shared" si="353"/>
        <v>2115.66</v>
      </c>
      <c r="N1075" s="241">
        <f t="shared" si="353"/>
        <v>2066.5500000000002</v>
      </c>
      <c r="O1075" s="237"/>
      <c r="P1075" s="237"/>
      <c r="Q1075" s="238"/>
      <c r="R1075" s="238"/>
      <c r="S1075" s="239"/>
      <c r="T1075" s="5"/>
      <c r="U1075" s="251"/>
      <c r="W1075" s="240"/>
      <c r="X1075" s="240"/>
      <c r="Y1075" s="240"/>
      <c r="Z1075" s="240"/>
      <c r="AA1075" s="221"/>
      <c r="AB1075" s="221"/>
    </row>
    <row r="1076" spans="1:29" customFormat="1" ht="16.649999999999999" customHeight="1" thickBot="1" x14ac:dyDescent="0.35">
      <c r="A1076" s="209">
        <v>43595</v>
      </c>
      <c r="B1076" s="234" t="s">
        <v>185</v>
      </c>
      <c r="C1076" s="235" t="s">
        <v>173</v>
      </c>
      <c r="D1076" s="235" t="s">
        <v>172</v>
      </c>
      <c r="E1076" s="61" t="s">
        <v>186</v>
      </c>
      <c r="F1076">
        <v>25857.46</v>
      </c>
      <c r="G1076">
        <v>25998.35</v>
      </c>
      <c r="H1076">
        <v>26062.97</v>
      </c>
      <c r="I1076">
        <v>26004.799999999999</v>
      </c>
      <c r="J1076">
        <v>25885.54</v>
      </c>
      <c r="K1076">
        <v>25854.34</v>
      </c>
      <c r="L1076">
        <v>26021.57</v>
      </c>
      <c r="M1076">
        <v>26004.9</v>
      </c>
      <c r="N1076">
        <v>25830.71</v>
      </c>
      <c r="O1076" s="237">
        <f>IF((N1077=""),"",MAX(F1078:N1078))</f>
        <v>4754.9699999999939</v>
      </c>
      <c r="P1076" s="237">
        <f>IF(N1077="","",MIN(F1078:N1078))</f>
        <v>4133.070000000007</v>
      </c>
      <c r="Q1076" s="238">
        <f>IF((N1078=""),"",AVERAGE(F1078:N1078))</f>
        <v>4429.2666666666664</v>
      </c>
      <c r="R1076" s="238">
        <f>IF((N1077=""),"",(O1076-P1076)/(O1076+P1076)*100)</f>
        <v>6.9970432176271355</v>
      </c>
      <c r="S1076" s="239">
        <f>STDEV(F1078:N1078)</f>
        <v>248.28584957665078</v>
      </c>
      <c r="T1076" s="5" t="str">
        <f>IF(N1077="","",IF(R1076&lt;16,IF(Q1076&gt;3200,IF(R1076,IF(Q1076&lt;5240,"Pass","Fail"),"Fail"),"Fail")))</f>
        <v>Pass</v>
      </c>
      <c r="U1076" s="249">
        <v>102</v>
      </c>
      <c r="V1076" t="s">
        <v>269</v>
      </c>
      <c r="W1076" s="233"/>
      <c r="X1076" s="116">
        <v>4200</v>
      </c>
      <c r="Y1076" s="116">
        <v>5500</v>
      </c>
      <c r="Z1076" s="116">
        <v>3200</v>
      </c>
      <c r="AA1076" s="116">
        <v>5240</v>
      </c>
      <c r="AB1076" s="31">
        <v>16</v>
      </c>
      <c r="AC1076" s="31">
        <v>16</v>
      </c>
    </row>
    <row r="1077" spans="1:29" customFormat="1" ht="16.649999999999999" customHeight="1" thickBot="1" x14ac:dyDescent="0.35">
      <c r="A1077" s="209"/>
      <c r="B1077" s="234"/>
      <c r="C1077" s="235"/>
      <c r="D1077" s="235"/>
      <c r="E1077" s="61" t="s">
        <v>187</v>
      </c>
      <c r="F1077">
        <v>24272.47</v>
      </c>
      <c r="G1077">
        <v>24592.09</v>
      </c>
      <c r="H1077">
        <v>24685.279999999999</v>
      </c>
      <c r="I1077">
        <v>24580.1</v>
      </c>
      <c r="J1077">
        <v>24320.5</v>
      </c>
      <c r="K1077">
        <v>24346.799999999999</v>
      </c>
      <c r="L1077">
        <v>24615.200000000001</v>
      </c>
      <c r="M1077">
        <v>24567.97</v>
      </c>
      <c r="N1077">
        <v>24252.43</v>
      </c>
      <c r="P1077" s="237"/>
      <c r="Q1077" s="238"/>
      <c r="R1077" s="238"/>
      <c r="S1077" s="239"/>
      <c r="T1077" s="5"/>
      <c r="U1077" s="251"/>
      <c r="W1077" s="240"/>
      <c r="X1077" s="240"/>
      <c r="Y1077" s="240"/>
      <c r="Z1077" s="240"/>
      <c r="AA1077" s="221"/>
      <c r="AB1077" s="221"/>
    </row>
    <row r="1078" spans="1:29" customFormat="1" ht="22.65" customHeight="1" thickBot="1" x14ac:dyDescent="0.35">
      <c r="A1078" s="209"/>
      <c r="B1078" s="242"/>
      <c r="C1078" s="243"/>
      <c r="D1078" s="243"/>
      <c r="E1078" s="61" t="s">
        <v>188</v>
      </c>
      <c r="F1078" s="244">
        <f t="shared" ref="F1078:N1078" si="354">IF(((F1076="")*AND(F1077="")),"",(F1076-F1077)*3)</f>
        <v>4754.9699999999939</v>
      </c>
      <c r="G1078" s="244">
        <f t="shared" si="354"/>
        <v>4218.7799999999952</v>
      </c>
      <c r="H1078" s="244">
        <f t="shared" si="354"/>
        <v>4133.070000000007</v>
      </c>
      <c r="I1078" s="244">
        <f t="shared" si="354"/>
        <v>4274.1000000000022</v>
      </c>
      <c r="J1078" s="244">
        <f t="shared" si="354"/>
        <v>4695.1200000000026</v>
      </c>
      <c r="K1078" s="244">
        <f t="shared" si="354"/>
        <v>4522.6200000000026</v>
      </c>
      <c r="L1078" s="244">
        <f t="shared" si="354"/>
        <v>4219.1099999999969</v>
      </c>
      <c r="M1078" s="244">
        <f t="shared" si="354"/>
        <v>4310.7900000000009</v>
      </c>
      <c r="N1078" s="244">
        <f t="shared" si="354"/>
        <v>4734.8399999999965</v>
      </c>
      <c r="O1078" s="245"/>
      <c r="P1078" s="245"/>
      <c r="Q1078" s="246"/>
      <c r="R1078" s="246"/>
      <c r="S1078" s="247"/>
      <c r="T1078" s="143"/>
      <c r="U1078" s="252"/>
      <c r="W1078" s="240"/>
      <c r="X1078" s="240"/>
      <c r="Y1078" s="240"/>
      <c r="Z1078" s="240"/>
      <c r="AA1078" s="221"/>
      <c r="AB1078" s="221"/>
    </row>
    <row r="1079" spans="1:29" customFormat="1" ht="16.649999999999999" customHeight="1" thickBot="1" x14ac:dyDescent="0.35">
      <c r="A1079" s="209">
        <v>43602</v>
      </c>
      <c r="B1079" s="228" t="s">
        <v>174</v>
      </c>
      <c r="C1079" s="229" t="s">
        <v>176</v>
      </c>
      <c r="D1079" s="229" t="s">
        <v>175</v>
      </c>
      <c r="E1079" s="61" t="s">
        <v>186</v>
      </c>
      <c r="F1079">
        <v>3264</v>
      </c>
      <c r="G1079">
        <v>3045</v>
      </c>
      <c r="H1079">
        <v>3153</v>
      </c>
      <c r="I1079">
        <v>3037</v>
      </c>
      <c r="J1079">
        <v>3152</v>
      </c>
      <c r="K1079">
        <v>3241</v>
      </c>
      <c r="L1079">
        <v>3073</v>
      </c>
      <c r="M1079">
        <v>3090</v>
      </c>
      <c r="N1079">
        <v>3157</v>
      </c>
      <c r="O1079" s="230">
        <f>IF((N1080=""),"",MAX(F1081:N1081))</f>
        <v>4317</v>
      </c>
      <c r="P1079" s="230">
        <f>IF(N1080="","",MIN(F1081:N1081))</f>
        <v>3908.18</v>
      </c>
      <c r="Q1079" s="231">
        <f>IF((N1081=""),"",AVERAGE(F1081:N1081))</f>
        <v>4039.6644444444441</v>
      </c>
      <c r="R1079" s="231">
        <f>IF((N1080=""),"",(O1079-P1079)/(O1079+P1079)*100)</f>
        <v>4.9703471534969461</v>
      </c>
      <c r="S1079" s="232">
        <f>STDEV(F1081:N1081)</f>
        <v>122.72901400148939</v>
      </c>
      <c r="T1079" s="137" t="str">
        <f>IF(N1080="","",IF(Q1079&gt;3650,IF(R1079&lt;7,IF(Q1079&lt;4450,"Pass","Fail"),"Fail"),"Fail"))</f>
        <v>Pass</v>
      </c>
      <c r="U1079" s="249">
        <v>102</v>
      </c>
      <c r="W1079" s="233"/>
      <c r="X1079" s="116">
        <v>3650</v>
      </c>
      <c r="Y1079" s="116">
        <v>4450</v>
      </c>
      <c r="Z1079" s="116">
        <v>3700</v>
      </c>
      <c r="AA1079" s="116">
        <v>4100</v>
      </c>
      <c r="AB1079" s="31">
        <v>7</v>
      </c>
      <c r="AC1079" s="31">
        <v>6.5</v>
      </c>
    </row>
    <row r="1080" spans="1:29" customFormat="1" ht="16.649999999999999" customHeight="1" thickBot="1" x14ac:dyDescent="0.35">
      <c r="A1080" s="209"/>
      <c r="B1080" s="234"/>
      <c r="C1080" s="235"/>
      <c r="D1080" s="235"/>
      <c r="E1080" s="61" t="s">
        <v>187</v>
      </c>
      <c r="F1080">
        <v>1287.3599999999999</v>
      </c>
      <c r="G1080">
        <v>1019.48</v>
      </c>
      <c r="H1080">
        <v>994.5</v>
      </c>
      <c r="I1080">
        <v>993.6</v>
      </c>
      <c r="J1080">
        <v>1180.33</v>
      </c>
      <c r="K1080">
        <v>1227.54</v>
      </c>
      <c r="L1080">
        <v>1025.81</v>
      </c>
      <c r="M1080">
        <v>1135.9100000000001</v>
      </c>
      <c r="N1080">
        <v>1168.98</v>
      </c>
      <c r="O1080" s="237"/>
      <c r="P1080" s="237"/>
      <c r="Q1080" s="238"/>
      <c r="R1080" s="238"/>
      <c r="S1080" s="239"/>
      <c r="T1080" s="8"/>
      <c r="U1080" s="250"/>
      <c r="W1080" s="240"/>
      <c r="X1080" s="240"/>
      <c r="Y1080" s="240"/>
      <c r="Z1080" s="240"/>
      <c r="AA1080" s="221"/>
      <c r="AB1080" s="221"/>
    </row>
    <row r="1081" spans="1:29" customFormat="1" ht="22.65" customHeight="1" thickBot="1" x14ac:dyDescent="0.35">
      <c r="A1081" s="209"/>
      <c r="B1081" s="234"/>
      <c r="C1081" s="235"/>
      <c r="D1081" s="235"/>
      <c r="E1081" s="61" t="s">
        <v>188</v>
      </c>
      <c r="F1081" s="241">
        <f t="shared" ref="F1081:N1081" si="355">IF(((F1079="")*AND(F1080="")),"",(F1079-F1080)*2)</f>
        <v>3953.28</v>
      </c>
      <c r="G1081" s="241">
        <f t="shared" si="355"/>
        <v>4051.04</v>
      </c>
      <c r="H1081" s="241">
        <f t="shared" si="355"/>
        <v>4317</v>
      </c>
      <c r="I1081" s="241">
        <f t="shared" si="355"/>
        <v>4086.8</v>
      </c>
      <c r="J1081" s="241">
        <f t="shared" si="355"/>
        <v>3943.34</v>
      </c>
      <c r="K1081" s="241">
        <f t="shared" si="355"/>
        <v>4026.92</v>
      </c>
      <c r="L1081" s="241">
        <f t="shared" si="355"/>
        <v>4094.38</v>
      </c>
      <c r="M1081" s="241">
        <f t="shared" si="355"/>
        <v>3908.18</v>
      </c>
      <c r="N1081" s="241">
        <f t="shared" si="355"/>
        <v>3976.04</v>
      </c>
      <c r="O1081" s="237"/>
      <c r="P1081" s="237"/>
      <c r="Q1081" s="238"/>
      <c r="R1081" s="238"/>
      <c r="S1081" s="239"/>
      <c r="T1081" s="8"/>
      <c r="U1081" s="250"/>
      <c r="W1081" s="240"/>
      <c r="X1081" s="240"/>
      <c r="Y1081" s="240"/>
      <c r="Z1081" s="240"/>
      <c r="AA1081" s="221"/>
      <c r="AB1081" s="221"/>
    </row>
    <row r="1082" spans="1:29" customFormat="1" ht="16.649999999999999" customHeight="1" thickBot="1" x14ac:dyDescent="0.35">
      <c r="A1082" s="209">
        <v>43602</v>
      </c>
      <c r="B1082" s="235" t="s">
        <v>169</v>
      </c>
      <c r="C1082" s="235" t="s">
        <v>171</v>
      </c>
      <c r="D1082" s="235" t="s">
        <v>189</v>
      </c>
      <c r="E1082" s="61" t="s">
        <v>186</v>
      </c>
      <c r="F1082">
        <v>1974.88</v>
      </c>
      <c r="G1082">
        <v>1969.49</v>
      </c>
      <c r="H1082">
        <v>1961.5</v>
      </c>
      <c r="I1082">
        <v>1968.36</v>
      </c>
      <c r="J1082">
        <v>1973.96</v>
      </c>
      <c r="K1082">
        <v>1977.38</v>
      </c>
      <c r="L1082">
        <v>1969.85</v>
      </c>
      <c r="M1082">
        <v>1969.05</v>
      </c>
      <c r="N1082">
        <v>1971.46</v>
      </c>
      <c r="O1082" s="237">
        <f>IF((N1083=""),"",MAX(F1084:N1084))</f>
        <v>2115.66</v>
      </c>
      <c r="P1082" s="237">
        <f>IF(N1083="","",MIN(F1084:N1084))</f>
        <v>2043.12</v>
      </c>
      <c r="Q1082" s="238">
        <f>IF((N1084=""),"",AVERAGE(F1084:N1084))</f>
        <v>2089.2133333333331</v>
      </c>
      <c r="R1082" s="238">
        <f>IF((N1083=""),"",(O1082-P1082)/(O1082+P1082)*100)</f>
        <v>1.744261538239579</v>
      </c>
      <c r="S1082" s="239">
        <f>STDEV(F1084:N1084)</f>
        <v>27.425075205001587</v>
      </c>
      <c r="T1082" s="5" t="str">
        <f>IF(N1083="","",IF(Q1082&gt;1940,IF(R1082&lt;8.3,IF(Q1082&lt;2180,"Pass","Fail"),"Fail"),"Fail"))</f>
        <v>Pass</v>
      </c>
      <c r="U1082" s="249">
        <v>1428</v>
      </c>
      <c r="W1082" s="233"/>
      <c r="X1082" s="116">
        <v>2000</v>
      </c>
      <c r="Y1082" s="116">
        <v>3000</v>
      </c>
      <c r="Z1082" s="116">
        <v>1940</v>
      </c>
      <c r="AA1082" s="116">
        <v>2180</v>
      </c>
      <c r="AB1082" s="31">
        <v>5.2</v>
      </c>
      <c r="AC1082" s="31">
        <v>5.2</v>
      </c>
    </row>
    <row r="1083" spans="1:29" customFormat="1" ht="16.649999999999999" customHeight="1" thickBot="1" x14ac:dyDescent="0.35">
      <c r="A1083" s="209"/>
      <c r="B1083" s="234"/>
      <c r="C1083" s="235"/>
      <c r="D1083" s="235"/>
      <c r="E1083" s="61" t="s">
        <v>187</v>
      </c>
      <c r="F1083">
        <v>1287.71</v>
      </c>
      <c r="G1083">
        <v>1265.5999999999999</v>
      </c>
      <c r="H1083">
        <v>1259.24</v>
      </c>
      <c r="I1083">
        <v>1265.08</v>
      </c>
      <c r="J1083">
        <v>1292.92</v>
      </c>
      <c r="K1083">
        <v>1285.33</v>
      </c>
      <c r="L1083">
        <v>1265.97</v>
      </c>
      <c r="M1083">
        <v>1263.83</v>
      </c>
      <c r="N1083">
        <v>1282.6099999999999</v>
      </c>
      <c r="O1083" s="237"/>
      <c r="P1083" s="237"/>
      <c r="Q1083" s="238"/>
      <c r="R1083" s="238"/>
      <c r="S1083" s="239"/>
      <c r="T1083" s="5"/>
      <c r="U1083" s="251"/>
      <c r="W1083" s="240"/>
      <c r="X1083" s="240"/>
      <c r="Y1083" s="240"/>
      <c r="Z1083" s="240"/>
      <c r="AA1083" s="221"/>
      <c r="AB1083" s="221"/>
    </row>
    <row r="1084" spans="1:29" customFormat="1" ht="16.649999999999999" customHeight="1" thickBot="1" x14ac:dyDescent="0.35">
      <c r="A1084" s="209"/>
      <c r="B1084" s="234"/>
      <c r="C1084" s="235"/>
      <c r="D1084" s="235"/>
      <c r="E1084" s="61" t="s">
        <v>190</v>
      </c>
      <c r="F1084" s="241">
        <f t="shared" ref="F1084:N1084" si="356">IF(((F1082="")*AND(F1083="")),"",(F1082-F1083)*3)</f>
        <v>2061.5100000000002</v>
      </c>
      <c r="G1084" s="241">
        <f t="shared" si="356"/>
        <v>2111.67</v>
      </c>
      <c r="H1084" s="241">
        <f t="shared" si="356"/>
        <v>2106.7799999999997</v>
      </c>
      <c r="I1084" s="241">
        <f t="shared" si="356"/>
        <v>2109.84</v>
      </c>
      <c r="J1084" s="241">
        <f t="shared" si="356"/>
        <v>2043.12</v>
      </c>
      <c r="K1084" s="241">
        <f t="shared" si="356"/>
        <v>2076.1500000000005</v>
      </c>
      <c r="L1084" s="241">
        <f t="shared" si="356"/>
        <v>2111.6399999999994</v>
      </c>
      <c r="M1084" s="241">
        <f t="shared" si="356"/>
        <v>2115.66</v>
      </c>
      <c r="N1084" s="241">
        <f t="shared" si="356"/>
        <v>2066.5500000000002</v>
      </c>
      <c r="O1084" s="237"/>
      <c r="P1084" s="237"/>
      <c r="Q1084" s="238"/>
      <c r="R1084" s="238"/>
      <c r="S1084" s="239"/>
      <c r="T1084" s="5"/>
      <c r="U1084" s="251"/>
      <c r="W1084" s="240"/>
      <c r="X1084" s="240"/>
      <c r="Y1084" s="240"/>
      <c r="Z1084" s="240"/>
      <c r="AA1084" s="221"/>
      <c r="AB1084" s="221"/>
    </row>
    <row r="1085" spans="1:29" customFormat="1" ht="16.649999999999999" customHeight="1" thickBot="1" x14ac:dyDescent="0.35">
      <c r="A1085" s="209">
        <v>43602</v>
      </c>
      <c r="B1085" s="234" t="s">
        <v>185</v>
      </c>
      <c r="C1085" s="235" t="s">
        <v>173</v>
      </c>
      <c r="D1085" s="235" t="s">
        <v>172</v>
      </c>
      <c r="E1085" s="61" t="s">
        <v>186</v>
      </c>
      <c r="F1085">
        <v>25857.46</v>
      </c>
      <c r="G1085">
        <v>25998.35</v>
      </c>
      <c r="H1085">
        <v>26062.97</v>
      </c>
      <c r="I1085">
        <v>26004.799999999999</v>
      </c>
      <c r="J1085">
        <v>25885.54</v>
      </c>
      <c r="K1085">
        <v>25854.34</v>
      </c>
      <c r="L1085">
        <v>26021.57</v>
      </c>
      <c r="M1085">
        <v>26004.9</v>
      </c>
      <c r="N1085">
        <v>25830.71</v>
      </c>
      <c r="O1085" s="237">
        <f>IF((N1086=""),"",MAX(F1087:N1087))</f>
        <v>4754.9699999999939</v>
      </c>
      <c r="P1085" s="237">
        <f>IF(N1086="","",MIN(F1087:N1087))</f>
        <v>4133.070000000007</v>
      </c>
      <c r="Q1085" s="238">
        <f>IF((N1087=""),"",AVERAGE(F1087:N1087))</f>
        <v>4429.2666666666664</v>
      </c>
      <c r="R1085" s="238">
        <f>IF((N1086=""),"",(O1085-P1085)/(O1085+P1085)*100)</f>
        <v>6.9970432176271355</v>
      </c>
      <c r="S1085" s="239">
        <f>STDEV(F1087:N1087)</f>
        <v>248.28584957665078</v>
      </c>
      <c r="T1085" s="5" t="str">
        <f>IF(N1086="","",IF(R1085&lt;16,IF(Q1085&gt;3200,IF(R1085,IF(Q1085&lt;5240,"Pass","Fail"),"Fail"),"Fail")))</f>
        <v>Pass</v>
      </c>
      <c r="U1085" s="249">
        <v>1428</v>
      </c>
      <c r="W1085" s="233"/>
      <c r="X1085" s="116">
        <v>4200</v>
      </c>
      <c r="Y1085" s="116">
        <v>5500</v>
      </c>
      <c r="Z1085" s="116">
        <v>3200</v>
      </c>
      <c r="AA1085" s="116">
        <v>5240</v>
      </c>
      <c r="AB1085" s="31">
        <v>16</v>
      </c>
      <c r="AC1085" s="31">
        <v>16</v>
      </c>
    </row>
    <row r="1086" spans="1:29" customFormat="1" ht="16.649999999999999" customHeight="1" thickBot="1" x14ac:dyDescent="0.35">
      <c r="A1086" s="209"/>
      <c r="B1086" s="234"/>
      <c r="C1086" s="235"/>
      <c r="D1086" s="235"/>
      <c r="E1086" s="61" t="s">
        <v>187</v>
      </c>
      <c r="F1086">
        <v>24272.47</v>
      </c>
      <c r="G1086">
        <v>24592.09</v>
      </c>
      <c r="H1086">
        <v>24685.279999999999</v>
      </c>
      <c r="I1086">
        <v>24580.1</v>
      </c>
      <c r="J1086">
        <v>24320.5</v>
      </c>
      <c r="K1086">
        <v>24346.799999999999</v>
      </c>
      <c r="L1086">
        <v>24615.200000000001</v>
      </c>
      <c r="M1086">
        <v>24567.97</v>
      </c>
      <c r="N1086">
        <v>24252.43</v>
      </c>
      <c r="P1086" s="237"/>
      <c r="Q1086" s="238"/>
      <c r="R1086" s="238"/>
      <c r="S1086" s="239"/>
      <c r="T1086" s="5"/>
      <c r="U1086" s="251"/>
      <c r="W1086" s="240"/>
      <c r="X1086" s="240"/>
      <c r="Y1086" s="240"/>
      <c r="Z1086" s="240"/>
      <c r="AA1086" s="221"/>
      <c r="AB1086" s="221"/>
    </row>
    <row r="1087" spans="1:29" customFormat="1" ht="22.65" customHeight="1" thickBot="1" x14ac:dyDescent="0.35">
      <c r="A1087" s="209"/>
      <c r="B1087" s="242"/>
      <c r="C1087" s="243"/>
      <c r="D1087" s="243"/>
      <c r="E1087" s="61" t="s">
        <v>188</v>
      </c>
      <c r="F1087" s="244">
        <f t="shared" ref="F1087:N1087" si="357">IF(((F1085="")*AND(F1086="")),"",(F1085-F1086)*3)</f>
        <v>4754.9699999999939</v>
      </c>
      <c r="G1087" s="244">
        <f t="shared" si="357"/>
        <v>4218.7799999999952</v>
      </c>
      <c r="H1087" s="244">
        <f t="shared" si="357"/>
        <v>4133.070000000007</v>
      </c>
      <c r="I1087" s="244">
        <f t="shared" si="357"/>
        <v>4274.1000000000022</v>
      </c>
      <c r="J1087" s="244">
        <f t="shared" si="357"/>
        <v>4695.1200000000026</v>
      </c>
      <c r="K1087" s="244">
        <f t="shared" si="357"/>
        <v>4522.6200000000026</v>
      </c>
      <c r="L1087" s="244">
        <f t="shared" si="357"/>
        <v>4219.1099999999969</v>
      </c>
      <c r="M1087" s="244">
        <f t="shared" si="357"/>
        <v>4310.7900000000009</v>
      </c>
      <c r="N1087" s="244">
        <f t="shared" si="357"/>
        <v>4734.8399999999965</v>
      </c>
      <c r="O1087" s="245"/>
      <c r="P1087" s="245"/>
      <c r="Q1087" s="246"/>
      <c r="R1087" s="246"/>
      <c r="S1087" s="247"/>
      <c r="T1087" s="143"/>
      <c r="U1087" s="252"/>
      <c r="W1087" s="240"/>
      <c r="X1087" s="240"/>
      <c r="Y1087" s="240"/>
      <c r="Z1087" s="240"/>
      <c r="AA1087" s="221"/>
      <c r="AB1087" s="221"/>
    </row>
    <row r="1088" spans="1:29" customFormat="1" ht="16.649999999999999" customHeight="1" x14ac:dyDescent="0.3">
      <c r="A1088" s="209">
        <v>43605</v>
      </c>
      <c r="B1088" s="228" t="s">
        <v>174</v>
      </c>
      <c r="C1088" s="229" t="s">
        <v>176</v>
      </c>
      <c r="D1088" s="229" t="s">
        <v>175</v>
      </c>
      <c r="E1088" s="61" t="s">
        <v>186</v>
      </c>
      <c r="F1088">
        <v>6985.07</v>
      </c>
      <c r="G1088">
        <v>6962.33</v>
      </c>
      <c r="H1088">
        <v>6987.82</v>
      </c>
      <c r="I1088">
        <v>6933.05</v>
      </c>
      <c r="J1088">
        <v>6861.1</v>
      </c>
      <c r="K1088">
        <v>6921.48</v>
      </c>
      <c r="L1088">
        <v>6943.73</v>
      </c>
      <c r="M1088">
        <v>6999.98</v>
      </c>
      <c r="N1088">
        <v>6999.98</v>
      </c>
      <c r="O1088" s="230">
        <f>IF((N1089=""),"",MAX(F1090:N1090))</f>
        <v>3979.8599999999988</v>
      </c>
      <c r="P1088" s="230">
        <f>IF(N1089="","",MIN(F1090:N1090))</f>
        <v>3581.9199999999983</v>
      </c>
      <c r="Q1088" s="231">
        <f>IF((N1090=""),"",AVERAGE(F1090:N1090))</f>
        <v>3859.8933333333325</v>
      </c>
      <c r="R1088" s="231">
        <f>IF((N1089=""),"",(O1088-P1088)/(O1088+P1088)*100)</f>
        <v>5.2625175553904064</v>
      </c>
      <c r="S1088" s="232">
        <f>STDEV(F1090:N1090)</f>
        <v>130.31598942570344</v>
      </c>
      <c r="T1088" s="137" t="str">
        <f>IF(N1089="","",IF(Q1088&gt;3650,IF(R1088&lt;7,IF(Q1088&lt;4450,"Pass","Fail"),"Fail"),"Fail"))</f>
        <v>Pass</v>
      </c>
      <c r="U1088" s="249">
        <v>74</v>
      </c>
      <c r="W1088" s="233"/>
      <c r="X1088" s="116">
        <v>3650</v>
      </c>
      <c r="Y1088" s="116">
        <v>4450</v>
      </c>
      <c r="Z1088" s="116">
        <v>3700</v>
      </c>
      <c r="AA1088" s="116">
        <v>4100</v>
      </c>
      <c r="AB1088" s="31">
        <v>7</v>
      </c>
      <c r="AC1088" s="31">
        <v>6.5</v>
      </c>
    </row>
    <row r="1089" spans="1:29" customFormat="1" ht="16.649999999999999" customHeight="1" x14ac:dyDescent="0.3">
      <c r="A1089" s="207"/>
      <c r="B1089" s="234"/>
      <c r="C1089" s="235"/>
      <c r="D1089" s="235"/>
      <c r="E1089" s="61" t="s">
        <v>187</v>
      </c>
      <c r="F1089">
        <v>5103.62</v>
      </c>
      <c r="G1089">
        <v>4994.4799999999996</v>
      </c>
      <c r="H1089">
        <v>5004.67</v>
      </c>
      <c r="I1089">
        <v>4961.87</v>
      </c>
      <c r="J1089">
        <v>4971.07</v>
      </c>
      <c r="K1089">
        <v>5130.5200000000004</v>
      </c>
      <c r="L1089">
        <v>4980.1000000000004</v>
      </c>
      <c r="M1089">
        <v>5010.05</v>
      </c>
      <c r="N1089">
        <v>5068.6400000000003</v>
      </c>
      <c r="O1089" s="237"/>
      <c r="P1089" s="237"/>
      <c r="Q1089" s="238"/>
      <c r="R1089" s="238"/>
      <c r="S1089" s="239"/>
      <c r="T1089" s="8"/>
      <c r="U1089" s="250"/>
      <c r="W1089" s="240"/>
      <c r="X1089" s="240"/>
      <c r="Y1089" s="240"/>
      <c r="Z1089" s="240"/>
      <c r="AA1089" s="221"/>
      <c r="AB1089" s="221"/>
    </row>
    <row r="1090" spans="1:29" customFormat="1" ht="28.5" customHeight="1" thickBot="1" x14ac:dyDescent="0.35">
      <c r="A1090" s="207"/>
      <c r="B1090" s="234"/>
      <c r="C1090" s="235"/>
      <c r="D1090" s="235"/>
      <c r="E1090" s="61" t="s">
        <v>188</v>
      </c>
      <c r="F1090" s="241">
        <f t="shared" ref="F1090:N1090" si="358">IF(((F1088="")*AND(F1089="")),"",(F1088-F1089)*2)</f>
        <v>3762.8999999999996</v>
      </c>
      <c r="G1090" s="241">
        <f t="shared" si="358"/>
        <v>3935.7000000000007</v>
      </c>
      <c r="H1090" s="241">
        <f t="shared" si="358"/>
        <v>3966.2999999999993</v>
      </c>
      <c r="I1090" s="241">
        <f t="shared" si="358"/>
        <v>3942.3600000000006</v>
      </c>
      <c r="J1090" s="241">
        <f t="shared" si="358"/>
        <v>3780.0600000000013</v>
      </c>
      <c r="K1090" s="241">
        <f t="shared" si="358"/>
        <v>3581.9199999999983</v>
      </c>
      <c r="L1090" s="241">
        <f t="shared" si="358"/>
        <v>3927.2599999999984</v>
      </c>
      <c r="M1090" s="241">
        <f t="shared" si="358"/>
        <v>3979.8599999999988</v>
      </c>
      <c r="N1090" s="241">
        <f t="shared" si="358"/>
        <v>3862.6799999999985</v>
      </c>
      <c r="O1090" s="237"/>
      <c r="P1090" s="237"/>
      <c r="Q1090" s="238"/>
      <c r="R1090" s="238"/>
      <c r="S1090" s="239"/>
      <c r="T1090" s="8"/>
      <c r="U1090" s="250"/>
      <c r="W1090" s="240"/>
      <c r="X1090" s="240"/>
      <c r="Y1090" s="240"/>
      <c r="Z1090" s="240"/>
      <c r="AA1090" s="221"/>
      <c r="AB1090" s="221"/>
    </row>
    <row r="1091" spans="1:29" customFormat="1" ht="16.649999999999999" customHeight="1" x14ac:dyDescent="0.3">
      <c r="A1091" s="207">
        <v>43605</v>
      </c>
      <c r="B1091" s="235" t="s">
        <v>169</v>
      </c>
      <c r="C1091" s="235" t="s">
        <v>171</v>
      </c>
      <c r="D1091" s="235" t="s">
        <v>189</v>
      </c>
      <c r="E1091" s="61" t="s">
        <v>186</v>
      </c>
      <c r="F1091">
        <v>1964.27</v>
      </c>
      <c r="G1091">
        <v>1959.68</v>
      </c>
      <c r="H1091">
        <v>1951.09</v>
      </c>
      <c r="I1091">
        <v>1960.11</v>
      </c>
      <c r="J1091">
        <v>1965.53</v>
      </c>
      <c r="K1091">
        <v>1970.76</v>
      </c>
      <c r="L1091">
        <v>1962.83</v>
      </c>
      <c r="M1091">
        <v>1957.17</v>
      </c>
      <c r="N1091">
        <v>1965.8</v>
      </c>
      <c r="O1091" s="237">
        <f>IF((N1092=""),"",MAX(F1093:N1093))</f>
        <v>2099.1000000000004</v>
      </c>
      <c r="P1091" s="237">
        <f>IF(N1092="","",MIN(F1093:N1093))</f>
        <v>2040.72</v>
      </c>
      <c r="Q1091" s="238">
        <f>IF((N1093=""),"",AVERAGE(F1093:N1093))</f>
        <v>2078.6066666666666</v>
      </c>
      <c r="R1091" s="238">
        <f>IF((N1092=""),"",(O1091-P1091)/(O1091+P1091)*100)</f>
        <v>1.4102062408510594</v>
      </c>
      <c r="S1091" s="239">
        <f>STDEV(F1093:N1093)</f>
        <v>22.294917582265303</v>
      </c>
      <c r="T1091" s="5" t="str">
        <f>IF(N1092="","",IF(Q1091&gt;1940,IF(R1091&lt;8.3,IF(Q1091&lt;2180,"Pass","Fail"),"Fail"),"Fail"))</f>
        <v>Pass</v>
      </c>
      <c r="U1091" s="249">
        <v>74</v>
      </c>
      <c r="W1091" s="233"/>
      <c r="X1091" s="116">
        <v>2000</v>
      </c>
      <c r="Y1091" s="116">
        <v>3000</v>
      </c>
      <c r="Z1091" s="116">
        <v>1940</v>
      </c>
      <c r="AA1091" s="116">
        <v>2180</v>
      </c>
      <c r="AB1091" s="31">
        <v>5.2</v>
      </c>
      <c r="AC1091" s="31">
        <v>5.2</v>
      </c>
    </row>
    <row r="1092" spans="1:29" customFormat="1" ht="16.649999999999999" customHeight="1" x14ac:dyDescent="0.3">
      <c r="A1092" s="207"/>
      <c r="B1092" s="234"/>
      <c r="C1092" s="235"/>
      <c r="D1092" s="235"/>
      <c r="E1092" s="61" t="s">
        <v>187</v>
      </c>
      <c r="F1092">
        <v>1271.51</v>
      </c>
      <c r="G1092">
        <v>1262.47</v>
      </c>
      <c r="H1092">
        <v>1255.18</v>
      </c>
      <c r="I1092">
        <v>1260.5999999999999</v>
      </c>
      <c r="J1092">
        <v>1285.29</v>
      </c>
      <c r="K1092">
        <v>1290.1400000000001</v>
      </c>
      <c r="L1092">
        <v>1266.33</v>
      </c>
      <c r="M1092">
        <v>1257.47</v>
      </c>
      <c r="N1092">
        <v>1272.43</v>
      </c>
      <c r="O1092" s="237"/>
      <c r="P1092" s="237"/>
      <c r="Q1092" s="238"/>
      <c r="R1092" s="238"/>
      <c r="S1092" s="239"/>
      <c r="T1092" s="5"/>
      <c r="U1092" s="251"/>
      <c r="W1092" s="240"/>
      <c r="X1092" s="240"/>
      <c r="Y1092" s="240"/>
      <c r="Z1092" s="240"/>
      <c r="AA1092" s="221"/>
      <c r="AB1092" s="221"/>
    </row>
    <row r="1093" spans="1:29" customFormat="1" ht="27.75" customHeight="1" thickBot="1" x14ac:dyDescent="0.35">
      <c r="A1093" s="207"/>
      <c r="B1093" s="234"/>
      <c r="C1093" s="235"/>
      <c r="D1093" s="235"/>
      <c r="E1093" s="61" t="s">
        <v>190</v>
      </c>
      <c r="F1093" s="241">
        <f t="shared" ref="F1093:N1093" si="359">IF(((F1091="")*AND(F1092="")),"",(F1091-F1092)*3)</f>
        <v>2078.2799999999997</v>
      </c>
      <c r="G1093" s="241">
        <f t="shared" si="359"/>
        <v>2091.63</v>
      </c>
      <c r="H1093" s="241">
        <f t="shared" si="359"/>
        <v>2087.7299999999996</v>
      </c>
      <c r="I1093" s="241">
        <f t="shared" si="359"/>
        <v>2098.5299999999997</v>
      </c>
      <c r="J1093" s="241">
        <f t="shared" si="359"/>
        <v>2040.72</v>
      </c>
      <c r="K1093" s="241">
        <f t="shared" si="359"/>
        <v>2041.8599999999997</v>
      </c>
      <c r="L1093" s="241">
        <f t="shared" si="359"/>
        <v>2089.5</v>
      </c>
      <c r="M1093" s="241">
        <f t="shared" si="359"/>
        <v>2099.1000000000004</v>
      </c>
      <c r="N1093" s="241">
        <f t="shared" si="359"/>
        <v>2080.1099999999997</v>
      </c>
      <c r="O1093" s="237"/>
      <c r="P1093" s="237"/>
      <c r="Q1093" s="238"/>
      <c r="R1093" s="238"/>
      <c r="S1093" s="239"/>
      <c r="T1093" s="5"/>
      <c r="U1093" s="251"/>
      <c r="W1093" s="240"/>
      <c r="X1093" s="240"/>
      <c r="Y1093" s="240"/>
      <c r="Z1093" s="240"/>
      <c r="AA1093" s="221"/>
      <c r="AB1093" s="221"/>
    </row>
    <row r="1094" spans="1:29" customFormat="1" ht="15.6" x14ac:dyDescent="0.3">
      <c r="A1094" s="207">
        <v>43605</v>
      </c>
      <c r="B1094" s="234" t="s">
        <v>185</v>
      </c>
      <c r="C1094" s="235" t="s">
        <v>173</v>
      </c>
      <c r="D1094" s="235" t="s">
        <v>172</v>
      </c>
      <c r="E1094" s="61" t="s">
        <v>186</v>
      </c>
      <c r="F1094">
        <v>26988.639999999999</v>
      </c>
      <c r="G1094">
        <v>26892.52</v>
      </c>
      <c r="H1094">
        <v>26958.959999999999</v>
      </c>
      <c r="I1094">
        <v>26877.53</v>
      </c>
      <c r="J1094">
        <v>26938.14</v>
      </c>
      <c r="K1094">
        <v>26887.22</v>
      </c>
      <c r="L1094">
        <v>26869.77</v>
      </c>
      <c r="M1094">
        <v>26861.18</v>
      </c>
      <c r="N1094">
        <v>26949.4</v>
      </c>
      <c r="O1094" s="237">
        <f>IF((N1095=""),"",MAX(F1096:N1096))</f>
        <v>4429.1699999999983</v>
      </c>
      <c r="P1094" s="237">
        <f>IF(N1095="","",MIN(F1096:N1096))</f>
        <v>3879.3300000000017</v>
      </c>
      <c r="Q1094" s="238">
        <f>IF((N1096=""),"",AVERAGE(F1096:N1096))</f>
        <v>4128.5433333333331</v>
      </c>
      <c r="R1094" s="238">
        <f>IF((N1095=""),"",(O1094-P1094)/(O1094+P1094)*100)</f>
        <v>6.617801047120377</v>
      </c>
      <c r="S1094" s="239">
        <f>STDEV(F1096:N1096)</f>
        <v>209.33650870070409</v>
      </c>
      <c r="T1094" s="5" t="str">
        <f>IF(N1095="","",IF(R1094&lt;16,IF(Q1094&gt;3200,IF(R1094,IF(Q1094&lt;5240,"Pass","Fail"),"Fail"),"Fail")))</f>
        <v>Pass</v>
      </c>
      <c r="U1094" s="249">
        <v>74</v>
      </c>
      <c r="W1094" s="233"/>
      <c r="X1094" s="116">
        <v>4200</v>
      </c>
      <c r="Y1094" s="116">
        <v>5500</v>
      </c>
      <c r="Z1094" s="116">
        <v>3200</v>
      </c>
      <c r="AA1094" s="116">
        <v>5240</v>
      </c>
      <c r="AB1094" s="31">
        <v>16</v>
      </c>
      <c r="AC1094" s="31">
        <v>16</v>
      </c>
    </row>
    <row r="1095" spans="1:29" customFormat="1" ht="16.2" customHeight="1" x14ac:dyDescent="0.3">
      <c r="A1095" s="207"/>
      <c r="B1095" s="234"/>
      <c r="C1095" s="235"/>
      <c r="D1095" s="235"/>
      <c r="E1095" s="61" t="s">
        <v>187</v>
      </c>
      <c r="F1095">
        <v>25568.13</v>
      </c>
      <c r="G1095">
        <v>25589.57</v>
      </c>
      <c r="H1095">
        <v>25665.85</v>
      </c>
      <c r="I1095">
        <v>25532.59</v>
      </c>
      <c r="J1095">
        <v>25461.75</v>
      </c>
      <c r="K1095">
        <v>25449.89</v>
      </c>
      <c r="L1095">
        <v>25545.32</v>
      </c>
      <c r="M1095">
        <v>25526.2</v>
      </c>
      <c r="N1095">
        <v>25498.43</v>
      </c>
      <c r="P1095" s="237"/>
      <c r="Q1095" s="238"/>
      <c r="R1095" s="238"/>
      <c r="S1095" s="239"/>
      <c r="T1095" s="5"/>
      <c r="U1095" s="251"/>
      <c r="W1095" s="240"/>
      <c r="X1095" s="240"/>
      <c r="Y1095" s="240"/>
      <c r="Z1095" s="240"/>
      <c r="AA1095" s="221"/>
      <c r="AB1095" s="221"/>
    </row>
    <row r="1096" spans="1:29" customFormat="1" ht="34.5" customHeight="1" thickBot="1" x14ac:dyDescent="0.35">
      <c r="A1096" s="207"/>
      <c r="B1096" s="242"/>
      <c r="C1096" s="243"/>
      <c r="D1096" s="243"/>
      <c r="E1096" s="61" t="s">
        <v>188</v>
      </c>
      <c r="F1096" s="244">
        <f t="shared" ref="F1096:N1096" si="360">IF(((F1094="")*AND(F1095="")),"",(F1094-F1095)*3)</f>
        <v>4261.5299999999952</v>
      </c>
      <c r="G1096" s="244">
        <f t="shared" si="360"/>
        <v>3908.8500000000022</v>
      </c>
      <c r="H1096" s="244">
        <f t="shared" si="360"/>
        <v>3879.3300000000017</v>
      </c>
      <c r="I1096" s="244">
        <f t="shared" si="360"/>
        <v>4034.8199999999961</v>
      </c>
      <c r="J1096" s="244">
        <f t="shared" si="360"/>
        <v>4429.1699999999983</v>
      </c>
      <c r="K1096" s="244">
        <f t="shared" si="360"/>
        <v>4311.9900000000052</v>
      </c>
      <c r="L1096" s="244">
        <f t="shared" si="360"/>
        <v>3973.3500000000022</v>
      </c>
      <c r="M1096" s="244">
        <f t="shared" si="360"/>
        <v>4004.9399999999987</v>
      </c>
      <c r="N1096" s="244">
        <f t="shared" si="360"/>
        <v>4352.9100000000035</v>
      </c>
      <c r="O1096" s="245"/>
      <c r="P1096" s="245"/>
      <c r="Q1096" s="246"/>
      <c r="R1096" s="246"/>
      <c r="S1096" s="247"/>
      <c r="T1096" s="143"/>
      <c r="U1096" s="252"/>
      <c r="W1096" s="240"/>
      <c r="X1096" s="240"/>
      <c r="Y1096" s="240"/>
      <c r="Z1096" s="240"/>
      <c r="AA1096" s="221"/>
      <c r="AB1096" s="221"/>
    </row>
    <row r="1097" spans="1:29" ht="15.6" x14ac:dyDescent="0.3">
      <c r="A1097" s="209">
        <v>43608</v>
      </c>
      <c r="B1097" s="228" t="s">
        <v>174</v>
      </c>
      <c r="C1097" s="229" t="s">
        <v>176</v>
      </c>
      <c r="D1097" s="229" t="s">
        <v>175</v>
      </c>
      <c r="E1097" s="61" t="s">
        <v>186</v>
      </c>
      <c r="F1097">
        <v>6987.53</v>
      </c>
      <c r="G1097">
        <v>6963.78</v>
      </c>
      <c r="H1097">
        <v>6987.83</v>
      </c>
      <c r="I1097">
        <v>6932.35</v>
      </c>
      <c r="J1097">
        <v>6857.25</v>
      </c>
      <c r="K1097">
        <v>6914.43</v>
      </c>
      <c r="L1097">
        <v>6941.6</v>
      </c>
      <c r="M1097">
        <v>6999.96</v>
      </c>
      <c r="N1097">
        <v>6999.96</v>
      </c>
      <c r="O1097" s="230">
        <f>IF((N1098=""),"",MAX(F1099:N1099))</f>
        <v>3895.42</v>
      </c>
      <c r="P1097" s="230">
        <f>IF(N1098="","",MIN(F1099:N1099))</f>
        <v>3494.1000000000004</v>
      </c>
      <c r="Q1097" s="231">
        <f>IF((N1099=""),"",AVERAGE(F1099:N1099))</f>
        <v>3779.4022222222225</v>
      </c>
      <c r="R1097" s="231">
        <f>IF((N1098=""),"",(O1097-P1097)/(O1097+P1097)*100)</f>
        <v>5.4309346209226002</v>
      </c>
      <c r="S1097" s="232">
        <f>STDEV(F1099:N1099)</f>
        <v>131.74788857679812</v>
      </c>
      <c r="T1097" s="137" t="str">
        <f>IF(N1098="","",IF(Q1097&gt;3650,IF(R1097&lt;7,IF(Q1097&lt;4450,"Pass","Fail"),"Fail"),"Fail"))</f>
        <v>Pass</v>
      </c>
      <c r="U1097" s="249">
        <v>1340</v>
      </c>
      <c r="V1097" t="s">
        <v>273</v>
      </c>
      <c r="W1097" s="11"/>
      <c r="X1097" s="116">
        <v>3650</v>
      </c>
      <c r="Y1097" s="116">
        <v>4450</v>
      </c>
      <c r="Z1097" s="116">
        <v>3700</v>
      </c>
      <c r="AA1097" s="116">
        <v>4100</v>
      </c>
      <c r="AB1097" s="31">
        <v>7</v>
      </c>
      <c r="AC1097" s="31">
        <v>6.5</v>
      </c>
    </row>
    <row r="1098" spans="1:29" ht="15.6" x14ac:dyDescent="0.3">
      <c r="A1098" s="207"/>
      <c r="B1098" s="234"/>
      <c r="C1098" s="235"/>
      <c r="D1098" s="235"/>
      <c r="E1098" s="61" t="s">
        <v>187</v>
      </c>
      <c r="F1098">
        <v>5137.7</v>
      </c>
      <c r="G1098">
        <v>5033.97</v>
      </c>
      <c r="H1098">
        <v>5044.72</v>
      </c>
      <c r="I1098">
        <v>5002.07</v>
      </c>
      <c r="J1098">
        <v>5012.7</v>
      </c>
      <c r="K1098">
        <v>5167.38</v>
      </c>
      <c r="L1098">
        <v>5016.34</v>
      </c>
      <c r="M1098">
        <v>5052.25</v>
      </c>
      <c r="N1098">
        <v>5110.25</v>
      </c>
      <c r="O1098" s="237"/>
      <c r="P1098" s="237"/>
      <c r="Q1098" s="238"/>
      <c r="R1098" s="238"/>
      <c r="S1098" s="239"/>
      <c r="T1098" s="8"/>
      <c r="U1098" s="250"/>
      <c r="V1098"/>
      <c r="W1098" s="11"/>
      <c r="X1098" s="118"/>
      <c r="Y1098" s="118"/>
      <c r="Z1098" s="118"/>
      <c r="AA1098" s="118"/>
    </row>
    <row r="1099" spans="1:29" ht="33.75" customHeight="1" thickBot="1" x14ac:dyDescent="0.35">
      <c r="A1099" s="207"/>
      <c r="B1099" s="234"/>
      <c r="C1099" s="235"/>
      <c r="D1099" s="235"/>
      <c r="E1099" s="61" t="s">
        <v>188</v>
      </c>
      <c r="F1099" s="241">
        <f t="shared" ref="F1099:N1099" si="361">IF(((F1097="")*AND(F1098="")),"",(F1097-F1098)*2)</f>
        <v>3699.66</v>
      </c>
      <c r="G1099" s="241">
        <f t="shared" si="361"/>
        <v>3859.619999999999</v>
      </c>
      <c r="H1099" s="241">
        <f t="shared" si="361"/>
        <v>3886.2199999999993</v>
      </c>
      <c r="I1099" s="241">
        <f t="shared" si="361"/>
        <v>3860.5600000000013</v>
      </c>
      <c r="J1099" s="241">
        <f t="shared" si="361"/>
        <v>3689.1000000000004</v>
      </c>
      <c r="K1099" s="241">
        <f t="shared" si="361"/>
        <v>3494.1000000000004</v>
      </c>
      <c r="L1099" s="241">
        <f t="shared" si="361"/>
        <v>3850.5200000000004</v>
      </c>
      <c r="M1099" s="241">
        <f t="shared" si="361"/>
        <v>3895.42</v>
      </c>
      <c r="N1099" s="241">
        <f t="shared" si="361"/>
        <v>3779.42</v>
      </c>
      <c r="O1099" s="237"/>
      <c r="P1099" s="237"/>
      <c r="Q1099" s="238"/>
      <c r="R1099" s="238"/>
      <c r="S1099" s="239"/>
      <c r="T1099" s="8"/>
      <c r="U1099" s="250"/>
      <c r="V1099"/>
      <c r="W1099" s="11"/>
      <c r="X1099" s="118"/>
      <c r="Y1099" s="118"/>
      <c r="Z1099" s="118"/>
      <c r="AA1099" s="118"/>
    </row>
    <row r="1100" spans="1:29" ht="15.6" x14ac:dyDescent="0.3">
      <c r="A1100" s="207">
        <v>43608</v>
      </c>
      <c r="B1100" s="235" t="s">
        <v>169</v>
      </c>
      <c r="C1100" s="235" t="s">
        <v>171</v>
      </c>
      <c r="D1100" s="235" t="s">
        <v>189</v>
      </c>
      <c r="E1100" s="61" t="s">
        <v>186</v>
      </c>
      <c r="F1100">
        <v>1274.8</v>
      </c>
      <c r="G1100">
        <v>1263.54</v>
      </c>
      <c r="H1100">
        <v>1257.72</v>
      </c>
      <c r="I1100">
        <v>1264.22</v>
      </c>
      <c r="J1100">
        <v>1288.71</v>
      </c>
      <c r="K1100">
        <v>1293.8499999999999</v>
      </c>
      <c r="L1100">
        <v>1268.94</v>
      </c>
      <c r="M1100">
        <v>1259.58</v>
      </c>
      <c r="N1100">
        <v>1274.77</v>
      </c>
      <c r="O1100" s="237">
        <f>IF((N1101=""),"",MAX(F1102:N1102))</f>
        <v>2051.16</v>
      </c>
      <c r="P1100" s="237">
        <f>IF(N1101="","",MIN(F1102:N1102))</f>
        <v>1979.6100000000001</v>
      </c>
      <c r="Q1100" s="238">
        <f>IF((N1102=""),"",AVERAGE(F1102:N1102))</f>
        <v>2023.6499999999999</v>
      </c>
      <c r="R1100" s="238">
        <f>IF((N1101=""),"",(O1100-P1100)/(O1100+P1100)*100)</f>
        <v>1.7750950810887183</v>
      </c>
      <c r="S1100" s="239">
        <f>STDEV(F1102:N1102)</f>
        <v>22.084289664827324</v>
      </c>
      <c r="T1100" s="5" t="str">
        <f>IF(N1101="","",IF(Q1100&gt;1940,IF(R1100&lt;8.3,IF(Q1100&lt;2180,"Pass","Fail"),"Fail"),"Fail"))</f>
        <v>Pass</v>
      </c>
      <c r="U1100" s="249">
        <v>1340</v>
      </c>
      <c r="V1100" t="s">
        <v>273</v>
      </c>
      <c r="W1100" s="11"/>
      <c r="X1100" s="116">
        <v>2000</v>
      </c>
      <c r="Y1100" s="116">
        <v>3000</v>
      </c>
      <c r="Z1100" s="116">
        <v>1940</v>
      </c>
      <c r="AA1100" s="116">
        <v>2180</v>
      </c>
      <c r="AB1100" s="31">
        <v>5.2</v>
      </c>
      <c r="AC1100" s="31">
        <v>5.2</v>
      </c>
    </row>
    <row r="1101" spans="1:29" ht="15.6" x14ac:dyDescent="0.3">
      <c r="A1101" s="207"/>
      <c r="B1101" s="234"/>
      <c r="C1101" s="235"/>
      <c r="D1101" s="235"/>
      <c r="E1101" s="61" t="s">
        <v>187</v>
      </c>
      <c r="F1101">
        <v>597.20000000000005</v>
      </c>
      <c r="G1101">
        <v>582.29</v>
      </c>
      <c r="H1101">
        <v>579.37</v>
      </c>
      <c r="I1101">
        <v>587.64</v>
      </c>
      <c r="J1101">
        <v>628.84</v>
      </c>
      <c r="K1101">
        <v>625.59</v>
      </c>
      <c r="L1101">
        <v>593.59</v>
      </c>
      <c r="M1101">
        <v>575.86</v>
      </c>
      <c r="N1101">
        <v>604.79999999999995</v>
      </c>
      <c r="O1101" s="237"/>
      <c r="P1101" s="237"/>
      <c r="Q1101" s="238"/>
      <c r="R1101" s="238"/>
      <c r="S1101" s="239"/>
      <c r="T1101" s="5"/>
      <c r="U1101" s="251"/>
      <c r="V1101"/>
      <c r="W1101" s="11"/>
      <c r="X1101" s="118"/>
      <c r="Y1101" s="118"/>
      <c r="Z1101" s="118"/>
      <c r="AA1101" s="118"/>
    </row>
    <row r="1102" spans="1:29" ht="21.6" customHeight="1" thickBot="1" x14ac:dyDescent="0.35">
      <c r="A1102" s="207"/>
      <c r="B1102" s="234"/>
      <c r="C1102" s="235"/>
      <c r="D1102" s="235"/>
      <c r="E1102" s="61" t="s">
        <v>190</v>
      </c>
      <c r="F1102" s="241">
        <f t="shared" ref="F1102:N1102" si="362">IF(((F1100="")*AND(F1101="")),"",(F1100-F1101)*3)</f>
        <v>2032.7999999999997</v>
      </c>
      <c r="G1102" s="241">
        <f t="shared" si="362"/>
        <v>2043.75</v>
      </c>
      <c r="H1102" s="241">
        <f t="shared" si="362"/>
        <v>2035.0500000000002</v>
      </c>
      <c r="I1102" s="241">
        <f t="shared" si="362"/>
        <v>2029.7400000000002</v>
      </c>
      <c r="J1102" s="241">
        <f t="shared" si="362"/>
        <v>1979.6100000000001</v>
      </c>
      <c r="K1102" s="241">
        <f t="shared" si="362"/>
        <v>2004.7799999999997</v>
      </c>
      <c r="L1102" s="241">
        <f t="shared" si="362"/>
        <v>2026.0500000000002</v>
      </c>
      <c r="M1102" s="241">
        <f t="shared" si="362"/>
        <v>2051.16</v>
      </c>
      <c r="N1102" s="241">
        <f t="shared" si="362"/>
        <v>2009.91</v>
      </c>
      <c r="O1102" s="237"/>
      <c r="P1102" s="237"/>
      <c r="Q1102" s="238"/>
      <c r="R1102" s="238"/>
      <c r="S1102" s="239"/>
      <c r="T1102" s="5"/>
      <c r="U1102" s="251"/>
      <c r="V1102"/>
      <c r="W1102" s="11"/>
      <c r="X1102" s="118"/>
      <c r="Y1102" s="118"/>
      <c r="Z1102" s="118"/>
      <c r="AA1102" s="118"/>
    </row>
    <row r="1103" spans="1:29" ht="15.6" x14ac:dyDescent="0.3">
      <c r="A1103" s="207">
        <v>43608</v>
      </c>
      <c r="B1103" s="234" t="s">
        <v>185</v>
      </c>
      <c r="C1103" s="235" t="s">
        <v>173</v>
      </c>
      <c r="D1103" s="235" t="s">
        <v>172</v>
      </c>
      <c r="E1103" s="61" t="s">
        <v>186</v>
      </c>
      <c r="F1103">
        <v>29024.36</v>
      </c>
      <c r="G1103">
        <v>28895.63</v>
      </c>
      <c r="H1103">
        <v>28917.98</v>
      </c>
      <c r="I1103">
        <v>28917.53</v>
      </c>
      <c r="J1103">
        <v>29026.52</v>
      </c>
      <c r="K1103">
        <v>28896.25</v>
      </c>
      <c r="L1103">
        <v>28880.799999999999</v>
      </c>
      <c r="M1103">
        <v>28902.080000000002</v>
      </c>
      <c r="N1103">
        <v>28961.02</v>
      </c>
      <c r="O1103" s="237">
        <f>IF((N1104=""),"",MAX(F1105:N1105))</f>
        <v>4744.0800000000017</v>
      </c>
      <c r="P1103" s="237">
        <f>IF(N1104="","",MIN(F1105:N1105))</f>
        <v>4128.5099999999948</v>
      </c>
      <c r="Q1103" s="238">
        <f>IF((N1105=""),"",AVERAGE(F1105:N1105))</f>
        <v>4390.786666666665</v>
      </c>
      <c r="R1103" s="238">
        <f>IF((N1104=""),"",(O1103-P1103)/(O1103+P1103)*100)</f>
        <v>6.9378839775083394</v>
      </c>
      <c r="S1103" s="239">
        <f>STDEV(F1105:N1105)</f>
        <v>245.10361921032674</v>
      </c>
      <c r="T1103" s="5" t="str">
        <f>IF(N1104="","",IF(R1103&lt;16,IF(Q1103&gt;3200,IF(R1103,IF(Q1103&lt;5240,"Pass","Fail"),"Fail"),"Fail")))</f>
        <v>Pass</v>
      </c>
      <c r="U1103" s="249">
        <v>1340</v>
      </c>
      <c r="V1103" t="s">
        <v>273</v>
      </c>
      <c r="W1103" s="11"/>
      <c r="X1103" s="116">
        <v>4200</v>
      </c>
      <c r="Y1103" s="116">
        <v>5500</v>
      </c>
      <c r="Z1103" s="116">
        <v>3200</v>
      </c>
      <c r="AA1103" s="116">
        <v>5240</v>
      </c>
      <c r="AB1103" s="31">
        <v>16</v>
      </c>
      <c r="AC1103" s="31">
        <v>16</v>
      </c>
    </row>
    <row r="1104" spans="1:29" ht="15.6" x14ac:dyDescent="0.3">
      <c r="A1104" s="207"/>
      <c r="B1104" s="234"/>
      <c r="C1104" s="235"/>
      <c r="D1104" s="235"/>
      <c r="E1104" s="61" t="s">
        <v>187</v>
      </c>
      <c r="F1104">
        <v>27443</v>
      </c>
      <c r="G1104">
        <v>27479.29</v>
      </c>
      <c r="H1104">
        <v>27541.81</v>
      </c>
      <c r="I1104">
        <v>27517.78</v>
      </c>
      <c r="J1104">
        <v>27499.18</v>
      </c>
      <c r="K1104">
        <v>27340.87</v>
      </c>
      <c r="L1104">
        <v>27490.99</v>
      </c>
      <c r="M1104">
        <v>27500.81</v>
      </c>
      <c r="N1104">
        <v>27436.080000000002</v>
      </c>
      <c r="O1104"/>
      <c r="P1104" s="237"/>
      <c r="Q1104" s="238"/>
      <c r="R1104" s="238"/>
      <c r="S1104" s="239"/>
      <c r="T1104" s="5"/>
      <c r="U1104" s="251"/>
      <c r="V1104"/>
      <c r="W1104" s="11"/>
      <c r="X1104" s="118"/>
      <c r="Y1104" s="118"/>
      <c r="Z1104" s="118"/>
      <c r="AA1104" s="118"/>
    </row>
    <row r="1105" spans="1:29" ht="23.4" thickBot="1" x14ac:dyDescent="0.35">
      <c r="A1105" s="207"/>
      <c r="B1105" s="242"/>
      <c r="C1105" s="243"/>
      <c r="D1105" s="243"/>
      <c r="E1105" s="61" t="s">
        <v>188</v>
      </c>
      <c r="F1105" s="244">
        <f t="shared" ref="F1105:N1105" si="363">IF(((F1103="")*AND(F1104="")),"",(F1103-F1104)*3)</f>
        <v>4744.0800000000017</v>
      </c>
      <c r="G1105" s="244">
        <f t="shared" si="363"/>
        <v>4249.0200000000004</v>
      </c>
      <c r="H1105" s="244">
        <f t="shared" si="363"/>
        <v>4128.5099999999948</v>
      </c>
      <c r="I1105" s="244">
        <f t="shared" si="363"/>
        <v>4199.25</v>
      </c>
      <c r="J1105" s="244">
        <f t="shared" si="363"/>
        <v>4582.0200000000004</v>
      </c>
      <c r="K1105" s="244">
        <f t="shared" si="363"/>
        <v>4666.1400000000031</v>
      </c>
      <c r="L1105" s="244">
        <f t="shared" si="363"/>
        <v>4169.429999999993</v>
      </c>
      <c r="M1105" s="244">
        <f t="shared" si="363"/>
        <v>4203.8100000000013</v>
      </c>
      <c r="N1105" s="244">
        <f t="shared" si="363"/>
        <v>4574.8199999999961</v>
      </c>
      <c r="O1105" s="245"/>
      <c r="P1105" s="245"/>
      <c r="Q1105" s="246"/>
      <c r="R1105" s="246"/>
      <c r="S1105" s="247"/>
      <c r="T1105" s="143"/>
      <c r="U1105" s="252"/>
      <c r="V1105"/>
      <c r="W1105" s="11"/>
      <c r="X1105" s="118"/>
      <c r="Y1105" s="118"/>
      <c r="Z1105" s="118"/>
      <c r="AA1105" s="118"/>
    </row>
    <row r="1106" spans="1:29" ht="15.6" x14ac:dyDescent="0.3">
      <c r="A1106" s="209">
        <v>43612</v>
      </c>
      <c r="B1106" s="228" t="s">
        <v>174</v>
      </c>
      <c r="C1106" s="229" t="s">
        <v>176</v>
      </c>
      <c r="D1106" s="229" t="s">
        <v>175</v>
      </c>
      <c r="E1106" s="61" t="s">
        <v>186</v>
      </c>
      <c r="F1106">
        <v>6999.61</v>
      </c>
      <c r="G1106">
        <v>7000</v>
      </c>
      <c r="H1106">
        <v>6999.94</v>
      </c>
      <c r="I1106">
        <v>7000</v>
      </c>
      <c r="J1106">
        <v>6968.44</v>
      </c>
      <c r="K1106">
        <v>6999.99</v>
      </c>
      <c r="L1106">
        <v>7000</v>
      </c>
      <c r="M1106">
        <v>6999.76</v>
      </c>
      <c r="N1106">
        <v>6999.91</v>
      </c>
      <c r="O1106" s="230">
        <f>IF((N1107=""),"",MAX(F1108:N1108))</f>
        <v>3918.2199999999993</v>
      </c>
      <c r="P1106" s="230">
        <f>IF(N1107="","",MIN(F1108:N1108))</f>
        <v>3538.3199999999997</v>
      </c>
      <c r="Q1106" s="231">
        <f>IF((N1108=""),"",AVERAGE(F1108:N1108))</f>
        <v>3773.96</v>
      </c>
      <c r="R1106" s="231">
        <f>IF((N1107=""),"",(O1106-P1106)/(O1106+P1106)*100)</f>
        <v>5.0948563274655498</v>
      </c>
      <c r="S1106" s="232">
        <f>STDEV(F1108:N1108)</f>
        <v>132.47026534283106</v>
      </c>
      <c r="T1106" s="137" t="str">
        <f>IF(N1107="","",IF(Q1106&gt;3650,IF(R1106&lt;7,IF(Q1106&lt;4450,"Pass","Fail"),"Fail"),"Fail"))</f>
        <v>Pass</v>
      </c>
      <c r="U1106" s="249">
        <v>1340</v>
      </c>
      <c r="V1106" s="10" t="s">
        <v>275</v>
      </c>
      <c r="W1106" s="11"/>
      <c r="X1106" s="116">
        <v>3650</v>
      </c>
      <c r="Y1106" s="116">
        <v>4450</v>
      </c>
      <c r="Z1106" s="116">
        <v>3700</v>
      </c>
      <c r="AA1106" s="116">
        <v>4100</v>
      </c>
      <c r="AB1106" s="31">
        <v>7</v>
      </c>
      <c r="AC1106" s="31">
        <v>6.5</v>
      </c>
    </row>
    <row r="1107" spans="1:29" ht="15.6" x14ac:dyDescent="0.3">
      <c r="A1107" s="207"/>
      <c r="B1107" s="234"/>
      <c r="C1107" s="235"/>
      <c r="D1107" s="235"/>
      <c r="E1107" s="61" t="s">
        <v>187</v>
      </c>
      <c r="F1107">
        <v>5184.3500000000004</v>
      </c>
      <c r="G1107">
        <v>5065.6400000000003</v>
      </c>
      <c r="H1107">
        <v>5075.12</v>
      </c>
      <c r="I1107">
        <v>5040.8900000000003</v>
      </c>
      <c r="J1107">
        <v>5075.37</v>
      </c>
      <c r="K1107">
        <v>5230.83</v>
      </c>
      <c r="L1107">
        <v>5054.16</v>
      </c>
      <c r="M1107">
        <v>5089.45</v>
      </c>
      <c r="N1107">
        <v>5169.0200000000004</v>
      </c>
      <c r="O1107" s="237"/>
      <c r="P1107" s="237"/>
      <c r="Q1107" s="238"/>
      <c r="R1107" s="238"/>
      <c r="S1107" s="239"/>
      <c r="T1107" s="8"/>
      <c r="U1107" s="250"/>
      <c r="V1107" s="127"/>
      <c r="W1107" s="11"/>
      <c r="X1107" s="118"/>
      <c r="Y1107" s="118"/>
      <c r="Z1107" s="118"/>
      <c r="AA1107" s="118"/>
    </row>
    <row r="1108" spans="1:29" ht="23.4" thickBot="1" x14ac:dyDescent="0.35">
      <c r="A1108" s="207"/>
      <c r="B1108" s="234"/>
      <c r="C1108" s="235"/>
      <c r="D1108" s="235"/>
      <c r="E1108" s="61" t="s">
        <v>188</v>
      </c>
      <c r="F1108" s="241">
        <f t="shared" ref="F1108:N1108" si="364">IF(((F1106="")*AND(F1107="")),"",(F1106-F1107)*2)</f>
        <v>3630.5199999999986</v>
      </c>
      <c r="G1108" s="241">
        <f t="shared" si="364"/>
        <v>3868.7199999999993</v>
      </c>
      <c r="H1108" s="241">
        <f t="shared" si="364"/>
        <v>3849.6399999999994</v>
      </c>
      <c r="I1108" s="241">
        <f t="shared" si="364"/>
        <v>3918.2199999999993</v>
      </c>
      <c r="J1108" s="241">
        <f t="shared" si="364"/>
        <v>3786.1399999999994</v>
      </c>
      <c r="K1108" s="241">
        <f t="shared" si="364"/>
        <v>3538.3199999999997</v>
      </c>
      <c r="L1108" s="241">
        <f t="shared" si="364"/>
        <v>3891.6800000000003</v>
      </c>
      <c r="M1108" s="241">
        <f t="shared" si="364"/>
        <v>3820.6200000000008</v>
      </c>
      <c r="N1108" s="241">
        <f t="shared" si="364"/>
        <v>3661.7799999999988</v>
      </c>
      <c r="O1108" s="237"/>
      <c r="P1108" s="237"/>
      <c r="Q1108" s="238"/>
      <c r="R1108" s="238"/>
      <c r="S1108" s="239"/>
      <c r="T1108" s="8"/>
      <c r="U1108" s="250"/>
      <c r="V1108" s="127"/>
      <c r="W1108" s="11"/>
      <c r="X1108" s="118"/>
      <c r="Y1108" s="118"/>
      <c r="Z1108" s="118"/>
      <c r="AA1108" s="118"/>
    </row>
    <row r="1109" spans="1:29" ht="15.6" x14ac:dyDescent="0.3">
      <c r="A1109" s="209">
        <v>43612</v>
      </c>
      <c r="B1109" s="235" t="s">
        <v>169</v>
      </c>
      <c r="C1109" s="235" t="s">
        <v>171</v>
      </c>
      <c r="D1109" s="235" t="s">
        <v>189</v>
      </c>
      <c r="E1109" s="61" t="s">
        <v>186</v>
      </c>
      <c r="F1109">
        <v>1961.98</v>
      </c>
      <c r="G1109">
        <v>1959.02</v>
      </c>
      <c r="H1109">
        <v>1957.77</v>
      </c>
      <c r="I1109">
        <v>1962.64</v>
      </c>
      <c r="J1109">
        <v>1970.26</v>
      </c>
      <c r="K1109">
        <v>1969.91</v>
      </c>
      <c r="L1109">
        <v>1960.83</v>
      </c>
      <c r="M1109">
        <v>1959.85</v>
      </c>
      <c r="N1109">
        <v>1962.84</v>
      </c>
      <c r="O1109" s="237">
        <f>IF((N1110=""),"",MAX(F1111:N1111))</f>
        <v>2092.2599999999993</v>
      </c>
      <c r="P1109" s="237">
        <f>IF(N1110="","",MIN(F1111:N1111))</f>
        <v>2009.6399999999996</v>
      </c>
      <c r="Q1109" s="238">
        <f>IF((N1111=""),"",AVERAGE(F1111:N1111))</f>
        <v>2059.9999999999995</v>
      </c>
      <c r="R1109" s="238">
        <f>IF((N1110=""),"",(O1109-P1109)/(O1109+P1109)*100)</f>
        <v>2.0141885467710012</v>
      </c>
      <c r="S1109" s="239">
        <f>STDEV(F1111:N1111)</f>
        <v>30.811873117355287</v>
      </c>
      <c r="T1109" s="5" t="str">
        <f>IF(N1110="","",IF(Q1109&gt;1940,IF(R1109&lt;8.3,IF(Q1109&lt;2180,"Pass","Fail"),"Fail"),"Fail"))</f>
        <v>Pass</v>
      </c>
      <c r="U1109" s="249">
        <v>1340</v>
      </c>
      <c r="V1109" s="10" t="s">
        <v>275</v>
      </c>
      <c r="W1109" s="11"/>
      <c r="X1109" s="116">
        <v>2000</v>
      </c>
      <c r="Y1109" s="116">
        <v>3000</v>
      </c>
      <c r="Z1109" s="116">
        <v>1940</v>
      </c>
      <c r="AA1109" s="116">
        <v>2180</v>
      </c>
      <c r="AB1109" s="31">
        <v>5.2</v>
      </c>
      <c r="AC1109" s="31">
        <v>5.2</v>
      </c>
    </row>
    <row r="1110" spans="1:29" ht="15.6" x14ac:dyDescent="0.3">
      <c r="A1110" s="207"/>
      <c r="B1110" s="234"/>
      <c r="C1110" s="235"/>
      <c r="D1110" s="235"/>
      <c r="E1110" s="61" t="s">
        <v>187</v>
      </c>
      <c r="F1110">
        <v>1275.1500000000001</v>
      </c>
      <c r="G1110">
        <v>1262.04</v>
      </c>
      <c r="H1110">
        <v>1261.5899999999999</v>
      </c>
      <c r="I1110">
        <v>1272.3399999999999</v>
      </c>
      <c r="J1110">
        <v>1300.3800000000001</v>
      </c>
      <c r="K1110">
        <v>1297.17</v>
      </c>
      <c r="L1110">
        <v>1271.77</v>
      </c>
      <c r="M1110">
        <v>1262.43</v>
      </c>
      <c r="N1110">
        <v>1282.23</v>
      </c>
      <c r="O1110" s="237"/>
      <c r="P1110" s="237"/>
      <c r="Q1110" s="238"/>
      <c r="R1110" s="238"/>
      <c r="S1110" s="239"/>
      <c r="T1110" s="5"/>
      <c r="U1110" s="251"/>
      <c r="V1110" s="173"/>
      <c r="W1110" s="11"/>
      <c r="X1110" s="118"/>
      <c r="Y1110" s="118"/>
      <c r="Z1110" s="118"/>
      <c r="AA1110" s="118"/>
    </row>
    <row r="1111" spans="1:29" ht="16.2" thickBot="1" x14ac:dyDescent="0.3">
      <c r="A1111" s="207"/>
      <c r="B1111" s="234"/>
      <c r="C1111" s="235"/>
      <c r="D1111" s="235"/>
      <c r="E1111" s="61" t="s">
        <v>190</v>
      </c>
      <c r="F1111" s="241">
        <f t="shared" ref="F1111:N1111" si="365">IF(((F1109="")*AND(F1110="")),"",(F1109-F1110)*3)</f>
        <v>2060.4899999999998</v>
      </c>
      <c r="G1111" s="241">
        <f t="shared" si="365"/>
        <v>2090.94</v>
      </c>
      <c r="H1111" s="241">
        <f t="shared" si="365"/>
        <v>2088.54</v>
      </c>
      <c r="I1111" s="241">
        <f t="shared" si="365"/>
        <v>2070.9000000000005</v>
      </c>
      <c r="J1111" s="241">
        <f t="shared" si="365"/>
        <v>2009.6399999999996</v>
      </c>
      <c r="K1111" s="241">
        <f t="shared" si="365"/>
        <v>2018.22</v>
      </c>
      <c r="L1111" s="241">
        <f t="shared" si="365"/>
        <v>2067.1799999999998</v>
      </c>
      <c r="M1111" s="241">
        <f t="shared" si="365"/>
        <v>2092.2599999999993</v>
      </c>
      <c r="N1111" s="241">
        <f t="shared" si="365"/>
        <v>2041.8299999999997</v>
      </c>
      <c r="O1111" s="237"/>
      <c r="P1111" s="237"/>
      <c r="Q1111" s="238"/>
      <c r="R1111" s="238"/>
      <c r="S1111" s="239"/>
      <c r="T1111" s="5"/>
      <c r="U1111" s="251"/>
      <c r="V1111" s="173"/>
      <c r="W1111" s="11"/>
      <c r="X1111" s="118"/>
      <c r="Y1111" s="118"/>
      <c r="Z1111" s="118"/>
      <c r="AA1111" s="118"/>
    </row>
    <row r="1112" spans="1:29" ht="15.6" x14ac:dyDescent="0.3">
      <c r="A1112" s="207">
        <v>43612</v>
      </c>
      <c r="B1112" s="234" t="s">
        <v>185</v>
      </c>
      <c r="C1112" s="235" t="s">
        <v>173</v>
      </c>
      <c r="D1112" s="235" t="s">
        <v>172</v>
      </c>
      <c r="E1112" s="61" t="s">
        <v>186</v>
      </c>
      <c r="F1112">
        <v>27426.11</v>
      </c>
      <c r="G1112">
        <v>27465.599999999999</v>
      </c>
      <c r="H1112">
        <v>27538.01</v>
      </c>
      <c r="I1112">
        <v>27498.27</v>
      </c>
      <c r="J1112">
        <v>27483.09</v>
      </c>
      <c r="K1112">
        <v>27330.959999999999</v>
      </c>
      <c r="L1112">
        <v>27461.48</v>
      </c>
      <c r="M1112">
        <v>27479.48</v>
      </c>
      <c r="N1112">
        <v>27422.799999999999</v>
      </c>
      <c r="O1112" s="237">
        <f>IF((N1113=""),"",MAX(F1114:N1114))</f>
        <v>4775.7900000000009</v>
      </c>
      <c r="P1112" s="237">
        <f>IF(N1113="","",MIN(F1114:N1114))</f>
        <v>4249.9199999999983</v>
      </c>
      <c r="Q1112" s="238">
        <f>IF((N1114=""),"",AVERAGE(F1114:N1114))</f>
        <v>4484.7066666666651</v>
      </c>
      <c r="R1112" s="238">
        <f>IF((N1113=""),"",(O1112-P1112)/(O1112+P1112)*100)</f>
        <v>5.8263560429041332</v>
      </c>
      <c r="S1112" s="239">
        <f>STDEV(F1114:N1114)</f>
        <v>252.3085467240459</v>
      </c>
      <c r="T1112" s="5" t="str">
        <f>IF(N1113="","",IF(R1112&lt;16,IF(Q1112&gt;3200,IF(R1112,IF(Q1112&lt;5240,"Pass","Fail"),"Fail"),"Fail")))</f>
        <v>Pass</v>
      </c>
      <c r="U1112" s="249">
        <v>1340</v>
      </c>
      <c r="V1112" s="10" t="s">
        <v>275</v>
      </c>
      <c r="W1112" s="11"/>
      <c r="X1112" s="116">
        <v>4200</v>
      </c>
      <c r="Y1112" s="116">
        <v>5500</v>
      </c>
      <c r="Z1112" s="116">
        <v>3200</v>
      </c>
      <c r="AA1112" s="116">
        <v>5240</v>
      </c>
      <c r="AB1112" s="31">
        <v>16</v>
      </c>
      <c r="AC1112" s="31">
        <v>16</v>
      </c>
    </row>
    <row r="1113" spans="1:29" ht="15.6" x14ac:dyDescent="0.3">
      <c r="A1113" s="207"/>
      <c r="B1113" s="234"/>
      <c r="C1113" s="235"/>
      <c r="D1113" s="235"/>
      <c r="E1113" s="61" t="s">
        <v>187</v>
      </c>
      <c r="F1113">
        <v>25834.18</v>
      </c>
      <c r="G1113">
        <v>26035.42</v>
      </c>
      <c r="H1113">
        <v>26118.27</v>
      </c>
      <c r="I1113">
        <v>26081.63</v>
      </c>
      <c r="J1113">
        <v>25897.72</v>
      </c>
      <c r="K1113">
        <v>25744.62</v>
      </c>
      <c r="L1113">
        <v>26033.09</v>
      </c>
      <c r="M1113">
        <v>26053.21</v>
      </c>
      <c r="N1113">
        <v>25853.54</v>
      </c>
      <c r="O1113"/>
      <c r="P1113" s="237"/>
      <c r="Q1113" s="238"/>
      <c r="R1113" s="238"/>
      <c r="S1113" s="239"/>
      <c r="T1113" s="5"/>
      <c r="U1113" s="251"/>
      <c r="V1113" s="173"/>
      <c r="W1113" s="11"/>
      <c r="X1113" s="118"/>
      <c r="Y1113" s="118"/>
      <c r="Z1113" s="118"/>
      <c r="AA1113" s="118"/>
    </row>
    <row r="1114" spans="1:29" ht="23.4" thickBot="1" x14ac:dyDescent="0.3">
      <c r="A1114" s="207"/>
      <c r="B1114" s="242"/>
      <c r="C1114" s="243"/>
      <c r="D1114" s="243"/>
      <c r="E1114" s="61" t="s">
        <v>188</v>
      </c>
      <c r="F1114" s="244">
        <f t="shared" ref="F1114:N1114" si="366">IF(((F1112="")*AND(F1113="")),"",(F1112-F1113)*3)</f>
        <v>4775.7900000000009</v>
      </c>
      <c r="G1114" s="244">
        <f t="shared" si="366"/>
        <v>4290.5400000000009</v>
      </c>
      <c r="H1114" s="244">
        <f t="shared" si="366"/>
        <v>4259.2199999999939</v>
      </c>
      <c r="I1114" s="244">
        <f t="shared" si="366"/>
        <v>4249.9199999999983</v>
      </c>
      <c r="J1114" s="244">
        <f t="shared" si="366"/>
        <v>4756.1099999999969</v>
      </c>
      <c r="K1114" s="244">
        <f t="shared" si="366"/>
        <v>4759.0200000000004</v>
      </c>
      <c r="L1114" s="244">
        <f t="shared" si="366"/>
        <v>4285.1699999999983</v>
      </c>
      <c r="M1114" s="244">
        <f t="shared" si="366"/>
        <v>4278.8100000000013</v>
      </c>
      <c r="N1114" s="244">
        <f t="shared" si="366"/>
        <v>4707.7799999999952</v>
      </c>
      <c r="O1114" s="245"/>
      <c r="P1114" s="245"/>
      <c r="Q1114" s="246"/>
      <c r="R1114" s="246"/>
      <c r="S1114" s="247"/>
      <c r="T1114" s="143"/>
      <c r="U1114" s="252"/>
      <c r="V1114" s="173"/>
      <c r="W1114" s="11"/>
      <c r="X1114" s="118"/>
      <c r="Y1114" s="118"/>
      <c r="Z1114" s="118"/>
      <c r="AA1114" s="118"/>
    </row>
    <row r="1115" spans="1:29" ht="15.6" x14ac:dyDescent="0.3">
      <c r="A1115" s="209">
        <v>43615</v>
      </c>
      <c r="B1115" s="217" t="s">
        <v>174</v>
      </c>
      <c r="C1115" s="44" t="s">
        <v>176</v>
      </c>
      <c r="D1115" s="44" t="s">
        <v>175</v>
      </c>
      <c r="E1115" s="61" t="s">
        <v>186</v>
      </c>
      <c r="F1115">
        <v>5188.6400000000003</v>
      </c>
      <c r="G1115">
        <v>5069.5</v>
      </c>
      <c r="H1115">
        <v>5078.75</v>
      </c>
      <c r="I1115">
        <v>5045.0200000000004</v>
      </c>
      <c r="J1115">
        <v>5079.8599999999997</v>
      </c>
      <c r="K1115">
        <v>5235.5200000000004</v>
      </c>
      <c r="L1115">
        <v>5058.25</v>
      </c>
      <c r="M1115">
        <v>5093.04</v>
      </c>
      <c r="N1115">
        <v>5173.0600000000004</v>
      </c>
      <c r="O1115" s="59">
        <f>IF((N1116=""),"",MAX(F1117:N1117))</f>
        <v>3957.8599999999997</v>
      </c>
      <c r="P1115" s="59">
        <f>IF(N1116="","",MIN(F1117:N1117))</f>
        <v>3565.2400000000007</v>
      </c>
      <c r="Q1115" s="60">
        <f>IF((N1117=""),"",AVERAGE(F1117:N1117))</f>
        <v>3847.3688888888896</v>
      </c>
      <c r="R1115" s="60">
        <f>IF((N1116=""),"",(O1115-P1115)/(O1115+P1115)*100)</f>
        <v>5.2188592468530119</v>
      </c>
      <c r="S1115" s="131">
        <f>STDEV(F1117:N1117)</f>
        <v>131.74647058312834</v>
      </c>
      <c r="T1115" s="137" t="str">
        <f>IF(N1116="","",IF(Q1115&gt;3650,IF(R1115&lt;7,IF(Q1115&lt;4450,"Pass","Fail"),"Fail"),"Fail"))</f>
        <v>Pass</v>
      </c>
      <c r="U1115" s="149">
        <v>1340</v>
      </c>
      <c r="V1115" s="10" t="s">
        <v>277</v>
      </c>
      <c r="W1115" s="11"/>
      <c r="X1115" s="116">
        <v>3650</v>
      </c>
      <c r="Y1115" s="116">
        <v>4450</v>
      </c>
      <c r="Z1115" s="116">
        <v>3700</v>
      </c>
      <c r="AA1115" s="116">
        <v>4100</v>
      </c>
      <c r="AB1115" s="31">
        <v>7</v>
      </c>
      <c r="AC1115" s="31">
        <v>6.5</v>
      </c>
    </row>
    <row r="1116" spans="1:29" ht="15.6" x14ac:dyDescent="0.3">
      <c r="A1116" s="212"/>
      <c r="B1116" s="24"/>
      <c r="C1116" s="6"/>
      <c r="D1116" s="6"/>
      <c r="E1116" s="61" t="s">
        <v>187</v>
      </c>
      <c r="F1116">
        <v>3312.4</v>
      </c>
      <c r="G1116">
        <v>3107.12</v>
      </c>
      <c r="H1116">
        <v>3101.7</v>
      </c>
      <c r="I1116">
        <v>3079.72</v>
      </c>
      <c r="J1116">
        <v>3200.28</v>
      </c>
      <c r="K1116">
        <v>3452.9</v>
      </c>
      <c r="L1116">
        <v>3096.36</v>
      </c>
      <c r="M1116">
        <v>3114.11</v>
      </c>
      <c r="N1116">
        <v>3243.89</v>
      </c>
      <c r="O1116" s="61"/>
      <c r="P1116" s="61"/>
      <c r="Q1116" s="62"/>
      <c r="R1116" s="62"/>
      <c r="S1116" s="139"/>
      <c r="T1116" s="8"/>
      <c r="U1116" s="146"/>
      <c r="V1116" s="127"/>
      <c r="W1116" s="11"/>
      <c r="X1116" s="118"/>
      <c r="Y1116" s="118"/>
      <c r="Z1116" s="118"/>
      <c r="AA1116" s="118"/>
    </row>
    <row r="1117" spans="1:29" ht="23.4" thickBot="1" x14ac:dyDescent="0.35">
      <c r="A1117" s="212"/>
      <c r="B1117" s="24"/>
      <c r="C1117" s="6"/>
      <c r="D1117" s="6"/>
      <c r="E1117" s="61" t="s">
        <v>188</v>
      </c>
      <c r="F1117" s="40">
        <f t="shared" ref="F1117:N1117" si="367">IF(((F1115="")*AND(F1116="")),"",(F1115-F1116)*2)</f>
        <v>3752.4800000000005</v>
      </c>
      <c r="G1117" s="40">
        <f t="shared" si="367"/>
        <v>3924.76</v>
      </c>
      <c r="H1117" s="40">
        <f t="shared" si="367"/>
        <v>3954.1000000000004</v>
      </c>
      <c r="I1117" s="40">
        <f t="shared" si="367"/>
        <v>3930.6000000000013</v>
      </c>
      <c r="J1117" s="40">
        <f t="shared" si="367"/>
        <v>3759.1599999999989</v>
      </c>
      <c r="K1117" s="40">
        <f t="shared" si="367"/>
        <v>3565.2400000000007</v>
      </c>
      <c r="L1117" s="40">
        <f t="shared" si="367"/>
        <v>3923.7799999999997</v>
      </c>
      <c r="M1117" s="40">
        <f t="shared" si="367"/>
        <v>3957.8599999999997</v>
      </c>
      <c r="N1117" s="40">
        <f t="shared" si="367"/>
        <v>3858.3400000000011</v>
      </c>
      <c r="O1117" s="61"/>
      <c r="P1117" s="61"/>
      <c r="Q1117" s="62"/>
      <c r="R1117" s="62"/>
      <c r="S1117" s="139"/>
      <c r="T1117" s="8"/>
      <c r="U1117" s="146"/>
      <c r="V1117" s="127"/>
      <c r="W1117" s="11"/>
      <c r="X1117" s="118"/>
      <c r="Y1117" s="118"/>
      <c r="Z1117" s="118"/>
      <c r="AA1117" s="118"/>
    </row>
    <row r="1118" spans="1:29" ht="15.6" x14ac:dyDescent="0.3">
      <c r="A1118" s="207">
        <v>43615</v>
      </c>
      <c r="B1118" s="215" t="s">
        <v>169</v>
      </c>
      <c r="C1118" s="6" t="s">
        <v>171</v>
      </c>
      <c r="D1118" s="6" t="s">
        <v>189</v>
      </c>
      <c r="E1118" s="61" t="s">
        <v>186</v>
      </c>
      <c r="F1118">
        <v>1943.99</v>
      </c>
      <c r="G1118">
        <v>1938.27</v>
      </c>
      <c r="H1118">
        <v>1937.21</v>
      </c>
      <c r="I1118">
        <v>1942.14</v>
      </c>
      <c r="J1118">
        <v>1946.64</v>
      </c>
      <c r="K1118">
        <v>1951.45</v>
      </c>
      <c r="L1118">
        <v>1943.86</v>
      </c>
      <c r="M1118">
        <v>1939.77</v>
      </c>
      <c r="N1118">
        <v>1943.78</v>
      </c>
      <c r="O1118" s="61">
        <f>IF((N1119=""),"",MAX(F1120:N1120))</f>
        <v>2107.41</v>
      </c>
      <c r="P1118" s="61">
        <f>IF(N1119="","",MIN(F1120:N1120))</f>
        <v>2037.2400000000005</v>
      </c>
      <c r="Q1118" s="62">
        <f>IF((N1120=""),"",AVERAGE(F1120:N1120))</f>
        <v>2073.4633333333336</v>
      </c>
      <c r="R1118" s="62">
        <f>IF((N1119=""),"",(O1118-P1118)/(O1118+P1118)*100)</f>
        <v>1.6930259491151096</v>
      </c>
      <c r="S1118" s="139">
        <f>STDEV(F1120:N1120)</f>
        <v>29.623150997150738</v>
      </c>
      <c r="T1118" s="5" t="str">
        <f>IF(N1119="","",IF(Q1118&gt;1940,IF(R1118&lt;8.3,IF(Q1118&lt;2180,"Pass","Fail"),"Fail"),"Fail"))</f>
        <v>Pass</v>
      </c>
      <c r="U1118" s="149">
        <v>1340</v>
      </c>
      <c r="V1118" s="10" t="s">
        <v>277</v>
      </c>
      <c r="W1118" s="11"/>
      <c r="X1118" s="116">
        <v>2000</v>
      </c>
      <c r="Y1118" s="116">
        <v>3000</v>
      </c>
      <c r="Z1118" s="116">
        <v>1940</v>
      </c>
      <c r="AA1118" s="116">
        <v>2180</v>
      </c>
      <c r="AB1118" s="31">
        <v>5.2</v>
      </c>
      <c r="AC1118" s="31">
        <v>5.2</v>
      </c>
    </row>
    <row r="1119" spans="1:29" ht="15.6" x14ac:dyDescent="0.3">
      <c r="A1119" s="212"/>
      <c r="B1119" s="24"/>
      <c r="C1119" s="6"/>
      <c r="D1119" s="6"/>
      <c r="E1119" s="61" t="s">
        <v>187</v>
      </c>
      <c r="F1119">
        <v>1264.31</v>
      </c>
      <c r="G1119">
        <v>1245.3699999999999</v>
      </c>
      <c r="H1119">
        <v>1238.6400000000001</v>
      </c>
      <c r="I1119">
        <v>1239.67</v>
      </c>
      <c r="J1119">
        <v>1260.55</v>
      </c>
      <c r="K1119">
        <v>1272.3699999999999</v>
      </c>
      <c r="L1119">
        <v>1244.5999999999999</v>
      </c>
      <c r="M1119">
        <v>1237.99</v>
      </c>
      <c r="N1119">
        <v>1263.22</v>
      </c>
      <c r="O1119" s="61"/>
      <c r="P1119" s="61"/>
      <c r="Q1119" s="62"/>
      <c r="R1119" s="62"/>
      <c r="S1119" s="139"/>
      <c r="T1119" s="5"/>
      <c r="U1119" s="140"/>
      <c r="V1119" s="173"/>
      <c r="W1119" s="11"/>
      <c r="X1119" s="118"/>
      <c r="Y1119" s="118"/>
      <c r="Z1119" s="118"/>
      <c r="AA1119" s="118"/>
    </row>
    <row r="1120" spans="1:29" ht="16.2" thickBot="1" x14ac:dyDescent="0.35">
      <c r="A1120" s="212"/>
      <c r="B1120" s="24"/>
      <c r="C1120" s="6"/>
      <c r="D1120" s="6"/>
      <c r="E1120" s="61" t="s">
        <v>190</v>
      </c>
      <c r="F1120" s="40">
        <f t="shared" ref="F1120:N1120" si="368">IF(((F1118="")*AND(F1119="")),"",(F1118-F1119)*3)</f>
        <v>2039.0400000000002</v>
      </c>
      <c r="G1120" s="40">
        <f t="shared" si="368"/>
        <v>2078.7000000000003</v>
      </c>
      <c r="H1120" s="40">
        <f t="shared" si="368"/>
        <v>2095.71</v>
      </c>
      <c r="I1120" s="40">
        <f t="shared" si="368"/>
        <v>2107.41</v>
      </c>
      <c r="J1120" s="40">
        <f t="shared" si="368"/>
        <v>2058.2700000000004</v>
      </c>
      <c r="K1120" s="40">
        <f t="shared" si="368"/>
        <v>2037.2400000000005</v>
      </c>
      <c r="L1120" s="40">
        <f t="shared" si="368"/>
        <v>2097.7799999999997</v>
      </c>
      <c r="M1120" s="40">
        <f t="shared" si="368"/>
        <v>2105.34</v>
      </c>
      <c r="N1120" s="40">
        <f t="shared" si="368"/>
        <v>2041.6799999999998</v>
      </c>
      <c r="O1120" s="61"/>
      <c r="P1120" s="61"/>
      <c r="Q1120" s="62"/>
      <c r="R1120" s="62"/>
      <c r="S1120" s="139"/>
      <c r="T1120" s="5"/>
      <c r="U1120" s="140"/>
      <c r="V1120" s="173"/>
      <c r="W1120" s="11"/>
      <c r="X1120" s="118"/>
      <c r="Y1120" s="118"/>
      <c r="Z1120" s="118"/>
      <c r="AA1120" s="118"/>
    </row>
    <row r="1121" spans="1:29" ht="15.6" x14ac:dyDescent="0.3">
      <c r="A1121" s="207">
        <v>43615</v>
      </c>
      <c r="B1121" s="218" t="s">
        <v>185</v>
      </c>
      <c r="C1121" s="6" t="s">
        <v>173</v>
      </c>
      <c r="D1121" s="6" t="s">
        <v>172</v>
      </c>
      <c r="E1121" s="61" t="s">
        <v>186</v>
      </c>
      <c r="F1121">
        <v>29437.91</v>
      </c>
      <c r="G1121">
        <v>29310.82</v>
      </c>
      <c r="H1121">
        <v>29302.59</v>
      </c>
      <c r="I1121">
        <v>29303.4</v>
      </c>
      <c r="J1121">
        <v>29422.89</v>
      </c>
      <c r="K1121">
        <v>29456.5</v>
      </c>
      <c r="L1121">
        <v>29322</v>
      </c>
      <c r="M1121">
        <v>29281.05</v>
      </c>
      <c r="N1121">
        <v>29376.03</v>
      </c>
      <c r="O1121" s="237">
        <f>IF((N1122=""),"",MAX(F1123:N1123))</f>
        <v>4528.0200000000004</v>
      </c>
      <c r="P1121" s="237">
        <f>IF(N1122="","",MIN(F1123:N1123))</f>
        <v>4022.5200000000004</v>
      </c>
      <c r="Q1121" s="238">
        <f>IF((N1123=""),"",AVERAGE(F1123:N1123))</f>
        <v>4261.62</v>
      </c>
      <c r="R1121" s="238">
        <f>IF((N1122=""),"",(O1121-P1121)/(O1121+P1121)*100)</f>
        <v>5.9119073181342925</v>
      </c>
      <c r="S1121" s="239">
        <f>STDEV(F1123:N1123)</f>
        <v>216.36938415589179</v>
      </c>
      <c r="T1121" s="5" t="str">
        <f>IF(N1122="","",IF(R1121&lt;16,IF(Q1121&gt;3200,IF(R1121,IF(Q1121&lt;5240,"Pass","Fail"),"Fail"),"Fail")))</f>
        <v>Pass</v>
      </c>
      <c r="U1121" s="249">
        <v>1340</v>
      </c>
      <c r="V1121" s="10" t="s">
        <v>277</v>
      </c>
      <c r="W1121" s="11"/>
      <c r="X1121" s="116">
        <v>4200</v>
      </c>
      <c r="Y1121" s="116">
        <v>5500</v>
      </c>
      <c r="Z1121" s="116">
        <v>3200</v>
      </c>
      <c r="AA1121" s="116">
        <v>5240</v>
      </c>
      <c r="AB1121" s="31">
        <v>16</v>
      </c>
      <c r="AC1121" s="31">
        <v>16</v>
      </c>
    </row>
    <row r="1122" spans="1:29" ht="15.6" x14ac:dyDescent="0.3">
      <c r="A1122" s="212"/>
      <c r="B1122" s="24"/>
      <c r="C1122" s="6"/>
      <c r="D1122" s="6"/>
      <c r="E1122" s="61" t="s">
        <v>187</v>
      </c>
      <c r="F1122">
        <v>27928.57</v>
      </c>
      <c r="G1122">
        <v>27939.07</v>
      </c>
      <c r="H1122">
        <v>27961.75</v>
      </c>
      <c r="I1122">
        <v>27943.64</v>
      </c>
      <c r="J1122">
        <v>27938.69</v>
      </c>
      <c r="K1122">
        <v>27947.29</v>
      </c>
      <c r="L1122">
        <v>27951.07</v>
      </c>
      <c r="M1122">
        <v>27920.47</v>
      </c>
      <c r="N1122">
        <v>27897.78</v>
      </c>
      <c r="O1122"/>
      <c r="P1122" s="237"/>
      <c r="Q1122" s="238"/>
      <c r="R1122" s="238"/>
      <c r="S1122" s="239"/>
      <c r="T1122" s="5"/>
      <c r="U1122" s="251"/>
      <c r="V1122" s="173"/>
      <c r="W1122" s="11"/>
      <c r="X1122" s="118"/>
      <c r="Y1122" s="118"/>
      <c r="Z1122" s="118"/>
      <c r="AA1122" s="118"/>
    </row>
    <row r="1123" spans="1:29" ht="23.4" thickBot="1" x14ac:dyDescent="0.35">
      <c r="A1123" s="213"/>
      <c r="B1123" s="63"/>
      <c r="C1123" s="64"/>
      <c r="D1123" s="64"/>
      <c r="E1123" s="61" t="s">
        <v>188</v>
      </c>
      <c r="F1123" s="244">
        <f t="shared" ref="F1123:N1123" si="369">IF(((F1121="")*AND(F1122="")),"",(F1121-F1122)*3)</f>
        <v>4528.0200000000004</v>
      </c>
      <c r="G1123" s="244">
        <f t="shared" si="369"/>
        <v>4115.25</v>
      </c>
      <c r="H1123" s="244">
        <f t="shared" si="369"/>
        <v>4022.5200000000004</v>
      </c>
      <c r="I1123" s="244">
        <f t="shared" si="369"/>
        <v>4079.2800000000061</v>
      </c>
      <c r="J1123" s="244">
        <f t="shared" si="369"/>
        <v>4452.6000000000022</v>
      </c>
      <c r="K1123" s="244">
        <f t="shared" si="369"/>
        <v>4527.6299999999974</v>
      </c>
      <c r="L1123" s="244">
        <f t="shared" si="369"/>
        <v>4112.7900000000009</v>
      </c>
      <c r="M1123" s="244">
        <f t="shared" si="369"/>
        <v>4081.7399999999943</v>
      </c>
      <c r="N1123" s="244">
        <f t="shared" si="369"/>
        <v>4434.75</v>
      </c>
      <c r="O1123" s="245"/>
      <c r="P1123" s="245"/>
      <c r="Q1123" s="246"/>
      <c r="R1123" s="246"/>
      <c r="S1123" s="247"/>
      <c r="T1123" s="143"/>
      <c r="U1123" s="252"/>
      <c r="V1123" s="173"/>
      <c r="W1123" s="11"/>
      <c r="X1123" s="118"/>
      <c r="Y1123" s="118"/>
      <c r="Z1123" s="118"/>
      <c r="AA1123" s="118"/>
    </row>
    <row r="1124" spans="1:29" ht="15.6" x14ac:dyDescent="0.3">
      <c r="A1124" s="278">
        <v>43619</v>
      </c>
      <c r="B1124" s="217" t="s">
        <v>174</v>
      </c>
      <c r="C1124" s="44" t="s">
        <v>176</v>
      </c>
      <c r="D1124" s="44" t="s">
        <v>175</v>
      </c>
      <c r="E1124" s="61" t="s">
        <v>186</v>
      </c>
      <c r="F1124">
        <v>3323.34</v>
      </c>
      <c r="G1124">
        <v>3116.73</v>
      </c>
      <c r="H1124">
        <v>3111.03</v>
      </c>
      <c r="I1124">
        <v>3089.44</v>
      </c>
      <c r="J1124">
        <v>3210.82</v>
      </c>
      <c r="K1124">
        <v>3464.36</v>
      </c>
      <c r="L1124">
        <v>3105.66</v>
      </c>
      <c r="M1124">
        <v>3123.52</v>
      </c>
      <c r="N1124">
        <v>3254.43</v>
      </c>
      <c r="O1124" s="59">
        <f>IF((N1125=""),"",MAX(F1126:N1126))</f>
        <v>3981.92</v>
      </c>
      <c r="P1124" s="59">
        <f>IF(N1125="","",MIN(F1126:N1126))</f>
        <v>3554.1800000000003</v>
      </c>
      <c r="Q1124" s="60">
        <f>IF((N1126=""),"",AVERAGE(F1126:N1126))</f>
        <v>3855.6066666666666</v>
      </c>
      <c r="R1124" s="60">
        <f>IF((N1125=""),"",(O1124-P1124)/(O1124+P1124)*100)</f>
        <v>5.6758800971324659</v>
      </c>
      <c r="S1124" s="131">
        <f>STDEV(F1126:N1126)</f>
        <v>143.1392929981142</v>
      </c>
      <c r="T1124" s="137" t="str">
        <f>IF(N1125="","",IF(Q1124&gt;3650,IF(R1124&lt;7,IF(Q1124&lt;4450,"Pass","Fail"),"Fail"),"Fail"))</f>
        <v>Pass</v>
      </c>
      <c r="U1124" s="149">
        <v>1159</v>
      </c>
      <c r="V1124" s="127" t="s">
        <v>279</v>
      </c>
      <c r="W1124" s="11"/>
      <c r="X1124" s="116">
        <v>3650</v>
      </c>
      <c r="Y1124" s="116">
        <v>4450</v>
      </c>
      <c r="Z1124" s="116">
        <v>3700</v>
      </c>
      <c r="AA1124" s="116">
        <v>4100</v>
      </c>
      <c r="AB1124" s="31">
        <v>7</v>
      </c>
      <c r="AC1124" s="31">
        <v>6.5</v>
      </c>
    </row>
    <row r="1125" spans="1:29" ht="15.6" x14ac:dyDescent="0.3">
      <c r="A1125" s="212"/>
      <c r="B1125" s="24"/>
      <c r="C1125" s="6"/>
      <c r="D1125" s="6"/>
      <c r="E1125" s="61" t="s">
        <v>187</v>
      </c>
      <c r="F1125">
        <v>1453.13</v>
      </c>
      <c r="G1125">
        <v>1147.32</v>
      </c>
      <c r="H1125">
        <v>1125.21</v>
      </c>
      <c r="I1125">
        <v>1116.31</v>
      </c>
      <c r="J1125">
        <v>1327.81</v>
      </c>
      <c r="K1125">
        <v>1687.27</v>
      </c>
      <c r="L1125">
        <v>1135.52</v>
      </c>
      <c r="M1125">
        <v>1132.56</v>
      </c>
      <c r="N1125">
        <v>1323.97</v>
      </c>
      <c r="O1125" s="61"/>
      <c r="P1125" s="61"/>
      <c r="Q1125" s="62"/>
      <c r="R1125" s="62"/>
      <c r="S1125" s="139"/>
      <c r="T1125" s="8"/>
      <c r="U1125" s="146"/>
      <c r="V1125" s="127"/>
      <c r="W1125" s="11"/>
      <c r="X1125" s="118"/>
      <c r="Y1125" s="118"/>
      <c r="Z1125" s="118"/>
      <c r="AA1125" s="118"/>
    </row>
    <row r="1126" spans="1:29" ht="23.4" thickBot="1" x14ac:dyDescent="0.35">
      <c r="A1126" s="212"/>
      <c r="B1126" s="24"/>
      <c r="C1126" s="6"/>
      <c r="D1126" s="6"/>
      <c r="E1126" s="61" t="s">
        <v>188</v>
      </c>
      <c r="F1126" s="40">
        <f t="shared" ref="F1126:N1126" si="370">IF(((F1124="")*AND(F1125="")),"",(F1124-F1125)*2)</f>
        <v>3740.42</v>
      </c>
      <c r="G1126" s="40">
        <f t="shared" si="370"/>
        <v>3938.82</v>
      </c>
      <c r="H1126" s="40">
        <f t="shared" si="370"/>
        <v>3971.6400000000003</v>
      </c>
      <c r="I1126" s="40">
        <f t="shared" si="370"/>
        <v>3946.26</v>
      </c>
      <c r="J1126" s="40">
        <f t="shared" si="370"/>
        <v>3766.0200000000004</v>
      </c>
      <c r="K1126" s="40">
        <f t="shared" si="370"/>
        <v>3554.1800000000003</v>
      </c>
      <c r="L1126" s="40">
        <f t="shared" si="370"/>
        <v>3940.2799999999997</v>
      </c>
      <c r="M1126" s="40">
        <f t="shared" si="370"/>
        <v>3981.92</v>
      </c>
      <c r="N1126" s="40">
        <f t="shared" si="370"/>
        <v>3860.9199999999996</v>
      </c>
      <c r="O1126" s="61"/>
      <c r="P1126" s="61"/>
      <c r="Q1126" s="62"/>
      <c r="R1126" s="62"/>
      <c r="S1126" s="139"/>
      <c r="T1126" s="8"/>
      <c r="U1126" s="146"/>
      <c r="V1126" s="127"/>
      <c r="W1126" s="11"/>
      <c r="X1126" s="118"/>
      <c r="Y1126" s="118"/>
      <c r="Z1126" s="118"/>
      <c r="AA1126" s="118"/>
    </row>
    <row r="1127" spans="1:29" ht="15.6" x14ac:dyDescent="0.3">
      <c r="A1127" s="278">
        <v>43619</v>
      </c>
      <c r="B1127" s="215" t="s">
        <v>169</v>
      </c>
      <c r="C1127" s="6" t="s">
        <v>171</v>
      </c>
      <c r="D1127" s="6" t="s">
        <v>189</v>
      </c>
      <c r="E1127" s="61" t="s">
        <v>186</v>
      </c>
      <c r="F1127">
        <v>1264.1600000000001</v>
      </c>
      <c r="G1127">
        <v>1249.02</v>
      </c>
      <c r="H1127">
        <v>1241.57</v>
      </c>
      <c r="I1127">
        <v>1243.8900000000001</v>
      </c>
      <c r="J1127">
        <v>1266.3499999999999</v>
      </c>
      <c r="K1127">
        <v>1279.8800000000001</v>
      </c>
      <c r="L1127">
        <v>1249.1300000000001</v>
      </c>
      <c r="M1127">
        <v>1241.8599999999999</v>
      </c>
      <c r="N1127">
        <v>1259.94</v>
      </c>
      <c r="O1127" s="61">
        <f>IF((N1128=""),"",MAX(F1129:N1129))</f>
        <v>2060.3999999999996</v>
      </c>
      <c r="P1127" s="61">
        <f>IF(N1128="","",MIN(F1129:N1129))</f>
        <v>1973.1600000000003</v>
      </c>
      <c r="Q1127" s="62">
        <f>IF((N1129=""),"",AVERAGE(F1129:N1129))</f>
        <v>2027.2833333333338</v>
      </c>
      <c r="R1127" s="62">
        <f>IF((N1128=""),"",(O1127-P1127)/(O1127+P1127)*100)</f>
        <v>2.1628536578109494</v>
      </c>
      <c r="S1127" s="139">
        <f>STDEV(F1129:N1129)</f>
        <v>32.247102583022738</v>
      </c>
      <c r="T1127" s="5" t="str">
        <f>IF(N1128="","",IF(Q1127&gt;1940,IF(R1127&lt;8.3,IF(Q1127&lt;2180,"Pass","Fail"),"Fail"),"Fail"))</f>
        <v>Pass</v>
      </c>
      <c r="U1127" s="149">
        <v>1159</v>
      </c>
      <c r="V1127" s="127" t="s">
        <v>279</v>
      </c>
      <c r="W1127" s="11"/>
      <c r="X1127" s="116">
        <v>2000</v>
      </c>
      <c r="Y1127" s="116">
        <v>3000</v>
      </c>
      <c r="Z1127" s="116">
        <v>1940</v>
      </c>
      <c r="AA1127" s="116">
        <v>2180</v>
      </c>
      <c r="AB1127" s="31">
        <v>5.2</v>
      </c>
      <c r="AC1127" s="31">
        <v>5.2</v>
      </c>
    </row>
    <row r="1128" spans="1:29" ht="15.6" x14ac:dyDescent="0.3">
      <c r="A1128" s="212"/>
      <c r="B1128" s="24"/>
      <c r="C1128" s="6"/>
      <c r="D1128" s="6"/>
      <c r="E1128" s="61" t="s">
        <v>187</v>
      </c>
      <c r="F1128">
        <v>599.58000000000004</v>
      </c>
      <c r="G1128">
        <v>565.09</v>
      </c>
      <c r="H1128">
        <v>558.13</v>
      </c>
      <c r="I1128">
        <v>559.09</v>
      </c>
      <c r="J1128">
        <v>601.91999999999996</v>
      </c>
      <c r="K1128">
        <v>622.16</v>
      </c>
      <c r="L1128">
        <v>569.4</v>
      </c>
      <c r="M1128">
        <v>555.05999999999995</v>
      </c>
      <c r="N1128">
        <v>583.52</v>
      </c>
      <c r="O1128" s="61"/>
      <c r="P1128" s="61"/>
      <c r="Q1128" s="62"/>
      <c r="R1128" s="62"/>
      <c r="S1128" s="139"/>
      <c r="T1128" s="5"/>
      <c r="U1128" s="140"/>
      <c r="V1128" s="173"/>
      <c r="W1128" s="11"/>
      <c r="X1128" s="118"/>
      <c r="Y1128" s="118"/>
      <c r="Z1128" s="118"/>
      <c r="AA1128" s="118"/>
    </row>
    <row r="1129" spans="1:29" ht="16.2" thickBot="1" x14ac:dyDescent="0.35">
      <c r="A1129" s="212"/>
      <c r="B1129" s="24"/>
      <c r="C1129" s="6"/>
      <c r="D1129" s="6"/>
      <c r="E1129" s="61" t="s">
        <v>190</v>
      </c>
      <c r="F1129" s="40">
        <f t="shared" ref="F1129:N1129" si="371">IF(((F1127="")*AND(F1128="")),"",(F1127-F1128)*3)</f>
        <v>1993.7400000000002</v>
      </c>
      <c r="G1129" s="40">
        <f t="shared" si="371"/>
        <v>2051.79</v>
      </c>
      <c r="H1129" s="40">
        <f t="shared" si="371"/>
        <v>2050.3199999999997</v>
      </c>
      <c r="I1129" s="40">
        <f t="shared" si="371"/>
        <v>2054.4</v>
      </c>
      <c r="J1129" s="40">
        <f t="shared" si="371"/>
        <v>1993.29</v>
      </c>
      <c r="K1129" s="40">
        <f t="shared" si="371"/>
        <v>1973.1600000000003</v>
      </c>
      <c r="L1129" s="40">
        <f t="shared" si="371"/>
        <v>2039.1900000000005</v>
      </c>
      <c r="M1129" s="40">
        <f t="shared" si="371"/>
        <v>2060.3999999999996</v>
      </c>
      <c r="N1129" s="40">
        <f t="shared" si="371"/>
        <v>2029.2600000000002</v>
      </c>
      <c r="O1129" s="61"/>
      <c r="P1129" s="61"/>
      <c r="Q1129" s="62"/>
      <c r="R1129" s="62"/>
      <c r="S1129" s="139"/>
      <c r="T1129" s="5"/>
      <c r="U1129" s="140"/>
      <c r="V1129" s="173"/>
      <c r="W1129" s="11"/>
      <c r="X1129" s="118"/>
      <c r="Y1129" s="118"/>
      <c r="Z1129" s="118"/>
      <c r="AA1129" s="118"/>
    </row>
    <row r="1130" spans="1:29" ht="15.6" x14ac:dyDescent="0.3">
      <c r="A1130" s="278">
        <v>43619</v>
      </c>
      <c r="B1130" s="218" t="s">
        <v>185</v>
      </c>
      <c r="C1130" s="6" t="s">
        <v>173</v>
      </c>
      <c r="D1130" s="6" t="s">
        <v>172</v>
      </c>
      <c r="E1130" s="61" t="s">
        <v>186</v>
      </c>
      <c r="F1130">
        <v>27839.97</v>
      </c>
      <c r="G1130">
        <v>27859.08</v>
      </c>
      <c r="H1130">
        <v>27884.16</v>
      </c>
      <c r="I1130">
        <v>27869.06</v>
      </c>
      <c r="J1130">
        <v>27862.63</v>
      </c>
      <c r="K1130">
        <v>27859.97</v>
      </c>
      <c r="L1130">
        <v>27869.65</v>
      </c>
      <c r="M1130">
        <v>27845.97</v>
      </c>
      <c r="N1130">
        <v>27819.7</v>
      </c>
      <c r="O1130" s="61">
        <f>IF((N1131=""),"",MAX(F1132:N1132))</f>
        <v>4114.9799999999996</v>
      </c>
      <c r="P1130" s="61">
        <f>IF(N1131="","",MIN(F1132:N1132))</f>
        <v>3702.8700000000026</v>
      </c>
      <c r="Q1130" s="62">
        <f>IF((N1132=""),"",AVERAGE(F1132:N1132))</f>
        <v>3915.4200000000005</v>
      </c>
      <c r="R1130" s="62">
        <f>IF((N1131=""),"",(O1130-P1130)/(O1130+P1130)*100)</f>
        <v>5.2713981465492026</v>
      </c>
      <c r="S1130" s="139">
        <f>STDEV(F1132:N1132)</f>
        <v>180.5964897914678</v>
      </c>
      <c r="T1130" s="5" t="str">
        <f>IF(N1131="","",IF(R1130&lt;16,IF(Q1130&gt;3200,IF(R1130,IF(Q1130&lt;5240,"Pass","Fail"),"Fail"),"Fail")))</f>
        <v>Pass</v>
      </c>
      <c r="U1130" s="149">
        <v>1159</v>
      </c>
      <c r="V1130" s="127" t="s">
        <v>279</v>
      </c>
      <c r="W1130" s="11"/>
      <c r="X1130" s="116">
        <v>4200</v>
      </c>
      <c r="Y1130" s="116">
        <v>5500</v>
      </c>
      <c r="Z1130" s="116">
        <v>3200</v>
      </c>
      <c r="AA1130" s="116">
        <v>5240</v>
      </c>
      <c r="AB1130" s="31">
        <v>16</v>
      </c>
      <c r="AC1130" s="31">
        <v>16</v>
      </c>
    </row>
    <row r="1131" spans="1:29" ht="15.6" x14ac:dyDescent="0.3">
      <c r="A1131" s="212"/>
      <c r="B1131" s="24"/>
      <c r="C1131" s="6"/>
      <c r="D1131" s="6"/>
      <c r="E1131" s="61" t="s">
        <v>187</v>
      </c>
      <c r="F1131">
        <v>26475.54</v>
      </c>
      <c r="G1131">
        <v>26598.86</v>
      </c>
      <c r="H1131">
        <v>26649.87</v>
      </c>
      <c r="I1131">
        <v>26605.74</v>
      </c>
      <c r="J1131">
        <v>26492.79</v>
      </c>
      <c r="K1131">
        <v>26488.31</v>
      </c>
      <c r="L1131">
        <v>26614.13</v>
      </c>
      <c r="M1131">
        <v>26584.81</v>
      </c>
      <c r="N1131">
        <v>26453.88</v>
      </c>
      <c r="O1131" s="127"/>
      <c r="P1131" s="61"/>
      <c r="Q1131" s="62"/>
      <c r="R1131" s="62"/>
      <c r="S1131" s="139"/>
      <c r="T1131" s="5"/>
      <c r="U1131" s="140"/>
      <c r="V1131" s="173"/>
      <c r="W1131" s="11"/>
      <c r="X1131" s="118"/>
      <c r="Y1131" s="118"/>
      <c r="Z1131" s="118"/>
      <c r="AA1131" s="118"/>
    </row>
    <row r="1132" spans="1:29" ht="23.4" thickBot="1" x14ac:dyDescent="0.35">
      <c r="A1132" s="213"/>
      <c r="B1132" s="63"/>
      <c r="C1132" s="64"/>
      <c r="D1132" s="64"/>
      <c r="E1132" s="61" t="s">
        <v>188</v>
      </c>
      <c r="F1132" s="53">
        <f t="shared" ref="F1132:N1132" si="372">IF(((F1130="")*AND(F1131="")),"",(F1130-F1131)*3)</f>
        <v>4093.2900000000009</v>
      </c>
      <c r="G1132" s="53">
        <f t="shared" si="372"/>
        <v>3780.6600000000035</v>
      </c>
      <c r="H1132" s="53">
        <f t="shared" si="372"/>
        <v>3702.8700000000026</v>
      </c>
      <c r="I1132" s="53">
        <f t="shared" si="372"/>
        <v>3789.9599999999991</v>
      </c>
      <c r="J1132" s="53">
        <f t="shared" si="372"/>
        <v>4109.5200000000004</v>
      </c>
      <c r="K1132" s="53">
        <f t="shared" si="372"/>
        <v>4114.9799999999996</v>
      </c>
      <c r="L1132" s="53">
        <f t="shared" si="372"/>
        <v>3766.5600000000013</v>
      </c>
      <c r="M1132" s="53">
        <f t="shared" si="372"/>
        <v>3783.4799999999996</v>
      </c>
      <c r="N1132" s="53">
        <f t="shared" si="372"/>
        <v>4097.4599999999991</v>
      </c>
      <c r="O1132" s="65"/>
      <c r="P1132" s="65"/>
      <c r="Q1132" s="66"/>
      <c r="R1132" s="66"/>
      <c r="S1132" s="142"/>
      <c r="T1132" s="143"/>
      <c r="U1132" s="144"/>
      <c r="V1132" s="173"/>
      <c r="W1132" s="11"/>
      <c r="X1132" s="118"/>
      <c r="Y1132" s="118"/>
      <c r="Z1132" s="118"/>
      <c r="AA1132" s="118"/>
    </row>
    <row r="1133" spans="1:29" ht="15.6" x14ac:dyDescent="0.3">
      <c r="A1133" s="278">
        <v>43622</v>
      </c>
      <c r="B1133" s="217" t="s">
        <v>174</v>
      </c>
      <c r="C1133" s="44" t="s">
        <v>176</v>
      </c>
      <c r="D1133" s="44" t="s">
        <v>175</v>
      </c>
      <c r="E1133" s="61" t="s">
        <v>186</v>
      </c>
      <c r="F1133">
        <v>5312.94</v>
      </c>
      <c r="G1133">
        <v>5154.37</v>
      </c>
      <c r="H1133">
        <v>5151.9799999999996</v>
      </c>
      <c r="I1133">
        <v>5117.24</v>
      </c>
      <c r="J1133">
        <v>5204.8900000000003</v>
      </c>
      <c r="K1133">
        <v>5407.39</v>
      </c>
      <c r="L1133">
        <v>5144.29</v>
      </c>
      <c r="M1133">
        <v>5146.91</v>
      </c>
      <c r="N1133">
        <v>5247.96</v>
      </c>
      <c r="O1133" s="59">
        <f>IF((N1134=""),"",MAX(F1135:N1135))</f>
        <v>3903.4999999999991</v>
      </c>
      <c r="P1133" s="59">
        <f>IF(N1134="","",MIN(F1135:N1135))</f>
        <v>3481.6000000000004</v>
      </c>
      <c r="Q1133" s="60">
        <f>IF((N1135=""),"",AVERAGE(F1135:N1135))</f>
        <v>3775.3177777777778</v>
      </c>
      <c r="R1133" s="60">
        <f>IF((N1134=""),"",(O1133-P1133)/(O1133+P1133)*100)</f>
        <v>5.7128542606057975</v>
      </c>
      <c r="S1133" s="131">
        <f>STDEV(F1135:N1135)</f>
        <v>133.99972628496062</v>
      </c>
      <c r="T1133" s="137" t="str">
        <f>IF(N1134="","",IF(Q1133&gt;3650,IF(R1133&lt;7,IF(Q1133&lt;4450,"Pass","Fail"),"Fail"),"Fail"))</f>
        <v>Pass</v>
      </c>
      <c r="U1133" s="149">
        <v>121</v>
      </c>
      <c r="V1133" s="127" t="s">
        <v>281</v>
      </c>
      <c r="W1133" s="11"/>
      <c r="X1133" s="116">
        <v>3650</v>
      </c>
      <c r="Y1133" s="116">
        <v>4450</v>
      </c>
      <c r="Z1133" s="116">
        <v>3700</v>
      </c>
      <c r="AA1133" s="116">
        <v>4100</v>
      </c>
      <c r="AB1133" s="31">
        <v>7</v>
      </c>
      <c r="AC1133" s="31">
        <v>6.5</v>
      </c>
    </row>
    <row r="1134" spans="1:29" ht="15.6" x14ac:dyDescent="0.3">
      <c r="A1134" s="212"/>
      <c r="B1134" s="24"/>
      <c r="C1134" s="6"/>
      <c r="D1134" s="6"/>
      <c r="E1134" s="61" t="s">
        <v>187</v>
      </c>
      <c r="F1134">
        <v>3460.87</v>
      </c>
      <c r="G1134">
        <v>3232.06</v>
      </c>
      <c r="H1134">
        <v>3200.23</v>
      </c>
      <c r="I1134">
        <v>3195.67</v>
      </c>
      <c r="J1134">
        <v>3366.66</v>
      </c>
      <c r="K1134">
        <v>3666.59</v>
      </c>
      <c r="L1134">
        <v>3227.13</v>
      </c>
      <c r="M1134">
        <v>3203.47</v>
      </c>
      <c r="N1134">
        <v>3346.36</v>
      </c>
      <c r="O1134" s="61"/>
      <c r="P1134" s="61"/>
      <c r="Q1134" s="62"/>
      <c r="R1134" s="62"/>
      <c r="S1134" s="139"/>
      <c r="T1134" s="8"/>
      <c r="U1134" s="146"/>
      <c r="V1134" s="127"/>
      <c r="W1134" s="11"/>
      <c r="X1134" s="118"/>
      <c r="Y1134" s="118"/>
      <c r="Z1134" s="118"/>
      <c r="AA1134" s="118"/>
    </row>
    <row r="1135" spans="1:29" ht="23.4" thickBot="1" x14ac:dyDescent="0.35">
      <c r="A1135" s="212"/>
      <c r="B1135" s="24"/>
      <c r="C1135" s="6"/>
      <c r="D1135" s="6"/>
      <c r="E1135" s="61" t="s">
        <v>188</v>
      </c>
      <c r="F1135" s="40">
        <f t="shared" ref="F1135:N1135" si="373">IF(((F1133="")*AND(F1134="")),"",(F1133-F1134)*2)</f>
        <v>3704.1399999999994</v>
      </c>
      <c r="G1135" s="40">
        <f t="shared" si="373"/>
        <v>3844.62</v>
      </c>
      <c r="H1135" s="40">
        <f t="shared" si="373"/>
        <v>3903.4999999999991</v>
      </c>
      <c r="I1135" s="40">
        <f t="shared" si="373"/>
        <v>3843.1399999999994</v>
      </c>
      <c r="J1135" s="40">
        <f t="shared" si="373"/>
        <v>3676.4600000000009</v>
      </c>
      <c r="K1135" s="40">
        <f t="shared" si="373"/>
        <v>3481.6000000000004</v>
      </c>
      <c r="L1135" s="40">
        <f t="shared" si="373"/>
        <v>3834.3199999999997</v>
      </c>
      <c r="M1135" s="40">
        <f t="shared" si="373"/>
        <v>3886.88</v>
      </c>
      <c r="N1135" s="40">
        <f t="shared" si="373"/>
        <v>3803.2</v>
      </c>
      <c r="O1135" s="61"/>
      <c r="P1135" s="61"/>
      <c r="Q1135" s="62"/>
      <c r="R1135" s="62"/>
      <c r="S1135" s="139"/>
      <c r="T1135" s="8"/>
      <c r="U1135" s="146"/>
      <c r="V1135" s="127"/>
      <c r="W1135" s="11"/>
      <c r="X1135" s="118"/>
      <c r="Y1135" s="118"/>
      <c r="Z1135" s="118"/>
      <c r="AA1135" s="118"/>
    </row>
    <row r="1136" spans="1:29" ht="15.6" x14ac:dyDescent="0.3">
      <c r="A1136" s="278">
        <v>43622</v>
      </c>
      <c r="B1136" s="215" t="s">
        <v>169</v>
      </c>
      <c r="C1136" s="6" t="s">
        <v>171</v>
      </c>
      <c r="D1136" s="6" t="s">
        <v>189</v>
      </c>
      <c r="E1136" s="61" t="s">
        <v>186</v>
      </c>
      <c r="F1136">
        <v>1995.76</v>
      </c>
      <c r="G1136">
        <v>1995</v>
      </c>
      <c r="H1136">
        <v>1986.42</v>
      </c>
      <c r="I1136">
        <v>1998.1</v>
      </c>
      <c r="J1136">
        <v>2003.71</v>
      </c>
      <c r="K1136">
        <v>2003.95</v>
      </c>
      <c r="L1136">
        <v>1993.85</v>
      </c>
      <c r="M1136">
        <v>1997.46</v>
      </c>
      <c r="N1136">
        <v>2001.53</v>
      </c>
      <c r="O1136" s="61">
        <f>IF((N1137=""),"",MAX(F1138:N1138))</f>
        <v>2158.2300000000005</v>
      </c>
      <c r="P1136" s="61">
        <f>IF(N1137="","",MIN(F1138:N1138))</f>
        <v>2101.71</v>
      </c>
      <c r="Q1136" s="62">
        <f>IF((N1138=""),"",AVERAGE(F1138:N1138))</f>
        <v>2128.5499999999997</v>
      </c>
      <c r="R1136" s="62">
        <f>IF((N1137=""),"",(O1136-P1136)/(O1136+P1136)*100)</f>
        <v>1.3267792504119877</v>
      </c>
      <c r="S1136" s="139">
        <f>STDEV(F1138:N1138)</f>
        <v>20.530589372933239</v>
      </c>
      <c r="T1136" s="5" t="str">
        <f>IF(N1137="","",IF(Q1136&gt;1940,IF(R1136&lt;8.3,IF(Q1136&lt;2180,"Pass","Fail"),"Fail"),"Fail"))</f>
        <v>Pass</v>
      </c>
      <c r="U1136" s="149">
        <v>121</v>
      </c>
      <c r="V1136" s="127" t="s">
        <v>281</v>
      </c>
      <c r="W1136" s="11"/>
      <c r="X1136" s="116">
        <v>2000</v>
      </c>
      <c r="Y1136" s="116">
        <v>3000</v>
      </c>
      <c r="Z1136" s="116">
        <v>1940</v>
      </c>
      <c r="AA1136" s="116">
        <v>2180</v>
      </c>
      <c r="AB1136" s="31">
        <v>5.2</v>
      </c>
      <c r="AC1136" s="31">
        <v>5.2</v>
      </c>
    </row>
    <row r="1137" spans="1:29" ht="15.6" x14ac:dyDescent="0.3">
      <c r="A1137" s="212"/>
      <c r="B1137" s="24"/>
      <c r="C1137" s="6"/>
      <c r="D1137" s="6"/>
      <c r="E1137" s="61" t="s">
        <v>187</v>
      </c>
      <c r="F1137">
        <v>1295.19</v>
      </c>
      <c r="G1137">
        <v>1281.17</v>
      </c>
      <c r="H1137">
        <v>1274.8599999999999</v>
      </c>
      <c r="I1137">
        <v>1281.1199999999999</v>
      </c>
      <c r="J1137">
        <v>1298.8599999999999</v>
      </c>
      <c r="K1137">
        <v>1300.53</v>
      </c>
      <c r="L1137">
        <v>1281.27</v>
      </c>
      <c r="M1137">
        <v>1278.05</v>
      </c>
      <c r="N1137">
        <v>1299.08</v>
      </c>
      <c r="O1137" s="61"/>
      <c r="P1137" s="61"/>
      <c r="Q1137" s="62"/>
      <c r="R1137" s="62"/>
      <c r="S1137" s="139"/>
      <c r="T1137" s="5"/>
      <c r="U1137" s="140"/>
      <c r="V1137" s="173"/>
      <c r="W1137" s="11"/>
      <c r="X1137" s="118"/>
      <c r="Y1137" s="118"/>
      <c r="Z1137" s="118"/>
      <c r="AA1137" s="118"/>
    </row>
    <row r="1138" spans="1:29" ht="16.2" thickBot="1" x14ac:dyDescent="0.35">
      <c r="A1138" s="212"/>
      <c r="B1138" s="24"/>
      <c r="C1138" s="6"/>
      <c r="D1138" s="6"/>
      <c r="E1138" s="61" t="s">
        <v>190</v>
      </c>
      <c r="F1138" s="40">
        <f t="shared" ref="F1138:N1138" si="374">IF(((F1136="")*AND(F1137="")),"",(F1136-F1137)*3)</f>
        <v>2101.71</v>
      </c>
      <c r="G1138" s="40">
        <f t="shared" si="374"/>
        <v>2141.4899999999998</v>
      </c>
      <c r="H1138" s="40">
        <f t="shared" si="374"/>
        <v>2134.6800000000003</v>
      </c>
      <c r="I1138" s="40">
        <f t="shared" si="374"/>
        <v>2150.94</v>
      </c>
      <c r="J1138" s="40">
        <f t="shared" si="374"/>
        <v>2114.5500000000002</v>
      </c>
      <c r="K1138" s="40">
        <f t="shared" si="374"/>
        <v>2110.2600000000002</v>
      </c>
      <c r="L1138" s="40">
        <f t="shared" si="374"/>
        <v>2137.7399999999998</v>
      </c>
      <c r="M1138" s="40">
        <f t="shared" si="374"/>
        <v>2158.2300000000005</v>
      </c>
      <c r="N1138" s="40">
        <f t="shared" si="374"/>
        <v>2107.3500000000004</v>
      </c>
      <c r="O1138" s="61"/>
      <c r="P1138" s="61"/>
      <c r="Q1138" s="62"/>
      <c r="R1138" s="62"/>
      <c r="S1138" s="139"/>
      <c r="T1138" s="5"/>
      <c r="U1138" s="140"/>
      <c r="V1138" s="173"/>
      <c r="W1138" s="11"/>
      <c r="X1138" s="118"/>
      <c r="Y1138" s="118"/>
      <c r="Z1138" s="118"/>
      <c r="AA1138" s="118"/>
    </row>
    <row r="1139" spans="1:29" ht="15.6" x14ac:dyDescent="0.3">
      <c r="A1139" s="278">
        <v>43622</v>
      </c>
      <c r="B1139" s="218" t="s">
        <v>185</v>
      </c>
      <c r="C1139" s="6" t="s">
        <v>173</v>
      </c>
      <c r="D1139" s="6" t="s">
        <v>172</v>
      </c>
      <c r="E1139" s="61" t="s">
        <v>186</v>
      </c>
      <c r="F1139">
        <v>26413.42</v>
      </c>
      <c r="G1139">
        <v>26541.34</v>
      </c>
      <c r="H1139">
        <v>26586.19</v>
      </c>
      <c r="I1139">
        <v>26551.97</v>
      </c>
      <c r="J1139">
        <v>26426.92</v>
      </c>
      <c r="K1139">
        <v>26424.52</v>
      </c>
      <c r="L1139">
        <v>26552.959999999999</v>
      </c>
      <c r="M1139">
        <v>26528.29</v>
      </c>
      <c r="N1139">
        <v>26391.19</v>
      </c>
      <c r="O1139" s="61">
        <f>IF((N1140=""),"",MAX(F1141:N1141))</f>
        <v>4436.3699999999917</v>
      </c>
      <c r="P1139" s="61">
        <f>IF(N1140="","",MIN(F1141:N1141))</f>
        <v>3949.7700000000004</v>
      </c>
      <c r="Q1139" s="62">
        <f>IF((N1141=""),"",AVERAGE(F1141:N1141))</f>
        <v>4160.6266666666661</v>
      </c>
      <c r="R1139" s="62">
        <f>IF((N1140=""),"",(O1139-P1139)/(O1139+P1139)*100)</f>
        <v>5.8024311542615763</v>
      </c>
      <c r="S1139" s="139">
        <f>STDEV(F1141:N1141)</f>
        <v>194.93091513405199</v>
      </c>
      <c r="T1139" s="5" t="str">
        <f>IF(N1140="","",IF(R1139&lt;16,IF(Q1139&gt;3200,IF(R1139,IF(Q1139&lt;5240,"Pass","Fail"),"Fail"),"Fail")))</f>
        <v>Pass</v>
      </c>
      <c r="U1139" s="149">
        <v>121</v>
      </c>
      <c r="V1139" s="127" t="s">
        <v>281</v>
      </c>
      <c r="W1139" s="11"/>
      <c r="X1139" s="116">
        <v>4200</v>
      </c>
      <c r="Y1139" s="116">
        <v>5500</v>
      </c>
      <c r="Z1139" s="116">
        <v>3200</v>
      </c>
      <c r="AA1139" s="116">
        <v>5240</v>
      </c>
      <c r="AB1139" s="31">
        <v>16</v>
      </c>
      <c r="AC1139" s="31">
        <v>16</v>
      </c>
    </row>
    <row r="1140" spans="1:29" ht="15.6" x14ac:dyDescent="0.3">
      <c r="A1140" s="212"/>
      <c r="B1140" s="24"/>
      <c r="C1140" s="6"/>
      <c r="D1140" s="6"/>
      <c r="E1140" s="61" t="s">
        <v>187</v>
      </c>
      <c r="F1140">
        <v>24934.63</v>
      </c>
      <c r="G1140">
        <v>25187.23</v>
      </c>
      <c r="H1140">
        <v>25269.599999999999</v>
      </c>
      <c r="I1140">
        <v>25226.09</v>
      </c>
      <c r="J1140">
        <v>25002.94</v>
      </c>
      <c r="K1140">
        <v>24983.22</v>
      </c>
      <c r="L1140">
        <v>25220.05</v>
      </c>
      <c r="M1140">
        <v>25186.36</v>
      </c>
      <c r="N1140">
        <v>24924.799999999999</v>
      </c>
      <c r="O1140" s="127"/>
      <c r="P1140" s="61"/>
      <c r="Q1140" s="62"/>
      <c r="R1140" s="62"/>
      <c r="S1140" s="139"/>
      <c r="T1140" s="5"/>
      <c r="U1140" s="140"/>
      <c r="V1140" s="173"/>
      <c r="W1140" s="11"/>
      <c r="X1140" s="118"/>
      <c r="Y1140" s="118"/>
      <c r="Z1140" s="118"/>
      <c r="AA1140" s="118"/>
    </row>
    <row r="1141" spans="1:29" ht="23.4" thickBot="1" x14ac:dyDescent="0.35">
      <c r="A1141" s="213"/>
      <c r="B1141" s="63"/>
      <c r="C1141" s="64"/>
      <c r="D1141" s="64"/>
      <c r="E1141" s="61" t="s">
        <v>188</v>
      </c>
      <c r="F1141" s="53">
        <f t="shared" ref="F1141:N1141" si="375">IF(((F1139="")*AND(F1140="")),"",(F1139-F1140)*3)</f>
        <v>4436.3699999999917</v>
      </c>
      <c r="G1141" s="53">
        <f t="shared" si="375"/>
        <v>4062.3300000000017</v>
      </c>
      <c r="H1141" s="53">
        <f t="shared" si="375"/>
        <v>3949.7700000000004</v>
      </c>
      <c r="I1141" s="53">
        <f t="shared" si="375"/>
        <v>3977.6400000000031</v>
      </c>
      <c r="J1141" s="53">
        <f t="shared" si="375"/>
        <v>4271.9399999999987</v>
      </c>
      <c r="K1141" s="53">
        <f t="shared" si="375"/>
        <v>4323.8999999999978</v>
      </c>
      <c r="L1141" s="53">
        <f t="shared" si="375"/>
        <v>3998.7299999999996</v>
      </c>
      <c r="M1141" s="53">
        <f t="shared" si="375"/>
        <v>4025.7900000000009</v>
      </c>
      <c r="N1141" s="53">
        <f t="shared" si="375"/>
        <v>4399.1699999999983</v>
      </c>
      <c r="O1141" s="65"/>
      <c r="P1141" s="65"/>
      <c r="Q1141" s="66"/>
      <c r="R1141" s="66"/>
      <c r="S1141" s="142"/>
      <c r="T1141" s="143"/>
      <c r="U1141" s="144"/>
      <c r="V1141" s="173"/>
      <c r="W1141" s="11"/>
      <c r="X1141" s="118"/>
      <c r="Y1141" s="118"/>
      <c r="Z1141" s="118"/>
      <c r="AA1141" s="118"/>
    </row>
    <row r="1142" spans="1:29" ht="15.6" x14ac:dyDescent="0.3">
      <c r="A1142" s="209">
        <v>43626</v>
      </c>
      <c r="B1142" s="217" t="s">
        <v>174</v>
      </c>
      <c r="C1142" s="44" t="s">
        <v>176</v>
      </c>
      <c r="D1142" s="44" t="s">
        <v>175</v>
      </c>
      <c r="E1142" s="61" t="s">
        <v>186</v>
      </c>
      <c r="F1142">
        <v>3529.84</v>
      </c>
      <c r="G1142">
        <v>3269.7</v>
      </c>
      <c r="H1142">
        <v>3216.09</v>
      </c>
      <c r="I1142">
        <v>3224.24</v>
      </c>
      <c r="J1142">
        <v>3324.22</v>
      </c>
      <c r="K1142">
        <v>3324.22</v>
      </c>
      <c r="L1142">
        <v>3240.48</v>
      </c>
      <c r="M1142">
        <v>3227.47</v>
      </c>
      <c r="N1142">
        <v>3372.11</v>
      </c>
      <c r="O1142" s="59">
        <f>IF((N1143=""),"",MAX(F1144:N1144))</f>
        <v>3923.42</v>
      </c>
      <c r="P1142" s="59">
        <f>IF(N1143="","",MIN(F1144:N1144))</f>
        <v>3666.7</v>
      </c>
      <c r="Q1142" s="60">
        <f>IF((N1144=""),"",AVERAGE(F1144:N1144))</f>
        <v>3821.92</v>
      </c>
      <c r="R1142" s="60">
        <f>IF((N1143=""),"",(O1142-P1142)/(O1142+P1142)*100)</f>
        <v>3.3822917160730035</v>
      </c>
      <c r="S1142" s="131">
        <f>STDEV(F1144:N1144)</f>
        <v>104.35178915572072</v>
      </c>
      <c r="T1142" s="137" t="str">
        <f>IF(N1143="","",IF(Q1142&gt;3650,IF(R1142&lt;7,IF(Q1142&lt;4450,"Pass","Fail"),"Fail"),"Fail"))</f>
        <v>Pass</v>
      </c>
      <c r="U1142" s="149">
        <v>1428</v>
      </c>
      <c r="V1142" s="127" t="s">
        <v>282</v>
      </c>
      <c r="W1142" s="11"/>
      <c r="X1142" s="116">
        <v>3650</v>
      </c>
      <c r="Y1142" s="116">
        <v>4450</v>
      </c>
      <c r="Z1142" s="116">
        <v>3700</v>
      </c>
      <c r="AA1142" s="116">
        <v>4100</v>
      </c>
      <c r="AB1142" s="31">
        <v>7</v>
      </c>
      <c r="AC1142" s="31">
        <v>6.5</v>
      </c>
    </row>
    <row r="1143" spans="1:29" ht="15.6" x14ac:dyDescent="0.3">
      <c r="A1143" s="212"/>
      <c r="B1143" s="24"/>
      <c r="C1143" s="6"/>
      <c r="D1143" s="6"/>
      <c r="E1143" s="61" t="s">
        <v>187</v>
      </c>
      <c r="F1143">
        <v>1659.57</v>
      </c>
      <c r="G1143">
        <v>1324.32</v>
      </c>
      <c r="H1143">
        <v>1254.3800000000001</v>
      </c>
      <c r="I1143">
        <v>1274.6099999999999</v>
      </c>
      <c r="J1143">
        <v>1490.87</v>
      </c>
      <c r="K1143">
        <v>1490.87</v>
      </c>
      <c r="L1143">
        <v>1312.35</v>
      </c>
      <c r="M1143">
        <v>1266.49</v>
      </c>
      <c r="N1143">
        <v>1456.27</v>
      </c>
      <c r="O1143" s="61"/>
      <c r="P1143" s="61"/>
      <c r="Q1143" s="62"/>
      <c r="R1143" s="62"/>
      <c r="S1143" s="139"/>
      <c r="T1143" s="8"/>
      <c r="U1143" s="146"/>
      <c r="V1143" s="127"/>
      <c r="W1143" s="11"/>
      <c r="X1143" s="118"/>
      <c r="Y1143" s="118"/>
      <c r="Z1143" s="118"/>
      <c r="AA1143" s="118"/>
    </row>
    <row r="1144" spans="1:29" ht="23.4" thickBot="1" x14ac:dyDescent="0.35">
      <c r="A1144" s="212"/>
      <c r="B1144" s="24"/>
      <c r="C1144" s="6"/>
      <c r="D1144" s="6"/>
      <c r="E1144" s="61" t="s">
        <v>188</v>
      </c>
      <c r="F1144" s="40">
        <f t="shared" ref="F1144:N1144" si="376">IF(((F1142="")*AND(F1143="")),"",(F1142-F1143)*2)</f>
        <v>3740.5400000000004</v>
      </c>
      <c r="G1144" s="40">
        <f t="shared" si="376"/>
        <v>3890.7599999999998</v>
      </c>
      <c r="H1144" s="40">
        <f t="shared" si="376"/>
        <v>3923.42</v>
      </c>
      <c r="I1144" s="40">
        <f t="shared" si="376"/>
        <v>3899.2599999999998</v>
      </c>
      <c r="J1144" s="40">
        <f t="shared" si="376"/>
        <v>3666.7</v>
      </c>
      <c r="K1144" s="40">
        <f t="shared" si="376"/>
        <v>3666.7</v>
      </c>
      <c r="L1144" s="40">
        <f t="shared" si="376"/>
        <v>3856.26</v>
      </c>
      <c r="M1144" s="40">
        <f t="shared" si="376"/>
        <v>3921.9599999999996</v>
      </c>
      <c r="N1144" s="40">
        <f t="shared" si="376"/>
        <v>3831.6800000000003</v>
      </c>
      <c r="O1144" s="61"/>
      <c r="P1144" s="61"/>
      <c r="Q1144" s="62"/>
      <c r="R1144" s="62"/>
      <c r="S1144" s="139"/>
      <c r="T1144" s="8"/>
      <c r="U1144" s="146"/>
      <c r="V1144" s="127"/>
      <c r="W1144" s="11"/>
      <c r="X1144" s="118"/>
      <c r="Y1144" s="118"/>
      <c r="Z1144" s="118"/>
      <c r="AA1144" s="118"/>
    </row>
    <row r="1145" spans="1:29" ht="15.6" x14ac:dyDescent="0.3">
      <c r="A1145" s="207">
        <v>43626</v>
      </c>
      <c r="B1145" s="215" t="s">
        <v>169</v>
      </c>
      <c r="C1145" s="6" t="s">
        <v>171</v>
      </c>
      <c r="D1145" s="6" t="s">
        <v>189</v>
      </c>
      <c r="E1145" s="61" t="s">
        <v>186</v>
      </c>
      <c r="F1145">
        <v>1295.06</v>
      </c>
      <c r="G1145">
        <v>1283.05</v>
      </c>
      <c r="H1145">
        <v>1277.57</v>
      </c>
      <c r="I1145">
        <v>1281.3599999999999</v>
      </c>
      <c r="J1145">
        <v>1303.06</v>
      </c>
      <c r="K1145">
        <v>1309.32</v>
      </c>
      <c r="L1145">
        <v>1284.77</v>
      </c>
      <c r="M1145">
        <v>1281.3800000000001</v>
      </c>
      <c r="N1145">
        <v>1297.6500000000001</v>
      </c>
      <c r="O1145" s="61">
        <f>IF((N1146=""),"",MAX(F1147:N1147))</f>
        <v>2059.5600000000004</v>
      </c>
      <c r="P1145" s="61">
        <f>IF(N1146="","",MIN(F1147:N1147))</f>
        <v>1966.1099999999997</v>
      </c>
      <c r="Q1145" s="62">
        <f>IF((N1147=""),"",AVERAGE(F1147:N1147))</f>
        <v>2019.376666666667</v>
      </c>
      <c r="R1145" s="62">
        <f>IF((N1146=""),"",(O1145-P1145)/(O1145+P1145)*100)</f>
        <v>2.3213527189263083</v>
      </c>
      <c r="S1145" s="139">
        <f>STDEV(F1147:N1147)</f>
        <v>34.997565629626322</v>
      </c>
      <c r="T1145" s="5" t="str">
        <f>IF(N1146="","",IF(Q1145&gt;1940,IF(R1145&lt;8.3,IF(Q1145&lt;2180,"Pass","Fail"),"Fail"),"Fail"))</f>
        <v>Pass</v>
      </c>
      <c r="U1145" s="149">
        <v>1428</v>
      </c>
      <c r="V1145" s="127" t="s">
        <v>282</v>
      </c>
      <c r="W1145" s="11"/>
      <c r="X1145" s="116">
        <v>2000</v>
      </c>
      <c r="Y1145" s="116">
        <v>3000</v>
      </c>
      <c r="Z1145" s="116">
        <v>1940</v>
      </c>
      <c r="AA1145" s="116">
        <v>2180</v>
      </c>
      <c r="AB1145" s="31">
        <v>5.2</v>
      </c>
      <c r="AC1145" s="31">
        <v>5.2</v>
      </c>
    </row>
    <row r="1146" spans="1:29" ht="15.6" x14ac:dyDescent="0.3">
      <c r="A1146" s="212"/>
      <c r="B1146" s="24"/>
      <c r="C1146" s="6"/>
      <c r="D1146" s="6"/>
      <c r="E1146" s="61" t="s">
        <v>187</v>
      </c>
      <c r="F1146">
        <v>628.88</v>
      </c>
      <c r="G1146">
        <v>599.32000000000005</v>
      </c>
      <c r="H1146">
        <v>595.17999999999995</v>
      </c>
      <c r="I1146">
        <v>602.16</v>
      </c>
      <c r="J1146">
        <v>647.69000000000005</v>
      </c>
      <c r="K1146">
        <v>646.67999999999995</v>
      </c>
      <c r="L1146">
        <v>603.91999999999996</v>
      </c>
      <c r="M1146">
        <v>594.86</v>
      </c>
      <c r="N1146">
        <v>636.4</v>
      </c>
      <c r="O1146" s="61"/>
      <c r="P1146" s="61"/>
      <c r="Q1146" s="62"/>
      <c r="R1146" s="62"/>
      <c r="S1146" s="139"/>
      <c r="T1146" s="5"/>
      <c r="U1146" s="140"/>
      <c r="V1146" s="173"/>
      <c r="W1146" s="11"/>
      <c r="X1146" s="118"/>
      <c r="Y1146" s="118"/>
      <c r="Z1146" s="118"/>
      <c r="AA1146" s="118"/>
    </row>
    <row r="1147" spans="1:29" ht="16.2" thickBot="1" x14ac:dyDescent="0.35">
      <c r="A1147" s="212"/>
      <c r="B1147" s="24"/>
      <c r="C1147" s="6"/>
      <c r="D1147" s="6"/>
      <c r="E1147" s="61" t="s">
        <v>190</v>
      </c>
      <c r="F1147" s="40">
        <f t="shared" ref="F1147:N1147" si="377">IF(((F1145="")*AND(F1146="")),"",(F1145-F1146)*3)</f>
        <v>1998.54</v>
      </c>
      <c r="G1147" s="40">
        <f t="shared" si="377"/>
        <v>2051.1899999999996</v>
      </c>
      <c r="H1147" s="40">
        <f t="shared" si="377"/>
        <v>2047.17</v>
      </c>
      <c r="I1147" s="40">
        <f t="shared" si="377"/>
        <v>2037.6</v>
      </c>
      <c r="J1147" s="40">
        <f t="shared" si="377"/>
        <v>1966.1099999999997</v>
      </c>
      <c r="K1147" s="40">
        <f t="shared" si="377"/>
        <v>1987.92</v>
      </c>
      <c r="L1147" s="40">
        <f t="shared" si="377"/>
        <v>2042.5500000000002</v>
      </c>
      <c r="M1147" s="40">
        <f t="shared" si="377"/>
        <v>2059.5600000000004</v>
      </c>
      <c r="N1147" s="40">
        <f t="shared" si="377"/>
        <v>1983.7500000000005</v>
      </c>
      <c r="O1147" s="61"/>
      <c r="P1147" s="61"/>
      <c r="Q1147" s="62"/>
      <c r="R1147" s="62"/>
      <c r="S1147" s="139"/>
      <c r="T1147" s="5"/>
      <c r="U1147" s="140"/>
      <c r="V1147" s="173"/>
      <c r="W1147" s="11"/>
      <c r="X1147" s="118"/>
      <c r="Y1147" s="118"/>
      <c r="Z1147" s="118"/>
      <c r="AA1147" s="118"/>
    </row>
    <row r="1148" spans="1:29" ht="15.6" x14ac:dyDescent="0.3">
      <c r="A1148" s="207">
        <v>43626</v>
      </c>
      <c r="B1148" s="218" t="s">
        <v>185</v>
      </c>
      <c r="C1148" s="6" t="s">
        <v>173</v>
      </c>
      <c r="D1148" s="6" t="s">
        <v>172</v>
      </c>
      <c r="E1148" s="61" t="s">
        <v>186</v>
      </c>
      <c r="F1148">
        <v>24871.01</v>
      </c>
      <c r="G1148">
        <v>25130.080000000002</v>
      </c>
      <c r="H1148">
        <v>25210.66</v>
      </c>
      <c r="I1148">
        <v>25165.74</v>
      </c>
      <c r="J1148">
        <v>24945.85</v>
      </c>
      <c r="K1148">
        <v>24917.200000000001</v>
      </c>
      <c r="L1148">
        <v>25156.1</v>
      </c>
      <c r="M1148">
        <v>25126.639999999999</v>
      </c>
      <c r="N1148">
        <v>24864.12</v>
      </c>
      <c r="O1148" s="61">
        <f>IF((N1149=""),"",MAX(F1150:N1150))</f>
        <v>4465.4399999999987</v>
      </c>
      <c r="P1148" s="61">
        <f>IF(N1149="","",MIN(F1150:N1150))</f>
        <v>3920.3999999999978</v>
      </c>
      <c r="Q1148" s="62">
        <f>IF((N1150=""),"",AVERAGE(F1150:N1150))</f>
        <v>4149.9966666666651</v>
      </c>
      <c r="R1148" s="62">
        <f>IF((N1149=""),"",(O1148-P1148)/(O1148+P1148)*100)</f>
        <v>6.4995277753928189</v>
      </c>
      <c r="S1148" s="139">
        <f>STDEV(F1150:N1150)</f>
        <v>220.82544186528807</v>
      </c>
      <c r="T1148" s="5" t="str">
        <f>IF(N1149="","",IF(R1148&lt;16,IF(Q1148&gt;3200,IF(R1148,IF(Q1148&lt;5240,"Pass","Fail"),"Fail"),"Fail")))</f>
        <v>Pass</v>
      </c>
      <c r="U1148" s="149">
        <v>1428</v>
      </c>
      <c r="V1148" s="127" t="s">
        <v>282</v>
      </c>
      <c r="W1148" s="11"/>
      <c r="X1148" s="116">
        <v>4200</v>
      </c>
      <c r="Y1148" s="116">
        <v>5500</v>
      </c>
      <c r="Z1148" s="116">
        <v>3200</v>
      </c>
      <c r="AA1148" s="116">
        <v>5240</v>
      </c>
      <c r="AB1148" s="31">
        <v>16</v>
      </c>
      <c r="AC1148" s="31">
        <v>16</v>
      </c>
    </row>
    <row r="1149" spans="1:29" ht="15.6" x14ac:dyDescent="0.3">
      <c r="A1149" s="212"/>
      <c r="B1149" s="24"/>
      <c r="C1149" s="6"/>
      <c r="D1149" s="6"/>
      <c r="E1149" s="61" t="s">
        <v>187</v>
      </c>
      <c r="F1149">
        <v>23400.19</v>
      </c>
      <c r="G1149">
        <v>23794.65</v>
      </c>
      <c r="H1149">
        <v>23903.86</v>
      </c>
      <c r="I1149">
        <v>23847.52</v>
      </c>
      <c r="J1149">
        <v>23498.45</v>
      </c>
      <c r="K1149">
        <v>23491.74</v>
      </c>
      <c r="L1149">
        <v>23841.43</v>
      </c>
      <c r="M1149">
        <v>23783.93</v>
      </c>
      <c r="N1149">
        <v>23375.64</v>
      </c>
      <c r="O1149" s="127"/>
      <c r="P1149" s="61"/>
      <c r="Q1149" s="62"/>
      <c r="R1149" s="62"/>
      <c r="S1149" s="139"/>
      <c r="T1149" s="5"/>
      <c r="U1149" s="140"/>
      <c r="V1149" s="173"/>
      <c r="W1149" s="11"/>
      <c r="X1149" s="118"/>
      <c r="Y1149" s="118"/>
      <c r="Z1149" s="118"/>
      <c r="AA1149" s="118"/>
    </row>
    <row r="1150" spans="1:29" ht="23.4" thickBot="1" x14ac:dyDescent="0.35">
      <c r="A1150" s="213"/>
      <c r="B1150" s="63"/>
      <c r="C1150" s="64"/>
      <c r="D1150" s="64"/>
      <c r="E1150" s="61" t="s">
        <v>188</v>
      </c>
      <c r="F1150" s="53">
        <f t="shared" ref="F1150:N1150" si="378">IF(((F1148="")*AND(F1149="")),"",(F1148-F1149)*3)</f>
        <v>4412.4599999999991</v>
      </c>
      <c r="G1150" s="53">
        <f t="shared" si="378"/>
        <v>4006.2900000000009</v>
      </c>
      <c r="H1150" s="53">
        <f t="shared" si="378"/>
        <v>3920.3999999999978</v>
      </c>
      <c r="I1150" s="53">
        <f t="shared" si="378"/>
        <v>3954.6600000000035</v>
      </c>
      <c r="J1150" s="53">
        <f t="shared" si="378"/>
        <v>4342.1999999999935</v>
      </c>
      <c r="K1150" s="53">
        <f t="shared" si="378"/>
        <v>4276.3799999999974</v>
      </c>
      <c r="L1150" s="53">
        <f t="shared" si="378"/>
        <v>3944.0099999999948</v>
      </c>
      <c r="M1150" s="53">
        <f t="shared" si="378"/>
        <v>4028.1299999999974</v>
      </c>
      <c r="N1150" s="53">
        <f t="shared" si="378"/>
        <v>4465.4399999999987</v>
      </c>
      <c r="O1150" s="65"/>
      <c r="P1150" s="65"/>
      <c r="Q1150" s="66"/>
      <c r="R1150" s="66"/>
      <c r="S1150" s="142"/>
      <c r="T1150" s="143"/>
      <c r="U1150" s="144"/>
      <c r="V1150" s="173"/>
      <c r="W1150" s="11"/>
      <c r="X1150" s="118"/>
      <c r="Y1150" s="118"/>
      <c r="Z1150" s="118"/>
      <c r="AA1150" s="118"/>
    </row>
    <row r="1151" spans="1:29" ht="15.6" x14ac:dyDescent="0.3">
      <c r="A1151" s="209">
        <v>43629</v>
      </c>
      <c r="B1151" s="217" t="s">
        <v>174</v>
      </c>
      <c r="C1151" s="44" t="s">
        <v>176</v>
      </c>
      <c r="D1151" s="44" t="s">
        <v>175</v>
      </c>
      <c r="E1151" s="61" t="s">
        <v>186</v>
      </c>
      <c r="F1151">
        <v>7076.49</v>
      </c>
      <c r="G1151">
        <v>7054.86</v>
      </c>
      <c r="H1151">
        <v>7069.27</v>
      </c>
      <c r="I1151">
        <v>7044.18</v>
      </c>
      <c r="J1151">
        <v>6984.77</v>
      </c>
      <c r="K1151">
        <v>7030.58</v>
      </c>
      <c r="L1151">
        <v>7030.74</v>
      </c>
      <c r="M1151">
        <v>7041</v>
      </c>
      <c r="N1151">
        <v>7117.38</v>
      </c>
      <c r="O1151" s="59">
        <f>IF((N1152=""),"",MAX(F1153:N1153))</f>
        <v>3894.7200000000012</v>
      </c>
      <c r="P1151" s="59">
        <f>IF(N1152="","",MIN(F1153:N1153))</f>
        <v>3602.4799999999996</v>
      </c>
      <c r="Q1151" s="60">
        <f>IF((N1153=""),"",AVERAGE(F1153:N1153))</f>
        <v>3794.3844444444444</v>
      </c>
      <c r="R1151" s="60">
        <f>IF((N1152=""),"",(O1151-P1151)/(O1151+P1151)*100)</f>
        <v>3.8979885824041189</v>
      </c>
      <c r="S1151" s="131">
        <f>STDEV(F1153:N1153)</f>
        <v>100.99805729704821</v>
      </c>
      <c r="T1151" s="137" t="str">
        <f>IF(N1152="","",IF(Q1151&gt;3650,IF(R1151&lt;7,IF(Q1151&lt;4450,"Pass","Fail"),"Fail"),"Fail"))</f>
        <v>Pass</v>
      </c>
      <c r="U1151" s="149">
        <v>1428</v>
      </c>
      <c r="V1151" s="127" t="s">
        <v>285</v>
      </c>
      <c r="W1151" s="11"/>
      <c r="X1151" s="116">
        <v>3650</v>
      </c>
      <c r="Y1151" s="116">
        <v>4450</v>
      </c>
      <c r="Z1151" s="116">
        <v>3700</v>
      </c>
      <c r="AA1151" s="116">
        <v>4100</v>
      </c>
      <c r="AB1151" s="31">
        <v>7</v>
      </c>
      <c r="AC1151" s="31">
        <v>6.5</v>
      </c>
    </row>
    <row r="1152" spans="1:29" ht="15.6" x14ac:dyDescent="0.3">
      <c r="A1152" s="212"/>
      <c r="B1152" s="24"/>
      <c r="C1152" s="6"/>
      <c r="D1152" s="6"/>
      <c r="E1152" s="61" t="s">
        <v>187</v>
      </c>
      <c r="F1152">
        <v>5243.76</v>
      </c>
      <c r="G1152">
        <v>5119.8100000000004</v>
      </c>
      <c r="H1152">
        <v>5121.91</v>
      </c>
      <c r="I1152">
        <v>5108.24</v>
      </c>
      <c r="J1152">
        <v>5100.68</v>
      </c>
      <c r="K1152">
        <v>5229.34</v>
      </c>
      <c r="L1152">
        <v>5097.09</v>
      </c>
      <c r="M1152">
        <v>5142.78</v>
      </c>
      <c r="N1152">
        <v>5210.93</v>
      </c>
      <c r="O1152" s="61"/>
      <c r="P1152" s="61"/>
      <c r="Q1152" s="62"/>
      <c r="R1152" s="62"/>
      <c r="S1152" s="139"/>
      <c r="T1152" s="8"/>
      <c r="U1152" s="146"/>
      <c r="V1152" s="127"/>
      <c r="W1152" s="11"/>
      <c r="X1152" s="118"/>
      <c r="Y1152" s="118"/>
      <c r="Z1152" s="118"/>
      <c r="AA1152" s="118"/>
    </row>
    <row r="1153" spans="1:29" ht="23.4" thickBot="1" x14ac:dyDescent="0.35">
      <c r="A1153" s="212"/>
      <c r="B1153" s="24"/>
      <c r="C1153" s="6"/>
      <c r="D1153" s="6"/>
      <c r="E1153" s="61" t="s">
        <v>188</v>
      </c>
      <c r="F1153" s="40">
        <f t="shared" ref="F1153:N1153" si="379">IF(((F1151="")*AND(F1152="")),"",(F1151-F1152)*2)</f>
        <v>3665.4599999999991</v>
      </c>
      <c r="G1153" s="40">
        <f t="shared" si="379"/>
        <v>3870.0999999999985</v>
      </c>
      <c r="H1153" s="40">
        <f t="shared" si="379"/>
        <v>3894.7200000000012</v>
      </c>
      <c r="I1153" s="40">
        <f t="shared" si="379"/>
        <v>3871.880000000001</v>
      </c>
      <c r="J1153" s="40">
        <f t="shared" si="379"/>
        <v>3768.1800000000003</v>
      </c>
      <c r="K1153" s="40">
        <f t="shared" si="379"/>
        <v>3602.4799999999996</v>
      </c>
      <c r="L1153" s="40">
        <f t="shared" si="379"/>
        <v>3867.2999999999993</v>
      </c>
      <c r="M1153" s="40">
        <f t="shared" si="379"/>
        <v>3796.4400000000005</v>
      </c>
      <c r="N1153" s="40">
        <f t="shared" si="379"/>
        <v>3812.8999999999996</v>
      </c>
      <c r="O1153" s="61"/>
      <c r="P1153" s="61"/>
      <c r="Q1153" s="62"/>
      <c r="R1153" s="62"/>
      <c r="S1153" s="139"/>
      <c r="T1153" s="8"/>
      <c r="U1153" s="146"/>
      <c r="V1153" s="127"/>
      <c r="W1153" s="11"/>
      <c r="X1153" s="118"/>
      <c r="Y1153" s="118"/>
      <c r="Z1153" s="118"/>
      <c r="AA1153" s="118"/>
    </row>
    <row r="1154" spans="1:29" ht="15.6" x14ac:dyDescent="0.3">
      <c r="A1154" s="207">
        <v>43629</v>
      </c>
      <c r="B1154" s="215" t="s">
        <v>169</v>
      </c>
      <c r="C1154" s="6" t="s">
        <v>171</v>
      </c>
      <c r="D1154" s="6" t="s">
        <v>189</v>
      </c>
      <c r="E1154" s="61" t="s">
        <v>186</v>
      </c>
      <c r="F1154">
        <v>1983.97</v>
      </c>
      <c r="G1154">
        <v>1980.99</v>
      </c>
      <c r="H1154">
        <v>1975.04</v>
      </c>
      <c r="I1154">
        <v>1986.35</v>
      </c>
      <c r="J1154">
        <v>1994.35</v>
      </c>
      <c r="K1154">
        <v>1995.14</v>
      </c>
      <c r="L1154">
        <v>1982.94</v>
      </c>
      <c r="M1154">
        <v>1981.33</v>
      </c>
      <c r="N1154">
        <v>1985.58</v>
      </c>
      <c r="O1154" s="61">
        <f>IF((N1155=""),"",MAX(F1156:N1156))</f>
        <v>2179.5</v>
      </c>
      <c r="P1154" s="61">
        <f>IF(N1155="","",MIN(F1156:N1156))</f>
        <v>2080.8600000000006</v>
      </c>
      <c r="Q1154" s="62">
        <f>IF((N1156=""),"",AVERAGE(F1156:N1156))</f>
        <v>2131.9466666666672</v>
      </c>
      <c r="R1154" s="62">
        <f>IF((N1155=""),"",(O1154-P1154)/(O1154+P1154)*100)</f>
        <v>2.3152972988198042</v>
      </c>
      <c r="S1154" s="139">
        <f>STDEV(F1156:N1156)</f>
        <v>34.449280471440836</v>
      </c>
      <c r="T1154" s="5" t="str">
        <f>IF(N1155="","",IF(Q1154&gt;1940,IF(R1154&lt;8.3,IF(Q1154&lt;2180,"Pass","Fail"),"Fail"),"Fail"))</f>
        <v>Pass</v>
      </c>
      <c r="U1154" s="149">
        <v>1428</v>
      </c>
      <c r="V1154" s="127" t="s">
        <v>285</v>
      </c>
      <c r="W1154" s="11"/>
      <c r="X1154" s="116">
        <v>2000</v>
      </c>
      <c r="Y1154" s="116">
        <v>3000</v>
      </c>
      <c r="Z1154" s="116">
        <v>1940</v>
      </c>
      <c r="AA1154" s="116">
        <v>2180</v>
      </c>
      <c r="AB1154" s="31">
        <v>5.2</v>
      </c>
      <c r="AC1154" s="31">
        <v>5.2</v>
      </c>
    </row>
    <row r="1155" spans="1:29" ht="15.6" x14ac:dyDescent="0.3">
      <c r="A1155" s="212"/>
      <c r="B1155" s="24"/>
      <c r="C1155" s="6"/>
      <c r="D1155" s="6"/>
      <c r="E1155" s="61" t="s">
        <v>187</v>
      </c>
      <c r="F1155">
        <v>1290.3499999999999</v>
      </c>
      <c r="G1155">
        <v>1266.6099999999999</v>
      </c>
      <c r="H1155">
        <v>1257</v>
      </c>
      <c r="I1155">
        <v>1259.8499999999999</v>
      </c>
      <c r="J1155">
        <v>1290.0899999999999</v>
      </c>
      <c r="K1155">
        <v>1297.8699999999999</v>
      </c>
      <c r="L1155">
        <v>1265.58</v>
      </c>
      <c r="M1155">
        <v>1259.76</v>
      </c>
      <c r="N1155">
        <v>1282.74</v>
      </c>
      <c r="O1155" s="61"/>
      <c r="P1155" s="61"/>
      <c r="Q1155" s="62"/>
      <c r="R1155" s="62"/>
      <c r="S1155" s="139"/>
      <c r="T1155" s="5"/>
      <c r="U1155" s="140"/>
      <c r="V1155" s="173"/>
      <c r="W1155" s="11"/>
      <c r="X1155" s="118"/>
      <c r="Y1155" s="118"/>
      <c r="Z1155" s="118"/>
      <c r="AA1155" s="118"/>
    </row>
    <row r="1156" spans="1:29" ht="16.2" thickBot="1" x14ac:dyDescent="0.35">
      <c r="A1156" s="212"/>
      <c r="B1156" s="24"/>
      <c r="C1156" s="6"/>
      <c r="D1156" s="6"/>
      <c r="E1156" s="61" t="s">
        <v>190</v>
      </c>
      <c r="F1156" s="40">
        <f t="shared" ref="F1156:N1156" si="380">IF(((F1154="")*AND(F1155="")),"",(F1154-F1155)*3)</f>
        <v>2080.8600000000006</v>
      </c>
      <c r="G1156" s="40">
        <f t="shared" si="380"/>
        <v>2143.1400000000003</v>
      </c>
      <c r="H1156" s="40">
        <f t="shared" si="380"/>
        <v>2154.12</v>
      </c>
      <c r="I1156" s="40">
        <f t="shared" si="380"/>
        <v>2179.5</v>
      </c>
      <c r="J1156" s="40">
        <f t="shared" si="380"/>
        <v>2112.7799999999997</v>
      </c>
      <c r="K1156" s="40">
        <f t="shared" si="380"/>
        <v>2091.8100000000004</v>
      </c>
      <c r="L1156" s="40">
        <f t="shared" si="380"/>
        <v>2152.0800000000004</v>
      </c>
      <c r="M1156" s="40">
        <f t="shared" si="380"/>
        <v>2164.71</v>
      </c>
      <c r="N1156" s="40">
        <f t="shared" si="380"/>
        <v>2108.5199999999995</v>
      </c>
      <c r="O1156" s="61"/>
      <c r="P1156" s="61"/>
      <c r="Q1156" s="62"/>
      <c r="R1156" s="62"/>
      <c r="S1156" s="139"/>
      <c r="T1156" s="5"/>
      <c r="U1156" s="140"/>
      <c r="V1156" s="173"/>
      <c r="W1156" s="11"/>
      <c r="X1156" s="118"/>
      <c r="Y1156" s="118"/>
      <c r="Z1156" s="118"/>
      <c r="AA1156" s="118"/>
    </row>
    <row r="1157" spans="1:29" ht="15.6" x14ac:dyDescent="0.3">
      <c r="A1157" s="207">
        <v>43629</v>
      </c>
      <c r="B1157" s="218" t="s">
        <v>185</v>
      </c>
      <c r="C1157" s="6" t="s">
        <v>173</v>
      </c>
      <c r="D1157" s="6" t="s">
        <v>172</v>
      </c>
      <c r="E1157" s="61" t="s">
        <v>186</v>
      </c>
      <c r="F1157">
        <v>29308.720000000001</v>
      </c>
      <c r="G1157">
        <v>29166.59</v>
      </c>
      <c r="H1157">
        <v>29146.03</v>
      </c>
      <c r="I1157">
        <v>29137.24</v>
      </c>
      <c r="J1157">
        <v>29263.63</v>
      </c>
      <c r="K1157">
        <v>29231.75</v>
      </c>
      <c r="L1157">
        <v>29125.13</v>
      </c>
      <c r="M1157">
        <v>29157.67</v>
      </c>
      <c r="N1157">
        <v>29296.240000000002</v>
      </c>
      <c r="O1157" s="61">
        <f>IF((N1158=""),"",MAX(F1159:N1159))</f>
        <v>4652.3400000000074</v>
      </c>
      <c r="P1157" s="61">
        <f>IF(N1158="","",MIN(F1159:N1159))</f>
        <v>4094.3699999999917</v>
      </c>
      <c r="Q1157" s="62">
        <f>IF((N1159=""),"",AVERAGE(F1159:N1159))</f>
        <v>4344.6133333333355</v>
      </c>
      <c r="R1157" s="62">
        <f>IF((N1158=""),"",(O1157-P1157)/(O1157+P1157)*100)</f>
        <v>6.3791985786657586</v>
      </c>
      <c r="S1157" s="139">
        <f>STDEV(F1159:N1159)</f>
        <v>222.42321337936198</v>
      </c>
      <c r="T1157" s="5" t="str">
        <f>IF(N1158="","",IF(R1157&lt;16,IF(Q1157&gt;3200,IF(R1157,IF(Q1157&lt;5240,"Pass","Fail"),"Fail"),"Fail")))</f>
        <v>Pass</v>
      </c>
      <c r="U1157" s="149">
        <v>1428</v>
      </c>
      <c r="V1157" s="127" t="s">
        <v>285</v>
      </c>
      <c r="W1157" s="11"/>
      <c r="X1157" s="116">
        <v>4200</v>
      </c>
      <c r="Y1157" s="116">
        <v>5500</v>
      </c>
      <c r="Z1157" s="116">
        <v>3200</v>
      </c>
      <c r="AA1157" s="116">
        <v>5240</v>
      </c>
      <c r="AB1157" s="31">
        <v>16</v>
      </c>
      <c r="AC1157" s="31">
        <v>16</v>
      </c>
    </row>
    <row r="1158" spans="1:29" ht="15.6" x14ac:dyDescent="0.3">
      <c r="A1158" s="212"/>
      <c r="B1158" s="24"/>
      <c r="C1158" s="6"/>
      <c r="D1158" s="6"/>
      <c r="E1158" s="61" t="s">
        <v>187</v>
      </c>
      <c r="F1158">
        <v>27783.34</v>
      </c>
      <c r="G1158">
        <v>27764</v>
      </c>
      <c r="H1158">
        <v>27781.24</v>
      </c>
      <c r="I1158">
        <v>27752.12</v>
      </c>
      <c r="J1158">
        <v>27741.37</v>
      </c>
      <c r="K1158">
        <v>27735.759999999998</v>
      </c>
      <c r="L1158">
        <v>27750.62</v>
      </c>
      <c r="M1158">
        <v>27745.25</v>
      </c>
      <c r="N1158">
        <v>27745.46</v>
      </c>
      <c r="O1158" s="127"/>
      <c r="P1158" s="61"/>
      <c r="Q1158" s="62"/>
      <c r="R1158" s="62"/>
      <c r="S1158" s="139"/>
      <c r="T1158" s="5"/>
      <c r="U1158" s="140"/>
      <c r="V1158" s="173"/>
      <c r="W1158" s="11"/>
      <c r="X1158" s="118"/>
      <c r="Y1158" s="118"/>
      <c r="Z1158" s="118"/>
      <c r="AA1158" s="118"/>
    </row>
    <row r="1159" spans="1:29" ht="23.4" thickBot="1" x14ac:dyDescent="0.35">
      <c r="A1159" s="213"/>
      <c r="B1159" s="63"/>
      <c r="C1159" s="64"/>
      <c r="D1159" s="64"/>
      <c r="E1159" s="61" t="s">
        <v>188</v>
      </c>
      <c r="F1159" s="53">
        <f t="shared" ref="F1159:N1159" si="381">IF(((F1157="")*AND(F1158="")),"",(F1157-F1158)*3)</f>
        <v>4576.1400000000031</v>
      </c>
      <c r="G1159" s="53">
        <f t="shared" si="381"/>
        <v>4207.7700000000004</v>
      </c>
      <c r="H1159" s="53">
        <f t="shared" si="381"/>
        <v>4094.3699999999917</v>
      </c>
      <c r="I1159" s="53">
        <f t="shared" si="381"/>
        <v>4155.3600000000079</v>
      </c>
      <c r="J1159" s="53">
        <f t="shared" si="381"/>
        <v>4566.7800000000061</v>
      </c>
      <c r="K1159" s="53">
        <f t="shared" si="381"/>
        <v>4487.9700000000048</v>
      </c>
      <c r="L1159" s="53">
        <f t="shared" si="381"/>
        <v>4123.5300000000061</v>
      </c>
      <c r="M1159" s="53">
        <f t="shared" si="381"/>
        <v>4237.2599999999948</v>
      </c>
      <c r="N1159" s="53">
        <f t="shared" si="381"/>
        <v>4652.3400000000074</v>
      </c>
      <c r="O1159" s="65"/>
      <c r="P1159" s="65"/>
      <c r="Q1159" s="66"/>
      <c r="R1159" s="66"/>
      <c r="S1159" s="142"/>
      <c r="T1159" s="143"/>
      <c r="U1159" s="144"/>
      <c r="V1159" s="173"/>
      <c r="W1159" s="11"/>
      <c r="X1159" s="118"/>
      <c r="Y1159" s="118"/>
      <c r="Z1159" s="118"/>
      <c r="AA1159" s="118"/>
    </row>
    <row r="1160" spans="1:29" ht="15.6" x14ac:dyDescent="0.3">
      <c r="A1160" s="209">
        <v>43633</v>
      </c>
      <c r="B1160" s="217" t="s">
        <v>174</v>
      </c>
      <c r="C1160" s="44" t="s">
        <v>176</v>
      </c>
      <c r="D1160" s="44" t="s">
        <v>175</v>
      </c>
      <c r="E1160" s="61" t="s">
        <v>186</v>
      </c>
      <c r="F1160">
        <v>5250.68</v>
      </c>
      <c r="G1160">
        <v>5126.7</v>
      </c>
      <c r="H1160">
        <v>5128.78</v>
      </c>
      <c r="I1160">
        <v>5115.17</v>
      </c>
      <c r="J1160">
        <v>5107.46</v>
      </c>
      <c r="K1160">
        <v>5236.54</v>
      </c>
      <c r="L1160">
        <v>5104.17</v>
      </c>
      <c r="M1160">
        <v>5149.7</v>
      </c>
      <c r="N1160">
        <v>5218.08</v>
      </c>
      <c r="O1160" s="59">
        <f>IF((N1161=""),"",MAX(F1162:N1162))</f>
        <v>3967.2599999999993</v>
      </c>
      <c r="P1160" s="59">
        <f>IF(N1161="","",MIN(F1162:N1162))</f>
        <v>3661.5599999999995</v>
      </c>
      <c r="Q1160" s="60">
        <f>IF((N1162=""),"",AVERAGE(F1162:N1162))</f>
        <v>3867.0755555555547</v>
      </c>
      <c r="R1160" s="60">
        <f>IF((N1161=""),"",(O1160-P1160)/(O1160+P1160)*100)</f>
        <v>4.0071727999874147</v>
      </c>
      <c r="S1160" s="131">
        <f>STDEV(F1162:N1162)</f>
        <v>106.47138196613093</v>
      </c>
      <c r="T1160" s="137" t="str">
        <f>IF(N1161="","",IF(Q1160&gt;3650,IF(R1160&lt;7,IF(Q1160&lt;4450,"Pass","Fail"),"Fail"),"Fail"))</f>
        <v>Pass</v>
      </c>
      <c r="U1160" s="149">
        <v>1335</v>
      </c>
      <c r="V1160" s="127"/>
      <c r="W1160" s="11"/>
      <c r="X1160" s="116">
        <v>3650</v>
      </c>
      <c r="Y1160" s="116">
        <v>4450</v>
      </c>
      <c r="Z1160" s="116">
        <v>3700</v>
      </c>
      <c r="AA1160" s="116">
        <v>4100</v>
      </c>
      <c r="AB1160" s="31">
        <v>7</v>
      </c>
      <c r="AC1160" s="31">
        <v>6.5</v>
      </c>
    </row>
    <row r="1161" spans="1:29" ht="15.6" x14ac:dyDescent="0.3">
      <c r="A1161" s="212"/>
      <c r="B1161" s="24"/>
      <c r="C1161" s="6"/>
      <c r="D1161" s="6"/>
      <c r="E1161" s="61" t="s">
        <v>187</v>
      </c>
      <c r="F1161">
        <v>3381.85</v>
      </c>
      <c r="G1161">
        <v>3160.64</v>
      </c>
      <c r="H1161">
        <v>3150.01</v>
      </c>
      <c r="I1161">
        <v>3150.49</v>
      </c>
      <c r="J1161">
        <v>3196.5</v>
      </c>
      <c r="K1161">
        <v>3405.76</v>
      </c>
      <c r="L1161">
        <v>3141.85</v>
      </c>
      <c r="M1161">
        <v>3166.07</v>
      </c>
      <c r="N1161">
        <v>3282.27</v>
      </c>
      <c r="O1161" s="61"/>
      <c r="P1161" s="61"/>
      <c r="Q1161" s="62"/>
      <c r="R1161" s="62"/>
      <c r="S1161" s="139"/>
      <c r="T1161" s="8"/>
      <c r="U1161" s="146"/>
      <c r="V1161" s="127"/>
      <c r="W1161" s="11"/>
      <c r="X1161" s="118"/>
      <c r="Y1161" s="118"/>
      <c r="Z1161" s="118"/>
      <c r="AA1161" s="118"/>
    </row>
    <row r="1162" spans="1:29" ht="23.4" thickBot="1" x14ac:dyDescent="0.35">
      <c r="A1162" s="212"/>
      <c r="B1162" s="24"/>
      <c r="C1162" s="6"/>
      <c r="D1162" s="6"/>
      <c r="E1162" s="61" t="s">
        <v>188</v>
      </c>
      <c r="F1162" s="40">
        <f t="shared" ref="F1162:N1162" si="382">IF(((F1160="")*AND(F1161="")),"",(F1160-F1161)*2)</f>
        <v>3737.6600000000008</v>
      </c>
      <c r="G1162" s="40">
        <f t="shared" si="382"/>
        <v>3932.12</v>
      </c>
      <c r="H1162" s="40">
        <f t="shared" si="382"/>
        <v>3957.5399999999991</v>
      </c>
      <c r="I1162" s="40">
        <f t="shared" si="382"/>
        <v>3929.3600000000006</v>
      </c>
      <c r="J1162" s="40">
        <f t="shared" si="382"/>
        <v>3821.92</v>
      </c>
      <c r="K1162" s="40">
        <f t="shared" si="382"/>
        <v>3661.5599999999995</v>
      </c>
      <c r="L1162" s="40">
        <f t="shared" si="382"/>
        <v>3924.6400000000003</v>
      </c>
      <c r="M1162" s="40">
        <f t="shared" si="382"/>
        <v>3967.2599999999993</v>
      </c>
      <c r="N1162" s="40">
        <f t="shared" si="382"/>
        <v>3871.62</v>
      </c>
      <c r="O1162" s="61"/>
      <c r="P1162" s="61"/>
      <c r="Q1162" s="62"/>
      <c r="R1162" s="62"/>
      <c r="S1162" s="139"/>
      <c r="T1162" s="8"/>
      <c r="U1162" s="146"/>
      <c r="V1162" s="127"/>
      <c r="W1162" s="11"/>
      <c r="X1162" s="118"/>
      <c r="Y1162" s="118"/>
      <c r="Z1162" s="118"/>
      <c r="AA1162" s="118"/>
    </row>
    <row r="1163" spans="1:29" ht="15.6" x14ac:dyDescent="0.3">
      <c r="A1163" s="299">
        <v>43633</v>
      </c>
      <c r="B1163" s="215" t="s">
        <v>169</v>
      </c>
      <c r="C1163" s="6" t="s">
        <v>171</v>
      </c>
      <c r="D1163" s="6" t="s">
        <v>189</v>
      </c>
      <c r="E1163" s="61" t="s">
        <v>186</v>
      </c>
      <c r="F1163">
        <v>1293.8699999999999</v>
      </c>
      <c r="G1163">
        <v>1268.02</v>
      </c>
      <c r="H1163">
        <v>1258.96</v>
      </c>
      <c r="I1163">
        <v>1263.1600000000001</v>
      </c>
      <c r="J1163">
        <v>1291.5899999999999</v>
      </c>
      <c r="K1163">
        <v>1302.76</v>
      </c>
      <c r="L1163">
        <v>1268.0999999999999</v>
      </c>
      <c r="M1163">
        <v>1262.55</v>
      </c>
      <c r="N1163">
        <v>1282.54</v>
      </c>
      <c r="O1163" s="61">
        <f>IF((N1164=""),"",MAX(F1165:N1165))</f>
        <v>2060.7599999999998</v>
      </c>
      <c r="P1163" s="61">
        <f>IF(N1164="","",MIN(F1165:N1165))</f>
        <v>1974.9599999999998</v>
      </c>
      <c r="Q1163" s="62">
        <f>IF((N1165=""),"",AVERAGE(F1165:N1165))</f>
        <v>2023.8166666666666</v>
      </c>
      <c r="R1163" s="62">
        <f>IF((N1164=""),"",(O1163-P1163)/(O1163+P1163)*100)</f>
        <v>2.1260146888287581</v>
      </c>
      <c r="S1163" s="139">
        <f>STDEV(F1165:N1165)</f>
        <v>37.699679706862227</v>
      </c>
      <c r="T1163" s="5" t="str">
        <f>IF(N1164="","",IF(Q1163&gt;1940,IF(R1163&lt;8.3,IF(Q1163&lt;2180,"Pass","Fail"),"Fail"),"Fail"))</f>
        <v>Pass</v>
      </c>
      <c r="U1163" s="149">
        <v>1335</v>
      </c>
      <c r="V1163" s="127"/>
      <c r="W1163" s="11"/>
      <c r="X1163" s="116">
        <v>2000</v>
      </c>
      <c r="Y1163" s="116">
        <v>3000</v>
      </c>
      <c r="Z1163" s="116">
        <v>1940</v>
      </c>
      <c r="AA1163" s="116">
        <v>2180</v>
      </c>
      <c r="AB1163" s="31">
        <v>5.2</v>
      </c>
      <c r="AC1163" s="31">
        <v>5.2</v>
      </c>
    </row>
    <row r="1164" spans="1:29" ht="15.6" x14ac:dyDescent="0.3">
      <c r="A1164" s="299"/>
      <c r="B1164" s="24"/>
      <c r="C1164" s="6"/>
      <c r="D1164" s="6"/>
      <c r="E1164" s="61" t="s">
        <v>187</v>
      </c>
      <c r="F1164">
        <v>626.54999999999995</v>
      </c>
      <c r="G1164">
        <v>581.71</v>
      </c>
      <c r="H1164">
        <v>576.52</v>
      </c>
      <c r="I1164">
        <v>578.4</v>
      </c>
      <c r="J1164">
        <v>633.27</v>
      </c>
      <c r="K1164">
        <v>642.66</v>
      </c>
      <c r="L1164">
        <v>583.76</v>
      </c>
      <c r="M1164">
        <v>575.63</v>
      </c>
      <c r="N1164">
        <v>621.6</v>
      </c>
      <c r="O1164" s="61"/>
      <c r="P1164" s="61"/>
      <c r="Q1164" s="62"/>
      <c r="R1164" s="62"/>
      <c r="S1164" s="139"/>
      <c r="T1164" s="5"/>
      <c r="U1164" s="140"/>
      <c r="V1164" s="173"/>
      <c r="W1164" s="11"/>
      <c r="X1164" s="118"/>
      <c r="Y1164" s="118"/>
      <c r="Z1164" s="118"/>
      <c r="AA1164" s="118"/>
    </row>
    <row r="1165" spans="1:29" ht="16.2" thickBot="1" x14ac:dyDescent="0.35">
      <c r="A1165" s="212"/>
      <c r="B1165" s="24"/>
      <c r="C1165" s="6"/>
      <c r="D1165" s="6"/>
      <c r="E1165" s="61" t="s">
        <v>190</v>
      </c>
      <c r="F1165" s="40">
        <f t="shared" ref="F1165:N1165" si="383">IF(((F1163="")*AND(F1164="")),"",(F1163-F1164)*3)</f>
        <v>2001.9599999999998</v>
      </c>
      <c r="G1165" s="40">
        <f t="shared" si="383"/>
        <v>2058.9299999999998</v>
      </c>
      <c r="H1165" s="40">
        <f t="shared" si="383"/>
        <v>2047.3200000000002</v>
      </c>
      <c r="I1165" s="40">
        <f t="shared" si="383"/>
        <v>2054.2800000000002</v>
      </c>
      <c r="J1165" s="40">
        <f t="shared" si="383"/>
        <v>1974.9599999999998</v>
      </c>
      <c r="K1165" s="40">
        <f t="shared" si="383"/>
        <v>1980.3000000000002</v>
      </c>
      <c r="L1165" s="40">
        <f t="shared" si="383"/>
        <v>2053.0199999999995</v>
      </c>
      <c r="M1165" s="40">
        <f t="shared" si="383"/>
        <v>2060.7599999999998</v>
      </c>
      <c r="N1165" s="40">
        <f t="shared" si="383"/>
        <v>1982.8199999999997</v>
      </c>
      <c r="O1165" s="61"/>
      <c r="P1165" s="61"/>
      <c r="Q1165" s="62"/>
      <c r="R1165" s="62"/>
      <c r="S1165" s="139"/>
      <c r="T1165" s="5"/>
      <c r="U1165" s="140"/>
      <c r="V1165" s="173"/>
      <c r="W1165" s="11"/>
      <c r="X1165" s="118"/>
      <c r="Y1165" s="118"/>
      <c r="Z1165" s="118"/>
      <c r="AA1165" s="118"/>
    </row>
    <row r="1166" spans="1:29" ht="15.6" x14ac:dyDescent="0.3">
      <c r="A1166" s="207">
        <v>43633</v>
      </c>
      <c r="B1166" s="218" t="s">
        <v>185</v>
      </c>
      <c r="C1166" s="6" t="s">
        <v>173</v>
      </c>
      <c r="D1166" s="6" t="s">
        <v>172</v>
      </c>
      <c r="E1166" s="61" t="s">
        <v>186</v>
      </c>
      <c r="F1166">
        <v>27737</v>
      </c>
      <c r="G1166">
        <v>27729.22</v>
      </c>
      <c r="H1166">
        <v>27740.87</v>
      </c>
      <c r="I1166">
        <v>27699.96</v>
      </c>
      <c r="J1166">
        <v>27684.85</v>
      </c>
      <c r="K1166">
        <v>27684</v>
      </c>
      <c r="L1166">
        <v>27706.42</v>
      </c>
      <c r="M1166">
        <v>27704.66</v>
      </c>
      <c r="N1166">
        <v>27699.66</v>
      </c>
      <c r="O1166" s="61">
        <f>IF((N1167=""),"",MAX(F1168:N1168))</f>
        <v>4606.5</v>
      </c>
      <c r="P1166" s="61">
        <f>IF(N1167="","",MIN(F1168:N1168))</f>
        <v>4106.7299999999996</v>
      </c>
      <c r="Q1166" s="62">
        <f>IF((N1168=""),"",AVERAGE(F1168:N1168))</f>
        <v>4333.4099999999989</v>
      </c>
      <c r="R1166" s="62">
        <f>IF((N1167=""),"",(O1166-P1166)/(O1166+P1166)*100)</f>
        <v>5.7357604470443277</v>
      </c>
      <c r="S1166" s="139">
        <f>STDEV(F1168:N1168)</f>
        <v>219.63286280745803</v>
      </c>
      <c r="T1166" s="5" t="str">
        <f>IF(N1167="","",IF(R1166&lt;16,IF(Q1166&gt;3200,IF(R1166,IF(Q1166&lt;5240,"Pass","Fail"),"Fail"),"Fail")))</f>
        <v>Pass</v>
      </c>
      <c r="U1166" s="149">
        <v>1335</v>
      </c>
      <c r="V1166" s="127"/>
      <c r="W1166" s="11"/>
      <c r="X1166" s="116">
        <v>4200</v>
      </c>
      <c r="Y1166" s="116">
        <v>5500</v>
      </c>
      <c r="Z1166" s="116">
        <v>3200</v>
      </c>
      <c r="AA1166" s="116">
        <v>5240</v>
      </c>
      <c r="AB1166" s="31">
        <v>16</v>
      </c>
      <c r="AC1166" s="31">
        <v>16</v>
      </c>
    </row>
    <row r="1167" spans="1:29" ht="15.6" x14ac:dyDescent="0.3">
      <c r="A1167" s="212"/>
      <c r="B1167" s="24"/>
      <c r="C1167" s="6"/>
      <c r="D1167" s="6"/>
      <c r="E1167" s="61" t="s">
        <v>187</v>
      </c>
      <c r="F1167">
        <v>26232.81</v>
      </c>
      <c r="G1167">
        <v>26345.95</v>
      </c>
      <c r="H1167">
        <v>26371.96</v>
      </c>
      <c r="I1167">
        <v>26312.73</v>
      </c>
      <c r="J1167">
        <v>26149.35</v>
      </c>
      <c r="K1167">
        <v>26165.07</v>
      </c>
      <c r="L1167">
        <v>26317.35</v>
      </c>
      <c r="M1167">
        <v>26316.61</v>
      </c>
      <c r="N1167">
        <v>26174.58</v>
      </c>
      <c r="O1167" s="127"/>
      <c r="P1167" s="61"/>
      <c r="Q1167" s="62"/>
      <c r="R1167" s="62"/>
      <c r="S1167" s="139"/>
      <c r="T1167" s="5"/>
      <c r="U1167" s="140"/>
      <c r="V1167" s="173"/>
      <c r="W1167" s="11"/>
      <c r="X1167" s="118"/>
      <c r="Y1167" s="118"/>
      <c r="Z1167" s="118"/>
      <c r="AA1167" s="118"/>
    </row>
    <row r="1168" spans="1:29" ht="23.4" thickBot="1" x14ac:dyDescent="0.35">
      <c r="A1168" s="213"/>
      <c r="B1168" s="63"/>
      <c r="C1168" s="64"/>
      <c r="D1168" s="64"/>
      <c r="E1168" s="61" t="s">
        <v>188</v>
      </c>
      <c r="F1168" s="53">
        <f t="shared" ref="F1168:N1168" si="384">IF(((F1166="")*AND(F1167="")),"",(F1166-F1167)*3)</f>
        <v>4512.5699999999961</v>
      </c>
      <c r="G1168" s="53">
        <f t="shared" si="384"/>
        <v>4149.8100000000013</v>
      </c>
      <c r="H1168" s="53">
        <f t="shared" si="384"/>
        <v>4106.7299999999996</v>
      </c>
      <c r="I1168" s="53">
        <f t="shared" si="384"/>
        <v>4161.6899999999987</v>
      </c>
      <c r="J1168" s="53">
        <f t="shared" si="384"/>
        <v>4606.5</v>
      </c>
      <c r="K1168" s="53">
        <f t="shared" si="384"/>
        <v>4556.7900000000009</v>
      </c>
      <c r="L1168" s="53">
        <f t="shared" si="384"/>
        <v>4167.2099999999991</v>
      </c>
      <c r="M1168" s="53">
        <f t="shared" si="384"/>
        <v>4164.1499999999978</v>
      </c>
      <c r="N1168" s="53">
        <f t="shared" si="384"/>
        <v>4575.2399999999943</v>
      </c>
      <c r="O1168" s="65"/>
      <c r="P1168" s="65"/>
      <c r="Q1168" s="66"/>
      <c r="R1168" s="66"/>
      <c r="S1168" s="142"/>
      <c r="T1168" s="143"/>
      <c r="U1168" s="144"/>
      <c r="V1168" s="173"/>
      <c r="W1168" s="11"/>
      <c r="X1168" s="118"/>
      <c r="Y1168" s="118"/>
      <c r="Z1168" s="118"/>
      <c r="AA1168" s="118"/>
    </row>
    <row r="1169" spans="1:29" ht="15.6" x14ac:dyDescent="0.3">
      <c r="A1169" s="207">
        <v>43636</v>
      </c>
      <c r="B1169" s="217" t="s">
        <v>174</v>
      </c>
      <c r="C1169" s="44" t="s">
        <v>176</v>
      </c>
      <c r="D1169" s="44" t="s">
        <v>175</v>
      </c>
      <c r="E1169" s="61" t="s">
        <v>186</v>
      </c>
      <c r="F1169">
        <v>3387.45</v>
      </c>
      <c r="G1169">
        <v>3166.52</v>
      </c>
      <c r="H1169">
        <v>3155.74</v>
      </c>
      <c r="I1169">
        <v>3156.14</v>
      </c>
      <c r="J1169">
        <v>3201.41</v>
      </c>
      <c r="K1169">
        <v>3410.95</v>
      </c>
      <c r="L1169">
        <v>3147.58</v>
      </c>
      <c r="M1169">
        <v>3171.71</v>
      </c>
      <c r="N1169">
        <v>3287.45</v>
      </c>
      <c r="O1169" s="59">
        <f>IF((N1170=""),"",MAX(F1171:N1171))</f>
        <v>3940.28</v>
      </c>
      <c r="P1169" s="59">
        <f>IF(N1170="","",MIN(F1171:N1171))</f>
        <v>3664.2799999999997</v>
      </c>
      <c r="Q1169" s="60">
        <f>IF((N1171=""),"",AVERAGE(F1171:N1171))</f>
        <v>3855.8222222222216</v>
      </c>
      <c r="R1169" s="60">
        <f>IF((N1170=""),"",(O1169-P1169)/(O1169+P1169)*100)</f>
        <v>3.6294013065844766</v>
      </c>
      <c r="S1169" s="131">
        <f>STDEV(F1171:N1171)</f>
        <v>92.186313758846282</v>
      </c>
      <c r="T1169" s="137" t="str">
        <f>IF(N1170="","",IF(Q1169&gt;3650,IF(R1169&lt;7,IF(Q1169&lt;4450,"Pass","Fail"),"Fail"),"Fail"))</f>
        <v>Pass</v>
      </c>
      <c r="U1169" s="149">
        <v>1159</v>
      </c>
      <c r="V1169" s="127" t="s">
        <v>288</v>
      </c>
      <c r="W1169" s="11"/>
      <c r="X1169" s="116">
        <v>3650</v>
      </c>
      <c r="Y1169" s="116">
        <v>4450</v>
      </c>
      <c r="Z1169" s="116">
        <v>3700</v>
      </c>
      <c r="AA1169" s="116">
        <v>4100</v>
      </c>
      <c r="AB1169" s="31">
        <v>7</v>
      </c>
      <c r="AC1169" s="31">
        <v>6.5</v>
      </c>
    </row>
    <row r="1170" spans="1:29" ht="15.6" x14ac:dyDescent="0.3">
      <c r="A1170" s="212"/>
      <c r="B1170" s="24"/>
      <c r="C1170" s="6"/>
      <c r="D1170" s="6"/>
      <c r="E1170" s="61" t="s">
        <v>187</v>
      </c>
      <c r="F1170">
        <v>1515.07</v>
      </c>
      <c r="G1170">
        <v>1216.1300000000001</v>
      </c>
      <c r="H1170">
        <v>1195.49</v>
      </c>
      <c r="I1170">
        <v>1207.06</v>
      </c>
      <c r="J1170">
        <v>1281.68</v>
      </c>
      <c r="K1170">
        <v>1578.81</v>
      </c>
      <c r="L1170">
        <v>1203.5</v>
      </c>
      <c r="M1170">
        <v>1201.57</v>
      </c>
      <c r="N1170">
        <v>1334.44</v>
      </c>
      <c r="O1170" s="61"/>
      <c r="P1170" s="61"/>
      <c r="Q1170" s="62"/>
      <c r="R1170" s="62"/>
      <c r="S1170" s="139"/>
      <c r="T1170" s="8"/>
      <c r="U1170" s="146"/>
      <c r="V1170" s="127"/>
      <c r="W1170" s="11"/>
      <c r="X1170" s="118"/>
      <c r="Y1170" s="118"/>
      <c r="Z1170" s="118"/>
      <c r="AA1170" s="118"/>
    </row>
    <row r="1171" spans="1:29" ht="23.4" thickBot="1" x14ac:dyDescent="0.35">
      <c r="A1171" s="212"/>
      <c r="B1171" s="24"/>
      <c r="C1171" s="6"/>
      <c r="D1171" s="6"/>
      <c r="E1171" s="61" t="s">
        <v>188</v>
      </c>
      <c r="F1171" s="40">
        <f t="shared" ref="F1171:N1171" si="385">IF(((F1169="")*AND(F1170="")),"",(F1169-F1170)*2)</f>
        <v>3744.7599999999998</v>
      </c>
      <c r="G1171" s="40">
        <f t="shared" si="385"/>
        <v>3900.7799999999997</v>
      </c>
      <c r="H1171" s="40">
        <f t="shared" si="385"/>
        <v>3920.4999999999995</v>
      </c>
      <c r="I1171" s="40">
        <f t="shared" si="385"/>
        <v>3898.16</v>
      </c>
      <c r="J1171" s="40">
        <f t="shared" si="385"/>
        <v>3839.4599999999996</v>
      </c>
      <c r="K1171" s="40">
        <f t="shared" si="385"/>
        <v>3664.2799999999997</v>
      </c>
      <c r="L1171" s="40">
        <f t="shared" si="385"/>
        <v>3888.16</v>
      </c>
      <c r="M1171" s="40">
        <f t="shared" si="385"/>
        <v>3940.28</v>
      </c>
      <c r="N1171" s="40">
        <f t="shared" si="385"/>
        <v>3906.0199999999995</v>
      </c>
      <c r="O1171" s="61"/>
      <c r="P1171" s="61"/>
      <c r="Q1171" s="62"/>
      <c r="R1171" s="62"/>
      <c r="S1171" s="139"/>
      <c r="T1171" s="8"/>
      <c r="U1171" s="146"/>
      <c r="V1171" s="127"/>
      <c r="W1171" s="11"/>
      <c r="X1171" s="118"/>
      <c r="Y1171" s="118"/>
      <c r="Z1171" s="118"/>
      <c r="AA1171" s="118"/>
    </row>
    <row r="1172" spans="1:29" ht="15.6" x14ac:dyDescent="0.3">
      <c r="A1172" s="207">
        <v>43636</v>
      </c>
      <c r="B1172" s="215" t="s">
        <v>169</v>
      </c>
      <c r="C1172" s="6" t="s">
        <v>171</v>
      </c>
      <c r="D1172" s="6" t="s">
        <v>189</v>
      </c>
      <c r="E1172" s="61" t="s">
        <v>186</v>
      </c>
      <c r="F1172">
        <v>1948.14</v>
      </c>
      <c r="G1172">
        <v>1946.23</v>
      </c>
      <c r="H1172">
        <v>1936.54</v>
      </c>
      <c r="I1172">
        <v>1946.36</v>
      </c>
      <c r="J1172">
        <v>1955.27</v>
      </c>
      <c r="K1172">
        <v>1953.67</v>
      </c>
      <c r="L1172">
        <v>1947.06</v>
      </c>
      <c r="M1172">
        <v>1944.92</v>
      </c>
      <c r="N1172">
        <v>1946.29</v>
      </c>
      <c r="O1172" s="61">
        <f>IF((N1173=""),"",MAX(F1174:N1174))</f>
        <v>2116.8600000000006</v>
      </c>
      <c r="P1172" s="61">
        <f>IF(N1173="","",MIN(F1174:N1174))</f>
        <v>2053.2600000000002</v>
      </c>
      <c r="Q1172" s="62">
        <f>IF((N1174=""),"",AVERAGE(F1174:N1174))</f>
        <v>2089.2566666666671</v>
      </c>
      <c r="R1172" s="62">
        <f>IF((N1173=""),"",(O1172-P1172)/(O1172+P1172)*100)</f>
        <v>1.5251359673103018</v>
      </c>
      <c r="S1172" s="139">
        <f>STDEV(F1174:N1174)</f>
        <v>22.075706670455705</v>
      </c>
      <c r="T1172" s="5" t="str">
        <f>IF(N1173="","",IF(Q1172&gt;1940,IF(R1172&lt;8.3,IF(Q1172&lt;2180,"Pass","Fail"),"Fail"),"Fail"))</f>
        <v>Pass</v>
      </c>
      <c r="U1172" s="149">
        <v>1159</v>
      </c>
      <c r="V1172" s="127" t="s">
        <v>288</v>
      </c>
      <c r="W1172" s="11"/>
      <c r="X1172" s="116">
        <v>2000</v>
      </c>
      <c r="Y1172" s="116">
        <v>3000</v>
      </c>
      <c r="Z1172" s="116">
        <v>1940</v>
      </c>
      <c r="AA1172" s="116">
        <v>2180</v>
      </c>
      <c r="AB1172" s="31">
        <v>5.2</v>
      </c>
      <c r="AC1172" s="31">
        <v>5.2</v>
      </c>
    </row>
    <row r="1173" spans="1:29" ht="15.6" x14ac:dyDescent="0.3">
      <c r="A1173" s="212"/>
      <c r="B1173" s="24"/>
      <c r="C1173" s="6"/>
      <c r="D1173" s="6"/>
      <c r="E1173" s="61" t="s">
        <v>187</v>
      </c>
      <c r="F1173">
        <v>1260.1400000000001</v>
      </c>
      <c r="G1173">
        <v>1245.28</v>
      </c>
      <c r="H1173">
        <v>1236.47</v>
      </c>
      <c r="I1173">
        <v>1243.77</v>
      </c>
      <c r="J1173">
        <v>1260.51</v>
      </c>
      <c r="K1173">
        <v>1269.25</v>
      </c>
      <c r="L1173">
        <v>1246</v>
      </c>
      <c r="M1173">
        <v>1239.3</v>
      </c>
      <c r="N1173">
        <v>1255.99</v>
      </c>
      <c r="O1173" s="61"/>
      <c r="P1173" s="61"/>
      <c r="Q1173" s="62"/>
      <c r="R1173" s="62"/>
      <c r="S1173" s="139"/>
      <c r="T1173" s="5"/>
      <c r="U1173" s="140"/>
      <c r="V1173" s="173"/>
      <c r="W1173" s="11"/>
      <c r="X1173" s="118"/>
      <c r="Y1173" s="118"/>
      <c r="Z1173" s="118"/>
      <c r="AA1173" s="118"/>
    </row>
    <row r="1174" spans="1:29" ht="16.2" thickBot="1" x14ac:dyDescent="0.35">
      <c r="A1174" s="212"/>
      <c r="B1174" s="24"/>
      <c r="C1174" s="6"/>
      <c r="D1174" s="6"/>
      <c r="E1174" s="61" t="s">
        <v>190</v>
      </c>
      <c r="F1174" s="40">
        <f t="shared" ref="F1174:N1174" si="386">IF(((F1172="")*AND(F1173="")),"",(F1172-F1173)*3)</f>
        <v>2064</v>
      </c>
      <c r="G1174" s="40">
        <f t="shared" si="386"/>
        <v>2102.8500000000004</v>
      </c>
      <c r="H1174" s="40">
        <f t="shared" si="386"/>
        <v>2100.21</v>
      </c>
      <c r="I1174" s="40">
        <f t="shared" si="386"/>
        <v>2107.7699999999995</v>
      </c>
      <c r="J1174" s="40">
        <f t="shared" si="386"/>
        <v>2084.2799999999997</v>
      </c>
      <c r="K1174" s="40">
        <f t="shared" si="386"/>
        <v>2053.2600000000002</v>
      </c>
      <c r="L1174" s="40">
        <f t="shared" si="386"/>
        <v>2103.1799999999998</v>
      </c>
      <c r="M1174" s="40">
        <f t="shared" si="386"/>
        <v>2116.8600000000006</v>
      </c>
      <c r="N1174" s="40">
        <f t="shared" si="386"/>
        <v>2070.8999999999996</v>
      </c>
      <c r="O1174" s="61"/>
      <c r="P1174" s="61"/>
      <c r="Q1174" s="62"/>
      <c r="R1174" s="62"/>
      <c r="S1174" s="139"/>
      <c r="T1174" s="5"/>
      <c r="U1174" s="140"/>
      <c r="V1174" s="173"/>
      <c r="W1174" s="11"/>
      <c r="X1174" s="118"/>
      <c r="Y1174" s="118"/>
      <c r="Z1174" s="118"/>
      <c r="AA1174" s="118"/>
    </row>
    <row r="1175" spans="1:29" ht="15.6" x14ac:dyDescent="0.3">
      <c r="A1175" s="207">
        <v>43636</v>
      </c>
      <c r="B1175" s="218" t="s">
        <v>185</v>
      </c>
      <c r="C1175" s="6" t="s">
        <v>173</v>
      </c>
      <c r="D1175" s="6" t="s">
        <v>172</v>
      </c>
      <c r="E1175" s="61" t="s">
        <v>186</v>
      </c>
      <c r="F1175">
        <v>26191.7</v>
      </c>
      <c r="G1175">
        <v>26309.95</v>
      </c>
      <c r="H1175">
        <v>26346.73</v>
      </c>
      <c r="I1175">
        <v>26278.02</v>
      </c>
      <c r="J1175">
        <v>26112.34</v>
      </c>
      <c r="K1175">
        <v>26121.88</v>
      </c>
      <c r="L1175">
        <v>26286.68</v>
      </c>
      <c r="M1175">
        <v>26283.51</v>
      </c>
      <c r="N1175">
        <v>26117.58</v>
      </c>
      <c r="O1175" s="61">
        <f>IF((N1176=""),"",MAX(F1177:N1177))</f>
        <v>4752.96000000001</v>
      </c>
      <c r="P1175" s="61">
        <f>IF(N1176="","",MIN(F1177:N1177))</f>
        <v>4124.5499999999956</v>
      </c>
      <c r="Q1175" s="62">
        <f>IF((N1177=""),"",AVERAGE(F1177:N1177))</f>
        <v>4403.6466666666693</v>
      </c>
      <c r="R1175" s="62">
        <f>IF((N1176=""),"",(O1175-P1175)/(O1175+P1175)*100)</f>
        <v>7.0786740876666325</v>
      </c>
      <c r="S1175" s="139">
        <f>STDEV(F1177:N1177)</f>
        <v>261.95645816624074</v>
      </c>
      <c r="T1175" s="5" t="str">
        <f>IF(N1176="","",IF(R1175&lt;16,IF(Q1175&gt;3200,IF(R1175,IF(Q1175&lt;5240,"Pass","Fail"),"Fail"),"Fail")))</f>
        <v>Pass</v>
      </c>
      <c r="U1175" s="149">
        <v>1159</v>
      </c>
      <c r="V1175" s="127" t="s">
        <v>288</v>
      </c>
      <c r="W1175" s="11"/>
      <c r="X1175" s="116">
        <v>4200</v>
      </c>
      <c r="Y1175" s="116">
        <v>5500</v>
      </c>
      <c r="Z1175" s="116">
        <v>3200</v>
      </c>
      <c r="AA1175" s="116">
        <v>5240</v>
      </c>
      <c r="AB1175" s="31">
        <v>16</v>
      </c>
      <c r="AC1175" s="31">
        <v>16</v>
      </c>
    </row>
    <row r="1176" spans="1:29" ht="15.6" x14ac:dyDescent="0.3">
      <c r="A1176" s="212"/>
      <c r="B1176" s="24"/>
      <c r="C1176" s="6"/>
      <c r="D1176" s="6"/>
      <c r="E1176" s="61" t="s">
        <v>187</v>
      </c>
      <c r="F1176">
        <v>24626.11</v>
      </c>
      <c r="G1176">
        <v>24904.39</v>
      </c>
      <c r="H1176">
        <v>24971.88</v>
      </c>
      <c r="I1176">
        <v>24881.27</v>
      </c>
      <c r="J1176">
        <v>24558.639999999999</v>
      </c>
      <c r="K1176">
        <v>24593.53</v>
      </c>
      <c r="L1176">
        <v>24898.05</v>
      </c>
      <c r="M1176">
        <v>24870.32</v>
      </c>
      <c r="N1176">
        <v>24533.26</v>
      </c>
      <c r="O1176" s="127"/>
      <c r="P1176" s="61"/>
      <c r="Q1176" s="62"/>
      <c r="R1176" s="62"/>
      <c r="S1176" s="139"/>
      <c r="T1176" s="5"/>
      <c r="U1176" s="140"/>
      <c r="V1176" s="173"/>
      <c r="W1176" s="11"/>
      <c r="X1176" s="118"/>
      <c r="Y1176" s="118"/>
      <c r="Z1176" s="118"/>
      <c r="AA1176" s="118"/>
    </row>
    <row r="1177" spans="1:29" ht="23.4" thickBot="1" x14ac:dyDescent="0.35">
      <c r="A1177" s="213"/>
      <c r="B1177" s="63"/>
      <c r="C1177" s="64"/>
      <c r="D1177" s="64"/>
      <c r="E1177" s="61" t="s">
        <v>188</v>
      </c>
      <c r="F1177" s="53">
        <f t="shared" ref="F1177:N1177" si="387">IF(((F1175="")*AND(F1176="")),"",(F1175-F1176)*3)</f>
        <v>4696.7700000000004</v>
      </c>
      <c r="G1177" s="53">
        <f t="shared" si="387"/>
        <v>4216.6800000000039</v>
      </c>
      <c r="H1177" s="53">
        <f t="shared" si="387"/>
        <v>4124.5499999999956</v>
      </c>
      <c r="I1177" s="53">
        <f t="shared" si="387"/>
        <v>4190.25</v>
      </c>
      <c r="J1177" s="53">
        <f t="shared" si="387"/>
        <v>4661.1000000000022</v>
      </c>
      <c r="K1177" s="53">
        <f t="shared" si="387"/>
        <v>4585.0500000000065</v>
      </c>
      <c r="L1177" s="53">
        <f t="shared" si="387"/>
        <v>4165.8900000000031</v>
      </c>
      <c r="M1177" s="53">
        <f t="shared" si="387"/>
        <v>4239.5699999999961</v>
      </c>
      <c r="N1177" s="53">
        <f t="shared" si="387"/>
        <v>4752.96000000001</v>
      </c>
      <c r="O1177" s="65"/>
      <c r="P1177" s="65"/>
      <c r="Q1177" s="66"/>
      <c r="R1177" s="66"/>
      <c r="S1177" s="142"/>
      <c r="T1177" s="143"/>
      <c r="U1177" s="144"/>
      <c r="V1177" s="173"/>
      <c r="W1177" s="11"/>
      <c r="X1177" s="118"/>
      <c r="Y1177" s="118"/>
      <c r="Z1177" s="118"/>
      <c r="AA1177" s="118"/>
    </row>
    <row r="1178" spans="1:29" ht="15.6" x14ac:dyDescent="0.3">
      <c r="A1178" s="278">
        <v>43642</v>
      </c>
      <c r="B1178" s="217" t="s">
        <v>174</v>
      </c>
      <c r="C1178" s="44" t="s">
        <v>176</v>
      </c>
      <c r="D1178" s="44" t="s">
        <v>175</v>
      </c>
      <c r="E1178" s="61" t="s">
        <v>186</v>
      </c>
      <c r="F1178">
        <v>6978.99</v>
      </c>
      <c r="G1178">
        <v>6961.94</v>
      </c>
      <c r="H1178">
        <v>6961.8</v>
      </c>
      <c r="I1178">
        <v>6936.6</v>
      </c>
      <c r="J1178">
        <v>6876.21</v>
      </c>
      <c r="K1178">
        <v>6949.67</v>
      </c>
      <c r="L1178">
        <v>6932.52</v>
      </c>
      <c r="M1178">
        <v>6976.34</v>
      </c>
      <c r="N1178">
        <v>6992.81</v>
      </c>
      <c r="O1178" s="59">
        <f>IF((N1179=""),"",MAX(F1180:N1180))</f>
        <v>4069.2200000000012</v>
      </c>
      <c r="P1178" s="59">
        <f>IF(N1179="","",MIN(F1180:N1180))</f>
        <v>3767.1399999999994</v>
      </c>
      <c r="Q1178" s="60">
        <f>IF((N1180=""),"",AVERAGE(F1180:N1180))</f>
        <v>3962.6666666666665</v>
      </c>
      <c r="R1178" s="60">
        <f>IF((N1179=""),"",(O1178-P1178)/(O1178+P1178)*100)</f>
        <v>3.8548509767290136</v>
      </c>
      <c r="S1178" s="131">
        <f>STDEV(F1180:N1180)</f>
        <v>103.13736956118321</v>
      </c>
      <c r="T1178" s="137" t="str">
        <f>IF(N1179="","",IF(Q1178&gt;3650,IF(R1178&lt;7,IF(Q1178&lt;4450,"Pass","Fail"),"Fail"),"Fail"))</f>
        <v>Pass</v>
      </c>
      <c r="U1178" s="149">
        <v>1340</v>
      </c>
      <c r="V1178" s="127" t="s">
        <v>290</v>
      </c>
      <c r="W1178" s="11"/>
      <c r="X1178" s="116">
        <v>3650</v>
      </c>
      <c r="Y1178" s="116">
        <v>4450</v>
      </c>
      <c r="Z1178" s="116">
        <v>3700</v>
      </c>
      <c r="AA1178" s="116">
        <v>4100</v>
      </c>
      <c r="AB1178" s="31">
        <v>7</v>
      </c>
      <c r="AC1178" s="31">
        <v>6.5</v>
      </c>
    </row>
    <row r="1179" spans="1:29" ht="15.6" x14ac:dyDescent="0.3">
      <c r="A1179" s="212"/>
      <c r="B1179" s="24"/>
      <c r="C1179" s="6"/>
      <c r="D1179" s="6"/>
      <c r="E1179" s="61" t="s">
        <v>187</v>
      </c>
      <c r="F1179">
        <v>5064.46</v>
      </c>
      <c r="G1179">
        <v>4953.38</v>
      </c>
      <c r="H1179">
        <v>4940.47</v>
      </c>
      <c r="I1179">
        <v>4928.1000000000004</v>
      </c>
      <c r="J1179">
        <v>4917.95</v>
      </c>
      <c r="K1179">
        <v>5066.1000000000004</v>
      </c>
      <c r="L1179">
        <v>4929.54</v>
      </c>
      <c r="M1179">
        <v>4941.7299999999996</v>
      </c>
      <c r="N1179">
        <v>4993.1499999999996</v>
      </c>
      <c r="O1179" s="61"/>
      <c r="P1179" s="61"/>
      <c r="Q1179" s="62"/>
      <c r="R1179" s="62"/>
      <c r="S1179" s="139"/>
      <c r="T1179" s="8"/>
      <c r="U1179" s="146"/>
      <c r="V1179" s="127"/>
      <c r="W1179" s="11"/>
      <c r="X1179" s="118"/>
      <c r="Y1179" s="118"/>
      <c r="Z1179" s="118"/>
      <c r="AA1179" s="118"/>
    </row>
    <row r="1180" spans="1:29" ht="23.4" thickBot="1" x14ac:dyDescent="0.35">
      <c r="A1180" s="212"/>
      <c r="B1180" s="24"/>
      <c r="C1180" s="6"/>
      <c r="D1180" s="6"/>
      <c r="E1180" s="61" t="s">
        <v>188</v>
      </c>
      <c r="F1180" s="40">
        <f t="shared" ref="F1180:N1180" si="388">IF(((F1178="")*AND(F1179="")),"",(F1178-F1179)*2)</f>
        <v>3829.0599999999995</v>
      </c>
      <c r="G1180" s="40">
        <f t="shared" si="388"/>
        <v>4017.119999999999</v>
      </c>
      <c r="H1180" s="40">
        <f t="shared" si="388"/>
        <v>4042.66</v>
      </c>
      <c r="I1180" s="40">
        <f t="shared" si="388"/>
        <v>4017</v>
      </c>
      <c r="J1180" s="40">
        <f t="shared" si="388"/>
        <v>3916.5200000000004</v>
      </c>
      <c r="K1180" s="40">
        <f t="shared" si="388"/>
        <v>3767.1399999999994</v>
      </c>
      <c r="L1180" s="40">
        <f t="shared" si="388"/>
        <v>4005.9600000000009</v>
      </c>
      <c r="M1180" s="40">
        <f t="shared" si="388"/>
        <v>4069.2200000000012</v>
      </c>
      <c r="N1180" s="40">
        <f t="shared" si="388"/>
        <v>3999.3200000000015</v>
      </c>
      <c r="O1180" s="61"/>
      <c r="P1180" s="61"/>
      <c r="Q1180" s="62"/>
      <c r="R1180" s="62"/>
      <c r="S1180" s="139"/>
      <c r="T1180" s="8"/>
      <c r="U1180" s="146"/>
      <c r="V1180" s="127"/>
      <c r="W1180" s="11"/>
      <c r="X1180" s="118"/>
      <c r="Y1180" s="118"/>
      <c r="Z1180" s="118"/>
      <c r="AA1180" s="118"/>
    </row>
    <row r="1181" spans="1:29" ht="15.6" x14ac:dyDescent="0.3">
      <c r="A1181" s="278">
        <v>43642</v>
      </c>
      <c r="B1181" s="215" t="s">
        <v>169</v>
      </c>
      <c r="C1181" s="6" t="s">
        <v>171</v>
      </c>
      <c r="D1181" s="6" t="s">
        <v>189</v>
      </c>
      <c r="E1181" s="61" t="s">
        <v>186</v>
      </c>
      <c r="F1181">
        <v>1262.8800000000001</v>
      </c>
      <c r="G1181">
        <v>1248.0899999999999</v>
      </c>
      <c r="H1181">
        <v>1245.3800000000001</v>
      </c>
      <c r="I1181">
        <v>1247.25</v>
      </c>
      <c r="J1181">
        <v>1264.76</v>
      </c>
      <c r="K1181">
        <v>1275.44</v>
      </c>
      <c r="L1181">
        <v>1250.4000000000001</v>
      </c>
      <c r="M1181">
        <v>1242.71</v>
      </c>
      <c r="N1181">
        <v>1261.79</v>
      </c>
      <c r="O1181" s="61">
        <f>IF((N1182=""),"",MAX(F1183:N1183))</f>
        <v>2060.4</v>
      </c>
      <c r="P1181" s="61">
        <f>IF(N1182="","",MIN(F1183:N1183))</f>
        <v>1991.4599999999998</v>
      </c>
      <c r="Q1181" s="62">
        <f>IF((N1183=""),"",AVERAGE(F1183:N1183))</f>
        <v>2031.7033333333336</v>
      </c>
      <c r="R1181" s="62">
        <f>IF((N1182=""),"",(O1181-P1181)/(O1181+P1181)*100)</f>
        <v>1.7014408197716675</v>
      </c>
      <c r="S1181" s="139">
        <f>STDEV(F1183:N1183)</f>
        <v>25.769598852135825</v>
      </c>
      <c r="T1181" s="5" t="str">
        <f>IF(N1182="","",IF(Q1181&gt;1940,IF(R1181&lt;8.3,IF(Q1181&lt;2180,"Pass","Fail"),"Fail"),"Fail"))</f>
        <v>Pass</v>
      </c>
      <c r="U1181" s="149">
        <v>1340</v>
      </c>
      <c r="V1181" s="127" t="s">
        <v>290</v>
      </c>
      <c r="W1181" s="11"/>
      <c r="X1181" s="116">
        <v>2000</v>
      </c>
      <c r="Y1181" s="116">
        <v>3000</v>
      </c>
      <c r="Z1181" s="116">
        <v>1940</v>
      </c>
      <c r="AA1181" s="116">
        <v>2180</v>
      </c>
      <c r="AB1181" s="31">
        <v>5.2</v>
      </c>
      <c r="AC1181" s="31">
        <v>5.2</v>
      </c>
    </row>
    <row r="1182" spans="1:29" ht="15.6" x14ac:dyDescent="0.3">
      <c r="A1182" s="212"/>
      <c r="B1182" s="24"/>
      <c r="C1182" s="6"/>
      <c r="D1182" s="6"/>
      <c r="E1182" s="61" t="s">
        <v>187</v>
      </c>
      <c r="F1182">
        <v>590.41</v>
      </c>
      <c r="G1182">
        <v>563.41999999999996</v>
      </c>
      <c r="H1182">
        <v>561.62</v>
      </c>
      <c r="I1182">
        <v>567.41</v>
      </c>
      <c r="J1182">
        <v>600.94000000000005</v>
      </c>
      <c r="K1182">
        <v>611.34</v>
      </c>
      <c r="L1182">
        <v>568.91</v>
      </c>
      <c r="M1182">
        <v>555.91</v>
      </c>
      <c r="N1182">
        <v>583.63</v>
      </c>
      <c r="O1182" s="61"/>
      <c r="P1182" s="61"/>
      <c r="Q1182" s="62"/>
      <c r="R1182" s="62"/>
      <c r="S1182" s="139"/>
      <c r="T1182" s="5"/>
      <c r="U1182" s="140"/>
      <c r="V1182" s="173"/>
      <c r="W1182" s="11"/>
      <c r="X1182" s="118"/>
      <c r="Y1182" s="118"/>
      <c r="Z1182" s="118"/>
      <c r="AA1182" s="118"/>
    </row>
    <row r="1183" spans="1:29" ht="16.2" thickBot="1" x14ac:dyDescent="0.35">
      <c r="A1183" s="212"/>
      <c r="B1183" s="24"/>
      <c r="C1183" s="6"/>
      <c r="D1183" s="6"/>
      <c r="E1183" s="61" t="s">
        <v>190</v>
      </c>
      <c r="F1183" s="40">
        <f t="shared" ref="F1183:N1183" si="389">IF(((F1181="")*AND(F1182="")),"",(F1181-F1182)*3)</f>
        <v>2017.4100000000003</v>
      </c>
      <c r="G1183" s="40">
        <f t="shared" si="389"/>
        <v>2054.0099999999998</v>
      </c>
      <c r="H1183" s="40">
        <f t="shared" si="389"/>
        <v>2051.2800000000002</v>
      </c>
      <c r="I1183" s="40">
        <f t="shared" si="389"/>
        <v>2039.52</v>
      </c>
      <c r="J1183" s="40">
        <f t="shared" si="389"/>
        <v>1991.4599999999998</v>
      </c>
      <c r="K1183" s="40">
        <f t="shared" si="389"/>
        <v>1992.3000000000002</v>
      </c>
      <c r="L1183" s="40">
        <f t="shared" si="389"/>
        <v>2044.4700000000003</v>
      </c>
      <c r="M1183" s="40">
        <f t="shared" si="389"/>
        <v>2060.4</v>
      </c>
      <c r="N1183" s="40">
        <f t="shared" si="389"/>
        <v>2034.48</v>
      </c>
      <c r="O1183" s="61"/>
      <c r="P1183" s="61"/>
      <c r="Q1183" s="62"/>
      <c r="R1183" s="62"/>
      <c r="S1183" s="139"/>
      <c r="T1183" s="5"/>
      <c r="U1183" s="140"/>
      <c r="V1183" s="173"/>
      <c r="W1183" s="11"/>
      <c r="X1183" s="118"/>
      <c r="Y1183" s="118"/>
      <c r="Z1183" s="118"/>
      <c r="AA1183" s="118"/>
    </row>
    <row r="1184" spans="1:29" ht="15.6" x14ac:dyDescent="0.3">
      <c r="A1184" s="278">
        <v>43642</v>
      </c>
      <c r="B1184" s="218" t="s">
        <v>185</v>
      </c>
      <c r="C1184" s="6" t="s">
        <v>173</v>
      </c>
      <c r="D1184" s="6" t="s">
        <v>172</v>
      </c>
      <c r="E1184" s="61" t="s">
        <v>186</v>
      </c>
      <c r="F1184">
        <v>24567.81</v>
      </c>
      <c r="G1184">
        <v>24851.82</v>
      </c>
      <c r="H1184">
        <v>24902.57</v>
      </c>
      <c r="I1184">
        <v>24815.86</v>
      </c>
      <c r="J1184">
        <v>24496.74</v>
      </c>
      <c r="K1184">
        <v>24533.1</v>
      </c>
      <c r="L1184">
        <v>24849.02</v>
      </c>
      <c r="M1184">
        <v>24801.119999999999</v>
      </c>
      <c r="N1184">
        <v>24478.53</v>
      </c>
      <c r="O1184" s="61">
        <f>IF((N1185=""),"",MAX(F1186:N1186))</f>
        <v>4833.9900000000052</v>
      </c>
      <c r="P1184" s="61">
        <f>IF(N1185="","",MIN(F1186:N1186))</f>
        <v>4173.2999999999956</v>
      </c>
      <c r="Q1184" s="62">
        <f>IF((N1186=""),"",AVERAGE(F1186:N1186))</f>
        <v>4485.4933333333338</v>
      </c>
      <c r="R1184" s="62">
        <f>IF((N1185=""),"",(O1184-P1184)/(O1184+P1184)*100)</f>
        <v>7.3350586025320546</v>
      </c>
      <c r="S1184" s="139">
        <f>STDEV(F1186:N1186)</f>
        <v>270.03258099718335</v>
      </c>
      <c r="T1184" s="5" t="str">
        <f>IF(N1185="","",IF(R1184&lt;16,IF(Q1184&gt;3200,IF(R1184,IF(Q1184&lt;5240,"Pass","Fail"),"Fail"),"Fail")))</f>
        <v>Pass</v>
      </c>
      <c r="U1184" s="149">
        <v>1340</v>
      </c>
      <c r="V1184" s="127" t="s">
        <v>290</v>
      </c>
      <c r="W1184" s="11"/>
      <c r="X1184" s="116">
        <v>4200</v>
      </c>
      <c r="Y1184" s="116">
        <v>5500</v>
      </c>
      <c r="Z1184" s="116">
        <v>3200</v>
      </c>
      <c r="AA1184" s="116">
        <v>5240</v>
      </c>
      <c r="AB1184" s="31">
        <v>16</v>
      </c>
      <c r="AC1184" s="31">
        <v>16</v>
      </c>
    </row>
    <row r="1185" spans="1:29" ht="15.6" x14ac:dyDescent="0.3">
      <c r="A1185" s="212"/>
      <c r="B1185" s="24"/>
      <c r="C1185" s="6"/>
      <c r="D1185" s="6"/>
      <c r="E1185" s="61" t="s">
        <v>187</v>
      </c>
      <c r="F1185">
        <v>23000.11</v>
      </c>
      <c r="G1185">
        <v>23431.119999999999</v>
      </c>
      <c r="H1185">
        <v>23511.47</v>
      </c>
      <c r="I1185">
        <v>23381.360000000001</v>
      </c>
      <c r="J1185">
        <v>22885.41</v>
      </c>
      <c r="K1185">
        <v>22962.55</v>
      </c>
      <c r="L1185">
        <v>23424.92</v>
      </c>
      <c r="M1185">
        <v>23367.15</v>
      </c>
      <c r="N1185">
        <v>22876</v>
      </c>
      <c r="O1185" s="127"/>
      <c r="P1185" s="61"/>
      <c r="Q1185" s="62"/>
      <c r="R1185" s="62"/>
      <c r="S1185" s="139"/>
      <c r="T1185" s="5"/>
      <c r="U1185" s="140"/>
      <c r="V1185" s="173"/>
      <c r="W1185" s="11"/>
      <c r="X1185" s="118"/>
      <c r="Y1185" s="118"/>
      <c r="Z1185" s="118"/>
      <c r="AA1185" s="118"/>
    </row>
    <row r="1186" spans="1:29" ht="23.4" thickBot="1" x14ac:dyDescent="0.35">
      <c r="A1186" s="213"/>
      <c r="B1186" s="63"/>
      <c r="C1186" s="64"/>
      <c r="D1186" s="64"/>
      <c r="E1186" s="61" t="s">
        <v>188</v>
      </c>
      <c r="F1186" s="53">
        <f t="shared" ref="F1186:N1186" si="390">IF(((F1184="")*AND(F1185="")),"",(F1184-F1185)*3)</f>
        <v>4703.1000000000022</v>
      </c>
      <c r="G1186" s="53">
        <f t="shared" si="390"/>
        <v>4262.1000000000022</v>
      </c>
      <c r="H1186" s="53">
        <f t="shared" si="390"/>
        <v>4173.2999999999956</v>
      </c>
      <c r="I1186" s="53">
        <f t="shared" si="390"/>
        <v>4303.5</v>
      </c>
      <c r="J1186" s="53">
        <f t="shared" si="390"/>
        <v>4833.9900000000052</v>
      </c>
      <c r="K1186" s="53">
        <f t="shared" si="390"/>
        <v>4711.6499999999978</v>
      </c>
      <c r="L1186" s="53">
        <f t="shared" si="390"/>
        <v>4272.3000000000065</v>
      </c>
      <c r="M1186" s="53">
        <f t="shared" si="390"/>
        <v>4301.9099999999926</v>
      </c>
      <c r="N1186" s="53">
        <f t="shared" si="390"/>
        <v>4807.5899999999965</v>
      </c>
      <c r="O1186" s="65"/>
      <c r="P1186" s="65"/>
      <c r="Q1186" s="66"/>
      <c r="R1186" s="66"/>
      <c r="S1186" s="142"/>
      <c r="T1186" s="143"/>
      <c r="U1186" s="144"/>
      <c r="V1186" s="173"/>
      <c r="W1186" s="11"/>
      <c r="X1186" s="118"/>
      <c r="Y1186" s="118"/>
      <c r="Z1186" s="118"/>
      <c r="AA1186" s="118"/>
    </row>
    <row r="1187" spans="1:29" ht="15.6" x14ac:dyDescent="0.3">
      <c r="A1187" s="278">
        <v>43644</v>
      </c>
      <c r="B1187" s="217" t="s">
        <v>174</v>
      </c>
      <c r="C1187" s="44" t="s">
        <v>176</v>
      </c>
      <c r="D1187" s="44" t="s">
        <v>175</v>
      </c>
      <c r="E1187" s="61" t="s">
        <v>186</v>
      </c>
      <c r="F1187">
        <v>5071.49</v>
      </c>
      <c r="G1187">
        <v>4960.3500000000004</v>
      </c>
      <c r="H1187">
        <v>4947.32</v>
      </c>
      <c r="I1187">
        <v>4935.18</v>
      </c>
      <c r="J1187">
        <v>4924.8</v>
      </c>
      <c r="K1187">
        <v>5072.54</v>
      </c>
      <c r="L1187">
        <v>4936.45</v>
      </c>
      <c r="M1187">
        <v>4948.29</v>
      </c>
      <c r="N1187">
        <v>4999.74</v>
      </c>
      <c r="O1187" s="59">
        <f>IF((N1188=""),"",MAX(F1189:N1189))</f>
        <v>3912.58</v>
      </c>
      <c r="P1187" s="59">
        <f>IF(N1188="","",MIN(F1189:N1189))</f>
        <v>3539.9399999999996</v>
      </c>
      <c r="Q1187" s="60">
        <f>IF((N1189=""),"",AVERAGE(F1189:N1189))</f>
        <v>3774.0066666666662</v>
      </c>
      <c r="R1187" s="60">
        <f>IF((N1188=""),"",(O1187-P1187)/(O1187+P1187)*100)</f>
        <v>5.0001878559198811</v>
      </c>
      <c r="S1187" s="131">
        <f>STDEV(F1189:N1189)</f>
        <v>133.67954069340627</v>
      </c>
      <c r="T1187" s="137" t="str">
        <f>IF(N1188="","",IF(Q1187&gt;3650,IF(R1187&lt;7,IF(Q1187&lt;4450,"Pass","Fail"),"Fail"),"Fail"))</f>
        <v>Pass</v>
      </c>
      <c r="U1187" s="149">
        <v>1159</v>
      </c>
      <c r="V1187" s="127"/>
      <c r="W1187" s="11" t="s">
        <v>292</v>
      </c>
      <c r="X1187" s="116">
        <v>3650</v>
      </c>
      <c r="Y1187" s="116">
        <v>4450</v>
      </c>
      <c r="Z1187" s="116">
        <v>3700</v>
      </c>
      <c r="AA1187" s="116">
        <v>4100</v>
      </c>
      <c r="AB1187" s="31">
        <v>7</v>
      </c>
      <c r="AC1187" s="31">
        <v>6.5</v>
      </c>
    </row>
    <row r="1188" spans="1:29" ht="15.6" x14ac:dyDescent="0.3">
      <c r="A1188" s="212"/>
      <c r="B1188" s="24"/>
      <c r="C1188" s="6"/>
      <c r="D1188" s="6"/>
      <c r="E1188" s="61" t="s">
        <v>187</v>
      </c>
      <c r="F1188">
        <v>3270.69</v>
      </c>
      <c r="G1188">
        <v>3031.89</v>
      </c>
      <c r="H1188">
        <v>2999.77</v>
      </c>
      <c r="I1188">
        <v>3003.27</v>
      </c>
      <c r="J1188">
        <v>3070.12</v>
      </c>
      <c r="K1188">
        <v>3302.57</v>
      </c>
      <c r="L1188">
        <v>3015.49</v>
      </c>
      <c r="M1188">
        <v>2992</v>
      </c>
      <c r="N1188">
        <v>3127.33</v>
      </c>
      <c r="O1188" s="61"/>
      <c r="P1188" s="61"/>
      <c r="Q1188" s="62"/>
      <c r="R1188" s="62"/>
      <c r="S1188" s="139"/>
      <c r="T1188" s="8"/>
      <c r="U1188" s="146"/>
      <c r="V1188" s="127"/>
      <c r="W1188" s="11"/>
      <c r="X1188" s="118"/>
      <c r="Y1188" s="118"/>
      <c r="Z1188" s="118"/>
      <c r="AA1188" s="118"/>
    </row>
    <row r="1189" spans="1:29" ht="23.4" thickBot="1" x14ac:dyDescent="0.35">
      <c r="A1189" s="212"/>
      <c r="B1189" s="24"/>
      <c r="C1189" s="6"/>
      <c r="D1189" s="6"/>
      <c r="E1189" s="61" t="s">
        <v>188</v>
      </c>
      <c r="F1189" s="40">
        <f t="shared" ref="F1189:N1189" si="391">IF(((F1187="")*AND(F1188="")),"",(F1187-F1188)*2)</f>
        <v>3601.5999999999995</v>
      </c>
      <c r="G1189" s="40">
        <f t="shared" si="391"/>
        <v>3856.920000000001</v>
      </c>
      <c r="H1189" s="40">
        <f t="shared" si="391"/>
        <v>3895.0999999999995</v>
      </c>
      <c r="I1189" s="40">
        <f t="shared" si="391"/>
        <v>3863.8200000000006</v>
      </c>
      <c r="J1189" s="40">
        <f t="shared" si="391"/>
        <v>3709.3600000000006</v>
      </c>
      <c r="K1189" s="40">
        <f t="shared" si="391"/>
        <v>3539.9399999999996</v>
      </c>
      <c r="L1189" s="40">
        <f t="shared" si="391"/>
        <v>3841.92</v>
      </c>
      <c r="M1189" s="40">
        <f t="shared" si="391"/>
        <v>3912.58</v>
      </c>
      <c r="N1189" s="40">
        <f t="shared" si="391"/>
        <v>3744.8199999999997</v>
      </c>
      <c r="O1189" s="61"/>
      <c r="P1189" s="61"/>
      <c r="Q1189" s="62"/>
      <c r="R1189" s="62"/>
      <c r="S1189" s="139"/>
      <c r="T1189" s="8"/>
      <c r="U1189" s="146"/>
      <c r="V1189" s="127"/>
      <c r="W1189" s="11"/>
      <c r="X1189" s="118"/>
      <c r="Y1189" s="118"/>
      <c r="Z1189" s="118"/>
      <c r="AA1189" s="118"/>
    </row>
    <row r="1190" spans="1:29" ht="15.6" x14ac:dyDescent="0.3">
      <c r="A1190" s="278">
        <v>43644</v>
      </c>
      <c r="B1190" s="215" t="s">
        <v>169</v>
      </c>
      <c r="C1190" s="6" t="s">
        <v>171</v>
      </c>
      <c r="D1190" s="6" t="s">
        <v>189</v>
      </c>
      <c r="E1190" s="61" t="s">
        <v>186</v>
      </c>
      <c r="F1190">
        <v>1963.71</v>
      </c>
      <c r="G1190">
        <v>1958.24</v>
      </c>
      <c r="H1190">
        <v>1953.49</v>
      </c>
      <c r="I1190">
        <v>1956.47</v>
      </c>
      <c r="J1190">
        <v>1966.5</v>
      </c>
      <c r="K1190">
        <v>1971.93</v>
      </c>
      <c r="L1190">
        <v>1963.34</v>
      </c>
      <c r="M1190">
        <v>1954.79</v>
      </c>
      <c r="N1190">
        <v>1959.51</v>
      </c>
      <c r="O1190" s="61">
        <f>IF((N1191=""),"",MAX(F1192:N1192))</f>
        <v>2084.0399999999995</v>
      </c>
      <c r="P1190" s="61">
        <f>IF(N1191="","",MIN(F1192:N1192))</f>
        <v>2008.9200000000003</v>
      </c>
      <c r="Q1190" s="62">
        <f>IF((N1192=""),"",AVERAGE(F1192:N1192))</f>
        <v>2057.4233333333332</v>
      </c>
      <c r="R1190" s="62">
        <f>IF((N1191=""),"",(O1190-P1190)/(O1190+P1190)*100)</f>
        <v>1.8353465462647867</v>
      </c>
      <c r="S1190" s="139">
        <f>STDEV(F1192:N1192)</f>
        <v>26.504353887616123</v>
      </c>
      <c r="T1190" s="5" t="str">
        <f>IF(N1191="","",IF(Q1190&gt;1940,IF(R1190&lt;8.3,IF(Q1190&lt;2180,"Pass","Fail"),"Fail"),"Fail"))</f>
        <v>Pass</v>
      </c>
      <c r="U1190" s="149">
        <v>1159</v>
      </c>
      <c r="V1190" s="127"/>
      <c r="W1190" s="11" t="s">
        <v>292</v>
      </c>
      <c r="X1190" s="116">
        <v>2000</v>
      </c>
      <c r="Y1190" s="116">
        <v>3000</v>
      </c>
      <c r="Z1190" s="116">
        <v>1940</v>
      </c>
      <c r="AA1190" s="116">
        <v>2180</v>
      </c>
      <c r="AB1190" s="31">
        <v>5.2</v>
      </c>
      <c r="AC1190" s="31">
        <v>5.2</v>
      </c>
    </row>
    <row r="1191" spans="1:29" ht="15.6" x14ac:dyDescent="0.3">
      <c r="A1191" s="212"/>
      <c r="B1191" s="24"/>
      <c r="C1191" s="6"/>
      <c r="D1191" s="6"/>
      <c r="E1191" s="61" t="s">
        <v>187</v>
      </c>
      <c r="F1191">
        <v>1287.9000000000001</v>
      </c>
      <c r="G1191">
        <v>1265.82</v>
      </c>
      <c r="H1191">
        <v>1260.9000000000001</v>
      </c>
      <c r="I1191">
        <v>1266.25</v>
      </c>
      <c r="J1191">
        <v>1285.8399999999999</v>
      </c>
      <c r="K1191">
        <v>1302.29</v>
      </c>
      <c r="L1191">
        <v>1268.6600000000001</v>
      </c>
      <c r="M1191">
        <v>1262.31</v>
      </c>
      <c r="N1191">
        <v>1275.74</v>
      </c>
      <c r="O1191" s="61"/>
      <c r="P1191" s="61"/>
      <c r="Q1191" s="62"/>
      <c r="R1191" s="62"/>
      <c r="S1191" s="139"/>
      <c r="T1191" s="5"/>
      <c r="U1191" s="140"/>
      <c r="V1191" s="173"/>
      <c r="W1191" s="11"/>
      <c r="X1191" s="118"/>
      <c r="Y1191" s="118"/>
      <c r="Z1191" s="118"/>
      <c r="AA1191" s="118"/>
    </row>
    <row r="1192" spans="1:29" ht="16.2" thickBot="1" x14ac:dyDescent="0.35">
      <c r="A1192" s="212"/>
      <c r="B1192" s="24"/>
      <c r="C1192" s="6"/>
      <c r="D1192" s="6"/>
      <c r="E1192" s="61" t="s">
        <v>190</v>
      </c>
      <c r="F1192" s="40">
        <f t="shared" ref="F1192:N1192" si="392">IF(((F1190="")*AND(F1191="")),"",(F1190-F1191)*3)</f>
        <v>2027.4299999999998</v>
      </c>
      <c r="G1192" s="40">
        <f t="shared" si="392"/>
        <v>2077.2600000000002</v>
      </c>
      <c r="H1192" s="40">
        <f t="shared" si="392"/>
        <v>2077.7699999999995</v>
      </c>
      <c r="I1192" s="40">
        <f t="shared" si="392"/>
        <v>2070.66</v>
      </c>
      <c r="J1192" s="40">
        <f t="shared" si="392"/>
        <v>2041.9800000000002</v>
      </c>
      <c r="K1192" s="40">
        <f t="shared" si="392"/>
        <v>2008.9200000000003</v>
      </c>
      <c r="L1192" s="40">
        <f t="shared" si="392"/>
        <v>2084.0399999999995</v>
      </c>
      <c r="M1192" s="40">
        <f t="shared" si="392"/>
        <v>2077.44</v>
      </c>
      <c r="N1192" s="40">
        <f t="shared" si="392"/>
        <v>2051.31</v>
      </c>
      <c r="O1192" s="61"/>
      <c r="P1192" s="61"/>
      <c r="Q1192" s="62"/>
      <c r="R1192" s="62"/>
      <c r="S1192" s="139"/>
      <c r="T1192" s="5"/>
      <c r="U1192" s="140"/>
      <c r="V1192" s="173"/>
      <c r="W1192" s="11"/>
      <c r="X1192" s="118"/>
      <c r="Y1192" s="118"/>
      <c r="Z1192" s="118"/>
      <c r="AA1192" s="118"/>
    </row>
    <row r="1193" spans="1:29" ht="15.6" x14ac:dyDescent="0.3">
      <c r="A1193" s="278">
        <v>43644</v>
      </c>
      <c r="B1193" s="218" t="s">
        <v>185</v>
      </c>
      <c r="C1193" s="6" t="s">
        <v>173</v>
      </c>
      <c r="D1193" s="6" t="s">
        <v>172</v>
      </c>
      <c r="E1193" s="61" t="s">
        <v>186</v>
      </c>
      <c r="F1193">
        <v>29183.08</v>
      </c>
      <c r="G1193">
        <v>29042.9</v>
      </c>
      <c r="H1193">
        <v>29003.75</v>
      </c>
      <c r="I1193">
        <v>29028.76</v>
      </c>
      <c r="J1193">
        <v>29146.04</v>
      </c>
      <c r="K1193">
        <v>29165.17</v>
      </c>
      <c r="L1193">
        <v>29025.69</v>
      </c>
      <c r="M1193">
        <v>29024.98</v>
      </c>
      <c r="N1193">
        <v>29182.65</v>
      </c>
      <c r="O1193" s="61">
        <f>IF((N1194=""),"",MAX(F1195:N1195))</f>
        <v>4500.8100000000013</v>
      </c>
      <c r="P1193" s="61">
        <f>IF(N1194="","",MIN(F1195:N1195))</f>
        <v>3942.0899999999965</v>
      </c>
      <c r="Q1193" s="62">
        <f>IF((N1195=""),"",AVERAGE(F1195:N1195))</f>
        <v>4207.5566666666646</v>
      </c>
      <c r="R1193" s="62">
        <f>IF((N1194=""),"",(O1193-P1193)/(O1193+P1193)*100)</f>
        <v>6.6176313825818731</v>
      </c>
      <c r="S1193" s="139">
        <f>STDEV(F1195:N1195)</f>
        <v>215.62044592292438</v>
      </c>
      <c r="T1193" s="5" t="str">
        <f>IF(N1194="","",IF(R1193&lt;16,IF(Q1193&gt;3200,IF(R1193,IF(Q1193&lt;5240,"Pass","Fail"),"Fail"),"Fail")))</f>
        <v>Pass</v>
      </c>
      <c r="U1193" s="149">
        <v>1159</v>
      </c>
      <c r="V1193" s="127"/>
      <c r="W1193" s="11" t="s">
        <v>292</v>
      </c>
      <c r="X1193" s="116">
        <v>4200</v>
      </c>
      <c r="Y1193" s="116">
        <v>5500</v>
      </c>
      <c r="Z1193" s="116">
        <v>3200</v>
      </c>
      <c r="AA1193" s="116">
        <v>5240</v>
      </c>
      <c r="AB1193" s="31">
        <v>16</v>
      </c>
      <c r="AC1193" s="31">
        <v>16</v>
      </c>
    </row>
    <row r="1194" spans="1:29" ht="15.6" x14ac:dyDescent="0.3">
      <c r="A1194" s="212"/>
      <c r="B1194" s="24"/>
      <c r="C1194" s="6"/>
      <c r="D1194" s="6"/>
      <c r="E1194" s="61" t="s">
        <v>187</v>
      </c>
      <c r="F1194">
        <v>27695.25</v>
      </c>
      <c r="G1194">
        <v>27678.639999999999</v>
      </c>
      <c r="H1194">
        <v>27689.72</v>
      </c>
      <c r="I1194">
        <v>27676.84</v>
      </c>
      <c r="J1194">
        <v>27696.15</v>
      </c>
      <c r="K1194">
        <v>27701.7</v>
      </c>
      <c r="L1194">
        <v>27689.61</v>
      </c>
      <c r="M1194">
        <v>27670.06</v>
      </c>
      <c r="N1194">
        <v>27682.38</v>
      </c>
      <c r="O1194" s="127"/>
      <c r="P1194" s="61"/>
      <c r="Q1194" s="62"/>
      <c r="R1194" s="62"/>
      <c r="S1194" s="139"/>
      <c r="T1194" s="5"/>
      <c r="U1194" s="140"/>
      <c r="V1194" s="173"/>
    </row>
    <row r="1195" spans="1:29" ht="23.4" thickBot="1" x14ac:dyDescent="0.35">
      <c r="A1195" s="212"/>
      <c r="B1195" s="63"/>
      <c r="C1195" s="64"/>
      <c r="D1195" s="64"/>
      <c r="E1195" s="61" t="s">
        <v>188</v>
      </c>
      <c r="F1195" s="53">
        <f t="shared" ref="F1195:N1195" si="393">IF(((F1193="")*AND(F1194="")),"",(F1193-F1194)*3)</f>
        <v>4463.4900000000052</v>
      </c>
      <c r="G1195" s="53">
        <f t="shared" si="393"/>
        <v>4092.7800000000061</v>
      </c>
      <c r="H1195" s="53">
        <f t="shared" si="393"/>
        <v>3942.0899999999965</v>
      </c>
      <c r="I1195" s="53">
        <f t="shared" si="393"/>
        <v>4055.7599999999948</v>
      </c>
      <c r="J1195" s="53">
        <f t="shared" si="393"/>
        <v>4349.6699999999983</v>
      </c>
      <c r="K1195" s="53">
        <f t="shared" si="393"/>
        <v>4390.4099999999926</v>
      </c>
      <c r="L1195" s="53">
        <f t="shared" si="393"/>
        <v>4008.2399999999943</v>
      </c>
      <c r="M1195" s="53">
        <f t="shared" si="393"/>
        <v>4064.7599999999948</v>
      </c>
      <c r="N1195" s="53">
        <f t="shared" si="393"/>
        <v>4500.8100000000013</v>
      </c>
      <c r="O1195" s="65"/>
      <c r="P1195" s="65"/>
      <c r="Q1195" s="66"/>
      <c r="R1195" s="66"/>
      <c r="S1195" s="142"/>
      <c r="T1195" s="143"/>
      <c r="U1195" s="144"/>
      <c r="V1195" s="173"/>
    </row>
    <row r="1196" spans="1:29" ht="15.6" x14ac:dyDescent="0.3">
      <c r="A1196" s="278">
        <v>43647</v>
      </c>
      <c r="B1196" s="217" t="s">
        <v>174</v>
      </c>
      <c r="C1196" s="44" t="s">
        <v>176</v>
      </c>
      <c r="D1196" s="44" t="s">
        <v>175</v>
      </c>
      <c r="E1196" s="61" t="s">
        <v>186</v>
      </c>
      <c r="F1196">
        <v>6909.26</v>
      </c>
      <c r="G1196">
        <v>6880.72</v>
      </c>
      <c r="H1196">
        <v>6908.91</v>
      </c>
      <c r="I1196">
        <v>6873.92</v>
      </c>
      <c r="J1196">
        <v>6942.44</v>
      </c>
      <c r="K1196">
        <v>6888.27</v>
      </c>
      <c r="L1196">
        <v>6874.11</v>
      </c>
      <c r="M1196">
        <v>6902.72</v>
      </c>
      <c r="N1196">
        <v>6985.49</v>
      </c>
      <c r="O1196" s="59">
        <f>IF((N1197=""),"",MAX(F1198:N1198))</f>
        <v>3917.880000000001</v>
      </c>
      <c r="P1196" s="59">
        <f>IF(N1197="","",MIN(F1198:N1198))</f>
        <v>3569.9400000000005</v>
      </c>
      <c r="Q1196" s="60">
        <f>IF((N1198=""),"",AVERAGE(F1198:N1198))</f>
        <v>3790.4622222222224</v>
      </c>
      <c r="R1196" s="60">
        <f>IF((N1197=""),"",(O1196-P1196)/(O1196+P1196)*100)</f>
        <v>4.6467463160172171</v>
      </c>
      <c r="S1196" s="131">
        <f>STDEV(F1198:N1198)</f>
        <v>124.45241156540305</v>
      </c>
      <c r="T1196" s="137" t="str">
        <f>IF(N1197="","",IF(Q1196&gt;3650,IF(R1196&lt;7,IF(Q1196&lt;4450,"Pass","Fail"),"Fail"),"Fail"))</f>
        <v>Pass</v>
      </c>
      <c r="U1196" s="149">
        <v>1428</v>
      </c>
      <c r="V1196" s="11" t="s">
        <v>300</v>
      </c>
      <c r="X1196" s="116">
        <v>3650</v>
      </c>
      <c r="Y1196" s="116">
        <v>4450</v>
      </c>
      <c r="Z1196" s="116">
        <v>3700</v>
      </c>
      <c r="AA1196" s="116">
        <v>4100</v>
      </c>
      <c r="AB1196" s="31">
        <v>7</v>
      </c>
      <c r="AC1196" s="31">
        <v>6.5</v>
      </c>
    </row>
    <row r="1197" spans="1:29" ht="15.6" x14ac:dyDescent="0.3">
      <c r="A1197" s="212"/>
      <c r="B1197" s="24"/>
      <c r="C1197" s="6"/>
      <c r="D1197" s="6"/>
      <c r="E1197" s="61" t="s">
        <v>187</v>
      </c>
      <c r="F1197">
        <v>5092.42</v>
      </c>
      <c r="G1197">
        <v>4948.93</v>
      </c>
      <c r="H1197">
        <v>4952.9399999999996</v>
      </c>
      <c r="I1197">
        <v>4938.75</v>
      </c>
      <c r="J1197">
        <v>5076.8900000000003</v>
      </c>
      <c r="K1197">
        <v>5103.3</v>
      </c>
      <c r="L1197">
        <v>4948.25</v>
      </c>
      <c r="M1197">
        <v>4943.78</v>
      </c>
      <c r="N1197">
        <v>5103.5</v>
      </c>
      <c r="O1197" s="61"/>
      <c r="P1197" s="61"/>
      <c r="Q1197" s="62"/>
      <c r="R1197" s="62"/>
      <c r="S1197" s="139"/>
      <c r="T1197" s="8"/>
      <c r="U1197" s="146"/>
      <c r="X1197" s="118"/>
      <c r="Y1197" s="118"/>
      <c r="Z1197" s="118"/>
      <c r="AA1197" s="118"/>
    </row>
    <row r="1198" spans="1:29" ht="23.4" thickBot="1" x14ac:dyDescent="0.35">
      <c r="A1198" s="212"/>
      <c r="B1198" s="24"/>
      <c r="C1198" s="6"/>
      <c r="D1198" s="6"/>
      <c r="E1198" s="61" t="s">
        <v>188</v>
      </c>
      <c r="F1198" s="40">
        <f t="shared" ref="F1198:N1198" si="394">IF(((F1196="")*AND(F1197="")),"",(F1196-F1197)*2)</f>
        <v>3633.6800000000003</v>
      </c>
      <c r="G1198" s="40">
        <f t="shared" si="394"/>
        <v>3863.58</v>
      </c>
      <c r="H1198" s="40">
        <f t="shared" si="394"/>
        <v>3911.9400000000005</v>
      </c>
      <c r="I1198" s="40">
        <f t="shared" si="394"/>
        <v>3870.34</v>
      </c>
      <c r="J1198" s="40">
        <f t="shared" si="394"/>
        <v>3731.0999999999985</v>
      </c>
      <c r="K1198" s="40">
        <f t="shared" si="394"/>
        <v>3569.9400000000005</v>
      </c>
      <c r="L1198" s="40">
        <f t="shared" si="394"/>
        <v>3851.7199999999993</v>
      </c>
      <c r="M1198" s="40">
        <f t="shared" si="394"/>
        <v>3917.880000000001</v>
      </c>
      <c r="N1198" s="40">
        <f t="shared" si="394"/>
        <v>3763.9799999999996</v>
      </c>
      <c r="O1198" s="61"/>
      <c r="P1198" s="61"/>
      <c r="Q1198" s="62"/>
      <c r="R1198" s="62"/>
      <c r="S1198" s="139"/>
      <c r="T1198" s="8"/>
      <c r="U1198" s="146"/>
      <c r="X1198" s="118"/>
      <c r="Y1198" s="118"/>
      <c r="Z1198" s="118"/>
      <c r="AA1198" s="118"/>
    </row>
    <row r="1199" spans="1:29" ht="15.6" x14ac:dyDescent="0.3">
      <c r="A1199" s="278">
        <v>43647</v>
      </c>
      <c r="B1199" s="215" t="s">
        <v>169</v>
      </c>
      <c r="C1199" s="6" t="s">
        <v>171</v>
      </c>
      <c r="D1199" s="6" t="s">
        <v>189</v>
      </c>
      <c r="E1199" s="61" t="s">
        <v>186</v>
      </c>
      <c r="F1199">
        <v>1968.16</v>
      </c>
      <c r="G1199">
        <v>1962.69</v>
      </c>
      <c r="H1199">
        <v>1961.03</v>
      </c>
      <c r="I1199">
        <v>1959.31</v>
      </c>
      <c r="J1199">
        <v>1965.29</v>
      </c>
      <c r="K1199">
        <v>1967.86</v>
      </c>
      <c r="L1199">
        <v>1963.26</v>
      </c>
      <c r="M1199">
        <v>1964.93</v>
      </c>
      <c r="N1199">
        <v>1966.01</v>
      </c>
      <c r="O1199" s="61">
        <f>IF((N1200=""),"",MAX(F1201:N1201))</f>
        <v>2096.6400000000003</v>
      </c>
      <c r="P1199" s="61">
        <f>IF(N1200="","",MIN(F1201:N1201))</f>
        <v>1997.0099999999995</v>
      </c>
      <c r="Q1199" s="62">
        <f>IF((N1201=""),"",AVERAGE(F1201:N1201))</f>
        <v>2060.813333333333</v>
      </c>
      <c r="R1199" s="62">
        <f>IF((N1200=""),"",(O1199-P1199)/(O1199+P1199)*100)</f>
        <v>2.4337693745190916</v>
      </c>
      <c r="S1199" s="139">
        <f>STDEV(F1201:N1201)</f>
        <v>34.65289850791725</v>
      </c>
      <c r="T1199" s="5" t="str">
        <f>IF(N1200="","",IF(Q1199&gt;1940,IF(R1199&lt;8.3,IF(Q1199&lt;2180,"Pass","Fail"),"Fail"),"Fail"))</f>
        <v>Pass</v>
      </c>
      <c r="U1199" s="149">
        <v>1428</v>
      </c>
      <c r="V1199" s="11" t="s">
        <v>300</v>
      </c>
      <c r="X1199" s="116">
        <v>2000</v>
      </c>
      <c r="Y1199" s="116">
        <v>3000</v>
      </c>
      <c r="Z1199" s="116">
        <v>1940</v>
      </c>
      <c r="AA1199" s="116">
        <v>2180</v>
      </c>
      <c r="AB1199" s="31">
        <v>5.2</v>
      </c>
      <c r="AC1199" s="31">
        <v>5.2</v>
      </c>
    </row>
    <row r="1200" spans="1:29" ht="15.6" x14ac:dyDescent="0.3">
      <c r="A1200" s="212"/>
      <c r="B1200" s="24"/>
      <c r="C1200" s="6"/>
      <c r="D1200" s="6"/>
      <c r="E1200" s="61" t="s">
        <v>187</v>
      </c>
      <c r="F1200">
        <v>1280.94</v>
      </c>
      <c r="G1200">
        <v>1267.24</v>
      </c>
      <c r="H1200">
        <v>1263.73</v>
      </c>
      <c r="I1200">
        <v>1271.3599999999999</v>
      </c>
      <c r="J1200">
        <v>1294.92</v>
      </c>
      <c r="K1200">
        <v>1302.19</v>
      </c>
      <c r="L1200">
        <v>1272.8900000000001</v>
      </c>
      <c r="M1200">
        <v>1266.05</v>
      </c>
      <c r="N1200">
        <v>1276.78</v>
      </c>
      <c r="O1200" s="61"/>
      <c r="P1200" s="61"/>
      <c r="Q1200" s="62"/>
      <c r="R1200" s="62"/>
      <c r="S1200" s="139"/>
      <c r="T1200" s="5"/>
      <c r="U1200" s="140"/>
      <c r="X1200" s="118"/>
      <c r="Y1200" s="118"/>
      <c r="Z1200" s="118"/>
      <c r="AA1200" s="118"/>
    </row>
    <row r="1201" spans="1:29" ht="16.2" thickBot="1" x14ac:dyDescent="0.35">
      <c r="A1201" s="212"/>
      <c r="B1201" s="24"/>
      <c r="C1201" s="6"/>
      <c r="D1201" s="6"/>
      <c r="E1201" s="61" t="s">
        <v>190</v>
      </c>
      <c r="F1201" s="40">
        <f t="shared" ref="F1201:N1201" si="395">IF(((F1199="")*AND(F1200="")),"",(F1199-F1200)*3)</f>
        <v>2061.66</v>
      </c>
      <c r="G1201" s="40">
        <f t="shared" si="395"/>
        <v>2086.3500000000004</v>
      </c>
      <c r="H1201" s="40">
        <f t="shared" si="395"/>
        <v>2091.8999999999996</v>
      </c>
      <c r="I1201" s="40">
        <f t="shared" si="395"/>
        <v>2063.8500000000004</v>
      </c>
      <c r="J1201" s="40">
        <f t="shared" si="395"/>
        <v>2011.1099999999997</v>
      </c>
      <c r="K1201" s="40">
        <f t="shared" si="395"/>
        <v>1997.0099999999995</v>
      </c>
      <c r="L1201" s="40">
        <f t="shared" si="395"/>
        <v>2071.1099999999997</v>
      </c>
      <c r="M1201" s="40">
        <f t="shared" si="395"/>
        <v>2096.6400000000003</v>
      </c>
      <c r="N1201" s="40">
        <f t="shared" si="395"/>
        <v>2067.69</v>
      </c>
      <c r="O1201" s="61"/>
      <c r="P1201" s="61"/>
      <c r="Q1201" s="62"/>
      <c r="R1201" s="62"/>
      <c r="S1201" s="139"/>
      <c r="T1201" s="5"/>
      <c r="U1201" s="140"/>
      <c r="X1201" s="118"/>
      <c r="Y1201" s="118"/>
      <c r="Z1201" s="118"/>
      <c r="AA1201" s="118"/>
    </row>
    <row r="1202" spans="1:29" ht="15.6" x14ac:dyDescent="0.3">
      <c r="A1202" s="278">
        <v>43647</v>
      </c>
      <c r="B1202" s="218" t="s">
        <v>185</v>
      </c>
      <c r="C1202" s="6" t="s">
        <v>173</v>
      </c>
      <c r="D1202" s="6" t="s">
        <v>172</v>
      </c>
      <c r="E1202" s="61" t="s">
        <v>186</v>
      </c>
      <c r="F1202">
        <v>29181.02</v>
      </c>
      <c r="G1202">
        <v>29077.62</v>
      </c>
      <c r="H1202">
        <v>29103.040000000001</v>
      </c>
      <c r="I1202">
        <v>29068.89</v>
      </c>
      <c r="J1202">
        <v>29177.85</v>
      </c>
      <c r="K1202">
        <v>29143.96</v>
      </c>
      <c r="L1202">
        <v>29059.01</v>
      </c>
      <c r="M1202">
        <v>29058.99</v>
      </c>
      <c r="N1202">
        <v>29215.58</v>
      </c>
      <c r="O1202" s="61">
        <f>IF((N1203=""),"",MAX(F1204:N1204))</f>
        <v>4540.1700000000092</v>
      </c>
      <c r="P1202" s="61">
        <f>IF(N1203="","",MIN(F1204:N1204))</f>
        <v>3985.1699999999983</v>
      </c>
      <c r="Q1202" s="62">
        <f>IF((N1204=""),"",AVERAGE(F1204:N1204))</f>
        <v>4275.4699999999993</v>
      </c>
      <c r="R1202" s="62">
        <f>IF((N1203=""),"",(O1202-P1202)/(O1202+P1202)*100)</f>
        <v>6.5100042930840347</v>
      </c>
      <c r="S1202" s="139">
        <f>STDEV(F1204:N1204)</f>
        <v>229.47339159475729</v>
      </c>
      <c r="T1202" s="5" t="str">
        <f>IF(N1203="","",IF(R1202&lt;16,IF(Q1202&gt;3200,IF(R1202,IF(Q1202&lt;5240,"Pass","Fail"),"Fail"),"Fail")))</f>
        <v>Pass</v>
      </c>
      <c r="U1202" s="149">
        <v>1428</v>
      </c>
      <c r="V1202" s="11" t="s">
        <v>300</v>
      </c>
      <c r="X1202" s="116">
        <v>4200</v>
      </c>
      <c r="Y1202" s="116">
        <v>5500</v>
      </c>
      <c r="Z1202" s="116">
        <v>3200</v>
      </c>
      <c r="AA1202" s="116">
        <v>5240</v>
      </c>
      <c r="AB1202" s="31">
        <v>16</v>
      </c>
      <c r="AC1202" s="31">
        <v>16</v>
      </c>
    </row>
    <row r="1203" spans="1:29" ht="15.6" x14ac:dyDescent="0.3">
      <c r="A1203" s="212"/>
      <c r="B1203" s="24"/>
      <c r="C1203" s="6"/>
      <c r="D1203" s="6"/>
      <c r="E1203" s="61" t="s">
        <v>187</v>
      </c>
      <c r="F1203">
        <v>27670.720000000001</v>
      </c>
      <c r="G1203">
        <v>27698.79</v>
      </c>
      <c r="H1203">
        <v>27774.65</v>
      </c>
      <c r="I1203">
        <v>27698.89</v>
      </c>
      <c r="J1203">
        <v>27685.360000000001</v>
      </c>
      <c r="K1203">
        <v>27643.599999999999</v>
      </c>
      <c r="L1203">
        <v>27685.31</v>
      </c>
      <c r="M1203">
        <v>27700.04</v>
      </c>
      <c r="N1203">
        <v>27702.19</v>
      </c>
      <c r="O1203" s="127"/>
      <c r="P1203" s="61"/>
      <c r="Q1203" s="62"/>
      <c r="R1203" s="62"/>
      <c r="S1203" s="139"/>
      <c r="T1203" s="5"/>
      <c r="U1203" s="140"/>
    </row>
    <row r="1204" spans="1:29" ht="23.4" thickBot="1" x14ac:dyDescent="0.35">
      <c r="A1204" s="212"/>
      <c r="B1204" s="63"/>
      <c r="C1204" s="64"/>
      <c r="D1204" s="64"/>
      <c r="E1204" s="61" t="s">
        <v>188</v>
      </c>
      <c r="F1204" s="53">
        <f t="shared" ref="F1204:N1204" si="396">IF(((F1202="")*AND(F1203="")),"",(F1202-F1203)*3)</f>
        <v>4530.8999999999978</v>
      </c>
      <c r="G1204" s="53">
        <f t="shared" si="396"/>
        <v>4136.4899999999943</v>
      </c>
      <c r="H1204" s="53">
        <f t="shared" si="396"/>
        <v>3985.1699999999983</v>
      </c>
      <c r="I1204" s="53">
        <f t="shared" si="396"/>
        <v>4110</v>
      </c>
      <c r="J1204" s="53">
        <f t="shared" si="396"/>
        <v>4477.4699999999939</v>
      </c>
      <c r="K1204" s="53">
        <f t="shared" si="396"/>
        <v>4501.0800000000017</v>
      </c>
      <c r="L1204" s="53">
        <f t="shared" si="396"/>
        <v>4121.0999999999913</v>
      </c>
      <c r="M1204" s="53">
        <f t="shared" si="396"/>
        <v>4076.8500000000022</v>
      </c>
      <c r="N1204" s="53">
        <f t="shared" si="396"/>
        <v>4540.1700000000092</v>
      </c>
      <c r="O1204" s="65"/>
      <c r="P1204" s="65"/>
      <c r="Q1204" s="66"/>
      <c r="R1204" s="66"/>
      <c r="S1204" s="142"/>
      <c r="T1204" s="143"/>
      <c r="U1204" s="144"/>
    </row>
    <row r="1205" spans="1:29" ht="15.6" x14ac:dyDescent="0.3">
      <c r="A1205" s="278">
        <v>43650</v>
      </c>
      <c r="B1205" s="217" t="s">
        <v>174</v>
      </c>
      <c r="C1205" s="44" t="s">
        <v>176</v>
      </c>
      <c r="D1205" s="44" t="s">
        <v>175</v>
      </c>
      <c r="E1205" s="61" t="s">
        <v>186</v>
      </c>
      <c r="F1205">
        <v>5092.42</v>
      </c>
      <c r="G1205">
        <v>4948.93</v>
      </c>
      <c r="H1205">
        <v>4952.9399999999996</v>
      </c>
      <c r="I1205">
        <v>4938.75</v>
      </c>
      <c r="J1205">
        <v>5076.8900000000003</v>
      </c>
      <c r="K1205">
        <v>5103.3</v>
      </c>
      <c r="L1205">
        <v>4948.25</v>
      </c>
      <c r="M1205">
        <v>4943.78</v>
      </c>
      <c r="N1205">
        <v>5103.5</v>
      </c>
      <c r="O1205" s="59">
        <f>IF((N1206=""),"",MAX(F1207:N1207))</f>
        <v>4055.12</v>
      </c>
      <c r="P1205" s="59">
        <f>IF(N1206="","",MIN(F1207:N1207))</f>
        <v>3697.58</v>
      </c>
      <c r="Q1205" s="60">
        <f>IF((N1207=""),"",AVERAGE(F1207:N1207))</f>
        <v>3922.1422222222222</v>
      </c>
      <c r="R1205" s="60">
        <f>IF((N1206=""),"",(O1205-P1205)/(O1205+P1205)*100)</f>
        <v>4.6118126588156381</v>
      </c>
      <c r="S1205" s="131">
        <f>STDEV(F1207:N1207)</f>
        <v>123.46507864349509</v>
      </c>
      <c r="T1205" s="137" t="str">
        <f>IF(N1206="","",IF(Q1205&gt;3650,IF(R1205&lt;7,IF(Q1205&lt;4450,"Pass","Fail"),"Fail"),"Fail"))</f>
        <v>Pass</v>
      </c>
      <c r="U1205" s="149" t="s">
        <v>302</v>
      </c>
      <c r="V1205" s="11" t="s">
        <v>300</v>
      </c>
      <c r="X1205" s="116">
        <v>3650</v>
      </c>
      <c r="Y1205" s="116">
        <v>4450</v>
      </c>
      <c r="Z1205" s="116">
        <v>3700</v>
      </c>
      <c r="AA1205" s="116">
        <v>4100</v>
      </c>
      <c r="AB1205" s="31">
        <v>7</v>
      </c>
      <c r="AC1205" s="31">
        <v>6.5</v>
      </c>
    </row>
    <row r="1206" spans="1:29" ht="15.6" x14ac:dyDescent="0.3">
      <c r="A1206" s="212"/>
      <c r="B1206" s="24"/>
      <c r="C1206" s="6"/>
      <c r="D1206" s="6"/>
      <c r="E1206" s="61" t="s">
        <v>187</v>
      </c>
      <c r="F1206">
        <v>3206.78</v>
      </c>
      <c r="G1206">
        <v>2950.65</v>
      </c>
      <c r="H1206">
        <v>2935.56</v>
      </c>
      <c r="I1206">
        <v>2939.84</v>
      </c>
      <c r="J1206">
        <v>3148.58</v>
      </c>
      <c r="K1206">
        <v>3254.51</v>
      </c>
      <c r="L1206">
        <v>2960.81</v>
      </c>
      <c r="M1206">
        <v>2916.22</v>
      </c>
      <c r="N1206">
        <v>3146.17</v>
      </c>
      <c r="O1206" s="61"/>
      <c r="P1206" s="61"/>
      <c r="Q1206" s="62"/>
      <c r="R1206" s="62"/>
      <c r="S1206" s="139"/>
      <c r="T1206" s="8"/>
      <c r="U1206" s="146"/>
      <c r="X1206" s="118"/>
      <c r="Y1206" s="118"/>
      <c r="Z1206" s="118"/>
      <c r="AA1206" s="118"/>
    </row>
    <row r="1207" spans="1:29" ht="23.4" thickBot="1" x14ac:dyDescent="0.35">
      <c r="A1207" s="212"/>
      <c r="B1207" s="24"/>
      <c r="C1207" s="6"/>
      <c r="D1207" s="6"/>
      <c r="E1207" s="61" t="s">
        <v>188</v>
      </c>
      <c r="F1207" s="40">
        <f t="shared" ref="F1207:N1207" si="397">IF(((F1205="")*AND(F1206="")),"",(F1205-F1206)*2)</f>
        <v>3771.2799999999997</v>
      </c>
      <c r="G1207" s="40">
        <f t="shared" si="397"/>
        <v>3996.5600000000004</v>
      </c>
      <c r="H1207" s="40">
        <f t="shared" si="397"/>
        <v>4034.7599999999993</v>
      </c>
      <c r="I1207" s="40">
        <f t="shared" si="397"/>
        <v>3997.8199999999997</v>
      </c>
      <c r="J1207" s="40">
        <f t="shared" si="397"/>
        <v>3856.6200000000008</v>
      </c>
      <c r="K1207" s="40">
        <f t="shared" si="397"/>
        <v>3697.58</v>
      </c>
      <c r="L1207" s="40">
        <f t="shared" si="397"/>
        <v>3974.88</v>
      </c>
      <c r="M1207" s="40">
        <f t="shared" si="397"/>
        <v>4055.12</v>
      </c>
      <c r="N1207" s="40">
        <f t="shared" si="397"/>
        <v>3914.66</v>
      </c>
      <c r="O1207" s="61"/>
      <c r="P1207" s="61"/>
      <c r="Q1207" s="62"/>
      <c r="R1207" s="62"/>
      <c r="S1207" s="139"/>
      <c r="T1207" s="8"/>
      <c r="U1207" s="146"/>
      <c r="X1207" s="118"/>
      <c r="Y1207" s="118"/>
      <c r="Z1207" s="118"/>
      <c r="AA1207" s="118"/>
    </row>
    <row r="1208" spans="1:29" ht="15.6" x14ac:dyDescent="0.3">
      <c r="A1208" s="278">
        <v>43650</v>
      </c>
      <c r="B1208" s="215" t="s">
        <v>169</v>
      </c>
      <c r="C1208" s="6" t="s">
        <v>171</v>
      </c>
      <c r="D1208" s="6" t="s">
        <v>189</v>
      </c>
      <c r="E1208" s="61" t="s">
        <v>186</v>
      </c>
      <c r="F1208">
        <v>1285.71</v>
      </c>
      <c r="G1208">
        <v>1267.98</v>
      </c>
      <c r="H1208">
        <v>1267.3699999999999</v>
      </c>
      <c r="I1208">
        <v>1272.31</v>
      </c>
      <c r="J1208">
        <v>1296.22</v>
      </c>
      <c r="K1208">
        <v>1303.1500000000001</v>
      </c>
      <c r="L1208">
        <v>1275.8900000000001</v>
      </c>
      <c r="M1208">
        <v>1267.8900000000001</v>
      </c>
      <c r="N1208">
        <v>1279.19</v>
      </c>
      <c r="O1208" s="61">
        <f>IF((N1209=""),"",MAX(F1210:N1210))</f>
        <v>2081.34</v>
      </c>
      <c r="P1208" s="61">
        <f>IF(N1209="","",MIN(F1210:N1210))</f>
        <v>2010.0300000000002</v>
      </c>
      <c r="Q1208" s="62">
        <f>IF((N1210=""),"",AVERAGE(F1210:N1210))</f>
        <v>2049.4633333333336</v>
      </c>
      <c r="R1208" s="62">
        <f>IF((N1209=""),"",(O1208-P1208)/(O1208+P1208)*100)</f>
        <v>1.742936962435564</v>
      </c>
      <c r="S1208" s="139">
        <f>STDEV(F1210:N1210)</f>
        <v>32.687426864162816</v>
      </c>
      <c r="T1208" s="5" t="str">
        <f>IF(N1209="","",IF(Q1208&gt;1940,IF(R1208&lt;8.3,IF(Q1208&lt;2180,"Pass","Fail"),"Fail"),"Fail"))</f>
        <v>Pass</v>
      </c>
      <c r="U1208" s="149" t="s">
        <v>302</v>
      </c>
      <c r="V1208" s="11" t="s">
        <v>300</v>
      </c>
      <c r="X1208" s="116">
        <v>2000</v>
      </c>
      <c r="Y1208" s="116">
        <v>3000</v>
      </c>
      <c r="Z1208" s="116">
        <v>1940</v>
      </c>
      <c r="AA1208" s="116">
        <v>2180</v>
      </c>
      <c r="AB1208" s="31">
        <v>5.2</v>
      </c>
      <c r="AC1208" s="31">
        <v>5.2</v>
      </c>
    </row>
    <row r="1209" spans="1:29" ht="15.6" x14ac:dyDescent="0.3">
      <c r="A1209" s="212"/>
      <c r="B1209" s="24"/>
      <c r="C1209" s="6"/>
      <c r="D1209" s="6"/>
      <c r="E1209" s="61" t="s">
        <v>187</v>
      </c>
      <c r="F1209">
        <v>611.76</v>
      </c>
      <c r="G1209">
        <v>574.20000000000005</v>
      </c>
      <c r="H1209">
        <v>575.16999999999996</v>
      </c>
      <c r="I1209">
        <v>582.01</v>
      </c>
      <c r="J1209">
        <v>624.91999999999996</v>
      </c>
      <c r="K1209">
        <v>633.14</v>
      </c>
      <c r="L1209">
        <v>583.63</v>
      </c>
      <c r="M1209">
        <v>575.07000000000005</v>
      </c>
      <c r="N1209">
        <v>607.41999999999996</v>
      </c>
      <c r="O1209" s="61"/>
      <c r="P1209" s="61"/>
      <c r="Q1209" s="62"/>
      <c r="R1209" s="62"/>
      <c r="S1209" s="139"/>
      <c r="T1209" s="5"/>
      <c r="U1209" s="140"/>
      <c r="X1209" s="118"/>
      <c r="Y1209" s="118"/>
      <c r="Z1209" s="118"/>
      <c r="AA1209" s="118"/>
    </row>
    <row r="1210" spans="1:29" ht="16.2" thickBot="1" x14ac:dyDescent="0.35">
      <c r="A1210" s="212"/>
      <c r="B1210" s="24"/>
      <c r="C1210" s="6"/>
      <c r="D1210" s="6"/>
      <c r="E1210" s="61" t="s">
        <v>190</v>
      </c>
      <c r="F1210" s="40">
        <f t="shared" ref="F1210:N1210" si="398">IF(((F1208="")*AND(F1209="")),"",(F1208-F1209)*3)</f>
        <v>2021.8500000000001</v>
      </c>
      <c r="G1210" s="40">
        <f t="shared" si="398"/>
        <v>2081.34</v>
      </c>
      <c r="H1210" s="40">
        <f t="shared" si="398"/>
        <v>2076.6</v>
      </c>
      <c r="I1210" s="40">
        <f t="shared" si="398"/>
        <v>2070.8999999999996</v>
      </c>
      <c r="J1210" s="40">
        <f t="shared" si="398"/>
        <v>2013.9</v>
      </c>
      <c r="K1210" s="40">
        <f t="shared" si="398"/>
        <v>2010.0300000000002</v>
      </c>
      <c r="L1210" s="40">
        <f t="shared" si="398"/>
        <v>2076.7800000000002</v>
      </c>
      <c r="M1210" s="40">
        <f t="shared" si="398"/>
        <v>2078.46</v>
      </c>
      <c r="N1210" s="40">
        <f t="shared" si="398"/>
        <v>2015.3100000000004</v>
      </c>
      <c r="O1210" s="61"/>
      <c r="P1210" s="61"/>
      <c r="Q1210" s="62"/>
      <c r="R1210" s="62"/>
      <c r="S1210" s="139"/>
      <c r="T1210" s="5"/>
      <c r="U1210" s="140"/>
      <c r="X1210" s="118"/>
      <c r="Y1210" s="118"/>
      <c r="Z1210" s="118"/>
      <c r="AA1210" s="118"/>
    </row>
    <row r="1211" spans="1:29" ht="15.6" x14ac:dyDescent="0.3">
      <c r="A1211" s="278">
        <v>43650</v>
      </c>
      <c r="B1211" s="218" t="s">
        <v>185</v>
      </c>
      <c r="C1211" s="6" t="s">
        <v>173</v>
      </c>
      <c r="D1211" s="6" t="s">
        <v>172</v>
      </c>
      <c r="E1211" s="61" t="s">
        <v>186</v>
      </c>
      <c r="F1211">
        <v>27614.34</v>
      </c>
      <c r="G1211">
        <v>27658.07</v>
      </c>
      <c r="H1211">
        <v>27732.53</v>
      </c>
      <c r="I1211">
        <v>27646.639999999999</v>
      </c>
      <c r="J1211">
        <v>27626.55</v>
      </c>
      <c r="K1211">
        <v>27592.55</v>
      </c>
      <c r="L1211">
        <v>27649.39</v>
      </c>
      <c r="M1211">
        <v>27651.19</v>
      </c>
      <c r="N1211">
        <v>27660.43</v>
      </c>
      <c r="O1211" s="61">
        <f>IF((N1212=""),"",MAX(F1213:N1213))</f>
        <v>4818.9599999999991</v>
      </c>
      <c r="P1211" s="61">
        <f>IF(N1212="","",MIN(F1213:N1213))</f>
        <v>4250.6699999999983</v>
      </c>
      <c r="Q1211" s="62">
        <f>IF((N1213=""),"",AVERAGE(F1213:N1213))</f>
        <v>4492.1133333333319</v>
      </c>
      <c r="R1211" s="62">
        <f>IF((N1212=""),"",(O1211-P1211)/(O1211+P1211)*100)</f>
        <v>6.2658564902868257</v>
      </c>
      <c r="S1211" s="139">
        <f>STDEV(F1213:N1213)</f>
        <v>240.20266963545546</v>
      </c>
      <c r="T1211" s="5" t="str">
        <f>IF(N1212="","",IF(R1211&lt;16,IF(Q1211&gt;3200,IF(R1211,IF(Q1211&lt;5240,"Pass","Fail"),"Fail"),"Fail")))</f>
        <v>Pass</v>
      </c>
      <c r="U1211" s="149" t="s">
        <v>302</v>
      </c>
      <c r="V1211" s="11" t="s">
        <v>300</v>
      </c>
      <c r="X1211" s="116">
        <v>4200</v>
      </c>
      <c r="Y1211" s="116">
        <v>5500</v>
      </c>
      <c r="Z1211" s="116">
        <v>3200</v>
      </c>
      <c r="AA1211" s="116">
        <v>5240</v>
      </c>
      <c r="AB1211" s="31">
        <v>16</v>
      </c>
      <c r="AC1211" s="31">
        <v>16</v>
      </c>
    </row>
    <row r="1212" spans="1:29" ht="15.6" x14ac:dyDescent="0.3">
      <c r="A1212" s="212"/>
      <c r="B1212" s="24"/>
      <c r="C1212" s="6"/>
      <c r="D1212" s="6"/>
      <c r="E1212" s="61" t="s">
        <v>187</v>
      </c>
      <c r="F1212">
        <v>26029.919999999998</v>
      </c>
      <c r="G1212">
        <v>26222.53</v>
      </c>
      <c r="H1212">
        <v>26315.64</v>
      </c>
      <c r="I1212">
        <v>26217.29</v>
      </c>
      <c r="J1212">
        <v>26056.65</v>
      </c>
      <c r="K1212">
        <v>26030.9</v>
      </c>
      <c r="L1212">
        <v>26216.42</v>
      </c>
      <c r="M1212">
        <v>26211.89</v>
      </c>
      <c r="N1212">
        <v>26054.11</v>
      </c>
      <c r="O1212" s="127"/>
      <c r="P1212" s="61"/>
      <c r="Q1212" s="62"/>
      <c r="R1212" s="62"/>
      <c r="S1212" s="139"/>
      <c r="T1212" s="5"/>
      <c r="U1212" s="140"/>
    </row>
    <row r="1213" spans="1:29" ht="23.4" thickBot="1" x14ac:dyDescent="0.35">
      <c r="A1213" s="212"/>
      <c r="B1213" s="63"/>
      <c r="C1213" s="64"/>
      <c r="D1213" s="64"/>
      <c r="E1213" s="61" t="s">
        <v>188</v>
      </c>
      <c r="F1213" s="53">
        <f t="shared" ref="F1213:N1213" si="399">IF(((F1211="")*AND(F1212="")),"",(F1211-F1212)*3)</f>
        <v>4753.2600000000057</v>
      </c>
      <c r="G1213" s="53">
        <f t="shared" si="399"/>
        <v>4306.6200000000026</v>
      </c>
      <c r="H1213" s="53">
        <f t="shared" si="399"/>
        <v>4250.6699999999983</v>
      </c>
      <c r="I1213" s="53">
        <f t="shared" si="399"/>
        <v>4288.0499999999956</v>
      </c>
      <c r="J1213" s="53">
        <f t="shared" si="399"/>
        <v>4709.6999999999935</v>
      </c>
      <c r="K1213" s="53">
        <f t="shared" si="399"/>
        <v>4684.9499999999935</v>
      </c>
      <c r="L1213" s="53">
        <f t="shared" si="399"/>
        <v>4298.9100000000035</v>
      </c>
      <c r="M1213" s="53">
        <f t="shared" si="399"/>
        <v>4317.8999999999978</v>
      </c>
      <c r="N1213" s="53">
        <f t="shared" si="399"/>
        <v>4818.9599999999991</v>
      </c>
      <c r="O1213" s="65"/>
      <c r="P1213" s="65"/>
      <c r="Q1213" s="66"/>
      <c r="R1213" s="66"/>
      <c r="S1213" s="142"/>
      <c r="T1213" s="143"/>
      <c r="U1213" s="144"/>
    </row>
    <row r="1214" spans="1:29" ht="15.6" x14ac:dyDescent="0.3">
      <c r="A1214" s="278">
        <v>43654</v>
      </c>
      <c r="B1214" s="217" t="s">
        <v>174</v>
      </c>
      <c r="C1214" s="44" t="s">
        <v>176</v>
      </c>
      <c r="D1214" s="44" t="s">
        <v>175</v>
      </c>
      <c r="E1214" s="61" t="s">
        <v>186</v>
      </c>
      <c r="F1214">
        <v>3211.14</v>
      </c>
      <c r="G1214">
        <v>2953.96</v>
      </c>
      <c r="H1214">
        <v>2939.01</v>
      </c>
      <c r="I1214">
        <v>2943.29</v>
      </c>
      <c r="J1214">
        <v>3152.84</v>
      </c>
      <c r="K1214">
        <v>3261.15</v>
      </c>
      <c r="L1214">
        <v>2964.27</v>
      </c>
      <c r="M1214">
        <v>2919.39</v>
      </c>
      <c r="N1214">
        <v>3150.31</v>
      </c>
      <c r="O1214" s="59">
        <f>IF((N1215=""),"",MAX(F1216:N1216))</f>
        <v>4045.16</v>
      </c>
      <c r="P1214" s="59">
        <f>IF(N1215="","",MIN(F1216:N1216))</f>
        <v>3711.34</v>
      </c>
      <c r="Q1214" s="60">
        <f>IF((N1216=""),"",AVERAGE(F1216:N1216))</f>
        <v>3914.9422222222224</v>
      </c>
      <c r="R1214" s="60">
        <f>IF((N1215=""),"",(O1214-P1214)/(O1214+P1214)*100)</f>
        <v>4.3037452459227712</v>
      </c>
      <c r="S1214" s="131">
        <f>STDEV(F1216:N1216)</f>
        <v>113.25673332938953</v>
      </c>
      <c r="T1214" s="137" t="str">
        <f>IF(N1215="","",IF(Q1214&gt;3650,IF(R1214&lt;7,IF(Q1214&lt;4450,"Pass","Fail"),"Fail"),"Fail"))</f>
        <v>Pass</v>
      </c>
      <c r="U1214" s="149">
        <v>1335</v>
      </c>
      <c r="V1214" s="11" t="s">
        <v>305</v>
      </c>
      <c r="X1214" s="116">
        <v>3650</v>
      </c>
      <c r="Y1214" s="116">
        <v>4450</v>
      </c>
      <c r="Z1214" s="116">
        <v>3700</v>
      </c>
      <c r="AA1214" s="116">
        <v>4100</v>
      </c>
      <c r="AB1214" s="31">
        <v>7</v>
      </c>
      <c r="AC1214" s="31">
        <v>6.5</v>
      </c>
    </row>
    <row r="1215" spans="1:29" ht="15.6" x14ac:dyDescent="0.3">
      <c r="A1215" s="212"/>
      <c r="B1215" s="24"/>
      <c r="C1215" s="6"/>
      <c r="D1215" s="6"/>
      <c r="E1215" s="61" t="s">
        <v>187</v>
      </c>
      <c r="F1215">
        <v>1321.54</v>
      </c>
      <c r="G1215">
        <v>970.1</v>
      </c>
      <c r="H1215">
        <v>926.29</v>
      </c>
      <c r="I1215">
        <v>948.27</v>
      </c>
      <c r="J1215">
        <v>1222.6300000000001</v>
      </c>
      <c r="K1215">
        <v>1405.48</v>
      </c>
      <c r="L1215">
        <v>985.26</v>
      </c>
      <c r="M1215">
        <v>896.81</v>
      </c>
      <c r="N1215">
        <v>1201.74</v>
      </c>
      <c r="O1215" s="61"/>
      <c r="P1215" s="61"/>
      <c r="Q1215" s="62"/>
      <c r="R1215" s="62"/>
      <c r="S1215" s="139"/>
      <c r="T1215" s="8"/>
      <c r="U1215" s="146"/>
      <c r="X1215" s="118"/>
      <c r="Y1215" s="118"/>
      <c r="Z1215" s="118"/>
      <c r="AA1215" s="118"/>
    </row>
    <row r="1216" spans="1:29" ht="23.4" thickBot="1" x14ac:dyDescent="0.35">
      <c r="A1216" s="212"/>
      <c r="B1216" s="24"/>
      <c r="C1216" s="6"/>
      <c r="D1216" s="6"/>
      <c r="E1216" s="61" t="s">
        <v>188</v>
      </c>
      <c r="F1216" s="40">
        <f t="shared" ref="F1216:N1216" si="400">IF(((F1214="")*AND(F1215="")),"",(F1214-F1215)*2)</f>
        <v>3779.2</v>
      </c>
      <c r="G1216" s="40">
        <f t="shared" si="400"/>
        <v>3967.7200000000003</v>
      </c>
      <c r="H1216" s="40">
        <f t="shared" si="400"/>
        <v>4025.4400000000005</v>
      </c>
      <c r="I1216" s="40">
        <f t="shared" si="400"/>
        <v>3990.04</v>
      </c>
      <c r="J1216" s="40">
        <f t="shared" si="400"/>
        <v>3860.42</v>
      </c>
      <c r="K1216" s="40">
        <f t="shared" si="400"/>
        <v>3711.34</v>
      </c>
      <c r="L1216" s="40">
        <f t="shared" si="400"/>
        <v>3958.02</v>
      </c>
      <c r="M1216" s="40">
        <f t="shared" si="400"/>
        <v>4045.16</v>
      </c>
      <c r="N1216" s="40">
        <f t="shared" si="400"/>
        <v>3897.14</v>
      </c>
      <c r="O1216" s="61"/>
      <c r="P1216" s="61"/>
      <c r="Q1216" s="62"/>
      <c r="R1216" s="62"/>
      <c r="S1216" s="139"/>
      <c r="T1216" s="8"/>
      <c r="U1216" s="146"/>
      <c r="X1216" s="118"/>
      <c r="Y1216" s="118"/>
      <c r="Z1216" s="118"/>
      <c r="AA1216" s="118"/>
    </row>
    <row r="1217" spans="1:29" ht="15.6" x14ac:dyDescent="0.3">
      <c r="A1217" s="278">
        <v>43654</v>
      </c>
      <c r="B1217" s="215" t="s">
        <v>169</v>
      </c>
      <c r="C1217" s="6" t="s">
        <v>171</v>
      </c>
      <c r="D1217" s="6" t="s">
        <v>189</v>
      </c>
      <c r="E1217" s="61" t="s">
        <v>186</v>
      </c>
      <c r="F1217">
        <v>1944.01</v>
      </c>
      <c r="G1217">
        <v>1939.83</v>
      </c>
      <c r="H1217">
        <v>1929.02</v>
      </c>
      <c r="I1217">
        <v>1932.71</v>
      </c>
      <c r="J1217">
        <v>1939.72</v>
      </c>
      <c r="K1217">
        <v>1942.66</v>
      </c>
      <c r="L1217">
        <v>1941.43</v>
      </c>
      <c r="M1217">
        <v>1942.27</v>
      </c>
      <c r="N1217">
        <v>1943.77</v>
      </c>
      <c r="O1217" s="61">
        <f>IF((N1218=""),"",MAX(F1219:N1219))</f>
        <v>2153.0399999999995</v>
      </c>
      <c r="P1217" s="61">
        <f>IF(N1218="","",MIN(F1219:N1219))</f>
        <v>2024.8200000000002</v>
      </c>
      <c r="Q1217" s="62">
        <f>IF((N1219=""),"",AVERAGE(F1219:N1219))</f>
        <v>2096.2733333333331</v>
      </c>
      <c r="R1217" s="62">
        <f>IF((N1218=""),"",(O1217-P1217)/(O1217+P1217)*100)</f>
        <v>3.0690353434533315</v>
      </c>
      <c r="S1217" s="139">
        <f>STDEV(F1219:N1219)</f>
        <v>46.370771505334922</v>
      </c>
      <c r="T1217" s="5" t="str">
        <f>IF(N1218="","",IF(Q1217&gt;1940,IF(R1217&lt;8.3,IF(Q1217&lt;2180,"Pass","Fail"),"Fail"),"Fail"))</f>
        <v>Pass</v>
      </c>
      <c r="U1217" s="149">
        <v>1335</v>
      </c>
      <c r="V1217" s="11" t="s">
        <v>305</v>
      </c>
      <c r="X1217" s="116">
        <v>2000</v>
      </c>
      <c r="Y1217" s="116">
        <v>3000</v>
      </c>
      <c r="Z1217" s="116">
        <v>1940</v>
      </c>
      <c r="AA1217" s="116">
        <v>2180</v>
      </c>
      <c r="AB1217" s="31">
        <v>5.2</v>
      </c>
      <c r="AC1217" s="31">
        <v>5.2</v>
      </c>
    </row>
    <row r="1218" spans="1:29" ht="15.6" x14ac:dyDescent="0.3">
      <c r="A1218" s="212"/>
      <c r="B1218" s="24"/>
      <c r="C1218" s="6"/>
      <c r="D1218" s="6"/>
      <c r="E1218" s="61" t="s">
        <v>187</v>
      </c>
      <c r="F1218">
        <v>1249.31</v>
      </c>
      <c r="G1218">
        <v>1222.1500000000001</v>
      </c>
      <c r="H1218">
        <v>1220.45</v>
      </c>
      <c r="I1218">
        <v>1234.05</v>
      </c>
      <c r="J1218">
        <v>1264.78</v>
      </c>
      <c r="K1218">
        <v>1265.74</v>
      </c>
      <c r="L1218">
        <v>1235.42</v>
      </c>
      <c r="M1218">
        <v>1225.46</v>
      </c>
      <c r="N1218">
        <v>1249.24</v>
      </c>
      <c r="O1218" s="61"/>
      <c r="P1218" s="61"/>
      <c r="Q1218" s="62"/>
      <c r="R1218" s="62"/>
      <c r="S1218" s="139"/>
      <c r="T1218" s="5"/>
      <c r="U1218" s="140"/>
      <c r="X1218" s="118"/>
      <c r="Y1218" s="118"/>
      <c r="Z1218" s="118"/>
      <c r="AA1218" s="118"/>
    </row>
    <row r="1219" spans="1:29" ht="16.2" thickBot="1" x14ac:dyDescent="0.35">
      <c r="A1219" s="212"/>
      <c r="B1219" s="24"/>
      <c r="C1219" s="6"/>
      <c r="D1219" s="6"/>
      <c r="E1219" s="61" t="s">
        <v>190</v>
      </c>
      <c r="F1219" s="40">
        <f t="shared" ref="F1219:N1219" si="401">IF(((F1217="")*AND(F1218="")),"",(F1217-F1218)*3)</f>
        <v>2084.1000000000004</v>
      </c>
      <c r="G1219" s="40">
        <f t="shared" si="401"/>
        <v>2153.0399999999995</v>
      </c>
      <c r="H1219" s="40">
        <f t="shared" si="401"/>
        <v>2125.71</v>
      </c>
      <c r="I1219" s="40">
        <f t="shared" si="401"/>
        <v>2095.9800000000005</v>
      </c>
      <c r="J1219" s="40">
        <f t="shared" si="401"/>
        <v>2024.8200000000002</v>
      </c>
      <c r="K1219" s="40">
        <f t="shared" si="401"/>
        <v>2030.7600000000002</v>
      </c>
      <c r="L1219" s="40">
        <f t="shared" si="401"/>
        <v>2118.0299999999997</v>
      </c>
      <c r="M1219" s="40">
        <f t="shared" si="401"/>
        <v>2150.4299999999998</v>
      </c>
      <c r="N1219" s="40">
        <f t="shared" si="401"/>
        <v>2083.59</v>
      </c>
      <c r="O1219" s="61"/>
      <c r="P1219" s="61"/>
      <c r="Q1219" s="62"/>
      <c r="R1219" s="62"/>
      <c r="S1219" s="139"/>
      <c r="T1219" s="5"/>
      <c r="U1219" s="140"/>
      <c r="X1219" s="118"/>
      <c r="Y1219" s="118"/>
      <c r="Z1219" s="118"/>
      <c r="AA1219" s="118"/>
    </row>
    <row r="1220" spans="1:29" ht="15.6" x14ac:dyDescent="0.3">
      <c r="A1220" s="278">
        <v>43654</v>
      </c>
      <c r="B1220" s="218" t="s">
        <v>185</v>
      </c>
      <c r="C1220" s="6" t="s">
        <v>173</v>
      </c>
      <c r="D1220" s="6" t="s">
        <v>172</v>
      </c>
      <c r="E1220" s="61" t="s">
        <v>186</v>
      </c>
      <c r="F1220">
        <v>29121.89</v>
      </c>
      <c r="G1220">
        <v>28976.23</v>
      </c>
      <c r="H1220">
        <v>28991.05</v>
      </c>
      <c r="I1220">
        <v>28969.85</v>
      </c>
      <c r="J1220">
        <v>29053.25</v>
      </c>
      <c r="K1220">
        <v>29092.49</v>
      </c>
      <c r="L1220">
        <v>28961.54</v>
      </c>
      <c r="M1220">
        <v>28971.439999999999</v>
      </c>
      <c r="N1220">
        <v>29057.58</v>
      </c>
      <c r="O1220" s="61">
        <f>IF((N1221=""),"",MAX(F1222:N1222))</f>
        <v>4574.3700000000026</v>
      </c>
      <c r="P1220" s="61">
        <f>IF(N1221="","",MIN(F1222:N1222))</f>
        <v>4054.679999999993</v>
      </c>
      <c r="Q1220" s="62">
        <f>IF((N1222=""),"",AVERAGE(F1222:N1222))</f>
        <v>4304.3099999999995</v>
      </c>
      <c r="R1220" s="62">
        <f>IF((N1221=""),"",(O1220-P1220)/(O1220+P1220)*100)</f>
        <v>6.0225633180942273</v>
      </c>
      <c r="S1220" s="139">
        <f>STDEV(F1222:N1222)</f>
        <v>215.74686834344016</v>
      </c>
      <c r="T1220" s="5" t="str">
        <f>IF(N1221="","",IF(R1220&lt;16,IF(Q1220&gt;3200,IF(R1220,IF(Q1220&lt;5240,"Pass","Fail"),"Fail"),"Fail")))</f>
        <v>Pass</v>
      </c>
      <c r="U1220" s="149">
        <v>1335</v>
      </c>
      <c r="V1220" s="11" t="s">
        <v>305</v>
      </c>
      <c r="X1220" s="116">
        <v>4200</v>
      </c>
      <c r="Y1220" s="116">
        <v>5500</v>
      </c>
      <c r="Z1220" s="116">
        <v>3200</v>
      </c>
      <c r="AA1220" s="116">
        <v>5240</v>
      </c>
      <c r="AB1220" s="31">
        <v>16</v>
      </c>
      <c r="AC1220" s="31">
        <v>16</v>
      </c>
    </row>
    <row r="1221" spans="1:29" ht="15.6" x14ac:dyDescent="0.3">
      <c r="A1221" s="212"/>
      <c r="B1221" s="24"/>
      <c r="C1221" s="6"/>
      <c r="D1221" s="6"/>
      <c r="E1221" s="61" t="s">
        <v>187</v>
      </c>
      <c r="F1221">
        <v>27597.1</v>
      </c>
      <c r="G1221">
        <v>27589.25</v>
      </c>
      <c r="H1221">
        <v>27639.49</v>
      </c>
      <c r="I1221">
        <v>27583.18</v>
      </c>
      <c r="J1221">
        <v>27563.07</v>
      </c>
      <c r="K1221">
        <v>27593.1</v>
      </c>
      <c r="L1221">
        <v>27590.97</v>
      </c>
      <c r="M1221">
        <v>27590.15</v>
      </c>
      <c r="N1221">
        <v>27536.080000000002</v>
      </c>
      <c r="O1221" s="127"/>
      <c r="P1221" s="61"/>
      <c r="Q1221" s="62"/>
      <c r="R1221" s="62"/>
      <c r="S1221" s="139"/>
      <c r="T1221" s="5"/>
      <c r="U1221" s="140"/>
    </row>
    <row r="1222" spans="1:29" ht="23.4" thickBot="1" x14ac:dyDescent="0.35">
      <c r="A1222" s="212"/>
      <c r="B1222" s="63"/>
      <c r="C1222" s="64"/>
      <c r="D1222" s="64"/>
      <c r="E1222" s="61" t="s">
        <v>188</v>
      </c>
      <c r="F1222" s="53">
        <f t="shared" ref="F1222:N1222" si="402">IF(((F1220="")*AND(F1221="")),"",(F1220-F1221)*3)</f>
        <v>4574.3700000000026</v>
      </c>
      <c r="G1222" s="53">
        <f t="shared" si="402"/>
        <v>4160.9399999999987</v>
      </c>
      <c r="H1222" s="53">
        <f t="shared" si="402"/>
        <v>4054.679999999993</v>
      </c>
      <c r="I1222" s="53">
        <f t="shared" si="402"/>
        <v>4160.0099999999948</v>
      </c>
      <c r="J1222" s="53">
        <f t="shared" si="402"/>
        <v>4470.5400000000009</v>
      </c>
      <c r="K1222" s="53">
        <f t="shared" si="402"/>
        <v>4498.1700000000092</v>
      </c>
      <c r="L1222" s="53">
        <f t="shared" si="402"/>
        <v>4111.7099999999991</v>
      </c>
      <c r="M1222" s="53">
        <f t="shared" si="402"/>
        <v>4143.8699999999917</v>
      </c>
      <c r="N1222" s="53">
        <f t="shared" si="402"/>
        <v>4564.5</v>
      </c>
      <c r="O1222" s="65"/>
      <c r="P1222" s="65"/>
      <c r="Q1222" s="66"/>
      <c r="R1222" s="66"/>
      <c r="S1222" s="142"/>
      <c r="T1222" s="143"/>
      <c r="U1222" s="144"/>
    </row>
    <row r="1223" spans="1:29" ht="15.6" x14ac:dyDescent="0.3">
      <c r="A1223" s="278">
        <v>43657</v>
      </c>
      <c r="B1223" s="217" t="s">
        <v>174</v>
      </c>
      <c r="C1223" s="44" t="s">
        <v>176</v>
      </c>
      <c r="D1223" s="44" t="s">
        <v>175</v>
      </c>
      <c r="E1223" s="61" t="s">
        <v>186</v>
      </c>
      <c r="F1223">
        <v>3536.34</v>
      </c>
      <c r="G1223">
        <v>3521.89</v>
      </c>
      <c r="H1223">
        <v>3535.45</v>
      </c>
      <c r="I1223">
        <v>3506.49</v>
      </c>
      <c r="J1223">
        <v>3418.55</v>
      </c>
      <c r="K1223">
        <v>3431.84</v>
      </c>
      <c r="L1223">
        <v>3483.26</v>
      </c>
      <c r="M1223">
        <v>3564.07</v>
      </c>
      <c r="N1223">
        <v>3576.56</v>
      </c>
      <c r="O1223" s="59">
        <f>IF((N1224=""),"",MAX(F1225:N1225))</f>
        <v>4088.6400000000003</v>
      </c>
      <c r="P1223" s="59">
        <f>IF(N1224="","",MIN(F1225:N1225))</f>
        <v>3703.3</v>
      </c>
      <c r="Q1223" s="60">
        <f>IF((N1225=""),"",AVERAGE(F1225:N1225))</f>
        <v>3945.0644444444447</v>
      </c>
      <c r="R1223" s="60">
        <f>IF((N1224=""),"",(O1223-P1223)/(O1223+P1223)*100)</f>
        <v>4.9453666224329256</v>
      </c>
      <c r="S1223" s="131">
        <f>STDEV(F1225:N1225)</f>
        <v>141.97330445466761</v>
      </c>
      <c r="T1223" s="137" t="str">
        <f>IF(N1224="","",IF(Q1223&gt;3650,IF(R1223&lt;7,IF(Q1223&lt;4450,"Pass","Fail"),"Fail"),"Fail"))</f>
        <v>Pass</v>
      </c>
      <c r="U1223" s="149">
        <v>64</v>
      </c>
      <c r="X1223" s="116">
        <v>3650</v>
      </c>
      <c r="Y1223" s="116">
        <v>4450</v>
      </c>
      <c r="Z1223" s="116">
        <v>3700</v>
      </c>
      <c r="AA1223" s="116">
        <v>4100</v>
      </c>
      <c r="AB1223" s="31">
        <v>7</v>
      </c>
      <c r="AC1223" s="31">
        <v>6.5</v>
      </c>
    </row>
    <row r="1224" spans="1:29" ht="15.6" x14ac:dyDescent="0.3">
      <c r="A1224" s="212"/>
      <c r="B1224" s="24"/>
      <c r="C1224" s="6"/>
      <c r="D1224" s="6"/>
      <c r="E1224" s="61" t="s">
        <v>187</v>
      </c>
      <c r="F1224">
        <v>1655.46</v>
      </c>
      <c r="G1224">
        <v>1507.18</v>
      </c>
      <c r="H1224">
        <v>1492.69</v>
      </c>
      <c r="I1224">
        <v>1485.56</v>
      </c>
      <c r="J1224">
        <v>1480.79</v>
      </c>
      <c r="K1224">
        <v>1580.19</v>
      </c>
      <c r="L1224">
        <v>1473.57</v>
      </c>
      <c r="M1224">
        <v>1519.75</v>
      </c>
      <c r="N1224">
        <v>1626.47</v>
      </c>
      <c r="O1224" s="61"/>
      <c r="P1224" s="61"/>
      <c r="Q1224" s="62"/>
      <c r="R1224" s="62"/>
      <c r="S1224" s="139"/>
      <c r="T1224" s="8"/>
      <c r="U1224" s="146"/>
      <c r="X1224" s="118"/>
      <c r="Y1224" s="118"/>
      <c r="Z1224" s="118"/>
      <c r="AA1224" s="118"/>
    </row>
    <row r="1225" spans="1:29" ht="23.4" thickBot="1" x14ac:dyDescent="0.35">
      <c r="A1225" s="212"/>
      <c r="B1225" s="24"/>
      <c r="C1225" s="6"/>
      <c r="D1225" s="6"/>
      <c r="E1225" s="61" t="s">
        <v>188</v>
      </c>
      <c r="F1225" s="40">
        <f t="shared" ref="F1225:N1225" si="403">IF(((F1223="")*AND(F1224="")),"",(F1223-F1224)*2)</f>
        <v>3761.76</v>
      </c>
      <c r="G1225" s="40">
        <f t="shared" si="403"/>
        <v>4029.4199999999996</v>
      </c>
      <c r="H1225" s="40">
        <f t="shared" si="403"/>
        <v>4085.5199999999995</v>
      </c>
      <c r="I1225" s="40">
        <f t="shared" si="403"/>
        <v>4041.8599999999997</v>
      </c>
      <c r="J1225" s="40">
        <f t="shared" si="403"/>
        <v>3875.5200000000004</v>
      </c>
      <c r="K1225" s="40">
        <f t="shared" si="403"/>
        <v>3703.3</v>
      </c>
      <c r="L1225" s="40">
        <f t="shared" si="403"/>
        <v>4019.3800000000006</v>
      </c>
      <c r="M1225" s="40">
        <f t="shared" si="403"/>
        <v>4088.6400000000003</v>
      </c>
      <c r="N1225" s="40">
        <f t="shared" si="403"/>
        <v>3900.18</v>
      </c>
      <c r="O1225" s="61"/>
      <c r="P1225" s="61"/>
      <c r="Q1225" s="62"/>
      <c r="R1225" s="62"/>
      <c r="S1225" s="139"/>
      <c r="T1225" s="8"/>
      <c r="U1225" s="146"/>
      <c r="X1225" s="118"/>
      <c r="Y1225" s="118"/>
      <c r="Z1225" s="118"/>
      <c r="AA1225" s="118"/>
    </row>
    <row r="1226" spans="1:29" ht="15.6" x14ac:dyDescent="0.3">
      <c r="A1226" s="278">
        <v>43657</v>
      </c>
      <c r="B1226" s="215" t="s">
        <v>169</v>
      </c>
      <c r="C1226" s="6" t="s">
        <v>171</v>
      </c>
      <c r="D1226" s="6" t="s">
        <v>189</v>
      </c>
      <c r="E1226" s="61" t="s">
        <v>186</v>
      </c>
      <c r="F1226" s="304">
        <v>1257.42</v>
      </c>
      <c r="G1226" s="304">
        <v>1227.29</v>
      </c>
      <c r="H1226" s="304">
        <v>1226.3699999999999</v>
      </c>
      <c r="I1226" s="304">
        <v>1239.47</v>
      </c>
      <c r="J1226" s="304">
        <v>1270.5</v>
      </c>
      <c r="K1226" s="304">
        <v>1275.98</v>
      </c>
      <c r="L1226" s="304">
        <v>1241.2</v>
      </c>
      <c r="M1226" s="304">
        <v>1230.26</v>
      </c>
      <c r="N1226" s="304">
        <v>1253.9000000000001</v>
      </c>
      <c r="O1226" s="61">
        <f>IF((N1227=""),"",MAX(F1228:N1228))</f>
        <v>2097.69</v>
      </c>
      <c r="P1226" s="61">
        <f>IF(N1227="","",MIN(F1228:N1228))</f>
        <v>2003.79</v>
      </c>
      <c r="Q1226" s="62">
        <f>IF((N1228=""),"",AVERAGE(F1228:N1228))</f>
        <v>2058.6099999999997</v>
      </c>
      <c r="R1226" s="62">
        <f>IF((N1227=""),"",(O1226-P1226)/(O1226+P1226)*100)</f>
        <v>2.2894174785687142</v>
      </c>
      <c r="S1226" s="139">
        <f>STDEV(F1228:N1228)</f>
        <v>35.219773210513409</v>
      </c>
      <c r="T1226" s="5" t="str">
        <f>IF(N1227="","",IF(Q1226&gt;1940,IF(R1226&lt;8.3,IF(Q1226&lt;2180,"Pass","Fail"),"Fail"),"Fail"))</f>
        <v>Pass</v>
      </c>
      <c r="U1226" s="149">
        <v>64</v>
      </c>
      <c r="X1226" s="116">
        <v>2000</v>
      </c>
      <c r="Y1226" s="116">
        <v>3000</v>
      </c>
      <c r="Z1226" s="116">
        <v>1940</v>
      </c>
      <c r="AA1226" s="116">
        <v>2180</v>
      </c>
      <c r="AB1226" s="31">
        <v>5.2</v>
      </c>
      <c r="AC1226" s="31">
        <v>5.2</v>
      </c>
    </row>
    <row r="1227" spans="1:29" ht="15.6" x14ac:dyDescent="0.3">
      <c r="A1227" s="212"/>
      <c r="B1227" s="24"/>
      <c r="C1227" s="6"/>
      <c r="D1227" s="6"/>
      <c r="E1227" s="61" t="s">
        <v>187</v>
      </c>
      <c r="F1227" s="304">
        <v>571.87</v>
      </c>
      <c r="G1227" s="304">
        <v>530.79</v>
      </c>
      <c r="H1227" s="304">
        <v>528.94000000000005</v>
      </c>
      <c r="I1227" s="304">
        <v>548.12</v>
      </c>
      <c r="J1227" s="304">
        <v>602.57000000000005</v>
      </c>
      <c r="K1227" s="304">
        <v>606.95000000000005</v>
      </c>
      <c r="L1227" s="304">
        <v>552.4</v>
      </c>
      <c r="M1227" s="304">
        <v>531.03</v>
      </c>
      <c r="N1227" s="304">
        <v>573.89</v>
      </c>
      <c r="O1227" s="61"/>
      <c r="P1227" s="61"/>
      <c r="Q1227" s="62"/>
      <c r="R1227" s="62"/>
      <c r="S1227" s="139"/>
      <c r="T1227" s="5"/>
      <c r="U1227" s="140"/>
      <c r="X1227" s="118"/>
      <c r="Y1227" s="118"/>
      <c r="Z1227" s="118"/>
      <c r="AA1227" s="118"/>
    </row>
    <row r="1228" spans="1:29" ht="16.2" thickBot="1" x14ac:dyDescent="0.35">
      <c r="A1228" s="212"/>
      <c r="B1228" s="24"/>
      <c r="C1228" s="6"/>
      <c r="D1228" s="6"/>
      <c r="E1228" s="61" t="s">
        <v>190</v>
      </c>
      <c r="F1228" s="40">
        <f t="shared" ref="F1228:N1228" si="404">IF(((F1226="")*AND(F1227="")),"",(F1226-F1227)*3)</f>
        <v>2056.65</v>
      </c>
      <c r="G1228" s="40">
        <f t="shared" si="404"/>
        <v>2089.5</v>
      </c>
      <c r="H1228" s="40">
        <f t="shared" si="404"/>
        <v>2092.2899999999995</v>
      </c>
      <c r="I1228" s="40">
        <f t="shared" si="404"/>
        <v>2074.0500000000002</v>
      </c>
      <c r="J1228" s="40">
        <f t="shared" si="404"/>
        <v>2003.79</v>
      </c>
      <c r="K1228" s="40">
        <f t="shared" si="404"/>
        <v>2007.09</v>
      </c>
      <c r="L1228" s="40">
        <f t="shared" si="404"/>
        <v>2066.4</v>
      </c>
      <c r="M1228" s="40">
        <f t="shared" si="404"/>
        <v>2097.69</v>
      </c>
      <c r="N1228" s="40">
        <f t="shared" si="404"/>
        <v>2040.0300000000002</v>
      </c>
      <c r="O1228" s="61"/>
      <c r="P1228" s="61"/>
      <c r="Q1228" s="62"/>
      <c r="R1228" s="62"/>
      <c r="S1228" s="139"/>
      <c r="T1228" s="5"/>
      <c r="U1228" s="140"/>
      <c r="X1228" s="118"/>
      <c r="Y1228" s="118"/>
      <c r="Z1228" s="118"/>
      <c r="AA1228" s="118"/>
    </row>
    <row r="1229" spans="1:29" ht="15.6" x14ac:dyDescent="0.3">
      <c r="A1229" s="278">
        <v>43657</v>
      </c>
      <c r="B1229" s="218" t="s">
        <v>185</v>
      </c>
      <c r="C1229" s="6" t="s">
        <v>173</v>
      </c>
      <c r="D1229" s="6" t="s">
        <v>172</v>
      </c>
      <c r="E1229" s="61" t="s">
        <v>186</v>
      </c>
      <c r="F1229" s="304">
        <v>27552.880000000001</v>
      </c>
      <c r="G1229" s="304">
        <v>27538.77</v>
      </c>
      <c r="H1229" s="304">
        <v>27596.65</v>
      </c>
      <c r="I1229" s="304">
        <v>27546.73</v>
      </c>
      <c r="J1229" s="304">
        <v>27521.13</v>
      </c>
      <c r="K1229" s="304">
        <v>27539.43</v>
      </c>
      <c r="L1229" s="304">
        <v>27555.759999999998</v>
      </c>
      <c r="M1229" s="304">
        <v>27542.31</v>
      </c>
      <c r="N1229" s="304">
        <v>27498.37</v>
      </c>
      <c r="O1229" s="61">
        <f>IF((N1230=""),"",MAX(F1231:N1231))</f>
        <v>4465.1400000000031</v>
      </c>
      <c r="P1229" s="61">
        <f>IF(N1230="","",MIN(F1231:N1231))</f>
        <v>4024.9500000000044</v>
      </c>
      <c r="Q1229" s="62">
        <f>IF((N1231=""),"",AVERAGE(F1231:N1231))</f>
        <v>4213.0733333333346</v>
      </c>
      <c r="R1229" s="62">
        <f>IF((N1230=""),"",(O1229-P1229)/(O1229+P1229)*100)</f>
        <v>5.1847506916887607</v>
      </c>
      <c r="S1229" s="139">
        <f>STDEV(F1231:N1231)</f>
        <v>199.38917040551465</v>
      </c>
      <c r="T1229" s="5" t="str">
        <f>IF(N1230="","",IF(R1229&lt;16,IF(Q1229&gt;3200,IF(R1229,IF(Q1229&lt;5240,"Pass","Fail"),"Fail"),"Fail")))</f>
        <v>Pass</v>
      </c>
      <c r="U1229" s="149">
        <v>64</v>
      </c>
      <c r="X1229" s="116">
        <v>4200</v>
      </c>
      <c r="Y1229" s="116">
        <v>5500</v>
      </c>
      <c r="Z1229" s="116">
        <v>3200</v>
      </c>
      <c r="AA1229" s="116">
        <v>5240</v>
      </c>
      <c r="AB1229" s="31">
        <v>16</v>
      </c>
      <c r="AC1229" s="31">
        <v>16</v>
      </c>
    </row>
    <row r="1230" spans="1:29" ht="15.6" x14ac:dyDescent="0.3">
      <c r="A1230" s="212"/>
      <c r="B1230" s="24"/>
      <c r="C1230" s="6"/>
      <c r="D1230" s="6"/>
      <c r="E1230" s="61" t="s">
        <v>187</v>
      </c>
      <c r="F1230" s="304">
        <v>26064.5</v>
      </c>
      <c r="G1230" s="304">
        <v>26194.26</v>
      </c>
      <c r="H1230" s="304">
        <v>26255</v>
      </c>
      <c r="I1230" s="304">
        <v>26203.62</v>
      </c>
      <c r="J1230" s="304">
        <v>26060.29</v>
      </c>
      <c r="K1230" s="304">
        <v>26062.22</v>
      </c>
      <c r="L1230" s="304">
        <v>26193.05</v>
      </c>
      <c r="M1230" s="304">
        <v>26189.82</v>
      </c>
      <c r="N1230" s="304">
        <v>26030.05</v>
      </c>
      <c r="O1230" s="127"/>
      <c r="P1230" s="61"/>
      <c r="Q1230" s="62"/>
      <c r="R1230" s="62"/>
      <c r="S1230" s="139"/>
      <c r="T1230" s="5"/>
      <c r="U1230" s="140"/>
    </row>
    <row r="1231" spans="1:29" ht="23.4" thickBot="1" x14ac:dyDescent="0.35">
      <c r="A1231" s="212"/>
      <c r="B1231" s="63"/>
      <c r="C1231" s="64"/>
      <c r="D1231" s="64"/>
      <c r="E1231" s="61" t="s">
        <v>188</v>
      </c>
      <c r="F1231" s="53">
        <f t="shared" ref="F1231:N1231" si="405">IF(((F1229="")*AND(F1230="")),"",(F1229-F1230)*3)</f>
        <v>4465.1400000000031</v>
      </c>
      <c r="G1231" s="53">
        <f t="shared" si="405"/>
        <v>4033.5300000000061</v>
      </c>
      <c r="H1231" s="53">
        <f t="shared" si="405"/>
        <v>4024.9500000000044</v>
      </c>
      <c r="I1231" s="53">
        <f t="shared" si="405"/>
        <v>4029.3300000000017</v>
      </c>
      <c r="J1231" s="53">
        <f t="shared" si="405"/>
        <v>4382.5200000000004</v>
      </c>
      <c r="K1231" s="53">
        <f t="shared" si="405"/>
        <v>4431.6299999999974</v>
      </c>
      <c r="L1231" s="53">
        <f t="shared" si="405"/>
        <v>4088.1299999999974</v>
      </c>
      <c r="M1231" s="53">
        <f t="shared" si="405"/>
        <v>4057.4700000000048</v>
      </c>
      <c r="N1231" s="53">
        <f t="shared" si="405"/>
        <v>4404.9599999999991</v>
      </c>
      <c r="O1231" s="65"/>
      <c r="P1231" s="65"/>
      <c r="Q1231" s="66"/>
      <c r="R1231" s="66"/>
      <c r="S1231" s="142"/>
      <c r="T1231" s="143"/>
      <c r="U1231" s="144"/>
    </row>
    <row r="1232" spans="1:29" ht="15.6" x14ac:dyDescent="0.3">
      <c r="A1232" s="278">
        <v>43660</v>
      </c>
      <c r="B1232" s="217" t="s">
        <v>174</v>
      </c>
      <c r="C1232" s="44" t="s">
        <v>176</v>
      </c>
      <c r="D1232" s="44" t="s">
        <v>175</v>
      </c>
      <c r="E1232" s="61" t="s">
        <v>186</v>
      </c>
      <c r="F1232">
        <v>5372.86</v>
      </c>
      <c r="G1232">
        <v>5370.24</v>
      </c>
      <c r="H1232">
        <v>5389.89</v>
      </c>
      <c r="I1232">
        <v>5367.28</v>
      </c>
      <c r="J1232">
        <v>5305.07</v>
      </c>
      <c r="K1232">
        <v>5336.96</v>
      </c>
      <c r="L1232">
        <v>5348.25</v>
      </c>
      <c r="M1232">
        <v>5417.75</v>
      </c>
      <c r="N1232">
        <v>5437.3</v>
      </c>
      <c r="O1232" s="59">
        <f>IF((N1233=""),"",MAX(F1234:N1234))</f>
        <v>4038.7</v>
      </c>
      <c r="P1232" s="59">
        <f>IF(N1233="","",MIN(F1234:N1234))</f>
        <v>3660.42</v>
      </c>
      <c r="Q1232" s="60">
        <f>IF((N1234=""),"",AVERAGE(F1234:N1234))</f>
        <v>3891.684444444445</v>
      </c>
      <c r="R1232" s="60">
        <f>IF((N1233=""),"",(O1232-P1232)/(O1232+P1232)*100)</f>
        <v>4.9132887914462922</v>
      </c>
      <c r="S1232" s="131">
        <f>STDEV(F1234:N1234)</f>
        <v>133.8306914641698</v>
      </c>
      <c r="T1232" s="137" t="str">
        <f>IF(N1233="","",IF(Q1232&gt;3650,IF(R1232&lt;7,IF(Q1232&lt;4450,"Pass","Fail"),"Fail"),"Fail"))</f>
        <v>Pass</v>
      </c>
      <c r="U1232" s="149">
        <v>74</v>
      </c>
      <c r="V1232" s="11" t="s">
        <v>307</v>
      </c>
      <c r="X1232" s="116">
        <v>3650</v>
      </c>
      <c r="Y1232" s="116">
        <v>4450</v>
      </c>
      <c r="Z1232" s="116">
        <v>3700</v>
      </c>
      <c r="AA1232" s="116">
        <v>4100</v>
      </c>
      <c r="AB1232" s="31">
        <v>7</v>
      </c>
      <c r="AC1232" s="31">
        <v>6.5</v>
      </c>
    </row>
    <row r="1233" spans="1:29" ht="15.6" x14ac:dyDescent="0.3">
      <c r="A1233" s="212"/>
      <c r="B1233" s="24"/>
      <c r="C1233" s="6"/>
      <c r="D1233" s="6"/>
      <c r="E1233" s="61" t="s">
        <v>187</v>
      </c>
      <c r="F1233">
        <v>3516.95</v>
      </c>
      <c r="G1233">
        <v>3390.85</v>
      </c>
      <c r="H1233">
        <v>3379.41</v>
      </c>
      <c r="I1233">
        <v>3377.43</v>
      </c>
      <c r="J1233">
        <v>3388.18</v>
      </c>
      <c r="K1233">
        <v>3506.75</v>
      </c>
      <c r="L1233">
        <v>3374.24</v>
      </c>
      <c r="M1233">
        <v>3398.4</v>
      </c>
      <c r="N1233">
        <v>3500.81</v>
      </c>
      <c r="O1233" s="61"/>
      <c r="P1233" s="61"/>
      <c r="Q1233" s="62"/>
      <c r="R1233" s="62"/>
      <c r="S1233" s="139"/>
      <c r="T1233" s="8"/>
      <c r="U1233" s="146"/>
      <c r="X1233" s="118"/>
      <c r="Y1233" s="118"/>
      <c r="Z1233" s="118"/>
      <c r="AA1233" s="118"/>
    </row>
    <row r="1234" spans="1:29" ht="23.4" thickBot="1" x14ac:dyDescent="0.35">
      <c r="A1234" s="212"/>
      <c r="B1234" s="24"/>
      <c r="C1234" s="6"/>
      <c r="D1234" s="6"/>
      <c r="E1234" s="61" t="s">
        <v>188</v>
      </c>
      <c r="F1234" s="40">
        <f t="shared" ref="F1234:N1234" si="406">IF(((F1232="")*AND(F1233="")),"",(F1232-F1233)*2)</f>
        <v>3711.8199999999997</v>
      </c>
      <c r="G1234" s="40">
        <f t="shared" si="406"/>
        <v>3958.7799999999997</v>
      </c>
      <c r="H1234" s="40">
        <f t="shared" si="406"/>
        <v>4020.9600000000009</v>
      </c>
      <c r="I1234" s="40">
        <f t="shared" si="406"/>
        <v>3979.7</v>
      </c>
      <c r="J1234" s="40">
        <f t="shared" si="406"/>
        <v>3833.7799999999997</v>
      </c>
      <c r="K1234" s="40">
        <f t="shared" si="406"/>
        <v>3660.42</v>
      </c>
      <c r="L1234" s="40">
        <f t="shared" si="406"/>
        <v>3948.0200000000004</v>
      </c>
      <c r="M1234" s="40">
        <f t="shared" si="406"/>
        <v>4038.7</v>
      </c>
      <c r="N1234" s="40">
        <f t="shared" si="406"/>
        <v>3872.9800000000005</v>
      </c>
      <c r="O1234" s="61"/>
      <c r="P1234" s="61"/>
      <c r="Q1234" s="62"/>
      <c r="R1234" s="62"/>
      <c r="S1234" s="139"/>
      <c r="T1234" s="8"/>
      <c r="U1234" s="146"/>
      <c r="X1234" s="118"/>
      <c r="Y1234" s="118"/>
      <c r="Z1234" s="118"/>
      <c r="AA1234" s="118"/>
    </row>
    <row r="1235" spans="1:29" ht="15.6" x14ac:dyDescent="0.3">
      <c r="A1235" s="278">
        <v>43660</v>
      </c>
      <c r="B1235" s="215" t="s">
        <v>169</v>
      </c>
      <c r="C1235" s="6" t="s">
        <v>171</v>
      </c>
      <c r="D1235" s="6" t="s">
        <v>189</v>
      </c>
      <c r="E1235" s="61" t="s">
        <v>186</v>
      </c>
      <c r="F1235">
        <v>1955.83</v>
      </c>
      <c r="G1235">
        <v>1949.01</v>
      </c>
      <c r="H1235">
        <v>1944.98</v>
      </c>
      <c r="I1235">
        <v>1950.45</v>
      </c>
      <c r="J1235">
        <v>1960.95</v>
      </c>
      <c r="K1235">
        <v>1958.26</v>
      </c>
      <c r="L1235">
        <v>1951.48</v>
      </c>
      <c r="M1235">
        <v>1950.05</v>
      </c>
      <c r="N1235">
        <v>1955.43</v>
      </c>
      <c r="O1235" s="61">
        <f>IF((N1236=""),"",MAX(F1237:N1237))</f>
        <v>2161.8599999999997</v>
      </c>
      <c r="P1235" s="61">
        <f>IF(N1236="","",MIN(F1237:N1237))</f>
        <v>2064.33</v>
      </c>
      <c r="Q1235" s="62">
        <f>IF((N1237=""),"",AVERAGE(F1237:N1237))</f>
        <v>2125.9333333333334</v>
      </c>
      <c r="R1235" s="62">
        <f>IF((N1236=""),"",(O1235-P1235)/(O1235+P1235)*100)</f>
        <v>2.3077523727044866</v>
      </c>
      <c r="S1235" s="139">
        <f>STDEV(F1237:N1237)</f>
        <v>31.871255466328844</v>
      </c>
      <c r="T1235" s="5" t="str">
        <f>IF(N1236="","",IF(Q1235&gt;1940,IF(R1235&lt;8.3,IF(Q1235&lt;2180,"Pass","Fail"),"Fail"),"Fail"))</f>
        <v>Pass</v>
      </c>
      <c r="U1235" s="149">
        <v>74</v>
      </c>
      <c r="V1235" s="11" t="s">
        <v>307</v>
      </c>
      <c r="X1235" s="116">
        <v>2000</v>
      </c>
      <c r="Y1235" s="116">
        <v>3000</v>
      </c>
      <c r="Z1235" s="116">
        <v>1940</v>
      </c>
      <c r="AA1235" s="116">
        <v>2180</v>
      </c>
      <c r="AB1235" s="31">
        <v>5.2</v>
      </c>
      <c r="AC1235" s="31">
        <v>5.2</v>
      </c>
    </row>
    <row r="1236" spans="1:29" ht="15.6" x14ac:dyDescent="0.3">
      <c r="A1236" s="212"/>
      <c r="B1236" s="24"/>
      <c r="C1236" s="6"/>
      <c r="D1236" s="6"/>
      <c r="E1236" s="61" t="s">
        <v>187</v>
      </c>
      <c r="F1236">
        <v>1258.1400000000001</v>
      </c>
      <c r="G1236">
        <v>1231.1300000000001</v>
      </c>
      <c r="H1236">
        <v>1231.75</v>
      </c>
      <c r="I1236">
        <v>1235.53</v>
      </c>
      <c r="J1236">
        <v>1258.82</v>
      </c>
      <c r="K1236">
        <v>1270.1500000000001</v>
      </c>
      <c r="L1236">
        <v>1237.4100000000001</v>
      </c>
      <c r="M1236">
        <v>1229.43</v>
      </c>
      <c r="N1236">
        <v>1246.28</v>
      </c>
      <c r="O1236" s="61"/>
      <c r="P1236" s="61"/>
      <c r="Q1236" s="62"/>
      <c r="R1236" s="62"/>
      <c r="S1236" s="139"/>
      <c r="T1236" s="5"/>
      <c r="U1236" s="140"/>
      <c r="X1236" s="118"/>
      <c r="Y1236" s="118"/>
      <c r="Z1236" s="118"/>
      <c r="AA1236" s="118"/>
    </row>
    <row r="1237" spans="1:29" ht="16.2" thickBot="1" x14ac:dyDescent="0.35">
      <c r="A1237" s="212"/>
      <c r="B1237" s="24"/>
      <c r="C1237" s="6"/>
      <c r="D1237" s="6"/>
      <c r="E1237" s="61" t="s">
        <v>190</v>
      </c>
      <c r="F1237" s="40">
        <f t="shared" ref="F1237:N1237" si="407">IF(((F1235="")*AND(F1236="")),"",(F1235-F1236)*3)</f>
        <v>2093.0699999999997</v>
      </c>
      <c r="G1237" s="40">
        <f t="shared" si="407"/>
        <v>2153.6399999999994</v>
      </c>
      <c r="H1237" s="40">
        <f t="shared" si="407"/>
        <v>2139.69</v>
      </c>
      <c r="I1237" s="40">
        <f t="shared" si="407"/>
        <v>2144.7600000000002</v>
      </c>
      <c r="J1237" s="40">
        <f t="shared" si="407"/>
        <v>2106.3900000000003</v>
      </c>
      <c r="K1237" s="40">
        <f t="shared" si="407"/>
        <v>2064.33</v>
      </c>
      <c r="L1237" s="40">
        <f t="shared" si="407"/>
        <v>2142.21</v>
      </c>
      <c r="M1237" s="40">
        <f t="shared" si="407"/>
        <v>2161.8599999999997</v>
      </c>
      <c r="N1237" s="40">
        <f t="shared" si="407"/>
        <v>2127.4500000000003</v>
      </c>
      <c r="O1237" s="61"/>
      <c r="P1237" s="61"/>
      <c r="Q1237" s="62"/>
      <c r="R1237" s="62"/>
      <c r="S1237" s="139"/>
      <c r="T1237" s="5"/>
      <c r="U1237" s="140"/>
      <c r="X1237" s="118"/>
      <c r="Y1237" s="118"/>
      <c r="Z1237" s="118"/>
      <c r="AA1237" s="118"/>
    </row>
    <row r="1238" spans="1:29" ht="15.6" x14ac:dyDescent="0.3">
      <c r="A1238" s="278">
        <v>43660</v>
      </c>
      <c r="B1238" s="218" t="s">
        <v>185</v>
      </c>
      <c r="C1238" s="6" t="s">
        <v>173</v>
      </c>
      <c r="D1238" s="6" t="s">
        <v>172</v>
      </c>
      <c r="E1238" s="61" t="s">
        <v>186</v>
      </c>
      <c r="F1238">
        <v>29121.79</v>
      </c>
      <c r="G1238">
        <v>29017.52</v>
      </c>
      <c r="H1238">
        <v>29049.54</v>
      </c>
      <c r="I1238">
        <v>29001.83</v>
      </c>
      <c r="J1238">
        <v>29105.08</v>
      </c>
      <c r="K1238">
        <v>29143.16</v>
      </c>
      <c r="L1238">
        <v>29010.13</v>
      </c>
      <c r="M1238">
        <v>28988.26</v>
      </c>
      <c r="N1238">
        <v>29080.46</v>
      </c>
      <c r="O1238" s="61">
        <f>IF((N1239=""),"",MAX(F1240:N1240))</f>
        <v>4680.6000000000022</v>
      </c>
      <c r="P1238" s="61">
        <f>IF(N1239="","",MIN(F1240:N1240))</f>
        <v>4086.0900000000074</v>
      </c>
      <c r="Q1238" s="62">
        <f>IF((N1240=""),"",AVERAGE(F1240:N1240))</f>
        <v>4356.9800000000023</v>
      </c>
      <c r="R1238" s="62">
        <f>IF((N1239=""),"",(O1238-P1238)/(O1238+P1238)*100)</f>
        <v>6.7814648402075823</v>
      </c>
      <c r="S1238" s="139">
        <f>STDEV(F1240:N1240)</f>
        <v>233.74401045802128</v>
      </c>
      <c r="T1238" s="5" t="str">
        <f>IF(N1239="","",IF(R1238&lt;16,IF(Q1238&gt;3200,IF(R1238,IF(Q1238&lt;5240,"Pass","Fail"),"Fail"),"Fail")))</f>
        <v>Pass</v>
      </c>
      <c r="U1238" s="149">
        <v>74</v>
      </c>
      <c r="V1238" s="11" t="s">
        <v>307</v>
      </c>
      <c r="X1238" s="116">
        <v>4200</v>
      </c>
      <c r="Y1238" s="116">
        <v>5500</v>
      </c>
      <c r="Z1238" s="116">
        <v>3200</v>
      </c>
      <c r="AA1238" s="116">
        <v>5240</v>
      </c>
      <c r="AB1238" s="31">
        <v>16</v>
      </c>
      <c r="AC1238" s="31">
        <v>16</v>
      </c>
    </row>
    <row r="1239" spans="1:29" ht="15.6" x14ac:dyDescent="0.3">
      <c r="A1239" s="212"/>
      <c r="B1239" s="24"/>
      <c r="C1239" s="6"/>
      <c r="D1239" s="6"/>
      <c r="E1239" s="61" t="s">
        <v>187</v>
      </c>
      <c r="F1239">
        <v>27587.79</v>
      </c>
      <c r="G1239">
        <v>27618.27</v>
      </c>
      <c r="H1239">
        <v>27687.51</v>
      </c>
      <c r="I1239">
        <v>27609.3</v>
      </c>
      <c r="J1239">
        <v>27582.799999999999</v>
      </c>
      <c r="K1239">
        <v>27631.13</v>
      </c>
      <c r="L1239">
        <v>27631.98</v>
      </c>
      <c r="M1239">
        <v>27577.79</v>
      </c>
      <c r="N1239">
        <v>27520.26</v>
      </c>
      <c r="O1239" s="127"/>
      <c r="P1239" s="61"/>
      <c r="Q1239" s="62"/>
      <c r="R1239" s="62"/>
      <c r="S1239" s="139"/>
      <c r="T1239" s="5"/>
      <c r="U1239" s="140"/>
    </row>
    <row r="1240" spans="1:29" ht="23.4" thickBot="1" x14ac:dyDescent="0.35">
      <c r="A1240" s="212"/>
      <c r="B1240" s="63"/>
      <c r="C1240" s="64"/>
      <c r="D1240" s="64"/>
      <c r="E1240" s="61" t="s">
        <v>188</v>
      </c>
      <c r="F1240" s="53">
        <f t="shared" ref="F1240:N1240" si="408">IF(((F1238="")*AND(F1239="")),"",(F1238-F1239)*3)</f>
        <v>4602</v>
      </c>
      <c r="G1240" s="53">
        <f t="shared" si="408"/>
        <v>4197.75</v>
      </c>
      <c r="H1240" s="53">
        <f t="shared" si="408"/>
        <v>4086.0900000000074</v>
      </c>
      <c r="I1240" s="53">
        <f t="shared" si="408"/>
        <v>4177.5900000000074</v>
      </c>
      <c r="J1240" s="53">
        <f t="shared" si="408"/>
        <v>4566.8400000000074</v>
      </c>
      <c r="K1240" s="53">
        <f t="shared" si="408"/>
        <v>4536.0899999999965</v>
      </c>
      <c r="L1240" s="53">
        <f t="shared" si="408"/>
        <v>4134.4500000000044</v>
      </c>
      <c r="M1240" s="53">
        <f t="shared" si="408"/>
        <v>4231.4099999999926</v>
      </c>
      <c r="N1240" s="53">
        <f t="shared" si="408"/>
        <v>4680.6000000000022</v>
      </c>
      <c r="O1240" s="65"/>
      <c r="P1240" s="65"/>
      <c r="Q1240" s="66"/>
      <c r="R1240" s="66"/>
      <c r="S1240" s="142"/>
      <c r="T1240" s="143"/>
      <c r="U1240" s="144"/>
    </row>
    <row r="1241" spans="1:29" ht="15.6" x14ac:dyDescent="0.3">
      <c r="A1241" s="278">
        <v>43663</v>
      </c>
      <c r="B1241" s="217" t="s">
        <v>174</v>
      </c>
      <c r="C1241" s="44" t="s">
        <v>176</v>
      </c>
      <c r="D1241" s="44" t="s">
        <v>175</v>
      </c>
      <c r="E1241" s="61" t="s">
        <v>186</v>
      </c>
      <c r="F1241">
        <v>3523.46</v>
      </c>
      <c r="G1241">
        <v>3397.25</v>
      </c>
      <c r="H1241">
        <v>3385.14</v>
      </c>
      <c r="I1241">
        <v>3383.11</v>
      </c>
      <c r="J1241">
        <v>3393.26</v>
      </c>
      <c r="K1241">
        <v>3512.1</v>
      </c>
      <c r="L1241">
        <v>3380.03</v>
      </c>
      <c r="M1241">
        <v>3403.95</v>
      </c>
      <c r="N1241">
        <v>3506.37</v>
      </c>
      <c r="O1241" s="59">
        <f>IF((N1242=""),"",MAX(F1243:N1243))</f>
        <v>4007.1199999999994</v>
      </c>
      <c r="P1241" s="59">
        <f>IF(N1242="","",MIN(F1243:N1243))</f>
        <v>3645.2</v>
      </c>
      <c r="Q1241" s="60">
        <f>IF((N1243=""),"",AVERAGE(F1243:N1243))</f>
        <v>3875.5911111111109</v>
      </c>
      <c r="R1241" s="60">
        <f>IF((N1242=""),"",(O1241-P1241)/(O1241+P1241)*100)</f>
        <v>4.7295460723022513</v>
      </c>
      <c r="S1241" s="131">
        <f>STDEV(F1243:N1243)</f>
        <v>131.54549445386218</v>
      </c>
      <c r="T1241" s="137" t="str">
        <f>IF(N1242="","",IF(Q1241&gt;3650,IF(R1241&lt;7,IF(Q1241&lt;4450,"Pass","Fail"),"Fail"),"Fail"))</f>
        <v>Pass</v>
      </c>
      <c r="U1241" s="149">
        <v>1335</v>
      </c>
      <c r="V1241" s="11" t="s">
        <v>309</v>
      </c>
      <c r="X1241" s="116">
        <v>3650</v>
      </c>
      <c r="Y1241" s="116">
        <v>4450</v>
      </c>
      <c r="Z1241" s="116">
        <v>3700</v>
      </c>
      <c r="AA1241" s="116">
        <v>4100</v>
      </c>
      <c r="AB1241" s="31">
        <v>7</v>
      </c>
      <c r="AC1241" s="31">
        <v>6.5</v>
      </c>
    </row>
    <row r="1242" spans="1:29" ht="15.6" x14ac:dyDescent="0.3">
      <c r="A1242" s="212"/>
      <c r="B1242" s="24"/>
      <c r="C1242" s="6"/>
      <c r="D1242" s="6"/>
      <c r="E1242" s="61" t="s">
        <v>187</v>
      </c>
      <c r="F1242">
        <v>1669.8</v>
      </c>
      <c r="G1242">
        <v>1423.25</v>
      </c>
      <c r="H1242">
        <v>1381.65</v>
      </c>
      <c r="I1242">
        <v>1399.96</v>
      </c>
      <c r="J1242">
        <v>1483.37</v>
      </c>
      <c r="K1242">
        <v>1689.5</v>
      </c>
      <c r="L1242">
        <v>1408.94</v>
      </c>
      <c r="M1242">
        <v>1400.39</v>
      </c>
      <c r="N1242">
        <v>1587.65</v>
      </c>
      <c r="O1242" s="61"/>
      <c r="P1242" s="61"/>
      <c r="Q1242" s="62"/>
      <c r="R1242" s="62"/>
      <c r="S1242" s="139"/>
      <c r="T1242" s="8"/>
      <c r="U1242" s="146"/>
      <c r="X1242" s="118"/>
      <c r="Y1242" s="118"/>
      <c r="Z1242" s="118"/>
      <c r="AA1242" s="118"/>
    </row>
    <row r="1243" spans="1:29" ht="23.4" thickBot="1" x14ac:dyDescent="0.35">
      <c r="A1243" s="212"/>
      <c r="B1243" s="24"/>
      <c r="C1243" s="6"/>
      <c r="D1243" s="6"/>
      <c r="E1243" s="61" t="s">
        <v>188</v>
      </c>
      <c r="F1243" s="40">
        <f t="shared" ref="F1243:N1243" si="409">IF(((F1241="")*AND(F1242="")),"",(F1241-F1242)*2)</f>
        <v>3707.32</v>
      </c>
      <c r="G1243" s="40">
        <f t="shared" si="409"/>
        <v>3948</v>
      </c>
      <c r="H1243" s="40">
        <f t="shared" si="409"/>
        <v>4006.9799999999996</v>
      </c>
      <c r="I1243" s="40">
        <f t="shared" si="409"/>
        <v>3966.3</v>
      </c>
      <c r="J1243" s="40">
        <f t="shared" si="409"/>
        <v>3819.7800000000007</v>
      </c>
      <c r="K1243" s="40">
        <f t="shared" si="409"/>
        <v>3645.2</v>
      </c>
      <c r="L1243" s="40">
        <f t="shared" si="409"/>
        <v>3942.1800000000003</v>
      </c>
      <c r="M1243" s="40">
        <f t="shared" si="409"/>
        <v>4007.1199999999994</v>
      </c>
      <c r="N1243" s="40">
        <f t="shared" si="409"/>
        <v>3837.4399999999996</v>
      </c>
      <c r="O1243" s="61"/>
      <c r="P1243" s="61"/>
      <c r="Q1243" s="62"/>
      <c r="R1243" s="62"/>
      <c r="S1243" s="139"/>
      <c r="T1243" s="8"/>
      <c r="U1243" s="146"/>
      <c r="X1243" s="118"/>
      <c r="Y1243" s="118"/>
      <c r="Z1243" s="118"/>
      <c r="AA1243" s="118"/>
    </row>
    <row r="1244" spans="1:29" ht="15.6" x14ac:dyDescent="0.3">
      <c r="A1244" s="278">
        <v>43663</v>
      </c>
      <c r="B1244" s="215" t="s">
        <v>169</v>
      </c>
      <c r="C1244" s="6" t="s">
        <v>171</v>
      </c>
      <c r="D1244" s="6" t="s">
        <v>189</v>
      </c>
      <c r="E1244" s="61" t="s">
        <v>186</v>
      </c>
      <c r="F1244">
        <v>1987.72</v>
      </c>
      <c r="G1244">
        <v>1985.13</v>
      </c>
      <c r="H1244">
        <v>1985.4</v>
      </c>
      <c r="I1244">
        <v>1990.93</v>
      </c>
      <c r="J1244">
        <v>1995.19</v>
      </c>
      <c r="K1244">
        <v>1995.71</v>
      </c>
      <c r="L1244">
        <v>1990.7</v>
      </c>
      <c r="M1244">
        <v>1989.33</v>
      </c>
      <c r="N1244">
        <v>1987.66</v>
      </c>
      <c r="O1244" s="61">
        <f>IF((N1245=""),"",MAX(F1246:N1246))</f>
        <v>2172.06</v>
      </c>
      <c r="P1244" s="61">
        <f>IF(N1245="","",MIN(F1246:N1246))</f>
        <v>2059.3200000000002</v>
      </c>
      <c r="Q1244" s="62">
        <f>IF((N1246=""),"",AVERAGE(F1246:N1246))</f>
        <v>2119.0100000000002</v>
      </c>
      <c r="R1244" s="62">
        <f>IF((N1245=""),"",(O1244-P1244)/(O1244+P1244)*100)</f>
        <v>2.6643789969229843</v>
      </c>
      <c r="S1244" s="139">
        <f>STDEV(F1246:N1246)</f>
        <v>42.68449191451154</v>
      </c>
      <c r="T1244" s="5" t="str">
        <f>IF(N1245="","",IF(Q1244&gt;1940,IF(R1244&lt;8.3,IF(Q1244&lt;2180,"Pass","Fail"),"Fail"),"Fail"))</f>
        <v>Pass</v>
      </c>
      <c r="U1244" s="149">
        <v>1335</v>
      </c>
      <c r="V1244" s="11" t="s">
        <v>309</v>
      </c>
      <c r="X1244" s="116">
        <v>2000</v>
      </c>
      <c r="Y1244" s="116">
        <v>3000</v>
      </c>
      <c r="Z1244" s="116">
        <v>1940</v>
      </c>
      <c r="AA1244" s="116">
        <v>2180</v>
      </c>
      <c r="AB1244" s="31">
        <v>5.2</v>
      </c>
      <c r="AC1244" s="31">
        <v>5.2</v>
      </c>
    </row>
    <row r="1245" spans="1:29" ht="15.6" x14ac:dyDescent="0.3">
      <c r="A1245" s="212"/>
      <c r="B1245" s="24"/>
      <c r="C1245" s="6"/>
      <c r="D1245" s="6"/>
      <c r="E1245" s="61" t="s">
        <v>187</v>
      </c>
      <c r="F1245">
        <v>1299.52</v>
      </c>
      <c r="G1245">
        <v>1273.02</v>
      </c>
      <c r="H1245">
        <v>1267.27</v>
      </c>
      <c r="I1245">
        <v>1270.8</v>
      </c>
      <c r="J1245">
        <v>1302.1300000000001</v>
      </c>
      <c r="K1245">
        <v>1309.27</v>
      </c>
      <c r="L1245">
        <v>1278.73</v>
      </c>
      <c r="M1245">
        <v>1265.31</v>
      </c>
      <c r="N1245">
        <v>1284.69</v>
      </c>
      <c r="O1245" s="61"/>
      <c r="P1245" s="61"/>
      <c r="Q1245" s="62"/>
      <c r="R1245" s="62"/>
      <c r="S1245" s="139"/>
      <c r="T1245" s="5"/>
      <c r="U1245" s="140"/>
      <c r="X1245" s="118"/>
      <c r="Y1245" s="118"/>
      <c r="Z1245" s="118"/>
      <c r="AA1245" s="118"/>
    </row>
    <row r="1246" spans="1:29" ht="16.2" thickBot="1" x14ac:dyDescent="0.35">
      <c r="A1246" s="212"/>
      <c r="B1246" s="24"/>
      <c r="C1246" s="6"/>
      <c r="D1246" s="6"/>
      <c r="E1246" s="61" t="s">
        <v>190</v>
      </c>
      <c r="F1246" s="40">
        <f t="shared" ref="F1246:N1246" si="410">IF(((F1244="")*AND(F1245="")),"",(F1244-F1245)*3)</f>
        <v>2064.6000000000004</v>
      </c>
      <c r="G1246" s="40">
        <f t="shared" si="410"/>
        <v>2136.3300000000004</v>
      </c>
      <c r="H1246" s="40">
        <f t="shared" si="410"/>
        <v>2154.3900000000003</v>
      </c>
      <c r="I1246" s="40">
        <f t="shared" si="410"/>
        <v>2160.3900000000003</v>
      </c>
      <c r="J1246" s="40">
        <f t="shared" si="410"/>
        <v>2079.1799999999998</v>
      </c>
      <c r="K1246" s="40">
        <f t="shared" si="410"/>
        <v>2059.3200000000002</v>
      </c>
      <c r="L1246" s="40">
        <f t="shared" si="410"/>
        <v>2135.91</v>
      </c>
      <c r="M1246" s="40">
        <f t="shared" si="410"/>
        <v>2172.06</v>
      </c>
      <c r="N1246" s="40">
        <f t="shared" si="410"/>
        <v>2108.91</v>
      </c>
      <c r="O1246" s="61"/>
      <c r="P1246" s="61"/>
      <c r="Q1246" s="62"/>
      <c r="R1246" s="62"/>
      <c r="S1246" s="139"/>
      <c r="T1246" s="5"/>
      <c r="U1246" s="140"/>
      <c r="X1246" s="118"/>
      <c r="Y1246" s="118"/>
      <c r="Z1246" s="118"/>
      <c r="AA1246" s="118"/>
    </row>
    <row r="1247" spans="1:29" ht="15.6" x14ac:dyDescent="0.3">
      <c r="A1247" s="278">
        <v>43663</v>
      </c>
      <c r="B1247" s="218" t="s">
        <v>185</v>
      </c>
      <c r="C1247" s="6" t="s">
        <v>173</v>
      </c>
      <c r="D1247" s="6" t="s">
        <v>172</v>
      </c>
      <c r="E1247" s="61" t="s">
        <v>186</v>
      </c>
      <c r="F1247">
        <v>27547.18</v>
      </c>
      <c r="G1247">
        <v>27579.040000000001</v>
      </c>
      <c r="H1247">
        <v>27638.82</v>
      </c>
      <c r="I1247">
        <v>27567.51</v>
      </c>
      <c r="J1247">
        <v>27545.34</v>
      </c>
      <c r="K1247">
        <v>27588.62</v>
      </c>
      <c r="L1247">
        <v>27589.07</v>
      </c>
      <c r="M1247">
        <v>27540.21</v>
      </c>
      <c r="N1247">
        <v>27485.38</v>
      </c>
      <c r="O1247" s="61">
        <f>IF((N1248=""),"",MAX(F1249:N1249))</f>
        <v>5007.1200000000026</v>
      </c>
      <c r="P1247" s="61">
        <f>IF(N1248="","",MIN(F1249:N1249))</f>
        <v>4321.4100000000035</v>
      </c>
      <c r="Q1247" s="62">
        <f>IF((N1249=""),"",AVERAGE(F1249:N1249))</f>
        <v>4636.1500000000005</v>
      </c>
      <c r="R1247" s="62">
        <f>IF((N1248=""),"",(O1247-P1247)/(O1247+P1247)*100)</f>
        <v>7.350675829953901</v>
      </c>
      <c r="S1247" s="139">
        <f>STDEV(F1249:N1249)</f>
        <v>276.63743645790339</v>
      </c>
      <c r="T1247" s="5" t="str">
        <f>IF(N1248="","",IF(R1247&lt;16,IF(Q1247&gt;3200,IF(R1247,IF(Q1247&lt;5240,"Pass","Fail"),"Fail"),"Fail")))</f>
        <v>Pass</v>
      </c>
      <c r="U1247" s="149">
        <v>1335</v>
      </c>
      <c r="V1247" s="11" t="s">
        <v>309</v>
      </c>
      <c r="X1247" s="116">
        <v>4200</v>
      </c>
      <c r="Y1247" s="116">
        <v>5500</v>
      </c>
      <c r="Z1247" s="116">
        <v>3200</v>
      </c>
      <c r="AA1247" s="116">
        <v>5240</v>
      </c>
      <c r="AB1247" s="31">
        <v>16</v>
      </c>
      <c r="AC1247" s="31">
        <v>16</v>
      </c>
    </row>
    <row r="1248" spans="1:29" ht="15.6" x14ac:dyDescent="0.3">
      <c r="A1248" s="212"/>
      <c r="B1248" s="24"/>
      <c r="C1248" s="6"/>
      <c r="D1248" s="6"/>
      <c r="E1248" s="61" t="s">
        <v>187</v>
      </c>
      <c r="F1248">
        <v>25925.87</v>
      </c>
      <c r="G1248">
        <v>26106.69</v>
      </c>
      <c r="H1248">
        <v>26198.35</v>
      </c>
      <c r="I1248">
        <v>26079.87</v>
      </c>
      <c r="J1248">
        <v>25876.3</v>
      </c>
      <c r="K1248">
        <v>25975.200000000001</v>
      </c>
      <c r="L1248">
        <v>26124.89</v>
      </c>
      <c r="M1248">
        <v>26056.38</v>
      </c>
      <c r="N1248">
        <v>25829.17</v>
      </c>
      <c r="O1248" s="127"/>
      <c r="P1248" s="61"/>
      <c r="Q1248" s="62"/>
      <c r="R1248" s="62"/>
      <c r="S1248" s="139"/>
      <c r="T1248" s="5"/>
      <c r="U1248" s="140"/>
    </row>
    <row r="1249" spans="1:29" ht="23.4" thickBot="1" x14ac:dyDescent="0.35">
      <c r="A1249" s="212"/>
      <c r="B1249" s="63"/>
      <c r="C1249" s="64"/>
      <c r="D1249" s="64"/>
      <c r="E1249" s="61" t="s">
        <v>188</v>
      </c>
      <c r="F1249" s="53">
        <f t="shared" ref="F1249:N1249" si="411">IF(((F1247="")*AND(F1248="")),"",(F1247-F1248)*3)</f>
        <v>4863.9300000000039</v>
      </c>
      <c r="G1249" s="53">
        <f t="shared" si="411"/>
        <v>4417.0500000000065</v>
      </c>
      <c r="H1249" s="53">
        <f t="shared" si="411"/>
        <v>4321.4100000000035</v>
      </c>
      <c r="I1249" s="53">
        <f t="shared" si="411"/>
        <v>4462.9199999999983</v>
      </c>
      <c r="J1249" s="53">
        <f t="shared" si="411"/>
        <v>5007.1200000000026</v>
      </c>
      <c r="K1249" s="53">
        <f t="shared" si="411"/>
        <v>4840.2599999999948</v>
      </c>
      <c r="L1249" s="53">
        <f t="shared" si="411"/>
        <v>4392.5400000000009</v>
      </c>
      <c r="M1249" s="53">
        <f t="shared" si="411"/>
        <v>4451.4899999999943</v>
      </c>
      <c r="N1249" s="53">
        <f t="shared" si="411"/>
        <v>4968.6300000000083</v>
      </c>
      <c r="O1249" s="65"/>
      <c r="P1249" s="65"/>
      <c r="Q1249" s="66"/>
      <c r="R1249" s="66"/>
      <c r="S1249" s="142"/>
      <c r="T1249" s="143"/>
      <c r="U1249" s="144"/>
    </row>
    <row r="1250" spans="1:29" ht="15.6" x14ac:dyDescent="0.3">
      <c r="A1250" s="278">
        <v>43668</v>
      </c>
      <c r="B1250" s="217" t="s">
        <v>174</v>
      </c>
      <c r="C1250" s="44" t="s">
        <v>176</v>
      </c>
      <c r="D1250" s="44" t="s">
        <v>175</v>
      </c>
      <c r="E1250" s="61" t="s">
        <v>186</v>
      </c>
      <c r="F1250">
        <v>6926.41</v>
      </c>
      <c r="G1250">
        <v>6899.15</v>
      </c>
      <c r="H1250">
        <v>6924.08</v>
      </c>
      <c r="I1250">
        <v>6887.18</v>
      </c>
      <c r="J1250">
        <v>6949.14</v>
      </c>
      <c r="K1250">
        <v>6895.9</v>
      </c>
      <c r="L1250">
        <v>6887.13</v>
      </c>
      <c r="M1250">
        <v>6920.25</v>
      </c>
      <c r="N1250">
        <v>6997.53</v>
      </c>
      <c r="O1250" s="59">
        <f>IF((N1251=""),"",MAX(F1252:N1252))</f>
        <v>4023.3199999999997</v>
      </c>
      <c r="P1250" s="59">
        <f>IF(N1251="","",MIN(F1252:N1252))</f>
        <v>3675.7599999999984</v>
      </c>
      <c r="Q1250" s="60">
        <f>IF((N1252=""),"",AVERAGE(F1252:N1252))</f>
        <v>3891.7377777777779</v>
      </c>
      <c r="R1250" s="60">
        <f>IF((N1251=""),"",(O1250-P1250)/(O1250+P1250)*100)</f>
        <v>4.5143056053450721</v>
      </c>
      <c r="S1250" s="131">
        <f>STDEV(F1252:N1252)</f>
        <v>127.34572134329653</v>
      </c>
      <c r="T1250" s="137" t="str">
        <f>IF(N1251="","",IF(Q1250&gt;3650,IF(R1250&lt;7,IF(Q1250&lt;4450,"Pass","Fail"),"Fail"),"Fail"))</f>
        <v>Pass</v>
      </c>
      <c r="U1250" s="149">
        <v>1340</v>
      </c>
      <c r="X1250" s="116">
        <v>3650</v>
      </c>
      <c r="Y1250" s="116">
        <v>4450</v>
      </c>
      <c r="Z1250" s="116">
        <v>3700</v>
      </c>
      <c r="AA1250" s="116">
        <v>4100</v>
      </c>
      <c r="AB1250" s="31">
        <v>7</v>
      </c>
      <c r="AC1250" s="31">
        <v>6.5</v>
      </c>
    </row>
    <row r="1251" spans="1:29" ht="15.6" x14ac:dyDescent="0.3">
      <c r="A1251" s="212"/>
      <c r="B1251" s="24"/>
      <c r="C1251" s="6"/>
      <c r="D1251" s="6"/>
      <c r="E1251" s="61" t="s">
        <v>187</v>
      </c>
      <c r="F1251">
        <v>5066.33</v>
      </c>
      <c r="G1251">
        <v>4918.29</v>
      </c>
      <c r="H1251">
        <v>4914.9799999999996</v>
      </c>
      <c r="I1251">
        <v>4898.59</v>
      </c>
      <c r="J1251">
        <v>5030.83</v>
      </c>
      <c r="K1251">
        <v>5058.0200000000004</v>
      </c>
      <c r="L1251">
        <v>4909.7700000000004</v>
      </c>
      <c r="M1251">
        <v>4908.59</v>
      </c>
      <c r="N1251">
        <v>5068.55</v>
      </c>
      <c r="O1251" s="61"/>
      <c r="P1251" s="61"/>
      <c r="Q1251" s="62"/>
      <c r="R1251" s="62"/>
      <c r="S1251" s="139"/>
      <c r="T1251" s="8"/>
      <c r="U1251" s="146"/>
      <c r="X1251" s="118"/>
      <c r="Y1251" s="118"/>
      <c r="Z1251" s="118"/>
      <c r="AA1251" s="118"/>
    </row>
    <row r="1252" spans="1:29" ht="23.4" thickBot="1" x14ac:dyDescent="0.35">
      <c r="A1252" s="212"/>
      <c r="B1252" s="24"/>
      <c r="C1252" s="6"/>
      <c r="D1252" s="6"/>
      <c r="E1252" s="61" t="s">
        <v>188</v>
      </c>
      <c r="F1252" s="40">
        <f t="shared" ref="F1252:N1252" si="412">IF(((F1250="")*AND(F1251="")),"",(F1250-F1251)*2)</f>
        <v>3720.16</v>
      </c>
      <c r="G1252" s="40">
        <f t="shared" si="412"/>
        <v>3961.7199999999993</v>
      </c>
      <c r="H1252" s="40">
        <f t="shared" si="412"/>
        <v>4018.2000000000007</v>
      </c>
      <c r="I1252" s="40">
        <f t="shared" si="412"/>
        <v>3977.1800000000003</v>
      </c>
      <c r="J1252" s="40">
        <f t="shared" si="412"/>
        <v>3836.6200000000008</v>
      </c>
      <c r="K1252" s="40">
        <f t="shared" si="412"/>
        <v>3675.7599999999984</v>
      </c>
      <c r="L1252" s="40">
        <f t="shared" si="412"/>
        <v>3954.7199999999993</v>
      </c>
      <c r="M1252" s="40">
        <f t="shared" si="412"/>
        <v>4023.3199999999997</v>
      </c>
      <c r="N1252" s="40">
        <f t="shared" si="412"/>
        <v>3857.9599999999991</v>
      </c>
      <c r="O1252" s="61"/>
      <c r="P1252" s="61"/>
      <c r="Q1252" s="62"/>
      <c r="R1252" s="62"/>
      <c r="S1252" s="139"/>
      <c r="T1252" s="8"/>
      <c r="U1252" s="146"/>
      <c r="X1252" s="118"/>
      <c r="Y1252" s="118"/>
      <c r="Z1252" s="118"/>
      <c r="AA1252" s="118"/>
    </row>
    <row r="1253" spans="1:29" ht="15.6" x14ac:dyDescent="0.3">
      <c r="A1253" s="278">
        <v>43668</v>
      </c>
      <c r="B1253" s="215" t="s">
        <v>169</v>
      </c>
      <c r="C1253" s="6" t="s">
        <v>171</v>
      </c>
      <c r="D1253" s="6" t="s">
        <v>189</v>
      </c>
      <c r="E1253" s="61" t="s">
        <v>186</v>
      </c>
      <c r="F1253">
        <v>2023.89</v>
      </c>
      <c r="G1253">
        <v>2011.26</v>
      </c>
      <c r="H1253">
        <v>2002.03</v>
      </c>
      <c r="I1253">
        <v>2011.34</v>
      </c>
      <c r="J1253">
        <v>2028.82</v>
      </c>
      <c r="K1253">
        <v>2034.87</v>
      </c>
      <c r="L1253">
        <v>2017.99</v>
      </c>
      <c r="M1253">
        <v>2012.28</v>
      </c>
      <c r="N1253">
        <v>2027.45</v>
      </c>
      <c r="O1253" s="61">
        <f>IF((N1254=""),"",MAX(F1255:N1255))</f>
        <v>2203.3199999999997</v>
      </c>
      <c r="P1253" s="61">
        <f>IF(N1254="","",MIN(F1255:N1255))</f>
        <v>2115.66</v>
      </c>
      <c r="Q1253" s="62">
        <f>IF((N1255=""),"",AVERAGE(F1255:N1255))</f>
        <v>2178.1266666666666</v>
      </c>
      <c r="R1253" s="62">
        <f>IF((N1254=""),"",(O1253-P1253)/(O1253+P1253)*100)</f>
        <v>2.0296458886125861</v>
      </c>
      <c r="S1253" s="139">
        <f>STDEV(F1255:N1255)</f>
        <v>28.343573786662901</v>
      </c>
      <c r="T1253" s="5" t="str">
        <f>IF(N1254="","",IF(Q1253&gt;1940,IF(R1253&lt;8.3,IF(Q1253&lt;2180,"Pass","Fail"),"Fail"),"Fail"))</f>
        <v>Pass</v>
      </c>
      <c r="U1253" s="149">
        <v>1340</v>
      </c>
      <c r="X1253" s="116">
        <v>2000</v>
      </c>
      <c r="Y1253" s="116">
        <v>3000</v>
      </c>
      <c r="Z1253" s="116">
        <v>1940</v>
      </c>
      <c r="AA1253" s="116">
        <v>2180</v>
      </c>
      <c r="AB1253" s="31">
        <v>5.2</v>
      </c>
      <c r="AC1253" s="31">
        <v>5.2</v>
      </c>
    </row>
    <row r="1254" spans="1:29" ht="15.6" x14ac:dyDescent="0.3">
      <c r="A1254" s="212"/>
      <c r="B1254" s="24"/>
      <c r="C1254" s="6"/>
      <c r="D1254" s="6"/>
      <c r="E1254" s="61" t="s">
        <v>187</v>
      </c>
      <c r="F1254">
        <v>1318.67</v>
      </c>
      <c r="G1254">
        <v>1282.6400000000001</v>
      </c>
      <c r="H1254">
        <v>1270.8499999999999</v>
      </c>
      <c r="I1254">
        <v>1276.9000000000001</v>
      </c>
      <c r="J1254">
        <v>1301.49</v>
      </c>
      <c r="K1254">
        <v>1318.82</v>
      </c>
      <c r="L1254">
        <v>1284.29</v>
      </c>
      <c r="M1254">
        <v>1283</v>
      </c>
      <c r="N1254">
        <v>1298.8900000000001</v>
      </c>
      <c r="O1254" s="61"/>
      <c r="P1254" s="61"/>
      <c r="Q1254" s="62"/>
      <c r="R1254" s="62"/>
      <c r="S1254" s="139"/>
      <c r="T1254" s="5"/>
      <c r="U1254" s="140"/>
      <c r="X1254" s="118"/>
      <c r="Y1254" s="118"/>
      <c r="Z1254" s="118"/>
      <c r="AA1254" s="118"/>
    </row>
    <row r="1255" spans="1:29" ht="16.2" thickBot="1" x14ac:dyDescent="0.35">
      <c r="A1255" s="212"/>
      <c r="B1255" s="24"/>
      <c r="C1255" s="6"/>
      <c r="D1255" s="6"/>
      <c r="E1255" s="61" t="s">
        <v>190</v>
      </c>
      <c r="F1255" s="40">
        <f t="shared" ref="F1255:N1255" si="413">IF(((F1253="")*AND(F1254="")),"",(F1253-F1254)*3)</f>
        <v>2115.66</v>
      </c>
      <c r="G1255" s="40">
        <f t="shared" si="413"/>
        <v>2185.8599999999997</v>
      </c>
      <c r="H1255" s="40">
        <f t="shared" si="413"/>
        <v>2193.54</v>
      </c>
      <c r="I1255" s="40">
        <f t="shared" si="413"/>
        <v>2203.3199999999997</v>
      </c>
      <c r="J1255" s="40">
        <f t="shared" si="413"/>
        <v>2181.9899999999998</v>
      </c>
      <c r="K1255" s="40">
        <f t="shared" si="413"/>
        <v>2148.1499999999996</v>
      </c>
      <c r="L1255" s="40">
        <f t="shared" si="413"/>
        <v>2201.1000000000004</v>
      </c>
      <c r="M1255" s="40">
        <f t="shared" si="413"/>
        <v>2187.84</v>
      </c>
      <c r="N1255" s="40">
        <f t="shared" si="413"/>
        <v>2185.6799999999998</v>
      </c>
      <c r="O1255" s="61"/>
      <c r="P1255" s="61"/>
      <c r="Q1255" s="62"/>
      <c r="R1255" s="62"/>
      <c r="S1255" s="139"/>
      <c r="T1255" s="5"/>
      <c r="U1255" s="140"/>
      <c r="X1255" s="118"/>
      <c r="Y1255" s="118"/>
      <c r="Z1255" s="118"/>
      <c r="AA1255" s="118"/>
    </row>
    <row r="1256" spans="1:29" ht="15.6" x14ac:dyDescent="0.3">
      <c r="A1256" s="278">
        <v>43668</v>
      </c>
      <c r="B1256" s="218" t="s">
        <v>185</v>
      </c>
      <c r="C1256" s="6" t="s">
        <v>173</v>
      </c>
      <c r="D1256" s="6" t="s">
        <v>172</v>
      </c>
      <c r="E1256" s="61" t="s">
        <v>186</v>
      </c>
      <c r="F1256">
        <v>29214.54</v>
      </c>
      <c r="G1256">
        <v>29018.71</v>
      </c>
      <c r="H1256">
        <v>29133.29</v>
      </c>
      <c r="I1256">
        <v>29105.46</v>
      </c>
      <c r="J1256">
        <v>29225.86</v>
      </c>
      <c r="K1256">
        <v>29197.85</v>
      </c>
      <c r="L1256">
        <v>29089.439999999999</v>
      </c>
      <c r="M1256">
        <v>29037.96</v>
      </c>
      <c r="N1256">
        <v>29121.25</v>
      </c>
      <c r="O1256" s="61">
        <f>IF((N1257=""),"",MAX(F1258:N1258))</f>
        <v>4899.6899999999987</v>
      </c>
      <c r="P1256" s="61">
        <f>IF(N1257="","",MIN(F1258:N1258))</f>
        <v>4062.2999999999956</v>
      </c>
      <c r="Q1256" s="62">
        <f>IF((N1258=""),"",AVERAGE(F1258:N1258))</f>
        <v>4422.2933333333322</v>
      </c>
      <c r="R1256" s="62">
        <f>IF((N1257=""),"",(O1256-P1256)/(O1256+P1256)*100)</f>
        <v>9.3437952954645525</v>
      </c>
      <c r="S1256" s="139">
        <f>STDEV(F1258:N1258)</f>
        <v>279.0642751679265</v>
      </c>
      <c r="T1256" s="5" t="str">
        <f>IF(N1257="","",IF(R1256&lt;16,IF(Q1256&gt;3200,IF(R1256,IF(Q1256&lt;5240,"Pass","Fail"),"Fail"),"Fail")))</f>
        <v>Pass</v>
      </c>
      <c r="U1256" s="149">
        <v>1340</v>
      </c>
      <c r="X1256" s="116">
        <v>4200</v>
      </c>
      <c r="Y1256" s="116">
        <v>5500</v>
      </c>
      <c r="Z1256" s="116">
        <v>3200</v>
      </c>
      <c r="AA1256" s="116">
        <v>5240</v>
      </c>
      <c r="AB1256" s="31">
        <v>16</v>
      </c>
      <c r="AC1256" s="31">
        <v>16</v>
      </c>
    </row>
    <row r="1257" spans="1:29" ht="15.6" x14ac:dyDescent="0.3">
      <c r="A1257" s="212"/>
      <c r="B1257" s="24"/>
      <c r="C1257" s="6"/>
      <c r="D1257" s="6"/>
      <c r="E1257" s="61" t="s">
        <v>187</v>
      </c>
      <c r="F1257">
        <v>27581.31</v>
      </c>
      <c r="G1257">
        <v>27637.07</v>
      </c>
      <c r="H1257">
        <v>27743.66</v>
      </c>
      <c r="I1257">
        <v>27662.080000000002</v>
      </c>
      <c r="J1257">
        <v>27686.6</v>
      </c>
      <c r="K1257">
        <v>27632.63</v>
      </c>
      <c r="L1257">
        <v>27620.42</v>
      </c>
      <c r="M1257">
        <v>27683.86</v>
      </c>
      <c r="N1257">
        <v>27629.85</v>
      </c>
      <c r="O1257" s="127"/>
      <c r="P1257" s="61"/>
      <c r="Q1257" s="62"/>
      <c r="R1257" s="62"/>
      <c r="S1257" s="139"/>
      <c r="T1257" s="5"/>
      <c r="U1257" s="140"/>
    </row>
    <row r="1258" spans="1:29" ht="23.4" thickBot="1" x14ac:dyDescent="0.35">
      <c r="A1258" s="212"/>
      <c r="B1258" s="63"/>
      <c r="C1258" s="64"/>
      <c r="D1258" s="64"/>
      <c r="E1258" s="61" t="s">
        <v>188</v>
      </c>
      <c r="F1258" s="53">
        <f t="shared" ref="F1258:N1258" si="414">IF(((F1256="")*AND(F1257="")),"",(F1256-F1257)*3)</f>
        <v>4899.6899999999987</v>
      </c>
      <c r="G1258" s="53">
        <f t="shared" si="414"/>
        <v>4144.9199999999983</v>
      </c>
      <c r="H1258" s="53">
        <f t="shared" si="414"/>
        <v>4168.8900000000031</v>
      </c>
      <c r="I1258" s="53">
        <f t="shared" si="414"/>
        <v>4330.1399999999921</v>
      </c>
      <c r="J1258" s="53">
        <f t="shared" si="414"/>
        <v>4617.7800000000061</v>
      </c>
      <c r="K1258" s="53">
        <f t="shared" si="414"/>
        <v>4695.6599999999926</v>
      </c>
      <c r="L1258" s="53">
        <f t="shared" si="414"/>
        <v>4407.0600000000013</v>
      </c>
      <c r="M1258" s="53">
        <f t="shared" si="414"/>
        <v>4062.2999999999956</v>
      </c>
      <c r="N1258" s="53">
        <f t="shared" si="414"/>
        <v>4474.2000000000044</v>
      </c>
      <c r="O1258" s="65"/>
      <c r="P1258" s="65"/>
      <c r="Q1258" s="66"/>
      <c r="R1258" s="66"/>
      <c r="S1258" s="142"/>
      <c r="T1258" s="143"/>
      <c r="U1258" s="144"/>
    </row>
    <row r="1259" spans="1:29" ht="15.6" x14ac:dyDescent="0.3">
      <c r="A1259" s="278">
        <v>43671</v>
      </c>
      <c r="B1259" s="217" t="s">
        <v>174</v>
      </c>
      <c r="C1259" s="44" t="s">
        <v>176</v>
      </c>
      <c r="D1259" s="44" t="s">
        <v>175</v>
      </c>
      <c r="E1259" s="61" t="s">
        <v>186</v>
      </c>
      <c r="F1259">
        <v>5066.33</v>
      </c>
      <c r="G1259">
        <v>4918.29</v>
      </c>
      <c r="H1259">
        <v>4914.9799999999996</v>
      </c>
      <c r="I1259">
        <v>4898.59</v>
      </c>
      <c r="J1259">
        <v>5030.83</v>
      </c>
      <c r="K1259">
        <v>5058.0200000000004</v>
      </c>
      <c r="L1259">
        <v>4909.7700000000004</v>
      </c>
      <c r="M1259">
        <v>4908.59</v>
      </c>
      <c r="N1259">
        <v>5068.55</v>
      </c>
      <c r="O1259" s="59">
        <f>IF((N1260=""),"",MAX(F1261:N1261))</f>
        <v>4060.7200000000003</v>
      </c>
      <c r="P1259" s="59">
        <f>IF(N1260="","",MIN(F1261:N1261))</f>
        <v>3699.6600000000008</v>
      </c>
      <c r="Q1259" s="60">
        <f>IF((N1261=""),"",AVERAGE(F1261:N1261))</f>
        <v>3924.6911111111112</v>
      </c>
      <c r="R1259" s="60">
        <f>IF((N1260=""),"",(O1259-P1259)/(O1259+P1259)*100)</f>
        <v>4.6526072176877857</v>
      </c>
      <c r="S1259" s="131">
        <f>STDEV(F1261:N1261)</f>
        <v>127.26639112943796</v>
      </c>
      <c r="T1259" s="137" t="str">
        <f>IF(N1260="","",IF(Q1259&gt;3650,IF(R1259&lt;7,IF(Q1259&lt;4450,"Pass","Fail"),"Fail"),"Fail"))</f>
        <v>Pass</v>
      </c>
      <c r="U1259" s="149">
        <v>1340</v>
      </c>
      <c r="V1259" s="11" t="s">
        <v>311</v>
      </c>
      <c r="X1259" s="116">
        <v>3650</v>
      </c>
      <c r="Y1259" s="116">
        <v>4450</v>
      </c>
      <c r="Z1259" s="116">
        <v>3700</v>
      </c>
      <c r="AA1259" s="116">
        <v>4100</v>
      </c>
      <c r="AB1259" s="31">
        <v>7</v>
      </c>
      <c r="AC1259" s="31">
        <v>6.5</v>
      </c>
    </row>
    <row r="1260" spans="1:29" ht="15.6" x14ac:dyDescent="0.3">
      <c r="A1260" s="212"/>
      <c r="B1260" s="24"/>
      <c r="C1260" s="6"/>
      <c r="D1260" s="6"/>
      <c r="E1260" s="61" t="s">
        <v>187</v>
      </c>
      <c r="F1260">
        <v>3186.83</v>
      </c>
      <c r="G1260">
        <v>2920.33</v>
      </c>
      <c r="H1260">
        <v>2891.37</v>
      </c>
      <c r="I1260">
        <v>2896.66</v>
      </c>
      <c r="J1260">
        <v>3097.76</v>
      </c>
      <c r="K1260">
        <v>3208.19</v>
      </c>
      <c r="L1260">
        <v>2920.09</v>
      </c>
      <c r="M1260">
        <v>2878.23</v>
      </c>
      <c r="N1260">
        <v>3113.38</v>
      </c>
      <c r="O1260" s="61"/>
      <c r="P1260" s="61"/>
      <c r="Q1260" s="62"/>
      <c r="R1260" s="62"/>
      <c r="S1260" s="139"/>
      <c r="T1260" s="8"/>
      <c r="U1260" s="146"/>
      <c r="X1260" s="118"/>
      <c r="Y1260" s="118"/>
      <c r="Z1260" s="118"/>
      <c r="AA1260" s="118"/>
    </row>
    <row r="1261" spans="1:29" ht="23.4" thickBot="1" x14ac:dyDescent="0.35">
      <c r="A1261" s="212"/>
      <c r="B1261" s="24"/>
      <c r="C1261" s="6"/>
      <c r="D1261" s="6"/>
      <c r="E1261" s="61" t="s">
        <v>188</v>
      </c>
      <c r="F1261" s="40">
        <f t="shared" ref="F1261:N1261" si="415">IF(((F1259="")*AND(F1260="")),"",(F1259-F1260)*2)</f>
        <v>3759</v>
      </c>
      <c r="G1261" s="40">
        <f t="shared" si="415"/>
        <v>3995.92</v>
      </c>
      <c r="H1261" s="40">
        <f t="shared" si="415"/>
        <v>4047.2199999999993</v>
      </c>
      <c r="I1261" s="40">
        <f t="shared" si="415"/>
        <v>4003.8600000000006</v>
      </c>
      <c r="J1261" s="40">
        <f t="shared" si="415"/>
        <v>3866.1399999999994</v>
      </c>
      <c r="K1261" s="40">
        <f t="shared" si="415"/>
        <v>3699.6600000000008</v>
      </c>
      <c r="L1261" s="40">
        <f t="shared" si="415"/>
        <v>3979.3600000000006</v>
      </c>
      <c r="M1261" s="40">
        <f t="shared" si="415"/>
        <v>4060.7200000000003</v>
      </c>
      <c r="N1261" s="40">
        <f t="shared" si="415"/>
        <v>3910.34</v>
      </c>
      <c r="O1261" s="61"/>
      <c r="P1261" s="61"/>
      <c r="Q1261" s="62"/>
      <c r="R1261" s="62"/>
      <c r="S1261" s="139"/>
      <c r="T1261" s="8"/>
      <c r="U1261" s="146"/>
      <c r="X1261" s="118"/>
      <c r="Y1261" s="118"/>
      <c r="Z1261" s="118"/>
      <c r="AA1261" s="118"/>
    </row>
    <row r="1262" spans="1:29" ht="15.6" x14ac:dyDescent="0.3">
      <c r="A1262" s="278">
        <v>43671</v>
      </c>
      <c r="B1262" s="215" t="s">
        <v>169</v>
      </c>
      <c r="C1262" s="6" t="s">
        <v>171</v>
      </c>
      <c r="D1262" s="6" t="s">
        <v>189</v>
      </c>
      <c r="E1262" s="61" t="s">
        <v>186</v>
      </c>
      <c r="F1262">
        <v>1953.36</v>
      </c>
      <c r="G1262">
        <v>1948.45</v>
      </c>
      <c r="H1262">
        <v>1937.53</v>
      </c>
      <c r="I1262">
        <v>1944.45</v>
      </c>
      <c r="J1262">
        <v>1950.72</v>
      </c>
      <c r="K1262">
        <v>1953.71</v>
      </c>
      <c r="L1262">
        <v>1946.81</v>
      </c>
      <c r="M1262">
        <v>1946.98</v>
      </c>
      <c r="N1262">
        <v>1956.36</v>
      </c>
      <c r="O1262" s="61">
        <f>IF((N1263=""),"",MAX(F1264:N1264))</f>
        <v>2113.8300000000004</v>
      </c>
      <c r="P1262" s="61">
        <f>IF(N1263="","",MIN(F1264:N1264))</f>
        <v>2006.7900000000002</v>
      </c>
      <c r="Q1262" s="62">
        <f>IF((N1264=""),"",AVERAGE(F1264:N1264))</f>
        <v>2068.6233333333334</v>
      </c>
      <c r="R1262" s="62">
        <f>IF((N1263=""),"",(O1262-P1262)/(O1262+P1262)*100)</f>
        <v>2.5976673413224267</v>
      </c>
      <c r="S1262" s="139">
        <f>STDEV(F1264:N1264)</f>
        <v>40.665828406661056</v>
      </c>
      <c r="T1262" s="5" t="str">
        <f>IF(N1263="","",IF(Q1262&gt;1940,IF(R1262&lt;8.3,IF(Q1262&lt;2180,"Pass","Fail"),"Fail"),"Fail"))</f>
        <v>Pass</v>
      </c>
      <c r="U1262" s="149">
        <v>1340</v>
      </c>
      <c r="V1262" s="11" t="s">
        <v>311</v>
      </c>
      <c r="X1262" s="116">
        <v>2000</v>
      </c>
      <c r="Y1262" s="116">
        <v>3000</v>
      </c>
      <c r="Z1262" s="116">
        <v>1940</v>
      </c>
      <c r="AA1262" s="116">
        <v>2180</v>
      </c>
      <c r="AB1262" s="31">
        <v>5.2</v>
      </c>
      <c r="AC1262" s="31">
        <v>5.2</v>
      </c>
    </row>
    <row r="1263" spans="1:29" ht="15.6" x14ac:dyDescent="0.3">
      <c r="A1263" s="212"/>
      <c r="B1263" s="24"/>
      <c r="C1263" s="6"/>
      <c r="D1263" s="6"/>
      <c r="E1263" s="61" t="s">
        <v>187</v>
      </c>
      <c r="F1263">
        <v>1276.4100000000001</v>
      </c>
      <c r="G1263">
        <v>1247.21</v>
      </c>
      <c r="H1263">
        <v>1235.44</v>
      </c>
      <c r="I1263">
        <v>1248.03</v>
      </c>
      <c r="J1263">
        <v>1278.0899999999999</v>
      </c>
      <c r="K1263">
        <v>1284.78</v>
      </c>
      <c r="L1263">
        <v>1251.83</v>
      </c>
      <c r="M1263">
        <v>1242.3699999999999</v>
      </c>
      <c r="N1263">
        <v>1268.3399999999999</v>
      </c>
      <c r="O1263" s="61"/>
      <c r="P1263" s="61"/>
      <c r="Q1263" s="62"/>
      <c r="R1263" s="62"/>
      <c r="S1263" s="139"/>
      <c r="T1263" s="5"/>
      <c r="U1263" s="140"/>
      <c r="X1263" s="118"/>
      <c r="Y1263" s="118"/>
      <c r="Z1263" s="118"/>
      <c r="AA1263" s="118"/>
    </row>
    <row r="1264" spans="1:29" ht="16.2" thickBot="1" x14ac:dyDescent="0.35">
      <c r="A1264" s="212"/>
      <c r="B1264" s="24"/>
      <c r="C1264" s="6"/>
      <c r="D1264" s="6"/>
      <c r="E1264" s="61" t="s">
        <v>190</v>
      </c>
      <c r="F1264" s="40">
        <f t="shared" ref="F1264:N1264" si="416">IF(((F1262="")*AND(F1263="")),"",(F1262-F1263)*3)</f>
        <v>2030.8499999999995</v>
      </c>
      <c r="G1264" s="40">
        <f t="shared" si="416"/>
        <v>2103.7200000000003</v>
      </c>
      <c r="H1264" s="40">
        <f t="shared" si="416"/>
        <v>2106.2699999999995</v>
      </c>
      <c r="I1264" s="40">
        <f t="shared" si="416"/>
        <v>2089.2600000000002</v>
      </c>
      <c r="J1264" s="40">
        <f t="shared" si="416"/>
        <v>2017.8900000000003</v>
      </c>
      <c r="K1264" s="40">
        <f t="shared" si="416"/>
        <v>2006.7900000000002</v>
      </c>
      <c r="L1264" s="40">
        <f t="shared" si="416"/>
        <v>2084.94</v>
      </c>
      <c r="M1264" s="40">
        <f t="shared" si="416"/>
        <v>2113.8300000000004</v>
      </c>
      <c r="N1264" s="40">
        <f t="shared" si="416"/>
        <v>2064.06</v>
      </c>
      <c r="O1264" s="61"/>
      <c r="P1264" s="61"/>
      <c r="Q1264" s="62"/>
      <c r="R1264" s="62"/>
      <c r="S1264" s="139"/>
      <c r="T1264" s="5"/>
      <c r="U1264" s="140"/>
      <c r="X1264" s="118"/>
      <c r="Y1264" s="118"/>
      <c r="Z1264" s="118"/>
      <c r="AA1264" s="118"/>
    </row>
    <row r="1265" spans="1:29" ht="15.6" x14ac:dyDescent="0.3">
      <c r="A1265" s="278">
        <v>43671</v>
      </c>
      <c r="B1265" s="218" t="s">
        <v>185</v>
      </c>
      <c r="C1265" s="6" t="s">
        <v>173</v>
      </c>
      <c r="D1265" s="6" t="s">
        <v>172</v>
      </c>
      <c r="E1265" s="61" t="s">
        <v>186</v>
      </c>
      <c r="F1265">
        <v>29126.71</v>
      </c>
      <c r="G1265">
        <v>29095.02</v>
      </c>
      <c r="H1265">
        <v>29078.44</v>
      </c>
      <c r="I1265">
        <v>29025.72</v>
      </c>
      <c r="J1265">
        <v>29155.16</v>
      </c>
      <c r="K1265">
        <v>29190.6</v>
      </c>
      <c r="L1265">
        <v>29039.57</v>
      </c>
      <c r="M1265">
        <v>29062.58</v>
      </c>
      <c r="N1265">
        <v>29135.27</v>
      </c>
      <c r="O1265" s="61">
        <f>IF((N1266=""),"",MAX(F1267:N1267))</f>
        <v>5003.4900000000052</v>
      </c>
      <c r="P1265" s="61">
        <f>IF(N1266="","",MIN(F1267:N1267))</f>
        <v>4154.6699999999983</v>
      </c>
      <c r="Q1265" s="62">
        <f>IF((N1267=""),"",AVERAGE(F1267:N1267))</f>
        <v>4517.1533333333327</v>
      </c>
      <c r="R1265" s="62">
        <f>IF((N1266=""),"",(O1265-P1265)/(O1265+P1265)*100)</f>
        <v>9.2684556723185292</v>
      </c>
      <c r="S1265" s="139">
        <f>STDEV(F1267:N1267)</f>
        <v>297.17320130691519</v>
      </c>
      <c r="T1265" s="5" t="str">
        <f>IF(N1266="","",IF(R1265&lt;16,IF(Q1265&gt;3200,IF(R1265,IF(Q1265&lt;5240,"Pass","Fail"),"Fail"),"Fail")))</f>
        <v>Pass</v>
      </c>
      <c r="U1265" s="149">
        <v>1340</v>
      </c>
      <c r="V1265" s="11" t="s">
        <v>311</v>
      </c>
      <c r="X1265" s="116">
        <v>4200</v>
      </c>
      <c r="Y1265" s="116">
        <v>5500</v>
      </c>
      <c r="Z1265" s="116">
        <v>3200</v>
      </c>
      <c r="AA1265" s="116">
        <v>5240</v>
      </c>
      <c r="AB1265" s="31">
        <v>16</v>
      </c>
      <c r="AC1265" s="31">
        <v>16</v>
      </c>
    </row>
    <row r="1266" spans="1:29" ht="15.6" x14ac:dyDescent="0.3">
      <c r="A1266" s="212"/>
      <c r="B1266" s="24"/>
      <c r="C1266" s="6"/>
      <c r="D1266" s="6"/>
      <c r="E1266" s="61" t="s">
        <v>187</v>
      </c>
      <c r="F1266">
        <v>27524.93</v>
      </c>
      <c r="G1266">
        <v>27595</v>
      </c>
      <c r="H1266">
        <v>27664.57</v>
      </c>
      <c r="I1266">
        <v>27615.77</v>
      </c>
      <c r="J1266">
        <v>27585.94</v>
      </c>
      <c r="K1266">
        <v>27630.81</v>
      </c>
      <c r="L1266">
        <v>27654.68</v>
      </c>
      <c r="M1266">
        <v>27618.47</v>
      </c>
      <c r="N1266">
        <v>27467.439999999999</v>
      </c>
      <c r="O1266" s="127"/>
      <c r="P1266" s="61"/>
      <c r="Q1266" s="62"/>
      <c r="R1266" s="62"/>
      <c r="S1266" s="139"/>
      <c r="T1266" s="5"/>
      <c r="U1266" s="140"/>
    </row>
    <row r="1267" spans="1:29" ht="23.4" thickBot="1" x14ac:dyDescent="0.35">
      <c r="A1267" s="212"/>
      <c r="B1267" s="63"/>
      <c r="C1267" s="64"/>
      <c r="D1267" s="64"/>
      <c r="E1267" s="61" t="s">
        <v>188</v>
      </c>
      <c r="F1267" s="53">
        <f t="shared" ref="F1267:N1267" si="417">IF(((F1265="")*AND(F1266="")),"",(F1265-F1266)*3)</f>
        <v>4805.3399999999965</v>
      </c>
      <c r="G1267" s="53">
        <f t="shared" si="417"/>
        <v>4500.0600000000013</v>
      </c>
      <c r="H1267" s="53">
        <f t="shared" si="417"/>
        <v>4241.6099999999969</v>
      </c>
      <c r="I1267" s="53">
        <f t="shared" si="417"/>
        <v>4229.8500000000022</v>
      </c>
      <c r="J1267" s="53">
        <f t="shared" si="417"/>
        <v>4707.6600000000035</v>
      </c>
      <c r="K1267" s="53">
        <f t="shared" si="417"/>
        <v>4679.3699999999917</v>
      </c>
      <c r="L1267" s="53">
        <f t="shared" si="417"/>
        <v>4154.6699999999983</v>
      </c>
      <c r="M1267" s="53">
        <f t="shared" si="417"/>
        <v>4332.3300000000017</v>
      </c>
      <c r="N1267" s="53">
        <f t="shared" si="417"/>
        <v>5003.4900000000052</v>
      </c>
      <c r="O1267" s="65"/>
      <c r="P1267" s="65"/>
      <c r="Q1267" s="66"/>
      <c r="R1267" s="66"/>
      <c r="S1267" s="142"/>
      <c r="T1267" s="143"/>
      <c r="U1267" s="144"/>
    </row>
    <row r="1268" spans="1:29" ht="15.6" x14ac:dyDescent="0.3">
      <c r="A1268" s="278">
        <v>43675</v>
      </c>
      <c r="B1268" s="217" t="s">
        <v>174</v>
      </c>
      <c r="C1268" s="44" t="s">
        <v>176</v>
      </c>
      <c r="D1268" s="44" t="s">
        <v>175</v>
      </c>
      <c r="E1268" s="61" t="s">
        <v>186</v>
      </c>
      <c r="F1268">
        <v>3196.81</v>
      </c>
      <c r="G1268">
        <v>2930.24</v>
      </c>
      <c r="H1268">
        <v>2901.19</v>
      </c>
      <c r="I1268">
        <v>2906.34</v>
      </c>
      <c r="J1268">
        <v>3107.01</v>
      </c>
      <c r="K1268">
        <v>3216.35</v>
      </c>
      <c r="L1268">
        <v>2929.47</v>
      </c>
      <c r="M1268">
        <v>2887.99</v>
      </c>
      <c r="N1268">
        <v>3123.23</v>
      </c>
      <c r="O1268" s="59">
        <f>IF((N1269=""),"",MAX(F1270:N1270))</f>
        <v>4031.3399999999992</v>
      </c>
      <c r="P1268" s="59">
        <f>IF(N1269="","",MIN(F1270:N1270))</f>
        <v>3735.8199999999997</v>
      </c>
      <c r="Q1268" s="60">
        <f>IF((N1270=""),"",AVERAGE(F1270:N1270))</f>
        <v>3915.0066666666662</v>
      </c>
      <c r="R1268" s="60">
        <f>IF((N1269=""),"",(O1268-P1268)/(O1268+P1268)*100)</f>
        <v>3.8047368664994612</v>
      </c>
      <c r="S1268" s="131">
        <f>STDEV(F1270:N1270)</f>
        <v>107.67743356897016</v>
      </c>
      <c r="T1268" s="137" t="str">
        <f>IF(N1269="","",IF(Q1268&gt;3650,IF(R1268&lt;7,IF(Q1268&lt;4450,"Pass","Fail"),"Fail"),"Fail"))</f>
        <v>Pass</v>
      </c>
      <c r="U1268" s="149">
        <v>1159</v>
      </c>
      <c r="V1268" s="11" t="s">
        <v>314</v>
      </c>
      <c r="X1268" s="116">
        <v>3650</v>
      </c>
      <c r="Y1268" s="116">
        <v>4450</v>
      </c>
      <c r="Z1268" s="116">
        <v>3700</v>
      </c>
      <c r="AA1268" s="116">
        <v>4100</v>
      </c>
      <c r="AB1268" s="31">
        <v>7</v>
      </c>
      <c r="AC1268" s="31">
        <v>6.5</v>
      </c>
    </row>
    <row r="1269" spans="1:29" ht="15.6" x14ac:dyDescent="0.3">
      <c r="A1269" s="212"/>
      <c r="B1269" s="24"/>
      <c r="C1269" s="6"/>
      <c r="D1269" s="6"/>
      <c r="E1269" s="61" t="s">
        <v>187</v>
      </c>
      <c r="F1269">
        <v>1308.32</v>
      </c>
      <c r="G1269">
        <v>947.86</v>
      </c>
      <c r="H1269">
        <v>886.19</v>
      </c>
      <c r="I1269">
        <v>911.41</v>
      </c>
      <c r="J1269">
        <v>1175.9000000000001</v>
      </c>
      <c r="K1269">
        <v>1348.44</v>
      </c>
      <c r="L1269">
        <v>946.44</v>
      </c>
      <c r="M1269">
        <v>872.32</v>
      </c>
      <c r="N1269">
        <v>1184.22</v>
      </c>
      <c r="O1269" s="61"/>
      <c r="P1269" s="61"/>
      <c r="Q1269" s="62"/>
      <c r="R1269" s="62"/>
      <c r="S1269" s="139"/>
      <c r="T1269" s="8"/>
      <c r="U1269" s="146"/>
      <c r="X1269" s="118"/>
      <c r="Y1269" s="118"/>
      <c r="Z1269" s="118"/>
      <c r="AA1269" s="118"/>
    </row>
    <row r="1270" spans="1:29" ht="23.4" thickBot="1" x14ac:dyDescent="0.35">
      <c r="A1270" s="212"/>
      <c r="B1270" s="24"/>
      <c r="C1270" s="6"/>
      <c r="D1270" s="6"/>
      <c r="E1270" s="61" t="s">
        <v>188</v>
      </c>
      <c r="F1270" s="40">
        <f t="shared" ref="F1270:N1270" si="418">IF(((F1268="")*AND(F1269="")),"",(F1268-F1269)*2)</f>
        <v>3776.98</v>
      </c>
      <c r="G1270" s="40">
        <f t="shared" si="418"/>
        <v>3964.7599999999993</v>
      </c>
      <c r="H1270" s="40">
        <f t="shared" si="418"/>
        <v>4030</v>
      </c>
      <c r="I1270" s="40">
        <f t="shared" si="418"/>
        <v>3989.8600000000006</v>
      </c>
      <c r="J1270" s="40">
        <f t="shared" si="418"/>
        <v>3862.2200000000003</v>
      </c>
      <c r="K1270" s="40">
        <f t="shared" si="418"/>
        <v>3735.8199999999997</v>
      </c>
      <c r="L1270" s="40">
        <f t="shared" si="418"/>
        <v>3966.0599999999995</v>
      </c>
      <c r="M1270" s="40">
        <f t="shared" si="418"/>
        <v>4031.3399999999992</v>
      </c>
      <c r="N1270" s="40">
        <f t="shared" si="418"/>
        <v>3878.02</v>
      </c>
      <c r="O1270" s="61"/>
      <c r="P1270" s="61"/>
      <c r="Q1270" s="62"/>
      <c r="R1270" s="62"/>
      <c r="S1270" s="139"/>
      <c r="T1270" s="8"/>
      <c r="U1270" s="146"/>
      <c r="X1270" s="118"/>
      <c r="Y1270" s="118"/>
      <c r="Z1270" s="118"/>
      <c r="AA1270" s="118"/>
    </row>
    <row r="1271" spans="1:29" ht="15.6" x14ac:dyDescent="0.3">
      <c r="A1271" s="278">
        <v>43675</v>
      </c>
      <c r="B1271" s="215" t="s">
        <v>169</v>
      </c>
      <c r="C1271" s="6" t="s">
        <v>171</v>
      </c>
      <c r="D1271" s="6" t="s">
        <v>189</v>
      </c>
      <c r="E1271" s="61" t="s">
        <v>186</v>
      </c>
      <c r="F1271">
        <v>1275.57</v>
      </c>
      <c r="G1271">
        <v>1246.72</v>
      </c>
      <c r="H1271">
        <v>1236.44</v>
      </c>
      <c r="I1271">
        <v>1246.24</v>
      </c>
      <c r="J1271">
        <v>1275.68</v>
      </c>
      <c r="K1271">
        <v>1287.77</v>
      </c>
      <c r="L1271">
        <v>1250.71</v>
      </c>
      <c r="M1271">
        <v>1242.3800000000001</v>
      </c>
      <c r="N1271">
        <v>1264.9000000000001</v>
      </c>
      <c r="O1271" s="61">
        <f>IF((N1272=""),"",MAX(F1273:N1273))</f>
        <v>2075.34</v>
      </c>
      <c r="P1271" s="61">
        <f>IF(N1272="","",MIN(F1273:N1273))</f>
        <v>1988.28</v>
      </c>
      <c r="Q1271" s="62">
        <f>IF((N1273=""),"",AVERAGE(F1273:N1273))</f>
        <v>2035.6033333333335</v>
      </c>
      <c r="R1271" s="62">
        <f>IF((N1272=""),"",(O1271-P1271)/(O1271+P1271)*100)</f>
        <v>2.142424734596251</v>
      </c>
      <c r="S1271" s="139">
        <f>STDEV(F1273:N1273)</f>
        <v>33.288859998504044</v>
      </c>
      <c r="T1271" s="5" t="str">
        <f>IF(N1272="","",IF(Q1271&gt;1940,IF(R1271&lt;8.3,IF(Q1271&lt;2180,"Pass","Fail"),"Fail"),"Fail"))</f>
        <v>Pass</v>
      </c>
      <c r="U1271" s="149">
        <v>1159</v>
      </c>
      <c r="V1271" s="11" t="s">
        <v>314</v>
      </c>
      <c r="X1271" s="116">
        <v>2000</v>
      </c>
      <c r="Y1271" s="116">
        <v>3000</v>
      </c>
      <c r="Z1271" s="116">
        <v>1940</v>
      </c>
      <c r="AA1271" s="116">
        <v>2180</v>
      </c>
      <c r="AB1271" s="31">
        <v>5.2</v>
      </c>
      <c r="AC1271" s="31">
        <v>5.2</v>
      </c>
    </row>
    <row r="1272" spans="1:29" ht="15.6" x14ac:dyDescent="0.3">
      <c r="A1272" s="212"/>
      <c r="B1272" s="24"/>
      <c r="C1272" s="6"/>
      <c r="D1272" s="6"/>
      <c r="E1272" s="61" t="s">
        <v>187</v>
      </c>
      <c r="F1272">
        <v>605.71</v>
      </c>
      <c r="G1272">
        <v>558.45000000000005</v>
      </c>
      <c r="H1272">
        <v>546.92999999999995</v>
      </c>
      <c r="I1272">
        <v>560.80999999999995</v>
      </c>
      <c r="J1272">
        <v>609.98</v>
      </c>
      <c r="K1272">
        <v>625.01</v>
      </c>
      <c r="L1272">
        <v>568.88</v>
      </c>
      <c r="M1272">
        <v>550.6</v>
      </c>
      <c r="N1272">
        <v>593.23</v>
      </c>
      <c r="O1272" s="61"/>
      <c r="P1272" s="61"/>
      <c r="Q1272" s="62"/>
      <c r="R1272" s="62"/>
      <c r="S1272" s="139"/>
      <c r="T1272" s="5"/>
      <c r="U1272" s="140"/>
      <c r="X1272" s="118"/>
      <c r="Y1272" s="118"/>
      <c r="Z1272" s="118"/>
      <c r="AA1272" s="118"/>
    </row>
    <row r="1273" spans="1:29" ht="16.2" thickBot="1" x14ac:dyDescent="0.35">
      <c r="A1273" s="212"/>
      <c r="B1273" s="24"/>
      <c r="C1273" s="6"/>
      <c r="D1273" s="6"/>
      <c r="E1273" s="61" t="s">
        <v>190</v>
      </c>
      <c r="F1273" s="40">
        <f t="shared" ref="F1273:N1273" si="419">IF(((F1271="")*AND(F1272="")),"",(F1271-F1272)*3)</f>
        <v>2009.5799999999997</v>
      </c>
      <c r="G1273" s="40">
        <f t="shared" si="419"/>
        <v>2064.81</v>
      </c>
      <c r="H1273" s="40">
        <f t="shared" si="419"/>
        <v>2068.5300000000002</v>
      </c>
      <c r="I1273" s="40">
        <f t="shared" si="419"/>
        <v>2056.29</v>
      </c>
      <c r="J1273" s="40">
        <f t="shared" si="419"/>
        <v>1997.1000000000001</v>
      </c>
      <c r="K1273" s="40">
        <f t="shared" si="419"/>
        <v>1988.28</v>
      </c>
      <c r="L1273" s="40">
        <f t="shared" si="419"/>
        <v>2045.4900000000002</v>
      </c>
      <c r="M1273" s="40">
        <f t="shared" si="419"/>
        <v>2075.34</v>
      </c>
      <c r="N1273" s="40">
        <f t="shared" si="419"/>
        <v>2015.0100000000002</v>
      </c>
      <c r="O1273" s="61"/>
      <c r="P1273" s="61"/>
      <c r="Q1273" s="62"/>
      <c r="R1273" s="62"/>
      <c r="S1273" s="139"/>
      <c r="T1273" s="5"/>
      <c r="U1273" s="140"/>
      <c r="X1273" s="118"/>
      <c r="Y1273" s="118"/>
      <c r="Z1273" s="118"/>
      <c r="AA1273" s="118"/>
    </row>
    <row r="1274" spans="1:29" ht="15.6" x14ac:dyDescent="0.3">
      <c r="A1274" s="278">
        <v>43675</v>
      </c>
      <c r="B1274" s="218" t="s">
        <v>185</v>
      </c>
      <c r="C1274" s="6" t="s">
        <v>173</v>
      </c>
      <c r="D1274" s="6" t="s">
        <v>172</v>
      </c>
      <c r="E1274" s="61" t="s">
        <v>186</v>
      </c>
      <c r="F1274">
        <v>27443.07</v>
      </c>
      <c r="G1274">
        <v>27798.74</v>
      </c>
      <c r="H1274">
        <v>27645.9</v>
      </c>
      <c r="I1274">
        <v>27563.51</v>
      </c>
      <c r="J1274">
        <v>27499.16</v>
      </c>
      <c r="K1274">
        <v>27574.65</v>
      </c>
      <c r="L1274">
        <v>27544.799999999999</v>
      </c>
      <c r="M1274">
        <v>27489.11</v>
      </c>
      <c r="N1274">
        <v>27450.16</v>
      </c>
      <c r="O1274" s="61">
        <f>IF((N1275=""),"",MAX(F1276:N1276))</f>
        <v>5176.320000000007</v>
      </c>
      <c r="P1274" s="61">
        <f>IF(N1275="","",MIN(F1276:N1276))</f>
        <v>4346.2200000000048</v>
      </c>
      <c r="Q1274" s="62">
        <f>IF((N1276=""),"",AVERAGE(F1276:N1276))</f>
        <v>4681.6900000000014</v>
      </c>
      <c r="R1274" s="62">
        <f>IF((N1275=""),"",(O1274-P1274)/(O1274+P1274)*100)</f>
        <v>8.7172120043601939</v>
      </c>
      <c r="S1274" s="139">
        <f>STDEV(F1276:N1276)</f>
        <v>295.37605801757343</v>
      </c>
      <c r="T1274" s="5" t="str">
        <f>IF(N1275="","",IF(R1274&lt;16,IF(Q1274&gt;3200,IF(R1274,IF(Q1274&lt;5240,"Pass","Fail"),"Fail"),"Fail")))</f>
        <v>Pass</v>
      </c>
      <c r="U1274" s="149">
        <v>1159</v>
      </c>
      <c r="V1274" s="11" t="s">
        <v>314</v>
      </c>
      <c r="X1274" s="116">
        <v>4200</v>
      </c>
      <c r="Y1274" s="116">
        <v>5500</v>
      </c>
      <c r="Z1274" s="116">
        <v>3200</v>
      </c>
      <c r="AA1274" s="116">
        <v>5240</v>
      </c>
      <c r="AB1274" s="31">
        <v>16</v>
      </c>
      <c r="AC1274" s="31">
        <v>16</v>
      </c>
    </row>
    <row r="1275" spans="1:29" ht="15.6" x14ac:dyDescent="0.3">
      <c r="A1275" s="212"/>
      <c r="B1275" s="24"/>
      <c r="C1275" s="6"/>
      <c r="D1275" s="6"/>
      <c r="E1275" s="61" t="s">
        <v>187</v>
      </c>
      <c r="F1275">
        <v>25894.65</v>
      </c>
      <c r="G1275">
        <v>26073.3</v>
      </c>
      <c r="H1275">
        <v>26167.74</v>
      </c>
      <c r="I1275">
        <v>26100.69</v>
      </c>
      <c r="J1275">
        <v>25899.95</v>
      </c>
      <c r="K1275">
        <v>25908.57</v>
      </c>
      <c r="L1275">
        <v>26052.78</v>
      </c>
      <c r="M1275">
        <v>26040.37</v>
      </c>
      <c r="N1275">
        <v>25825.98</v>
      </c>
      <c r="O1275" s="127"/>
      <c r="P1275" s="61"/>
      <c r="Q1275" s="62"/>
      <c r="R1275" s="62"/>
      <c r="S1275" s="139"/>
      <c r="T1275" s="5"/>
      <c r="U1275" s="140"/>
    </row>
    <row r="1276" spans="1:29" ht="23.4" thickBot="1" x14ac:dyDescent="0.35">
      <c r="A1276" s="212"/>
      <c r="B1276" s="63"/>
      <c r="C1276" s="64"/>
      <c r="D1276" s="64"/>
      <c r="E1276" s="61" t="s">
        <v>188</v>
      </c>
      <c r="F1276" s="53">
        <f t="shared" ref="F1276:N1276" si="420">IF(((F1274="")*AND(F1275="")),"",(F1274-F1275)*3)</f>
        <v>4645.2599999999948</v>
      </c>
      <c r="G1276" s="53">
        <f t="shared" si="420"/>
        <v>5176.320000000007</v>
      </c>
      <c r="H1276" s="53">
        <f t="shared" si="420"/>
        <v>4434.4799999999996</v>
      </c>
      <c r="I1276" s="53">
        <f t="shared" si="420"/>
        <v>4388.4599999999991</v>
      </c>
      <c r="J1276" s="53">
        <f t="shared" si="420"/>
        <v>4797.6299999999974</v>
      </c>
      <c r="K1276" s="53">
        <f t="shared" si="420"/>
        <v>4998.2400000000052</v>
      </c>
      <c r="L1276" s="53">
        <f t="shared" si="420"/>
        <v>4476.0600000000013</v>
      </c>
      <c r="M1276" s="53">
        <f t="shared" si="420"/>
        <v>4346.2200000000048</v>
      </c>
      <c r="N1276" s="53">
        <f t="shared" si="420"/>
        <v>4872.5400000000009</v>
      </c>
      <c r="O1276" s="65"/>
      <c r="P1276" s="65"/>
      <c r="Q1276" s="66"/>
      <c r="R1276" s="66"/>
      <c r="S1276" s="142"/>
      <c r="T1276" s="143"/>
      <c r="U1276" s="144"/>
    </row>
    <row r="1277" spans="1:29" ht="15.6" x14ac:dyDescent="0.3">
      <c r="A1277" s="278">
        <v>43678</v>
      </c>
      <c r="B1277" s="217" t="s">
        <v>174</v>
      </c>
      <c r="C1277" s="44" t="s">
        <v>176</v>
      </c>
      <c r="D1277" s="44" t="s">
        <v>175</v>
      </c>
      <c r="E1277" s="61" t="s">
        <v>186</v>
      </c>
      <c r="F1277">
        <v>6975.31</v>
      </c>
      <c r="G1277">
        <v>6959.95</v>
      </c>
      <c r="H1277">
        <v>6964.8</v>
      </c>
      <c r="I1277">
        <v>6938.58</v>
      </c>
      <c r="J1277">
        <v>6882.88</v>
      </c>
      <c r="K1277">
        <v>6952.01</v>
      </c>
      <c r="L1277">
        <v>6934.62</v>
      </c>
      <c r="M1277">
        <v>6981.91</v>
      </c>
      <c r="N1277">
        <v>6993.93</v>
      </c>
      <c r="O1277" s="59">
        <f>IF((N1278=""),"",MAX(F1279:N1279))</f>
        <v>4050.2799999999988</v>
      </c>
      <c r="P1277" s="59">
        <f>IF(N1278="","",MIN(F1279:N1279))</f>
        <v>3664.26</v>
      </c>
      <c r="Q1277" s="60">
        <f>IF((N1279=""),"",AVERAGE(F1279:N1279))</f>
        <v>3902.5000000000009</v>
      </c>
      <c r="R1277" s="60">
        <f>IF((N1278=""),"",(O1277-P1277)/(O1277+P1277)*100)</f>
        <v>5.0037980229540411</v>
      </c>
      <c r="S1277" s="131">
        <f>STDEV(F1279:N1279)</f>
        <v>138.70416792584072</v>
      </c>
      <c r="T1277" s="137" t="str">
        <f>IF(N1278="","",IF(Q1277&gt;3650,IF(R1277&lt;7,IF(Q1277&lt;4450,"Pass","Fail"),"Fail"),"Fail"))</f>
        <v>Pass</v>
      </c>
      <c r="U1277" s="149">
        <v>1159</v>
      </c>
      <c r="V1277" s="11" t="s">
        <v>316</v>
      </c>
      <c r="X1277" s="116">
        <v>3650</v>
      </c>
      <c r="Y1277" s="116">
        <v>4450</v>
      </c>
      <c r="Z1277" s="116">
        <v>3700</v>
      </c>
      <c r="AA1277" s="116">
        <v>4100</v>
      </c>
      <c r="AB1277" s="31">
        <v>7</v>
      </c>
      <c r="AC1277" s="31">
        <v>6.5</v>
      </c>
    </row>
    <row r="1278" spans="1:29" ht="15.6" x14ac:dyDescent="0.3">
      <c r="A1278" s="212"/>
      <c r="B1278" s="24"/>
      <c r="C1278" s="6"/>
      <c r="D1278" s="6"/>
      <c r="E1278" s="61" t="s">
        <v>187</v>
      </c>
      <c r="F1278">
        <v>5115.6899999999996</v>
      </c>
      <c r="G1278">
        <v>4968.1400000000003</v>
      </c>
      <c r="H1278">
        <v>4947.01</v>
      </c>
      <c r="I1278">
        <v>4943.97</v>
      </c>
      <c r="J1278">
        <v>4966.42</v>
      </c>
      <c r="K1278">
        <v>5119.88</v>
      </c>
      <c r="L1278">
        <v>4949.92</v>
      </c>
      <c r="M1278">
        <v>4956.7700000000004</v>
      </c>
      <c r="N1278">
        <v>5054.9399999999996</v>
      </c>
      <c r="O1278" s="61"/>
      <c r="P1278" s="61"/>
      <c r="Q1278" s="62"/>
      <c r="R1278" s="62"/>
      <c r="S1278" s="139"/>
      <c r="T1278" s="8"/>
      <c r="U1278" s="146"/>
      <c r="X1278" s="118"/>
      <c r="Y1278" s="118"/>
      <c r="Z1278" s="118"/>
      <c r="AA1278" s="118"/>
    </row>
    <row r="1279" spans="1:29" ht="23.4" thickBot="1" x14ac:dyDescent="0.35">
      <c r="A1279" s="212"/>
      <c r="B1279" s="24"/>
      <c r="C1279" s="6"/>
      <c r="D1279" s="6"/>
      <c r="E1279" s="61" t="s">
        <v>188</v>
      </c>
      <c r="F1279" s="40">
        <f t="shared" ref="F1279:N1279" si="421">IF(((F1277="")*AND(F1278="")),"",(F1277-F1278)*2)</f>
        <v>3719.2400000000016</v>
      </c>
      <c r="G1279" s="40">
        <f t="shared" si="421"/>
        <v>3983.619999999999</v>
      </c>
      <c r="H1279" s="40">
        <f t="shared" si="421"/>
        <v>4035.58</v>
      </c>
      <c r="I1279" s="40">
        <f t="shared" si="421"/>
        <v>3989.2199999999993</v>
      </c>
      <c r="J1279" s="40">
        <f t="shared" si="421"/>
        <v>3832.92</v>
      </c>
      <c r="K1279" s="40">
        <f t="shared" si="421"/>
        <v>3664.26</v>
      </c>
      <c r="L1279" s="40">
        <f t="shared" si="421"/>
        <v>3969.3999999999996</v>
      </c>
      <c r="M1279" s="40">
        <f t="shared" si="421"/>
        <v>4050.2799999999988</v>
      </c>
      <c r="N1279" s="40">
        <f t="shared" si="421"/>
        <v>3877.9800000000014</v>
      </c>
      <c r="O1279" s="61"/>
      <c r="P1279" s="61"/>
      <c r="Q1279" s="62"/>
      <c r="R1279" s="62"/>
      <c r="S1279" s="139"/>
      <c r="T1279" s="8"/>
      <c r="U1279" s="146"/>
      <c r="X1279" s="118"/>
      <c r="Y1279" s="118"/>
      <c r="Z1279" s="118"/>
      <c r="AA1279" s="118"/>
    </row>
    <row r="1280" spans="1:29" ht="15.6" x14ac:dyDescent="0.3">
      <c r="A1280" s="278">
        <v>43678</v>
      </c>
      <c r="B1280" s="215" t="s">
        <v>169</v>
      </c>
      <c r="C1280" s="6" t="s">
        <v>171</v>
      </c>
      <c r="D1280" s="6" t="s">
        <v>189</v>
      </c>
      <c r="E1280" s="61" t="s">
        <v>186</v>
      </c>
      <c r="F1280">
        <v>1960.74</v>
      </c>
      <c r="G1280">
        <v>1959.03</v>
      </c>
      <c r="H1280">
        <v>1956.42</v>
      </c>
      <c r="I1280">
        <v>1959.74</v>
      </c>
      <c r="J1280">
        <v>1964.5</v>
      </c>
      <c r="K1280">
        <v>1965.52</v>
      </c>
      <c r="L1280">
        <v>1959.78</v>
      </c>
      <c r="M1280">
        <v>1957.78</v>
      </c>
      <c r="N1280">
        <v>1960.72</v>
      </c>
      <c r="O1280" s="61">
        <f>IF((N1281=""),"",MAX(F1282:N1282))</f>
        <v>2124.12</v>
      </c>
      <c r="P1280" s="61">
        <f>IF(N1281="","",MIN(F1282:N1282))</f>
        <v>2019.8999999999999</v>
      </c>
      <c r="Q1280" s="62">
        <f>IF((N1282=""),"",AVERAGE(F1282:N1282))</f>
        <v>2071.8166666666662</v>
      </c>
      <c r="R1280" s="62">
        <f>IF((N1281=""),"",(O1280-P1280)/(O1280+P1280)*100)</f>
        <v>2.5149492521754246</v>
      </c>
      <c r="S1280" s="139">
        <f>STDEV(F1282:N1282)</f>
        <v>44.61009106693232</v>
      </c>
      <c r="T1280" s="5" t="str">
        <f>IF(N1281="","",IF(Q1280&gt;1940,IF(R1280&lt;8.3,IF(Q1280&lt;2180,"Pass","Fail"),"Fail"),"Fail"))</f>
        <v>Pass</v>
      </c>
      <c r="U1280" s="149">
        <v>1159</v>
      </c>
      <c r="V1280" s="11" t="s">
        <v>316</v>
      </c>
      <c r="X1280" s="116">
        <v>2000</v>
      </c>
      <c r="Y1280" s="116">
        <v>3000</v>
      </c>
      <c r="Z1280" s="116">
        <v>1940</v>
      </c>
      <c r="AA1280" s="116">
        <v>2180</v>
      </c>
      <c r="AB1280" s="31">
        <v>5.2</v>
      </c>
      <c r="AC1280" s="31">
        <v>5.2</v>
      </c>
    </row>
    <row r="1281" spans="1:29" ht="15.6" x14ac:dyDescent="0.3">
      <c r="A1281" s="212"/>
      <c r="B1281" s="24"/>
      <c r="C1281" s="6"/>
      <c r="D1281" s="6"/>
      <c r="E1281" s="61" t="s">
        <v>187</v>
      </c>
      <c r="F1281">
        <v>1283.92</v>
      </c>
      <c r="G1281">
        <v>1254.6500000000001</v>
      </c>
      <c r="H1281">
        <v>1248.3800000000001</v>
      </c>
      <c r="I1281">
        <v>1261.9000000000001</v>
      </c>
      <c r="J1281">
        <v>1291.2</v>
      </c>
      <c r="K1281">
        <v>1290.98</v>
      </c>
      <c r="L1281">
        <v>1259.27</v>
      </c>
      <c r="M1281">
        <v>1254.05</v>
      </c>
      <c r="N1281">
        <v>1284.43</v>
      </c>
      <c r="O1281" s="61"/>
      <c r="P1281" s="61"/>
      <c r="Q1281" s="62"/>
      <c r="R1281" s="62"/>
      <c r="S1281" s="139"/>
      <c r="T1281" s="5"/>
      <c r="U1281" s="140"/>
      <c r="X1281" s="118"/>
      <c r="Y1281" s="118"/>
      <c r="Z1281" s="118"/>
      <c r="AA1281" s="118"/>
    </row>
    <row r="1282" spans="1:29" ht="16.2" thickBot="1" x14ac:dyDescent="0.35">
      <c r="A1282" s="212"/>
      <c r="B1282" s="24"/>
      <c r="C1282" s="6"/>
      <c r="D1282" s="6"/>
      <c r="E1282" s="61" t="s">
        <v>190</v>
      </c>
      <c r="F1282" s="40">
        <f t="shared" ref="F1282:N1282" si="422">IF(((F1280="")*AND(F1281="")),"",(F1280-F1281)*3)</f>
        <v>2030.4599999999998</v>
      </c>
      <c r="G1282" s="40">
        <f t="shared" si="422"/>
        <v>2113.1399999999994</v>
      </c>
      <c r="H1282" s="40">
        <f t="shared" si="422"/>
        <v>2124.12</v>
      </c>
      <c r="I1282" s="40">
        <f t="shared" si="422"/>
        <v>2093.5199999999995</v>
      </c>
      <c r="J1282" s="40">
        <f t="shared" si="422"/>
        <v>2019.8999999999999</v>
      </c>
      <c r="K1282" s="40">
        <f t="shared" si="422"/>
        <v>2023.62</v>
      </c>
      <c r="L1282" s="40">
        <f t="shared" si="422"/>
        <v>2101.5299999999997</v>
      </c>
      <c r="M1282" s="40">
        <f t="shared" si="422"/>
        <v>2111.19</v>
      </c>
      <c r="N1282" s="40">
        <f t="shared" si="422"/>
        <v>2028.87</v>
      </c>
      <c r="O1282" s="61"/>
      <c r="P1282" s="61"/>
      <c r="Q1282" s="62"/>
      <c r="R1282" s="62"/>
      <c r="S1282" s="139"/>
      <c r="T1282" s="5"/>
      <c r="U1282" s="140"/>
      <c r="X1282" s="118"/>
      <c r="Y1282" s="118"/>
      <c r="Z1282" s="118"/>
      <c r="AA1282" s="118"/>
    </row>
    <row r="1283" spans="1:29" ht="15.6" x14ac:dyDescent="0.3">
      <c r="A1283" s="278">
        <v>43678</v>
      </c>
      <c r="B1283" s="218" t="s">
        <v>185</v>
      </c>
      <c r="C1283" s="6" t="s">
        <v>173</v>
      </c>
      <c r="D1283" s="6" t="s">
        <v>172</v>
      </c>
      <c r="E1283" s="61" t="s">
        <v>186</v>
      </c>
      <c r="F1283">
        <v>25811.84</v>
      </c>
      <c r="G1283">
        <v>26039.79</v>
      </c>
      <c r="H1283">
        <v>26155.83</v>
      </c>
      <c r="I1283">
        <v>26059.67</v>
      </c>
      <c r="J1283">
        <v>25867.16</v>
      </c>
      <c r="K1283">
        <v>25867.9</v>
      </c>
      <c r="L1283">
        <v>26054.9</v>
      </c>
      <c r="M1283">
        <v>26039.86</v>
      </c>
      <c r="N1283">
        <v>25815.21</v>
      </c>
      <c r="O1283" s="61">
        <f>IF((N1284=""),"",MAX(F1285:N1285))</f>
        <v>5059.4399999999987</v>
      </c>
      <c r="P1283" s="61">
        <f>IF(N1284="","",MIN(F1285:N1285))</f>
        <v>4479.4799999999996</v>
      </c>
      <c r="Q1283" s="62">
        <f>IF((N1285=""),"",AVERAGE(F1285:N1285))</f>
        <v>4704.0899999999983</v>
      </c>
      <c r="R1283" s="62">
        <f>IF((N1284=""),"",(O1283-P1283)/(O1283+P1283)*100)</f>
        <v>6.079933577386111</v>
      </c>
      <c r="S1283" s="139">
        <f>STDEV(F1285:N1285)</f>
        <v>219.48900371089226</v>
      </c>
      <c r="T1283" s="5" t="str">
        <f>IF(N1284="","",IF(R1283&lt;16,IF(Q1283&gt;3200,IF(R1283,IF(Q1283&lt;5240,"Pass","Fail"),"Fail"),"Fail")))</f>
        <v>Pass</v>
      </c>
      <c r="U1283" s="149">
        <v>1159</v>
      </c>
      <c r="V1283" s="11" t="s">
        <v>316</v>
      </c>
      <c r="X1283" s="116">
        <v>4200</v>
      </c>
      <c r="Y1283" s="116">
        <v>5500</v>
      </c>
      <c r="Z1283" s="116">
        <v>3200</v>
      </c>
      <c r="AA1283" s="116">
        <v>5240</v>
      </c>
      <c r="AB1283" s="31">
        <v>16</v>
      </c>
      <c r="AC1283" s="31">
        <v>16</v>
      </c>
    </row>
    <row r="1284" spans="1:29" ht="15.6" x14ac:dyDescent="0.3">
      <c r="A1284" s="212"/>
      <c r="B1284" s="24"/>
      <c r="C1284" s="6"/>
      <c r="D1284" s="6"/>
      <c r="E1284" s="61" t="s">
        <v>187</v>
      </c>
      <c r="F1284">
        <v>24216.73</v>
      </c>
      <c r="G1284">
        <v>24546.63</v>
      </c>
      <c r="H1284">
        <v>24657.22</v>
      </c>
      <c r="I1284">
        <v>24564.84</v>
      </c>
      <c r="J1284">
        <v>24180.68</v>
      </c>
      <c r="K1284">
        <v>24216.63</v>
      </c>
      <c r="L1284">
        <v>24503.81</v>
      </c>
      <c r="M1284">
        <v>24519.22</v>
      </c>
      <c r="N1284">
        <v>24194.13</v>
      </c>
      <c r="O1284" s="127"/>
      <c r="P1284" s="61"/>
      <c r="Q1284" s="62"/>
      <c r="R1284" s="62"/>
      <c r="S1284" s="139"/>
      <c r="T1284" s="5"/>
      <c r="U1284" s="140"/>
    </row>
    <row r="1285" spans="1:29" ht="23.4" thickBot="1" x14ac:dyDescent="0.35">
      <c r="A1285" s="212"/>
      <c r="B1285" s="63"/>
      <c r="C1285" s="64"/>
      <c r="D1285" s="64"/>
      <c r="E1285" s="61" t="s">
        <v>188</v>
      </c>
      <c r="F1285" s="53">
        <f t="shared" ref="F1285:N1285" si="423">IF(((F1283="")*AND(F1284="")),"",(F1283-F1284)*3)</f>
        <v>4785.3300000000017</v>
      </c>
      <c r="G1285" s="53">
        <f t="shared" si="423"/>
        <v>4479.4799999999996</v>
      </c>
      <c r="H1285" s="53">
        <f t="shared" si="423"/>
        <v>4495.8300000000017</v>
      </c>
      <c r="I1285" s="53">
        <f t="shared" si="423"/>
        <v>4484.4899999999943</v>
      </c>
      <c r="J1285" s="53">
        <f t="shared" si="423"/>
        <v>5059.4399999999987</v>
      </c>
      <c r="K1285" s="53">
        <f t="shared" si="423"/>
        <v>4953.8100000000013</v>
      </c>
      <c r="L1285" s="53">
        <f t="shared" si="423"/>
        <v>4653.2700000000004</v>
      </c>
      <c r="M1285" s="53">
        <f t="shared" si="423"/>
        <v>4561.9199999999983</v>
      </c>
      <c r="N1285" s="53">
        <f t="shared" si="423"/>
        <v>4863.2399999999943</v>
      </c>
      <c r="O1285" s="65"/>
      <c r="P1285" s="65"/>
      <c r="Q1285" s="66"/>
      <c r="R1285" s="66"/>
      <c r="S1285" s="142"/>
      <c r="T1285" s="143"/>
      <c r="U1285" s="144"/>
    </row>
    <row r="1286" spans="1:29" ht="15.6" x14ac:dyDescent="0.3">
      <c r="A1286" s="278">
        <v>43681</v>
      </c>
      <c r="B1286" s="217" t="s">
        <v>174</v>
      </c>
      <c r="C1286" s="44" t="s">
        <v>176</v>
      </c>
      <c r="D1286" s="44" t="s">
        <v>175</v>
      </c>
      <c r="E1286" s="61" t="s">
        <v>186</v>
      </c>
      <c r="F1286">
        <v>5119.71</v>
      </c>
      <c r="G1286">
        <v>4973.37</v>
      </c>
      <c r="H1286">
        <v>4952.97</v>
      </c>
      <c r="I1286">
        <v>4949.6899999999996</v>
      </c>
      <c r="J1286">
        <v>4971.68</v>
      </c>
      <c r="K1286">
        <v>5124.18</v>
      </c>
      <c r="L1286">
        <v>4955.45</v>
      </c>
      <c r="M1286">
        <v>4962.3</v>
      </c>
      <c r="N1286">
        <v>5059.26</v>
      </c>
      <c r="O1286" s="59">
        <f>IF((N1287=""),"",MAX(F1288:N1288))</f>
        <v>4069.38</v>
      </c>
      <c r="P1286" s="59">
        <f>IF(N1287="","",MIN(F1288:N1288))</f>
        <v>3691.0800000000008</v>
      </c>
      <c r="Q1286" s="60">
        <f>IF((N1288=""),"",AVERAGE(F1288:N1288))</f>
        <v>3921.5022222222228</v>
      </c>
      <c r="R1286" s="60">
        <f>IF((N1287=""),"",(O1286-P1286)/(O1286+P1286)*100)</f>
        <v>4.8747110351705851</v>
      </c>
      <c r="S1286" s="131">
        <f>STDEV(F1288:N1288)</f>
        <v>138.48354358711501</v>
      </c>
      <c r="T1286" s="137" t="str">
        <f>IF(N1287="","",IF(Q1286&gt;3650,IF(R1286&lt;7,IF(Q1286&lt;4450,"Pass","Fail"),"Fail"),"Fail"))</f>
        <v>Pass</v>
      </c>
      <c r="U1286" s="149">
        <v>1335</v>
      </c>
      <c r="V1286" s="11" t="s">
        <v>318</v>
      </c>
      <c r="X1286" s="116">
        <v>3650</v>
      </c>
      <c r="Y1286" s="116">
        <v>4450</v>
      </c>
      <c r="Z1286" s="116">
        <v>3700</v>
      </c>
      <c r="AA1286" s="116">
        <v>4100</v>
      </c>
      <c r="AB1286" s="31">
        <v>7</v>
      </c>
      <c r="AC1286" s="31">
        <v>6.5</v>
      </c>
    </row>
    <row r="1287" spans="1:29" ht="15.6" x14ac:dyDescent="0.3">
      <c r="A1287" s="212"/>
      <c r="B1287" s="24"/>
      <c r="C1287" s="6"/>
      <c r="D1287" s="6"/>
      <c r="E1287" s="61" t="s">
        <v>187</v>
      </c>
      <c r="F1287">
        <v>3258.46</v>
      </c>
      <c r="G1287">
        <v>2981.51</v>
      </c>
      <c r="H1287">
        <v>2924.97</v>
      </c>
      <c r="I1287">
        <v>2940.44</v>
      </c>
      <c r="J1287">
        <v>3038.08</v>
      </c>
      <c r="K1287">
        <v>3278.64</v>
      </c>
      <c r="L1287">
        <v>2962.8</v>
      </c>
      <c r="M1287">
        <v>2927.61</v>
      </c>
      <c r="N1287">
        <v>3109.34</v>
      </c>
      <c r="O1287" s="61"/>
      <c r="P1287" s="61"/>
      <c r="Q1287" s="62"/>
      <c r="R1287" s="62"/>
      <c r="S1287" s="139"/>
      <c r="T1287" s="8"/>
      <c r="U1287" s="146"/>
      <c r="X1287" s="118"/>
      <c r="Y1287" s="118"/>
      <c r="Z1287" s="118"/>
      <c r="AA1287" s="118"/>
    </row>
    <row r="1288" spans="1:29" ht="23.4" thickBot="1" x14ac:dyDescent="0.35">
      <c r="A1288" s="212"/>
      <c r="B1288" s="24"/>
      <c r="C1288" s="6"/>
      <c r="D1288" s="6"/>
      <c r="E1288" s="61" t="s">
        <v>188</v>
      </c>
      <c r="F1288" s="40">
        <f t="shared" ref="F1288:N1288" si="424">IF(((F1286="")*AND(F1287="")),"",(F1286-F1287)*2)</f>
        <v>3722.5</v>
      </c>
      <c r="G1288" s="40">
        <f t="shared" si="424"/>
        <v>3983.7199999999993</v>
      </c>
      <c r="H1288" s="40">
        <f t="shared" si="424"/>
        <v>4056.0000000000009</v>
      </c>
      <c r="I1288" s="40">
        <f t="shared" si="424"/>
        <v>4018.4999999999991</v>
      </c>
      <c r="J1288" s="40">
        <f t="shared" si="424"/>
        <v>3867.2000000000007</v>
      </c>
      <c r="K1288" s="40">
        <f t="shared" si="424"/>
        <v>3691.0800000000008</v>
      </c>
      <c r="L1288" s="40">
        <f t="shared" si="424"/>
        <v>3985.2999999999993</v>
      </c>
      <c r="M1288" s="40">
        <f t="shared" si="424"/>
        <v>4069.38</v>
      </c>
      <c r="N1288" s="40">
        <f t="shared" si="424"/>
        <v>3899.84</v>
      </c>
      <c r="O1288" s="61"/>
      <c r="P1288" s="61"/>
      <c r="Q1288" s="62"/>
      <c r="R1288" s="62"/>
      <c r="S1288" s="139"/>
      <c r="T1288" s="8"/>
      <c r="U1288" s="146"/>
      <c r="X1288" s="118"/>
      <c r="Y1288" s="118"/>
      <c r="Z1288" s="118"/>
      <c r="AA1288" s="118"/>
    </row>
    <row r="1289" spans="1:29" ht="15.6" x14ac:dyDescent="0.3">
      <c r="A1289" s="278">
        <v>43681</v>
      </c>
      <c r="B1289" s="215" t="s">
        <v>169</v>
      </c>
      <c r="C1289" s="6" t="s">
        <v>171</v>
      </c>
      <c r="D1289" s="6" t="s">
        <v>189</v>
      </c>
      <c r="E1289" s="61" t="s">
        <v>186</v>
      </c>
      <c r="F1289">
        <v>1287.55</v>
      </c>
      <c r="G1289">
        <v>1256.8399999999999</v>
      </c>
      <c r="H1289">
        <v>1251.79</v>
      </c>
      <c r="I1289">
        <v>1263.19</v>
      </c>
      <c r="J1289">
        <v>1293.03</v>
      </c>
      <c r="K1289">
        <v>1298.47</v>
      </c>
      <c r="L1289">
        <v>1262.22</v>
      </c>
      <c r="M1289">
        <v>1258.32</v>
      </c>
      <c r="N1289">
        <v>1283.92</v>
      </c>
      <c r="O1289" s="61">
        <f>IF((N1290=""),"",MAX(F1291:N1291))</f>
        <v>2085.87</v>
      </c>
      <c r="P1289" s="61">
        <f>IF(N1290="","",MIN(F1291:N1291))</f>
        <v>1976.19</v>
      </c>
      <c r="Q1289" s="62">
        <f>IF((N1291=""),"",AVERAGE(F1291:N1291))</f>
        <v>2032.0433333333333</v>
      </c>
      <c r="R1289" s="62">
        <f>IF((N1290=""),"",(O1289-P1289)/(O1289+P1289)*100)</f>
        <v>2.7001078270631118</v>
      </c>
      <c r="S1289" s="139">
        <f>STDEV(F1291:N1291)</f>
        <v>40.867272969944892</v>
      </c>
      <c r="T1289" s="5" t="str">
        <f>IF(N1290="","",IF(Q1289&gt;1940,IF(R1289&lt;8.3,IF(Q1289&lt;2180,"Pass","Fail"),"Fail"),"Fail"))</f>
        <v>Pass</v>
      </c>
      <c r="U1289" s="149">
        <v>1335</v>
      </c>
      <c r="V1289" s="11" t="s">
        <v>318</v>
      </c>
      <c r="X1289" s="116">
        <v>2000</v>
      </c>
      <c r="Y1289" s="116">
        <v>3000</v>
      </c>
      <c r="Z1289" s="116">
        <v>1940</v>
      </c>
      <c r="AA1289" s="116">
        <v>2180</v>
      </c>
      <c r="AB1289" s="31">
        <v>5.2</v>
      </c>
      <c r="AC1289" s="31">
        <v>5.2</v>
      </c>
    </row>
    <row r="1290" spans="1:29" ht="15.6" x14ac:dyDescent="0.3">
      <c r="A1290" s="212"/>
      <c r="B1290" s="24"/>
      <c r="C1290" s="6"/>
      <c r="D1290" s="6"/>
      <c r="E1290" s="61" t="s">
        <v>187</v>
      </c>
      <c r="F1290">
        <v>621.53</v>
      </c>
      <c r="G1290">
        <v>570.36</v>
      </c>
      <c r="H1290">
        <v>556.5</v>
      </c>
      <c r="I1290">
        <v>577.87</v>
      </c>
      <c r="J1290">
        <v>634.29999999999995</v>
      </c>
      <c r="K1290">
        <v>635.42999999999995</v>
      </c>
      <c r="L1290">
        <v>575.97</v>
      </c>
      <c r="M1290">
        <v>569.49</v>
      </c>
      <c r="N1290">
        <v>617.75</v>
      </c>
      <c r="O1290" s="61"/>
      <c r="P1290" s="61"/>
      <c r="Q1290" s="62"/>
      <c r="R1290" s="62"/>
      <c r="S1290" s="139"/>
      <c r="T1290" s="5"/>
      <c r="U1290" s="140"/>
      <c r="X1290" s="118"/>
      <c r="Y1290" s="118"/>
      <c r="Z1290" s="118"/>
      <c r="AA1290" s="118"/>
    </row>
    <row r="1291" spans="1:29" ht="16.2" thickBot="1" x14ac:dyDescent="0.35">
      <c r="A1291" s="212"/>
      <c r="B1291" s="24"/>
      <c r="C1291" s="6"/>
      <c r="D1291" s="6"/>
      <c r="E1291" s="61" t="s">
        <v>190</v>
      </c>
      <c r="F1291" s="40">
        <f t="shared" ref="F1291:N1291" si="425">IF(((F1289="")*AND(F1290="")),"",(F1289-F1290)*3)</f>
        <v>1998.06</v>
      </c>
      <c r="G1291" s="40">
        <f t="shared" si="425"/>
        <v>2059.4399999999996</v>
      </c>
      <c r="H1291" s="40">
        <f t="shared" si="425"/>
        <v>2085.87</v>
      </c>
      <c r="I1291" s="40">
        <f t="shared" si="425"/>
        <v>2055.96</v>
      </c>
      <c r="J1291" s="40">
        <f t="shared" si="425"/>
        <v>1976.19</v>
      </c>
      <c r="K1291" s="40">
        <f t="shared" si="425"/>
        <v>1989.1200000000003</v>
      </c>
      <c r="L1291" s="40">
        <f t="shared" si="425"/>
        <v>2058.75</v>
      </c>
      <c r="M1291" s="40">
        <f t="shared" si="425"/>
        <v>2066.4899999999998</v>
      </c>
      <c r="N1291" s="40">
        <f t="shared" si="425"/>
        <v>1998.5100000000002</v>
      </c>
      <c r="O1291" s="61"/>
      <c r="P1291" s="61"/>
      <c r="Q1291" s="62"/>
      <c r="R1291" s="62"/>
      <c r="S1291" s="139"/>
      <c r="T1291" s="5"/>
      <c r="U1291" s="140"/>
      <c r="X1291" s="118"/>
      <c r="Y1291" s="118"/>
      <c r="Z1291" s="118"/>
      <c r="AA1291" s="118"/>
    </row>
    <row r="1292" spans="1:29" ht="15.6" x14ac:dyDescent="0.3">
      <c r="A1292" s="278">
        <v>43681</v>
      </c>
      <c r="B1292" s="218" t="s">
        <v>185</v>
      </c>
      <c r="C1292" s="6" t="s">
        <v>173</v>
      </c>
      <c r="D1292" s="6" t="s">
        <v>172</v>
      </c>
      <c r="E1292" s="61" t="s">
        <v>186</v>
      </c>
      <c r="F1292">
        <v>24197.360000000001</v>
      </c>
      <c r="G1292">
        <v>24485.05</v>
      </c>
      <c r="H1292">
        <v>24632.07</v>
      </c>
      <c r="I1292">
        <v>24500.83</v>
      </c>
      <c r="J1292">
        <v>24114.880000000001</v>
      </c>
      <c r="K1292">
        <v>24183.67</v>
      </c>
      <c r="L1292">
        <v>24529.78</v>
      </c>
      <c r="M1292">
        <v>24508.52</v>
      </c>
      <c r="N1292">
        <v>24101.64</v>
      </c>
      <c r="O1292" s="61">
        <f>IF((N1293=""),"",MAX(F1294:N1294))</f>
        <v>4967.0400000000009</v>
      </c>
      <c r="P1292" s="61">
        <f>IF(N1293="","",MIN(F1294:N1294))</f>
        <v>4162.6200000000026</v>
      </c>
      <c r="Q1292" s="62">
        <f>IF((N1294=""),"",AVERAGE(F1294:N1294))</f>
        <v>4546.413333333333</v>
      </c>
      <c r="R1292" s="62">
        <f>IF((N1293=""),"",(O1292-P1292)/(O1292+P1292)*100)</f>
        <v>8.8110619672583415</v>
      </c>
      <c r="S1292" s="139">
        <f>STDEV(F1294:N1294)</f>
        <v>318.92599651016201</v>
      </c>
      <c r="T1292" s="5" t="str">
        <f>IF(N1293="","",IF(R1292&lt;16,IF(Q1292&gt;3200,IF(R1292,IF(Q1292&lt;5240,"Pass","Fail"),"Fail"),"Fail")))</f>
        <v>Pass</v>
      </c>
      <c r="U1292" s="149">
        <v>1335</v>
      </c>
      <c r="V1292" s="11" t="s">
        <v>318</v>
      </c>
      <c r="X1292" s="116">
        <v>4200</v>
      </c>
      <c r="Y1292" s="116">
        <v>5500</v>
      </c>
      <c r="Z1292" s="116">
        <v>3200</v>
      </c>
      <c r="AA1292" s="116">
        <v>5240</v>
      </c>
      <c r="AB1292" s="31">
        <v>16</v>
      </c>
      <c r="AC1292" s="31">
        <v>16</v>
      </c>
    </row>
    <row r="1293" spans="1:29" ht="15.6" x14ac:dyDescent="0.3">
      <c r="A1293" s="212"/>
      <c r="B1293" s="24"/>
      <c r="C1293" s="6"/>
      <c r="D1293" s="6"/>
      <c r="E1293" s="61" t="s">
        <v>187</v>
      </c>
      <c r="F1293">
        <v>22546.91</v>
      </c>
      <c r="G1293">
        <v>22829.37</v>
      </c>
      <c r="H1293">
        <v>23242.09</v>
      </c>
      <c r="I1293">
        <v>23113.29</v>
      </c>
      <c r="J1293">
        <v>22628.45</v>
      </c>
      <c r="K1293">
        <v>22609.73</v>
      </c>
      <c r="L1293">
        <v>23082.09</v>
      </c>
      <c r="M1293">
        <v>23060.34</v>
      </c>
      <c r="N1293">
        <v>22502.29</v>
      </c>
      <c r="O1293" s="127"/>
      <c r="P1293" s="61"/>
      <c r="Q1293" s="62"/>
      <c r="R1293" s="62"/>
      <c r="S1293" s="139"/>
      <c r="T1293" s="5"/>
      <c r="U1293" s="140"/>
    </row>
    <row r="1294" spans="1:29" ht="23.4" thickBot="1" x14ac:dyDescent="0.35">
      <c r="A1294" s="212"/>
      <c r="B1294" s="63"/>
      <c r="C1294" s="64"/>
      <c r="D1294" s="64"/>
      <c r="E1294" s="61" t="s">
        <v>188</v>
      </c>
      <c r="F1294" s="53">
        <f t="shared" ref="F1294:N1294" si="426">IF(((F1292="")*AND(F1293="")),"",(F1292-F1293)*3)</f>
        <v>4951.3500000000022</v>
      </c>
      <c r="G1294" s="53">
        <f t="shared" si="426"/>
        <v>4967.0400000000009</v>
      </c>
      <c r="H1294" s="53">
        <f t="shared" si="426"/>
        <v>4169.9399999999987</v>
      </c>
      <c r="I1294" s="53">
        <f t="shared" si="426"/>
        <v>4162.6200000000026</v>
      </c>
      <c r="J1294" s="53">
        <f t="shared" si="426"/>
        <v>4459.2900000000009</v>
      </c>
      <c r="K1294" s="53">
        <f t="shared" si="426"/>
        <v>4721.8199999999961</v>
      </c>
      <c r="L1294" s="53">
        <f t="shared" si="426"/>
        <v>4343.0699999999961</v>
      </c>
      <c r="M1294" s="53">
        <f t="shared" si="426"/>
        <v>4344.5400000000009</v>
      </c>
      <c r="N1294" s="53">
        <f t="shared" si="426"/>
        <v>4798.0499999999956</v>
      </c>
      <c r="O1294" s="65"/>
      <c r="P1294" s="65"/>
      <c r="Q1294" s="66"/>
      <c r="R1294" s="66"/>
      <c r="S1294" s="142"/>
      <c r="T1294" s="143"/>
      <c r="U1294" s="144"/>
    </row>
    <row r="1295" spans="1:29" ht="15.6" x14ac:dyDescent="0.3">
      <c r="A1295" s="278">
        <v>43685</v>
      </c>
      <c r="B1295" s="217" t="s">
        <v>174</v>
      </c>
      <c r="C1295" s="44" t="s">
        <v>176</v>
      </c>
      <c r="D1295" s="44" t="s">
        <v>175</v>
      </c>
      <c r="E1295" s="61" t="s">
        <v>186</v>
      </c>
      <c r="F1295">
        <v>3268.86</v>
      </c>
      <c r="G1295">
        <v>2990.66</v>
      </c>
      <c r="H1295">
        <v>2933.67</v>
      </c>
      <c r="I1295">
        <v>2948.73</v>
      </c>
      <c r="J1295">
        <v>3045.75</v>
      </c>
      <c r="K1295">
        <v>3288.95</v>
      </c>
      <c r="L1295">
        <v>2971.66</v>
      </c>
      <c r="M1295">
        <v>2936.14</v>
      </c>
      <c r="N1295">
        <v>3118.4</v>
      </c>
      <c r="O1295" s="59">
        <f>IF((N1296=""),"",MAX(F1297:N1297))</f>
        <v>4017.22</v>
      </c>
      <c r="P1295" s="59">
        <f>IF(N1296="","",MIN(F1297:N1297))</f>
        <v>3687.2599999999998</v>
      </c>
      <c r="Q1295" s="60">
        <f>IF((N1297=""),"",AVERAGE(F1297:N1297))</f>
        <v>3885.5822222222218</v>
      </c>
      <c r="R1295" s="60">
        <f>IF((N1296=""),"",(O1295-P1295)/(O1295+P1295)*100)</f>
        <v>4.2827030506925849</v>
      </c>
      <c r="S1295" s="131">
        <f>STDEV(F1297:N1297)</f>
        <v>122.16689545226404</v>
      </c>
      <c r="T1295" s="137" t="str">
        <f>IF(N1296="","",IF(Q1295&gt;3650,IF(R1295&lt;7,IF(Q1295&lt;4450,"Pass","Fail"),"Fail"),"Fail"))</f>
        <v>Pass</v>
      </c>
      <c r="U1295" s="149">
        <v>74</v>
      </c>
      <c r="V1295" s="11" t="s">
        <v>320</v>
      </c>
      <c r="X1295" s="116">
        <v>3650</v>
      </c>
      <c r="Y1295" s="116">
        <v>4450</v>
      </c>
      <c r="Z1295" s="116">
        <v>3700</v>
      </c>
      <c r="AA1295" s="116">
        <v>4100</v>
      </c>
      <c r="AB1295" s="31">
        <v>7</v>
      </c>
      <c r="AC1295" s="31">
        <v>6.5</v>
      </c>
    </row>
    <row r="1296" spans="1:29" ht="15.6" x14ac:dyDescent="0.3">
      <c r="A1296" s="212"/>
      <c r="B1296" s="24"/>
      <c r="C1296" s="6"/>
      <c r="D1296" s="6"/>
      <c r="E1296" s="61" t="s">
        <v>187</v>
      </c>
      <c r="F1296">
        <v>1406.06</v>
      </c>
      <c r="G1296">
        <v>1015.57</v>
      </c>
      <c r="H1296">
        <v>927.17</v>
      </c>
      <c r="I1296">
        <v>964.44</v>
      </c>
      <c r="J1296">
        <v>1137.5999999999999</v>
      </c>
      <c r="K1296">
        <v>1445.32</v>
      </c>
      <c r="L1296">
        <v>999.07</v>
      </c>
      <c r="M1296">
        <v>927.53</v>
      </c>
      <c r="N1296">
        <v>1194.94</v>
      </c>
      <c r="O1296" s="61"/>
      <c r="P1296" s="61"/>
      <c r="Q1296" s="62"/>
      <c r="R1296" s="62"/>
      <c r="S1296" s="139"/>
      <c r="T1296" s="8"/>
      <c r="U1296" s="146"/>
      <c r="X1296" s="118"/>
      <c r="Y1296" s="118"/>
      <c r="Z1296" s="118"/>
      <c r="AA1296" s="118"/>
    </row>
    <row r="1297" spans="1:29" ht="23.4" thickBot="1" x14ac:dyDescent="0.35">
      <c r="A1297" s="212"/>
      <c r="B1297" s="24"/>
      <c r="C1297" s="6"/>
      <c r="D1297" s="6"/>
      <c r="E1297" s="61" t="s">
        <v>188</v>
      </c>
      <c r="F1297" s="40">
        <f t="shared" ref="F1297:N1297" si="427">IF(((F1295="")*AND(F1296="")),"",(F1295-F1296)*2)</f>
        <v>3725.6000000000004</v>
      </c>
      <c r="G1297" s="40">
        <f t="shared" si="427"/>
        <v>3950.1799999999994</v>
      </c>
      <c r="H1297" s="40">
        <f t="shared" si="427"/>
        <v>4013</v>
      </c>
      <c r="I1297" s="40">
        <f t="shared" si="427"/>
        <v>3968.58</v>
      </c>
      <c r="J1297" s="40">
        <f t="shared" si="427"/>
        <v>3816.3</v>
      </c>
      <c r="K1297" s="40">
        <f t="shared" si="427"/>
        <v>3687.2599999999998</v>
      </c>
      <c r="L1297" s="40">
        <f t="shared" si="427"/>
        <v>3945.1799999999994</v>
      </c>
      <c r="M1297" s="40">
        <f t="shared" si="427"/>
        <v>4017.22</v>
      </c>
      <c r="N1297" s="40">
        <f t="shared" si="427"/>
        <v>3846.92</v>
      </c>
      <c r="O1297" s="61"/>
      <c r="P1297" s="61"/>
      <c r="Q1297" s="62"/>
      <c r="R1297" s="62"/>
      <c r="S1297" s="139"/>
      <c r="T1297" s="8"/>
      <c r="U1297" s="146"/>
      <c r="X1297" s="118"/>
      <c r="Y1297" s="118"/>
      <c r="Z1297" s="118"/>
      <c r="AA1297" s="118"/>
    </row>
    <row r="1298" spans="1:29" ht="15.6" x14ac:dyDescent="0.3">
      <c r="A1298" s="278">
        <v>43685</v>
      </c>
      <c r="B1298" s="215" t="s">
        <v>169</v>
      </c>
      <c r="C1298" s="6" t="s">
        <v>171</v>
      </c>
      <c r="D1298" s="6" t="s">
        <v>189</v>
      </c>
      <c r="E1298" s="61" t="s">
        <v>186</v>
      </c>
      <c r="F1298">
        <v>1958.26</v>
      </c>
      <c r="G1298">
        <v>1956.25</v>
      </c>
      <c r="H1298">
        <v>1951.07</v>
      </c>
      <c r="I1298">
        <v>1955.83</v>
      </c>
      <c r="J1298">
        <v>1961.75</v>
      </c>
      <c r="K1298">
        <v>1962.47</v>
      </c>
      <c r="L1298">
        <v>1958.23</v>
      </c>
      <c r="M1298">
        <v>1956.72</v>
      </c>
      <c r="N1298">
        <v>1954.47</v>
      </c>
      <c r="O1298" s="61">
        <f>IF((N1299=""),"",MAX(F1300:N1300))</f>
        <v>2095.8599999999997</v>
      </c>
      <c r="P1298" s="61">
        <f>IF(N1299="","",MIN(F1300:N1300))</f>
        <v>2010.5400000000002</v>
      </c>
      <c r="Q1298" s="62">
        <f>IF((N1300=""),"",AVERAGE(F1300:N1300))</f>
        <v>2059.65</v>
      </c>
      <c r="R1298" s="62">
        <f>IF((N1299=""),"",(O1298-P1298)/(O1298+P1298)*100)</f>
        <v>2.0777323202805253</v>
      </c>
      <c r="S1298" s="139">
        <f>STDEV(F1300:N1300)</f>
        <v>34.822011357760417</v>
      </c>
      <c r="T1298" s="5" t="str">
        <f>IF(N1299="","",IF(Q1298&gt;1940,IF(R1298&lt;8.3,IF(Q1298&lt;2180,"Pass","Fail"),"Fail"),"Fail"))</f>
        <v>Pass</v>
      </c>
      <c r="U1298" s="149">
        <v>74</v>
      </c>
      <c r="V1298" s="11" t="s">
        <v>320</v>
      </c>
      <c r="X1298" s="116">
        <v>2000</v>
      </c>
      <c r="Y1298" s="116">
        <v>3000</v>
      </c>
      <c r="Z1298" s="116">
        <v>1940</v>
      </c>
      <c r="AA1298" s="116">
        <v>2180</v>
      </c>
      <c r="AB1298" s="31">
        <v>5.2</v>
      </c>
      <c r="AC1298" s="31">
        <v>5.2</v>
      </c>
    </row>
    <row r="1299" spans="1:29" ht="15.6" x14ac:dyDescent="0.3">
      <c r="A1299" s="212"/>
      <c r="B1299" s="24"/>
      <c r="C1299" s="6"/>
      <c r="D1299" s="6"/>
      <c r="E1299" s="61" t="s">
        <v>187</v>
      </c>
      <c r="F1299">
        <v>1281.51</v>
      </c>
      <c r="G1299">
        <v>1260.33</v>
      </c>
      <c r="H1299">
        <v>1252.45</v>
      </c>
      <c r="I1299">
        <v>1260.93</v>
      </c>
      <c r="J1299">
        <v>1286.42</v>
      </c>
      <c r="K1299">
        <v>1292.29</v>
      </c>
      <c r="L1299">
        <v>1265.42</v>
      </c>
      <c r="M1299">
        <v>1258.44</v>
      </c>
      <c r="N1299">
        <v>1278.31</v>
      </c>
      <c r="O1299" s="61"/>
      <c r="P1299" s="61"/>
      <c r="Q1299" s="62"/>
      <c r="R1299" s="62"/>
      <c r="S1299" s="139"/>
      <c r="T1299" s="5"/>
      <c r="U1299" s="140"/>
      <c r="X1299" s="118"/>
      <c r="Y1299" s="118"/>
      <c r="Z1299" s="118"/>
      <c r="AA1299" s="118"/>
    </row>
    <row r="1300" spans="1:29" ht="16.2" thickBot="1" x14ac:dyDescent="0.35">
      <c r="A1300" s="212"/>
      <c r="B1300" s="24"/>
      <c r="C1300" s="6"/>
      <c r="D1300" s="6"/>
      <c r="E1300" s="61" t="s">
        <v>190</v>
      </c>
      <c r="F1300" s="40">
        <f t="shared" ref="F1300:N1300" si="428">IF(((F1298="")*AND(F1299="")),"",(F1298-F1299)*3)</f>
        <v>2030.25</v>
      </c>
      <c r="G1300" s="40">
        <f t="shared" si="428"/>
        <v>2087.7600000000002</v>
      </c>
      <c r="H1300" s="40">
        <f t="shared" si="428"/>
        <v>2095.8599999999997</v>
      </c>
      <c r="I1300" s="40">
        <f t="shared" si="428"/>
        <v>2084.6999999999998</v>
      </c>
      <c r="J1300" s="40">
        <f t="shared" si="428"/>
        <v>2025.9899999999998</v>
      </c>
      <c r="K1300" s="40">
        <f t="shared" si="428"/>
        <v>2010.5400000000002</v>
      </c>
      <c r="L1300" s="40">
        <f t="shared" si="428"/>
        <v>2078.4299999999998</v>
      </c>
      <c r="M1300" s="40">
        <f t="shared" si="428"/>
        <v>2094.84</v>
      </c>
      <c r="N1300" s="40">
        <f t="shared" si="428"/>
        <v>2028.4800000000002</v>
      </c>
      <c r="O1300" s="61"/>
      <c r="P1300" s="61"/>
      <c r="Q1300" s="62"/>
      <c r="R1300" s="62"/>
      <c r="S1300" s="139"/>
      <c r="T1300" s="5"/>
      <c r="U1300" s="140"/>
      <c r="X1300" s="118"/>
      <c r="Y1300" s="118"/>
      <c r="Z1300" s="118"/>
      <c r="AA1300" s="118"/>
    </row>
    <row r="1301" spans="1:29" ht="15.6" x14ac:dyDescent="0.3">
      <c r="A1301" s="278">
        <v>43685</v>
      </c>
      <c r="B1301" s="218" t="s">
        <v>185</v>
      </c>
      <c r="C1301" s="6" t="s">
        <v>173</v>
      </c>
      <c r="D1301" s="6" t="s">
        <v>172</v>
      </c>
      <c r="E1301" s="61" t="s">
        <v>186</v>
      </c>
      <c r="F1301">
        <v>22515.35</v>
      </c>
      <c r="G1301">
        <v>22961.46</v>
      </c>
      <c r="H1301">
        <v>23179.1</v>
      </c>
      <c r="I1301">
        <v>23032.98</v>
      </c>
      <c r="J1301">
        <v>22513.07</v>
      </c>
      <c r="K1301">
        <v>22569.8</v>
      </c>
      <c r="L1301">
        <v>23055.09</v>
      </c>
      <c r="M1301">
        <v>23009.89</v>
      </c>
      <c r="N1301">
        <v>22470.67</v>
      </c>
      <c r="O1301" s="61">
        <f>IF((N1302=""),"",MAX(F1303:N1303))</f>
        <v>5142.2399999999943</v>
      </c>
      <c r="P1301" s="61">
        <f>IF(N1302="","",MIN(F1303:N1303))</f>
        <v>4102.4699999999939</v>
      </c>
      <c r="Q1301" s="62">
        <f>IF((N1303=""),"",AVERAGE(F1303:N1303))</f>
        <v>4603.6433333333307</v>
      </c>
      <c r="R1301" s="62">
        <f>IF((N1302=""),"",(O1301-P1301)/(O1301+P1301)*100)</f>
        <v>11.247188932914085</v>
      </c>
      <c r="S1301" s="139">
        <f>STDEV(F1303:N1303)</f>
        <v>348.93867856687825</v>
      </c>
      <c r="T1301" s="5" t="str">
        <f>IF(N1302="","",IF(R1301&lt;16,IF(Q1301&gt;3200,IF(R1301,IF(Q1301&lt;5240,"Pass","Fail"),"Fail"),"Fail")))</f>
        <v>Pass</v>
      </c>
      <c r="U1301" s="149">
        <v>74</v>
      </c>
      <c r="V1301" s="11" t="s">
        <v>320</v>
      </c>
      <c r="X1301" s="116">
        <v>4200</v>
      </c>
      <c r="Y1301" s="116">
        <v>5500</v>
      </c>
      <c r="Z1301" s="116">
        <v>3200</v>
      </c>
      <c r="AA1301" s="116">
        <v>5240</v>
      </c>
      <c r="AB1301" s="31">
        <v>16</v>
      </c>
      <c r="AC1301" s="31">
        <v>16</v>
      </c>
    </row>
    <row r="1302" spans="1:29" ht="15.6" x14ac:dyDescent="0.3">
      <c r="A1302" s="212"/>
      <c r="B1302" s="24"/>
      <c r="C1302" s="6"/>
      <c r="D1302" s="6"/>
      <c r="E1302" s="61" t="s">
        <v>187</v>
      </c>
      <c r="F1302">
        <v>20862.95</v>
      </c>
      <c r="G1302">
        <v>21593.97</v>
      </c>
      <c r="H1302">
        <v>21733.51</v>
      </c>
      <c r="I1302">
        <v>21577.29</v>
      </c>
      <c r="J1302">
        <v>20914.21</v>
      </c>
      <c r="K1302">
        <v>20855.72</v>
      </c>
      <c r="L1302">
        <v>21567.98</v>
      </c>
      <c r="M1302">
        <v>21547.1</v>
      </c>
      <c r="N1302">
        <v>20843.75</v>
      </c>
      <c r="O1302" s="127"/>
      <c r="P1302" s="61"/>
      <c r="Q1302" s="62"/>
      <c r="R1302" s="62"/>
      <c r="S1302" s="139"/>
      <c r="T1302" s="5"/>
      <c r="U1302" s="140"/>
    </row>
    <row r="1303" spans="1:29" ht="23.4" thickBot="1" x14ac:dyDescent="0.35">
      <c r="A1303" s="212"/>
      <c r="B1303" s="63"/>
      <c r="C1303" s="64"/>
      <c r="D1303" s="64"/>
      <c r="E1303" s="61" t="s">
        <v>188</v>
      </c>
      <c r="F1303" s="53">
        <f t="shared" ref="F1303:N1303" si="429">IF(((F1301="")*AND(F1302="")),"",(F1301-F1302)*3)</f>
        <v>4957.1999999999935</v>
      </c>
      <c r="G1303" s="53">
        <f t="shared" si="429"/>
        <v>4102.4699999999939</v>
      </c>
      <c r="H1303" s="53">
        <f t="shared" si="429"/>
        <v>4336.7700000000004</v>
      </c>
      <c r="I1303" s="53">
        <f t="shared" si="429"/>
        <v>4367.0699999999961</v>
      </c>
      <c r="J1303" s="53">
        <f t="shared" si="429"/>
        <v>4796.5800000000017</v>
      </c>
      <c r="K1303" s="53">
        <f t="shared" si="429"/>
        <v>5142.2399999999943</v>
      </c>
      <c r="L1303" s="53">
        <f t="shared" si="429"/>
        <v>4461.3300000000017</v>
      </c>
      <c r="M1303" s="53">
        <f t="shared" si="429"/>
        <v>4388.3700000000026</v>
      </c>
      <c r="N1303" s="53">
        <f t="shared" si="429"/>
        <v>4880.7599999999948</v>
      </c>
      <c r="O1303" s="65"/>
      <c r="P1303" s="65"/>
      <c r="Q1303" s="66"/>
      <c r="R1303" s="66"/>
      <c r="S1303" s="142"/>
      <c r="T1303" s="143"/>
      <c r="U1303" s="144"/>
    </row>
    <row r="1304" spans="1:29" ht="15.6" x14ac:dyDescent="0.3">
      <c r="A1304" s="278">
        <v>43690</v>
      </c>
      <c r="B1304" s="217" t="s">
        <v>174</v>
      </c>
      <c r="C1304" s="44" t="s">
        <v>176</v>
      </c>
      <c r="D1304" s="44" t="s">
        <v>175</v>
      </c>
      <c r="E1304" s="61" t="s">
        <v>186</v>
      </c>
      <c r="F1304">
        <v>6981.67</v>
      </c>
      <c r="G1304">
        <v>6964.32</v>
      </c>
      <c r="H1304">
        <v>6968.39</v>
      </c>
      <c r="I1304">
        <v>6940.9</v>
      </c>
      <c r="J1304">
        <v>6883.55</v>
      </c>
      <c r="K1304">
        <v>6940.14</v>
      </c>
      <c r="L1304">
        <v>6934.84</v>
      </c>
      <c r="M1304">
        <v>6991.78</v>
      </c>
      <c r="N1304">
        <v>7013.75</v>
      </c>
      <c r="O1304" s="59">
        <f>IF((N1305=""),"",MAX(F1306:N1306))</f>
        <v>3966.119999999999</v>
      </c>
      <c r="P1304" s="59">
        <f>IF(N1305="","",MIN(F1306:N1306))</f>
        <v>3583.74</v>
      </c>
      <c r="Q1304" s="60">
        <f>IF((N1306=""),"",AVERAGE(F1306:N1306))</f>
        <v>3819.7733333333331</v>
      </c>
      <c r="R1304" s="60">
        <f>IF((N1305=""),"",(O1304-P1304)/(O1304+P1304)*100)</f>
        <v>5.0647296771065857</v>
      </c>
      <c r="S1304" s="131">
        <f>STDEV(F1306:N1306)</f>
        <v>139.56619934640329</v>
      </c>
      <c r="T1304" s="137" t="str">
        <f>IF(N1305="","",IF(Q1304&gt;3650,IF(R1304&lt;7,IF(Q1304&lt;4450,"Pass","Fail"),"Fail"),"Fail"))</f>
        <v>Pass</v>
      </c>
      <c r="U1304" s="149">
        <v>1335</v>
      </c>
      <c r="V1304" s="11" t="s">
        <v>322</v>
      </c>
      <c r="X1304" s="116">
        <v>3650</v>
      </c>
      <c r="Y1304" s="116">
        <v>4450</v>
      </c>
      <c r="Z1304" s="116">
        <v>3700</v>
      </c>
      <c r="AA1304" s="116">
        <v>4100</v>
      </c>
      <c r="AB1304" s="31">
        <v>7</v>
      </c>
      <c r="AC1304" s="31">
        <v>6.5</v>
      </c>
    </row>
    <row r="1305" spans="1:29" ht="15.6" x14ac:dyDescent="0.3">
      <c r="A1305" s="212"/>
      <c r="B1305" s="24"/>
      <c r="C1305" s="6"/>
      <c r="D1305" s="6"/>
      <c r="E1305" s="61" t="s">
        <v>187</v>
      </c>
      <c r="F1305">
        <v>5170.3500000000004</v>
      </c>
      <c r="G1305">
        <v>5021.9399999999996</v>
      </c>
      <c r="H1305">
        <v>4991.5200000000004</v>
      </c>
      <c r="I1305">
        <v>4982.2</v>
      </c>
      <c r="J1305">
        <v>4999.08</v>
      </c>
      <c r="K1305">
        <v>5148.2700000000004</v>
      </c>
      <c r="L1305">
        <v>4990.42</v>
      </c>
      <c r="M1305">
        <v>5008.72</v>
      </c>
      <c r="N1305">
        <v>5117.8599999999997</v>
      </c>
      <c r="O1305" s="61"/>
      <c r="P1305" s="61"/>
      <c r="Q1305" s="62"/>
      <c r="R1305" s="62"/>
      <c r="S1305" s="139"/>
      <c r="T1305" s="8"/>
      <c r="U1305" s="146"/>
      <c r="X1305" s="118"/>
      <c r="Y1305" s="118"/>
      <c r="Z1305" s="118"/>
      <c r="AA1305" s="118"/>
    </row>
    <row r="1306" spans="1:29" ht="23.4" thickBot="1" x14ac:dyDescent="0.35">
      <c r="A1306" s="212"/>
      <c r="B1306" s="24"/>
      <c r="C1306" s="6"/>
      <c r="D1306" s="6"/>
      <c r="E1306" s="61" t="s">
        <v>188</v>
      </c>
      <c r="F1306" s="40">
        <f t="shared" ref="F1306:N1306" si="430">IF(((F1304="")*AND(F1305="")),"",(F1304-F1305)*2)</f>
        <v>3622.6399999999994</v>
      </c>
      <c r="G1306" s="40">
        <f t="shared" si="430"/>
        <v>3884.76</v>
      </c>
      <c r="H1306" s="40">
        <f t="shared" si="430"/>
        <v>3953.74</v>
      </c>
      <c r="I1306" s="40">
        <f t="shared" si="430"/>
        <v>3917.3999999999996</v>
      </c>
      <c r="J1306" s="40">
        <f t="shared" si="430"/>
        <v>3768.9400000000005</v>
      </c>
      <c r="K1306" s="40">
        <f t="shared" si="430"/>
        <v>3583.74</v>
      </c>
      <c r="L1306" s="40">
        <f t="shared" si="430"/>
        <v>3888.84</v>
      </c>
      <c r="M1306" s="40">
        <f t="shared" si="430"/>
        <v>3966.119999999999</v>
      </c>
      <c r="N1306" s="40">
        <f t="shared" si="430"/>
        <v>3791.7800000000007</v>
      </c>
      <c r="O1306" s="61"/>
      <c r="P1306" s="61"/>
      <c r="Q1306" s="62"/>
      <c r="R1306" s="62"/>
      <c r="S1306" s="139"/>
      <c r="T1306" s="8"/>
      <c r="U1306" s="146"/>
      <c r="X1306" s="118"/>
      <c r="Y1306" s="118"/>
      <c r="Z1306" s="118"/>
      <c r="AA1306" s="118"/>
    </row>
    <row r="1307" spans="1:29" ht="15.6" x14ac:dyDescent="0.3">
      <c r="A1307" s="278">
        <v>43690</v>
      </c>
      <c r="B1307" s="215" t="s">
        <v>169</v>
      </c>
      <c r="C1307" s="6" t="s">
        <v>171</v>
      </c>
      <c r="D1307" s="6" t="s">
        <v>189</v>
      </c>
      <c r="E1307" s="61" t="s">
        <v>186</v>
      </c>
      <c r="F1307">
        <v>1283.83</v>
      </c>
      <c r="G1307">
        <v>1262.44</v>
      </c>
      <c r="H1307">
        <v>1259.69</v>
      </c>
      <c r="I1307">
        <v>1265.26</v>
      </c>
      <c r="J1307">
        <v>1290.18</v>
      </c>
      <c r="K1307">
        <v>1293.58</v>
      </c>
      <c r="L1307">
        <v>1267.25</v>
      </c>
      <c r="M1307">
        <v>1261.6099999999999</v>
      </c>
      <c r="N1307">
        <v>1279.75</v>
      </c>
      <c r="O1307" s="61">
        <f>IF((N1308=""),"",MAX(F1309:N1309))</f>
        <v>2092.44</v>
      </c>
      <c r="P1307" s="61">
        <f>IF(N1308="","",MIN(F1309:N1309))</f>
        <v>1971.0299999999997</v>
      </c>
      <c r="Q1307" s="62">
        <f>IF((N1309=""),"",AVERAGE(F1309:N1309))</f>
        <v>2028.76</v>
      </c>
      <c r="R1307" s="62">
        <f>IF((N1308=""),"",(O1307-P1307)/(O1307+P1307)*100)</f>
        <v>2.9878404417899067</v>
      </c>
      <c r="S1307" s="139">
        <f>STDEV(F1309:N1309)</f>
        <v>46.528319602151996</v>
      </c>
      <c r="T1307" s="5" t="str">
        <f>IF(N1308="","",IF(Q1307&gt;1940,IF(R1307&lt;8.3,IF(Q1307&lt;2180,"Pass","Fail"),"Fail"),"Fail"))</f>
        <v>Pass</v>
      </c>
      <c r="U1307" s="149">
        <v>1335</v>
      </c>
      <c r="V1307" s="11" t="s">
        <v>322</v>
      </c>
      <c r="X1307" s="116">
        <v>2000</v>
      </c>
      <c r="Y1307" s="116">
        <v>3000</v>
      </c>
      <c r="Z1307" s="116">
        <v>1940</v>
      </c>
      <c r="AA1307" s="116">
        <v>2180</v>
      </c>
      <c r="AB1307" s="31">
        <v>5.2</v>
      </c>
      <c r="AC1307" s="31">
        <v>5.2</v>
      </c>
    </row>
    <row r="1308" spans="1:29" ht="15.6" x14ac:dyDescent="0.3">
      <c r="A1308" s="212"/>
      <c r="B1308" s="24"/>
      <c r="C1308" s="6"/>
      <c r="D1308" s="6"/>
      <c r="E1308" s="61" t="s">
        <v>187</v>
      </c>
      <c r="F1308">
        <v>623.41999999999996</v>
      </c>
      <c r="G1308">
        <v>573.13</v>
      </c>
      <c r="H1308">
        <v>562.21</v>
      </c>
      <c r="I1308">
        <v>582.04999999999995</v>
      </c>
      <c r="J1308">
        <v>630.75</v>
      </c>
      <c r="K1308">
        <v>636.57000000000005</v>
      </c>
      <c r="L1308">
        <v>582.07000000000005</v>
      </c>
      <c r="M1308">
        <v>572.88</v>
      </c>
      <c r="N1308">
        <v>614.23</v>
      </c>
      <c r="O1308" s="61"/>
      <c r="P1308" s="61"/>
      <c r="Q1308" s="62"/>
      <c r="R1308" s="62"/>
      <c r="S1308" s="139"/>
      <c r="T1308" s="5"/>
      <c r="U1308" s="140"/>
      <c r="X1308" s="118"/>
      <c r="Y1308" s="118"/>
      <c r="Z1308" s="118"/>
      <c r="AA1308" s="118"/>
    </row>
    <row r="1309" spans="1:29" ht="16.2" thickBot="1" x14ac:dyDescent="0.35">
      <c r="A1309" s="212"/>
      <c r="B1309" s="24"/>
      <c r="C1309" s="6"/>
      <c r="D1309" s="6"/>
      <c r="E1309" s="61" t="s">
        <v>190</v>
      </c>
      <c r="F1309" s="40">
        <f t="shared" ref="F1309:N1309" si="431">IF(((F1307="")*AND(F1308="")),"",(F1307-F1308)*3)</f>
        <v>1981.23</v>
      </c>
      <c r="G1309" s="40">
        <f t="shared" si="431"/>
        <v>2067.9300000000003</v>
      </c>
      <c r="H1309" s="40">
        <f t="shared" si="431"/>
        <v>2092.44</v>
      </c>
      <c r="I1309" s="40">
        <f t="shared" si="431"/>
        <v>2049.63</v>
      </c>
      <c r="J1309" s="40">
        <f t="shared" si="431"/>
        <v>1978.2900000000002</v>
      </c>
      <c r="K1309" s="40">
        <f t="shared" si="431"/>
        <v>1971.0299999999997</v>
      </c>
      <c r="L1309" s="40">
        <f t="shared" si="431"/>
        <v>2055.54</v>
      </c>
      <c r="M1309" s="40">
        <f t="shared" si="431"/>
        <v>2066.1899999999996</v>
      </c>
      <c r="N1309" s="40">
        <f t="shared" si="431"/>
        <v>1996.56</v>
      </c>
      <c r="O1309" s="61"/>
      <c r="P1309" s="61"/>
      <c r="Q1309" s="62"/>
      <c r="R1309" s="62"/>
      <c r="S1309" s="139"/>
      <c r="T1309" s="5"/>
      <c r="U1309" s="140"/>
      <c r="X1309" s="118"/>
      <c r="Y1309" s="118"/>
      <c r="Z1309" s="118"/>
      <c r="AA1309" s="118"/>
    </row>
    <row r="1310" spans="1:29" ht="15.6" x14ac:dyDescent="0.3">
      <c r="A1310" s="278">
        <v>43690</v>
      </c>
      <c r="B1310" s="218" t="s">
        <v>185</v>
      </c>
      <c r="C1310" s="6" t="s">
        <v>173</v>
      </c>
      <c r="D1310" s="6" t="s">
        <v>172</v>
      </c>
      <c r="E1310" s="61" t="s">
        <v>186</v>
      </c>
      <c r="F1310">
        <v>29370.03</v>
      </c>
      <c r="G1310">
        <v>29269.18</v>
      </c>
      <c r="H1310">
        <v>29257.52</v>
      </c>
      <c r="I1310">
        <v>29255.45</v>
      </c>
      <c r="J1310">
        <v>29391.26</v>
      </c>
      <c r="K1310">
        <v>29362.66</v>
      </c>
      <c r="L1310">
        <v>29258.76</v>
      </c>
      <c r="M1310">
        <v>29250.25</v>
      </c>
      <c r="N1310">
        <v>29368.3</v>
      </c>
      <c r="O1310" s="61">
        <f>IF((N1311=""),"",MAX(F1312:N1312))</f>
        <v>4908.6899999999987</v>
      </c>
      <c r="P1310" s="61">
        <f>IF(N1311="","",MIN(F1312:N1312))</f>
        <v>4334.6099999999969</v>
      </c>
      <c r="Q1310" s="62">
        <f>IF((N1312=""),"",AVERAGE(F1312:N1312))</f>
        <v>4595.2933333333312</v>
      </c>
      <c r="R1310" s="62">
        <f>IF((N1311=""),"",(O1310-P1310)/(O1310+P1310)*100)</f>
        <v>6.2107688812437338</v>
      </c>
      <c r="S1310" s="139">
        <f>STDEV(F1312:N1312)</f>
        <v>240.59560100924423</v>
      </c>
      <c r="T1310" s="5" t="str">
        <f>IF(N1311="","",IF(R1310&lt;16,IF(Q1310&gt;3200,IF(R1310,IF(Q1310&lt;5240,"Pass","Fail"),"Fail"),"Fail")))</f>
        <v>Pass</v>
      </c>
      <c r="U1310" s="149">
        <v>1335</v>
      </c>
      <c r="V1310" s="11" t="s">
        <v>322</v>
      </c>
      <c r="X1310" s="116">
        <v>4200</v>
      </c>
      <c r="Y1310" s="116">
        <v>5500</v>
      </c>
      <c r="Z1310" s="116">
        <v>3200</v>
      </c>
      <c r="AA1310" s="116">
        <v>5240</v>
      </c>
      <c r="AB1310" s="31">
        <v>16</v>
      </c>
      <c r="AC1310" s="31">
        <v>16</v>
      </c>
    </row>
    <row r="1311" spans="1:29" ht="15.6" x14ac:dyDescent="0.3">
      <c r="A1311" s="212"/>
      <c r="B1311" s="24"/>
      <c r="C1311" s="6"/>
      <c r="D1311" s="6"/>
      <c r="E1311" s="61" t="s">
        <v>187</v>
      </c>
      <c r="F1311">
        <v>27733.8</v>
      </c>
      <c r="G1311">
        <v>27783.73</v>
      </c>
      <c r="H1311">
        <v>27812.65</v>
      </c>
      <c r="I1311">
        <v>27796.959999999999</v>
      </c>
      <c r="J1311">
        <v>27806.84</v>
      </c>
      <c r="K1311">
        <v>27758.32</v>
      </c>
      <c r="L1311">
        <v>27795.34</v>
      </c>
      <c r="M1311">
        <v>27772.560000000001</v>
      </c>
      <c r="N1311">
        <v>27737.33</v>
      </c>
      <c r="O1311" s="127"/>
      <c r="P1311" s="61"/>
      <c r="Q1311" s="62"/>
      <c r="R1311" s="62"/>
      <c r="S1311" s="139"/>
      <c r="T1311" s="5"/>
      <c r="U1311" s="140"/>
    </row>
    <row r="1312" spans="1:29" ht="23.4" thickBot="1" x14ac:dyDescent="0.35">
      <c r="A1312" s="212"/>
      <c r="B1312" s="63"/>
      <c r="C1312" s="64"/>
      <c r="D1312" s="64"/>
      <c r="E1312" s="61" t="s">
        <v>188</v>
      </c>
      <c r="F1312" s="53">
        <f t="shared" ref="F1312:N1312" si="432">IF(((F1310="")*AND(F1311="")),"",(F1310-F1311)*3)</f>
        <v>4908.6899999999987</v>
      </c>
      <c r="G1312" s="53">
        <f t="shared" si="432"/>
        <v>4456.3500000000022</v>
      </c>
      <c r="H1312" s="53">
        <f t="shared" si="432"/>
        <v>4334.6099999999969</v>
      </c>
      <c r="I1312" s="53">
        <f t="shared" si="432"/>
        <v>4375.4700000000048</v>
      </c>
      <c r="J1312" s="53">
        <f t="shared" si="432"/>
        <v>4753.2599999999948</v>
      </c>
      <c r="K1312" s="53">
        <f t="shared" si="432"/>
        <v>4813.0200000000004</v>
      </c>
      <c r="L1312" s="53">
        <f t="shared" si="432"/>
        <v>4390.2599999999948</v>
      </c>
      <c r="M1312" s="53">
        <f t="shared" si="432"/>
        <v>4433.0699999999961</v>
      </c>
      <c r="N1312" s="53">
        <f t="shared" si="432"/>
        <v>4892.9099999999926</v>
      </c>
      <c r="O1312" s="65"/>
      <c r="P1312" s="65"/>
      <c r="Q1312" s="66"/>
      <c r="R1312" s="66"/>
      <c r="S1312" s="142"/>
      <c r="T1312" s="143"/>
      <c r="U1312" s="144"/>
    </row>
    <row r="1313" spans="1:29" ht="15.6" x14ac:dyDescent="0.3">
      <c r="A1313" s="278">
        <v>43693</v>
      </c>
      <c r="B1313" s="217" t="s">
        <v>174</v>
      </c>
      <c r="C1313" s="44" t="s">
        <v>176</v>
      </c>
      <c r="D1313" s="44" t="s">
        <v>175</v>
      </c>
      <c r="E1313" s="61" t="s">
        <v>186</v>
      </c>
      <c r="F1313">
        <v>5175.1400000000003</v>
      </c>
      <c r="G1313">
        <v>5026.96</v>
      </c>
      <c r="H1313">
        <v>4996.6499999999996</v>
      </c>
      <c r="I1313">
        <v>4987.37</v>
      </c>
      <c r="J1313">
        <v>5003.7700000000004</v>
      </c>
      <c r="K1313">
        <v>5152.2</v>
      </c>
      <c r="L1313">
        <v>4995.1099999999997</v>
      </c>
      <c r="M1313">
        <v>5013.2700000000004</v>
      </c>
      <c r="N1313">
        <v>5121.83</v>
      </c>
      <c r="O1313" s="59">
        <f>IF((N1314=""),"",MAX(F1315:N1315))</f>
        <v>3989.920000000001</v>
      </c>
      <c r="P1313" s="59">
        <f>IF(N1314="","",MIN(F1315:N1315))</f>
        <v>3608.92</v>
      </c>
      <c r="Q1313" s="60">
        <f>IF((N1315=""),"",AVERAGE(F1315:N1315))</f>
        <v>3841.7955555555559</v>
      </c>
      <c r="R1313" s="60">
        <f>IF((N1314=""),"",(O1313-P1313)/(O1313+P1313)*100)</f>
        <v>5.0139231777481941</v>
      </c>
      <c r="S1313" s="131">
        <f>STDEV(F1315:N1315)</f>
        <v>134.44908098524778</v>
      </c>
      <c r="T1313" s="137" t="str">
        <f>IF(N1314="","",IF(Q1313&gt;3650,IF(R1313&lt;7,IF(Q1313&lt;4450,"Pass","Fail"),"Fail"),"Fail"))</f>
        <v>Pass</v>
      </c>
      <c r="U1313" s="149">
        <v>1159</v>
      </c>
      <c r="V1313" s="11" t="s">
        <v>324</v>
      </c>
      <c r="X1313" s="116">
        <v>3650</v>
      </c>
      <c r="Y1313" s="116">
        <v>4450</v>
      </c>
      <c r="Z1313" s="116">
        <v>3700</v>
      </c>
      <c r="AA1313" s="116">
        <v>4100</v>
      </c>
      <c r="AB1313" s="31">
        <v>7</v>
      </c>
      <c r="AC1313" s="31">
        <v>6.5</v>
      </c>
    </row>
    <row r="1314" spans="1:29" ht="15.6" x14ac:dyDescent="0.3">
      <c r="A1314" s="212"/>
      <c r="B1314" s="24"/>
      <c r="C1314" s="6"/>
      <c r="D1314" s="6"/>
      <c r="E1314" s="61" t="s">
        <v>187</v>
      </c>
      <c r="F1314">
        <v>3341.12</v>
      </c>
      <c r="G1314">
        <v>3068.53</v>
      </c>
      <c r="H1314">
        <v>3011.95</v>
      </c>
      <c r="I1314">
        <v>3023.82</v>
      </c>
      <c r="J1314">
        <v>3118.64</v>
      </c>
      <c r="K1314">
        <v>3347.74</v>
      </c>
      <c r="L1314">
        <v>3044.16</v>
      </c>
      <c r="M1314">
        <v>3018.31</v>
      </c>
      <c r="N1314">
        <v>3209.95</v>
      </c>
      <c r="O1314" s="61"/>
      <c r="P1314" s="61"/>
      <c r="Q1314" s="62"/>
      <c r="R1314" s="62"/>
      <c r="S1314" s="139"/>
      <c r="T1314" s="8"/>
      <c r="U1314" s="146"/>
      <c r="X1314" s="118"/>
      <c r="Y1314" s="118"/>
      <c r="Z1314" s="118"/>
      <c r="AA1314" s="118"/>
    </row>
    <row r="1315" spans="1:29" ht="23.4" thickBot="1" x14ac:dyDescent="0.35">
      <c r="A1315" s="212"/>
      <c r="B1315" s="24"/>
      <c r="C1315" s="6"/>
      <c r="D1315" s="6"/>
      <c r="E1315" s="61" t="s">
        <v>188</v>
      </c>
      <c r="F1315" s="40">
        <f t="shared" ref="F1315:N1315" si="433">IF(((F1313="")*AND(F1314="")),"",(F1313-F1314)*2)</f>
        <v>3668.0400000000009</v>
      </c>
      <c r="G1315" s="40">
        <f t="shared" si="433"/>
        <v>3916.8599999999997</v>
      </c>
      <c r="H1315" s="40">
        <f t="shared" si="433"/>
        <v>3969.3999999999996</v>
      </c>
      <c r="I1315" s="40">
        <f t="shared" si="433"/>
        <v>3927.0999999999995</v>
      </c>
      <c r="J1315" s="40">
        <f t="shared" si="433"/>
        <v>3770.2600000000011</v>
      </c>
      <c r="K1315" s="40">
        <f t="shared" si="433"/>
        <v>3608.92</v>
      </c>
      <c r="L1315" s="40">
        <f t="shared" si="433"/>
        <v>3901.8999999999996</v>
      </c>
      <c r="M1315" s="40">
        <f t="shared" si="433"/>
        <v>3989.920000000001</v>
      </c>
      <c r="N1315" s="40">
        <f t="shared" si="433"/>
        <v>3823.76</v>
      </c>
      <c r="O1315" s="61"/>
      <c r="P1315" s="61"/>
      <c r="Q1315" s="62"/>
      <c r="R1315" s="62"/>
      <c r="S1315" s="139"/>
      <c r="T1315" s="8"/>
      <c r="U1315" s="146"/>
      <c r="X1315" s="118"/>
      <c r="Y1315" s="118"/>
      <c r="Z1315" s="118"/>
      <c r="AA1315" s="118"/>
    </row>
    <row r="1316" spans="1:29" ht="15.6" x14ac:dyDescent="0.3">
      <c r="A1316" s="278">
        <v>43693</v>
      </c>
      <c r="B1316" s="215" t="s">
        <v>169</v>
      </c>
      <c r="C1316" s="6" t="s">
        <v>171</v>
      </c>
      <c r="D1316" s="6" t="s">
        <v>189</v>
      </c>
      <c r="E1316" s="61" t="s">
        <v>186</v>
      </c>
      <c r="F1316">
        <v>1965.42</v>
      </c>
      <c r="G1316">
        <v>1958.84</v>
      </c>
      <c r="H1316">
        <v>1958.17</v>
      </c>
      <c r="I1316">
        <v>1962.62</v>
      </c>
      <c r="J1316">
        <v>1968.08</v>
      </c>
      <c r="K1316">
        <v>1970.14</v>
      </c>
      <c r="L1316">
        <v>1961.63</v>
      </c>
      <c r="M1316">
        <v>1958.42</v>
      </c>
      <c r="N1316">
        <v>1965.47</v>
      </c>
      <c r="O1316" s="61">
        <f>IF((N1317=""),"",MAX(F1318:N1318))</f>
        <v>2124.3300000000004</v>
      </c>
      <c r="P1316" s="61">
        <f>IF(N1317="","",MIN(F1318:N1318))</f>
        <v>2007.1200000000006</v>
      </c>
      <c r="Q1316" s="62">
        <f>IF((N1318=""),"",AVERAGE(F1318:N1318))</f>
        <v>2069.7937499999998</v>
      </c>
      <c r="R1316" s="62">
        <f>IF((N1317=""),"",(O1316-P1316)/(O1316+P1316)*100)</f>
        <v>2.8370184801945997</v>
      </c>
      <c r="S1316" s="139">
        <f>STDEV(F1318:N1318)</f>
        <v>42.162013349018956</v>
      </c>
      <c r="T1316" s="5" t="str">
        <f>IF(N1317="","",IF(Q1316&gt;1940,IF(R1316&lt;8.3,IF(Q1316&lt;2180,"Pass","Fail"),"Fail"),"Fail"))</f>
        <v>Pass</v>
      </c>
      <c r="U1316" s="149">
        <v>1159</v>
      </c>
      <c r="V1316" s="11" t="s">
        <v>324</v>
      </c>
      <c r="X1316" s="116">
        <v>2000</v>
      </c>
      <c r="Y1316" s="116">
        <v>3000</v>
      </c>
      <c r="Z1316" s="116">
        <v>1940</v>
      </c>
      <c r="AA1316" s="116">
        <v>2180</v>
      </c>
      <c r="AB1316" s="31">
        <v>5.2</v>
      </c>
      <c r="AC1316" s="31">
        <v>5.2</v>
      </c>
    </row>
    <row r="1317" spans="1:29" ht="15.6" x14ac:dyDescent="0.3">
      <c r="A1317" s="212"/>
      <c r="B1317" s="24"/>
      <c r="C1317" s="6"/>
      <c r="D1317" s="6"/>
      <c r="E1317" s="61" t="s">
        <v>187</v>
      </c>
      <c r="F1317">
        <v>1289.8599999999999</v>
      </c>
      <c r="G1317">
        <v>1262.46</v>
      </c>
      <c r="H1317">
        <v>1250.06</v>
      </c>
      <c r="I1317">
        <v>1263.32</v>
      </c>
      <c r="J1317">
        <v>1294.21</v>
      </c>
      <c r="K1317">
        <v>1301.0999999999999</v>
      </c>
      <c r="L1317">
        <v>1263.3900000000001</v>
      </c>
      <c r="M1317">
        <v>1262.6500000000001</v>
      </c>
      <c r="N1317">
        <v>1286.73</v>
      </c>
      <c r="O1317" s="61"/>
      <c r="P1317" s="61"/>
      <c r="Q1317" s="62"/>
      <c r="R1317" s="62"/>
      <c r="S1317" s="139"/>
      <c r="T1317" s="5"/>
      <c r="U1317" s="140"/>
      <c r="X1317" s="118"/>
      <c r="Y1317" s="118"/>
      <c r="Z1317" s="118"/>
      <c r="AA1317" s="118"/>
    </row>
    <row r="1318" spans="1:29" ht="16.2" thickBot="1" x14ac:dyDescent="0.35">
      <c r="A1318" s="212"/>
      <c r="B1318" s="24"/>
      <c r="C1318" s="6"/>
      <c r="D1318" s="6"/>
      <c r="E1318" s="61" t="s">
        <v>190</v>
      </c>
      <c r="F1318" s="40"/>
      <c r="G1318" s="40">
        <f t="shared" ref="G1318:N1318" si="434">IF(((G1316="")*AND(G1317="")),"",(G1316-G1317)*3)</f>
        <v>2089.1399999999994</v>
      </c>
      <c r="H1318" s="40">
        <f t="shared" si="434"/>
        <v>2124.3300000000004</v>
      </c>
      <c r="I1318" s="40">
        <f t="shared" si="434"/>
        <v>2097.8999999999996</v>
      </c>
      <c r="J1318" s="40">
        <f t="shared" si="434"/>
        <v>2021.6099999999997</v>
      </c>
      <c r="K1318" s="40">
        <f t="shared" si="434"/>
        <v>2007.1200000000006</v>
      </c>
      <c r="L1318" s="40">
        <f t="shared" si="434"/>
        <v>2094.7200000000003</v>
      </c>
      <c r="M1318" s="40">
        <f t="shared" si="434"/>
        <v>2087.31</v>
      </c>
      <c r="N1318" s="40">
        <f t="shared" si="434"/>
        <v>2036.22</v>
      </c>
      <c r="O1318" s="61"/>
      <c r="P1318" s="61"/>
      <c r="Q1318" s="62"/>
      <c r="R1318" s="62"/>
      <c r="S1318" s="139"/>
      <c r="T1318" s="5"/>
      <c r="U1318" s="140"/>
      <c r="X1318" s="118"/>
      <c r="Y1318" s="118"/>
      <c r="Z1318" s="118"/>
      <c r="AA1318" s="118"/>
    </row>
    <row r="1319" spans="1:29" ht="15.6" x14ac:dyDescent="0.3">
      <c r="A1319" s="278">
        <v>43693</v>
      </c>
      <c r="B1319" s="218" t="s">
        <v>185</v>
      </c>
      <c r="C1319" s="6" t="s">
        <v>173</v>
      </c>
      <c r="D1319" s="6" t="s">
        <v>172</v>
      </c>
      <c r="E1319" s="61" t="s">
        <v>186</v>
      </c>
      <c r="F1319">
        <v>27684.09</v>
      </c>
      <c r="G1319">
        <v>27740.1</v>
      </c>
      <c r="H1319">
        <v>27768</v>
      </c>
      <c r="I1319">
        <v>27750.02</v>
      </c>
      <c r="J1319">
        <v>27750.41</v>
      </c>
      <c r="K1319">
        <v>27714.43</v>
      </c>
      <c r="L1319">
        <v>27753.43</v>
      </c>
      <c r="M1319">
        <v>27725.43</v>
      </c>
      <c r="N1319">
        <v>27691.4</v>
      </c>
      <c r="O1319" s="61">
        <f>IF((N1320=""),"",MAX(F1321:N1321))</f>
        <v>4887.6300000000083</v>
      </c>
      <c r="P1319" s="61">
        <f>IF(N1320="","",MIN(F1321:N1321))</f>
        <v>4290.2999999999956</v>
      </c>
      <c r="Q1319" s="62">
        <f>IF((N1321=""),"",AVERAGE(F1321:N1321))</f>
        <v>4579.7799999999988</v>
      </c>
      <c r="R1319" s="62">
        <f>IF((N1320=""),"",(O1319-P1319)/(O1319+P1319)*100)</f>
        <v>6.5083303097758689</v>
      </c>
      <c r="S1319" s="139">
        <f>STDEV(F1321:N1321)</f>
        <v>255.0020294036907</v>
      </c>
      <c r="T1319" s="5" t="str">
        <f>IF(N1320="","",IF(R1319&lt;16,IF(Q1319&gt;3200,IF(R1319,IF(Q1319&lt;5240,"Pass","Fail"),"Fail"),"Fail")))</f>
        <v>Pass</v>
      </c>
      <c r="U1319" s="149">
        <v>1159</v>
      </c>
      <c r="V1319" s="11" t="s">
        <v>324</v>
      </c>
      <c r="X1319" s="116">
        <v>4200</v>
      </c>
      <c r="Y1319" s="116">
        <v>5500</v>
      </c>
      <c r="Z1319" s="116">
        <v>3200</v>
      </c>
      <c r="AA1319" s="116">
        <v>5240</v>
      </c>
      <c r="AB1319" s="31">
        <v>16</v>
      </c>
      <c r="AC1319" s="31">
        <v>16</v>
      </c>
    </row>
    <row r="1320" spans="1:29" ht="15.6" x14ac:dyDescent="0.3">
      <c r="A1320" s="212"/>
      <c r="B1320" s="24"/>
      <c r="C1320" s="6"/>
      <c r="D1320" s="6"/>
      <c r="E1320" s="61" t="s">
        <v>187</v>
      </c>
      <c r="F1320">
        <v>26082.57</v>
      </c>
      <c r="G1320">
        <v>26286.560000000001</v>
      </c>
      <c r="H1320">
        <v>26337.9</v>
      </c>
      <c r="I1320">
        <v>26279.74</v>
      </c>
      <c r="J1320">
        <v>26121.74</v>
      </c>
      <c r="K1320">
        <v>26114.99</v>
      </c>
      <c r="L1320">
        <v>26297.1</v>
      </c>
      <c r="M1320">
        <v>26255.18</v>
      </c>
      <c r="N1320">
        <v>26062.19</v>
      </c>
      <c r="O1320" s="127"/>
      <c r="P1320" s="61"/>
      <c r="Q1320" s="62"/>
      <c r="R1320" s="62"/>
      <c r="S1320" s="139"/>
      <c r="T1320" s="5"/>
      <c r="U1320" s="140"/>
    </row>
    <row r="1321" spans="1:29" ht="23.4" thickBot="1" x14ac:dyDescent="0.35">
      <c r="A1321" s="212"/>
      <c r="B1321" s="63"/>
      <c r="C1321" s="64"/>
      <c r="D1321" s="64"/>
      <c r="E1321" s="61" t="s">
        <v>188</v>
      </c>
      <c r="F1321" s="53">
        <f t="shared" ref="F1321:N1321" si="435">IF(((F1319="")*AND(F1320="")),"",(F1319-F1320)*3)</f>
        <v>4804.5600000000013</v>
      </c>
      <c r="G1321" s="53">
        <f t="shared" si="435"/>
        <v>4360.6199999999917</v>
      </c>
      <c r="H1321" s="53">
        <f t="shared" si="435"/>
        <v>4290.2999999999956</v>
      </c>
      <c r="I1321" s="53">
        <f t="shared" si="435"/>
        <v>4410.8399999999965</v>
      </c>
      <c r="J1321" s="53">
        <f t="shared" si="435"/>
        <v>4886.0099999999948</v>
      </c>
      <c r="K1321" s="53">
        <f t="shared" si="435"/>
        <v>4798.3199999999961</v>
      </c>
      <c r="L1321" s="53">
        <f t="shared" si="435"/>
        <v>4368.9900000000052</v>
      </c>
      <c r="M1321" s="53">
        <f t="shared" si="435"/>
        <v>4410.75</v>
      </c>
      <c r="N1321" s="53">
        <f t="shared" si="435"/>
        <v>4887.6300000000083</v>
      </c>
      <c r="O1321" s="65"/>
      <c r="P1321" s="65"/>
      <c r="Q1321" s="66"/>
      <c r="R1321" s="66"/>
      <c r="S1321" s="142"/>
      <c r="T1321" s="143"/>
      <c r="U1321" s="144"/>
    </row>
    <row r="1322" spans="1:29" ht="15.6" x14ac:dyDescent="0.3">
      <c r="A1322" s="278">
        <v>43696</v>
      </c>
      <c r="B1322" s="217" t="s">
        <v>174</v>
      </c>
      <c r="C1322" s="44" t="s">
        <v>176</v>
      </c>
      <c r="D1322" s="44" t="s">
        <v>175</v>
      </c>
      <c r="E1322" s="61" t="s">
        <v>186</v>
      </c>
      <c r="F1322">
        <v>7048.77</v>
      </c>
      <c r="G1322">
        <v>7032.57</v>
      </c>
      <c r="H1322">
        <v>7042.38</v>
      </c>
      <c r="I1322">
        <v>7017.93</v>
      </c>
      <c r="J1322">
        <v>6957.41</v>
      </c>
      <c r="K1322">
        <v>7013.06</v>
      </c>
      <c r="L1322">
        <v>7007.08</v>
      </c>
      <c r="M1322">
        <v>7066.65</v>
      </c>
      <c r="N1322">
        <v>7084.87</v>
      </c>
      <c r="O1322" s="59">
        <f>IF((N1323=""),"",MAX(F1324:N1324))</f>
        <v>4010.66</v>
      </c>
      <c r="P1322" s="59">
        <f>IF(N1323="","",MIN(F1324:N1324))</f>
        <v>3612.6400000000012</v>
      </c>
      <c r="Q1322" s="60">
        <f>IF((N1324=""),"",AVERAGE(F1324:N1324))</f>
        <v>3854.0266666666671</v>
      </c>
      <c r="R1322" s="60">
        <f>IF((N1323=""),"",(O1322-P1322)/(O1322+P1322)*100)</f>
        <v>5.2210984744139486</v>
      </c>
      <c r="S1322" s="131">
        <f>STDEV(F1324:N1324)</f>
        <v>151.66395089143592</v>
      </c>
      <c r="T1322" s="137" t="str">
        <f>IF(N1323="","",IF(Q1322&gt;3650,IF(R1322&lt;7,IF(Q1322&lt;4450,"Pass","Fail"),"Fail"),"Fail"))</f>
        <v>Pass</v>
      </c>
      <c r="U1322" s="149">
        <v>1340</v>
      </c>
      <c r="V1322" s="11" t="s">
        <v>326</v>
      </c>
      <c r="X1322" s="116">
        <v>3650</v>
      </c>
      <c r="Y1322" s="116">
        <v>4450</v>
      </c>
      <c r="Z1322" s="116">
        <v>3700</v>
      </c>
      <c r="AA1322" s="116">
        <v>4100</v>
      </c>
      <c r="AB1322" s="31">
        <v>7</v>
      </c>
      <c r="AC1322" s="31">
        <v>6.5</v>
      </c>
    </row>
    <row r="1323" spans="1:29" ht="15.6" x14ac:dyDescent="0.3">
      <c r="A1323" s="212"/>
      <c r="B1323" s="24"/>
      <c r="C1323" s="6"/>
      <c r="D1323" s="6"/>
      <c r="E1323" s="61" t="s">
        <v>187</v>
      </c>
      <c r="F1323">
        <v>5229.37</v>
      </c>
      <c r="G1323">
        <v>5069.33</v>
      </c>
      <c r="H1323">
        <v>5039.22</v>
      </c>
      <c r="I1323">
        <v>5034.3599999999997</v>
      </c>
      <c r="J1323">
        <v>5065.3599999999997</v>
      </c>
      <c r="K1323">
        <v>5206.74</v>
      </c>
      <c r="L1323">
        <v>5039.9399999999996</v>
      </c>
      <c r="M1323">
        <v>5061.32</v>
      </c>
      <c r="N1323">
        <v>5181.96</v>
      </c>
      <c r="O1323" s="61"/>
      <c r="P1323" s="61"/>
      <c r="Q1323" s="62"/>
      <c r="R1323" s="62"/>
      <c r="S1323" s="139"/>
      <c r="T1323" s="8"/>
      <c r="U1323" s="146"/>
      <c r="X1323" s="118"/>
      <c r="Y1323" s="118"/>
      <c r="Z1323" s="118"/>
      <c r="AA1323" s="118"/>
    </row>
    <row r="1324" spans="1:29" ht="23.4" thickBot="1" x14ac:dyDescent="0.35">
      <c r="A1324" s="212"/>
      <c r="B1324" s="24"/>
      <c r="C1324" s="6"/>
      <c r="D1324" s="6"/>
      <c r="E1324" s="61" t="s">
        <v>188</v>
      </c>
      <c r="F1324" s="40">
        <f>IF(((F1322="")*AND(F1323="")),"",(F1322-F1323)*2)</f>
        <v>3638.8000000000011</v>
      </c>
      <c r="G1324" s="40">
        <f t="shared" ref="G1324:N1324" si="436">IF(((G1322="")*AND(G1323="")),"",(G1322-G1323)*2)</f>
        <v>3926.4799999999996</v>
      </c>
      <c r="H1324" s="40">
        <f t="shared" si="436"/>
        <v>4006.3199999999997</v>
      </c>
      <c r="I1324" s="40">
        <f t="shared" si="436"/>
        <v>3967.1400000000012</v>
      </c>
      <c r="J1324" s="40">
        <f t="shared" si="436"/>
        <v>3784.1000000000004</v>
      </c>
      <c r="K1324" s="40">
        <f t="shared" si="436"/>
        <v>3612.6400000000012</v>
      </c>
      <c r="L1324" s="40">
        <f t="shared" si="436"/>
        <v>3934.2800000000007</v>
      </c>
      <c r="M1324" s="40">
        <f t="shared" si="436"/>
        <v>4010.66</v>
      </c>
      <c r="N1324" s="40">
        <f t="shared" si="436"/>
        <v>3805.8199999999997</v>
      </c>
      <c r="O1324" s="61"/>
      <c r="P1324" s="61"/>
      <c r="Q1324" s="62"/>
      <c r="R1324" s="62"/>
      <c r="S1324" s="139"/>
      <c r="T1324" s="8"/>
      <c r="U1324" s="146"/>
      <c r="X1324" s="118"/>
      <c r="Y1324" s="118"/>
      <c r="Z1324" s="118"/>
      <c r="AA1324" s="118"/>
    </row>
    <row r="1325" spans="1:29" ht="15.6" x14ac:dyDescent="0.3">
      <c r="A1325" s="278">
        <v>43696</v>
      </c>
      <c r="B1325" s="215" t="s">
        <v>169</v>
      </c>
      <c r="C1325" s="6" t="s">
        <v>171</v>
      </c>
      <c r="D1325" s="6" t="s">
        <v>189</v>
      </c>
      <c r="E1325" s="61" t="s">
        <v>186</v>
      </c>
      <c r="F1325">
        <v>1947.25</v>
      </c>
      <c r="G1325">
        <v>1943.1</v>
      </c>
      <c r="H1325">
        <v>1941.3</v>
      </c>
      <c r="I1325">
        <v>1940.29</v>
      </c>
      <c r="J1325">
        <v>1949.76</v>
      </c>
      <c r="K1325">
        <v>1953.03</v>
      </c>
      <c r="L1325">
        <v>1949.13</v>
      </c>
      <c r="M1325">
        <v>1940.18</v>
      </c>
      <c r="N1325">
        <v>1943.73</v>
      </c>
      <c r="O1325" s="61">
        <f>IF((N1326=""),"",MAX(F1327:N1327))</f>
        <v>2110.0199999999995</v>
      </c>
      <c r="P1325" s="61">
        <f>IF(N1326="","",MIN(F1327:N1327))</f>
        <v>2013.5400000000002</v>
      </c>
      <c r="Q1325" s="62">
        <f>IF((N1327=""),"",AVERAGE(F1327:N1327))</f>
        <v>2065.61</v>
      </c>
      <c r="R1325" s="62">
        <f>IF((N1326=""),"",(O1325-P1325)/(O1325+P1325)*100)</f>
        <v>2.3397258679393373</v>
      </c>
      <c r="S1325" s="139">
        <f>STDEV(F1327:N1327)</f>
        <v>36.799998641304136</v>
      </c>
      <c r="T1325" s="5" t="str">
        <f>IF(N1326="","",IF(Q1325&gt;1940,IF(R1325&lt;8.3,IF(Q1325&lt;2180,"Pass","Fail"),"Fail"),"Fail"))</f>
        <v>Pass</v>
      </c>
      <c r="U1325" s="149">
        <v>1340</v>
      </c>
      <c r="V1325" s="11" t="s">
        <v>326</v>
      </c>
      <c r="X1325" s="116">
        <v>2000</v>
      </c>
      <c r="Y1325" s="116">
        <v>3000</v>
      </c>
      <c r="Z1325" s="116">
        <v>1940</v>
      </c>
      <c r="AA1325" s="116">
        <v>2180</v>
      </c>
      <c r="AB1325" s="31">
        <v>5.2</v>
      </c>
      <c r="AC1325" s="31">
        <v>5.2</v>
      </c>
    </row>
    <row r="1326" spans="1:29" ht="15.6" x14ac:dyDescent="0.3">
      <c r="A1326" s="212"/>
      <c r="B1326" s="24"/>
      <c r="C1326" s="6"/>
      <c r="D1326" s="6"/>
      <c r="E1326" s="61" t="s">
        <v>187</v>
      </c>
      <c r="F1326">
        <v>1262.96</v>
      </c>
      <c r="G1326">
        <v>1243.8900000000001</v>
      </c>
      <c r="H1326">
        <v>1237.96</v>
      </c>
      <c r="I1326">
        <v>1250.03</v>
      </c>
      <c r="J1326">
        <v>1278.55</v>
      </c>
      <c r="K1326">
        <v>1281.8499999999999</v>
      </c>
      <c r="L1326">
        <v>1251.82</v>
      </c>
      <c r="M1326">
        <v>1241.03</v>
      </c>
      <c r="N1326">
        <v>1262.8499999999999</v>
      </c>
      <c r="O1326" s="61"/>
      <c r="P1326" s="61"/>
      <c r="Q1326" s="62"/>
      <c r="R1326" s="62"/>
      <c r="S1326" s="139"/>
      <c r="T1326" s="5"/>
      <c r="U1326" s="140"/>
      <c r="X1326" s="118"/>
      <c r="Y1326" s="118"/>
      <c r="Z1326" s="118"/>
      <c r="AA1326" s="118"/>
    </row>
    <row r="1327" spans="1:29" ht="16.2" thickBot="1" x14ac:dyDescent="0.35">
      <c r="A1327" s="212"/>
      <c r="B1327" s="24"/>
      <c r="C1327" s="6"/>
      <c r="D1327" s="6"/>
      <c r="E1327" s="61" t="s">
        <v>190</v>
      </c>
      <c r="F1327" s="40">
        <f t="shared" ref="F1327:N1327" si="437">IF(((F1325="")*AND(F1326="")),"",(F1325-F1326)*3)</f>
        <v>2052.87</v>
      </c>
      <c r="G1327" s="40">
        <f t="shared" si="437"/>
        <v>2097.6299999999992</v>
      </c>
      <c r="H1327" s="40">
        <f t="shared" si="437"/>
        <v>2110.0199999999995</v>
      </c>
      <c r="I1327" s="40">
        <f t="shared" si="437"/>
        <v>2070.7799999999997</v>
      </c>
      <c r="J1327" s="40">
        <f t="shared" si="437"/>
        <v>2013.63</v>
      </c>
      <c r="K1327" s="40">
        <f t="shared" si="437"/>
        <v>2013.5400000000002</v>
      </c>
      <c r="L1327" s="40">
        <f t="shared" si="437"/>
        <v>2091.9300000000003</v>
      </c>
      <c r="M1327" s="40">
        <f t="shared" si="437"/>
        <v>2097.4500000000003</v>
      </c>
      <c r="N1327" s="40">
        <f t="shared" si="437"/>
        <v>2042.6400000000003</v>
      </c>
      <c r="O1327" s="61"/>
      <c r="P1327" s="61"/>
      <c r="Q1327" s="62"/>
      <c r="R1327" s="62"/>
      <c r="S1327" s="139"/>
      <c r="T1327" s="5"/>
      <c r="U1327" s="140"/>
      <c r="X1327" s="118"/>
      <c r="Y1327" s="118"/>
      <c r="Z1327" s="118"/>
      <c r="AA1327" s="118"/>
    </row>
    <row r="1328" spans="1:29" ht="15.6" x14ac:dyDescent="0.3">
      <c r="A1328" s="278">
        <v>43696</v>
      </c>
      <c r="B1328" s="218" t="s">
        <v>185</v>
      </c>
      <c r="C1328" s="6" t="s">
        <v>173</v>
      </c>
      <c r="D1328" s="6" t="s">
        <v>172</v>
      </c>
      <c r="E1328" s="61" t="s">
        <v>186</v>
      </c>
      <c r="F1328">
        <v>29245.06</v>
      </c>
      <c r="G1328">
        <v>29122.54</v>
      </c>
      <c r="H1328">
        <v>29108.04</v>
      </c>
      <c r="I1328">
        <v>29099.11</v>
      </c>
      <c r="J1328">
        <v>29194.76</v>
      </c>
      <c r="K1328">
        <v>29236.81</v>
      </c>
      <c r="L1328">
        <v>29107.63</v>
      </c>
      <c r="M1328">
        <v>29093.27</v>
      </c>
      <c r="N1328">
        <v>29220.29</v>
      </c>
      <c r="O1328" s="61">
        <f>IF((N1329=""),"",MAX(F1330:N1330))</f>
        <v>4656.1199999999917</v>
      </c>
      <c r="P1328" s="61">
        <f>IF(N1329="","",MIN(F1330:N1330))</f>
        <v>4123.4700000000048</v>
      </c>
      <c r="Q1328" s="62">
        <f>IF((N1330=""),"",AVERAGE(F1330:N1330))</f>
        <v>4392.3866666666681</v>
      </c>
      <c r="R1328" s="62">
        <f>IF((N1329=""),"",(O1328-P1328)/(O1328+P1328)*100)</f>
        <v>6.0669120084193802</v>
      </c>
      <c r="S1328" s="139">
        <f>STDEV(F1330:N1330)</f>
        <v>235.96647102925269</v>
      </c>
      <c r="T1328" s="5" t="str">
        <f>IF(N1329="","",IF(R1328&lt;16,IF(Q1328&gt;3200,IF(R1328,IF(Q1328&lt;5240,"Pass","Fail"),"Fail"),"Fail")))</f>
        <v>Pass</v>
      </c>
      <c r="U1328" s="149">
        <v>1340</v>
      </c>
      <c r="V1328" s="11" t="s">
        <v>326</v>
      </c>
      <c r="X1328" s="116">
        <v>4200</v>
      </c>
      <c r="Y1328" s="116">
        <v>5500</v>
      </c>
      <c r="Z1328" s="116">
        <v>3200</v>
      </c>
      <c r="AA1328" s="116">
        <v>5240</v>
      </c>
      <c r="AB1328" s="31">
        <v>16</v>
      </c>
      <c r="AC1328" s="31">
        <v>16</v>
      </c>
    </row>
    <row r="1329" spans="1:29" ht="15.6" x14ac:dyDescent="0.3">
      <c r="A1329" s="212"/>
      <c r="B1329" s="24"/>
      <c r="C1329" s="6"/>
      <c r="D1329" s="6"/>
      <c r="E1329" s="61" t="s">
        <v>187</v>
      </c>
      <c r="F1329">
        <v>27699.58</v>
      </c>
      <c r="G1329">
        <v>27717.22</v>
      </c>
      <c r="H1329">
        <v>27733.55</v>
      </c>
      <c r="I1329">
        <v>27692.34</v>
      </c>
      <c r="J1329">
        <v>27642.720000000001</v>
      </c>
      <c r="K1329">
        <v>27691.03</v>
      </c>
      <c r="L1329">
        <v>27705.86</v>
      </c>
      <c r="M1329">
        <v>27690.01</v>
      </c>
      <c r="N1329">
        <v>27678.04</v>
      </c>
      <c r="O1329" s="127"/>
      <c r="P1329" s="61"/>
      <c r="Q1329" s="62"/>
      <c r="R1329" s="62"/>
      <c r="S1329" s="139"/>
      <c r="T1329" s="5"/>
      <c r="U1329" s="140"/>
    </row>
    <row r="1330" spans="1:29" ht="23.4" thickBot="1" x14ac:dyDescent="0.35">
      <c r="A1330" s="212"/>
      <c r="B1330" s="63"/>
      <c r="C1330" s="64"/>
      <c r="D1330" s="64"/>
      <c r="E1330" s="61" t="s">
        <v>188</v>
      </c>
      <c r="F1330" s="53">
        <f t="shared" ref="F1330:N1330" si="438">IF(((F1328="")*AND(F1329="")),"",(F1328-F1329)*3)</f>
        <v>4636.4399999999987</v>
      </c>
      <c r="G1330" s="53">
        <f t="shared" si="438"/>
        <v>4215.9599999999991</v>
      </c>
      <c r="H1330" s="53">
        <f t="shared" si="438"/>
        <v>4123.4700000000048</v>
      </c>
      <c r="I1330" s="53">
        <f t="shared" si="438"/>
        <v>4220.3100000000013</v>
      </c>
      <c r="J1330" s="53">
        <f t="shared" si="438"/>
        <v>4656.1199999999917</v>
      </c>
      <c r="K1330" s="53">
        <f t="shared" si="438"/>
        <v>4637.3400000000074</v>
      </c>
      <c r="L1330" s="53">
        <f t="shared" si="438"/>
        <v>4205.3100000000013</v>
      </c>
      <c r="M1330" s="53">
        <f t="shared" si="438"/>
        <v>4209.7800000000061</v>
      </c>
      <c r="N1330" s="53">
        <f t="shared" si="438"/>
        <v>4626.75</v>
      </c>
      <c r="O1330" s="65"/>
      <c r="P1330" s="65"/>
      <c r="Q1330" s="66"/>
      <c r="R1330" s="66"/>
      <c r="S1330" s="142"/>
      <c r="T1330" s="143"/>
      <c r="U1330" s="144"/>
    </row>
    <row r="1331" spans="1:29" ht="15.6" x14ac:dyDescent="0.3">
      <c r="A1331" s="278">
        <v>43699</v>
      </c>
      <c r="B1331" s="217" t="s">
        <v>174</v>
      </c>
      <c r="C1331" s="44" t="s">
        <v>176</v>
      </c>
      <c r="D1331" s="44" t="s">
        <v>175</v>
      </c>
      <c r="E1331" s="61" t="s">
        <v>186</v>
      </c>
      <c r="F1331">
        <v>5235.29</v>
      </c>
      <c r="G1331">
        <v>5075</v>
      </c>
      <c r="H1331">
        <v>5044.6499999999996</v>
      </c>
      <c r="I1331">
        <v>5039.3599999999997</v>
      </c>
      <c r="J1331">
        <v>5069.62</v>
      </c>
      <c r="K1331">
        <v>5212.49</v>
      </c>
      <c r="L1331">
        <v>5045.49</v>
      </c>
      <c r="M1331">
        <v>5066.5</v>
      </c>
      <c r="N1331">
        <v>5187.8900000000003</v>
      </c>
      <c r="O1331" s="59">
        <f>IF((N1332=""),"",MAX(F1333:N1333))</f>
        <v>4118.76</v>
      </c>
      <c r="P1331" s="59">
        <f>IF(N1332="","",MIN(F1333:N1333))</f>
        <v>3709.08</v>
      </c>
      <c r="Q1331" s="60">
        <f>IF((N1333=""),"",AVERAGE(F1333:N1333))</f>
        <v>3961.1599999999994</v>
      </c>
      <c r="R1331" s="60">
        <f>IF((N1332=""),"",(O1331-P1331)/(O1331+P1331)*100)</f>
        <v>5.2336276674025051</v>
      </c>
      <c r="S1331" s="131">
        <f>STDEV(F1333:N1333)</f>
        <v>151.00329830834823</v>
      </c>
      <c r="T1331" s="137" t="str">
        <f>IF(N1332="","",IF(Q1331&gt;3650,IF(R1331&lt;7,IF(Q1331&lt;4450,"Pass","Fail"),"Fail"),"Fail"))</f>
        <v>Pass</v>
      </c>
      <c r="U1331" s="149" t="s">
        <v>217</v>
      </c>
      <c r="V1331" s="11" t="s">
        <v>328</v>
      </c>
      <c r="X1331" s="116">
        <v>3650</v>
      </c>
      <c r="Y1331" s="116">
        <v>4450</v>
      </c>
      <c r="Z1331" s="116">
        <v>3700</v>
      </c>
      <c r="AA1331" s="116">
        <v>4100</v>
      </c>
      <c r="AB1331" s="31">
        <v>7</v>
      </c>
      <c r="AC1331" s="31">
        <v>6.5</v>
      </c>
    </row>
    <row r="1332" spans="1:29" ht="15.6" x14ac:dyDescent="0.3">
      <c r="A1332" s="212"/>
      <c r="B1332" s="24"/>
      <c r="C1332" s="6"/>
      <c r="D1332" s="6"/>
      <c r="E1332" s="61" t="s">
        <v>187</v>
      </c>
      <c r="F1332">
        <v>3355.28</v>
      </c>
      <c r="G1332">
        <v>3055.41</v>
      </c>
      <c r="H1332">
        <v>2989.95</v>
      </c>
      <c r="I1332">
        <v>3005.14</v>
      </c>
      <c r="J1332">
        <v>3126.38</v>
      </c>
      <c r="K1332">
        <v>3357.95</v>
      </c>
      <c r="L1332">
        <v>3024.59</v>
      </c>
      <c r="M1332">
        <v>3007.12</v>
      </c>
      <c r="N1332">
        <v>3229.25</v>
      </c>
      <c r="O1332" s="61"/>
      <c r="P1332" s="61"/>
      <c r="Q1332" s="62"/>
      <c r="R1332" s="62"/>
      <c r="S1332" s="139"/>
      <c r="T1332" s="8"/>
      <c r="U1332" s="146"/>
      <c r="X1332" s="118"/>
      <c r="Y1332" s="118"/>
      <c r="Z1332" s="118"/>
      <c r="AA1332" s="118"/>
    </row>
    <row r="1333" spans="1:29" ht="23.4" thickBot="1" x14ac:dyDescent="0.35">
      <c r="A1333" s="212"/>
      <c r="B1333" s="24"/>
      <c r="C1333" s="6"/>
      <c r="D1333" s="6"/>
      <c r="E1333" s="61" t="s">
        <v>188</v>
      </c>
      <c r="F1333" s="40">
        <f t="shared" ref="F1333:N1333" si="439">IF(((F1331="")*AND(F1332="")),"",(F1331-F1332)*2)</f>
        <v>3760.0199999999995</v>
      </c>
      <c r="G1333" s="40">
        <f t="shared" si="439"/>
        <v>4039.1800000000003</v>
      </c>
      <c r="H1333" s="40">
        <f t="shared" si="439"/>
        <v>4109.3999999999996</v>
      </c>
      <c r="I1333" s="40">
        <f t="shared" si="439"/>
        <v>4068.4399999999996</v>
      </c>
      <c r="J1333" s="40">
        <f t="shared" si="439"/>
        <v>3886.4799999999996</v>
      </c>
      <c r="K1333" s="40">
        <f t="shared" si="439"/>
        <v>3709.08</v>
      </c>
      <c r="L1333" s="40">
        <f t="shared" si="439"/>
        <v>4041.7999999999993</v>
      </c>
      <c r="M1333" s="40">
        <f t="shared" si="439"/>
        <v>4118.76</v>
      </c>
      <c r="N1333" s="40">
        <f t="shared" si="439"/>
        <v>3917.2800000000007</v>
      </c>
      <c r="O1333" s="61"/>
      <c r="P1333" s="61"/>
      <c r="Q1333" s="62"/>
      <c r="R1333" s="62"/>
      <c r="S1333" s="139"/>
      <c r="T1333" s="8"/>
      <c r="U1333" s="146"/>
      <c r="X1333" s="118"/>
      <c r="Y1333" s="118"/>
      <c r="Z1333" s="118"/>
      <c r="AA1333" s="118"/>
    </row>
    <row r="1334" spans="1:29" ht="15.6" x14ac:dyDescent="0.3">
      <c r="A1334" s="278">
        <v>43699</v>
      </c>
      <c r="B1334" s="215" t="s">
        <v>169</v>
      </c>
      <c r="C1334" s="6" t="s">
        <v>171</v>
      </c>
      <c r="D1334" s="6" t="s">
        <v>189</v>
      </c>
      <c r="E1334" s="61" t="s">
        <v>186</v>
      </c>
      <c r="F1334">
        <v>1959.7</v>
      </c>
      <c r="G1334">
        <v>1964.43</v>
      </c>
      <c r="H1334">
        <v>1958.82</v>
      </c>
      <c r="I1334">
        <v>1962.5</v>
      </c>
      <c r="J1334">
        <v>1957.36</v>
      </c>
      <c r="K1334">
        <v>1959.01</v>
      </c>
      <c r="L1334">
        <v>1965.53</v>
      </c>
      <c r="M1334">
        <v>1961.35</v>
      </c>
      <c r="N1334">
        <v>1957.61</v>
      </c>
      <c r="O1334" s="61">
        <f>IF((N1335=""),"",MAX(F1336:N1336))</f>
        <v>2125.0800000000004</v>
      </c>
      <c r="P1334" s="61">
        <f>IF(N1335="","",MIN(F1336:N1336))</f>
        <v>2015.6999999999996</v>
      </c>
      <c r="Q1334" s="62">
        <f>IF((N1336=""),"",AVERAGE(F1336:N1336))</f>
        <v>2081.5033333333331</v>
      </c>
      <c r="R1334" s="62">
        <f>IF((N1335=""),"",(O1334-P1334)/(O1334+P1334)*100)</f>
        <v>2.6415313056960472</v>
      </c>
      <c r="S1334" s="139">
        <f>STDEV(F1336:N1336)</f>
        <v>39.441969081170484</v>
      </c>
      <c r="T1334" s="5" t="str">
        <f>IF(N1335="","",IF(Q1334&gt;1940,IF(R1334&lt;8.3,IF(Q1334&lt;2180,"Pass","Fail"),"Fail"),"Fail"))</f>
        <v>Pass</v>
      </c>
      <c r="U1334" s="149" t="s">
        <v>217</v>
      </c>
      <c r="V1334" s="11" t="s">
        <v>328</v>
      </c>
      <c r="X1334" s="116">
        <v>2000</v>
      </c>
      <c r="Y1334" s="116">
        <v>3000</v>
      </c>
      <c r="Z1334" s="116">
        <v>1940</v>
      </c>
      <c r="AA1334" s="116">
        <v>2180</v>
      </c>
      <c r="AB1334" s="31">
        <v>5.2</v>
      </c>
      <c r="AC1334" s="31">
        <v>5.2</v>
      </c>
    </row>
    <row r="1335" spans="1:29" ht="15.6" x14ac:dyDescent="0.3">
      <c r="A1335" s="212"/>
      <c r="B1335" s="24"/>
      <c r="C1335" s="6"/>
      <c r="D1335" s="6"/>
      <c r="E1335" s="61" t="s">
        <v>187</v>
      </c>
      <c r="F1335">
        <v>1269.9000000000001</v>
      </c>
      <c r="G1335">
        <v>1256.07</v>
      </c>
      <c r="H1335">
        <v>1253.53</v>
      </c>
      <c r="I1335">
        <v>1263.27</v>
      </c>
      <c r="J1335">
        <v>1285.46</v>
      </c>
      <c r="K1335">
        <v>1281.07</v>
      </c>
      <c r="L1335">
        <v>1262.8599999999999</v>
      </c>
      <c r="M1335">
        <v>1257.1500000000001</v>
      </c>
      <c r="N1335">
        <v>1272.49</v>
      </c>
      <c r="O1335" s="61"/>
      <c r="P1335" s="61"/>
      <c r="Q1335" s="62"/>
      <c r="R1335" s="62"/>
      <c r="S1335" s="139"/>
      <c r="T1335" s="5"/>
      <c r="U1335" s="140"/>
      <c r="X1335" s="118"/>
      <c r="Y1335" s="118"/>
      <c r="Z1335" s="118"/>
      <c r="AA1335" s="118"/>
    </row>
    <row r="1336" spans="1:29" ht="16.2" thickBot="1" x14ac:dyDescent="0.35">
      <c r="A1336" s="212"/>
      <c r="B1336" s="24"/>
      <c r="C1336" s="6"/>
      <c r="D1336" s="6"/>
      <c r="E1336" s="61" t="s">
        <v>190</v>
      </c>
      <c r="F1336" s="40">
        <f t="shared" ref="F1336:N1336" si="440">IF(((F1334="")*AND(F1335="")),"",(F1334-F1335)*3)</f>
        <v>2069.3999999999996</v>
      </c>
      <c r="G1336" s="40">
        <f t="shared" si="440"/>
        <v>2125.0800000000004</v>
      </c>
      <c r="H1336" s="40">
        <f t="shared" si="440"/>
        <v>2115.87</v>
      </c>
      <c r="I1336" s="40">
        <f t="shared" si="440"/>
        <v>2097.69</v>
      </c>
      <c r="J1336" s="40">
        <f t="shared" si="440"/>
        <v>2015.6999999999996</v>
      </c>
      <c r="K1336" s="40">
        <f t="shared" si="440"/>
        <v>2033.8200000000002</v>
      </c>
      <c r="L1336" s="40">
        <f t="shared" si="440"/>
        <v>2108.0100000000002</v>
      </c>
      <c r="M1336" s="40">
        <f t="shared" si="440"/>
        <v>2112.5999999999995</v>
      </c>
      <c r="N1336" s="40">
        <f t="shared" si="440"/>
        <v>2055.3599999999997</v>
      </c>
      <c r="O1336" s="61"/>
      <c r="P1336" s="61"/>
      <c r="Q1336" s="62"/>
      <c r="R1336" s="62"/>
      <c r="S1336" s="139"/>
      <c r="T1336" s="5"/>
      <c r="U1336" s="140"/>
      <c r="X1336" s="118"/>
      <c r="Y1336" s="118"/>
      <c r="Z1336" s="118"/>
      <c r="AA1336" s="118"/>
    </row>
    <row r="1337" spans="1:29" ht="15.6" x14ac:dyDescent="0.3">
      <c r="A1337" s="278">
        <v>43699</v>
      </c>
      <c r="B1337" s="218" t="s">
        <v>185</v>
      </c>
      <c r="C1337" s="6" t="s">
        <v>173</v>
      </c>
      <c r="D1337" s="6" t="s">
        <v>172</v>
      </c>
      <c r="E1337" s="61" t="s">
        <v>186</v>
      </c>
      <c r="F1337">
        <v>29276.06</v>
      </c>
      <c r="G1337">
        <v>29134.57</v>
      </c>
      <c r="H1337">
        <v>29116.26</v>
      </c>
      <c r="I1337">
        <v>29133.48</v>
      </c>
      <c r="J1337">
        <v>29264.01</v>
      </c>
      <c r="K1337">
        <v>29223.25</v>
      </c>
      <c r="L1337">
        <v>29132.7</v>
      </c>
      <c r="M1337">
        <v>29134.07</v>
      </c>
      <c r="N1337">
        <v>29240.01</v>
      </c>
      <c r="O1337" s="61">
        <f>IF((N1338=""),"",MAX(F1339:N1339))</f>
        <v>4693.7099999999991</v>
      </c>
      <c r="P1337" s="61">
        <f>IF(N1338="","",MIN(F1339:N1339))</f>
        <v>4172.9699999999939</v>
      </c>
      <c r="Q1337" s="62">
        <f>IF((N1339=""),"",AVERAGE(F1339:N1339))</f>
        <v>4420.7333333333327</v>
      </c>
      <c r="R1337" s="62">
        <f>IF((N1338=""),"",(O1337-P1337)/(O1337+P1337)*100)</f>
        <v>5.8729986872200834</v>
      </c>
      <c r="S1337" s="139">
        <f>STDEV(F1339:N1339)</f>
        <v>213.25968119876819</v>
      </c>
      <c r="T1337" s="5" t="str">
        <f>IF(N1338="","",IF(R1337&lt;16,IF(Q1337&gt;3200,IF(R1337,IF(Q1337&lt;5240,"Pass","Fail"),"Fail"),"Fail")))</f>
        <v>Pass</v>
      </c>
      <c r="U1337" s="149" t="s">
        <v>217</v>
      </c>
      <c r="V1337" s="11" t="s">
        <v>328</v>
      </c>
      <c r="X1337" s="116">
        <v>4200</v>
      </c>
      <c r="Y1337" s="116">
        <v>5500</v>
      </c>
      <c r="Z1337" s="116">
        <v>3200</v>
      </c>
      <c r="AA1337" s="116">
        <v>5240</v>
      </c>
      <c r="AB1337" s="31">
        <v>16</v>
      </c>
      <c r="AC1337" s="31">
        <v>16</v>
      </c>
    </row>
    <row r="1338" spans="1:29" ht="15.6" x14ac:dyDescent="0.3">
      <c r="A1338" s="212"/>
      <c r="B1338" s="24"/>
      <c r="C1338" s="6"/>
      <c r="D1338" s="6"/>
      <c r="E1338" s="61" t="s">
        <v>187</v>
      </c>
      <c r="F1338">
        <v>27723.77</v>
      </c>
      <c r="G1338">
        <v>27707.919999999998</v>
      </c>
      <c r="H1338">
        <v>27725.27</v>
      </c>
      <c r="I1338">
        <v>27706.06</v>
      </c>
      <c r="J1338">
        <v>27729.58</v>
      </c>
      <c r="K1338">
        <v>27686.17</v>
      </c>
      <c r="L1338">
        <v>27723.54</v>
      </c>
      <c r="M1338">
        <v>27714.46</v>
      </c>
      <c r="N1338">
        <v>27675.439999999999</v>
      </c>
      <c r="O1338" s="127"/>
      <c r="P1338" s="61"/>
      <c r="Q1338" s="62"/>
      <c r="R1338" s="62"/>
      <c r="S1338" s="139"/>
      <c r="T1338" s="5"/>
      <c r="U1338" s="140"/>
    </row>
    <row r="1339" spans="1:29" ht="23.4" thickBot="1" x14ac:dyDescent="0.35">
      <c r="A1339" s="212"/>
      <c r="B1339" s="63"/>
      <c r="C1339" s="64"/>
      <c r="D1339" s="64"/>
      <c r="E1339" s="61" t="s">
        <v>188</v>
      </c>
      <c r="F1339" s="53">
        <f t="shared" ref="F1339:N1339" si="441">IF(((F1337="")*AND(F1338="")),"",(F1337-F1338)*3)</f>
        <v>4656.8700000000026</v>
      </c>
      <c r="G1339" s="53">
        <f t="shared" si="441"/>
        <v>4279.9500000000044</v>
      </c>
      <c r="H1339" s="53">
        <f t="shared" si="441"/>
        <v>4172.9699999999939</v>
      </c>
      <c r="I1339" s="53">
        <f t="shared" si="441"/>
        <v>4282.2599999999948</v>
      </c>
      <c r="J1339" s="53">
        <f t="shared" si="441"/>
        <v>4603.28999999999</v>
      </c>
      <c r="K1339" s="53">
        <f t="shared" si="441"/>
        <v>4611.2400000000052</v>
      </c>
      <c r="L1339" s="53">
        <f t="shared" si="441"/>
        <v>4227.4799999999996</v>
      </c>
      <c r="M1339" s="53">
        <f t="shared" si="441"/>
        <v>4258.8300000000017</v>
      </c>
      <c r="N1339" s="53">
        <f t="shared" si="441"/>
        <v>4693.7099999999991</v>
      </c>
      <c r="O1339" s="65"/>
      <c r="P1339" s="65"/>
      <c r="Q1339" s="66"/>
      <c r="R1339" s="66"/>
      <c r="S1339" s="142"/>
      <c r="T1339" s="143"/>
      <c r="U1339" s="144"/>
    </row>
    <row r="1340" spans="1:29" ht="15.6" x14ac:dyDescent="0.3">
      <c r="A1340" s="278">
        <v>43703</v>
      </c>
      <c r="B1340" s="217" t="s">
        <v>174</v>
      </c>
      <c r="C1340" s="44" t="s">
        <v>176</v>
      </c>
      <c r="D1340" s="44" t="s">
        <v>175</v>
      </c>
      <c r="E1340" s="61" t="s">
        <v>186</v>
      </c>
      <c r="F1340">
        <v>3355.28</v>
      </c>
      <c r="G1340">
        <v>3055.41</v>
      </c>
      <c r="H1340">
        <v>2989.95</v>
      </c>
      <c r="I1340">
        <v>3005.14</v>
      </c>
      <c r="J1340">
        <v>3126.38</v>
      </c>
      <c r="K1340">
        <v>3357.95</v>
      </c>
      <c r="L1340">
        <v>3024.59</v>
      </c>
      <c r="M1340">
        <v>3007.12</v>
      </c>
      <c r="N1340">
        <v>3229.25</v>
      </c>
      <c r="O1340" s="59">
        <f>IF((N1341=""),"",MAX(F1342:N1342))</f>
        <v>4055.8199999999997</v>
      </c>
      <c r="P1340" s="59">
        <f>IF(N1341="","",MIN(F1342:N1342))</f>
        <v>3663.18</v>
      </c>
      <c r="Q1340" s="60">
        <f>IF((N1342=""),"",AVERAGE(F1342:N1342))</f>
        <v>3901.0311111111109</v>
      </c>
      <c r="R1340" s="60">
        <f>IF((N1341=""),"",(O1340-P1340)/(O1340+P1340)*100)</f>
        <v>5.0866692576758634</v>
      </c>
      <c r="S1340" s="131">
        <f>STDEV(F1342:N1342)</f>
        <v>142.42141977634918</v>
      </c>
      <c r="T1340" s="137" t="str">
        <f>IF(N1341="","",IF(Q1340&gt;3650,IF(R1340&lt;7,IF(Q1340&lt;4450,"Pass","Fail"),"Fail"),"Fail"))</f>
        <v>Pass</v>
      </c>
      <c r="U1340" s="149">
        <v>121</v>
      </c>
      <c r="V1340" s="11" t="s">
        <v>330</v>
      </c>
      <c r="X1340" s="116">
        <v>3650</v>
      </c>
      <c r="Y1340" s="116">
        <v>4450</v>
      </c>
      <c r="Z1340" s="116">
        <v>3700</v>
      </c>
      <c r="AA1340" s="116">
        <v>4100</v>
      </c>
      <c r="AB1340" s="31">
        <v>7</v>
      </c>
      <c r="AC1340" s="31">
        <v>6.5</v>
      </c>
    </row>
    <row r="1341" spans="1:29" ht="15.6" x14ac:dyDescent="0.3">
      <c r="A1341" s="212"/>
      <c r="B1341" s="24"/>
      <c r="C1341" s="6"/>
      <c r="D1341" s="6"/>
      <c r="E1341" s="61" t="s">
        <v>187</v>
      </c>
      <c r="F1341">
        <v>1498.01</v>
      </c>
      <c r="G1341">
        <v>1070.23</v>
      </c>
      <c r="H1341">
        <v>967.4</v>
      </c>
      <c r="I1341">
        <v>1007.55</v>
      </c>
      <c r="J1341">
        <v>1219.23</v>
      </c>
      <c r="K1341">
        <v>1526.36</v>
      </c>
      <c r="L1341">
        <v>1040.03</v>
      </c>
      <c r="M1341">
        <v>979.21</v>
      </c>
      <c r="N1341">
        <v>1288.4100000000001</v>
      </c>
      <c r="O1341" s="61"/>
      <c r="P1341" s="61"/>
      <c r="Q1341" s="62"/>
      <c r="R1341" s="62"/>
      <c r="S1341" s="139"/>
      <c r="T1341" s="8"/>
      <c r="U1341" s="146"/>
      <c r="X1341" s="118"/>
      <c r="Y1341" s="118"/>
      <c r="Z1341" s="118"/>
      <c r="AA1341" s="118"/>
    </row>
    <row r="1342" spans="1:29" ht="23.4" thickBot="1" x14ac:dyDescent="0.35">
      <c r="A1342" s="212"/>
      <c r="B1342" s="24"/>
      <c r="C1342" s="6"/>
      <c r="D1342" s="6"/>
      <c r="E1342" s="61" t="s">
        <v>188</v>
      </c>
      <c r="F1342" s="40">
        <f t="shared" ref="F1342:N1342" si="442">IF(((F1340="")*AND(F1341="")),"",(F1340-F1341)*2)</f>
        <v>3714.5400000000004</v>
      </c>
      <c r="G1342" s="40">
        <f t="shared" si="442"/>
        <v>3970.3599999999997</v>
      </c>
      <c r="H1342" s="40">
        <f t="shared" si="442"/>
        <v>4045.0999999999995</v>
      </c>
      <c r="I1342" s="40">
        <f t="shared" si="442"/>
        <v>3995.18</v>
      </c>
      <c r="J1342" s="40">
        <f t="shared" si="442"/>
        <v>3814.3</v>
      </c>
      <c r="K1342" s="40">
        <f t="shared" si="442"/>
        <v>3663.18</v>
      </c>
      <c r="L1342" s="40">
        <f t="shared" si="442"/>
        <v>3969.1200000000003</v>
      </c>
      <c r="M1342" s="40">
        <f t="shared" si="442"/>
        <v>4055.8199999999997</v>
      </c>
      <c r="N1342" s="40">
        <f t="shared" si="442"/>
        <v>3881.68</v>
      </c>
      <c r="O1342" s="61"/>
      <c r="P1342" s="61"/>
      <c r="Q1342" s="62"/>
      <c r="R1342" s="62"/>
      <c r="S1342" s="139"/>
      <c r="T1342" s="8"/>
      <c r="U1342" s="146"/>
      <c r="X1342" s="118"/>
      <c r="Y1342" s="118"/>
      <c r="Z1342" s="118"/>
      <c r="AA1342" s="118"/>
    </row>
    <row r="1343" spans="1:29" ht="15.6" x14ac:dyDescent="0.3">
      <c r="A1343" s="278">
        <v>43703</v>
      </c>
      <c r="B1343" s="215" t="s">
        <v>169</v>
      </c>
      <c r="C1343" s="6" t="s">
        <v>171</v>
      </c>
      <c r="D1343" s="6" t="s">
        <v>189</v>
      </c>
      <c r="E1343" s="61" t="s">
        <v>186</v>
      </c>
      <c r="F1343">
        <v>1269.9000000000001</v>
      </c>
      <c r="G1343">
        <v>1256.07</v>
      </c>
      <c r="H1343">
        <v>1253.53</v>
      </c>
      <c r="I1343">
        <v>1263.27</v>
      </c>
      <c r="J1343">
        <v>1285.46</v>
      </c>
      <c r="K1343">
        <v>1281.07</v>
      </c>
      <c r="L1343">
        <v>1262.8599999999999</v>
      </c>
      <c r="M1343">
        <v>1257.1500000000001</v>
      </c>
      <c r="N1343">
        <v>1272.49</v>
      </c>
      <c r="O1343" s="61">
        <f>IF((N1344=""),"",MAX(F1345:N1345))</f>
        <v>2070.7500000000005</v>
      </c>
      <c r="P1343" s="61">
        <f>IF(N1344="","",MIN(F1345:N1345))</f>
        <v>1960.23</v>
      </c>
      <c r="Q1343" s="62">
        <f>IF((N1345=""),"",AVERAGE(F1345:N1345))</f>
        <v>2026.663333333333</v>
      </c>
      <c r="R1343" s="62">
        <f>IF((N1344=""),"",(O1343-P1343)/(O1343+P1343)*100)</f>
        <v>2.74176502984387</v>
      </c>
      <c r="S1343" s="139">
        <f>STDEV(F1345:N1345)</f>
        <v>40.933205652623897</v>
      </c>
      <c r="T1343" s="5" t="str">
        <f>IF(N1344="","",IF(Q1343&gt;1940,IF(R1343&lt;8.3,IF(Q1343&lt;2180,"Pass","Fail"),"Fail"),"Fail"))</f>
        <v>Pass</v>
      </c>
      <c r="U1343" s="149">
        <v>121</v>
      </c>
      <c r="V1343" s="11" t="s">
        <v>330</v>
      </c>
      <c r="X1343" s="116">
        <v>2000</v>
      </c>
      <c r="Y1343" s="116">
        <v>3000</v>
      </c>
      <c r="Z1343" s="116">
        <v>1940</v>
      </c>
      <c r="AA1343" s="116">
        <v>2180</v>
      </c>
      <c r="AB1343" s="31">
        <v>5.2</v>
      </c>
      <c r="AC1343" s="31">
        <v>5.2</v>
      </c>
    </row>
    <row r="1344" spans="1:29" ht="15.6" x14ac:dyDescent="0.3">
      <c r="A1344" s="212"/>
      <c r="B1344" s="24"/>
      <c r="C1344" s="6"/>
      <c r="D1344" s="6"/>
      <c r="E1344" s="61" t="s">
        <v>187</v>
      </c>
      <c r="F1344">
        <v>601.54999999999995</v>
      </c>
      <c r="G1344">
        <v>566.67999999999995</v>
      </c>
      <c r="H1344">
        <v>565.77</v>
      </c>
      <c r="I1344">
        <v>580.84</v>
      </c>
      <c r="J1344">
        <v>626.87</v>
      </c>
      <c r="K1344">
        <v>627.66</v>
      </c>
      <c r="L1344">
        <v>582.72</v>
      </c>
      <c r="M1344">
        <v>566.9</v>
      </c>
      <c r="N1344">
        <v>602.82000000000005</v>
      </c>
      <c r="O1344" s="61"/>
      <c r="P1344" s="61"/>
      <c r="Q1344" s="62"/>
      <c r="R1344" s="62"/>
      <c r="S1344" s="139"/>
      <c r="T1344" s="5"/>
      <c r="U1344" s="140"/>
      <c r="X1344" s="118"/>
      <c r="Y1344" s="118"/>
      <c r="Z1344" s="118"/>
      <c r="AA1344" s="118"/>
    </row>
    <row r="1345" spans="1:29" ht="16.2" thickBot="1" x14ac:dyDescent="0.35">
      <c r="A1345" s="212"/>
      <c r="B1345" s="24"/>
      <c r="C1345" s="6"/>
      <c r="D1345" s="6"/>
      <c r="E1345" s="61" t="s">
        <v>190</v>
      </c>
      <c r="F1345" s="40">
        <f t="shared" ref="F1345:N1345" si="443">IF(((F1343="")*AND(F1344="")),"",(F1343-F1344)*3)</f>
        <v>2005.0500000000004</v>
      </c>
      <c r="G1345" s="40">
        <f t="shared" si="443"/>
        <v>2068.17</v>
      </c>
      <c r="H1345" s="40">
        <f t="shared" si="443"/>
        <v>2063.2799999999997</v>
      </c>
      <c r="I1345" s="40">
        <f t="shared" si="443"/>
        <v>2047.29</v>
      </c>
      <c r="J1345" s="40">
        <f t="shared" si="443"/>
        <v>1975.77</v>
      </c>
      <c r="K1345" s="40">
        <f t="shared" si="443"/>
        <v>1960.23</v>
      </c>
      <c r="L1345" s="40">
        <f t="shared" si="443"/>
        <v>2040.4199999999996</v>
      </c>
      <c r="M1345" s="40">
        <f t="shared" si="443"/>
        <v>2070.7500000000005</v>
      </c>
      <c r="N1345" s="40">
        <f t="shared" si="443"/>
        <v>2009.0099999999998</v>
      </c>
      <c r="O1345" s="61"/>
      <c r="P1345" s="61"/>
      <c r="Q1345" s="62"/>
      <c r="R1345" s="62"/>
      <c r="S1345" s="139"/>
      <c r="T1345" s="5"/>
      <c r="U1345" s="140"/>
      <c r="X1345" s="118"/>
      <c r="Y1345" s="118"/>
      <c r="Z1345" s="118"/>
      <c r="AA1345" s="118"/>
    </row>
    <row r="1346" spans="1:29" ht="15.6" x14ac:dyDescent="0.3">
      <c r="A1346" s="278">
        <v>43703</v>
      </c>
      <c r="B1346" s="218" t="s">
        <v>185</v>
      </c>
      <c r="C1346" s="6" t="s">
        <v>173</v>
      </c>
      <c r="D1346" s="6" t="s">
        <v>172</v>
      </c>
      <c r="E1346" s="61" t="s">
        <v>186</v>
      </c>
      <c r="F1346">
        <v>27723.77</v>
      </c>
      <c r="G1346">
        <v>27707.919999999998</v>
      </c>
      <c r="H1346">
        <v>27725.27</v>
      </c>
      <c r="I1346">
        <v>27706.06</v>
      </c>
      <c r="J1346">
        <v>27729.58</v>
      </c>
      <c r="K1346">
        <v>27686.17</v>
      </c>
      <c r="L1346">
        <v>27723.54</v>
      </c>
      <c r="M1346">
        <v>27714.46</v>
      </c>
      <c r="N1346">
        <v>27675.439999999999</v>
      </c>
      <c r="O1346" s="61">
        <f>IF((N1347=""),"",MAX(F1348:N1348))</f>
        <v>5159.5800000000017</v>
      </c>
      <c r="P1346" s="61">
        <f>IF(N1347="","",MIN(F1348:N1348))</f>
        <v>4490.1600000000035</v>
      </c>
      <c r="Q1346" s="62">
        <f>IF((N1348=""),"",AVERAGE(F1348:N1348))</f>
        <v>4796.5933333333332</v>
      </c>
      <c r="R1346" s="62">
        <f>IF((N1347=""),"",(O1346-P1346)/(O1346+P1346)*100)</f>
        <v>6.9371817271760481</v>
      </c>
      <c r="S1346" s="139">
        <f>STDEV(F1348:N1348)</f>
        <v>271.01458544698176</v>
      </c>
      <c r="T1346" s="5" t="str">
        <f>IF(N1347="","",IF(R1346&lt;16,IF(Q1346&gt;3200,IF(R1346,IF(Q1346&lt;5240,"Pass","Fail"),"Fail"),"Fail")))</f>
        <v>Pass</v>
      </c>
      <c r="U1346" s="149">
        <v>121</v>
      </c>
      <c r="V1346" s="11" t="s">
        <v>330</v>
      </c>
      <c r="X1346" s="116">
        <v>4200</v>
      </c>
      <c r="Y1346" s="116">
        <v>5500</v>
      </c>
      <c r="Z1346" s="116">
        <v>3200</v>
      </c>
      <c r="AA1346" s="116">
        <v>5240</v>
      </c>
      <c r="AB1346" s="31">
        <v>16</v>
      </c>
      <c r="AC1346" s="31">
        <v>16</v>
      </c>
    </row>
    <row r="1347" spans="1:29" ht="15.6" x14ac:dyDescent="0.3">
      <c r="A1347" s="212"/>
      <c r="B1347" s="24"/>
      <c r="C1347" s="6"/>
      <c r="D1347" s="6"/>
      <c r="E1347" s="61" t="s">
        <v>187</v>
      </c>
      <c r="F1347">
        <v>26053.26</v>
      </c>
      <c r="G1347">
        <v>26184.57</v>
      </c>
      <c r="H1347">
        <v>26228.55</v>
      </c>
      <c r="I1347">
        <v>26177.09</v>
      </c>
      <c r="J1347">
        <v>26009.72</v>
      </c>
      <c r="K1347">
        <v>25994.82</v>
      </c>
      <c r="L1347">
        <v>26190.21</v>
      </c>
      <c r="M1347">
        <v>26176.63</v>
      </c>
      <c r="N1347">
        <v>25987.58</v>
      </c>
      <c r="O1347" s="127"/>
      <c r="P1347" s="61"/>
      <c r="Q1347" s="62"/>
      <c r="R1347" s="62"/>
      <c r="S1347" s="139"/>
      <c r="T1347" s="5"/>
      <c r="U1347" s="140"/>
    </row>
    <row r="1348" spans="1:29" ht="23.4" thickBot="1" x14ac:dyDescent="0.35">
      <c r="A1348" s="212"/>
      <c r="B1348" s="63"/>
      <c r="C1348" s="64"/>
      <c r="D1348" s="64"/>
      <c r="E1348" s="61" t="s">
        <v>188</v>
      </c>
      <c r="F1348" s="53">
        <f t="shared" ref="F1348:N1348" si="444">IF(((F1346="")*AND(F1347="")),"",(F1346-F1347)*3)</f>
        <v>5011.5300000000061</v>
      </c>
      <c r="G1348" s="53">
        <f t="shared" si="444"/>
        <v>4570.0499999999956</v>
      </c>
      <c r="H1348" s="53">
        <f t="shared" si="444"/>
        <v>4490.1600000000035</v>
      </c>
      <c r="I1348" s="53">
        <f t="shared" si="444"/>
        <v>4586.9100000000035</v>
      </c>
      <c r="J1348" s="53">
        <f t="shared" si="444"/>
        <v>5159.5800000000017</v>
      </c>
      <c r="K1348" s="53">
        <f t="shared" si="444"/>
        <v>5074.0499999999956</v>
      </c>
      <c r="L1348" s="53">
        <f t="shared" si="444"/>
        <v>4599.9900000000052</v>
      </c>
      <c r="M1348" s="53">
        <f t="shared" si="444"/>
        <v>4613.4899999999943</v>
      </c>
      <c r="N1348" s="53">
        <f t="shared" si="444"/>
        <v>5063.5799999999908</v>
      </c>
      <c r="O1348" s="65"/>
      <c r="P1348" s="65"/>
      <c r="Q1348" s="66"/>
      <c r="R1348" s="66"/>
      <c r="S1348" s="142"/>
      <c r="T1348" s="143"/>
      <c r="U1348" s="144"/>
    </row>
    <row r="1349" spans="1:29" ht="15.6" x14ac:dyDescent="0.3">
      <c r="A1349" s="278">
        <v>43706</v>
      </c>
      <c r="B1349" s="217" t="s">
        <v>174</v>
      </c>
      <c r="C1349" s="44" t="s">
        <v>176</v>
      </c>
      <c r="D1349" s="44" t="s">
        <v>175</v>
      </c>
      <c r="E1349" s="61" t="s">
        <v>186</v>
      </c>
      <c r="F1349">
        <v>6952.45</v>
      </c>
      <c r="G1349">
        <v>6946.87</v>
      </c>
      <c r="H1349">
        <v>6962.61</v>
      </c>
      <c r="I1349">
        <v>6932.67</v>
      </c>
      <c r="J1349">
        <v>6848.04</v>
      </c>
      <c r="K1349">
        <v>6907.93</v>
      </c>
      <c r="L1349">
        <v>6916.56</v>
      </c>
      <c r="M1349">
        <v>6986.67</v>
      </c>
      <c r="N1349">
        <v>6984.62</v>
      </c>
      <c r="O1349" s="59">
        <f>IF((N1350=""),"",MAX(F1351:N1351))</f>
        <v>4017.2000000000007</v>
      </c>
      <c r="P1349" s="59">
        <f>IF(N1350="","",MIN(F1351:N1351))</f>
        <v>3641.880000000001</v>
      </c>
      <c r="Q1349" s="60">
        <f>IF((N1351=""),"",AVERAGE(F1351:N1351))</f>
        <v>3874.5311111111118</v>
      </c>
      <c r="R1349" s="60">
        <f>IF((N1350=""),"",(O1349-P1349)/(O1349+P1349)*100)</f>
        <v>4.9003274544723334</v>
      </c>
      <c r="S1349" s="131">
        <f>STDEV(F1351:N1351)</f>
        <v>137.71342131800773</v>
      </c>
      <c r="T1349" s="137" t="str">
        <f>IF(N1350="","",IF(Q1349&gt;3650,IF(R1349&lt;7,IF(Q1349&lt;4450,"Pass","Fail"),"Fail"),"Fail"))</f>
        <v>Pass</v>
      </c>
      <c r="U1349" s="149">
        <v>121</v>
      </c>
      <c r="V1349" s="11" t="s">
        <v>332</v>
      </c>
      <c r="X1349" s="116">
        <v>3650</v>
      </c>
      <c r="Y1349" s="116">
        <v>4450</v>
      </c>
      <c r="Z1349" s="116">
        <v>3700</v>
      </c>
      <c r="AA1349" s="116">
        <v>4100</v>
      </c>
      <c r="AB1349" s="31">
        <v>7</v>
      </c>
      <c r="AC1349" s="31">
        <v>6.5</v>
      </c>
    </row>
    <row r="1350" spans="1:29" ht="15.6" x14ac:dyDescent="0.3">
      <c r="A1350" s="212"/>
      <c r="B1350" s="24"/>
      <c r="C1350" s="6"/>
      <c r="D1350" s="6"/>
      <c r="E1350" s="61" t="s">
        <v>187</v>
      </c>
      <c r="F1350">
        <v>5105.32</v>
      </c>
      <c r="G1350">
        <v>4968.33</v>
      </c>
      <c r="H1350">
        <v>4957.57</v>
      </c>
      <c r="I1350">
        <v>4950.4799999999996</v>
      </c>
      <c r="J1350">
        <v>4947.88</v>
      </c>
      <c r="K1350">
        <v>5086.99</v>
      </c>
      <c r="L1350">
        <v>4944.41</v>
      </c>
      <c r="M1350">
        <v>4978.07</v>
      </c>
      <c r="N1350">
        <v>5063.9799999999996</v>
      </c>
      <c r="O1350" s="61"/>
      <c r="P1350" s="61"/>
      <c r="Q1350" s="62"/>
      <c r="R1350" s="62"/>
      <c r="S1350" s="139"/>
      <c r="T1350" s="8"/>
      <c r="U1350" s="146"/>
      <c r="X1350" s="118"/>
      <c r="Y1350" s="118"/>
      <c r="Z1350" s="118"/>
      <c r="AA1350" s="118"/>
    </row>
    <row r="1351" spans="1:29" ht="23.4" thickBot="1" x14ac:dyDescent="0.35">
      <c r="A1351" s="212"/>
      <c r="B1351" s="24"/>
      <c r="C1351" s="6"/>
      <c r="D1351" s="6"/>
      <c r="E1351" s="61" t="s">
        <v>188</v>
      </c>
      <c r="F1351" s="40">
        <f t="shared" ref="F1351:N1351" si="445">IF(((F1349="")*AND(F1350="")),"",(F1349-F1350)*2)</f>
        <v>3694.26</v>
      </c>
      <c r="G1351" s="40">
        <f t="shared" si="445"/>
        <v>3957.08</v>
      </c>
      <c r="H1351" s="40">
        <f t="shared" si="445"/>
        <v>4010.08</v>
      </c>
      <c r="I1351" s="40">
        <f t="shared" si="445"/>
        <v>3964.380000000001</v>
      </c>
      <c r="J1351" s="40">
        <f t="shared" si="445"/>
        <v>3800.3199999999997</v>
      </c>
      <c r="K1351" s="40">
        <f t="shared" si="445"/>
        <v>3641.880000000001</v>
      </c>
      <c r="L1351" s="40">
        <f t="shared" si="445"/>
        <v>3944.3000000000011</v>
      </c>
      <c r="M1351" s="40">
        <f t="shared" si="445"/>
        <v>4017.2000000000007</v>
      </c>
      <c r="N1351" s="40">
        <f t="shared" si="445"/>
        <v>3841.2800000000007</v>
      </c>
      <c r="O1351" s="61"/>
      <c r="P1351" s="61"/>
      <c r="Q1351" s="62"/>
      <c r="R1351" s="62"/>
      <c r="S1351" s="139"/>
      <c r="T1351" s="8"/>
      <c r="U1351" s="146"/>
      <c r="X1351" s="118"/>
      <c r="Y1351" s="118"/>
      <c r="Z1351" s="118"/>
      <c r="AA1351" s="118"/>
    </row>
    <row r="1352" spans="1:29" ht="15.6" x14ac:dyDescent="0.3">
      <c r="A1352" s="278">
        <v>43706</v>
      </c>
      <c r="B1352" s="215" t="s">
        <v>169</v>
      </c>
      <c r="C1352" s="6" t="s">
        <v>171</v>
      </c>
      <c r="D1352" s="6" t="s">
        <v>189</v>
      </c>
      <c r="E1352" s="61" t="s">
        <v>186</v>
      </c>
      <c r="F1352">
        <v>1946.09</v>
      </c>
      <c r="G1352">
        <v>1947.15</v>
      </c>
      <c r="H1352">
        <v>1937.14</v>
      </c>
      <c r="I1352">
        <v>1951.15</v>
      </c>
      <c r="J1352">
        <v>1952.68</v>
      </c>
      <c r="K1352">
        <v>1954.88</v>
      </c>
      <c r="L1352">
        <v>1946.95</v>
      </c>
      <c r="M1352">
        <v>1948.23</v>
      </c>
      <c r="N1352">
        <v>1951.63</v>
      </c>
      <c r="O1352" s="61">
        <f>IF((N1353=""),"",MAX(F1354:N1354))</f>
        <v>2123.0700000000002</v>
      </c>
      <c r="P1352" s="61">
        <f>IF(N1353="","",MIN(F1354:N1354))</f>
        <v>1991.7300000000002</v>
      </c>
      <c r="Q1352" s="62">
        <f>IF((N1354=""),"",AVERAGE(F1354:N1354))</f>
        <v>2058.1666666666665</v>
      </c>
      <c r="R1352" s="62">
        <f>IF((N1353=""),"",(O1352-P1352)/(O1352+P1352)*100)</f>
        <v>3.1918926800816547</v>
      </c>
      <c r="S1352" s="139">
        <f>STDEV(F1354:N1354)</f>
        <v>49.429713988652651</v>
      </c>
      <c r="T1352" s="5" t="str">
        <f>IF(N1353="","",IF(Q1352&gt;1940,IF(R1352&lt;8.3,IF(Q1352&lt;2180,"Pass","Fail"),"Fail"),"Fail"))</f>
        <v>Pass</v>
      </c>
      <c r="U1352" s="149">
        <v>121</v>
      </c>
      <c r="V1352" s="11" t="s">
        <v>332</v>
      </c>
      <c r="X1352" s="116">
        <v>2000</v>
      </c>
      <c r="Y1352" s="116">
        <v>3000</v>
      </c>
      <c r="Z1352" s="116">
        <v>1940</v>
      </c>
      <c r="AA1352" s="116">
        <v>2180</v>
      </c>
      <c r="AB1352" s="31">
        <v>5.2</v>
      </c>
      <c r="AC1352" s="31">
        <v>5.2</v>
      </c>
    </row>
    <row r="1353" spans="1:29" ht="15.6" x14ac:dyDescent="0.3">
      <c r="A1353" s="212"/>
      <c r="B1353" s="24"/>
      <c r="C1353" s="6"/>
      <c r="D1353" s="6"/>
      <c r="E1353" s="61" t="s">
        <v>187</v>
      </c>
      <c r="F1353">
        <v>1282.04</v>
      </c>
      <c r="G1353">
        <v>1251.29</v>
      </c>
      <c r="H1353">
        <v>1243.75</v>
      </c>
      <c r="I1353">
        <v>1247.96</v>
      </c>
      <c r="J1353">
        <v>1280.96</v>
      </c>
      <c r="K1353">
        <v>1290.97</v>
      </c>
      <c r="L1353">
        <v>1253.4100000000001</v>
      </c>
      <c r="M1353">
        <v>1240.54</v>
      </c>
      <c r="N1353">
        <v>1270.48</v>
      </c>
      <c r="O1353" s="61"/>
      <c r="P1353" s="61"/>
      <c r="Q1353" s="62"/>
      <c r="R1353" s="62"/>
      <c r="S1353" s="139"/>
      <c r="T1353" s="5"/>
      <c r="U1353" s="140"/>
      <c r="X1353" s="118"/>
      <c r="Y1353" s="118"/>
      <c r="Z1353" s="118"/>
      <c r="AA1353" s="118"/>
    </row>
    <row r="1354" spans="1:29" ht="16.2" thickBot="1" x14ac:dyDescent="0.35">
      <c r="A1354" s="212"/>
      <c r="B1354" s="24"/>
      <c r="C1354" s="6"/>
      <c r="D1354" s="6"/>
      <c r="E1354" s="61" t="s">
        <v>190</v>
      </c>
      <c r="F1354" s="40">
        <f t="shared" ref="F1354:N1354" si="446">IF(((F1352="")*AND(F1353="")),"",(F1352-F1353)*3)</f>
        <v>1992.1499999999999</v>
      </c>
      <c r="G1354" s="40">
        <f t="shared" si="446"/>
        <v>2087.5800000000004</v>
      </c>
      <c r="H1354" s="40">
        <f t="shared" si="446"/>
        <v>2080.17</v>
      </c>
      <c r="I1354" s="40">
        <f t="shared" si="446"/>
        <v>2109.5700000000002</v>
      </c>
      <c r="J1354" s="40">
        <f t="shared" si="446"/>
        <v>2015.16</v>
      </c>
      <c r="K1354" s="40">
        <f t="shared" si="446"/>
        <v>1991.7300000000002</v>
      </c>
      <c r="L1354" s="40">
        <f t="shared" si="446"/>
        <v>2080.62</v>
      </c>
      <c r="M1354" s="40">
        <f t="shared" si="446"/>
        <v>2123.0700000000002</v>
      </c>
      <c r="N1354" s="40">
        <f t="shared" si="446"/>
        <v>2043.4500000000003</v>
      </c>
      <c r="O1354" s="61"/>
      <c r="P1354" s="61"/>
      <c r="Q1354" s="62"/>
      <c r="R1354" s="62"/>
      <c r="S1354" s="139"/>
      <c r="T1354" s="5"/>
      <c r="U1354" s="140"/>
      <c r="X1354" s="118"/>
      <c r="Y1354" s="118"/>
      <c r="Z1354" s="118"/>
      <c r="AA1354" s="118"/>
    </row>
    <row r="1355" spans="1:29" ht="15.6" x14ac:dyDescent="0.3">
      <c r="A1355" s="278">
        <v>43706</v>
      </c>
      <c r="B1355" s="218" t="s">
        <v>185</v>
      </c>
      <c r="C1355" s="6" t="s">
        <v>173</v>
      </c>
      <c r="D1355" s="6" t="s">
        <v>172</v>
      </c>
      <c r="E1355" s="61" t="s">
        <v>186</v>
      </c>
      <c r="F1355">
        <v>26000.1</v>
      </c>
      <c r="G1355">
        <v>26153.21</v>
      </c>
      <c r="H1355">
        <v>26181.83</v>
      </c>
      <c r="I1355">
        <v>26127.06</v>
      </c>
      <c r="J1355">
        <v>25965.99</v>
      </c>
      <c r="K1355">
        <v>25945.24</v>
      </c>
      <c r="L1355">
        <v>26144.19</v>
      </c>
      <c r="M1355">
        <v>26132.12</v>
      </c>
      <c r="N1355">
        <v>25939.97</v>
      </c>
      <c r="O1355" s="61">
        <f>IF((N1356=""),"",MAX(F1357:N1357))</f>
        <v>4799.1600000000035</v>
      </c>
      <c r="P1355" s="61">
        <f>IF(N1356="","",MIN(F1357:N1357))</f>
        <v>4146.6600000000035</v>
      </c>
      <c r="Q1355" s="62">
        <f>IF((N1357=""),"",AVERAGE(F1357:N1357))</f>
        <v>4494.0000000000018</v>
      </c>
      <c r="R1355" s="62">
        <f>IF((N1356=""),"",(O1355-P1355)/(O1355+P1355)*100)</f>
        <v>7.29390933419183</v>
      </c>
      <c r="S1355" s="139">
        <f>STDEV(F1357:N1357)</f>
        <v>263.84914979965623</v>
      </c>
      <c r="T1355" s="5" t="str">
        <f>IF(N1356="","",IF(R1355&lt;16,IF(Q1355&gt;3200,IF(R1355,IF(Q1355&lt;5240,"Pass","Fail"),"Fail"),"Fail")))</f>
        <v>Pass</v>
      </c>
      <c r="U1355" s="149">
        <v>121</v>
      </c>
      <c r="V1355" s="11" t="s">
        <v>332</v>
      </c>
      <c r="X1355" s="116">
        <v>4200</v>
      </c>
      <c r="Y1355" s="116">
        <v>5500</v>
      </c>
      <c r="Z1355" s="116">
        <v>3200</v>
      </c>
      <c r="AA1355" s="116">
        <v>5240</v>
      </c>
      <c r="AB1355" s="31">
        <v>16</v>
      </c>
      <c r="AC1355" s="31">
        <v>16</v>
      </c>
    </row>
    <row r="1356" spans="1:29" ht="15.6" x14ac:dyDescent="0.3">
      <c r="A1356" s="212"/>
      <c r="B1356" s="24"/>
      <c r="C1356" s="6"/>
      <c r="D1356" s="6"/>
      <c r="E1356" s="61" t="s">
        <v>187</v>
      </c>
      <c r="F1356">
        <v>24423.73</v>
      </c>
      <c r="G1356">
        <v>24703.119999999999</v>
      </c>
      <c r="H1356">
        <v>24799.61</v>
      </c>
      <c r="I1356">
        <v>24697</v>
      </c>
      <c r="J1356">
        <v>24368.53</v>
      </c>
      <c r="K1356">
        <v>24345.52</v>
      </c>
      <c r="L1356">
        <v>24719.65</v>
      </c>
      <c r="M1356">
        <v>24690.13</v>
      </c>
      <c r="N1356">
        <v>24360.42</v>
      </c>
      <c r="O1356" s="127"/>
      <c r="P1356" s="61"/>
      <c r="Q1356" s="62"/>
      <c r="R1356" s="62"/>
      <c r="S1356" s="139"/>
      <c r="T1356" s="5"/>
      <c r="U1356" s="140"/>
    </row>
    <row r="1357" spans="1:29" ht="23.4" thickBot="1" x14ac:dyDescent="0.35">
      <c r="A1357" s="212"/>
      <c r="B1357" s="63"/>
      <c r="C1357" s="64"/>
      <c r="D1357" s="64"/>
      <c r="E1357" s="61" t="s">
        <v>188</v>
      </c>
      <c r="F1357" s="53">
        <f t="shared" ref="F1357:N1357" si="447">IF(((F1355="")*AND(F1356="")),"",(F1355-F1356)*3)</f>
        <v>4729.1099999999969</v>
      </c>
      <c r="G1357" s="53">
        <f t="shared" si="447"/>
        <v>4350.2700000000004</v>
      </c>
      <c r="H1357" s="53">
        <f t="shared" si="447"/>
        <v>4146.6600000000035</v>
      </c>
      <c r="I1357" s="53">
        <f t="shared" si="447"/>
        <v>4290.1800000000039</v>
      </c>
      <c r="J1357" s="53">
        <f t="shared" si="447"/>
        <v>4792.3800000000083</v>
      </c>
      <c r="K1357" s="53">
        <f t="shared" si="447"/>
        <v>4799.1600000000035</v>
      </c>
      <c r="L1357" s="53">
        <f t="shared" si="447"/>
        <v>4273.6199999999917</v>
      </c>
      <c r="M1357" s="53">
        <f t="shared" si="447"/>
        <v>4325.9699999999939</v>
      </c>
      <c r="N1357" s="53">
        <f t="shared" si="447"/>
        <v>4738.6500000000087</v>
      </c>
      <c r="O1357" s="65"/>
      <c r="P1357" s="65"/>
      <c r="Q1357" s="66"/>
      <c r="R1357" s="66"/>
      <c r="S1357" s="142"/>
      <c r="T1357" s="143"/>
      <c r="U1357" s="144"/>
    </row>
    <row r="1358" spans="1:29" ht="15.6" x14ac:dyDescent="0.3">
      <c r="A1358" s="278">
        <v>43709</v>
      </c>
      <c r="B1358" s="217" t="s">
        <v>174</v>
      </c>
      <c r="C1358" s="44" t="s">
        <v>176</v>
      </c>
      <c r="D1358" s="44" t="s">
        <v>175</v>
      </c>
      <c r="E1358" s="61" t="s">
        <v>186</v>
      </c>
      <c r="F1358">
        <v>5111.3599999999997</v>
      </c>
      <c r="G1358">
        <v>4974.5</v>
      </c>
      <c r="H1358">
        <v>4964.17</v>
      </c>
      <c r="I1358">
        <v>4956.95</v>
      </c>
      <c r="J1358">
        <v>4954.21</v>
      </c>
      <c r="K1358">
        <v>5093.07</v>
      </c>
      <c r="L1358">
        <v>4950.97</v>
      </c>
      <c r="M1358">
        <v>4984.3</v>
      </c>
      <c r="N1358">
        <v>5070.04</v>
      </c>
      <c r="O1358" s="59">
        <f>IF((N1359=""),"",MAX(F1360:N1360))</f>
        <v>4027.6200000000008</v>
      </c>
      <c r="P1358" s="59">
        <f>IF(N1359="","",MIN(F1360:N1360))</f>
        <v>3660.4599999999991</v>
      </c>
      <c r="Q1358" s="60">
        <f>IF((N1360=""),"",AVERAGE(F1360:N1360))</f>
        <v>3888.8933333333334</v>
      </c>
      <c r="R1358" s="60">
        <f>IF((N1359=""),"",(O1358-P1358)/(O1358+P1358)*100)</f>
        <v>4.7757047273181561</v>
      </c>
      <c r="S1358" s="131">
        <f>STDEV(F1360:N1360)</f>
        <v>135.68302694147172</v>
      </c>
      <c r="T1358" s="137" t="str">
        <f>IF(N1359="","",IF(Q1358&gt;3650,IF(R1358&lt;7,IF(Q1358&lt;4450,"Pass","Fail"),"Fail"),"Fail"))</f>
        <v>Pass</v>
      </c>
      <c r="U1358" s="149">
        <v>121</v>
      </c>
      <c r="V1358" s="11" t="s">
        <v>333</v>
      </c>
      <c r="X1358" s="116">
        <v>3650</v>
      </c>
      <c r="Y1358" s="116">
        <v>4450</v>
      </c>
      <c r="Z1358" s="116">
        <v>3700</v>
      </c>
      <c r="AA1358" s="116">
        <v>4100</v>
      </c>
      <c r="AB1358" s="31">
        <v>7</v>
      </c>
      <c r="AC1358" s="31">
        <v>6.5</v>
      </c>
    </row>
    <row r="1359" spans="1:29" ht="15.6" x14ac:dyDescent="0.3">
      <c r="A1359" s="212"/>
      <c r="B1359" s="24"/>
      <c r="C1359" s="6"/>
      <c r="D1359" s="6"/>
      <c r="E1359" s="61" t="s">
        <v>187</v>
      </c>
      <c r="F1359">
        <v>3258.51</v>
      </c>
      <c r="G1359">
        <v>2993.74</v>
      </c>
      <c r="H1359">
        <v>2952.28</v>
      </c>
      <c r="I1359">
        <v>2965.68</v>
      </c>
      <c r="J1359">
        <v>3038.32</v>
      </c>
      <c r="K1359">
        <v>3262.84</v>
      </c>
      <c r="L1359">
        <v>2971.08</v>
      </c>
      <c r="M1359">
        <v>2970.49</v>
      </c>
      <c r="N1359">
        <v>3146.61</v>
      </c>
      <c r="O1359" s="61"/>
      <c r="P1359" s="61"/>
      <c r="Q1359" s="62"/>
      <c r="R1359" s="62"/>
      <c r="S1359" s="139"/>
      <c r="T1359" s="8"/>
      <c r="U1359" s="146"/>
      <c r="X1359" s="118"/>
      <c r="Y1359" s="118"/>
      <c r="Z1359" s="118"/>
      <c r="AA1359" s="118"/>
    </row>
    <row r="1360" spans="1:29" ht="23.4" thickBot="1" x14ac:dyDescent="0.35">
      <c r="A1360" s="212"/>
      <c r="B1360" s="24"/>
      <c r="C1360" s="6"/>
      <c r="D1360" s="6"/>
      <c r="E1360" s="61" t="s">
        <v>188</v>
      </c>
      <c r="F1360" s="40">
        <f t="shared" ref="F1360:N1360" si="448">IF(((F1358="")*AND(F1359="")),"",(F1358-F1359)*2)</f>
        <v>3705.6999999999989</v>
      </c>
      <c r="G1360" s="40">
        <f t="shared" si="448"/>
        <v>3961.5200000000004</v>
      </c>
      <c r="H1360" s="40">
        <f t="shared" si="448"/>
        <v>4023.7799999999997</v>
      </c>
      <c r="I1360" s="40">
        <f t="shared" si="448"/>
        <v>3982.54</v>
      </c>
      <c r="J1360" s="40">
        <f t="shared" si="448"/>
        <v>3831.7799999999997</v>
      </c>
      <c r="K1360" s="40">
        <f t="shared" si="448"/>
        <v>3660.4599999999991</v>
      </c>
      <c r="L1360" s="40">
        <f t="shared" si="448"/>
        <v>3959.7800000000007</v>
      </c>
      <c r="M1360" s="40">
        <f t="shared" si="448"/>
        <v>4027.6200000000008</v>
      </c>
      <c r="N1360" s="40">
        <f t="shared" si="448"/>
        <v>3846.8599999999997</v>
      </c>
      <c r="O1360" s="61"/>
      <c r="P1360" s="61"/>
      <c r="Q1360" s="62"/>
      <c r="R1360" s="62"/>
      <c r="S1360" s="139"/>
      <c r="T1360" s="8"/>
      <c r="U1360" s="146"/>
      <c r="X1360" s="118"/>
      <c r="Y1360" s="118"/>
      <c r="Z1360" s="118"/>
      <c r="AA1360" s="118"/>
    </row>
    <row r="1361" spans="1:29" ht="15.6" x14ac:dyDescent="0.3">
      <c r="A1361" s="278">
        <v>43709</v>
      </c>
      <c r="B1361" s="215" t="s">
        <v>169</v>
      </c>
      <c r="C1361" s="6" t="s">
        <v>171</v>
      </c>
      <c r="D1361" s="6" t="s">
        <v>189</v>
      </c>
      <c r="E1361" s="61" t="s">
        <v>186</v>
      </c>
      <c r="F1361">
        <v>1282.6199999999999</v>
      </c>
      <c r="G1361">
        <v>1252.28</v>
      </c>
      <c r="H1361">
        <v>1238.99</v>
      </c>
      <c r="I1361">
        <v>1249.93</v>
      </c>
      <c r="J1361">
        <v>1281.04</v>
      </c>
      <c r="K1361">
        <v>1296.17</v>
      </c>
      <c r="L1361">
        <v>1256.6400000000001</v>
      </c>
      <c r="M1361">
        <v>1243.8399999999999</v>
      </c>
      <c r="N1361">
        <v>1266.71</v>
      </c>
      <c r="O1361" s="61">
        <f>IF((N1362=""),"",MAX(F1363:N1363))</f>
        <v>2073.7199999999998</v>
      </c>
      <c r="P1361" s="61">
        <f>IF(N1362="","",MIN(F1363:N1363))</f>
        <v>1955.91</v>
      </c>
      <c r="Q1361" s="62">
        <f>IF((N1363=""),"",AVERAGE(F1363:N1363))</f>
        <v>2020.6866666666667</v>
      </c>
      <c r="R1361" s="62">
        <f>IF((N1362=""),"",(O1361-P1361)/(O1361+P1361)*100)</f>
        <v>2.923593481287357</v>
      </c>
      <c r="S1361" s="139">
        <f>STDEV(F1363:N1363)</f>
        <v>46.239992701123988</v>
      </c>
      <c r="T1361" s="5" t="str">
        <f>IF(N1362="","",IF(Q1361&gt;1940,IF(R1361&lt;8.3,IF(Q1361&lt;2180,"Pass","Fail"),"Fail"),"Fail"))</f>
        <v>Pass</v>
      </c>
      <c r="U1361" s="149">
        <v>121</v>
      </c>
      <c r="V1361" s="11" t="s">
        <v>333</v>
      </c>
      <c r="X1361" s="116">
        <v>2000</v>
      </c>
      <c r="Y1361" s="116">
        <v>3000</v>
      </c>
      <c r="Z1361" s="116">
        <v>1940</v>
      </c>
      <c r="AA1361" s="116">
        <v>2180</v>
      </c>
      <c r="AB1361" s="31">
        <v>5.2</v>
      </c>
      <c r="AC1361" s="31">
        <v>5.2</v>
      </c>
    </row>
    <row r="1362" spans="1:29" ht="15.6" x14ac:dyDescent="0.3">
      <c r="A1362" s="212"/>
      <c r="B1362" s="24"/>
      <c r="C1362" s="6"/>
      <c r="D1362" s="6"/>
      <c r="E1362" s="61" t="s">
        <v>187</v>
      </c>
      <c r="F1362">
        <v>620.04999999999995</v>
      </c>
      <c r="G1362">
        <v>566.30999999999995</v>
      </c>
      <c r="H1362">
        <v>550.41999999999996</v>
      </c>
      <c r="I1362">
        <v>566.89</v>
      </c>
      <c r="J1362">
        <v>628.28</v>
      </c>
      <c r="K1362">
        <v>644.20000000000005</v>
      </c>
      <c r="L1362">
        <v>576.65</v>
      </c>
      <c r="M1362">
        <v>552.6</v>
      </c>
      <c r="N1362">
        <v>600.76</v>
      </c>
      <c r="O1362" s="61"/>
      <c r="P1362" s="61"/>
      <c r="Q1362" s="62"/>
      <c r="R1362" s="62"/>
      <c r="S1362" s="139"/>
      <c r="T1362" s="5"/>
      <c r="U1362" s="140"/>
      <c r="X1362" s="118"/>
      <c r="Y1362" s="118"/>
      <c r="Z1362" s="118"/>
      <c r="AA1362" s="118"/>
    </row>
    <row r="1363" spans="1:29" ht="16.2" thickBot="1" x14ac:dyDescent="0.35">
      <c r="A1363" s="212"/>
      <c r="B1363" s="24"/>
      <c r="C1363" s="6"/>
      <c r="D1363" s="6"/>
      <c r="E1363" s="61" t="s">
        <v>190</v>
      </c>
      <c r="F1363" s="40">
        <f t="shared" ref="F1363:N1363" si="449">IF(((F1361="")*AND(F1362="")),"",(F1361-F1362)*3)</f>
        <v>1987.7099999999998</v>
      </c>
      <c r="G1363" s="40">
        <f t="shared" si="449"/>
        <v>2057.91</v>
      </c>
      <c r="H1363" s="40">
        <f t="shared" si="449"/>
        <v>2065.71</v>
      </c>
      <c r="I1363" s="40">
        <f t="shared" si="449"/>
        <v>2049.1200000000003</v>
      </c>
      <c r="J1363" s="40">
        <f t="shared" si="449"/>
        <v>1958.28</v>
      </c>
      <c r="K1363" s="40">
        <f t="shared" si="449"/>
        <v>1955.91</v>
      </c>
      <c r="L1363" s="40">
        <f t="shared" si="449"/>
        <v>2039.9700000000003</v>
      </c>
      <c r="M1363" s="40">
        <f t="shared" si="449"/>
        <v>2073.7199999999998</v>
      </c>
      <c r="N1363" s="40">
        <f t="shared" si="449"/>
        <v>1997.8500000000001</v>
      </c>
      <c r="O1363" s="61"/>
      <c r="P1363" s="61"/>
      <c r="Q1363" s="62"/>
      <c r="R1363" s="62"/>
      <c r="S1363" s="139"/>
      <c r="T1363" s="5"/>
      <c r="U1363" s="140"/>
      <c r="X1363" s="118"/>
      <c r="Y1363" s="118"/>
      <c r="Z1363" s="118"/>
      <c r="AA1363" s="118"/>
    </row>
    <row r="1364" spans="1:29" ht="15.6" x14ac:dyDescent="0.3">
      <c r="A1364" s="278">
        <v>43709</v>
      </c>
      <c r="B1364" s="218" t="s">
        <v>185</v>
      </c>
      <c r="C1364" s="6" t="s">
        <v>173</v>
      </c>
      <c r="D1364" s="6" t="s">
        <v>172</v>
      </c>
      <c r="E1364" s="61" t="s">
        <v>186</v>
      </c>
      <c r="F1364">
        <v>24375.57</v>
      </c>
      <c r="G1364">
        <v>24668.14</v>
      </c>
      <c r="H1364">
        <v>24755.87</v>
      </c>
      <c r="I1364">
        <v>24654.05</v>
      </c>
      <c r="J1364">
        <v>24326.63</v>
      </c>
      <c r="K1364">
        <v>24288.38</v>
      </c>
      <c r="L1364">
        <v>24661.51</v>
      </c>
      <c r="M1364">
        <v>24657.07</v>
      </c>
      <c r="N1364">
        <v>24296.86</v>
      </c>
      <c r="O1364" s="61">
        <f>IF((N1365=""),"",MAX(F1366:N1366))</f>
        <v>4991.9399999999987</v>
      </c>
      <c r="P1364" s="61">
        <f>IF(N1365="","",MIN(F1366:N1366))</f>
        <v>4339.7399999999943</v>
      </c>
      <c r="Q1364" s="62">
        <f>IF((N1366=""),"",AVERAGE(F1366:N1366))</f>
        <v>4632.373333333333</v>
      </c>
      <c r="R1364" s="62">
        <f>IF((N1365=""),"",(O1364-P1364)/(O1364+P1364)*100)</f>
        <v>6.9890952111517413</v>
      </c>
      <c r="S1364" s="139">
        <f>STDEV(F1366:N1366)</f>
        <v>269.01292157627137</v>
      </c>
      <c r="T1364" s="5" t="str">
        <f>IF(N1365="","",IF(R1364&lt;16,IF(Q1364&gt;3200,IF(R1364,IF(Q1364&lt;5240,"Pass","Fail"),"Fail"),"Fail")))</f>
        <v>Pass</v>
      </c>
      <c r="U1364" s="149">
        <v>121</v>
      </c>
      <c r="V1364" s="11" t="s">
        <v>333</v>
      </c>
      <c r="X1364" s="116">
        <v>4200</v>
      </c>
      <c r="Y1364" s="116">
        <v>5500</v>
      </c>
      <c r="Z1364" s="116">
        <v>3200</v>
      </c>
      <c r="AA1364" s="116">
        <v>5240</v>
      </c>
      <c r="AB1364" s="31">
        <v>16</v>
      </c>
      <c r="AC1364" s="31">
        <v>16</v>
      </c>
    </row>
    <row r="1365" spans="1:29" ht="15.6" x14ac:dyDescent="0.3">
      <c r="A1365" s="212"/>
      <c r="B1365" s="24"/>
      <c r="C1365" s="6"/>
      <c r="D1365" s="6"/>
      <c r="E1365" s="61" t="s">
        <v>187</v>
      </c>
      <c r="F1365">
        <v>22753.919999999998</v>
      </c>
      <c r="G1365">
        <v>23198.54</v>
      </c>
      <c r="H1365">
        <v>23309.29</v>
      </c>
      <c r="I1365">
        <v>23170.51</v>
      </c>
      <c r="J1365">
        <v>22662.65</v>
      </c>
      <c r="K1365">
        <v>22690.78</v>
      </c>
      <c r="L1365">
        <v>23195.03</v>
      </c>
      <c r="M1365">
        <v>23168.54</v>
      </c>
      <c r="N1365">
        <v>22637.7</v>
      </c>
      <c r="O1365" s="127"/>
      <c r="P1365" s="61"/>
      <c r="Q1365" s="62"/>
      <c r="R1365" s="62"/>
      <c r="S1365" s="139"/>
      <c r="T1365" s="5"/>
      <c r="U1365" s="140"/>
    </row>
    <row r="1366" spans="1:29" ht="23.4" thickBot="1" x14ac:dyDescent="0.35">
      <c r="A1366" s="212"/>
      <c r="B1366" s="63"/>
      <c r="C1366" s="64"/>
      <c r="D1366" s="64"/>
      <c r="E1366" s="61" t="s">
        <v>188</v>
      </c>
      <c r="F1366" s="53">
        <f t="shared" ref="F1366:N1366" si="450">IF(((F1364="")*AND(F1365="")),"",(F1364-F1365)*3)</f>
        <v>4864.9500000000044</v>
      </c>
      <c r="G1366" s="53">
        <f t="shared" si="450"/>
        <v>4408.7999999999956</v>
      </c>
      <c r="H1366" s="53">
        <f t="shared" si="450"/>
        <v>4339.7399999999943</v>
      </c>
      <c r="I1366" s="53">
        <f t="shared" si="450"/>
        <v>4450.6200000000026</v>
      </c>
      <c r="J1366" s="53">
        <f t="shared" si="450"/>
        <v>4991.9399999999987</v>
      </c>
      <c r="K1366" s="53">
        <f t="shared" si="450"/>
        <v>4792.8000000000065</v>
      </c>
      <c r="L1366" s="53">
        <f t="shared" si="450"/>
        <v>4399.4399999999987</v>
      </c>
      <c r="M1366" s="53">
        <f t="shared" si="450"/>
        <v>4465.5899999999965</v>
      </c>
      <c r="N1366" s="53">
        <f t="shared" si="450"/>
        <v>4977.4799999999996</v>
      </c>
      <c r="O1366" s="65"/>
      <c r="P1366" s="65"/>
      <c r="Q1366" s="66"/>
      <c r="R1366" s="66"/>
      <c r="S1366" s="142"/>
      <c r="T1366" s="143"/>
      <c r="U1366" s="144"/>
    </row>
    <row r="1367" spans="1:29" ht="15.6" x14ac:dyDescent="0.3">
      <c r="A1367" s="278">
        <v>43710</v>
      </c>
      <c r="B1367" s="217" t="s">
        <v>174</v>
      </c>
      <c r="C1367" s="44" t="s">
        <v>176</v>
      </c>
      <c r="D1367" s="44" t="s">
        <v>175</v>
      </c>
      <c r="E1367" s="61" t="s">
        <v>186</v>
      </c>
      <c r="F1367">
        <v>3264.32</v>
      </c>
      <c r="G1367">
        <v>2997.38</v>
      </c>
      <c r="H1367">
        <v>2955.49</v>
      </c>
      <c r="I1367">
        <v>2968.86</v>
      </c>
      <c r="J1367">
        <v>3041.63</v>
      </c>
      <c r="K1367">
        <v>3267.56</v>
      </c>
      <c r="L1367">
        <v>2974.39</v>
      </c>
      <c r="M1367">
        <v>2973.94</v>
      </c>
      <c r="N1367">
        <v>3151.86</v>
      </c>
      <c r="O1367" s="59">
        <f>IF((N1368=""),"",MAX(F1369:N1369))</f>
        <v>4016.0600000000004</v>
      </c>
      <c r="P1367" s="59">
        <f>IF(N1368="","",MIN(F1369:N1369))</f>
        <v>3658.44</v>
      </c>
      <c r="Q1367" s="60">
        <f>IF((N1369=""),"",AVERAGE(F1369:N1369))</f>
        <v>3869.4755555555553</v>
      </c>
      <c r="R1367" s="60">
        <f>IF((N1368=""),"",(O1367-P1367)/(O1367+P1367)*100)</f>
        <v>4.6598475470714753</v>
      </c>
      <c r="S1367" s="131">
        <f>STDEV(F1369:N1369)</f>
        <v>127.83734383104859</v>
      </c>
      <c r="T1367" s="137" t="str">
        <f>IF(N1368="","",IF(Q1367&gt;3650,IF(R1367&lt;7,IF(Q1367&lt;4450,"Pass","Fail"),"Fail"),"Fail"))</f>
        <v>Pass</v>
      </c>
      <c r="U1367" s="149">
        <v>1335</v>
      </c>
      <c r="X1367" s="116">
        <v>3650</v>
      </c>
      <c r="Y1367" s="116">
        <v>4450</v>
      </c>
      <c r="Z1367" s="116">
        <v>3700</v>
      </c>
      <c r="AA1367" s="116">
        <v>4100</v>
      </c>
      <c r="AB1367" s="31">
        <v>7</v>
      </c>
      <c r="AC1367" s="31">
        <v>6.5</v>
      </c>
    </row>
    <row r="1368" spans="1:29" ht="15.6" x14ac:dyDescent="0.3">
      <c r="A1368" s="212"/>
      <c r="B1368" s="24"/>
      <c r="C1368" s="6"/>
      <c r="D1368" s="6"/>
      <c r="E1368" s="61" t="s">
        <v>187</v>
      </c>
      <c r="F1368">
        <v>1415.62</v>
      </c>
      <c r="G1368">
        <v>1034.43</v>
      </c>
      <c r="H1368">
        <v>956.34</v>
      </c>
      <c r="I1368">
        <v>991.61</v>
      </c>
      <c r="J1368">
        <v>1140.47</v>
      </c>
      <c r="K1368">
        <v>1438.34</v>
      </c>
      <c r="L1368">
        <v>1011.84</v>
      </c>
      <c r="M1368">
        <v>965.91</v>
      </c>
      <c r="N1368">
        <v>1228.23</v>
      </c>
      <c r="O1368" s="61"/>
      <c r="P1368" s="61"/>
      <c r="Q1368" s="62"/>
      <c r="R1368" s="62"/>
      <c r="S1368" s="139"/>
      <c r="T1368" s="8"/>
      <c r="U1368" s="146"/>
      <c r="X1368" s="118"/>
      <c r="Y1368" s="118"/>
      <c r="Z1368" s="118"/>
      <c r="AA1368" s="118"/>
    </row>
    <row r="1369" spans="1:29" ht="23.4" thickBot="1" x14ac:dyDescent="0.35">
      <c r="A1369" s="212"/>
      <c r="B1369" s="24"/>
      <c r="C1369" s="6"/>
      <c r="D1369" s="6"/>
      <c r="E1369" s="61" t="s">
        <v>188</v>
      </c>
      <c r="F1369" s="40">
        <f t="shared" ref="F1369:N1369" si="451">IF(((F1367="")*AND(F1368="")),"",(F1367-F1368)*2)</f>
        <v>3697.4000000000005</v>
      </c>
      <c r="G1369" s="40">
        <f t="shared" si="451"/>
        <v>3925.9</v>
      </c>
      <c r="H1369" s="40">
        <f t="shared" si="451"/>
        <v>3998.2999999999993</v>
      </c>
      <c r="I1369" s="40">
        <f t="shared" si="451"/>
        <v>3954.5</v>
      </c>
      <c r="J1369" s="40">
        <f t="shared" si="451"/>
        <v>3802.32</v>
      </c>
      <c r="K1369" s="40">
        <f t="shared" si="451"/>
        <v>3658.44</v>
      </c>
      <c r="L1369" s="40">
        <f t="shared" si="451"/>
        <v>3925.0999999999995</v>
      </c>
      <c r="M1369" s="40">
        <f t="shared" si="451"/>
        <v>4016.0600000000004</v>
      </c>
      <c r="N1369" s="40">
        <f t="shared" si="451"/>
        <v>3847.26</v>
      </c>
      <c r="O1369" s="61"/>
      <c r="P1369" s="61"/>
      <c r="Q1369" s="62"/>
      <c r="R1369" s="62"/>
      <c r="S1369" s="139"/>
      <c r="T1369" s="8"/>
      <c r="U1369" s="146"/>
      <c r="X1369" s="118"/>
      <c r="Y1369" s="118"/>
      <c r="Z1369" s="118"/>
      <c r="AA1369" s="118"/>
    </row>
    <row r="1370" spans="1:29" ht="15.6" x14ac:dyDescent="0.3">
      <c r="A1370" s="278">
        <v>43710</v>
      </c>
      <c r="B1370" s="215" t="s">
        <v>169</v>
      </c>
      <c r="C1370" s="6" t="s">
        <v>171</v>
      </c>
      <c r="D1370" s="6" t="s">
        <v>189</v>
      </c>
      <c r="E1370" s="61" t="s">
        <v>186</v>
      </c>
      <c r="F1370">
        <v>1960.73</v>
      </c>
      <c r="G1370">
        <v>1952.79</v>
      </c>
      <c r="H1370">
        <v>1958.44</v>
      </c>
      <c r="I1370">
        <v>1955.19</v>
      </c>
      <c r="J1370">
        <v>1964.12</v>
      </c>
      <c r="K1370">
        <v>1963.99</v>
      </c>
      <c r="L1370">
        <v>1958.55</v>
      </c>
      <c r="M1370">
        <v>1953.05</v>
      </c>
      <c r="N1370">
        <v>1963.5</v>
      </c>
      <c r="O1370" s="61">
        <f>IF((N1371=""),"",MAX(F1372:N1372))</f>
        <v>2132.0700000000002</v>
      </c>
      <c r="P1370" s="61">
        <f>IF(N1371="","",MIN(F1372:N1372))</f>
        <v>2013.9299999999998</v>
      </c>
      <c r="Q1370" s="62">
        <f>IF((N1372=""),"",AVERAGE(F1372:N1372))</f>
        <v>2087.5766666666668</v>
      </c>
      <c r="R1370" s="62">
        <f>IF((N1371=""),"",(O1370-P1370)/(O1370+P1370)*100)</f>
        <v>2.8494934876989948</v>
      </c>
      <c r="S1370" s="139">
        <f>STDEV(F1372:N1372)</f>
        <v>40.046265119234249</v>
      </c>
      <c r="T1370" s="5" t="str">
        <f>IF(N1371="","",IF(Q1370&gt;1940,IF(R1370&lt;8.3,IF(Q1370&lt;2180,"Pass","Fail"),"Fail"),"Fail"))</f>
        <v>Pass</v>
      </c>
      <c r="U1370" s="149">
        <v>1335</v>
      </c>
      <c r="X1370" s="116">
        <v>2000</v>
      </c>
      <c r="Y1370" s="116">
        <v>3000</v>
      </c>
      <c r="Z1370" s="116">
        <v>1940</v>
      </c>
      <c r="AA1370" s="116">
        <v>2180</v>
      </c>
      <c r="AB1370" s="31">
        <v>5.2</v>
      </c>
      <c r="AC1370" s="31">
        <v>5.2</v>
      </c>
    </row>
    <row r="1371" spans="1:29" ht="15.6" x14ac:dyDescent="0.3">
      <c r="A1371" s="212"/>
      <c r="B1371" s="24"/>
      <c r="C1371" s="6"/>
      <c r="D1371" s="6"/>
      <c r="E1371" s="61" t="s">
        <v>187</v>
      </c>
      <c r="F1371">
        <v>1276.3</v>
      </c>
      <c r="G1371">
        <v>1248.2</v>
      </c>
      <c r="H1371">
        <v>1247.75</v>
      </c>
      <c r="I1371">
        <v>1251.6500000000001</v>
      </c>
      <c r="J1371">
        <v>1281.1199999999999</v>
      </c>
      <c r="K1371">
        <v>1292.68</v>
      </c>
      <c r="L1371">
        <v>1253.97</v>
      </c>
      <c r="M1371">
        <v>1247.45</v>
      </c>
      <c r="N1371">
        <v>1268.51</v>
      </c>
      <c r="O1371" s="61"/>
      <c r="P1371" s="61"/>
      <c r="Q1371" s="62"/>
      <c r="R1371" s="62"/>
      <c r="S1371" s="139"/>
      <c r="T1371" s="5"/>
      <c r="U1371" s="140"/>
      <c r="X1371" s="118"/>
      <c r="Y1371" s="118"/>
      <c r="Z1371" s="118"/>
      <c r="AA1371" s="118"/>
    </row>
    <row r="1372" spans="1:29" ht="16.2" thickBot="1" x14ac:dyDescent="0.35">
      <c r="A1372" s="212"/>
      <c r="B1372" s="24"/>
      <c r="C1372" s="6"/>
      <c r="D1372" s="6"/>
      <c r="E1372" s="61" t="s">
        <v>190</v>
      </c>
      <c r="F1372" s="40">
        <f t="shared" ref="F1372:N1372" si="452">IF(((F1370="")*AND(F1371="")),"",(F1370-F1371)*3)</f>
        <v>2053.29</v>
      </c>
      <c r="G1372" s="40">
        <f t="shared" si="452"/>
        <v>2113.7699999999995</v>
      </c>
      <c r="H1372" s="40">
        <f t="shared" si="452"/>
        <v>2132.0700000000002</v>
      </c>
      <c r="I1372" s="40">
        <f t="shared" si="452"/>
        <v>2110.62</v>
      </c>
      <c r="J1372" s="40">
        <f t="shared" si="452"/>
        <v>2049</v>
      </c>
      <c r="K1372" s="40">
        <f t="shared" si="452"/>
        <v>2013.9299999999998</v>
      </c>
      <c r="L1372" s="40">
        <f t="shared" si="452"/>
        <v>2113.7399999999998</v>
      </c>
      <c r="M1372" s="40">
        <f t="shared" si="452"/>
        <v>2116.7999999999997</v>
      </c>
      <c r="N1372" s="40">
        <f t="shared" si="452"/>
        <v>2084.9700000000003</v>
      </c>
      <c r="O1372" s="61"/>
      <c r="P1372" s="61"/>
      <c r="Q1372" s="62"/>
      <c r="R1372" s="62"/>
      <c r="S1372" s="139"/>
      <c r="T1372" s="5"/>
      <c r="U1372" s="140"/>
      <c r="X1372" s="118"/>
      <c r="Y1372" s="118"/>
      <c r="Z1372" s="118"/>
      <c r="AA1372" s="118"/>
    </row>
    <row r="1373" spans="1:29" ht="15.6" x14ac:dyDescent="0.3">
      <c r="A1373" s="278">
        <v>43710</v>
      </c>
      <c r="B1373" s="218" t="s">
        <v>185</v>
      </c>
      <c r="C1373" s="6" t="s">
        <v>173</v>
      </c>
      <c r="D1373" s="6" t="s">
        <v>172</v>
      </c>
      <c r="E1373" s="61" t="s">
        <v>186</v>
      </c>
      <c r="F1373">
        <v>22730.45</v>
      </c>
      <c r="G1373">
        <v>23181.49</v>
      </c>
      <c r="H1373">
        <v>23279.84</v>
      </c>
      <c r="I1373">
        <v>23145</v>
      </c>
      <c r="J1373">
        <v>22641.95</v>
      </c>
      <c r="K1373">
        <v>22655.31</v>
      </c>
      <c r="L1373">
        <v>23184.13</v>
      </c>
      <c r="M1373">
        <v>23134.880000000001</v>
      </c>
      <c r="N1373">
        <v>22617.57</v>
      </c>
      <c r="O1373" s="61">
        <f>IF((N1374=""),"",MAX(F1375:N1375))</f>
        <v>4841.1299999999974</v>
      </c>
      <c r="P1373" s="61">
        <f>IF(N1374="","",MIN(F1375:N1375))</f>
        <v>4169.5200000000004</v>
      </c>
      <c r="Q1373" s="62">
        <f>IF((N1375=""),"",AVERAGE(F1375:N1375))</f>
        <v>4487.8700000000008</v>
      </c>
      <c r="R1373" s="62">
        <f>IF((N1374=""),"",(O1373-P1373)/(O1373+P1373)*100)</f>
        <v>7.4535133425446238</v>
      </c>
      <c r="S1373" s="139">
        <f>STDEV(F1375:N1375)</f>
        <v>253.12003728468358</v>
      </c>
      <c r="T1373" s="5" t="str">
        <f>IF(N1374="","",IF(R1373&lt;16,IF(Q1373&gt;3200,IF(R1373,IF(Q1373&lt;5240,"Pass","Fail"),"Fail"),"Fail")))</f>
        <v>Pass</v>
      </c>
      <c r="U1373" s="149">
        <v>1335</v>
      </c>
      <c r="X1373" s="116">
        <v>4200</v>
      </c>
      <c r="Y1373" s="116">
        <v>5500</v>
      </c>
      <c r="Z1373" s="116">
        <v>3200</v>
      </c>
      <c r="AA1373" s="116">
        <v>5240</v>
      </c>
      <c r="AB1373" s="31">
        <v>16</v>
      </c>
      <c r="AC1373" s="31">
        <v>16</v>
      </c>
    </row>
    <row r="1374" spans="1:29" ht="15.6" x14ac:dyDescent="0.3">
      <c r="A1374" s="212"/>
      <c r="B1374" s="24"/>
      <c r="C1374" s="6"/>
      <c r="D1374" s="6"/>
      <c r="E1374" s="61" t="s">
        <v>187</v>
      </c>
      <c r="F1374">
        <v>21154.07</v>
      </c>
      <c r="G1374">
        <v>21741.05</v>
      </c>
      <c r="H1374">
        <v>21890</v>
      </c>
      <c r="I1374">
        <v>21717.43</v>
      </c>
      <c r="J1374">
        <v>21074.29</v>
      </c>
      <c r="K1374">
        <v>21083.77</v>
      </c>
      <c r="L1374">
        <v>21752.21</v>
      </c>
      <c r="M1374">
        <v>21690.33</v>
      </c>
      <c r="N1374">
        <v>21003.86</v>
      </c>
      <c r="O1374" s="127"/>
      <c r="P1374" s="61"/>
      <c r="Q1374" s="62"/>
      <c r="R1374" s="62"/>
      <c r="S1374" s="139"/>
      <c r="T1374" s="5"/>
      <c r="U1374" s="140"/>
    </row>
    <row r="1375" spans="1:29" ht="23.4" thickBot="1" x14ac:dyDescent="0.35">
      <c r="A1375" s="212"/>
      <c r="B1375" s="63"/>
      <c r="C1375" s="64"/>
      <c r="D1375" s="64"/>
      <c r="E1375" s="61" t="s">
        <v>188</v>
      </c>
      <c r="F1375" s="53">
        <f t="shared" ref="F1375:N1375" si="453">IF(((F1373="")*AND(F1374="")),"",(F1373-F1374)*3)</f>
        <v>4729.1400000000031</v>
      </c>
      <c r="G1375" s="53">
        <f t="shared" si="453"/>
        <v>4321.320000000007</v>
      </c>
      <c r="H1375" s="53">
        <f t="shared" si="453"/>
        <v>4169.5200000000004</v>
      </c>
      <c r="I1375" s="53">
        <f t="shared" si="453"/>
        <v>4282.7099999999991</v>
      </c>
      <c r="J1375" s="53">
        <f t="shared" si="453"/>
        <v>4702.9799999999996</v>
      </c>
      <c r="K1375" s="53">
        <f t="shared" si="453"/>
        <v>4714.6200000000026</v>
      </c>
      <c r="L1375" s="53">
        <f t="shared" si="453"/>
        <v>4295.7600000000057</v>
      </c>
      <c r="M1375" s="53">
        <f t="shared" si="453"/>
        <v>4333.6499999999978</v>
      </c>
      <c r="N1375" s="53">
        <f t="shared" si="453"/>
        <v>4841.1299999999974</v>
      </c>
      <c r="O1375" s="65"/>
      <c r="P1375" s="65"/>
      <c r="Q1375" s="66"/>
      <c r="R1375" s="66"/>
      <c r="S1375" s="142"/>
      <c r="T1375" s="143"/>
      <c r="U1375" s="144"/>
    </row>
    <row r="1376" spans="1:29" ht="15.6" x14ac:dyDescent="0.3">
      <c r="A1376" s="278">
        <v>43713</v>
      </c>
      <c r="B1376" s="217" t="s">
        <v>174</v>
      </c>
      <c r="C1376" s="44" t="s">
        <v>176</v>
      </c>
      <c r="D1376" s="44" t="s">
        <v>175</v>
      </c>
      <c r="E1376" s="61" t="s">
        <v>186</v>
      </c>
      <c r="F1376">
        <v>6980.18</v>
      </c>
      <c r="G1376">
        <v>6964.05</v>
      </c>
      <c r="H1376">
        <v>6969.15</v>
      </c>
      <c r="I1376">
        <v>6941.75</v>
      </c>
      <c r="J1376">
        <v>6882.37</v>
      </c>
      <c r="K1376">
        <v>6882.37</v>
      </c>
      <c r="L1376">
        <v>6940.13</v>
      </c>
      <c r="M1376">
        <v>6983.44</v>
      </c>
      <c r="N1376">
        <v>6999.98</v>
      </c>
      <c r="O1376" s="59">
        <f>IF((N1377=""),"",MAX(F1378:N1378))</f>
        <v>4080.4399999999987</v>
      </c>
      <c r="P1376" s="59">
        <f>IF(N1377="","",MIN(F1378:N1378))</f>
        <v>3574.2800000000007</v>
      </c>
      <c r="Q1376" s="60">
        <f>IF((N1378=""),"",AVERAGE(F1378:N1378))</f>
        <v>3926.0133333333329</v>
      </c>
      <c r="R1376" s="60">
        <f>IF((N1377=""),"",(O1376-P1376)/(O1376+P1376)*100)</f>
        <v>6.6123907863383389</v>
      </c>
      <c r="S1376" s="131">
        <f>STDEV(F1378:N1378)</f>
        <v>165.90702426359124</v>
      </c>
      <c r="T1376" s="137" t="str">
        <f>IF(N1377="","",IF(Q1376&gt;3650,IF(R1376&lt;7,IF(Q1376&lt;4450,"Pass","Fail"),"Fail"),"Fail"))</f>
        <v>Pass</v>
      </c>
      <c r="U1376" s="149">
        <v>1428</v>
      </c>
      <c r="V1376" s="11" t="s">
        <v>335</v>
      </c>
      <c r="X1376" s="116">
        <v>3650</v>
      </c>
      <c r="Y1376" s="116">
        <v>4450</v>
      </c>
      <c r="Z1376" s="116">
        <v>3700</v>
      </c>
      <c r="AA1376" s="116">
        <v>4100</v>
      </c>
      <c r="AB1376" s="31">
        <v>7</v>
      </c>
      <c r="AC1376" s="31">
        <v>6.5</v>
      </c>
    </row>
    <row r="1377" spans="1:29" ht="15.6" x14ac:dyDescent="0.3">
      <c r="A1377" s="212"/>
      <c r="B1377" s="24"/>
      <c r="C1377" s="6"/>
      <c r="D1377" s="6"/>
      <c r="E1377" s="61" t="s">
        <v>187</v>
      </c>
      <c r="F1377">
        <v>5098.5</v>
      </c>
      <c r="G1377">
        <v>4960.03</v>
      </c>
      <c r="H1377">
        <v>4934.46</v>
      </c>
      <c r="I1377">
        <v>4928.45</v>
      </c>
      <c r="J1377">
        <v>4942.3599999999997</v>
      </c>
      <c r="K1377">
        <v>5095.2299999999996</v>
      </c>
      <c r="L1377">
        <v>4936.3100000000004</v>
      </c>
      <c r="M1377">
        <v>4943.22</v>
      </c>
      <c r="N1377">
        <v>5037.8</v>
      </c>
      <c r="O1377" s="61"/>
      <c r="P1377" s="61"/>
      <c r="Q1377" s="62"/>
      <c r="R1377" s="62"/>
      <c r="S1377" s="139"/>
      <c r="T1377" s="8"/>
      <c r="U1377" s="146"/>
      <c r="X1377" s="118"/>
      <c r="Y1377" s="118"/>
      <c r="Z1377" s="118"/>
      <c r="AA1377" s="118"/>
    </row>
    <row r="1378" spans="1:29" ht="23.4" thickBot="1" x14ac:dyDescent="0.35">
      <c r="A1378" s="212"/>
      <c r="B1378" s="24"/>
      <c r="C1378" s="6"/>
      <c r="D1378" s="6"/>
      <c r="E1378" s="61" t="s">
        <v>188</v>
      </c>
      <c r="F1378" s="40">
        <f t="shared" ref="F1378:N1378" si="454">IF(((F1376="")*AND(F1377="")),"",(F1376-F1377)*2)</f>
        <v>3763.3600000000006</v>
      </c>
      <c r="G1378" s="40">
        <f t="shared" si="454"/>
        <v>4008.0400000000009</v>
      </c>
      <c r="H1378" s="40">
        <f t="shared" si="454"/>
        <v>4069.3799999999992</v>
      </c>
      <c r="I1378" s="40">
        <f t="shared" si="454"/>
        <v>4026.6000000000004</v>
      </c>
      <c r="J1378" s="40">
        <f t="shared" si="454"/>
        <v>3880.0200000000004</v>
      </c>
      <c r="K1378" s="40">
        <f t="shared" si="454"/>
        <v>3574.2800000000007</v>
      </c>
      <c r="L1378" s="40">
        <f t="shared" si="454"/>
        <v>4007.6399999999994</v>
      </c>
      <c r="M1378" s="40">
        <f t="shared" si="454"/>
        <v>4080.4399999999987</v>
      </c>
      <c r="N1378" s="40">
        <f t="shared" si="454"/>
        <v>3924.3599999999988</v>
      </c>
      <c r="O1378" s="61"/>
      <c r="P1378" s="61"/>
      <c r="Q1378" s="62"/>
      <c r="R1378" s="62"/>
      <c r="S1378" s="139"/>
      <c r="T1378" s="8"/>
      <c r="U1378" s="146"/>
      <c r="X1378" s="118"/>
      <c r="Y1378" s="118"/>
      <c r="Z1378" s="118"/>
      <c r="AA1378" s="118"/>
    </row>
    <row r="1379" spans="1:29" ht="15.6" x14ac:dyDescent="0.3">
      <c r="A1379" s="278">
        <v>43713</v>
      </c>
      <c r="B1379" s="215" t="s">
        <v>169</v>
      </c>
      <c r="C1379" s="6" t="s">
        <v>171</v>
      </c>
      <c r="D1379" s="6" t="s">
        <v>189</v>
      </c>
      <c r="E1379" s="61" t="s">
        <v>186</v>
      </c>
      <c r="F1379">
        <v>1943.81</v>
      </c>
      <c r="G1379">
        <v>1938.04</v>
      </c>
      <c r="H1379">
        <v>1935.13</v>
      </c>
      <c r="I1379">
        <v>1936.03</v>
      </c>
      <c r="J1379">
        <v>1940.58</v>
      </c>
      <c r="K1379">
        <v>1939.28</v>
      </c>
      <c r="L1379">
        <v>1936.98</v>
      </c>
      <c r="M1379">
        <v>1937.9</v>
      </c>
      <c r="N1379">
        <v>1941.55</v>
      </c>
      <c r="O1379" s="61">
        <f>IF((N1380=""),"",MAX(F1381:N1381))</f>
        <v>2135.2799999999997</v>
      </c>
      <c r="P1379" s="61">
        <f>IF(N1380="","",MIN(F1381:N1381))</f>
        <v>1991.5799999999997</v>
      </c>
      <c r="Q1379" s="62">
        <f>IF((N1381=""),"",AVERAGE(F1381:N1381))</f>
        <v>2082.1666666666665</v>
      </c>
      <c r="R1379" s="62">
        <f>IF((N1380=""),"",(O1379-P1379)/(O1379+P1379)*100)</f>
        <v>3.4820662683008403</v>
      </c>
      <c r="S1379" s="139">
        <f>STDEV(F1381:N1381)</f>
        <v>51.054941239805565</v>
      </c>
      <c r="T1379" s="5" t="str">
        <f>IF(N1380="","",IF(Q1379&gt;1940,IF(R1379&lt;8.3,IF(Q1379&lt;2180,"Pass","Fail"),"Fail"),"Fail"))</f>
        <v>Pass</v>
      </c>
      <c r="U1379" s="149">
        <v>1428</v>
      </c>
      <c r="V1379" s="11" t="s">
        <v>335</v>
      </c>
      <c r="X1379" s="116">
        <v>2000</v>
      </c>
      <c r="Y1379" s="116">
        <v>3000</v>
      </c>
      <c r="Z1379" s="116">
        <v>1940</v>
      </c>
      <c r="AA1379" s="116">
        <v>2180</v>
      </c>
      <c r="AB1379" s="31">
        <v>5.2</v>
      </c>
      <c r="AC1379" s="31">
        <v>5.2</v>
      </c>
    </row>
    <row r="1380" spans="1:29" ht="15.6" x14ac:dyDescent="0.3">
      <c r="A1380" s="212"/>
      <c r="B1380" s="24"/>
      <c r="C1380" s="6"/>
      <c r="D1380" s="6"/>
      <c r="E1380" s="61" t="s">
        <v>187</v>
      </c>
      <c r="F1380">
        <v>1252.3900000000001</v>
      </c>
      <c r="G1380">
        <v>1229.6600000000001</v>
      </c>
      <c r="H1380">
        <v>1226.1099999999999</v>
      </c>
      <c r="I1380">
        <v>1236.31</v>
      </c>
      <c r="J1380">
        <v>1271.1199999999999</v>
      </c>
      <c r="K1380">
        <v>1275.42</v>
      </c>
      <c r="L1380">
        <v>1238.6300000000001</v>
      </c>
      <c r="M1380">
        <v>1226.1400000000001</v>
      </c>
      <c r="N1380">
        <v>1247.02</v>
      </c>
      <c r="O1380" s="61"/>
      <c r="P1380" s="61"/>
      <c r="Q1380" s="62"/>
      <c r="R1380" s="62"/>
      <c r="S1380" s="139"/>
      <c r="T1380" s="5"/>
      <c r="U1380" s="140"/>
      <c r="X1380" s="118"/>
      <c r="Y1380" s="118"/>
      <c r="Z1380" s="118"/>
      <c r="AA1380" s="118"/>
    </row>
    <row r="1381" spans="1:29" ht="16.2" thickBot="1" x14ac:dyDescent="0.35">
      <c r="A1381" s="212"/>
      <c r="B1381" s="24"/>
      <c r="C1381" s="6"/>
      <c r="D1381" s="6"/>
      <c r="E1381" s="61" t="s">
        <v>190</v>
      </c>
      <c r="F1381" s="40">
        <f t="shared" ref="F1381:N1381" si="455">IF(((F1379="")*AND(F1380="")),"",(F1379-F1380)*3)</f>
        <v>2074.2599999999993</v>
      </c>
      <c r="G1381" s="40">
        <f t="shared" si="455"/>
        <v>2125.1399999999994</v>
      </c>
      <c r="H1381" s="40">
        <f t="shared" si="455"/>
        <v>2127.0600000000004</v>
      </c>
      <c r="I1381" s="40">
        <f t="shared" si="455"/>
        <v>2099.16</v>
      </c>
      <c r="J1381" s="40">
        <f t="shared" si="455"/>
        <v>2008.38</v>
      </c>
      <c r="K1381" s="40">
        <f t="shared" si="455"/>
        <v>1991.5799999999997</v>
      </c>
      <c r="L1381" s="40">
        <f t="shared" si="455"/>
        <v>2095.0499999999997</v>
      </c>
      <c r="M1381" s="40">
        <f t="shared" si="455"/>
        <v>2135.2799999999997</v>
      </c>
      <c r="N1381" s="40">
        <f t="shared" si="455"/>
        <v>2083.59</v>
      </c>
      <c r="O1381" s="61"/>
      <c r="P1381" s="61"/>
      <c r="Q1381" s="62"/>
      <c r="R1381" s="62"/>
      <c r="S1381" s="139"/>
      <c r="T1381" s="5"/>
      <c r="U1381" s="140"/>
      <c r="X1381" s="118"/>
      <c r="Y1381" s="118"/>
      <c r="Z1381" s="118"/>
      <c r="AA1381" s="118"/>
    </row>
    <row r="1382" spans="1:29" ht="15.6" x14ac:dyDescent="0.3">
      <c r="A1382" s="278">
        <v>43713</v>
      </c>
      <c r="B1382" s="218" t="s">
        <v>185</v>
      </c>
      <c r="C1382" s="6" t="s">
        <v>173</v>
      </c>
      <c r="D1382" s="6" t="s">
        <v>172</v>
      </c>
      <c r="E1382" s="61" t="s">
        <v>186</v>
      </c>
      <c r="F1382">
        <v>28848.05</v>
      </c>
      <c r="G1382">
        <v>28703.21</v>
      </c>
      <c r="H1382">
        <v>28699.58</v>
      </c>
      <c r="I1382">
        <v>28692.62</v>
      </c>
      <c r="J1382">
        <v>28827.11</v>
      </c>
      <c r="K1382">
        <v>28807.279999999999</v>
      </c>
      <c r="L1382">
        <v>28688.6</v>
      </c>
      <c r="M1382">
        <v>28684.29</v>
      </c>
      <c r="N1382">
        <v>28817.9</v>
      </c>
      <c r="O1382" s="61">
        <f>IF((N1383=""),"",MAX(F1384:N1384))</f>
        <v>4624.8300000000017</v>
      </c>
      <c r="P1382" s="61">
        <f>IF(N1383="","",MIN(F1384:N1384))</f>
        <v>4086.4800000000105</v>
      </c>
      <c r="Q1382" s="62">
        <f>IF((N1384=""),"",AVERAGE(F1384:N1384))</f>
        <v>4348.6233333333339</v>
      </c>
      <c r="R1382" s="62">
        <f>IF((N1383=""),"",(O1382-P1382)/(O1382+P1382)*100)</f>
        <v>6.179897168164036</v>
      </c>
      <c r="S1382" s="139">
        <f>STDEV(F1384:N1384)</f>
        <v>211.05933585131683</v>
      </c>
      <c r="T1382" s="5" t="str">
        <f>IF(N1383="","",IF(R1382&lt;16,IF(Q1382&gt;3200,IF(R1382,IF(Q1382&lt;5240,"Pass","Fail"),"Fail"),"Fail")))</f>
        <v>Pass</v>
      </c>
      <c r="U1382" s="149">
        <v>1428</v>
      </c>
      <c r="V1382" s="11" t="s">
        <v>335</v>
      </c>
      <c r="X1382" s="116">
        <v>4200</v>
      </c>
      <c r="Y1382" s="116">
        <v>5500</v>
      </c>
      <c r="Z1382" s="116">
        <v>3200</v>
      </c>
      <c r="AA1382" s="116">
        <v>5240</v>
      </c>
      <c r="AB1382" s="31">
        <v>16</v>
      </c>
      <c r="AC1382" s="31">
        <v>16</v>
      </c>
    </row>
    <row r="1383" spans="1:29" ht="15.6" x14ac:dyDescent="0.3">
      <c r="A1383" s="212"/>
      <c r="B1383" s="24"/>
      <c r="C1383" s="6"/>
      <c r="D1383" s="6"/>
      <c r="E1383" s="61" t="s">
        <v>187</v>
      </c>
      <c r="F1383">
        <v>27334.52</v>
      </c>
      <c r="G1383">
        <v>27301.919999999998</v>
      </c>
      <c r="H1383">
        <v>27337.42</v>
      </c>
      <c r="I1383">
        <v>27296.17</v>
      </c>
      <c r="J1383">
        <v>27304.240000000002</v>
      </c>
      <c r="K1383">
        <v>27298.14</v>
      </c>
      <c r="L1383">
        <v>27301.18</v>
      </c>
      <c r="M1383">
        <v>27272.89</v>
      </c>
      <c r="N1383">
        <v>27276.29</v>
      </c>
      <c r="O1383" s="127"/>
      <c r="P1383" s="61"/>
      <c r="Q1383" s="62"/>
      <c r="R1383" s="62"/>
      <c r="S1383" s="139"/>
      <c r="T1383" s="5"/>
      <c r="U1383" s="140"/>
    </row>
    <row r="1384" spans="1:29" ht="23.4" thickBot="1" x14ac:dyDescent="0.35">
      <c r="A1384" s="212"/>
      <c r="B1384" s="63"/>
      <c r="C1384" s="64"/>
      <c r="D1384" s="64"/>
      <c r="E1384" s="61" t="s">
        <v>188</v>
      </c>
      <c r="F1384" s="53">
        <f t="shared" ref="F1384:N1384" si="456">IF(((F1382="")*AND(F1383="")),"",(F1382-F1383)*3)</f>
        <v>4540.5899999999965</v>
      </c>
      <c r="G1384" s="53">
        <f t="shared" si="456"/>
        <v>4203.8700000000026</v>
      </c>
      <c r="H1384" s="53">
        <f t="shared" si="456"/>
        <v>4086.4800000000105</v>
      </c>
      <c r="I1384" s="53">
        <f t="shared" si="456"/>
        <v>4189.3500000000022</v>
      </c>
      <c r="J1384" s="53">
        <f t="shared" si="456"/>
        <v>4568.6099999999969</v>
      </c>
      <c r="K1384" s="53">
        <f t="shared" si="456"/>
        <v>4527.4199999999983</v>
      </c>
      <c r="L1384" s="53">
        <f t="shared" si="456"/>
        <v>4162.2599999999948</v>
      </c>
      <c r="M1384" s="53">
        <f t="shared" si="456"/>
        <v>4234.2000000000044</v>
      </c>
      <c r="N1384" s="53">
        <f t="shared" si="456"/>
        <v>4624.8300000000017</v>
      </c>
      <c r="O1384" s="65"/>
      <c r="P1384" s="65"/>
      <c r="Q1384" s="66"/>
      <c r="R1384" s="66"/>
      <c r="S1384" s="142"/>
      <c r="T1384" s="143"/>
      <c r="U1384" s="144"/>
    </row>
    <row r="1385" spans="1:29" ht="15.6" x14ac:dyDescent="0.3">
      <c r="A1385" s="278">
        <v>43716</v>
      </c>
      <c r="B1385" s="217" t="s">
        <v>174</v>
      </c>
      <c r="C1385" s="44" t="s">
        <v>176</v>
      </c>
      <c r="D1385" s="44" t="s">
        <v>175</v>
      </c>
      <c r="E1385" s="61" t="s">
        <v>186</v>
      </c>
      <c r="F1385">
        <v>5103.4799999999996</v>
      </c>
      <c r="G1385">
        <v>4964.6400000000003</v>
      </c>
      <c r="H1385">
        <v>4938.99</v>
      </c>
      <c r="I1385">
        <v>4933.0200000000004</v>
      </c>
      <c r="J1385">
        <v>4945.6499999999996</v>
      </c>
      <c r="K1385">
        <v>5100.2299999999996</v>
      </c>
      <c r="L1385">
        <v>4940.87</v>
      </c>
      <c r="M1385">
        <v>4947.8100000000004</v>
      </c>
      <c r="N1385">
        <v>5043.25</v>
      </c>
      <c r="O1385" s="59">
        <f>IF((N1386=""),"",MAX(F1387:N1387))</f>
        <v>4067.3400000000011</v>
      </c>
      <c r="P1385" s="59">
        <f>IF(N1386="","",MIN(F1387:N1387))</f>
        <v>3691.0999999999995</v>
      </c>
      <c r="Q1385" s="60">
        <f>IF((N1387=""),"",AVERAGE(F1387:N1387))</f>
        <v>3921.2999999999997</v>
      </c>
      <c r="R1385" s="60">
        <f>IF((N1386=""),"",(O1385-P1385)/(O1385+P1385)*100)</f>
        <v>4.8494284933569327</v>
      </c>
      <c r="S1385" s="131">
        <f>STDEV(F1387:N1387)</f>
        <v>134.76709576154005</v>
      </c>
      <c r="T1385" s="137" t="str">
        <f>IF(N1386="","",IF(Q1385&gt;3650,IF(R1385&lt;7,IF(Q1385&lt;4450,"Pass","Fail"),"Fail"),"Fail"))</f>
        <v>Pass</v>
      </c>
      <c r="U1385" s="149">
        <v>64</v>
      </c>
      <c r="V1385" s="11" t="s">
        <v>336</v>
      </c>
      <c r="X1385" s="116">
        <v>3650</v>
      </c>
      <c r="Y1385" s="116">
        <v>4450</v>
      </c>
      <c r="Z1385" s="116">
        <v>3700</v>
      </c>
      <c r="AA1385" s="116">
        <v>4100</v>
      </c>
      <c r="AB1385" s="31">
        <v>7</v>
      </c>
      <c r="AC1385" s="31">
        <v>6.5</v>
      </c>
    </row>
    <row r="1386" spans="1:29" ht="15.6" x14ac:dyDescent="0.3">
      <c r="A1386" s="212"/>
      <c r="B1386" s="24"/>
      <c r="C1386" s="6"/>
      <c r="D1386" s="6"/>
      <c r="E1386" s="61" t="s">
        <v>187</v>
      </c>
      <c r="F1386">
        <v>3237.47</v>
      </c>
      <c r="G1386">
        <v>2973.05</v>
      </c>
      <c r="H1386">
        <v>2914.68</v>
      </c>
      <c r="I1386">
        <v>2926.03</v>
      </c>
      <c r="J1386">
        <v>3010.27</v>
      </c>
      <c r="K1386">
        <v>3254.68</v>
      </c>
      <c r="L1386">
        <v>2950.07</v>
      </c>
      <c r="M1386">
        <v>2914.14</v>
      </c>
      <c r="N1386">
        <v>3091.7</v>
      </c>
      <c r="O1386" s="61"/>
      <c r="P1386" s="61"/>
      <c r="Q1386" s="62"/>
      <c r="R1386" s="62"/>
      <c r="S1386" s="139"/>
      <c r="T1386" s="8"/>
      <c r="U1386" s="146"/>
      <c r="X1386" s="118"/>
      <c r="Y1386" s="118"/>
      <c r="Z1386" s="118"/>
      <c r="AA1386" s="118"/>
    </row>
    <row r="1387" spans="1:29" ht="23.4" thickBot="1" x14ac:dyDescent="0.35">
      <c r="A1387" s="212"/>
      <c r="B1387" s="24"/>
      <c r="C1387" s="6"/>
      <c r="D1387" s="6"/>
      <c r="E1387" s="61" t="s">
        <v>188</v>
      </c>
      <c r="F1387" s="40">
        <f t="shared" ref="F1387:N1387" si="457">IF(((F1385="")*AND(F1386="")),"",(F1385-F1386)*2)</f>
        <v>3732.0199999999995</v>
      </c>
      <c r="G1387" s="40">
        <f t="shared" si="457"/>
        <v>3983.1800000000003</v>
      </c>
      <c r="H1387" s="40">
        <f t="shared" si="457"/>
        <v>4048.62</v>
      </c>
      <c r="I1387" s="40">
        <f t="shared" si="457"/>
        <v>4013.9800000000005</v>
      </c>
      <c r="J1387" s="40">
        <f t="shared" si="457"/>
        <v>3870.7599999999993</v>
      </c>
      <c r="K1387" s="40">
        <f t="shared" si="457"/>
        <v>3691.0999999999995</v>
      </c>
      <c r="L1387" s="40">
        <f t="shared" si="457"/>
        <v>3981.5999999999995</v>
      </c>
      <c r="M1387" s="40">
        <f t="shared" si="457"/>
        <v>4067.3400000000011</v>
      </c>
      <c r="N1387" s="40">
        <f t="shared" si="457"/>
        <v>3903.1000000000004</v>
      </c>
      <c r="O1387" s="61"/>
      <c r="P1387" s="61"/>
      <c r="Q1387" s="62"/>
      <c r="R1387" s="62"/>
      <c r="S1387" s="139"/>
      <c r="T1387" s="8"/>
      <c r="U1387" s="146"/>
      <c r="X1387" s="118"/>
      <c r="Y1387" s="118"/>
      <c r="Z1387" s="118"/>
      <c r="AA1387" s="118"/>
    </row>
    <row r="1388" spans="1:29" ht="15.6" x14ac:dyDescent="0.3">
      <c r="A1388" s="278">
        <v>43716</v>
      </c>
      <c r="B1388" s="215" t="s">
        <v>169</v>
      </c>
      <c r="C1388" s="6" t="s">
        <v>171</v>
      </c>
      <c r="D1388" s="6" t="s">
        <v>189</v>
      </c>
      <c r="E1388" s="61" t="s">
        <v>186</v>
      </c>
      <c r="F1388">
        <v>1254.5</v>
      </c>
      <c r="G1388">
        <v>1227.75</v>
      </c>
      <c r="H1388">
        <v>1227.6500000000001</v>
      </c>
      <c r="I1388">
        <v>1236.67</v>
      </c>
      <c r="J1388">
        <v>1268.04</v>
      </c>
      <c r="K1388">
        <v>1274.94</v>
      </c>
      <c r="L1388">
        <v>1236.83</v>
      </c>
      <c r="M1388">
        <v>1229.05</v>
      </c>
      <c r="N1388">
        <v>1247.93</v>
      </c>
      <c r="O1388" s="61">
        <f>IF((N1389=""),"",MAX(F1390:N1390))</f>
        <v>2065.08</v>
      </c>
      <c r="P1388" s="61">
        <f>IF(N1389="","",MIN(F1390:N1390))</f>
        <v>1970.8799999999997</v>
      </c>
      <c r="Q1388" s="62">
        <f>IF((N1390=""),"",AVERAGE(F1390:N1390))</f>
        <v>2027.0733333333333</v>
      </c>
      <c r="R1388" s="62">
        <f>IF((N1389=""),"",(O1388-P1388)/(O1388+P1388)*100)</f>
        <v>2.3340171855023408</v>
      </c>
      <c r="S1388" s="139">
        <f>STDEV(F1390:N1390)</f>
        <v>34.984989281118921</v>
      </c>
      <c r="T1388" s="5" t="str">
        <f>IF(N1389="","",IF(Q1388&gt;1940,IF(R1388&lt;8.3,IF(Q1388&lt;2180,"Pass","Fail"),"Fail"),"Fail"))</f>
        <v>Pass</v>
      </c>
      <c r="U1388" s="149">
        <v>64</v>
      </c>
      <c r="V1388" s="11" t="s">
        <v>336</v>
      </c>
      <c r="X1388" s="116">
        <v>2000</v>
      </c>
      <c r="Y1388" s="116">
        <v>3000</v>
      </c>
      <c r="Z1388" s="116">
        <v>1940</v>
      </c>
      <c r="AA1388" s="116">
        <v>2180</v>
      </c>
      <c r="AB1388" s="31">
        <v>5.2</v>
      </c>
      <c r="AC1388" s="31">
        <v>5.2</v>
      </c>
    </row>
    <row r="1389" spans="1:29" ht="15.6" x14ac:dyDescent="0.3">
      <c r="A1389" s="212"/>
      <c r="B1389" s="24"/>
      <c r="C1389" s="6"/>
      <c r="D1389" s="6"/>
      <c r="E1389" s="61" t="s">
        <v>187</v>
      </c>
      <c r="F1389">
        <v>585.16</v>
      </c>
      <c r="G1389">
        <v>539.9</v>
      </c>
      <c r="H1389">
        <v>543.95000000000005</v>
      </c>
      <c r="I1389">
        <v>553.59</v>
      </c>
      <c r="J1389">
        <v>611.08000000000004</v>
      </c>
      <c r="K1389">
        <v>608.9</v>
      </c>
      <c r="L1389">
        <v>554.9</v>
      </c>
      <c r="M1389">
        <v>540.69000000000005</v>
      </c>
      <c r="N1389">
        <v>583.97</v>
      </c>
      <c r="O1389" s="61"/>
      <c r="P1389" s="61"/>
      <c r="Q1389" s="62"/>
      <c r="R1389" s="62"/>
      <c r="S1389" s="139"/>
      <c r="T1389" s="5"/>
      <c r="U1389" s="140"/>
      <c r="X1389" s="118"/>
      <c r="Y1389" s="118"/>
      <c r="Z1389" s="118"/>
      <c r="AA1389" s="118"/>
    </row>
    <row r="1390" spans="1:29" ht="16.2" thickBot="1" x14ac:dyDescent="0.35">
      <c r="A1390" s="212"/>
      <c r="B1390" s="24"/>
      <c r="C1390" s="6"/>
      <c r="D1390" s="6"/>
      <c r="E1390" s="61" t="s">
        <v>190</v>
      </c>
      <c r="F1390" s="40">
        <f t="shared" ref="F1390:N1390" si="458">IF(((F1388="")*AND(F1389="")),"",(F1388-F1389)*3)</f>
        <v>2008.02</v>
      </c>
      <c r="G1390" s="40">
        <f t="shared" si="458"/>
        <v>2063.5500000000002</v>
      </c>
      <c r="H1390" s="40">
        <f t="shared" si="458"/>
        <v>2051.1000000000004</v>
      </c>
      <c r="I1390" s="40">
        <f t="shared" si="458"/>
        <v>2049.2400000000002</v>
      </c>
      <c r="J1390" s="40">
        <f t="shared" si="458"/>
        <v>1970.8799999999997</v>
      </c>
      <c r="K1390" s="40">
        <f t="shared" si="458"/>
        <v>1998.1200000000003</v>
      </c>
      <c r="L1390" s="40">
        <f t="shared" si="458"/>
        <v>2045.79</v>
      </c>
      <c r="M1390" s="40">
        <f t="shared" si="458"/>
        <v>2065.08</v>
      </c>
      <c r="N1390" s="40">
        <f t="shared" si="458"/>
        <v>1991.88</v>
      </c>
      <c r="O1390" s="61"/>
      <c r="P1390" s="61"/>
      <c r="Q1390" s="62"/>
      <c r="R1390" s="62"/>
      <c r="S1390" s="139"/>
      <c r="T1390" s="5"/>
      <c r="U1390" s="140"/>
      <c r="X1390" s="118"/>
      <c r="Y1390" s="118"/>
      <c r="Z1390" s="118"/>
      <c r="AA1390" s="118"/>
    </row>
    <row r="1391" spans="1:29" ht="15.6" x14ac:dyDescent="0.3">
      <c r="A1391" s="278">
        <v>43716</v>
      </c>
      <c r="B1391" s="218" t="s">
        <v>185</v>
      </c>
      <c r="C1391" s="6" t="s">
        <v>173</v>
      </c>
      <c r="D1391" s="6" t="s">
        <v>172</v>
      </c>
      <c r="E1391" s="61" t="s">
        <v>186</v>
      </c>
      <c r="F1391">
        <v>27308.98</v>
      </c>
      <c r="G1391">
        <v>27285.83</v>
      </c>
      <c r="H1391">
        <v>27306.91</v>
      </c>
      <c r="I1391">
        <v>27272.15</v>
      </c>
      <c r="J1391">
        <v>27280.73</v>
      </c>
      <c r="K1391">
        <v>27276.04</v>
      </c>
      <c r="L1391">
        <v>27284.29</v>
      </c>
      <c r="M1391">
        <v>27252.55</v>
      </c>
      <c r="N1391">
        <v>27248.19</v>
      </c>
      <c r="O1391" s="61">
        <f>IF((N1392=""),"",MAX(F1393:N1393))</f>
        <v>4885.1400000000031</v>
      </c>
      <c r="P1391" s="61">
        <f>IF(N1392="","",MIN(F1393:N1393))</f>
        <v>4278.7200000000048</v>
      </c>
      <c r="Q1391" s="62">
        <f>IF((N1393=""),"",AVERAGE(F1393:N1393))</f>
        <v>4591.4600000000019</v>
      </c>
      <c r="R1391" s="62">
        <f>IF((N1392=""),"",(O1391-P1391)/(O1391+P1391)*100)</f>
        <v>6.6175170724999912</v>
      </c>
      <c r="S1391" s="139">
        <f>STDEV(F1393:N1393)</f>
        <v>244.33226685192429</v>
      </c>
      <c r="T1391" s="5" t="str">
        <f>IF(N1392="","",IF(R1391&lt;16,IF(Q1391&gt;3200,IF(R1391,IF(Q1391&lt;5240,"Pass","Fail"),"Fail"),"Fail")))</f>
        <v>Pass</v>
      </c>
      <c r="U1391" s="149">
        <v>64</v>
      </c>
      <c r="V1391" s="11" t="s">
        <v>336</v>
      </c>
      <c r="X1391" s="116">
        <v>4200</v>
      </c>
      <c r="Y1391" s="116">
        <v>5500</v>
      </c>
      <c r="Z1391" s="116">
        <v>3200</v>
      </c>
      <c r="AA1391" s="116">
        <v>5240</v>
      </c>
      <c r="AB1391" s="31">
        <v>16</v>
      </c>
      <c r="AC1391" s="31">
        <v>16</v>
      </c>
    </row>
    <row r="1392" spans="1:29" ht="15.6" x14ac:dyDescent="0.3">
      <c r="A1392" s="212"/>
      <c r="B1392" s="24"/>
      <c r="C1392" s="6"/>
      <c r="D1392" s="6"/>
      <c r="E1392" s="61" t="s">
        <v>187</v>
      </c>
      <c r="F1392">
        <v>25698.76</v>
      </c>
      <c r="G1392">
        <v>25811.11</v>
      </c>
      <c r="H1392">
        <v>25880.67</v>
      </c>
      <c r="I1392">
        <v>25800.54</v>
      </c>
      <c r="J1392">
        <v>25655.87</v>
      </c>
      <c r="K1392">
        <v>25647.66</v>
      </c>
      <c r="L1392">
        <v>25798.86</v>
      </c>
      <c r="M1392">
        <v>25792.09</v>
      </c>
      <c r="N1392">
        <v>25655.73</v>
      </c>
      <c r="O1392" s="127"/>
      <c r="P1392" s="61"/>
      <c r="Q1392" s="62"/>
      <c r="R1392" s="62"/>
      <c r="S1392" s="139"/>
      <c r="T1392" s="5"/>
      <c r="U1392" s="140"/>
    </row>
    <row r="1393" spans="1:29" ht="23.4" thickBot="1" x14ac:dyDescent="0.35">
      <c r="A1393" s="212"/>
      <c r="B1393" s="63"/>
      <c r="C1393" s="64"/>
      <c r="D1393" s="64"/>
      <c r="E1393" s="61" t="s">
        <v>188</v>
      </c>
      <c r="F1393" s="53">
        <f t="shared" ref="F1393:N1393" si="459">IF(((F1391="")*AND(F1392="")),"",(F1391-F1392)*3)</f>
        <v>4830.6600000000035</v>
      </c>
      <c r="G1393" s="53">
        <f t="shared" si="459"/>
        <v>4424.1600000000035</v>
      </c>
      <c r="H1393" s="53">
        <f t="shared" si="459"/>
        <v>4278.7200000000048</v>
      </c>
      <c r="I1393" s="53">
        <f t="shared" si="459"/>
        <v>4414.8300000000017</v>
      </c>
      <c r="J1393" s="53">
        <f t="shared" si="459"/>
        <v>4874.5800000000017</v>
      </c>
      <c r="K1393" s="53">
        <f t="shared" si="459"/>
        <v>4885.1400000000031</v>
      </c>
      <c r="L1393" s="53">
        <f t="shared" si="459"/>
        <v>4456.2900000000009</v>
      </c>
      <c r="M1393" s="53">
        <f t="shared" si="459"/>
        <v>4381.3799999999974</v>
      </c>
      <c r="N1393" s="53">
        <f t="shared" si="459"/>
        <v>4777.3799999999974</v>
      </c>
      <c r="O1393" s="65"/>
      <c r="P1393" s="65"/>
      <c r="Q1393" s="66"/>
      <c r="R1393" s="66"/>
      <c r="S1393" s="142"/>
      <c r="T1393" s="143"/>
      <c r="U1393" s="144"/>
    </row>
    <row r="1394" spans="1:29" ht="15.6" x14ac:dyDescent="0.3">
      <c r="A1394" s="278">
        <v>43719</v>
      </c>
      <c r="B1394" s="217" t="s">
        <v>174</v>
      </c>
      <c r="C1394" s="44" t="s">
        <v>176</v>
      </c>
      <c r="D1394" s="44" t="s">
        <v>175</v>
      </c>
      <c r="E1394" s="61" t="s">
        <v>186</v>
      </c>
      <c r="F1394" s="304">
        <v>3248.94</v>
      </c>
      <c r="G1394" s="304">
        <v>2982.14</v>
      </c>
      <c r="H1394" s="304">
        <v>2923.34</v>
      </c>
      <c r="I1394" s="304">
        <v>2934.73</v>
      </c>
      <c r="J1394" s="304">
        <v>3019.22</v>
      </c>
      <c r="K1394" s="304">
        <v>3267.47</v>
      </c>
      <c r="L1394" s="304">
        <v>2959.14</v>
      </c>
      <c r="M1394" s="304">
        <v>2922.89</v>
      </c>
      <c r="N1394" s="304">
        <v>3101.26</v>
      </c>
      <c r="O1394" s="59">
        <f>IF((N1395=""),"",MAX(F1396:N1396))</f>
        <v>4086.9399999999996</v>
      </c>
      <c r="P1394" s="59">
        <f>IF(N1395="","",MIN(F1396:N1396))</f>
        <v>3684.9399999999996</v>
      </c>
      <c r="Q1394" s="60">
        <f>IF((N1396=""),"",AVERAGE(F1396:N1396))</f>
        <v>3938.1533333333332</v>
      </c>
      <c r="R1394" s="60">
        <f>IF((N1395=""),"",(O1394-P1394)/(O1394+P1394)*100)</f>
        <v>5.1724936566184763</v>
      </c>
      <c r="S1394" s="131">
        <f>STDEV(F1396:N1396)</f>
        <v>143.4928768266914</v>
      </c>
      <c r="T1394" s="137" t="str">
        <f>IF(N1395="","",IF(Q1394&gt;3650,IF(R1394&lt;7,IF(Q1394&lt;4450,"Pass","Fail"),"Fail"),"Fail"))</f>
        <v>Pass</v>
      </c>
      <c r="U1394" s="149" t="s">
        <v>338</v>
      </c>
      <c r="X1394" s="116">
        <v>3650</v>
      </c>
      <c r="Y1394" s="116">
        <v>4450</v>
      </c>
      <c r="Z1394" s="116">
        <v>3700</v>
      </c>
      <c r="AA1394" s="116">
        <v>4100</v>
      </c>
      <c r="AB1394" s="31">
        <v>7</v>
      </c>
      <c r="AC1394" s="31">
        <v>6.5</v>
      </c>
    </row>
    <row r="1395" spans="1:29" ht="15.6" x14ac:dyDescent="0.3">
      <c r="A1395" s="212"/>
      <c r="B1395" s="24"/>
      <c r="C1395" s="6"/>
      <c r="D1395" s="6"/>
      <c r="E1395" s="61" t="s">
        <v>187</v>
      </c>
      <c r="F1395" s="304">
        <v>1372.8</v>
      </c>
      <c r="G1395" s="304">
        <v>969.14</v>
      </c>
      <c r="H1395" s="304">
        <v>887.05</v>
      </c>
      <c r="I1395" s="304">
        <v>922.16</v>
      </c>
      <c r="J1395" s="304">
        <v>1089.21</v>
      </c>
      <c r="K1395" s="304">
        <v>1425</v>
      </c>
      <c r="L1395" s="304">
        <v>956.87</v>
      </c>
      <c r="M1395" s="304">
        <v>879.42</v>
      </c>
      <c r="N1395" s="304">
        <v>1135.79</v>
      </c>
      <c r="O1395" s="61"/>
      <c r="P1395" s="61"/>
      <c r="Q1395" s="62"/>
      <c r="R1395" s="62"/>
      <c r="S1395" s="139"/>
      <c r="T1395" s="8"/>
      <c r="U1395" s="146"/>
      <c r="X1395" s="118"/>
      <c r="Y1395" s="118"/>
      <c r="Z1395" s="118"/>
      <c r="AA1395" s="118"/>
    </row>
    <row r="1396" spans="1:29" ht="23.4" thickBot="1" x14ac:dyDescent="0.35">
      <c r="A1396" s="212"/>
      <c r="B1396" s="24"/>
      <c r="C1396" s="6"/>
      <c r="D1396" s="6"/>
      <c r="E1396" s="61" t="s">
        <v>188</v>
      </c>
      <c r="F1396" s="40">
        <f t="shared" ref="F1396:N1396" si="460">IF(((F1394="")*AND(F1395="")),"",(F1394-F1395)*2)</f>
        <v>3752.28</v>
      </c>
      <c r="G1396" s="40">
        <f t="shared" si="460"/>
        <v>4026</v>
      </c>
      <c r="H1396" s="40">
        <f t="shared" si="460"/>
        <v>4072.5800000000004</v>
      </c>
      <c r="I1396" s="40">
        <f t="shared" si="460"/>
        <v>4025.1400000000003</v>
      </c>
      <c r="J1396" s="40">
        <f t="shared" si="460"/>
        <v>3860.0199999999995</v>
      </c>
      <c r="K1396" s="40">
        <f t="shared" si="460"/>
        <v>3684.9399999999996</v>
      </c>
      <c r="L1396" s="40">
        <f t="shared" si="460"/>
        <v>4004.54</v>
      </c>
      <c r="M1396" s="40">
        <f t="shared" si="460"/>
        <v>4086.9399999999996</v>
      </c>
      <c r="N1396" s="40">
        <f t="shared" si="460"/>
        <v>3930.9400000000005</v>
      </c>
      <c r="O1396" s="61"/>
      <c r="P1396" s="61"/>
      <c r="Q1396" s="62"/>
      <c r="R1396" s="62"/>
      <c r="S1396" s="139"/>
      <c r="T1396" s="8"/>
      <c r="U1396" s="146"/>
      <c r="X1396" s="118"/>
      <c r="Y1396" s="118"/>
      <c r="Z1396" s="118"/>
      <c r="AA1396" s="118"/>
    </row>
    <row r="1397" spans="1:29" ht="15.6" x14ac:dyDescent="0.3">
      <c r="A1397" s="278">
        <v>43719</v>
      </c>
      <c r="B1397" s="215" t="s">
        <v>169</v>
      </c>
      <c r="C1397" s="6" t="s">
        <v>171</v>
      </c>
      <c r="D1397" s="6" t="s">
        <v>189</v>
      </c>
      <c r="E1397" s="61" t="s">
        <v>186</v>
      </c>
      <c r="F1397">
        <v>1944.99</v>
      </c>
      <c r="G1397">
        <v>1945.17</v>
      </c>
      <c r="H1397">
        <v>1944.46</v>
      </c>
      <c r="I1397">
        <v>1943.38</v>
      </c>
      <c r="J1397">
        <v>1947.62</v>
      </c>
      <c r="K1397">
        <v>1952.9</v>
      </c>
      <c r="L1397">
        <v>1942.97</v>
      </c>
      <c r="M1397">
        <v>1942.94</v>
      </c>
      <c r="N1397">
        <v>1946.89</v>
      </c>
      <c r="O1397" s="61">
        <f>IF((N1398=""),"",MAX(F1399:N1399))</f>
        <v>2166.3600000000006</v>
      </c>
      <c r="P1397" s="61">
        <f>IF(N1398="","",MIN(F1399:N1399))</f>
        <v>2052.6299999999992</v>
      </c>
      <c r="Q1397" s="62">
        <f>IF((N1399=""),"",AVERAGE(F1399:N1399))</f>
        <v>2117.4033333333336</v>
      </c>
      <c r="R1397" s="62">
        <f>IF((N1398=""),"",(O1397-P1397)/(O1397+P1397)*100)</f>
        <v>2.6956688686155075</v>
      </c>
      <c r="S1397" s="139">
        <f>STDEV(F1399:N1399)</f>
        <v>42.128112051218523</v>
      </c>
      <c r="T1397" s="5" t="str">
        <f>IF(N1398="","",IF(Q1397&gt;1940,IF(R1397&lt;8.3,IF(Q1397&lt;2180,"Pass","Fail"),"Fail"),"Fail"))</f>
        <v>Pass</v>
      </c>
      <c r="U1397" s="149" t="s">
        <v>338</v>
      </c>
      <c r="X1397" s="116">
        <v>2000</v>
      </c>
      <c r="Y1397" s="116">
        <v>3000</v>
      </c>
      <c r="Z1397" s="116">
        <v>1940</v>
      </c>
      <c r="AA1397" s="116">
        <v>2180</v>
      </c>
      <c r="AB1397" s="31">
        <v>5.2</v>
      </c>
      <c r="AC1397" s="31">
        <v>5.2</v>
      </c>
    </row>
    <row r="1398" spans="1:29" ht="15.6" x14ac:dyDescent="0.3">
      <c r="A1398" s="212"/>
      <c r="B1398" s="24"/>
      <c r="C1398" s="6"/>
      <c r="D1398" s="6"/>
      <c r="E1398" s="61" t="s">
        <v>187</v>
      </c>
      <c r="F1398">
        <v>1252.99</v>
      </c>
      <c r="G1398">
        <v>1224.3900000000001</v>
      </c>
      <c r="H1398">
        <v>1227.79</v>
      </c>
      <c r="I1398">
        <v>1231.46</v>
      </c>
      <c r="J1398">
        <v>1263.4100000000001</v>
      </c>
      <c r="K1398">
        <v>1256.02</v>
      </c>
      <c r="L1398">
        <v>1229.48</v>
      </c>
      <c r="M1398">
        <v>1220.82</v>
      </c>
      <c r="N1398">
        <v>1252.75</v>
      </c>
      <c r="O1398" s="61"/>
      <c r="P1398" s="61"/>
      <c r="Q1398" s="62"/>
      <c r="R1398" s="62"/>
      <c r="S1398" s="139"/>
      <c r="T1398" s="5"/>
      <c r="U1398" s="140"/>
      <c r="X1398" s="118"/>
      <c r="Y1398" s="118"/>
      <c r="Z1398" s="118"/>
      <c r="AA1398" s="118"/>
    </row>
    <row r="1399" spans="1:29" ht="16.2" thickBot="1" x14ac:dyDescent="0.35">
      <c r="A1399" s="212"/>
      <c r="B1399" s="24"/>
      <c r="C1399" s="6"/>
      <c r="D1399" s="6"/>
      <c r="E1399" s="61" t="s">
        <v>190</v>
      </c>
      <c r="F1399" s="40">
        <f t="shared" ref="F1399:N1399" si="461">IF(((F1397="")*AND(F1398="")),"",(F1397-F1398)*3)</f>
        <v>2076</v>
      </c>
      <c r="G1399" s="40">
        <f t="shared" si="461"/>
        <v>2162.34</v>
      </c>
      <c r="H1399" s="40">
        <f t="shared" si="461"/>
        <v>2150.0100000000002</v>
      </c>
      <c r="I1399" s="40">
        <f t="shared" si="461"/>
        <v>2135.7600000000002</v>
      </c>
      <c r="J1399" s="40">
        <f t="shared" si="461"/>
        <v>2052.6299999999992</v>
      </c>
      <c r="K1399" s="40">
        <f t="shared" si="461"/>
        <v>2090.6400000000003</v>
      </c>
      <c r="L1399" s="40">
        <f t="shared" si="461"/>
        <v>2140.4700000000003</v>
      </c>
      <c r="M1399" s="40">
        <f t="shared" si="461"/>
        <v>2166.3600000000006</v>
      </c>
      <c r="N1399" s="40">
        <f t="shared" si="461"/>
        <v>2082.42</v>
      </c>
      <c r="O1399" s="61"/>
      <c r="P1399" s="61"/>
      <c r="Q1399" s="62"/>
      <c r="R1399" s="62"/>
      <c r="S1399" s="139"/>
      <c r="T1399" s="5"/>
      <c r="U1399" s="140"/>
      <c r="X1399" s="118"/>
      <c r="Y1399" s="118"/>
      <c r="Z1399" s="118"/>
      <c r="AA1399" s="118"/>
    </row>
    <row r="1400" spans="1:29" ht="15.6" x14ac:dyDescent="0.3">
      <c r="A1400" s="278">
        <v>43719</v>
      </c>
      <c r="B1400" s="218" t="s">
        <v>185</v>
      </c>
      <c r="C1400" s="6" t="s">
        <v>173</v>
      </c>
      <c r="D1400" s="6" t="s">
        <v>172</v>
      </c>
      <c r="E1400" s="61" t="s">
        <v>186</v>
      </c>
      <c r="F1400">
        <v>25677.75</v>
      </c>
      <c r="G1400">
        <v>25784.29</v>
      </c>
      <c r="H1400">
        <v>25855.200000000001</v>
      </c>
      <c r="I1400">
        <v>25778.48</v>
      </c>
      <c r="J1400">
        <v>25628.639999999999</v>
      </c>
      <c r="K1400">
        <v>25618.05</v>
      </c>
      <c r="L1400">
        <v>25773.48</v>
      </c>
      <c r="M1400">
        <v>25768.86</v>
      </c>
      <c r="N1400">
        <v>25626.83</v>
      </c>
      <c r="O1400" s="61">
        <f>IF((N1401=""),"",MAX(F1402:N1402))</f>
        <v>4745.25</v>
      </c>
      <c r="P1400" s="61">
        <f>IF(N1401="","",MIN(F1402:N1402))</f>
        <v>4195.5900000000074</v>
      </c>
      <c r="Q1400" s="62">
        <f>IF((N1402=""),"",AVERAGE(F1402:N1402))</f>
        <v>4473.6800000000012</v>
      </c>
      <c r="R1400" s="62">
        <f>IF((N1401=""),"",(O1400-P1400)/(O1400+P1400)*100)</f>
        <v>6.1477445072274204</v>
      </c>
      <c r="S1400" s="139">
        <f>STDEV(F1402:N1402)</f>
        <v>244.42164603406053</v>
      </c>
      <c r="T1400" s="5" t="str">
        <f>IF(N1401="","",IF(R1400&lt;16,IF(Q1400&gt;3200,IF(R1400,IF(Q1400&lt;5240,"Pass","Fail"),"Fail"),"Fail")))</f>
        <v>Pass</v>
      </c>
      <c r="U1400" s="149" t="s">
        <v>338</v>
      </c>
      <c r="X1400" s="116">
        <v>4200</v>
      </c>
      <c r="Y1400" s="116">
        <v>5500</v>
      </c>
      <c r="Z1400" s="116">
        <v>3200</v>
      </c>
      <c r="AA1400" s="116">
        <v>5240</v>
      </c>
      <c r="AB1400" s="31">
        <v>16</v>
      </c>
      <c r="AC1400" s="31">
        <v>16</v>
      </c>
    </row>
    <row r="1401" spans="1:29" ht="15.6" x14ac:dyDescent="0.3">
      <c r="A1401" s="212"/>
      <c r="B1401" s="24"/>
      <c r="C1401" s="6"/>
      <c r="D1401" s="6"/>
      <c r="E1401" s="61" t="s">
        <v>187</v>
      </c>
      <c r="F1401">
        <v>24102.07</v>
      </c>
      <c r="G1401">
        <v>24359.23</v>
      </c>
      <c r="H1401">
        <v>24456.67</v>
      </c>
      <c r="I1401">
        <v>24349.72</v>
      </c>
      <c r="J1401">
        <v>24046.89</v>
      </c>
      <c r="K1401">
        <v>24046.12</v>
      </c>
      <c r="L1401">
        <v>24340.34</v>
      </c>
      <c r="M1401">
        <v>24339.03</v>
      </c>
      <c r="N1401">
        <v>24050.47</v>
      </c>
      <c r="O1401" s="127"/>
      <c r="P1401" s="61"/>
      <c r="Q1401" s="62"/>
      <c r="R1401" s="62"/>
      <c r="S1401" s="139"/>
      <c r="T1401" s="5"/>
      <c r="U1401" s="140"/>
    </row>
    <row r="1402" spans="1:29" ht="23.4" thickBot="1" x14ac:dyDescent="0.35">
      <c r="A1402" s="212"/>
      <c r="B1402" s="63"/>
      <c r="C1402" s="64"/>
      <c r="D1402" s="64"/>
      <c r="E1402" s="61" t="s">
        <v>188</v>
      </c>
      <c r="F1402" s="53">
        <f t="shared" ref="F1402:N1402" si="462">IF(((F1400="")*AND(F1401="")),"",(F1400-F1401)*3)</f>
        <v>4727.0400000000009</v>
      </c>
      <c r="G1402" s="53">
        <f t="shared" si="462"/>
        <v>4275.1800000000039</v>
      </c>
      <c r="H1402" s="53">
        <f t="shared" si="462"/>
        <v>4195.5900000000074</v>
      </c>
      <c r="I1402" s="53">
        <f t="shared" si="462"/>
        <v>4286.2799999999952</v>
      </c>
      <c r="J1402" s="53">
        <f t="shared" si="462"/>
        <v>4745.25</v>
      </c>
      <c r="K1402" s="53">
        <f t="shared" si="462"/>
        <v>4715.7900000000009</v>
      </c>
      <c r="L1402" s="53">
        <f t="shared" si="462"/>
        <v>4299.4199999999983</v>
      </c>
      <c r="M1402" s="53">
        <f t="shared" si="462"/>
        <v>4289.4900000000052</v>
      </c>
      <c r="N1402" s="53">
        <f t="shared" si="462"/>
        <v>4729.0800000000017</v>
      </c>
      <c r="O1402" s="65"/>
      <c r="P1402" s="65"/>
      <c r="Q1402" s="66"/>
      <c r="R1402" s="66"/>
      <c r="S1402" s="142"/>
      <c r="T1402" s="143"/>
      <c r="U1402" s="144"/>
    </row>
    <row r="1403" spans="1:29" ht="15.6" x14ac:dyDescent="0.3">
      <c r="A1403" s="278">
        <v>43720</v>
      </c>
      <c r="B1403" s="217" t="s">
        <v>174</v>
      </c>
      <c r="C1403" s="44" t="s">
        <v>176</v>
      </c>
      <c r="D1403" s="44" t="s">
        <v>175</v>
      </c>
      <c r="E1403" s="61" t="s">
        <v>186</v>
      </c>
      <c r="F1403">
        <v>6981.14</v>
      </c>
      <c r="G1403">
        <v>7022.57</v>
      </c>
      <c r="H1403">
        <v>7021.64</v>
      </c>
      <c r="I1403">
        <v>7003.2</v>
      </c>
      <c r="J1403">
        <v>6907.05</v>
      </c>
      <c r="K1403">
        <v>6939.84</v>
      </c>
      <c r="L1403">
        <v>6999.84</v>
      </c>
      <c r="M1403">
        <v>7035.58</v>
      </c>
      <c r="N1403">
        <v>7043.64</v>
      </c>
      <c r="O1403" s="59">
        <f>IF((N1404=""),"",MAX(F1405:N1405))</f>
        <v>3877.42</v>
      </c>
      <c r="P1403" s="59">
        <f>IF(N1404="","",MIN(F1405:N1405))</f>
        <v>3546.4600000000009</v>
      </c>
      <c r="Q1403" s="60">
        <f>IF((N1405=""),"",AVERAGE(F1405:N1405))</f>
        <v>3742.0511111111118</v>
      </c>
      <c r="R1403" s="60">
        <f>IF((N1404=""),"",(O1403-P1403)/(O1403+P1403)*100)</f>
        <v>4.4580461968673939</v>
      </c>
      <c r="S1403" s="131">
        <f>STDEV(F1405:N1405)</f>
        <v>127.59618846623523</v>
      </c>
      <c r="T1403" s="137" t="str">
        <f>IF(N1404="","",IF(Q1403&gt;3650,IF(R1403&lt;7,IF(Q1403&lt;4450,"Pass","Fail"),"Fail"),"Fail"))</f>
        <v>Pass</v>
      </c>
      <c r="U1403" s="149">
        <v>74</v>
      </c>
      <c r="X1403" s="116">
        <v>3650</v>
      </c>
      <c r="Y1403" s="116">
        <v>4450</v>
      </c>
      <c r="Z1403" s="116">
        <v>3700</v>
      </c>
      <c r="AA1403" s="116">
        <v>4100</v>
      </c>
      <c r="AB1403" s="31">
        <v>7</v>
      </c>
      <c r="AC1403" s="31">
        <v>6.5</v>
      </c>
    </row>
    <row r="1404" spans="1:29" ht="15.6" x14ac:dyDescent="0.3">
      <c r="A1404" s="212"/>
      <c r="B1404" s="24"/>
      <c r="C1404" s="6"/>
      <c r="D1404" s="6"/>
      <c r="E1404" s="61" t="s">
        <v>187</v>
      </c>
      <c r="F1404">
        <v>5201.38</v>
      </c>
      <c r="G1404">
        <v>5122.8</v>
      </c>
      <c r="H1404">
        <v>5084.0200000000004</v>
      </c>
      <c r="I1404">
        <v>5084.03</v>
      </c>
      <c r="J1404">
        <v>5069.79</v>
      </c>
      <c r="K1404">
        <v>5166.6099999999997</v>
      </c>
      <c r="L1404">
        <v>5097.49</v>
      </c>
      <c r="M1404">
        <v>5096.87</v>
      </c>
      <c r="N1404">
        <v>5192.28</v>
      </c>
      <c r="O1404" s="61"/>
      <c r="P1404" s="61"/>
      <c r="Q1404" s="62"/>
      <c r="R1404" s="62"/>
      <c r="S1404" s="139"/>
      <c r="T1404" s="8"/>
      <c r="U1404" s="146"/>
      <c r="X1404" s="118"/>
      <c r="Y1404" s="118"/>
      <c r="Z1404" s="118"/>
      <c r="AA1404" s="118"/>
    </row>
    <row r="1405" spans="1:29" ht="23.4" thickBot="1" x14ac:dyDescent="0.35">
      <c r="A1405" s="212"/>
      <c r="B1405" s="24"/>
      <c r="C1405" s="6"/>
      <c r="D1405" s="6"/>
      <c r="E1405" s="61" t="s">
        <v>188</v>
      </c>
      <c r="F1405" s="40">
        <f t="shared" ref="F1405:N1405" si="463">IF(((F1403="")*AND(F1404="")),"",(F1403-F1404)*2)</f>
        <v>3559.5200000000004</v>
      </c>
      <c r="G1405" s="40">
        <f t="shared" si="463"/>
        <v>3799.5399999999991</v>
      </c>
      <c r="H1405" s="40">
        <f t="shared" si="463"/>
        <v>3875.24</v>
      </c>
      <c r="I1405" s="40">
        <f t="shared" si="463"/>
        <v>3838.34</v>
      </c>
      <c r="J1405" s="40">
        <f t="shared" si="463"/>
        <v>3674.5200000000004</v>
      </c>
      <c r="K1405" s="40">
        <f t="shared" si="463"/>
        <v>3546.4600000000009</v>
      </c>
      <c r="L1405" s="40">
        <f t="shared" si="463"/>
        <v>3804.7000000000007</v>
      </c>
      <c r="M1405" s="40">
        <f t="shared" si="463"/>
        <v>3877.42</v>
      </c>
      <c r="N1405" s="40">
        <f t="shared" si="463"/>
        <v>3702.7200000000012</v>
      </c>
      <c r="O1405" s="61"/>
      <c r="P1405" s="61"/>
      <c r="Q1405" s="62"/>
      <c r="R1405" s="62"/>
      <c r="S1405" s="139"/>
      <c r="T1405" s="8"/>
      <c r="U1405" s="146"/>
      <c r="X1405" s="118"/>
      <c r="Y1405" s="118"/>
      <c r="Z1405" s="118"/>
      <c r="AA1405" s="118"/>
    </row>
    <row r="1406" spans="1:29" ht="15.6" x14ac:dyDescent="0.3">
      <c r="A1406" s="278">
        <v>43720</v>
      </c>
      <c r="B1406" s="215" t="s">
        <v>169</v>
      </c>
      <c r="C1406" s="6" t="s">
        <v>171</v>
      </c>
      <c r="D1406" s="6" t="s">
        <v>189</v>
      </c>
      <c r="E1406" s="61" t="s">
        <v>186</v>
      </c>
      <c r="F1406">
        <v>1251.1300000000001</v>
      </c>
      <c r="G1406">
        <v>1223.33</v>
      </c>
      <c r="H1406">
        <v>1228.77</v>
      </c>
      <c r="I1406">
        <v>1229.57</v>
      </c>
      <c r="J1406">
        <v>1264.72</v>
      </c>
      <c r="K1406">
        <v>1260.81</v>
      </c>
      <c r="L1406">
        <v>1230.05</v>
      </c>
      <c r="M1406">
        <v>1223.26</v>
      </c>
      <c r="N1406">
        <v>1250.81</v>
      </c>
      <c r="O1406" s="61">
        <f>IF((N1407=""),"",MAX(F1408:N1408))</f>
        <v>2047.1100000000001</v>
      </c>
      <c r="P1406" s="61">
        <f>IF(N1407="","",MIN(F1408:N1408))</f>
        <v>1983.96</v>
      </c>
      <c r="Q1406" s="62">
        <f>IF((N1408=""),"",AVERAGE(F1408:N1408))</f>
        <v>2020.4533333333336</v>
      </c>
      <c r="R1406" s="62">
        <f>IF((N1407=""),"",(O1406-P1406)/(O1406+P1406)*100)</f>
        <v>1.566581577596025</v>
      </c>
      <c r="S1406" s="139">
        <f>STDEV(F1408:N1408)</f>
        <v>18.217702928744906</v>
      </c>
      <c r="T1406" s="5" t="str">
        <f>IF(N1407="","",IF(Q1406&gt;1940,IF(R1406&lt;8.3,IF(Q1406&lt;2180,"Pass","Fail"),"Fail"),"Fail"))</f>
        <v>Pass</v>
      </c>
      <c r="U1406" s="149">
        <v>74</v>
      </c>
      <c r="X1406" s="116">
        <v>2000</v>
      </c>
      <c r="Y1406" s="116">
        <v>3000</v>
      </c>
      <c r="Z1406" s="116">
        <v>1940</v>
      </c>
      <c r="AA1406" s="116">
        <v>2180</v>
      </c>
      <c r="AB1406" s="31">
        <v>5.2</v>
      </c>
      <c r="AC1406" s="31">
        <v>5.2</v>
      </c>
    </row>
    <row r="1407" spans="1:29" ht="15.6" x14ac:dyDescent="0.3">
      <c r="A1407" s="212"/>
      <c r="B1407" s="24"/>
      <c r="C1407" s="6"/>
      <c r="D1407" s="6"/>
      <c r="E1407" s="61" t="s">
        <v>187</v>
      </c>
      <c r="F1407">
        <v>578.08000000000004</v>
      </c>
      <c r="G1407">
        <v>547.69000000000005</v>
      </c>
      <c r="H1407">
        <v>546.4</v>
      </c>
      <c r="I1407">
        <v>555.32000000000005</v>
      </c>
      <c r="J1407">
        <v>603.4</v>
      </c>
      <c r="K1407">
        <v>585.42999999999995</v>
      </c>
      <c r="L1407">
        <v>558.35</v>
      </c>
      <c r="M1407">
        <v>544.16</v>
      </c>
      <c r="N1407">
        <v>582.26</v>
      </c>
      <c r="O1407" s="61"/>
      <c r="P1407" s="61"/>
      <c r="Q1407" s="62"/>
      <c r="R1407" s="62"/>
      <c r="S1407" s="139"/>
      <c r="T1407" s="5"/>
      <c r="U1407" s="140"/>
      <c r="X1407" s="118"/>
      <c r="Y1407" s="118"/>
      <c r="Z1407" s="118"/>
      <c r="AA1407" s="118"/>
    </row>
    <row r="1408" spans="1:29" ht="16.2" thickBot="1" x14ac:dyDescent="0.35">
      <c r="A1408" s="212"/>
      <c r="B1408" s="24"/>
      <c r="C1408" s="6"/>
      <c r="D1408" s="6"/>
      <c r="E1408" s="61" t="s">
        <v>190</v>
      </c>
      <c r="F1408" s="40">
        <f t="shared" ref="F1408:N1408" si="464">IF(((F1406="")*AND(F1407="")),"",(F1406-F1407)*3)</f>
        <v>2019.15</v>
      </c>
      <c r="G1408" s="40">
        <f t="shared" si="464"/>
        <v>2026.9199999999996</v>
      </c>
      <c r="H1408" s="40">
        <f t="shared" si="464"/>
        <v>2047.1100000000001</v>
      </c>
      <c r="I1408" s="40">
        <f t="shared" si="464"/>
        <v>2022.7499999999995</v>
      </c>
      <c r="J1408" s="40">
        <f t="shared" si="464"/>
        <v>1983.96</v>
      </c>
      <c r="K1408" s="40">
        <f t="shared" si="464"/>
        <v>2026.1399999999999</v>
      </c>
      <c r="L1408" s="40">
        <f t="shared" si="464"/>
        <v>2015.1</v>
      </c>
      <c r="M1408" s="40">
        <f t="shared" si="464"/>
        <v>2037.3000000000002</v>
      </c>
      <c r="N1408" s="40">
        <f t="shared" si="464"/>
        <v>2005.6499999999999</v>
      </c>
      <c r="O1408" s="61"/>
      <c r="P1408" s="61"/>
      <c r="Q1408" s="62"/>
      <c r="R1408" s="62"/>
      <c r="S1408" s="139"/>
      <c r="T1408" s="5"/>
      <c r="U1408" s="140"/>
      <c r="X1408" s="118"/>
      <c r="Y1408" s="118"/>
      <c r="Z1408" s="118"/>
      <c r="AA1408" s="118"/>
    </row>
    <row r="1409" spans="1:29" ht="15.6" x14ac:dyDescent="0.3">
      <c r="A1409" s="278">
        <v>43720</v>
      </c>
      <c r="B1409" s="218" t="s">
        <v>185</v>
      </c>
      <c r="C1409" s="6" t="s">
        <v>173</v>
      </c>
      <c r="D1409" s="6" t="s">
        <v>172</v>
      </c>
      <c r="E1409" s="61" t="s">
        <v>186</v>
      </c>
      <c r="F1409">
        <v>24115.29</v>
      </c>
      <c r="G1409">
        <v>24360.87</v>
      </c>
      <c r="H1409">
        <v>24452.41</v>
      </c>
      <c r="I1409">
        <v>24352.07</v>
      </c>
      <c r="J1409">
        <v>24046.18</v>
      </c>
      <c r="K1409">
        <v>24040.1</v>
      </c>
      <c r="L1409">
        <v>24344.400000000001</v>
      </c>
      <c r="M1409">
        <v>24339.96</v>
      </c>
      <c r="N1409">
        <v>24053.56</v>
      </c>
      <c r="O1409" s="61">
        <f>IF((N1410=""),"",MAX(F1411:N1411))</f>
        <v>4667.25</v>
      </c>
      <c r="P1409" s="61">
        <f>IF(N1410="","",MIN(F1411:N1411))</f>
        <v>4022.0699999999961</v>
      </c>
      <c r="Q1409" s="62">
        <f>IF((N1411=""),"",AVERAGE(F1411:N1411))</f>
        <v>4346.3733333333321</v>
      </c>
      <c r="R1409" s="62">
        <f>IF((N1410=""),"",(O1409-P1409)/(O1409+P1409)*100)</f>
        <v>7.4249768681554391</v>
      </c>
      <c r="S1409" s="139">
        <f>STDEV(F1411:N1411)</f>
        <v>269.31672228066401</v>
      </c>
      <c r="T1409" s="5" t="str">
        <f>IF(N1410="","",IF(R1409&lt;16,IF(Q1409&gt;3200,IF(R1409,IF(Q1409&lt;5240,"Pass","Fail"),"Fail"),"Fail")))</f>
        <v>Pass</v>
      </c>
      <c r="U1409" s="149">
        <v>74</v>
      </c>
      <c r="X1409" s="116">
        <v>4200</v>
      </c>
      <c r="Y1409" s="116">
        <v>5500</v>
      </c>
      <c r="Z1409" s="116">
        <v>3200</v>
      </c>
      <c r="AA1409" s="116">
        <v>5240</v>
      </c>
      <c r="AB1409" s="31">
        <v>16</v>
      </c>
      <c r="AC1409" s="31">
        <v>16</v>
      </c>
    </row>
    <row r="1410" spans="1:29" ht="15.6" x14ac:dyDescent="0.3">
      <c r="A1410" s="212"/>
      <c r="B1410" s="24"/>
      <c r="C1410" s="6"/>
      <c r="D1410" s="6"/>
      <c r="E1410" s="61" t="s">
        <v>187</v>
      </c>
      <c r="F1410">
        <v>22577.45</v>
      </c>
      <c r="G1410">
        <v>22982.560000000001</v>
      </c>
      <c r="H1410">
        <v>23111.72</v>
      </c>
      <c r="I1410">
        <v>22965.79</v>
      </c>
      <c r="J1410">
        <v>22490.43</v>
      </c>
      <c r="K1410">
        <v>22508.04</v>
      </c>
      <c r="L1410">
        <v>22959.14</v>
      </c>
      <c r="M1410">
        <v>22959.89</v>
      </c>
      <c r="N1410">
        <v>22510.7</v>
      </c>
      <c r="O1410" s="127"/>
      <c r="P1410" s="61"/>
      <c r="Q1410" s="62"/>
      <c r="R1410" s="62"/>
      <c r="S1410" s="139"/>
      <c r="T1410" s="5"/>
      <c r="U1410" s="140"/>
    </row>
    <row r="1411" spans="1:29" ht="23.4" thickBot="1" x14ac:dyDescent="0.35">
      <c r="A1411" s="212"/>
      <c r="B1411" s="63"/>
      <c r="C1411" s="64"/>
      <c r="D1411" s="64"/>
      <c r="E1411" s="61" t="s">
        <v>188</v>
      </c>
      <c r="F1411" s="53">
        <f t="shared" ref="F1411:N1411" si="465">IF(((F1409="")*AND(F1410="")),"",(F1409-F1410)*3)</f>
        <v>4613.5200000000004</v>
      </c>
      <c r="G1411" s="53">
        <f t="shared" si="465"/>
        <v>4134.929999999993</v>
      </c>
      <c r="H1411" s="53">
        <f t="shared" si="465"/>
        <v>4022.0699999999961</v>
      </c>
      <c r="I1411" s="53">
        <f t="shared" si="465"/>
        <v>4158.8399999999965</v>
      </c>
      <c r="J1411" s="53">
        <f t="shared" si="465"/>
        <v>4667.25</v>
      </c>
      <c r="K1411" s="53">
        <f t="shared" si="465"/>
        <v>4596.179999999993</v>
      </c>
      <c r="L1411" s="53">
        <f t="shared" si="465"/>
        <v>4155.7800000000061</v>
      </c>
      <c r="M1411" s="53">
        <f t="shared" si="465"/>
        <v>4140.2099999999991</v>
      </c>
      <c r="N1411" s="53">
        <f t="shared" si="465"/>
        <v>4628.5800000000017</v>
      </c>
      <c r="O1411" s="65"/>
      <c r="P1411" s="65"/>
      <c r="Q1411" s="66"/>
      <c r="R1411" s="66"/>
      <c r="S1411" s="142"/>
      <c r="T1411" s="143"/>
      <c r="U1411" s="144"/>
    </row>
    <row r="1412" spans="1:29" ht="15.6" x14ac:dyDescent="0.3">
      <c r="A1412" s="278">
        <v>43724</v>
      </c>
      <c r="B1412" s="217" t="s">
        <v>174</v>
      </c>
      <c r="C1412" s="44" t="s">
        <v>176</v>
      </c>
      <c r="D1412" s="44" t="s">
        <v>175</v>
      </c>
      <c r="E1412" s="61" t="s">
        <v>186</v>
      </c>
      <c r="F1412">
        <v>5205.8999999999996</v>
      </c>
      <c r="G1412">
        <v>5127.4799999999996</v>
      </c>
      <c r="H1412">
        <v>5088.34</v>
      </c>
      <c r="I1412">
        <v>5088.1400000000003</v>
      </c>
      <c r="J1412">
        <v>5074.07</v>
      </c>
      <c r="K1412">
        <v>5170.57</v>
      </c>
      <c r="L1412">
        <v>5101.5600000000004</v>
      </c>
      <c r="M1412">
        <v>5101.18</v>
      </c>
      <c r="N1412">
        <v>5196.96</v>
      </c>
      <c r="O1412" s="59">
        <f>IF((N1413=""),"",MAX(F1414:N1414))</f>
        <v>3736.5000000000009</v>
      </c>
      <c r="P1412" s="59">
        <f>IF(N1413="","",MIN(F1414:N1414))</f>
        <v>3514.1799999999994</v>
      </c>
      <c r="Q1412" s="60">
        <f>IF((N1414=""),"",AVERAGE(F1414:N1414))</f>
        <v>3654.8377777777778</v>
      </c>
      <c r="R1412" s="60">
        <f>IF((N1413=""),"",(O1412-P1412)/(O1412+P1412)*100)</f>
        <v>3.066195170659876</v>
      </c>
      <c r="S1412" s="131">
        <f>STDEV(F1414:N1414)</f>
        <v>82.858439790069141</v>
      </c>
      <c r="T1412" s="137" t="str">
        <f>IF(N1413="","",IF(Q1412&gt;3650,IF(R1412&lt;7,IF(Q1412&lt;4450,"Pass","Fail"),"Fail"),"Fail"))</f>
        <v>Pass</v>
      </c>
      <c r="U1412" s="149">
        <v>1340</v>
      </c>
      <c r="X1412" s="116">
        <v>3650</v>
      </c>
      <c r="Y1412" s="116">
        <v>4450</v>
      </c>
      <c r="Z1412" s="116">
        <v>3700</v>
      </c>
      <c r="AA1412" s="116">
        <v>4100</v>
      </c>
      <c r="AB1412" s="31">
        <v>7</v>
      </c>
      <c r="AC1412" s="31">
        <v>6.5</v>
      </c>
    </row>
    <row r="1413" spans="1:29" ht="15.6" x14ac:dyDescent="0.3">
      <c r="A1413" s="212"/>
      <c r="B1413" s="24"/>
      <c r="C1413" s="6"/>
      <c r="D1413" s="6"/>
      <c r="E1413" s="61" t="s">
        <v>187</v>
      </c>
      <c r="F1413">
        <v>3436.77</v>
      </c>
      <c r="G1413">
        <v>3278.8</v>
      </c>
      <c r="H1413">
        <v>3221.9</v>
      </c>
      <c r="I1413">
        <v>3231.17</v>
      </c>
      <c r="J1413">
        <v>3264.45</v>
      </c>
      <c r="K1413">
        <v>3413.48</v>
      </c>
      <c r="L1413">
        <v>3251.58</v>
      </c>
      <c r="M1413">
        <v>3232.93</v>
      </c>
      <c r="N1413">
        <v>3376.35</v>
      </c>
      <c r="O1413" s="61"/>
      <c r="P1413" s="61"/>
      <c r="Q1413" s="62"/>
      <c r="R1413" s="62"/>
      <c r="S1413" s="139"/>
      <c r="T1413" s="8"/>
      <c r="U1413" s="146"/>
      <c r="X1413" s="118"/>
      <c r="Y1413" s="118"/>
      <c r="Z1413" s="118"/>
      <c r="AA1413" s="118"/>
    </row>
    <row r="1414" spans="1:29" ht="23.4" thickBot="1" x14ac:dyDescent="0.35">
      <c r="A1414" s="212"/>
      <c r="B1414" s="24"/>
      <c r="C1414" s="6"/>
      <c r="D1414" s="6"/>
      <c r="E1414" s="61" t="s">
        <v>188</v>
      </c>
      <c r="F1414" s="40">
        <f t="shared" ref="F1414:N1414" si="466">IF(((F1412="")*AND(F1413="")),"",(F1412-F1413)*2)</f>
        <v>3538.2599999999993</v>
      </c>
      <c r="G1414" s="40">
        <f t="shared" si="466"/>
        <v>3697.3599999999988</v>
      </c>
      <c r="H1414" s="40">
        <f t="shared" si="466"/>
        <v>3732.88</v>
      </c>
      <c r="I1414" s="40">
        <f t="shared" si="466"/>
        <v>3713.9400000000005</v>
      </c>
      <c r="J1414" s="40">
        <f t="shared" si="466"/>
        <v>3619.24</v>
      </c>
      <c r="K1414" s="40">
        <f t="shared" si="466"/>
        <v>3514.1799999999994</v>
      </c>
      <c r="L1414" s="40">
        <f t="shared" si="466"/>
        <v>3699.9600000000009</v>
      </c>
      <c r="M1414" s="40">
        <f t="shared" si="466"/>
        <v>3736.5000000000009</v>
      </c>
      <c r="N1414" s="40">
        <f t="shared" si="466"/>
        <v>3641.2200000000003</v>
      </c>
      <c r="O1414" s="61"/>
      <c r="P1414" s="61"/>
      <c r="Q1414" s="62"/>
      <c r="R1414" s="62"/>
      <c r="S1414" s="139"/>
      <c r="T1414" s="8"/>
      <c r="U1414" s="146"/>
      <c r="X1414" s="118"/>
      <c r="Y1414" s="118"/>
      <c r="Z1414" s="118"/>
      <c r="AA1414" s="118"/>
    </row>
    <row r="1415" spans="1:29" ht="15.6" x14ac:dyDescent="0.3">
      <c r="A1415" s="278">
        <v>43724</v>
      </c>
      <c r="B1415" s="215" t="s">
        <v>169</v>
      </c>
      <c r="C1415" s="6" t="s">
        <v>171</v>
      </c>
      <c r="D1415" s="6" t="s">
        <v>189</v>
      </c>
      <c r="E1415" s="61" t="s">
        <v>186</v>
      </c>
      <c r="F1415">
        <v>1943.79</v>
      </c>
      <c r="G1415">
        <v>1936</v>
      </c>
      <c r="H1415">
        <v>1928.43</v>
      </c>
      <c r="I1415">
        <v>1937.36</v>
      </c>
      <c r="J1415">
        <v>1948.61</v>
      </c>
      <c r="K1415">
        <v>1947.91</v>
      </c>
      <c r="L1415">
        <v>1939.39</v>
      </c>
      <c r="M1415">
        <v>1936.11</v>
      </c>
      <c r="N1415">
        <v>1943.36</v>
      </c>
      <c r="O1415" s="61">
        <f>IF((N1416=""),"",MAX(F1417:N1417))</f>
        <v>2092.9800000000005</v>
      </c>
      <c r="P1415" s="61">
        <f>IF(N1416="","",MIN(F1417:N1417))</f>
        <v>2014.7099999999998</v>
      </c>
      <c r="Q1415" s="62">
        <f>IF((N1417=""),"",AVERAGE(F1417:N1417))</f>
        <v>2045.1433333333334</v>
      </c>
      <c r="R1415" s="62">
        <f>IF((N1416=""),"",(O1415-P1415)/(O1415+P1415)*100)</f>
        <v>1.905450508680077</v>
      </c>
      <c r="S1415" s="139">
        <f>STDEV(F1417:N1417)</f>
        <v>26.232092939756146</v>
      </c>
      <c r="T1415" s="5" t="str">
        <f>IF(N1416="","",IF(Q1415&gt;1940,IF(R1415&lt;8.3,IF(Q1415&lt;2180,"Pass","Fail"),"Fail"),"Fail"))</f>
        <v>Pass</v>
      </c>
      <c r="U1415" s="149">
        <v>1340</v>
      </c>
      <c r="X1415" s="116">
        <v>2000</v>
      </c>
      <c r="Y1415" s="116">
        <v>3000</v>
      </c>
      <c r="Z1415" s="116">
        <v>1940</v>
      </c>
      <c r="AA1415" s="116">
        <v>2180</v>
      </c>
      <c r="AB1415" s="31">
        <v>5.2</v>
      </c>
      <c r="AC1415" s="31">
        <v>5.2</v>
      </c>
    </row>
    <row r="1416" spans="1:29" ht="15.6" x14ac:dyDescent="0.3">
      <c r="A1416" s="212"/>
      <c r="B1416" s="24"/>
      <c r="C1416" s="6"/>
      <c r="D1416" s="6"/>
      <c r="E1416" s="61" t="s">
        <v>187</v>
      </c>
      <c r="F1416">
        <v>1257.04</v>
      </c>
      <c r="G1416">
        <v>1264.43</v>
      </c>
      <c r="H1416">
        <v>1256.77</v>
      </c>
      <c r="I1416">
        <v>1259.03</v>
      </c>
      <c r="J1416">
        <v>1260.53</v>
      </c>
      <c r="K1416">
        <v>1250.25</v>
      </c>
      <c r="L1416">
        <v>1263.05</v>
      </c>
      <c r="M1416">
        <v>1258.3800000000001</v>
      </c>
      <c r="N1416">
        <v>1256.05</v>
      </c>
      <c r="O1416" s="61"/>
      <c r="P1416" s="61"/>
      <c r="Q1416" s="62"/>
      <c r="R1416" s="62"/>
      <c r="S1416" s="139"/>
      <c r="T1416" s="5"/>
      <c r="U1416" s="140"/>
      <c r="X1416" s="118"/>
      <c r="Y1416" s="118"/>
      <c r="Z1416" s="118"/>
      <c r="AA1416" s="118"/>
    </row>
    <row r="1417" spans="1:29" ht="16.2" thickBot="1" x14ac:dyDescent="0.35">
      <c r="A1417" s="212"/>
      <c r="B1417" s="24"/>
      <c r="C1417" s="6"/>
      <c r="D1417" s="6"/>
      <c r="E1417" s="61" t="s">
        <v>190</v>
      </c>
      <c r="F1417" s="40">
        <f t="shared" ref="F1417:N1417" si="467">IF(((F1415="")*AND(F1416="")),"",(F1415-F1416)*3)</f>
        <v>2060.25</v>
      </c>
      <c r="G1417" s="40">
        <f t="shared" si="467"/>
        <v>2014.7099999999998</v>
      </c>
      <c r="H1417" s="40">
        <f t="shared" si="467"/>
        <v>2014.9800000000002</v>
      </c>
      <c r="I1417" s="40">
        <f t="shared" si="467"/>
        <v>2034.9899999999998</v>
      </c>
      <c r="J1417" s="40">
        <f t="shared" si="467"/>
        <v>2064.2399999999998</v>
      </c>
      <c r="K1417" s="40">
        <f t="shared" si="467"/>
        <v>2092.9800000000005</v>
      </c>
      <c r="L1417" s="40">
        <f t="shared" si="467"/>
        <v>2029.0200000000004</v>
      </c>
      <c r="M1417" s="40">
        <f t="shared" si="467"/>
        <v>2033.1899999999994</v>
      </c>
      <c r="N1417" s="40">
        <f t="shared" si="467"/>
        <v>2061.9299999999998</v>
      </c>
      <c r="O1417" s="61"/>
      <c r="P1417" s="61"/>
      <c r="Q1417" s="62"/>
      <c r="R1417" s="62"/>
      <c r="S1417" s="139"/>
      <c r="T1417" s="5"/>
      <c r="U1417" s="140"/>
      <c r="X1417" s="118"/>
      <c r="Y1417" s="118"/>
      <c r="Z1417" s="118"/>
      <c r="AA1417" s="118"/>
    </row>
    <row r="1418" spans="1:29" ht="15.6" x14ac:dyDescent="0.3">
      <c r="A1418" s="278">
        <v>43724</v>
      </c>
      <c r="B1418" s="218" t="s">
        <v>185</v>
      </c>
      <c r="C1418" s="6" t="s">
        <v>173</v>
      </c>
      <c r="D1418" s="6" t="s">
        <v>172</v>
      </c>
      <c r="E1418" s="61" t="s">
        <v>186</v>
      </c>
      <c r="F1418">
        <v>29392.03</v>
      </c>
      <c r="G1418">
        <v>29246.29</v>
      </c>
      <c r="H1418">
        <v>29273.45</v>
      </c>
      <c r="I1418">
        <v>29236.09</v>
      </c>
      <c r="J1418">
        <v>29326.58</v>
      </c>
      <c r="K1418">
        <v>29365.7</v>
      </c>
      <c r="L1418">
        <v>29242.09</v>
      </c>
      <c r="M1418">
        <v>29231.27</v>
      </c>
      <c r="N1418">
        <v>29343.3</v>
      </c>
      <c r="O1418" s="61">
        <f>IF((N1419=""),"",MAX(F1420:N1420))</f>
        <v>4682.4900000000052</v>
      </c>
      <c r="P1418" s="61">
        <f>IF(N1419="","",MIN(F1420:N1420))</f>
        <v>4099.2299999999996</v>
      </c>
      <c r="Q1418" s="62">
        <f>IF((N1420=""),"",AVERAGE(F1420:N1420))</f>
        <v>4394.220000000003</v>
      </c>
      <c r="R1418" s="62">
        <f>IF((N1419=""),"",(O1418-P1418)/(O1418+P1418)*100)</f>
        <v>6.6417512742379099</v>
      </c>
      <c r="S1418" s="139">
        <f>STDEV(F1420:N1420)</f>
        <v>251.74183740490889</v>
      </c>
      <c r="T1418" s="5" t="str">
        <f>IF(N1419="","",IF(R1418&lt;16,IF(Q1418&gt;3200,IF(R1418,IF(Q1418&lt;5240,"Pass","Fail"),"Fail"),"Fail")))</f>
        <v>Pass</v>
      </c>
      <c r="U1418" s="149">
        <v>1340</v>
      </c>
      <c r="X1418" s="116">
        <v>4200</v>
      </c>
      <c r="Y1418" s="116">
        <v>5500</v>
      </c>
      <c r="Z1418" s="116">
        <v>3200</v>
      </c>
      <c r="AA1418" s="116">
        <v>5240</v>
      </c>
      <c r="AB1418" s="31">
        <v>16</v>
      </c>
      <c r="AC1418" s="31">
        <v>16</v>
      </c>
    </row>
    <row r="1419" spans="1:29" ht="15.6" x14ac:dyDescent="0.3">
      <c r="A1419" s="212"/>
      <c r="B1419" s="24"/>
      <c r="C1419" s="6"/>
      <c r="D1419" s="6"/>
      <c r="E1419" s="61" t="s">
        <v>187</v>
      </c>
      <c r="F1419">
        <v>27846.06</v>
      </c>
      <c r="G1419">
        <v>27850.6</v>
      </c>
      <c r="H1419">
        <v>27907.040000000001</v>
      </c>
      <c r="I1419">
        <v>27830.26</v>
      </c>
      <c r="J1419">
        <v>27769.439999999999</v>
      </c>
      <c r="K1419">
        <v>27804.87</v>
      </c>
      <c r="L1419">
        <v>27830.42</v>
      </c>
      <c r="M1419">
        <v>27836.52</v>
      </c>
      <c r="N1419">
        <v>27798.93</v>
      </c>
      <c r="O1419" s="127"/>
      <c r="P1419" s="61"/>
      <c r="Q1419" s="62"/>
      <c r="R1419" s="62"/>
      <c r="S1419" s="139"/>
      <c r="T1419" s="5"/>
      <c r="U1419" s="140"/>
    </row>
    <row r="1420" spans="1:29" ht="23.4" thickBot="1" x14ac:dyDescent="0.35">
      <c r="A1420" s="212"/>
      <c r="B1420" s="63"/>
      <c r="C1420" s="64"/>
      <c r="D1420" s="64"/>
      <c r="E1420" s="61" t="s">
        <v>188</v>
      </c>
      <c r="F1420" s="53">
        <f t="shared" ref="F1420:N1420" si="468">IF(((F1418="")*AND(F1419="")),"",(F1418-F1419)*3)</f>
        <v>4637.9099999999926</v>
      </c>
      <c r="G1420" s="53">
        <f t="shared" si="468"/>
        <v>4187.070000000007</v>
      </c>
      <c r="H1420" s="53">
        <f t="shared" si="468"/>
        <v>4099.2299999999996</v>
      </c>
      <c r="I1420" s="53">
        <f t="shared" si="468"/>
        <v>4217.4900000000052</v>
      </c>
      <c r="J1420" s="53">
        <f t="shared" si="468"/>
        <v>4671.4200000000092</v>
      </c>
      <c r="K1420" s="53">
        <f t="shared" si="468"/>
        <v>4682.4900000000052</v>
      </c>
      <c r="L1420" s="53">
        <f t="shared" si="468"/>
        <v>4235.0100000000057</v>
      </c>
      <c r="M1420" s="53">
        <f t="shared" si="468"/>
        <v>4184.25</v>
      </c>
      <c r="N1420" s="53">
        <f t="shared" si="468"/>
        <v>4633.1099999999969</v>
      </c>
      <c r="O1420" s="65"/>
      <c r="P1420" s="65"/>
      <c r="Q1420" s="66"/>
      <c r="R1420" s="66"/>
      <c r="S1420" s="142"/>
      <c r="T1420" s="143"/>
      <c r="U1420" s="144"/>
    </row>
    <row r="1421" spans="1:29" ht="15.6" x14ac:dyDescent="0.3">
      <c r="A1421" s="278">
        <v>43725</v>
      </c>
      <c r="B1421" s="217" t="s">
        <v>174</v>
      </c>
      <c r="C1421" s="44" t="s">
        <v>176</v>
      </c>
      <c r="D1421" s="44" t="s">
        <v>175</v>
      </c>
      <c r="E1421" s="61" t="s">
        <v>186</v>
      </c>
      <c r="F1421">
        <v>7020.05</v>
      </c>
      <c r="G1421">
        <v>6996.06</v>
      </c>
      <c r="H1421">
        <v>7026.69</v>
      </c>
      <c r="I1421">
        <v>6988.86</v>
      </c>
      <c r="J1421">
        <v>7041.09</v>
      </c>
      <c r="K1421">
        <v>6986</v>
      </c>
      <c r="L1421">
        <v>6985.55</v>
      </c>
      <c r="M1421">
        <v>7021.36</v>
      </c>
      <c r="N1421">
        <v>7085.43</v>
      </c>
      <c r="O1421" s="59">
        <f>IF((N1422=""),"",MAX(F1423:N1423))</f>
        <v>3157.7199999999993</v>
      </c>
      <c r="P1421" s="59">
        <f>IF(N1422="","",MIN(F1423:N1423))</f>
        <v>1977</v>
      </c>
      <c r="Q1421" s="60">
        <f>IF((N1423=""),"",AVERAGE(F1423:N1423))</f>
        <v>2402.1022222222218</v>
      </c>
      <c r="R1421" s="60">
        <f>IF((N1422=""),"",(O1421-P1421)/(O1421+P1421)*100)</f>
        <v>22.99482737130748</v>
      </c>
      <c r="S1421" s="131">
        <f>STDEV(F1423:N1423)</f>
        <v>424.19015175324978</v>
      </c>
      <c r="T1421" s="137" t="str">
        <f>IF(N1422="","",IF(Q1421&gt;3650,IF(R1421&lt;7,IF(Q1421&lt;4450,"Pass","Fail"),"Fail"),"Fail"))</f>
        <v>Fail</v>
      </c>
      <c r="U1421" s="149">
        <v>1159</v>
      </c>
      <c r="X1421" s="116">
        <v>3650</v>
      </c>
      <c r="Y1421" s="116">
        <v>4450</v>
      </c>
      <c r="Z1421" s="116">
        <v>3700</v>
      </c>
      <c r="AA1421" s="116">
        <v>4100</v>
      </c>
      <c r="AB1421" s="31">
        <v>7</v>
      </c>
      <c r="AC1421" s="31">
        <v>6.5</v>
      </c>
    </row>
    <row r="1422" spans="1:29" ht="15.6" x14ac:dyDescent="0.3">
      <c r="A1422" s="212"/>
      <c r="B1422" s="24"/>
      <c r="C1422" s="6"/>
      <c r="D1422" s="6"/>
      <c r="E1422" s="61" t="s">
        <v>187</v>
      </c>
      <c r="F1422">
        <v>5613.14</v>
      </c>
      <c r="G1422">
        <v>5940.71</v>
      </c>
      <c r="H1422">
        <v>6038.19</v>
      </c>
      <c r="I1422">
        <v>5922.58</v>
      </c>
      <c r="J1422">
        <v>5658.46</v>
      </c>
      <c r="K1422">
        <v>5407.14</v>
      </c>
      <c r="L1422">
        <v>5894.35</v>
      </c>
      <c r="M1422">
        <v>6027.92</v>
      </c>
      <c r="N1422">
        <v>5839.14</v>
      </c>
      <c r="O1422" s="61"/>
      <c r="P1422" s="61"/>
      <c r="Q1422" s="62"/>
      <c r="R1422" s="62"/>
      <c r="S1422" s="139"/>
      <c r="T1422" s="8"/>
      <c r="U1422" s="146"/>
      <c r="X1422" s="118"/>
      <c r="Y1422" s="118"/>
      <c r="Z1422" s="118"/>
      <c r="AA1422" s="118"/>
    </row>
    <row r="1423" spans="1:29" ht="23.4" thickBot="1" x14ac:dyDescent="0.35">
      <c r="A1423" s="212"/>
      <c r="B1423" s="24"/>
      <c r="C1423" s="6"/>
      <c r="D1423" s="6"/>
      <c r="E1423" s="61" t="s">
        <v>188</v>
      </c>
      <c r="F1423" s="40">
        <f t="shared" ref="F1423:N1423" si="469">IF(((F1421="")*AND(F1422="")),"",(F1421-F1422)*2)</f>
        <v>2813.8199999999997</v>
      </c>
      <c r="G1423" s="40">
        <f t="shared" si="469"/>
        <v>2110.7000000000007</v>
      </c>
      <c r="H1423" s="40">
        <f t="shared" si="469"/>
        <v>1977</v>
      </c>
      <c r="I1423" s="40">
        <f t="shared" si="469"/>
        <v>2132.5599999999995</v>
      </c>
      <c r="J1423" s="40">
        <f t="shared" si="469"/>
        <v>2765.26</v>
      </c>
      <c r="K1423" s="40">
        <f t="shared" si="469"/>
        <v>3157.7199999999993</v>
      </c>
      <c r="L1423" s="40">
        <f t="shared" si="469"/>
        <v>2182.3999999999996</v>
      </c>
      <c r="M1423" s="40">
        <f t="shared" si="469"/>
        <v>1986.8799999999992</v>
      </c>
      <c r="N1423" s="40">
        <f t="shared" si="469"/>
        <v>2492.58</v>
      </c>
      <c r="O1423" s="61"/>
      <c r="P1423" s="61"/>
      <c r="Q1423" s="62"/>
      <c r="R1423" s="62"/>
      <c r="S1423" s="139"/>
      <c r="T1423" s="8"/>
      <c r="U1423" s="146"/>
      <c r="X1423" s="118"/>
      <c r="Y1423" s="118"/>
      <c r="Z1423" s="118"/>
      <c r="AA1423" s="118"/>
    </row>
    <row r="1424" spans="1:29" ht="15.6" x14ac:dyDescent="0.3">
      <c r="A1424" s="278">
        <v>43725</v>
      </c>
      <c r="B1424" s="215" t="s">
        <v>169</v>
      </c>
      <c r="C1424" s="6" t="s">
        <v>171</v>
      </c>
      <c r="D1424" s="6" t="s">
        <v>189</v>
      </c>
      <c r="E1424" s="61" t="s">
        <v>186</v>
      </c>
      <c r="F1424">
        <v>1259.3599999999999</v>
      </c>
      <c r="G1424">
        <v>1265.8399999999999</v>
      </c>
      <c r="H1424">
        <v>1262.74</v>
      </c>
      <c r="I1424">
        <v>1260.72</v>
      </c>
      <c r="J1424">
        <v>1265.03</v>
      </c>
      <c r="K1424">
        <v>1253.69</v>
      </c>
      <c r="L1424">
        <v>1266.47</v>
      </c>
      <c r="M1424">
        <v>1260.6199999999999</v>
      </c>
      <c r="N1424">
        <v>1259.2</v>
      </c>
      <c r="O1424" s="61">
        <f>IF((N1425=""),"",MAX(F1426:N1426))</f>
        <v>1979.8500000000001</v>
      </c>
      <c r="P1424" s="61">
        <f>IF(N1425="","",MIN(F1426:N1426))</f>
        <v>1914.3899999999999</v>
      </c>
      <c r="Q1424" s="62">
        <f>IF((N1426=""),"",AVERAGE(F1426:N1426))</f>
        <v>1943.5633333333333</v>
      </c>
      <c r="R1424" s="62">
        <f>IF((N1425=""),"",(O1424-P1424)/(O1424+P1424)*100)</f>
        <v>1.6809441636879152</v>
      </c>
      <c r="S1424" s="139">
        <f>STDEV(F1426:N1426)</f>
        <v>19.602022217108122</v>
      </c>
      <c r="T1424" s="5" t="str">
        <f>IF(N1425="","",IF(Q1424&gt;1940,IF(R1424&lt;8.3,IF(Q1424&lt;2180,"Pass","Fail"),"Fail"),"Fail"))</f>
        <v>Pass</v>
      </c>
      <c r="U1424" s="149">
        <v>1159</v>
      </c>
      <c r="X1424" s="116">
        <v>2000</v>
      </c>
      <c r="Y1424" s="116">
        <v>3000</v>
      </c>
      <c r="Z1424" s="116">
        <v>1940</v>
      </c>
      <c r="AA1424" s="116">
        <v>2180</v>
      </c>
      <c r="AB1424" s="31">
        <v>5.2</v>
      </c>
      <c r="AC1424" s="31">
        <v>5.2</v>
      </c>
    </row>
    <row r="1425" spans="1:29" ht="15.6" x14ac:dyDescent="0.3">
      <c r="A1425" s="212"/>
      <c r="B1425" s="24"/>
      <c r="C1425" s="6"/>
      <c r="D1425" s="6"/>
      <c r="E1425" s="61" t="s">
        <v>187</v>
      </c>
      <c r="F1425">
        <v>604.79999999999995</v>
      </c>
      <c r="G1425">
        <v>617.84</v>
      </c>
      <c r="H1425">
        <v>613.59</v>
      </c>
      <c r="I1425">
        <v>616.78</v>
      </c>
      <c r="J1425">
        <v>626.9</v>
      </c>
      <c r="K1425">
        <v>593.74</v>
      </c>
      <c r="L1425">
        <v>619.63</v>
      </c>
      <c r="M1425">
        <v>612.24</v>
      </c>
      <c r="N1425">
        <v>617.46</v>
      </c>
      <c r="O1425" s="61"/>
      <c r="P1425" s="61"/>
      <c r="Q1425" s="62"/>
      <c r="R1425" s="62"/>
      <c r="S1425" s="139"/>
      <c r="T1425" s="5"/>
      <c r="U1425" s="140"/>
      <c r="X1425" s="118"/>
      <c r="Y1425" s="118"/>
      <c r="Z1425" s="118"/>
      <c r="AA1425" s="118"/>
    </row>
    <row r="1426" spans="1:29" ht="16.2" thickBot="1" x14ac:dyDescent="0.35">
      <c r="A1426" s="212"/>
      <c r="B1426" s="24"/>
      <c r="C1426" s="6"/>
      <c r="D1426" s="6"/>
      <c r="E1426" s="61" t="s">
        <v>190</v>
      </c>
      <c r="F1426" s="40">
        <f t="shared" ref="F1426:N1426" si="470">IF(((F1424="")*AND(F1425="")),"",(F1424-F1425)*3)</f>
        <v>1963.6799999999998</v>
      </c>
      <c r="G1426" s="40">
        <f t="shared" si="470"/>
        <v>1943.9999999999995</v>
      </c>
      <c r="H1426" s="40">
        <f t="shared" si="470"/>
        <v>1947.4499999999998</v>
      </c>
      <c r="I1426" s="40">
        <f t="shared" si="470"/>
        <v>1931.8200000000002</v>
      </c>
      <c r="J1426" s="40">
        <f t="shared" si="470"/>
        <v>1914.3899999999999</v>
      </c>
      <c r="K1426" s="40">
        <f t="shared" si="470"/>
        <v>1979.8500000000001</v>
      </c>
      <c r="L1426" s="40">
        <f t="shared" si="470"/>
        <v>1940.52</v>
      </c>
      <c r="M1426" s="40">
        <f t="shared" si="470"/>
        <v>1945.1399999999996</v>
      </c>
      <c r="N1426" s="40">
        <f t="shared" si="470"/>
        <v>1925.22</v>
      </c>
      <c r="O1426" s="61"/>
      <c r="P1426" s="61"/>
      <c r="Q1426" s="62"/>
      <c r="R1426" s="62"/>
      <c r="S1426" s="139"/>
      <c r="T1426" s="5"/>
      <c r="U1426" s="140"/>
      <c r="X1426" s="118"/>
      <c r="Y1426" s="118"/>
      <c r="Z1426" s="118"/>
      <c r="AA1426" s="118"/>
    </row>
    <row r="1427" spans="1:29" ht="15.6" x14ac:dyDescent="0.3">
      <c r="A1427" s="278">
        <v>43725</v>
      </c>
      <c r="B1427" s="218" t="s">
        <v>185</v>
      </c>
      <c r="C1427" s="6" t="s">
        <v>173</v>
      </c>
      <c r="D1427" s="6" t="s">
        <v>172</v>
      </c>
      <c r="E1427" s="61" t="s">
        <v>186</v>
      </c>
      <c r="F1427">
        <v>27827.83</v>
      </c>
      <c r="G1427">
        <v>27834.5</v>
      </c>
      <c r="H1427">
        <v>27888.48</v>
      </c>
      <c r="I1427">
        <v>27811.52</v>
      </c>
      <c r="J1427">
        <v>27748.7</v>
      </c>
      <c r="K1427">
        <v>27775</v>
      </c>
      <c r="L1427">
        <v>27807.66</v>
      </c>
      <c r="M1427">
        <v>27817.99</v>
      </c>
      <c r="N1427">
        <v>27781.040000000001</v>
      </c>
      <c r="O1427" s="61">
        <f>IF((N1428=""),"",MAX(F1429:N1429))</f>
        <v>4638.6000000000022</v>
      </c>
      <c r="P1427" s="61">
        <f>IF(N1428="","",MIN(F1429:N1429))</f>
        <v>3976.4100000000035</v>
      </c>
      <c r="Q1427" s="62">
        <f>IF((N1429=""),"",AVERAGE(F1429:N1429))</f>
        <v>4295.4033333333336</v>
      </c>
      <c r="R1427" s="62">
        <f>IF((N1428=""),"",(O1427-P1427)/(O1427+P1427)*100)</f>
        <v>7.6864681526776906</v>
      </c>
      <c r="S1427" s="139">
        <f>STDEV(F1429:N1429)</f>
        <v>260.72611467783685</v>
      </c>
      <c r="T1427" s="5" t="str">
        <f>IF(N1428="","",IF(R1427&lt;16,IF(Q1427&gt;3200,IF(R1427,IF(Q1427&lt;5240,"Pass","Fail"),"Fail"),"Fail")))</f>
        <v>Pass</v>
      </c>
      <c r="U1427" s="149">
        <v>1159</v>
      </c>
      <c r="X1427" s="116">
        <v>4200</v>
      </c>
      <c r="Y1427" s="116">
        <v>5500</v>
      </c>
      <c r="Z1427" s="116">
        <v>3200</v>
      </c>
      <c r="AA1427" s="116">
        <v>5240</v>
      </c>
      <c r="AB1427" s="31">
        <v>16</v>
      </c>
      <c r="AC1427" s="31">
        <v>16</v>
      </c>
    </row>
    <row r="1428" spans="1:29" ht="15.6" x14ac:dyDescent="0.3">
      <c r="A1428" s="212"/>
      <c r="B1428" s="24"/>
      <c r="C1428" s="6"/>
      <c r="D1428" s="6"/>
      <c r="E1428" s="61" t="s">
        <v>187</v>
      </c>
      <c r="F1428">
        <v>26302.21</v>
      </c>
      <c r="G1428">
        <v>26457.27</v>
      </c>
      <c r="H1428">
        <v>26563.01</v>
      </c>
      <c r="I1428">
        <v>26445.08</v>
      </c>
      <c r="J1428">
        <v>26234.84</v>
      </c>
      <c r="K1428">
        <v>26276.15</v>
      </c>
      <c r="L1428">
        <v>26450.38</v>
      </c>
      <c r="M1428">
        <v>26442.73</v>
      </c>
      <c r="N1428">
        <v>26234.84</v>
      </c>
      <c r="O1428" s="127"/>
      <c r="P1428" s="61"/>
      <c r="Q1428" s="62"/>
      <c r="R1428" s="62"/>
      <c r="S1428" s="139"/>
      <c r="T1428" s="5"/>
      <c r="U1428" s="140"/>
    </row>
    <row r="1429" spans="1:29" ht="23.4" thickBot="1" x14ac:dyDescent="0.35">
      <c r="A1429" s="212"/>
      <c r="B1429" s="63"/>
      <c r="C1429" s="64"/>
      <c r="D1429" s="64"/>
      <c r="E1429" s="61" t="s">
        <v>188</v>
      </c>
      <c r="F1429" s="53">
        <f t="shared" ref="F1429:N1429" si="471">IF(((F1427="")*AND(F1428="")),"",(F1427-F1428)*3)</f>
        <v>4576.8600000000079</v>
      </c>
      <c r="G1429" s="53">
        <f t="shared" si="471"/>
        <v>4131.6899999999987</v>
      </c>
      <c r="H1429" s="53">
        <f t="shared" si="471"/>
        <v>3976.4100000000035</v>
      </c>
      <c r="I1429" s="53">
        <f t="shared" si="471"/>
        <v>4099.3199999999961</v>
      </c>
      <c r="J1429" s="53">
        <f t="shared" si="471"/>
        <v>4541.5800000000017</v>
      </c>
      <c r="K1429" s="53">
        <f t="shared" si="471"/>
        <v>4496.5499999999956</v>
      </c>
      <c r="L1429" s="53">
        <f t="shared" si="471"/>
        <v>4071.8399999999965</v>
      </c>
      <c r="M1429" s="53">
        <f t="shared" si="471"/>
        <v>4125.7800000000061</v>
      </c>
      <c r="N1429" s="53">
        <f t="shared" si="471"/>
        <v>4638.6000000000022</v>
      </c>
      <c r="O1429" s="65"/>
      <c r="P1429" s="65"/>
      <c r="Q1429" s="66"/>
      <c r="R1429" s="66"/>
      <c r="S1429" s="142"/>
      <c r="T1429" s="143"/>
      <c r="U1429" s="144"/>
    </row>
    <row r="1430" spans="1:29" ht="15.6" x14ac:dyDescent="0.3">
      <c r="A1430" s="278">
        <v>43726</v>
      </c>
      <c r="B1430" s="217" t="s">
        <v>174</v>
      </c>
      <c r="C1430" s="44" t="s">
        <v>176</v>
      </c>
      <c r="D1430" s="44" t="s">
        <v>175</v>
      </c>
      <c r="E1430" s="61" t="s">
        <v>186</v>
      </c>
      <c r="F1430">
        <v>7116.24</v>
      </c>
      <c r="G1430">
        <v>7118.49</v>
      </c>
      <c r="H1430">
        <v>7132</v>
      </c>
      <c r="I1430">
        <v>7108.04</v>
      </c>
      <c r="J1430">
        <v>7032.69</v>
      </c>
      <c r="K1430">
        <v>7087.29</v>
      </c>
      <c r="L1430">
        <v>7097.91</v>
      </c>
      <c r="M1430">
        <v>7151.69</v>
      </c>
      <c r="N1430">
        <v>7154.26</v>
      </c>
      <c r="O1430" s="59">
        <f>IF((N1431=""),"",MAX(F1432:N1432))</f>
        <v>3830.6799999999985</v>
      </c>
      <c r="P1430" s="59">
        <f>IF(N1431="","",MIN(F1432:N1432))</f>
        <v>3569.84</v>
      </c>
      <c r="Q1430" s="60">
        <f>IF((N1432=""),"",AVERAGE(F1432:N1432))</f>
        <v>3748.74</v>
      </c>
      <c r="R1430" s="60">
        <f>IF((N1431=""),"",(O1430-P1430)/(O1430+P1430)*100)</f>
        <v>3.5246171890623685</v>
      </c>
      <c r="S1430" s="131">
        <f>STDEV(F1432:N1432)</f>
        <v>97.582910389063372</v>
      </c>
      <c r="T1430" s="137" t="str">
        <f>IF(N1431="","",IF(Q1430&gt;3650,IF(R1430&lt;7,IF(Q1430&lt;4450,"Pass","Fail"),"Fail"),"Fail"))</f>
        <v>Pass</v>
      </c>
      <c r="U1430" s="149">
        <v>64</v>
      </c>
      <c r="X1430" s="116">
        <v>3650</v>
      </c>
      <c r="Y1430" s="116">
        <v>4450</v>
      </c>
      <c r="Z1430" s="116">
        <v>3700</v>
      </c>
      <c r="AA1430" s="116">
        <v>4100</v>
      </c>
      <c r="AB1430" s="31">
        <v>7</v>
      </c>
      <c r="AC1430" s="31">
        <v>6.5</v>
      </c>
    </row>
    <row r="1431" spans="1:29" ht="15.6" x14ac:dyDescent="0.3">
      <c r="A1431" s="212"/>
      <c r="B1431" s="24"/>
      <c r="C1431" s="6"/>
      <c r="D1431" s="6"/>
      <c r="E1431" s="61" t="s">
        <v>187</v>
      </c>
      <c r="F1431">
        <v>5331.32</v>
      </c>
      <c r="G1431">
        <v>5227.8</v>
      </c>
      <c r="H1431">
        <v>5216.87</v>
      </c>
      <c r="I1431">
        <v>5193.9799999999996</v>
      </c>
      <c r="J1431">
        <v>5155.83</v>
      </c>
      <c r="K1431">
        <v>5281.92</v>
      </c>
      <c r="L1431">
        <v>5192.88</v>
      </c>
      <c r="M1431">
        <v>5236.3500000000004</v>
      </c>
      <c r="N1431">
        <v>5292.33</v>
      </c>
      <c r="O1431" s="61"/>
      <c r="P1431" s="61"/>
      <c r="Q1431" s="62"/>
      <c r="R1431" s="62"/>
      <c r="S1431" s="139"/>
      <c r="T1431" s="8"/>
      <c r="U1431" s="146"/>
      <c r="X1431" s="118"/>
      <c r="Y1431" s="118"/>
      <c r="Z1431" s="118"/>
      <c r="AA1431" s="118"/>
    </row>
    <row r="1432" spans="1:29" ht="23.4" thickBot="1" x14ac:dyDescent="0.35">
      <c r="A1432" s="212"/>
      <c r="B1432" s="24"/>
      <c r="C1432" s="6"/>
      <c r="D1432" s="6"/>
      <c r="E1432" s="61" t="s">
        <v>188</v>
      </c>
      <c r="F1432" s="40">
        <f t="shared" ref="F1432:N1432" si="472">IF(((F1430="")*AND(F1431="")),"",(F1430-F1431)*2)</f>
        <v>3569.84</v>
      </c>
      <c r="G1432" s="40">
        <f t="shared" si="472"/>
        <v>3781.3799999999992</v>
      </c>
      <c r="H1432" s="40">
        <f t="shared" si="472"/>
        <v>3830.26</v>
      </c>
      <c r="I1432" s="40">
        <f t="shared" si="472"/>
        <v>3828.1200000000008</v>
      </c>
      <c r="J1432" s="40">
        <f t="shared" si="472"/>
        <v>3753.7199999999993</v>
      </c>
      <c r="K1432" s="40">
        <f t="shared" si="472"/>
        <v>3610.74</v>
      </c>
      <c r="L1432" s="40">
        <f t="shared" si="472"/>
        <v>3810.0599999999995</v>
      </c>
      <c r="M1432" s="40">
        <f t="shared" si="472"/>
        <v>3830.6799999999985</v>
      </c>
      <c r="N1432" s="40">
        <f t="shared" si="472"/>
        <v>3723.8600000000006</v>
      </c>
      <c r="O1432" s="61"/>
      <c r="P1432" s="61"/>
      <c r="Q1432" s="62"/>
      <c r="R1432" s="62"/>
      <c r="S1432" s="139"/>
      <c r="T1432" s="8"/>
      <c r="U1432" s="146"/>
      <c r="X1432" s="118"/>
      <c r="Y1432" s="118"/>
      <c r="Z1432" s="118"/>
      <c r="AA1432" s="118"/>
    </row>
    <row r="1433" spans="1:29" ht="15.6" x14ac:dyDescent="0.3">
      <c r="A1433" s="278">
        <v>43726</v>
      </c>
      <c r="B1433" s="217" t="s">
        <v>174</v>
      </c>
      <c r="C1433" s="44" t="s">
        <v>176</v>
      </c>
      <c r="D1433" s="44" t="s">
        <v>175</v>
      </c>
      <c r="E1433" s="61" t="s">
        <v>186</v>
      </c>
      <c r="F1433">
        <v>5326.93</v>
      </c>
      <c r="G1433">
        <v>5224.46</v>
      </c>
      <c r="H1433">
        <v>5223.1099999999997</v>
      </c>
      <c r="I1433">
        <v>5183.45</v>
      </c>
      <c r="J1433">
        <v>5169.5200000000004</v>
      </c>
      <c r="K1433">
        <v>5304.63</v>
      </c>
      <c r="L1433">
        <v>5200.42</v>
      </c>
      <c r="M1433">
        <v>5241.1000000000004</v>
      </c>
      <c r="N1433">
        <v>5305.24</v>
      </c>
      <c r="O1433" s="59">
        <f>IF((N1434=""),"",MAX(F1435:N1435))</f>
        <v>3696.9800000000005</v>
      </c>
      <c r="P1433" s="59">
        <f>IF(N1434="","",MIN(F1435:N1435))</f>
        <v>3405.96</v>
      </c>
      <c r="Q1433" s="60">
        <f>IF((N1435=""),"",AVERAGE(F1435:N1435))</f>
        <v>3600.9488888888886</v>
      </c>
      <c r="R1433" s="60">
        <f>IF((N1434=""),"",(O1433-P1433)/(O1433+P1433)*100)</f>
        <v>4.0971766620582519</v>
      </c>
      <c r="S1433" s="131">
        <f>STDEV(F1435:N1435)</f>
        <v>100.33714571937487</v>
      </c>
      <c r="T1433" s="137" t="str">
        <f>IF(N1434="","",IF(Q1433&gt;3650,IF(R1433&lt;7,IF(Q1433&lt;4450,"Pass","Fail"),"Fail"),"Fail"))</f>
        <v>Fail</v>
      </c>
      <c r="U1433" s="149">
        <v>1159</v>
      </c>
      <c r="X1433" s="116">
        <v>3650</v>
      </c>
      <c r="Y1433" s="116">
        <v>4450</v>
      </c>
      <c r="Z1433" s="116">
        <v>3700</v>
      </c>
      <c r="AA1433" s="116">
        <v>4100</v>
      </c>
      <c r="AB1433" s="31">
        <v>7</v>
      </c>
      <c r="AC1433" s="31">
        <v>6.5</v>
      </c>
    </row>
    <row r="1434" spans="1:29" ht="15.6" x14ac:dyDescent="0.3">
      <c r="A1434" s="212"/>
      <c r="B1434" s="24"/>
      <c r="C1434" s="6"/>
      <c r="D1434" s="6"/>
      <c r="E1434" s="61" t="s">
        <v>187</v>
      </c>
      <c r="F1434">
        <v>3573.85</v>
      </c>
      <c r="G1434">
        <v>3392.52</v>
      </c>
      <c r="H1434">
        <v>3378.51</v>
      </c>
      <c r="I1434">
        <v>3349.62</v>
      </c>
      <c r="J1434">
        <v>3405.9</v>
      </c>
      <c r="K1434">
        <v>3601.65</v>
      </c>
      <c r="L1434">
        <v>3374.08</v>
      </c>
      <c r="M1434">
        <v>3392.61</v>
      </c>
      <c r="N1434">
        <v>3505.85</v>
      </c>
      <c r="O1434" s="61"/>
      <c r="P1434" s="61"/>
      <c r="Q1434" s="62"/>
      <c r="R1434" s="62"/>
      <c r="S1434" s="139"/>
      <c r="T1434" s="8"/>
      <c r="U1434" s="146"/>
      <c r="X1434" s="118"/>
      <c r="Y1434" s="118"/>
      <c r="Z1434" s="118"/>
      <c r="AA1434" s="118"/>
    </row>
    <row r="1435" spans="1:29" ht="23.4" thickBot="1" x14ac:dyDescent="0.35">
      <c r="A1435" s="212"/>
      <c r="B1435" s="24"/>
      <c r="C1435" s="6"/>
      <c r="D1435" s="6"/>
      <c r="E1435" s="61" t="s">
        <v>188</v>
      </c>
      <c r="F1435" s="40">
        <f t="shared" ref="F1435:N1435" si="473">IF(((F1433="")*AND(F1434="")),"",(F1433-F1434)*2)</f>
        <v>3506.1600000000008</v>
      </c>
      <c r="G1435" s="40">
        <f t="shared" si="473"/>
        <v>3663.88</v>
      </c>
      <c r="H1435" s="40">
        <f t="shared" si="473"/>
        <v>3689.1999999999989</v>
      </c>
      <c r="I1435" s="40">
        <f t="shared" si="473"/>
        <v>3667.66</v>
      </c>
      <c r="J1435" s="40">
        <f t="shared" si="473"/>
        <v>3527.2400000000007</v>
      </c>
      <c r="K1435" s="40">
        <f t="shared" si="473"/>
        <v>3405.96</v>
      </c>
      <c r="L1435" s="40">
        <f t="shared" si="473"/>
        <v>3652.6800000000003</v>
      </c>
      <c r="M1435" s="40">
        <f t="shared" si="473"/>
        <v>3696.9800000000005</v>
      </c>
      <c r="N1435" s="40">
        <f t="shared" si="473"/>
        <v>3598.7799999999997</v>
      </c>
      <c r="O1435" s="61"/>
      <c r="P1435" s="61"/>
      <c r="Q1435" s="62"/>
      <c r="R1435" s="62"/>
      <c r="S1435" s="139"/>
      <c r="T1435" s="8"/>
      <c r="U1435" s="146"/>
      <c r="X1435" s="118"/>
      <c r="Y1435" s="118"/>
      <c r="Z1435" s="118"/>
      <c r="AA1435" s="118"/>
    </row>
    <row r="1436" spans="1:29" ht="15.6" x14ac:dyDescent="0.3">
      <c r="A1436" s="278">
        <v>43726</v>
      </c>
      <c r="B1436" s="215" t="s">
        <v>169</v>
      </c>
      <c r="C1436" s="6" t="s">
        <v>171</v>
      </c>
      <c r="D1436" s="6" t="s">
        <v>189</v>
      </c>
      <c r="E1436" s="61" t="s">
        <v>186</v>
      </c>
      <c r="F1436">
        <v>1947.88</v>
      </c>
      <c r="G1436">
        <v>1941.24</v>
      </c>
      <c r="H1436">
        <v>1930.64</v>
      </c>
      <c r="I1436">
        <v>1944.49</v>
      </c>
      <c r="J1436">
        <v>1946.79</v>
      </c>
      <c r="K1436">
        <v>1947.06</v>
      </c>
      <c r="L1436">
        <v>1938</v>
      </c>
      <c r="M1436">
        <v>1940.31</v>
      </c>
      <c r="N1436">
        <v>1944.91</v>
      </c>
      <c r="O1436" s="61">
        <f>IF((N1437=""),"",MAX(F1438:N1438))</f>
        <v>2067.3599999999997</v>
      </c>
      <c r="P1436" s="61">
        <f>IF(N1437="","",MIN(F1438:N1438))</f>
        <v>2002.7099999999998</v>
      </c>
      <c r="Q1436" s="62">
        <f>IF((N1438=""),"",AVERAGE(F1438:N1438))</f>
        <v>2028.2399999999996</v>
      </c>
      <c r="R1436" s="62">
        <f>IF((N1437=""),"",(O1436-P1436)/(O1436+P1436)*100)</f>
        <v>1.588424769107162</v>
      </c>
      <c r="S1436" s="139">
        <f>STDEV(F1438:N1438)</f>
        <v>21.470418603278308</v>
      </c>
      <c r="T1436" s="5" t="str">
        <f>IF(N1437="","",IF(Q1436&gt;1940,IF(R1436&lt;8.3,IF(Q1436&lt;2180,"Pass","Fail"),"Fail"),"Fail"))</f>
        <v>Pass</v>
      </c>
      <c r="U1436" s="149">
        <v>1159</v>
      </c>
      <c r="X1436" s="116">
        <v>2000</v>
      </c>
      <c r="Y1436" s="116">
        <v>3000</v>
      </c>
      <c r="Z1436" s="116">
        <v>1940</v>
      </c>
      <c r="AA1436" s="116">
        <v>2180</v>
      </c>
      <c r="AB1436" s="31">
        <v>5.2</v>
      </c>
      <c r="AC1436" s="31">
        <v>5.2</v>
      </c>
    </row>
    <row r="1437" spans="1:29" ht="15.6" x14ac:dyDescent="0.3">
      <c r="A1437" s="212"/>
      <c r="B1437" s="24"/>
      <c r="C1437" s="6"/>
      <c r="D1437" s="6"/>
      <c r="E1437" s="61" t="s">
        <v>187</v>
      </c>
      <c r="F1437">
        <v>1263.8399999999999</v>
      </c>
      <c r="G1437">
        <v>1270.81</v>
      </c>
      <c r="H1437">
        <v>1259.8699999999999</v>
      </c>
      <c r="I1437">
        <v>1264.8900000000001</v>
      </c>
      <c r="J1437">
        <v>1268.9000000000001</v>
      </c>
      <c r="K1437">
        <v>1257.94</v>
      </c>
      <c r="L1437">
        <v>1270.43</v>
      </c>
      <c r="M1437">
        <v>1269.18</v>
      </c>
      <c r="N1437">
        <v>1270.74</v>
      </c>
      <c r="O1437" s="61"/>
      <c r="P1437" s="61"/>
      <c r="Q1437" s="62"/>
      <c r="R1437" s="62"/>
      <c r="S1437" s="139"/>
      <c r="T1437" s="5"/>
      <c r="U1437" s="140"/>
      <c r="X1437" s="118"/>
      <c r="Y1437" s="118"/>
      <c r="Z1437" s="118"/>
      <c r="AA1437" s="118"/>
    </row>
    <row r="1438" spans="1:29" ht="16.2" thickBot="1" x14ac:dyDescent="0.35">
      <c r="A1438" s="212"/>
      <c r="B1438" s="24"/>
      <c r="C1438" s="6"/>
      <c r="D1438" s="6"/>
      <c r="E1438" s="61" t="s">
        <v>190</v>
      </c>
      <c r="F1438" s="40">
        <f t="shared" ref="F1438:N1438" si="474">IF(((F1436="")*AND(F1437="")),"",(F1436-F1437)*3)</f>
        <v>2052.1200000000008</v>
      </c>
      <c r="G1438" s="40">
        <f t="shared" si="474"/>
        <v>2011.2900000000002</v>
      </c>
      <c r="H1438" s="40">
        <f t="shared" si="474"/>
        <v>2012.3100000000006</v>
      </c>
      <c r="I1438" s="40">
        <f t="shared" si="474"/>
        <v>2038.7999999999997</v>
      </c>
      <c r="J1438" s="40">
        <f t="shared" si="474"/>
        <v>2033.6699999999996</v>
      </c>
      <c r="K1438" s="40">
        <f t="shared" si="474"/>
        <v>2067.3599999999997</v>
      </c>
      <c r="L1438" s="40">
        <f t="shared" si="474"/>
        <v>2002.7099999999998</v>
      </c>
      <c r="M1438" s="40">
        <f t="shared" si="474"/>
        <v>2013.3899999999996</v>
      </c>
      <c r="N1438" s="40">
        <f t="shared" si="474"/>
        <v>2022.5100000000002</v>
      </c>
      <c r="O1438" s="61"/>
      <c r="P1438" s="61"/>
      <c r="Q1438" s="62"/>
      <c r="R1438" s="62"/>
      <c r="S1438" s="139"/>
      <c r="T1438" s="5"/>
      <c r="U1438" s="140"/>
      <c r="X1438" s="118"/>
      <c r="Y1438" s="118"/>
      <c r="Z1438" s="118"/>
      <c r="AA1438" s="118"/>
    </row>
    <row r="1439" spans="1:29" ht="15.6" x14ac:dyDescent="0.3">
      <c r="A1439" s="278">
        <v>43726</v>
      </c>
      <c r="B1439" s="218" t="s">
        <v>185</v>
      </c>
      <c r="C1439" s="6" t="s">
        <v>173</v>
      </c>
      <c r="D1439" s="6" t="s">
        <v>172</v>
      </c>
      <c r="E1439" s="61" t="s">
        <v>186</v>
      </c>
      <c r="F1439">
        <v>29296.21</v>
      </c>
      <c r="G1439">
        <v>29159.72</v>
      </c>
      <c r="H1439">
        <v>29129.68</v>
      </c>
      <c r="I1439">
        <v>29161.87</v>
      </c>
      <c r="J1439">
        <v>29285.71</v>
      </c>
      <c r="K1439">
        <v>29279.279999999999</v>
      </c>
      <c r="L1439">
        <v>29144.93</v>
      </c>
      <c r="M1439">
        <v>29141.59</v>
      </c>
      <c r="N1439">
        <v>29279.77</v>
      </c>
      <c r="O1439" s="61">
        <f>IF((N1440=""),"",MAX(F1441:N1441))</f>
        <v>4687.4399999999987</v>
      </c>
      <c r="P1439" s="61">
        <f>IF(N1440="","",MIN(F1441:N1441))</f>
        <v>4021.2600000000057</v>
      </c>
      <c r="Q1439" s="62">
        <f>IF((N1441=""),"",AVERAGE(F1441:N1441))</f>
        <v>4346.8999999999987</v>
      </c>
      <c r="R1439" s="62">
        <f>IF((N1440=""),"",(O1439-P1439)/(O1439+P1439)*100)</f>
        <v>7.6495917875227377</v>
      </c>
      <c r="S1439" s="139">
        <f>STDEV(F1441:N1441)</f>
        <v>262.40101948163073</v>
      </c>
      <c r="T1439" s="5" t="str">
        <f>IF(N1440="","",IF(R1439&lt;16,IF(Q1439&gt;3200,IF(R1439,IF(Q1439&lt;5240,"Pass","Fail"),"Fail"),"Fail")))</f>
        <v>Pass</v>
      </c>
      <c r="U1439" s="149">
        <v>1159</v>
      </c>
      <c r="X1439" s="116">
        <v>4200</v>
      </c>
      <c r="Y1439" s="116">
        <v>5500</v>
      </c>
      <c r="Z1439" s="116">
        <v>3200</v>
      </c>
      <c r="AA1439" s="116">
        <v>5240</v>
      </c>
      <c r="AB1439" s="31">
        <v>16</v>
      </c>
      <c r="AC1439" s="31">
        <v>16</v>
      </c>
    </row>
    <row r="1440" spans="1:29" ht="15.6" x14ac:dyDescent="0.3">
      <c r="A1440" s="212"/>
      <c r="B1440" s="24"/>
      <c r="C1440" s="6"/>
      <c r="D1440" s="6"/>
      <c r="E1440" s="61" t="s">
        <v>187</v>
      </c>
      <c r="F1440">
        <v>27733.73</v>
      </c>
      <c r="G1440">
        <v>27756.240000000002</v>
      </c>
      <c r="H1440">
        <v>27789.26</v>
      </c>
      <c r="I1440">
        <v>27784.880000000001</v>
      </c>
      <c r="J1440">
        <v>27750.58</v>
      </c>
      <c r="K1440">
        <v>27759.02</v>
      </c>
      <c r="L1440">
        <v>27765.25</v>
      </c>
      <c r="M1440">
        <v>27756.89</v>
      </c>
      <c r="N1440">
        <v>27742.21</v>
      </c>
      <c r="O1440" s="127"/>
      <c r="P1440" s="61"/>
      <c r="Q1440" s="62"/>
      <c r="R1440" s="62"/>
      <c r="S1440" s="139"/>
      <c r="T1440" s="5"/>
      <c r="U1440" s="140"/>
    </row>
    <row r="1441" spans="1:29" ht="23.4" thickBot="1" x14ac:dyDescent="0.35">
      <c r="A1441" s="212"/>
      <c r="B1441" s="63"/>
      <c r="C1441" s="64"/>
      <c r="D1441" s="64"/>
      <c r="E1441" s="61" t="s">
        <v>188</v>
      </c>
      <c r="F1441" s="53">
        <f t="shared" ref="F1441:N1441" si="475">IF(((F1439="")*AND(F1440="")),"",(F1439-F1440)*3)</f>
        <v>4687.4399999999987</v>
      </c>
      <c r="G1441" s="53">
        <f t="shared" si="475"/>
        <v>4210.4399999999987</v>
      </c>
      <c r="H1441" s="53">
        <f t="shared" si="475"/>
        <v>4021.2600000000057</v>
      </c>
      <c r="I1441" s="53">
        <f t="shared" si="475"/>
        <v>4130.9699999999939</v>
      </c>
      <c r="J1441" s="53">
        <f t="shared" si="475"/>
        <v>4605.3899999999921</v>
      </c>
      <c r="K1441" s="53">
        <f t="shared" si="475"/>
        <v>4560.7799999999952</v>
      </c>
      <c r="L1441" s="53">
        <f t="shared" si="475"/>
        <v>4139.0400000000009</v>
      </c>
      <c r="M1441" s="53">
        <f t="shared" si="475"/>
        <v>4154.1000000000022</v>
      </c>
      <c r="N1441" s="53">
        <f t="shared" si="475"/>
        <v>4612.6800000000039</v>
      </c>
      <c r="O1441" s="65"/>
      <c r="P1441" s="65"/>
      <c r="Q1441" s="66"/>
      <c r="R1441" s="66"/>
      <c r="S1441" s="142"/>
      <c r="T1441" s="143"/>
      <c r="U1441" s="144"/>
    </row>
    <row r="1442" spans="1:29" ht="15.6" x14ac:dyDescent="0.3">
      <c r="A1442" s="278">
        <v>43728</v>
      </c>
      <c r="B1442" s="217" t="s">
        <v>174</v>
      </c>
      <c r="C1442" s="44" t="s">
        <v>176</v>
      </c>
      <c r="D1442" s="44" t="s">
        <v>175</v>
      </c>
      <c r="E1442" s="61" t="s">
        <v>186</v>
      </c>
      <c r="F1442">
        <v>3596.98</v>
      </c>
      <c r="G1442">
        <v>3401.94</v>
      </c>
      <c r="H1442">
        <v>3373.4</v>
      </c>
      <c r="I1442">
        <v>3361.13</v>
      </c>
      <c r="J1442">
        <v>3381.27</v>
      </c>
      <c r="K1442">
        <v>3568.83</v>
      </c>
      <c r="L1442">
        <v>3369.06</v>
      </c>
      <c r="M1442">
        <v>3390.55</v>
      </c>
      <c r="N1442">
        <v>3498.19</v>
      </c>
      <c r="O1442" s="59">
        <f>IF((N1443=""),"",MAX(F1444:N1444))</f>
        <v>3767.0000000000005</v>
      </c>
      <c r="P1442" s="59">
        <f>IF(N1443="","",MIN(F1444:N1444))</f>
        <v>3473.8999999999996</v>
      </c>
      <c r="Q1442" s="60">
        <f>IF((N1444=""),"",AVERAGE(F1444:N1444))</f>
        <v>3673.5688888888885</v>
      </c>
      <c r="R1442" s="60">
        <f>IF((N1443=""),"",(O1442-P1442)/(O1442+P1442)*100)</f>
        <v>4.0478393569860218</v>
      </c>
      <c r="S1442" s="131">
        <f>STDEV(F1444:N1444)</f>
        <v>107.16223780376718</v>
      </c>
      <c r="T1442" s="137" t="str">
        <f>IF(N1443="","",IF(Q1442&gt;3650,IF(R1442&lt;7,IF(Q1442&lt;4450,"Pass","Fail"),"Fail"),"Fail"))</f>
        <v>Pass</v>
      </c>
      <c r="U1442" s="149">
        <v>121</v>
      </c>
      <c r="V1442" s="11" t="s">
        <v>380</v>
      </c>
      <c r="X1442" s="116">
        <v>3650</v>
      </c>
      <c r="Y1442" s="116">
        <v>4450</v>
      </c>
      <c r="Z1442" s="116">
        <v>3700</v>
      </c>
      <c r="AA1442" s="116">
        <v>4100</v>
      </c>
      <c r="AB1442" s="31">
        <v>7</v>
      </c>
      <c r="AC1442" s="31">
        <v>6.5</v>
      </c>
    </row>
    <row r="1443" spans="1:29" ht="15.6" x14ac:dyDescent="0.3">
      <c r="A1443" s="212"/>
      <c r="B1443" s="24"/>
      <c r="C1443" s="6"/>
      <c r="D1443" s="6"/>
      <c r="E1443" s="61" t="s">
        <v>187</v>
      </c>
      <c r="F1443">
        <v>1837.83</v>
      </c>
      <c r="G1443">
        <v>1536.27</v>
      </c>
      <c r="H1443">
        <v>1494.11</v>
      </c>
      <c r="I1443">
        <v>1487.8</v>
      </c>
      <c r="J1443">
        <v>1547.36</v>
      </c>
      <c r="K1443">
        <v>1831.88</v>
      </c>
      <c r="L1443">
        <v>1504</v>
      </c>
      <c r="M1443">
        <v>1507.05</v>
      </c>
      <c r="N1443">
        <v>1663.99</v>
      </c>
      <c r="O1443" s="61"/>
      <c r="P1443" s="61"/>
      <c r="Q1443" s="62"/>
      <c r="R1443" s="62"/>
      <c r="S1443" s="139"/>
      <c r="T1443" s="8"/>
      <c r="U1443" s="146"/>
      <c r="X1443" s="118"/>
      <c r="Y1443" s="118"/>
      <c r="Z1443" s="118"/>
      <c r="AA1443" s="118"/>
    </row>
    <row r="1444" spans="1:29" ht="23.4" thickBot="1" x14ac:dyDescent="0.35">
      <c r="A1444" s="212"/>
      <c r="B1444" s="24"/>
      <c r="C1444" s="6"/>
      <c r="D1444" s="6"/>
      <c r="E1444" s="61" t="s">
        <v>188</v>
      </c>
      <c r="F1444" s="40">
        <f t="shared" ref="F1444:N1444" si="476">IF(((F1442="")*AND(F1443="")),"",(F1442-F1443)*2)</f>
        <v>3518.3</v>
      </c>
      <c r="G1444" s="40">
        <f t="shared" si="476"/>
        <v>3731.34</v>
      </c>
      <c r="H1444" s="40">
        <f t="shared" si="476"/>
        <v>3758.5800000000004</v>
      </c>
      <c r="I1444" s="40">
        <f t="shared" si="476"/>
        <v>3746.6600000000003</v>
      </c>
      <c r="J1444" s="40">
        <f t="shared" si="476"/>
        <v>3667.82</v>
      </c>
      <c r="K1444" s="40">
        <f t="shared" si="476"/>
        <v>3473.8999999999996</v>
      </c>
      <c r="L1444" s="40">
        <f t="shared" si="476"/>
        <v>3730.12</v>
      </c>
      <c r="M1444" s="40">
        <f t="shared" si="476"/>
        <v>3767.0000000000005</v>
      </c>
      <c r="N1444" s="40">
        <f t="shared" si="476"/>
        <v>3668.4</v>
      </c>
      <c r="O1444" s="61"/>
      <c r="P1444" s="61"/>
      <c r="Q1444" s="62"/>
      <c r="R1444" s="62"/>
      <c r="S1444" s="139"/>
      <c r="T1444" s="8"/>
      <c r="U1444" s="146"/>
      <c r="X1444" s="118"/>
      <c r="Y1444" s="118"/>
      <c r="Z1444" s="118"/>
      <c r="AA1444" s="118"/>
    </row>
    <row r="1445" spans="1:29" ht="15.6" x14ac:dyDescent="0.3">
      <c r="A1445" s="278">
        <v>43728</v>
      </c>
      <c r="B1445" s="215" t="s">
        <v>169</v>
      </c>
      <c r="C1445" s="6" t="s">
        <v>171</v>
      </c>
      <c r="D1445" s="6" t="s">
        <v>189</v>
      </c>
      <c r="E1445" s="61" t="s">
        <v>186</v>
      </c>
      <c r="F1445">
        <v>1263.8399999999999</v>
      </c>
      <c r="G1445">
        <v>1270.81</v>
      </c>
      <c r="H1445">
        <v>1259.8699999999999</v>
      </c>
      <c r="I1445">
        <v>1264.8900000000001</v>
      </c>
      <c r="J1445">
        <v>1268.9000000000001</v>
      </c>
      <c r="K1445">
        <v>1257.94</v>
      </c>
      <c r="L1445">
        <v>1270.43</v>
      </c>
      <c r="M1445">
        <v>1269.18</v>
      </c>
      <c r="N1445">
        <v>1270.74</v>
      </c>
      <c r="O1445" s="61">
        <f>IF((N1446=""),"",MAX(F1447:N1447))</f>
        <v>2053.41</v>
      </c>
      <c r="P1445" s="61">
        <f>IF(N1446="","",MIN(F1447:N1447))</f>
        <v>1952.0100000000002</v>
      </c>
      <c r="Q1445" s="62">
        <f>IF((N1447=""),"",AVERAGE(F1447:N1447))</f>
        <v>2016.87</v>
      </c>
      <c r="R1445" s="62">
        <f>IF((N1446=""),"",(O1445-P1445)/(O1445+P1445)*100)</f>
        <v>2.5315697230252914</v>
      </c>
      <c r="S1445" s="139">
        <f>STDEV(F1447:N1447)</f>
        <v>34.667667573691652</v>
      </c>
      <c r="T1445" s="5" t="str">
        <f>IF(N1446="","",IF(Q1445&gt;1940,IF(R1445&lt;8.3,IF(Q1445&lt;2180,"Pass","Fail"),"Fail"),"Fail"))</f>
        <v>Pass</v>
      </c>
      <c r="U1445" s="149">
        <v>121</v>
      </c>
      <c r="V1445" s="11" t="s">
        <v>380</v>
      </c>
      <c r="X1445" s="116">
        <v>2000</v>
      </c>
      <c r="Y1445" s="116">
        <v>3000</v>
      </c>
      <c r="Z1445" s="116">
        <v>1940</v>
      </c>
      <c r="AA1445" s="116">
        <v>2180</v>
      </c>
      <c r="AB1445" s="31">
        <v>5.2</v>
      </c>
      <c r="AC1445" s="31">
        <v>5.2</v>
      </c>
    </row>
    <row r="1446" spans="1:29" ht="15.6" x14ac:dyDescent="0.3">
      <c r="A1446" s="212"/>
      <c r="B1446" s="24"/>
      <c r="C1446" s="6"/>
      <c r="D1446" s="6"/>
      <c r="E1446" s="61" t="s">
        <v>187</v>
      </c>
      <c r="F1446">
        <v>589.14</v>
      </c>
      <c r="G1446">
        <v>587.11</v>
      </c>
      <c r="H1446">
        <v>585.39</v>
      </c>
      <c r="I1446">
        <v>588.6</v>
      </c>
      <c r="J1446">
        <v>613.26</v>
      </c>
      <c r="K1446">
        <v>607.27</v>
      </c>
      <c r="L1446">
        <v>594.97</v>
      </c>
      <c r="M1446">
        <v>584.71</v>
      </c>
      <c r="N1446">
        <v>595.54</v>
      </c>
      <c r="O1446" s="61"/>
      <c r="P1446" s="61"/>
      <c r="Q1446" s="62"/>
      <c r="R1446" s="62"/>
      <c r="S1446" s="139"/>
      <c r="T1446" s="5"/>
      <c r="U1446" s="140"/>
      <c r="X1446" s="118"/>
      <c r="Y1446" s="118"/>
      <c r="Z1446" s="118"/>
      <c r="AA1446" s="118"/>
    </row>
    <row r="1447" spans="1:29" ht="16.2" thickBot="1" x14ac:dyDescent="0.35">
      <c r="A1447" s="212"/>
      <c r="B1447" s="24"/>
      <c r="C1447" s="6"/>
      <c r="D1447" s="6"/>
      <c r="E1447" s="61" t="s">
        <v>190</v>
      </c>
      <c r="F1447" s="40">
        <f t="shared" ref="F1447:N1447" si="477">IF(((F1445="")*AND(F1446="")),"",(F1445-F1446)*3)</f>
        <v>2024.1</v>
      </c>
      <c r="G1447" s="40">
        <f t="shared" si="477"/>
        <v>2051.1</v>
      </c>
      <c r="H1447" s="40">
        <f t="shared" si="477"/>
        <v>2023.4399999999996</v>
      </c>
      <c r="I1447" s="40">
        <f t="shared" si="477"/>
        <v>2028.8700000000003</v>
      </c>
      <c r="J1447" s="40">
        <f t="shared" si="477"/>
        <v>1966.9200000000003</v>
      </c>
      <c r="K1447" s="40">
        <f t="shared" si="477"/>
        <v>1952.0100000000002</v>
      </c>
      <c r="L1447" s="40">
        <f t="shared" si="477"/>
        <v>2026.38</v>
      </c>
      <c r="M1447" s="40">
        <f t="shared" si="477"/>
        <v>2053.41</v>
      </c>
      <c r="N1447" s="40">
        <f t="shared" si="477"/>
        <v>2025.6000000000001</v>
      </c>
      <c r="O1447" s="61"/>
      <c r="P1447" s="61"/>
      <c r="Q1447" s="62"/>
      <c r="R1447" s="62"/>
      <c r="S1447" s="139"/>
      <c r="T1447" s="5"/>
      <c r="U1447" s="140"/>
      <c r="X1447" s="118"/>
      <c r="Y1447" s="118"/>
      <c r="Z1447" s="118"/>
      <c r="AA1447" s="118"/>
    </row>
    <row r="1448" spans="1:29" ht="15.6" x14ac:dyDescent="0.3">
      <c r="A1448" s="278">
        <v>43728</v>
      </c>
      <c r="B1448" s="218" t="s">
        <v>185</v>
      </c>
      <c r="C1448" s="6" t="s">
        <v>173</v>
      </c>
      <c r="D1448" s="6" t="s">
        <v>172</v>
      </c>
      <c r="E1448" s="61" t="s">
        <v>186</v>
      </c>
      <c r="F1448">
        <v>27733.73</v>
      </c>
      <c r="G1448">
        <v>27756.240000000002</v>
      </c>
      <c r="H1448">
        <v>27789.26</v>
      </c>
      <c r="I1448">
        <v>27784.880000000001</v>
      </c>
      <c r="J1448">
        <v>27750.58</v>
      </c>
      <c r="K1448">
        <v>27759.02</v>
      </c>
      <c r="L1448">
        <v>27765.25</v>
      </c>
      <c r="M1448">
        <v>27756.89</v>
      </c>
      <c r="N1448">
        <v>27742.21</v>
      </c>
      <c r="O1448" s="61">
        <f>IF((N1449=""),"",MAX(F1450:N1450))</f>
        <v>5081.3999999999978</v>
      </c>
      <c r="P1448" s="61">
        <f>IF(N1449="","",MIN(F1450:N1450))</f>
        <v>4436.429999999993</v>
      </c>
      <c r="Q1448" s="62">
        <f>IF((N1450=""),"",AVERAGE(F1450:N1450))</f>
        <v>4735.6833333333325</v>
      </c>
      <c r="R1448" s="62">
        <f>IF((N1449=""),"",(O1448-P1448)/(O1448+P1448)*100)</f>
        <v>6.7764395875951289</v>
      </c>
      <c r="S1448" s="139">
        <f>STDEV(F1450:N1450)</f>
        <v>275.07219152433458</v>
      </c>
      <c r="T1448" s="5" t="str">
        <f>IF(N1449="","",IF(R1448&lt;16,IF(Q1448&gt;3200,IF(R1448,IF(Q1448&lt;5240,"Pass","Fail"),"Fail"),"Fail")))</f>
        <v>Pass</v>
      </c>
      <c r="U1448" s="149">
        <v>121</v>
      </c>
      <c r="V1448" s="11" t="s">
        <v>380</v>
      </c>
      <c r="X1448" s="116">
        <v>4200</v>
      </c>
      <c r="Y1448" s="116">
        <v>5500</v>
      </c>
      <c r="Z1448" s="116">
        <v>3200</v>
      </c>
      <c r="AA1448" s="116">
        <v>5240</v>
      </c>
      <c r="AB1448" s="31">
        <v>16</v>
      </c>
      <c r="AC1448" s="31">
        <v>16</v>
      </c>
    </row>
    <row r="1449" spans="1:29" ht="15.6" x14ac:dyDescent="0.3">
      <c r="A1449" s="212"/>
      <c r="B1449" s="24"/>
      <c r="C1449" s="6"/>
      <c r="D1449" s="6"/>
      <c r="E1449" s="61" t="s">
        <v>187</v>
      </c>
      <c r="F1449">
        <v>26039.93</v>
      </c>
      <c r="G1449">
        <v>26236.21</v>
      </c>
      <c r="H1449">
        <v>26310.45</v>
      </c>
      <c r="I1449">
        <v>26285.14</v>
      </c>
      <c r="J1449">
        <v>26089.53</v>
      </c>
      <c r="K1449">
        <v>26086.15</v>
      </c>
      <c r="L1449">
        <v>26262.09</v>
      </c>
      <c r="M1449">
        <v>26248.080000000002</v>
      </c>
      <c r="N1449">
        <v>26073.43</v>
      </c>
      <c r="O1449" s="127"/>
      <c r="P1449" s="61"/>
      <c r="Q1449" s="62"/>
      <c r="R1449" s="62"/>
      <c r="S1449" s="139"/>
      <c r="T1449" s="5"/>
      <c r="U1449" s="140"/>
    </row>
    <row r="1450" spans="1:29" ht="23.4" thickBot="1" x14ac:dyDescent="0.35">
      <c r="A1450" s="212"/>
      <c r="B1450" s="63"/>
      <c r="C1450" s="64"/>
      <c r="D1450" s="64"/>
      <c r="E1450" s="61" t="s">
        <v>188</v>
      </c>
      <c r="F1450" s="53">
        <f t="shared" ref="F1450:N1450" si="478">IF(((F1448="")*AND(F1449="")),"",(F1448-F1449)*3)</f>
        <v>5081.3999999999978</v>
      </c>
      <c r="G1450" s="53">
        <f t="shared" si="478"/>
        <v>4560.0900000000074</v>
      </c>
      <c r="H1450" s="53">
        <f t="shared" si="478"/>
        <v>4436.429999999993</v>
      </c>
      <c r="I1450" s="53">
        <f t="shared" si="478"/>
        <v>4499.2200000000048</v>
      </c>
      <c r="J1450" s="53">
        <f t="shared" si="478"/>
        <v>4983.1500000000087</v>
      </c>
      <c r="K1450" s="53">
        <f t="shared" si="478"/>
        <v>5018.6099999999969</v>
      </c>
      <c r="L1450" s="53">
        <f t="shared" si="478"/>
        <v>4509.4799999999996</v>
      </c>
      <c r="M1450" s="53">
        <f t="shared" si="478"/>
        <v>4526.429999999993</v>
      </c>
      <c r="N1450" s="53">
        <f t="shared" si="478"/>
        <v>5006.3399999999965</v>
      </c>
      <c r="O1450" s="65"/>
      <c r="P1450" s="65"/>
      <c r="Q1450" s="66"/>
      <c r="R1450" s="66"/>
      <c r="S1450" s="142"/>
      <c r="T1450" s="143"/>
      <c r="U1450" s="144"/>
    </row>
    <row r="1451" spans="1:29" ht="15.6" x14ac:dyDescent="0.3">
      <c r="A1451" s="278">
        <v>43731</v>
      </c>
      <c r="B1451" s="217" t="s">
        <v>174</v>
      </c>
      <c r="C1451" s="44" t="s">
        <v>176</v>
      </c>
      <c r="D1451" s="44" t="s">
        <v>175</v>
      </c>
      <c r="E1451" s="61" t="s">
        <v>186</v>
      </c>
      <c r="F1451" s="304">
        <v>3676.68</v>
      </c>
      <c r="G1451" s="304">
        <v>3649.82</v>
      </c>
      <c r="H1451" s="304">
        <v>3661.37</v>
      </c>
      <c r="I1451" s="304">
        <v>3654.39</v>
      </c>
      <c r="J1451" s="304">
        <v>3657.44</v>
      </c>
      <c r="K1451" s="304">
        <v>3667.78</v>
      </c>
      <c r="L1451" s="304">
        <v>3643.51</v>
      </c>
      <c r="M1451" s="304">
        <v>3675.75</v>
      </c>
      <c r="N1451" s="304">
        <v>3711.71</v>
      </c>
      <c r="O1451" s="59">
        <f>IF((N1452=""),"",MAX(F1453:N1453))</f>
        <v>3848.74</v>
      </c>
      <c r="P1451" s="59">
        <f>IF(N1452="","",MIN(F1453:N1453))</f>
        <v>3567.9200000000005</v>
      </c>
      <c r="Q1451" s="60">
        <f>IF((N1453=""),"",AVERAGE(F1453:N1453))</f>
        <v>3755.9688888888891</v>
      </c>
      <c r="R1451" s="60">
        <f>IF((N1452=""),"",(O1451-P1451)/(O1451+P1451)*100)</f>
        <v>3.7863404821037943</v>
      </c>
      <c r="S1451" s="131">
        <f>STDEV(F1453:N1453)</f>
        <v>97.658287979623566</v>
      </c>
      <c r="T1451" s="137" t="str">
        <f>IF(N1452="","",IF(Q1451&gt;3650,IF(R1451&lt;7,IF(Q1451&lt;4450,"Pass","Fail"),"Fail"),"Fail"))</f>
        <v>Pass</v>
      </c>
      <c r="U1451" s="149">
        <v>1428</v>
      </c>
      <c r="V1451" s="11" t="s">
        <v>382</v>
      </c>
      <c r="X1451" s="116">
        <v>3650</v>
      </c>
      <c r="Y1451" s="116">
        <v>4450</v>
      </c>
      <c r="Z1451" s="116">
        <v>3700</v>
      </c>
      <c r="AA1451" s="116">
        <v>4100</v>
      </c>
      <c r="AB1451" s="31">
        <v>7</v>
      </c>
      <c r="AC1451" s="31">
        <v>6.5</v>
      </c>
    </row>
    <row r="1452" spans="1:29" ht="15.6" x14ac:dyDescent="0.3">
      <c r="A1452" s="212"/>
      <c r="B1452" s="24"/>
      <c r="C1452" s="6"/>
      <c r="D1452" s="6"/>
      <c r="E1452" s="61" t="s">
        <v>187</v>
      </c>
      <c r="F1452" s="304">
        <v>1863.06</v>
      </c>
      <c r="G1452" s="304">
        <v>1741.98</v>
      </c>
      <c r="H1452" s="304">
        <v>1744.23</v>
      </c>
      <c r="I1452" s="304">
        <v>1746.25</v>
      </c>
      <c r="J1452" s="304">
        <v>1788.85</v>
      </c>
      <c r="K1452" s="304">
        <v>1883.82</v>
      </c>
      <c r="L1452" s="304">
        <v>1742.79</v>
      </c>
      <c r="M1452" s="304">
        <v>1751.38</v>
      </c>
      <c r="N1452" s="304">
        <v>1834.23</v>
      </c>
      <c r="O1452" s="61"/>
      <c r="P1452" s="61"/>
      <c r="Q1452" s="62"/>
      <c r="R1452" s="62"/>
      <c r="S1452" s="139"/>
      <c r="T1452" s="8"/>
      <c r="U1452" s="146"/>
      <c r="X1452" s="118"/>
      <c r="Y1452" s="118"/>
      <c r="Z1452" s="118"/>
      <c r="AA1452" s="118"/>
    </row>
    <row r="1453" spans="1:29" ht="23.4" thickBot="1" x14ac:dyDescent="0.35">
      <c r="A1453" s="212"/>
      <c r="B1453" s="24"/>
      <c r="C1453" s="6"/>
      <c r="D1453" s="6"/>
      <c r="E1453" s="61" t="s">
        <v>188</v>
      </c>
      <c r="F1453" s="40">
        <f t="shared" ref="F1453:N1453" si="479">IF(((F1451="")*AND(F1452="")),"",(F1451-F1452)*2)</f>
        <v>3627.24</v>
      </c>
      <c r="G1453" s="40">
        <f t="shared" si="479"/>
        <v>3815.6800000000003</v>
      </c>
      <c r="H1453" s="40">
        <f t="shared" si="479"/>
        <v>3834.2799999999997</v>
      </c>
      <c r="I1453" s="40">
        <f t="shared" si="479"/>
        <v>3816.2799999999997</v>
      </c>
      <c r="J1453" s="40">
        <f t="shared" si="479"/>
        <v>3737.1800000000003</v>
      </c>
      <c r="K1453" s="40">
        <f t="shared" si="479"/>
        <v>3567.9200000000005</v>
      </c>
      <c r="L1453" s="40">
        <f t="shared" si="479"/>
        <v>3801.4400000000005</v>
      </c>
      <c r="M1453" s="40">
        <f t="shared" si="479"/>
        <v>3848.74</v>
      </c>
      <c r="N1453" s="40">
        <f t="shared" si="479"/>
        <v>3754.96</v>
      </c>
      <c r="O1453" s="61"/>
      <c r="P1453" s="61"/>
      <c r="Q1453" s="62"/>
      <c r="R1453" s="62"/>
      <c r="S1453" s="139"/>
      <c r="T1453" s="8"/>
      <c r="U1453" s="146"/>
      <c r="X1453" s="118"/>
      <c r="Y1453" s="118"/>
      <c r="Z1453" s="118"/>
      <c r="AA1453" s="118"/>
    </row>
    <row r="1454" spans="1:29" ht="15.6" x14ac:dyDescent="0.3">
      <c r="A1454" s="278">
        <v>43731</v>
      </c>
      <c r="B1454" s="215" t="s">
        <v>169</v>
      </c>
      <c r="C1454" s="6" t="s">
        <v>171</v>
      </c>
      <c r="D1454" s="6" t="s">
        <v>189</v>
      </c>
      <c r="E1454" s="61" t="s">
        <v>186</v>
      </c>
      <c r="F1454">
        <v>1952.87</v>
      </c>
      <c r="G1454">
        <v>1952.36</v>
      </c>
      <c r="H1454">
        <v>1951.14</v>
      </c>
      <c r="I1454">
        <v>1950.35</v>
      </c>
      <c r="J1454">
        <v>1953.78</v>
      </c>
      <c r="K1454">
        <v>1956.18</v>
      </c>
      <c r="L1454">
        <v>1951.07</v>
      </c>
      <c r="M1454">
        <v>1950.55</v>
      </c>
      <c r="N1454">
        <v>1954.63</v>
      </c>
      <c r="O1454" s="61">
        <f>IF((N1455=""),"",MAX(F1456:N1456))</f>
        <v>2123.91</v>
      </c>
      <c r="P1454" s="61">
        <f>IF(N1455="","",MIN(F1456:N1456))</f>
        <v>1996.47</v>
      </c>
      <c r="Q1454" s="62">
        <f>IF((N1456=""),"",AVERAGE(F1456:N1456))</f>
        <v>2086.7199999999998</v>
      </c>
      <c r="R1454" s="62">
        <f>IF((N1455=""),"",(O1454-P1454)/(O1454+P1454)*100)</f>
        <v>3.09291861430256</v>
      </c>
      <c r="S1454" s="139">
        <f>STDEV(F1456:N1456)</f>
        <v>40.29435847609431</v>
      </c>
      <c r="T1454" s="5" t="str">
        <f>IF(N1455="","",IF(Q1454&gt;1940,IF(R1454&lt;8.3,IF(Q1454&lt;2180,"Pass","Fail"),"Fail"),"Fail"))</f>
        <v>Pass</v>
      </c>
      <c r="U1454" s="149">
        <v>1428</v>
      </c>
      <c r="V1454" s="11" t="s">
        <v>382</v>
      </c>
      <c r="X1454" s="116">
        <v>2000</v>
      </c>
      <c r="Y1454" s="116">
        <v>3000</v>
      </c>
      <c r="Z1454" s="116">
        <v>1940</v>
      </c>
      <c r="AA1454" s="116">
        <v>2180</v>
      </c>
      <c r="AB1454" s="31">
        <v>5.2</v>
      </c>
      <c r="AC1454" s="31">
        <v>5.2</v>
      </c>
    </row>
    <row r="1455" spans="1:29" ht="15.6" x14ac:dyDescent="0.3">
      <c r="A1455" s="212"/>
      <c r="B1455" s="24"/>
      <c r="C1455" s="6"/>
      <c r="D1455" s="6"/>
      <c r="E1455" s="61" t="s">
        <v>187</v>
      </c>
      <c r="F1455">
        <v>1261.97</v>
      </c>
      <c r="G1455">
        <v>1247.97</v>
      </c>
      <c r="H1455">
        <v>1251.3599999999999</v>
      </c>
      <c r="I1455">
        <v>1248.69</v>
      </c>
      <c r="J1455">
        <v>1269.25</v>
      </c>
      <c r="K1455">
        <v>1290.69</v>
      </c>
      <c r="L1455">
        <v>1250.0999999999999</v>
      </c>
      <c r="M1455">
        <v>1246.08</v>
      </c>
      <c r="N1455">
        <v>1246.6600000000001</v>
      </c>
      <c r="O1455" s="61"/>
      <c r="P1455" s="61"/>
      <c r="Q1455" s="62"/>
      <c r="R1455" s="62"/>
      <c r="S1455" s="139"/>
      <c r="T1455" s="5"/>
      <c r="U1455" s="140"/>
      <c r="X1455" s="118"/>
      <c r="Y1455" s="118"/>
      <c r="Z1455" s="118"/>
      <c r="AA1455" s="118"/>
    </row>
    <row r="1456" spans="1:29" ht="16.2" thickBot="1" x14ac:dyDescent="0.35">
      <c r="A1456" s="212"/>
      <c r="B1456" s="24"/>
      <c r="C1456" s="6"/>
      <c r="D1456" s="6"/>
      <c r="E1456" s="61" t="s">
        <v>190</v>
      </c>
      <c r="F1456" s="40">
        <f t="shared" ref="F1456:N1456" si="480">IF(((F1454="")*AND(F1455="")),"",(F1454-F1455)*3)</f>
        <v>2072.6999999999998</v>
      </c>
      <c r="G1456" s="40">
        <f t="shared" si="480"/>
        <v>2113.1699999999996</v>
      </c>
      <c r="H1456" s="40">
        <f t="shared" si="480"/>
        <v>2099.3400000000006</v>
      </c>
      <c r="I1456" s="40">
        <f t="shared" si="480"/>
        <v>2104.9799999999996</v>
      </c>
      <c r="J1456" s="40">
        <f t="shared" si="480"/>
        <v>2053.59</v>
      </c>
      <c r="K1456" s="40">
        <f t="shared" si="480"/>
        <v>1996.47</v>
      </c>
      <c r="L1456" s="40">
        <f t="shared" si="480"/>
        <v>2102.91</v>
      </c>
      <c r="M1456" s="40">
        <f t="shared" si="480"/>
        <v>2113.41</v>
      </c>
      <c r="N1456" s="40">
        <f t="shared" si="480"/>
        <v>2123.91</v>
      </c>
      <c r="O1456" s="61"/>
      <c r="P1456" s="61"/>
      <c r="Q1456" s="62"/>
      <c r="R1456" s="62"/>
      <c r="S1456" s="139"/>
      <c r="T1456" s="5"/>
      <c r="U1456" s="140"/>
      <c r="X1456" s="118"/>
      <c r="Y1456" s="118"/>
      <c r="Z1456" s="118"/>
      <c r="AA1456" s="118"/>
    </row>
    <row r="1457" spans="1:29" ht="15.6" x14ac:dyDescent="0.3">
      <c r="A1457" s="278">
        <v>43731</v>
      </c>
      <c r="B1457" s="218" t="s">
        <v>185</v>
      </c>
      <c r="C1457" s="6" t="s">
        <v>173</v>
      </c>
      <c r="D1457" s="6" t="s">
        <v>172</v>
      </c>
      <c r="E1457" s="61" t="s">
        <v>186</v>
      </c>
      <c r="F1457">
        <v>25984.09</v>
      </c>
      <c r="G1457">
        <v>26190.77</v>
      </c>
      <c r="H1457">
        <v>26262.91</v>
      </c>
      <c r="I1457">
        <v>26244.1</v>
      </c>
      <c r="J1457">
        <v>26060.43</v>
      </c>
      <c r="K1457">
        <v>26035.25</v>
      </c>
      <c r="L1457">
        <v>26217.78</v>
      </c>
      <c r="M1457">
        <v>26198.720000000001</v>
      </c>
      <c r="N1457">
        <v>26020.78</v>
      </c>
      <c r="O1457" s="61">
        <f>IF((N1458=""),"",MAX(F1459:N1459))</f>
        <v>4943.7900000000009</v>
      </c>
      <c r="P1457" s="61">
        <f>IF(N1458="","",MIN(F1459:N1459))</f>
        <v>4355.3700000000026</v>
      </c>
      <c r="Q1457" s="62">
        <f>IF((N1459=""),"",AVERAGE(F1459:N1459))</f>
        <v>4645.4000000000005</v>
      </c>
      <c r="R1457" s="62">
        <f>IF((N1458=""),"",(O1457-P1457)/(O1457+P1457)*100)</f>
        <v>6.327668305524349</v>
      </c>
      <c r="S1457" s="139">
        <f>STDEV(F1459:N1459)</f>
        <v>248.84645612304845</v>
      </c>
      <c r="T1457" s="5" t="str">
        <f>IF(N1458="","",IF(R1457&lt;16,IF(Q1457&gt;3200,IF(R1457,IF(Q1457&lt;5240,"Pass","Fail"),"Fail"),"Fail")))</f>
        <v>Pass</v>
      </c>
      <c r="U1457" s="149">
        <v>1428</v>
      </c>
      <c r="V1457" s="11" t="s">
        <v>382</v>
      </c>
      <c r="X1457" s="116">
        <v>4200</v>
      </c>
      <c r="Y1457" s="116">
        <v>5500</v>
      </c>
      <c r="Z1457" s="116">
        <v>3200</v>
      </c>
      <c r="AA1457" s="116">
        <v>5240</v>
      </c>
      <c r="AB1457" s="31">
        <v>16</v>
      </c>
      <c r="AC1457" s="31">
        <v>16</v>
      </c>
    </row>
    <row r="1458" spans="1:29" ht="15.6" x14ac:dyDescent="0.3">
      <c r="A1458" s="212"/>
      <c r="B1458" s="24"/>
      <c r="C1458" s="6"/>
      <c r="D1458" s="6"/>
      <c r="E1458" s="61" t="s">
        <v>187</v>
      </c>
      <c r="F1458">
        <v>24355.8</v>
      </c>
      <c r="G1458">
        <v>24707.95</v>
      </c>
      <c r="H1458">
        <v>24811.119999999999</v>
      </c>
      <c r="I1458">
        <v>24745.77</v>
      </c>
      <c r="J1458">
        <v>24414.55</v>
      </c>
      <c r="K1458">
        <v>24387.32</v>
      </c>
      <c r="L1458">
        <v>24724.22</v>
      </c>
      <c r="M1458">
        <v>24725.85</v>
      </c>
      <c r="N1458">
        <v>24406.05</v>
      </c>
      <c r="O1458" s="127"/>
      <c r="P1458" s="61"/>
      <c r="Q1458" s="62"/>
      <c r="R1458" s="62"/>
      <c r="S1458" s="139"/>
      <c r="T1458" s="5"/>
      <c r="U1458" s="140"/>
    </row>
    <row r="1459" spans="1:29" ht="23.4" thickBot="1" x14ac:dyDescent="0.35">
      <c r="A1459" s="212"/>
      <c r="B1459" s="63"/>
      <c r="C1459" s="64"/>
      <c r="D1459" s="64"/>
      <c r="E1459" s="61" t="s">
        <v>188</v>
      </c>
      <c r="F1459" s="53">
        <f t="shared" ref="F1459:N1459" si="481">IF(((F1457="")*AND(F1458="")),"",(F1457-F1458)*3)</f>
        <v>4884.8700000000026</v>
      </c>
      <c r="G1459" s="53">
        <f t="shared" si="481"/>
        <v>4448.4599999999991</v>
      </c>
      <c r="H1459" s="53">
        <f t="shared" si="481"/>
        <v>4355.3700000000026</v>
      </c>
      <c r="I1459" s="53">
        <f t="shared" si="481"/>
        <v>4494.9899999999943</v>
      </c>
      <c r="J1459" s="53">
        <f t="shared" si="481"/>
        <v>4937.6400000000031</v>
      </c>
      <c r="K1459" s="53">
        <f t="shared" si="481"/>
        <v>4943.7900000000009</v>
      </c>
      <c r="L1459" s="53">
        <f t="shared" si="481"/>
        <v>4480.679999999993</v>
      </c>
      <c r="M1459" s="53">
        <f t="shared" si="481"/>
        <v>4418.6100000000079</v>
      </c>
      <c r="N1459" s="53">
        <f t="shared" si="481"/>
        <v>4844.1899999999987</v>
      </c>
      <c r="O1459" s="65"/>
      <c r="P1459" s="65"/>
      <c r="Q1459" s="66"/>
      <c r="R1459" s="66"/>
      <c r="S1459" s="142"/>
      <c r="T1459" s="143"/>
      <c r="U1459" s="144"/>
    </row>
    <row r="1460" spans="1:29" ht="15.6" x14ac:dyDescent="0.3">
      <c r="A1460" s="278">
        <v>43735</v>
      </c>
      <c r="B1460" s="217" t="s">
        <v>174</v>
      </c>
      <c r="C1460" s="44" t="s">
        <v>176</v>
      </c>
      <c r="D1460" s="44" t="s">
        <v>175</v>
      </c>
      <c r="E1460" s="61" t="s">
        <v>186</v>
      </c>
      <c r="F1460">
        <v>3289.66</v>
      </c>
      <c r="G1460">
        <v>3048.24</v>
      </c>
      <c r="H1460">
        <v>3015.9</v>
      </c>
      <c r="I1460">
        <v>3020.36</v>
      </c>
      <c r="J1460">
        <v>3088.81</v>
      </c>
      <c r="K1460">
        <v>3323.95</v>
      </c>
      <c r="L1460">
        <v>3032.09</v>
      </c>
      <c r="M1460">
        <v>3008.38</v>
      </c>
      <c r="N1460">
        <v>3144.57</v>
      </c>
      <c r="O1460" s="59">
        <f>IF((N1461=""),"",MAX(F1462:N1462))</f>
        <v>3936.2000000000003</v>
      </c>
      <c r="P1460" s="59">
        <f>IF(N1461="","",MIN(F1462:N1462))</f>
        <v>3618.8799999999997</v>
      </c>
      <c r="Q1460" s="60">
        <f>IF((N1462=""),"",AVERAGE(F1462:N1462))</f>
        <v>3830.9488888888891</v>
      </c>
      <c r="R1460" s="60">
        <f>IF((N1461=""),"",(O1460-P1460)/(O1460+P1460)*100)</f>
        <v>4.2000878878847159</v>
      </c>
      <c r="S1460" s="131">
        <f>STDEV(F1462:N1462)</f>
        <v>108.91297402564655</v>
      </c>
      <c r="T1460" s="137" t="str">
        <f>IF(N1461="","",IF(Q1460&gt;3650,IF(R1460&lt;7,IF(Q1460&lt;4450,"Pass","Fail"),"Fail"),"Fail"))</f>
        <v>Pass</v>
      </c>
      <c r="U1460" s="149">
        <v>1428</v>
      </c>
      <c r="V1460" s="11" t="s">
        <v>384</v>
      </c>
      <c r="X1460" s="116">
        <v>3650</v>
      </c>
      <c r="Y1460" s="116">
        <v>4450</v>
      </c>
      <c r="Z1460" s="116">
        <v>3700</v>
      </c>
      <c r="AA1460" s="116">
        <v>4100</v>
      </c>
      <c r="AB1460" s="31">
        <v>7</v>
      </c>
      <c r="AC1460" s="31">
        <v>6.5</v>
      </c>
    </row>
    <row r="1461" spans="1:29" ht="15.6" x14ac:dyDescent="0.3">
      <c r="A1461" s="212"/>
      <c r="B1461" s="24"/>
      <c r="C1461" s="6"/>
      <c r="D1461" s="6"/>
      <c r="E1461" s="61" t="s">
        <v>187</v>
      </c>
      <c r="F1461">
        <v>1443.19</v>
      </c>
      <c r="G1461">
        <v>1099.23</v>
      </c>
      <c r="H1461">
        <v>1057.48</v>
      </c>
      <c r="I1461">
        <v>1072.33</v>
      </c>
      <c r="J1461">
        <v>1190.6600000000001</v>
      </c>
      <c r="K1461">
        <v>1514.51</v>
      </c>
      <c r="L1461">
        <v>1092.6199999999999</v>
      </c>
      <c r="M1461">
        <v>1040.28</v>
      </c>
      <c r="N1461">
        <v>1222.3900000000001</v>
      </c>
      <c r="O1461" s="61"/>
      <c r="P1461" s="61"/>
      <c r="Q1461" s="62"/>
      <c r="R1461" s="62"/>
      <c r="S1461" s="139"/>
      <c r="T1461" s="8"/>
      <c r="U1461" s="146"/>
      <c r="X1461" s="118"/>
      <c r="Y1461" s="118"/>
      <c r="Z1461" s="118"/>
      <c r="AA1461" s="118"/>
    </row>
    <row r="1462" spans="1:29" ht="23.4" thickBot="1" x14ac:dyDescent="0.35">
      <c r="A1462" s="212"/>
      <c r="B1462" s="24"/>
      <c r="C1462" s="6"/>
      <c r="D1462" s="6"/>
      <c r="E1462" s="61" t="s">
        <v>188</v>
      </c>
      <c r="F1462" s="40">
        <f t="shared" ref="F1462:N1462" si="482">IF(((F1460="")*AND(F1461="")),"",(F1460-F1461)*2)</f>
        <v>3692.9399999999996</v>
      </c>
      <c r="G1462" s="40">
        <f t="shared" si="482"/>
        <v>3898.0199999999995</v>
      </c>
      <c r="H1462" s="40">
        <f t="shared" si="482"/>
        <v>3916.84</v>
      </c>
      <c r="I1462" s="40">
        <f t="shared" si="482"/>
        <v>3896.0600000000004</v>
      </c>
      <c r="J1462" s="40">
        <f t="shared" si="482"/>
        <v>3796.2999999999997</v>
      </c>
      <c r="K1462" s="40">
        <f t="shared" si="482"/>
        <v>3618.8799999999997</v>
      </c>
      <c r="L1462" s="40">
        <f t="shared" si="482"/>
        <v>3878.9400000000005</v>
      </c>
      <c r="M1462" s="40">
        <f t="shared" si="482"/>
        <v>3936.2000000000003</v>
      </c>
      <c r="N1462" s="40">
        <f t="shared" si="482"/>
        <v>3844.36</v>
      </c>
      <c r="O1462" s="61"/>
      <c r="P1462" s="61"/>
      <c r="Q1462" s="62"/>
      <c r="R1462" s="62"/>
      <c r="S1462" s="139"/>
      <c r="T1462" s="8"/>
      <c r="U1462" s="146"/>
      <c r="X1462" s="118"/>
      <c r="Y1462" s="118"/>
      <c r="Z1462" s="118"/>
      <c r="AA1462" s="118"/>
    </row>
    <row r="1463" spans="1:29" ht="15.6" x14ac:dyDescent="0.3">
      <c r="A1463" s="278">
        <v>43735</v>
      </c>
      <c r="B1463" s="215" t="s">
        <v>169</v>
      </c>
      <c r="C1463" s="6" t="s">
        <v>171</v>
      </c>
      <c r="D1463" s="6" t="s">
        <v>189</v>
      </c>
      <c r="E1463" s="61" t="s">
        <v>186</v>
      </c>
      <c r="F1463">
        <v>1259.78</v>
      </c>
      <c r="G1463">
        <v>1244.26</v>
      </c>
      <c r="H1463">
        <v>1251.1600000000001</v>
      </c>
      <c r="I1463">
        <v>1247.23</v>
      </c>
      <c r="J1463">
        <v>1269.6199999999999</v>
      </c>
      <c r="K1463">
        <v>1287.4100000000001</v>
      </c>
      <c r="L1463">
        <v>1249.03</v>
      </c>
      <c r="M1463">
        <v>1243.1099999999999</v>
      </c>
      <c r="N1463">
        <v>1247.8699999999999</v>
      </c>
      <c r="O1463" s="61">
        <f>IF((N1464=""),"",MAX(F1465:N1465))</f>
        <v>2052.63</v>
      </c>
      <c r="P1463" s="61">
        <f>IF(N1464="","",MIN(F1465:N1465))</f>
        <v>1983.9900000000002</v>
      </c>
      <c r="Q1463" s="62">
        <f>IF((N1465=""),"",AVERAGE(F1465:N1465))</f>
        <v>2031.2366666666667</v>
      </c>
      <c r="R1463" s="62">
        <f>IF((N1464=""),"",(O1463-P1463)/(O1463+P1463)*100)</f>
        <v>1.7004325400954232</v>
      </c>
      <c r="S1463" s="139">
        <f>STDEV(F1465:N1465)</f>
        <v>24.105725460977098</v>
      </c>
      <c r="T1463" s="5" t="str">
        <f>IF(N1464="","",IF(Q1463&gt;1940,IF(R1463&lt;8.3,IF(Q1463&lt;2180,"Pass","Fail"),"Fail"),"Fail"))</f>
        <v>Pass</v>
      </c>
      <c r="U1463" s="149">
        <v>1428</v>
      </c>
      <c r="V1463" s="11" t="s">
        <v>384</v>
      </c>
      <c r="X1463" s="116">
        <v>2000</v>
      </c>
      <c r="Y1463" s="116">
        <v>3000</v>
      </c>
      <c r="Z1463" s="116">
        <v>1940</v>
      </c>
      <c r="AA1463" s="116">
        <v>2180</v>
      </c>
      <c r="AB1463" s="31">
        <v>5.2</v>
      </c>
      <c r="AC1463" s="31">
        <v>5.2</v>
      </c>
    </row>
    <row r="1464" spans="1:29" ht="15.6" x14ac:dyDescent="0.3">
      <c r="A1464" s="212"/>
      <c r="B1464" s="24"/>
      <c r="C1464" s="6"/>
      <c r="D1464" s="6"/>
      <c r="E1464" s="61" t="s">
        <v>187</v>
      </c>
      <c r="F1464">
        <v>590.87</v>
      </c>
      <c r="G1464">
        <v>561.24</v>
      </c>
      <c r="H1464">
        <v>566.95000000000005</v>
      </c>
      <c r="I1464">
        <v>563.53</v>
      </c>
      <c r="J1464">
        <v>595.41999999999996</v>
      </c>
      <c r="K1464">
        <v>626.08000000000004</v>
      </c>
      <c r="L1464">
        <v>566.89</v>
      </c>
      <c r="M1464">
        <v>560.78</v>
      </c>
      <c r="N1464">
        <v>574</v>
      </c>
      <c r="O1464" s="61"/>
      <c r="P1464" s="61"/>
      <c r="Q1464" s="62"/>
      <c r="R1464" s="62"/>
      <c r="S1464" s="139"/>
      <c r="T1464" s="5"/>
      <c r="U1464" s="140"/>
      <c r="X1464" s="118"/>
      <c r="Y1464" s="118"/>
      <c r="Z1464" s="118"/>
      <c r="AA1464" s="118"/>
    </row>
    <row r="1465" spans="1:29" ht="16.2" thickBot="1" x14ac:dyDescent="0.35">
      <c r="A1465" s="212"/>
      <c r="B1465" s="24"/>
      <c r="C1465" s="6"/>
      <c r="D1465" s="6"/>
      <c r="E1465" s="61" t="s">
        <v>190</v>
      </c>
      <c r="F1465" s="40">
        <f t="shared" ref="F1465:N1465" si="483">IF(((F1463="")*AND(F1464="")),"",(F1463-F1464)*3)</f>
        <v>2006.73</v>
      </c>
      <c r="G1465" s="40">
        <f t="shared" si="483"/>
        <v>2049.06</v>
      </c>
      <c r="H1465" s="40">
        <f t="shared" si="483"/>
        <v>2052.63</v>
      </c>
      <c r="I1465" s="40">
        <f t="shared" si="483"/>
        <v>2051.1000000000004</v>
      </c>
      <c r="J1465" s="40">
        <f t="shared" si="483"/>
        <v>2022.6</v>
      </c>
      <c r="K1465" s="40">
        <f t="shared" si="483"/>
        <v>1983.9900000000002</v>
      </c>
      <c r="L1465" s="40">
        <f t="shared" si="483"/>
        <v>2046.42</v>
      </c>
      <c r="M1465" s="40">
        <f t="shared" si="483"/>
        <v>2046.9899999999998</v>
      </c>
      <c r="N1465" s="40">
        <f t="shared" si="483"/>
        <v>2021.6099999999997</v>
      </c>
      <c r="O1465" s="61"/>
      <c r="P1465" s="61"/>
      <c r="Q1465" s="62"/>
      <c r="R1465" s="62"/>
      <c r="S1465" s="139"/>
      <c r="T1465" s="5"/>
      <c r="U1465" s="140"/>
      <c r="X1465" s="118"/>
      <c r="Y1465" s="118"/>
      <c r="Z1465" s="118"/>
      <c r="AA1465" s="118"/>
    </row>
    <row r="1466" spans="1:29" ht="15.6" x14ac:dyDescent="0.3">
      <c r="A1466" s="278">
        <v>43735</v>
      </c>
      <c r="B1466" s="218" t="s">
        <v>185</v>
      </c>
      <c r="C1466" s="6" t="s">
        <v>173</v>
      </c>
      <c r="D1466" s="6" t="s">
        <v>172</v>
      </c>
      <c r="E1466" s="61" t="s">
        <v>186</v>
      </c>
      <c r="F1466">
        <v>24288.17</v>
      </c>
      <c r="G1466">
        <v>24645.72</v>
      </c>
      <c r="H1466">
        <v>24752.04</v>
      </c>
      <c r="I1466">
        <v>24692.06</v>
      </c>
      <c r="J1466">
        <v>24342.71</v>
      </c>
      <c r="K1466">
        <v>24314.76</v>
      </c>
      <c r="L1466">
        <v>24668.42</v>
      </c>
      <c r="M1466">
        <v>24659.279999999999</v>
      </c>
      <c r="N1466">
        <v>24338.87</v>
      </c>
      <c r="O1466" s="61">
        <f>IF((N1467=""),"",MAX(F1468:N1468))</f>
        <v>5024.5799999999908</v>
      </c>
      <c r="P1466" s="61">
        <f>IF(N1467="","",MIN(F1468:N1468))</f>
        <v>4378.6800000000039</v>
      </c>
      <c r="Q1466" s="62">
        <f>IF((N1468=""),"",AVERAGE(F1468:N1468))</f>
        <v>4661.0933333333314</v>
      </c>
      <c r="R1466" s="62">
        <f>IF((N1467=""),"",(O1466-P1466)/(O1466+P1466)*100)</f>
        <v>6.8688944047063174</v>
      </c>
      <c r="S1466" s="139">
        <f>STDEV(F1468:N1468)</f>
        <v>271.50329118631083</v>
      </c>
      <c r="T1466" s="5" t="str">
        <f>IF(N1467="","",IF(R1466&lt;16,IF(Q1466&gt;3200,IF(R1466,IF(Q1466&lt;5240,"Pass","Fail"),"Fail"),"Fail")))</f>
        <v>Pass</v>
      </c>
      <c r="U1466" s="149">
        <v>1428</v>
      </c>
      <c r="V1466" s="11" t="s">
        <v>384</v>
      </c>
      <c r="X1466" s="116">
        <v>4200</v>
      </c>
      <c r="Y1466" s="116">
        <v>5500</v>
      </c>
      <c r="Z1466" s="116">
        <v>3200</v>
      </c>
      <c r="AA1466" s="116">
        <v>5240</v>
      </c>
      <c r="AB1466" s="31">
        <v>16</v>
      </c>
      <c r="AC1466" s="31">
        <v>16</v>
      </c>
    </row>
    <row r="1467" spans="1:29" ht="15.6" x14ac:dyDescent="0.3">
      <c r="A1467" s="212"/>
      <c r="B1467" s="24"/>
      <c r="C1467" s="6"/>
      <c r="D1467" s="6"/>
      <c r="E1467" s="61" t="s">
        <v>187</v>
      </c>
      <c r="F1467">
        <v>22636.35</v>
      </c>
      <c r="G1467">
        <v>23156.31</v>
      </c>
      <c r="H1467">
        <v>23292.48</v>
      </c>
      <c r="I1467">
        <v>23217.54</v>
      </c>
      <c r="J1467">
        <v>22700.560000000001</v>
      </c>
      <c r="K1467">
        <v>22639.9</v>
      </c>
      <c r="L1467">
        <v>23175.72</v>
      </c>
      <c r="M1467">
        <v>23182.14</v>
      </c>
      <c r="N1467">
        <v>22717.75</v>
      </c>
      <c r="O1467" s="127"/>
      <c r="P1467" s="61"/>
      <c r="Q1467" s="62"/>
      <c r="R1467" s="62"/>
      <c r="S1467" s="139"/>
      <c r="T1467" s="5"/>
      <c r="U1467" s="140"/>
    </row>
    <row r="1468" spans="1:29" ht="23.4" thickBot="1" x14ac:dyDescent="0.35">
      <c r="A1468" s="212"/>
      <c r="B1468" s="63"/>
      <c r="C1468" s="64"/>
      <c r="D1468" s="64"/>
      <c r="E1468" s="61" t="s">
        <v>188</v>
      </c>
      <c r="F1468" s="53">
        <f t="shared" ref="F1468:N1468" si="484">IF(((F1466="")*AND(F1467="")),"",(F1466-F1467)*3)</f>
        <v>4955.4599999999991</v>
      </c>
      <c r="G1468" s="53">
        <f t="shared" si="484"/>
        <v>4468.2299999999996</v>
      </c>
      <c r="H1468" s="53">
        <f t="shared" si="484"/>
        <v>4378.6800000000039</v>
      </c>
      <c r="I1468" s="53">
        <f t="shared" si="484"/>
        <v>4423.5600000000013</v>
      </c>
      <c r="J1468" s="53">
        <f t="shared" si="484"/>
        <v>4926.4499999999935</v>
      </c>
      <c r="K1468" s="53">
        <f t="shared" si="484"/>
        <v>5024.5799999999908</v>
      </c>
      <c r="L1468" s="53">
        <f t="shared" si="484"/>
        <v>4478.0999999999913</v>
      </c>
      <c r="M1468" s="53">
        <f t="shared" si="484"/>
        <v>4431.4199999999983</v>
      </c>
      <c r="N1468" s="53">
        <f t="shared" si="484"/>
        <v>4863.3599999999969</v>
      </c>
      <c r="O1468" s="65"/>
      <c r="P1468" s="65"/>
      <c r="Q1468" s="66"/>
      <c r="R1468" s="66"/>
      <c r="S1468" s="142"/>
      <c r="T1468" s="143"/>
      <c r="U1468" s="144"/>
    </row>
    <row r="1469" spans="1:29" ht="15.6" x14ac:dyDescent="0.3">
      <c r="A1469" s="278">
        <v>43739</v>
      </c>
      <c r="B1469" s="217" t="s">
        <v>174</v>
      </c>
      <c r="C1469" s="44" t="s">
        <v>176</v>
      </c>
      <c r="D1469" s="44" t="s">
        <v>175</v>
      </c>
      <c r="E1469" s="61" t="s">
        <v>186</v>
      </c>
      <c r="F1469">
        <v>6923.06</v>
      </c>
      <c r="G1469">
        <v>6898.17</v>
      </c>
      <c r="H1469">
        <v>6926.02</v>
      </c>
      <c r="I1469">
        <v>6890.92</v>
      </c>
      <c r="J1469">
        <v>6950.59</v>
      </c>
      <c r="K1469">
        <v>6900.08</v>
      </c>
      <c r="L1469">
        <v>6890.4</v>
      </c>
      <c r="M1469">
        <v>6920.17</v>
      </c>
      <c r="N1469">
        <v>6994.78</v>
      </c>
      <c r="O1469" s="59">
        <f>IF((N1470=""),"",MAX(F1471:N1471))</f>
        <v>3921.5</v>
      </c>
      <c r="P1469" s="59">
        <f>IF(N1470="","",MIN(F1471:N1471))</f>
        <v>3616.4799999999996</v>
      </c>
      <c r="Q1469" s="60">
        <f>IF((N1471=""),"",AVERAGE(F1471:N1471))</f>
        <v>3817.4111111111106</v>
      </c>
      <c r="R1469" s="60">
        <f>IF((N1470=""),"",(O1469-P1469)/(O1469+P1469)*100)</f>
        <v>4.0464421502842995</v>
      </c>
      <c r="S1469" s="131">
        <f>STDEV(F1471:N1471)</f>
        <v>102.142164217874</v>
      </c>
      <c r="T1469" s="137" t="str">
        <f>IF(N1470="","",IF(Q1469&gt;3650,IF(R1469&lt;7,IF(Q1469&lt;4450,"Pass","Fail"),"Fail"),"Fail"))</f>
        <v>Pass</v>
      </c>
      <c r="U1469" s="149">
        <v>121</v>
      </c>
      <c r="V1469" s="11" t="s">
        <v>387</v>
      </c>
      <c r="X1469" s="116">
        <v>3650</v>
      </c>
      <c r="Y1469" s="116">
        <v>4450</v>
      </c>
      <c r="Z1469" s="116">
        <v>3700</v>
      </c>
      <c r="AA1469" s="116">
        <v>4100</v>
      </c>
      <c r="AB1469" s="31">
        <v>7</v>
      </c>
      <c r="AC1469" s="31">
        <v>6.5</v>
      </c>
    </row>
    <row r="1470" spans="1:29" ht="15.6" x14ac:dyDescent="0.3">
      <c r="A1470" s="212"/>
      <c r="B1470" s="24"/>
      <c r="C1470" s="6"/>
      <c r="D1470" s="6"/>
      <c r="E1470" s="61" t="s">
        <v>187</v>
      </c>
      <c r="F1470">
        <v>5079.84</v>
      </c>
      <c r="G1470">
        <v>4961.8100000000004</v>
      </c>
      <c r="H1470">
        <v>4979.1099999999997</v>
      </c>
      <c r="I1470">
        <v>4952.74</v>
      </c>
      <c r="J1470">
        <v>5054.84</v>
      </c>
      <c r="K1470">
        <v>5091.84</v>
      </c>
      <c r="L1470">
        <v>4962.95</v>
      </c>
      <c r="M1470">
        <v>4959.42</v>
      </c>
      <c r="N1470">
        <v>5073.29</v>
      </c>
      <c r="O1470" s="61"/>
      <c r="P1470" s="61"/>
      <c r="Q1470" s="62"/>
      <c r="R1470" s="62"/>
      <c r="S1470" s="139"/>
      <c r="T1470" s="8"/>
      <c r="U1470" s="146"/>
      <c r="X1470" s="118"/>
      <c r="Y1470" s="118"/>
      <c r="Z1470" s="118"/>
      <c r="AA1470" s="118"/>
    </row>
    <row r="1471" spans="1:29" ht="23.4" thickBot="1" x14ac:dyDescent="0.35">
      <c r="A1471" s="212"/>
      <c r="B1471" s="24"/>
      <c r="C1471" s="6"/>
      <c r="D1471" s="6"/>
      <c r="E1471" s="61" t="s">
        <v>188</v>
      </c>
      <c r="F1471" s="40">
        <f t="shared" ref="F1471:N1471" si="485">IF(((F1469="")*AND(F1470="")),"",(F1469-F1470)*2)</f>
        <v>3686.4400000000005</v>
      </c>
      <c r="G1471" s="40">
        <f t="shared" si="485"/>
        <v>3872.7199999999993</v>
      </c>
      <c r="H1471" s="40">
        <f t="shared" si="485"/>
        <v>3893.8200000000015</v>
      </c>
      <c r="I1471" s="40">
        <f t="shared" si="485"/>
        <v>3876.3600000000006</v>
      </c>
      <c r="J1471" s="40">
        <f t="shared" si="485"/>
        <v>3791.5</v>
      </c>
      <c r="K1471" s="40">
        <f t="shared" si="485"/>
        <v>3616.4799999999996</v>
      </c>
      <c r="L1471" s="40">
        <f t="shared" si="485"/>
        <v>3854.8999999999996</v>
      </c>
      <c r="M1471" s="40">
        <f t="shared" si="485"/>
        <v>3921.5</v>
      </c>
      <c r="N1471" s="40">
        <f t="shared" si="485"/>
        <v>3842.9799999999996</v>
      </c>
      <c r="O1471" s="61"/>
      <c r="P1471" s="61"/>
      <c r="Q1471" s="62"/>
      <c r="R1471" s="62"/>
      <c r="S1471" s="139"/>
      <c r="T1471" s="8"/>
      <c r="U1471" s="146"/>
      <c r="X1471" s="118"/>
      <c r="Y1471" s="118"/>
      <c r="Z1471" s="118"/>
      <c r="AA1471" s="118"/>
    </row>
    <row r="1472" spans="1:29" ht="15.6" x14ac:dyDescent="0.3">
      <c r="A1472" s="278">
        <v>43739</v>
      </c>
      <c r="B1472" s="215" t="s">
        <v>169</v>
      </c>
      <c r="C1472" s="6" t="s">
        <v>171</v>
      </c>
      <c r="D1472" s="6" t="s">
        <v>189</v>
      </c>
      <c r="E1472" s="61" t="s">
        <v>186</v>
      </c>
      <c r="F1472">
        <v>1956.23</v>
      </c>
      <c r="G1472">
        <v>1949.98</v>
      </c>
      <c r="H1472">
        <v>1940.53</v>
      </c>
      <c r="I1472">
        <v>1948.72</v>
      </c>
      <c r="J1472">
        <v>1956.68</v>
      </c>
      <c r="K1472">
        <v>1961.51</v>
      </c>
      <c r="L1472">
        <v>1953.86</v>
      </c>
      <c r="M1472">
        <v>1947.78</v>
      </c>
      <c r="N1472">
        <v>1953.04</v>
      </c>
      <c r="O1472" s="61">
        <f>IF((N1473=""),"",MAX(F1474:N1474))</f>
        <v>2091.33</v>
      </c>
      <c r="P1472" s="61">
        <f>IF(N1473="","",MIN(F1474:N1474))</f>
        <v>2027.4599999999998</v>
      </c>
      <c r="Q1472" s="62">
        <f>IF((N1474=""),"",AVERAGE(F1474:N1474))</f>
        <v>2057.8133333333335</v>
      </c>
      <c r="R1472" s="62">
        <f>IF((N1473=""),"",(O1472-P1472)/(O1472+P1472)*100)</f>
        <v>1.5506981419300359</v>
      </c>
      <c r="S1472" s="139">
        <f>STDEV(F1474:N1474)</f>
        <v>23.628993842311605</v>
      </c>
      <c r="T1472" s="5" t="str">
        <f>IF(N1473="","",IF(Q1472&gt;1940,IF(R1472&lt;8.3,IF(Q1472&lt;2180,"Pass","Fail"),"Fail"),"Fail"))</f>
        <v>Pass</v>
      </c>
      <c r="U1472" s="149">
        <v>121</v>
      </c>
      <c r="V1472" s="11" t="s">
        <v>387</v>
      </c>
      <c r="X1472" s="116">
        <v>2000</v>
      </c>
      <c r="Y1472" s="116">
        <v>3000</v>
      </c>
      <c r="Z1472" s="116">
        <v>1940</v>
      </c>
      <c r="AA1472" s="116">
        <v>2180</v>
      </c>
      <c r="AB1472" s="31">
        <v>5.2</v>
      </c>
      <c r="AC1472" s="31">
        <v>5.2</v>
      </c>
    </row>
    <row r="1473" spans="1:29" ht="15.6" x14ac:dyDescent="0.3">
      <c r="A1473" s="212"/>
      <c r="B1473" s="24"/>
      <c r="C1473" s="6"/>
      <c r="D1473" s="6"/>
      <c r="E1473" s="61" t="s">
        <v>187</v>
      </c>
      <c r="F1473">
        <v>1272.25</v>
      </c>
      <c r="G1473">
        <v>1255.4100000000001</v>
      </c>
      <c r="H1473">
        <v>1251.05</v>
      </c>
      <c r="I1473">
        <v>1259.05</v>
      </c>
      <c r="J1473">
        <v>1279.56</v>
      </c>
      <c r="K1473">
        <v>1284.47</v>
      </c>
      <c r="L1473">
        <v>1256.75</v>
      </c>
      <c r="M1473">
        <v>1259.1300000000001</v>
      </c>
      <c r="N1473">
        <v>1277.22</v>
      </c>
      <c r="O1473" s="61"/>
      <c r="P1473" s="61"/>
      <c r="Q1473" s="62"/>
      <c r="R1473" s="62"/>
      <c r="S1473" s="139"/>
      <c r="T1473" s="5"/>
      <c r="U1473" s="140"/>
      <c r="X1473" s="118"/>
      <c r="Y1473" s="118"/>
      <c r="Z1473" s="118"/>
      <c r="AA1473" s="118"/>
    </row>
    <row r="1474" spans="1:29" ht="16.2" thickBot="1" x14ac:dyDescent="0.35">
      <c r="A1474" s="212"/>
      <c r="B1474" s="24"/>
      <c r="C1474" s="6"/>
      <c r="D1474" s="6"/>
      <c r="E1474" s="61" t="s">
        <v>190</v>
      </c>
      <c r="F1474" s="40">
        <f t="shared" ref="F1474:N1474" si="486">IF(((F1472="")*AND(F1473="")),"",(F1472-F1473)*3)</f>
        <v>2051.94</v>
      </c>
      <c r="G1474" s="40">
        <f t="shared" si="486"/>
        <v>2083.71</v>
      </c>
      <c r="H1474" s="40">
        <f t="shared" si="486"/>
        <v>2068.44</v>
      </c>
      <c r="I1474" s="40">
        <f t="shared" si="486"/>
        <v>2069.0100000000002</v>
      </c>
      <c r="J1474" s="40">
        <f t="shared" si="486"/>
        <v>2031.3600000000004</v>
      </c>
      <c r="K1474" s="40">
        <f t="shared" si="486"/>
        <v>2031.12</v>
      </c>
      <c r="L1474" s="40">
        <f t="shared" si="486"/>
        <v>2091.33</v>
      </c>
      <c r="M1474" s="40">
        <f t="shared" si="486"/>
        <v>2065.9499999999998</v>
      </c>
      <c r="N1474" s="40">
        <f t="shared" si="486"/>
        <v>2027.4599999999998</v>
      </c>
      <c r="O1474" s="61"/>
      <c r="P1474" s="61"/>
      <c r="Q1474" s="62"/>
      <c r="R1474" s="62"/>
      <c r="S1474" s="139"/>
      <c r="T1474" s="5"/>
      <c r="U1474" s="140"/>
      <c r="X1474" s="118"/>
      <c r="Y1474" s="118"/>
      <c r="Z1474" s="118"/>
      <c r="AA1474" s="118"/>
    </row>
    <row r="1475" spans="1:29" ht="15.6" x14ac:dyDescent="0.3">
      <c r="A1475" s="278">
        <v>43739</v>
      </c>
      <c r="B1475" s="218" t="s">
        <v>185</v>
      </c>
      <c r="C1475" s="6" t="s">
        <v>173</v>
      </c>
      <c r="D1475" s="6" t="s">
        <v>172</v>
      </c>
      <c r="E1475" s="61" t="s">
        <v>186</v>
      </c>
      <c r="F1475">
        <v>22593.59</v>
      </c>
      <c r="G1475">
        <v>23115.46</v>
      </c>
      <c r="H1475">
        <v>23262.22</v>
      </c>
      <c r="I1475">
        <v>23149.08</v>
      </c>
      <c r="J1475">
        <v>22654.46</v>
      </c>
      <c r="K1475">
        <v>22604.17</v>
      </c>
      <c r="L1475">
        <v>23130.27</v>
      </c>
      <c r="M1475">
        <v>23142.880000000001</v>
      </c>
      <c r="N1475">
        <v>22665.19</v>
      </c>
      <c r="O1475" s="61">
        <f>IF((N1476=""),"",MAX(F1477:N1477))</f>
        <v>5056.2599999999948</v>
      </c>
      <c r="P1475" s="61">
        <f>IF(N1476="","",MIN(F1477:N1477))</f>
        <v>4430.9399999999987</v>
      </c>
      <c r="Q1475" s="62">
        <f>IF((N1477=""),"",AVERAGE(F1477:N1477))</f>
        <v>4738.6166666666668</v>
      </c>
      <c r="R1475" s="62">
        <f>IF((N1476=""),"",(O1475-P1475)/(O1475+P1475)*100)</f>
        <v>6.5911965595749686</v>
      </c>
      <c r="S1475" s="139">
        <f>STDEV(F1477:N1477)</f>
        <v>274.31182379729535</v>
      </c>
      <c r="T1475" s="5" t="str">
        <f>IF(N1476="","",IF(R1475&lt;16,IF(Q1475&gt;3200,IF(R1475,IF(Q1475&lt;5240,"Pass","Fail"),"Fail"),"Fail")))</f>
        <v>Pass</v>
      </c>
      <c r="U1475" s="149">
        <v>121</v>
      </c>
      <c r="V1475" s="11" t="s">
        <v>387</v>
      </c>
      <c r="X1475" s="116">
        <v>4200</v>
      </c>
      <c r="Y1475" s="116">
        <v>5500</v>
      </c>
      <c r="Z1475" s="116">
        <v>3200</v>
      </c>
      <c r="AA1475" s="116">
        <v>5240</v>
      </c>
      <c r="AB1475" s="31">
        <v>16</v>
      </c>
      <c r="AC1475" s="31">
        <v>16</v>
      </c>
    </row>
    <row r="1476" spans="1:29" ht="15.6" x14ac:dyDescent="0.3">
      <c r="A1476" s="212"/>
      <c r="B1476" s="24"/>
      <c r="C1476" s="6"/>
      <c r="D1476" s="6"/>
      <c r="E1476" s="61" t="s">
        <v>187</v>
      </c>
      <c r="F1476">
        <v>20929.189999999999</v>
      </c>
      <c r="G1476">
        <v>21604.16</v>
      </c>
      <c r="H1476">
        <v>21785.24</v>
      </c>
      <c r="I1476">
        <v>21651.53</v>
      </c>
      <c r="J1476">
        <v>20970.34</v>
      </c>
      <c r="K1476">
        <v>20918.75</v>
      </c>
      <c r="L1476">
        <v>21610.12</v>
      </c>
      <c r="M1476">
        <v>21632.28</v>
      </c>
      <c r="N1476">
        <v>20999.86</v>
      </c>
      <c r="O1476" s="127"/>
      <c r="P1476" s="61"/>
      <c r="Q1476" s="62"/>
      <c r="R1476" s="62"/>
      <c r="S1476" s="139"/>
      <c r="T1476" s="5"/>
      <c r="U1476" s="140"/>
    </row>
    <row r="1477" spans="1:29" ht="23.4" thickBot="1" x14ac:dyDescent="0.35">
      <c r="A1477" s="212"/>
      <c r="B1477" s="63"/>
      <c r="C1477" s="64"/>
      <c r="D1477" s="64"/>
      <c r="E1477" s="61" t="s">
        <v>188</v>
      </c>
      <c r="F1477" s="53">
        <f t="shared" ref="F1477:N1477" si="487">IF(((F1475="")*AND(F1476="")),"",(F1475-F1476)*3)</f>
        <v>4993.2000000000044</v>
      </c>
      <c r="G1477" s="53">
        <f t="shared" si="487"/>
        <v>4533.8999999999978</v>
      </c>
      <c r="H1477" s="53">
        <f t="shared" si="487"/>
        <v>4430.9399999999987</v>
      </c>
      <c r="I1477" s="53">
        <f t="shared" si="487"/>
        <v>4492.6500000000087</v>
      </c>
      <c r="J1477" s="53">
        <f t="shared" si="487"/>
        <v>5052.3599999999969</v>
      </c>
      <c r="K1477" s="53">
        <f t="shared" si="487"/>
        <v>5056.2599999999948</v>
      </c>
      <c r="L1477" s="53">
        <f t="shared" si="487"/>
        <v>4560.4500000000044</v>
      </c>
      <c r="M1477" s="53">
        <f t="shared" si="487"/>
        <v>4531.8000000000065</v>
      </c>
      <c r="N1477" s="53">
        <f t="shared" si="487"/>
        <v>4995.9899999999943</v>
      </c>
      <c r="O1477" s="65"/>
      <c r="P1477" s="65"/>
      <c r="Q1477" s="66"/>
      <c r="R1477" s="66"/>
      <c r="S1477" s="142"/>
      <c r="T1477" s="143"/>
      <c r="U1477" s="144"/>
    </row>
    <row r="1478" spans="1:29" ht="15.6" x14ac:dyDescent="0.3">
      <c r="A1478" s="278">
        <v>43745</v>
      </c>
      <c r="B1478" s="217" t="s">
        <v>174</v>
      </c>
      <c r="C1478" s="44" t="s">
        <v>176</v>
      </c>
      <c r="D1478" s="44" t="s">
        <v>175</v>
      </c>
      <c r="E1478" s="61" t="s">
        <v>186</v>
      </c>
      <c r="F1478">
        <v>5080.7700000000004</v>
      </c>
      <c r="G1478">
        <v>4966.76</v>
      </c>
      <c r="H1478">
        <v>4982.8999999999996</v>
      </c>
      <c r="I1478">
        <v>4957.68</v>
      </c>
      <c r="J1478">
        <v>5056.29</v>
      </c>
      <c r="K1478">
        <v>5092.8</v>
      </c>
      <c r="L1478">
        <v>4967.5200000000004</v>
      </c>
      <c r="M1478">
        <v>4964.05</v>
      </c>
      <c r="N1478">
        <v>5074.6499999999996</v>
      </c>
      <c r="O1478" s="59">
        <f>IF((N1479=""),"",MAX(F1480:N1480))</f>
        <v>3825.84</v>
      </c>
      <c r="P1478" s="59">
        <f>IF(N1479="","",MIN(F1480:N1480))</f>
        <v>3558.5600000000004</v>
      </c>
      <c r="Q1478" s="60">
        <f>IF((N1480=""),"",AVERAGE(F1480:N1480))</f>
        <v>3726.8488888888896</v>
      </c>
      <c r="R1478" s="60">
        <f>IF((N1479=""),"",(O1478-P1478)/(O1478+P1478)*100)</f>
        <v>3.6195222360652144</v>
      </c>
      <c r="S1478" s="131">
        <f>STDEV(F1480:N1480)</f>
        <v>91.417209053389257</v>
      </c>
      <c r="T1478" s="137" t="str">
        <f>IF(N1479="","",IF(Q1478&gt;3650,IF(R1478&lt;7,IF(Q1478&lt;4450,"Pass","Fail"),"Fail"),"Fail"))</f>
        <v>Pass</v>
      </c>
      <c r="U1478" s="149">
        <v>1159</v>
      </c>
      <c r="V1478" s="11" t="s">
        <v>394</v>
      </c>
      <c r="X1478" s="116">
        <v>3650</v>
      </c>
      <c r="Y1478" s="116">
        <v>4450</v>
      </c>
      <c r="Z1478" s="116">
        <v>3700</v>
      </c>
      <c r="AA1478" s="116">
        <v>4100</v>
      </c>
      <c r="AB1478" s="31">
        <v>7</v>
      </c>
      <c r="AC1478" s="31">
        <v>6.5</v>
      </c>
    </row>
    <row r="1479" spans="1:29" ht="15.6" x14ac:dyDescent="0.3">
      <c r="A1479" s="212"/>
      <c r="B1479" s="24"/>
      <c r="C1479" s="6"/>
      <c r="D1479" s="6"/>
      <c r="E1479" s="61" t="s">
        <v>187</v>
      </c>
      <c r="F1479">
        <v>3273.71</v>
      </c>
      <c r="G1479">
        <v>3077.58</v>
      </c>
      <c r="H1479">
        <v>3079.51</v>
      </c>
      <c r="I1479">
        <v>3065.29</v>
      </c>
      <c r="J1479">
        <v>3217.5</v>
      </c>
      <c r="K1479">
        <v>3313.52</v>
      </c>
      <c r="L1479">
        <v>3087.25</v>
      </c>
      <c r="M1479">
        <v>3051.13</v>
      </c>
      <c r="N1479">
        <v>3207.11</v>
      </c>
      <c r="O1479" s="61"/>
      <c r="P1479" s="61"/>
      <c r="Q1479" s="62"/>
      <c r="R1479" s="62"/>
      <c r="S1479" s="139"/>
      <c r="T1479" s="8"/>
      <c r="U1479" s="146"/>
      <c r="X1479" s="118"/>
      <c r="Y1479" s="118"/>
      <c r="Z1479" s="118"/>
      <c r="AA1479" s="118"/>
    </row>
    <row r="1480" spans="1:29" ht="23.4" thickBot="1" x14ac:dyDescent="0.35">
      <c r="A1480" s="212"/>
      <c r="B1480" s="24"/>
      <c r="C1480" s="6"/>
      <c r="D1480" s="6"/>
      <c r="E1480" s="61" t="s">
        <v>188</v>
      </c>
      <c r="F1480" s="40">
        <f t="shared" ref="F1480:N1480" si="488">IF(((F1478="")*AND(F1479="")),"",(F1478-F1479)*2)</f>
        <v>3614.1200000000008</v>
      </c>
      <c r="G1480" s="40">
        <f t="shared" si="488"/>
        <v>3778.3600000000006</v>
      </c>
      <c r="H1480" s="40">
        <f t="shared" si="488"/>
        <v>3806.7799999999988</v>
      </c>
      <c r="I1480" s="40">
        <f t="shared" si="488"/>
        <v>3784.7800000000007</v>
      </c>
      <c r="J1480" s="40">
        <f t="shared" si="488"/>
        <v>3677.58</v>
      </c>
      <c r="K1480" s="40">
        <f t="shared" si="488"/>
        <v>3558.5600000000004</v>
      </c>
      <c r="L1480" s="40">
        <f t="shared" si="488"/>
        <v>3760.5400000000009</v>
      </c>
      <c r="M1480" s="40">
        <f t="shared" si="488"/>
        <v>3825.84</v>
      </c>
      <c r="N1480" s="40">
        <f t="shared" si="488"/>
        <v>3735.079999999999</v>
      </c>
      <c r="O1480" s="61"/>
      <c r="P1480" s="61"/>
      <c r="Q1480" s="62"/>
      <c r="R1480" s="62"/>
      <c r="S1480" s="139"/>
      <c r="T1480" s="8"/>
      <c r="U1480" s="146"/>
      <c r="X1480" s="118"/>
      <c r="Y1480" s="118"/>
      <c r="Z1480" s="118"/>
      <c r="AA1480" s="118"/>
    </row>
    <row r="1481" spans="1:29" ht="15.6" x14ac:dyDescent="0.3">
      <c r="A1481" s="278">
        <v>43745</v>
      </c>
      <c r="B1481" s="215" t="s">
        <v>169</v>
      </c>
      <c r="C1481" s="6" t="s">
        <v>171</v>
      </c>
      <c r="D1481" s="6" t="s">
        <v>189</v>
      </c>
      <c r="E1481" s="61" t="s">
        <v>186</v>
      </c>
      <c r="F1481">
        <v>1277.8599999999999</v>
      </c>
      <c r="G1481">
        <v>1264.32</v>
      </c>
      <c r="H1481">
        <v>1252.43</v>
      </c>
      <c r="I1481">
        <v>1265.1199999999999</v>
      </c>
      <c r="J1481">
        <v>1287.81</v>
      </c>
      <c r="K1481">
        <v>1298.77</v>
      </c>
      <c r="L1481">
        <v>1263.99</v>
      </c>
      <c r="M1481">
        <v>1264.78</v>
      </c>
      <c r="N1481">
        <v>1281.0999999999999</v>
      </c>
      <c r="O1481" s="61">
        <f>IF((N1482=""),"",MAX(F1483:N1483))</f>
        <v>2052.9299999999998</v>
      </c>
      <c r="P1481" s="61">
        <f>IF(N1482="","",MIN(F1483:N1483))</f>
        <v>1978.0500000000002</v>
      </c>
      <c r="Q1481" s="62">
        <f>IF((N1483=""),"",AVERAGE(F1483:N1483))</f>
        <v>2006.3599999999997</v>
      </c>
      <c r="R1481" s="62">
        <f>IF((N1482=""),"",(O1481-P1481)/(O1481+P1481)*100)</f>
        <v>1.857612788949577</v>
      </c>
      <c r="S1481" s="139">
        <f>STDEV(F1483:N1483)</f>
        <v>26.996012205509128</v>
      </c>
      <c r="T1481" s="5" t="str">
        <f>IF(N1482="","",IF(Q1481&gt;1940,IF(R1481&lt;8.3,IF(Q1481&lt;2180,"Pass","Fail"),"Fail"),"Fail"))</f>
        <v>Pass</v>
      </c>
      <c r="U1481" s="149">
        <v>1159</v>
      </c>
      <c r="V1481" s="11" t="s">
        <v>394</v>
      </c>
      <c r="X1481" s="116">
        <v>2000</v>
      </c>
      <c r="Y1481" s="116">
        <v>3000</v>
      </c>
      <c r="Z1481" s="116">
        <v>1940</v>
      </c>
      <c r="AA1481" s="116">
        <v>2180</v>
      </c>
      <c r="AB1481" s="31">
        <v>5.2</v>
      </c>
      <c r="AC1481" s="31">
        <v>5.2</v>
      </c>
    </row>
    <row r="1482" spans="1:29" ht="15.6" x14ac:dyDescent="0.3">
      <c r="A1482" s="212"/>
      <c r="B1482" s="24"/>
      <c r="C1482" s="6"/>
      <c r="D1482" s="6"/>
      <c r="E1482" s="61" t="s">
        <v>187</v>
      </c>
      <c r="F1482">
        <v>593.54999999999995</v>
      </c>
      <c r="G1482">
        <v>597.15</v>
      </c>
      <c r="H1482">
        <v>593.08000000000004</v>
      </c>
      <c r="I1482">
        <v>602.37</v>
      </c>
      <c r="J1482">
        <v>623.24</v>
      </c>
      <c r="K1482">
        <v>618.24</v>
      </c>
      <c r="L1482">
        <v>603.73</v>
      </c>
      <c r="M1482">
        <v>599.55999999999995</v>
      </c>
      <c r="N1482">
        <v>606.17999999999995</v>
      </c>
      <c r="O1482" s="61"/>
      <c r="P1482" s="61"/>
      <c r="Q1482" s="62"/>
      <c r="R1482" s="62"/>
      <c r="S1482" s="139"/>
      <c r="T1482" s="5"/>
      <c r="U1482" s="140"/>
      <c r="X1482" s="118"/>
      <c r="Y1482" s="118"/>
      <c r="Z1482" s="118"/>
      <c r="AA1482" s="118"/>
    </row>
    <row r="1483" spans="1:29" ht="16.2" thickBot="1" x14ac:dyDescent="0.35">
      <c r="A1483" s="212"/>
      <c r="B1483" s="24"/>
      <c r="C1483" s="6"/>
      <c r="D1483" s="6"/>
      <c r="E1483" s="61" t="s">
        <v>190</v>
      </c>
      <c r="F1483" s="40">
        <f t="shared" ref="F1483:N1483" si="489">IF(((F1481="")*AND(F1482="")),"",(F1481-F1482)*3)</f>
        <v>2052.9299999999998</v>
      </c>
      <c r="G1483" s="40">
        <f t="shared" si="489"/>
        <v>2001.5099999999998</v>
      </c>
      <c r="H1483" s="40">
        <f t="shared" si="489"/>
        <v>1978.0500000000002</v>
      </c>
      <c r="I1483" s="40">
        <f t="shared" si="489"/>
        <v>1988.2499999999995</v>
      </c>
      <c r="J1483" s="40">
        <f t="shared" si="489"/>
        <v>1993.7099999999998</v>
      </c>
      <c r="K1483" s="40">
        <f t="shared" si="489"/>
        <v>2041.59</v>
      </c>
      <c r="L1483" s="40">
        <f t="shared" si="489"/>
        <v>1980.78</v>
      </c>
      <c r="M1483" s="40">
        <f t="shared" si="489"/>
        <v>1995.66</v>
      </c>
      <c r="N1483" s="40">
        <f t="shared" si="489"/>
        <v>2024.7599999999998</v>
      </c>
      <c r="O1483" s="61"/>
      <c r="P1483" s="61"/>
      <c r="Q1483" s="62"/>
      <c r="R1483" s="62"/>
      <c r="S1483" s="139"/>
      <c r="T1483" s="5"/>
      <c r="U1483" s="140"/>
      <c r="X1483" s="118"/>
      <c r="Y1483" s="118"/>
      <c r="Z1483" s="118"/>
      <c r="AA1483" s="118"/>
    </row>
    <row r="1484" spans="1:29" ht="15.6" x14ac:dyDescent="0.3">
      <c r="A1484" s="278">
        <v>43745</v>
      </c>
      <c r="B1484" s="218" t="s">
        <v>185</v>
      </c>
      <c r="C1484" s="6" t="s">
        <v>173</v>
      </c>
      <c r="D1484" s="6" t="s">
        <v>172</v>
      </c>
      <c r="E1484" s="61" t="s">
        <v>186</v>
      </c>
      <c r="F1484">
        <v>29301.63</v>
      </c>
      <c r="G1484">
        <v>29173.59</v>
      </c>
      <c r="H1484">
        <v>29187.77</v>
      </c>
      <c r="I1484">
        <v>29163.58</v>
      </c>
      <c r="J1484">
        <v>29282.66</v>
      </c>
      <c r="K1484">
        <v>29258.35</v>
      </c>
      <c r="L1484">
        <v>29144.84</v>
      </c>
      <c r="M1484">
        <v>29178.799999999999</v>
      </c>
      <c r="N1484">
        <v>29290.39</v>
      </c>
      <c r="O1484" s="61">
        <f>IF((N1485=""),"",MAX(F1486:N1486))</f>
        <v>4958.7600000000057</v>
      </c>
      <c r="P1484" s="61">
        <f>IF(N1485="","",MIN(F1486:N1486))</f>
        <v>4232.2800000000061</v>
      </c>
      <c r="Q1484" s="62">
        <f>IF((N1486=""),"",AVERAGE(F1486:N1486))</f>
        <v>4561.0733333333337</v>
      </c>
      <c r="R1484" s="62">
        <f>IF((N1485=""),"",(O1484-P1484)/(O1484+P1484)*100)</f>
        <v>7.9042197618550096</v>
      </c>
      <c r="S1484" s="139">
        <f>STDEV(F1486:N1486)</f>
        <v>294.86694694387086</v>
      </c>
      <c r="T1484" s="5" t="str">
        <f>IF(N1485="","",IF(R1484&lt;16,IF(Q1484&gt;3200,IF(R1484,IF(Q1484&lt;5240,"Pass","Fail"),"Fail"),"Fail")))</f>
        <v>Pass</v>
      </c>
      <c r="U1484" s="149">
        <v>1159</v>
      </c>
      <c r="V1484" s="11" t="s">
        <v>394</v>
      </c>
      <c r="X1484" s="116">
        <v>4200</v>
      </c>
      <c r="Y1484" s="116">
        <v>5500</v>
      </c>
      <c r="Z1484" s="116">
        <v>3200</v>
      </c>
      <c r="AA1484" s="116">
        <v>5240</v>
      </c>
      <c r="AB1484" s="31">
        <v>16</v>
      </c>
      <c r="AC1484" s="31">
        <v>16</v>
      </c>
    </row>
    <row r="1485" spans="1:29" ht="15.6" x14ac:dyDescent="0.3">
      <c r="A1485" s="212"/>
      <c r="B1485" s="24"/>
      <c r="C1485" s="6"/>
      <c r="D1485" s="6"/>
      <c r="E1485" s="61" t="s">
        <v>187</v>
      </c>
      <c r="F1485">
        <v>27648.71</v>
      </c>
      <c r="G1485">
        <v>27710.36</v>
      </c>
      <c r="H1485">
        <v>27777.01</v>
      </c>
      <c r="I1485">
        <v>27732.06</v>
      </c>
      <c r="J1485">
        <v>27693.29</v>
      </c>
      <c r="K1485">
        <v>27633.79</v>
      </c>
      <c r="L1485">
        <v>27701.8</v>
      </c>
      <c r="M1485">
        <v>27730.27</v>
      </c>
      <c r="N1485">
        <v>27671.1</v>
      </c>
      <c r="O1485" s="127"/>
      <c r="P1485" s="61"/>
      <c r="Q1485" s="62"/>
      <c r="R1485" s="62"/>
      <c r="S1485" s="139"/>
      <c r="T1485" s="5"/>
      <c r="U1485" s="140"/>
    </row>
    <row r="1486" spans="1:29" ht="23.4" thickBot="1" x14ac:dyDescent="0.35">
      <c r="A1486" s="212"/>
      <c r="B1486" s="63"/>
      <c r="C1486" s="64"/>
      <c r="D1486" s="64"/>
      <c r="E1486" s="61" t="s">
        <v>188</v>
      </c>
      <c r="F1486" s="53">
        <f t="shared" ref="F1486:N1486" si="490">IF(((F1484="")*AND(F1485="")),"",(F1484-F1485)*3)</f>
        <v>4958.7600000000057</v>
      </c>
      <c r="G1486" s="53">
        <f t="shared" si="490"/>
        <v>4389.6899999999987</v>
      </c>
      <c r="H1486" s="53">
        <f t="shared" si="490"/>
        <v>4232.2800000000061</v>
      </c>
      <c r="I1486" s="53">
        <f t="shared" si="490"/>
        <v>4294.5600000000013</v>
      </c>
      <c r="J1486" s="53">
        <f t="shared" si="490"/>
        <v>4768.1099999999969</v>
      </c>
      <c r="K1486" s="53">
        <f t="shared" si="490"/>
        <v>4873.679999999993</v>
      </c>
      <c r="L1486" s="53">
        <f t="shared" si="490"/>
        <v>4329.1200000000026</v>
      </c>
      <c r="M1486" s="53">
        <f t="shared" si="490"/>
        <v>4345.5899999999965</v>
      </c>
      <c r="N1486" s="53">
        <f t="shared" si="490"/>
        <v>4857.8700000000026</v>
      </c>
      <c r="O1486" s="65"/>
      <c r="P1486" s="65"/>
      <c r="Q1486" s="66"/>
      <c r="R1486" s="66"/>
      <c r="S1486" s="142"/>
      <c r="T1486" s="143"/>
      <c r="U1486" s="144"/>
    </row>
    <row r="1487" spans="1:29" ht="15.6" x14ac:dyDescent="0.3">
      <c r="A1487" s="278">
        <v>43749</v>
      </c>
      <c r="B1487" s="217" t="s">
        <v>174</v>
      </c>
      <c r="C1487" s="44" t="s">
        <v>176</v>
      </c>
      <c r="D1487" s="44" t="s">
        <v>175</v>
      </c>
      <c r="E1487" s="61" t="s">
        <v>186</v>
      </c>
      <c r="F1487">
        <v>3282.34</v>
      </c>
      <c r="G1487">
        <v>3084.65</v>
      </c>
      <c r="H1487">
        <v>3086.3</v>
      </c>
      <c r="I1487">
        <v>3071.77</v>
      </c>
      <c r="J1487">
        <v>3224.72</v>
      </c>
      <c r="K1487">
        <v>3321.78</v>
      </c>
      <c r="L1487">
        <v>3093.98</v>
      </c>
      <c r="M1487">
        <v>3057.54</v>
      </c>
      <c r="N1487">
        <v>3214.57</v>
      </c>
      <c r="O1487" s="59">
        <f>IF((N1488=""),"",MAX(F1489:N1489))</f>
        <v>3829.2799999999997</v>
      </c>
      <c r="P1487" s="59">
        <f>IF(N1488="","",MIN(F1489:N1489))</f>
        <v>3653.6000000000004</v>
      </c>
      <c r="Q1487" s="60">
        <f>IF((N1489=""),"",AVERAGE(F1489:N1489))</f>
        <v>3770.0977777777775</v>
      </c>
      <c r="R1487" s="60">
        <f>IF((N1488=""),"",(O1487-P1487)/(O1487+P1487)*100)</f>
        <v>2.3477591515566116</v>
      </c>
      <c r="S1487" s="131">
        <f>STDEV(F1489:N1489)</f>
        <v>56.481457527620805</v>
      </c>
      <c r="T1487" s="137" t="str">
        <f>IF(N1488="","",IF(Q1487&gt;3650,IF(R1487&lt;7,IF(Q1487&lt;4450,"Pass","Fail"),"Fail"),"Fail"))</f>
        <v>Pass</v>
      </c>
      <c r="U1487" s="149" t="s">
        <v>396</v>
      </c>
      <c r="V1487" s="11" t="s">
        <v>397</v>
      </c>
      <c r="X1487" s="116">
        <v>3650</v>
      </c>
      <c r="Y1487" s="116">
        <v>4450</v>
      </c>
      <c r="Z1487" s="116">
        <v>3700</v>
      </c>
      <c r="AA1487" s="116">
        <v>4100</v>
      </c>
      <c r="AB1487" s="31">
        <v>7</v>
      </c>
      <c r="AC1487" s="31">
        <v>6.5</v>
      </c>
    </row>
    <row r="1488" spans="1:29" ht="15.6" x14ac:dyDescent="0.3">
      <c r="A1488" s="212"/>
      <c r="B1488" s="24"/>
      <c r="C1488" s="6"/>
      <c r="D1488" s="6"/>
      <c r="E1488" s="61" t="s">
        <v>187</v>
      </c>
      <c r="F1488">
        <v>1429.54</v>
      </c>
      <c r="G1488">
        <v>1193.07</v>
      </c>
      <c r="H1488">
        <v>1180.4100000000001</v>
      </c>
      <c r="I1488">
        <v>1179.55</v>
      </c>
      <c r="J1488">
        <v>1338.21</v>
      </c>
      <c r="K1488">
        <v>1494.98</v>
      </c>
      <c r="L1488">
        <v>1207.23</v>
      </c>
      <c r="M1488">
        <v>1142.9000000000001</v>
      </c>
      <c r="N1488">
        <v>1306.32</v>
      </c>
      <c r="O1488" s="61"/>
      <c r="P1488" s="61"/>
      <c r="Q1488" s="62"/>
      <c r="R1488" s="62"/>
      <c r="S1488" s="139"/>
      <c r="T1488" s="8"/>
      <c r="U1488" s="146"/>
      <c r="X1488" s="118"/>
      <c r="Y1488" s="118"/>
      <c r="Z1488" s="118"/>
      <c r="AA1488" s="118"/>
    </row>
    <row r="1489" spans="1:29" ht="23.4" thickBot="1" x14ac:dyDescent="0.35">
      <c r="A1489" s="212"/>
      <c r="B1489" s="24"/>
      <c r="C1489" s="6"/>
      <c r="D1489" s="6"/>
      <c r="E1489" s="61" t="s">
        <v>188</v>
      </c>
      <c r="F1489" s="40">
        <f t="shared" ref="F1489:N1489" si="491">IF(((F1487="")*AND(F1488="")),"",(F1487-F1488)*2)</f>
        <v>3705.6000000000004</v>
      </c>
      <c r="G1489" s="40">
        <f t="shared" si="491"/>
        <v>3783.1600000000003</v>
      </c>
      <c r="H1489" s="40">
        <f t="shared" si="491"/>
        <v>3811.78</v>
      </c>
      <c r="I1489" s="40">
        <f t="shared" si="491"/>
        <v>3784.44</v>
      </c>
      <c r="J1489" s="40">
        <f t="shared" si="491"/>
        <v>3773.0199999999995</v>
      </c>
      <c r="K1489" s="40">
        <f t="shared" si="491"/>
        <v>3653.6000000000004</v>
      </c>
      <c r="L1489" s="40">
        <f t="shared" si="491"/>
        <v>3773.5</v>
      </c>
      <c r="M1489" s="40">
        <f t="shared" si="491"/>
        <v>3829.2799999999997</v>
      </c>
      <c r="N1489" s="40">
        <f t="shared" si="491"/>
        <v>3816.5000000000005</v>
      </c>
      <c r="O1489" s="61"/>
      <c r="P1489" s="61"/>
      <c r="Q1489" s="62"/>
      <c r="R1489" s="62"/>
      <c r="S1489" s="139"/>
      <c r="T1489" s="8"/>
      <c r="U1489" s="146"/>
      <c r="X1489" s="118"/>
      <c r="Y1489" s="118"/>
      <c r="Z1489" s="118"/>
      <c r="AA1489" s="118"/>
    </row>
    <row r="1490" spans="1:29" ht="15.6" x14ac:dyDescent="0.3">
      <c r="A1490" s="278">
        <v>43749</v>
      </c>
      <c r="B1490" s="215" t="s">
        <v>169</v>
      </c>
      <c r="C1490" s="6" t="s">
        <v>171</v>
      </c>
      <c r="D1490" s="6" t="s">
        <v>189</v>
      </c>
      <c r="E1490" s="61" t="s">
        <v>186</v>
      </c>
      <c r="F1490">
        <v>1930.35</v>
      </c>
      <c r="G1490">
        <v>1930.59</v>
      </c>
      <c r="H1490">
        <v>1926.4</v>
      </c>
      <c r="I1490">
        <v>1927.15</v>
      </c>
      <c r="J1490">
        <v>1934.35</v>
      </c>
      <c r="K1490">
        <v>1938.14</v>
      </c>
      <c r="L1490">
        <v>1925.62</v>
      </c>
      <c r="M1490">
        <v>1926.33</v>
      </c>
      <c r="N1490">
        <v>1932.06</v>
      </c>
      <c r="O1490" s="61">
        <f>IF((N1491=""),"",MAX(F1492:N1492))</f>
        <v>2046.3900000000003</v>
      </c>
      <c r="P1490" s="61">
        <f>IF(N1491="","",MIN(F1492:N1492))</f>
        <v>1977.03</v>
      </c>
      <c r="Q1490" s="62">
        <f>IF((N1492=""),"",AVERAGE(F1492:N1492))</f>
        <v>2004.4100000000003</v>
      </c>
      <c r="R1490" s="62">
        <f>IF((N1491=""),"",(O1490-P1490)/(O1490+P1490)*100)</f>
        <v>1.7239065272827683</v>
      </c>
      <c r="S1490" s="139">
        <f>STDEV(F1492:N1492)</f>
        <v>21.670032302698662</v>
      </c>
      <c r="T1490" s="5" t="str">
        <f>IF(N1491="","",IF(Q1490&gt;1940,IF(R1490&lt;8.3,IF(Q1490&lt;2180,"Pass","Fail"),"Fail"),"Fail"))</f>
        <v>Pass</v>
      </c>
      <c r="U1490" s="149" t="s">
        <v>396</v>
      </c>
      <c r="V1490" s="11" t="s">
        <v>397</v>
      </c>
      <c r="X1490" s="116">
        <v>2000</v>
      </c>
      <c r="Y1490" s="116">
        <v>3000</v>
      </c>
      <c r="Z1490" s="116">
        <v>1940</v>
      </c>
      <c r="AA1490" s="116">
        <v>2180</v>
      </c>
      <c r="AB1490" s="31">
        <v>5.2</v>
      </c>
      <c r="AC1490" s="31">
        <v>5.2</v>
      </c>
    </row>
    <row r="1491" spans="1:29" ht="15.6" x14ac:dyDescent="0.3">
      <c r="A1491" s="212"/>
      <c r="B1491" s="24"/>
      <c r="C1491" s="6"/>
      <c r="D1491" s="6"/>
      <c r="E1491" s="61" t="s">
        <v>187</v>
      </c>
      <c r="F1491">
        <v>1254.3</v>
      </c>
      <c r="G1491">
        <v>1260.0999999999999</v>
      </c>
      <c r="H1491">
        <v>1258.71</v>
      </c>
      <c r="I1491">
        <v>1262.28</v>
      </c>
      <c r="J1491">
        <v>1275.3399999999999</v>
      </c>
      <c r="K1491">
        <v>1256.01</v>
      </c>
      <c r="L1491">
        <v>1260.81</v>
      </c>
      <c r="M1491">
        <v>1259.46</v>
      </c>
      <c r="N1491">
        <v>1270.75</v>
      </c>
      <c r="O1491" s="61"/>
      <c r="P1491" s="61"/>
      <c r="Q1491" s="62"/>
      <c r="R1491" s="62"/>
      <c r="S1491" s="139"/>
      <c r="T1491" s="5"/>
      <c r="U1491" s="140"/>
      <c r="X1491" s="118"/>
      <c r="Y1491" s="118"/>
      <c r="Z1491" s="118"/>
      <c r="AA1491" s="118"/>
    </row>
    <row r="1492" spans="1:29" ht="16.2" thickBot="1" x14ac:dyDescent="0.35">
      <c r="A1492" s="212"/>
      <c r="B1492" s="24"/>
      <c r="C1492" s="6"/>
      <c r="D1492" s="6"/>
      <c r="E1492" s="61" t="s">
        <v>190</v>
      </c>
      <c r="F1492" s="40">
        <f t="shared" ref="F1492:N1492" si="492">IF(((F1490="")*AND(F1491="")),"",(F1490-F1491)*3)</f>
        <v>2028.1499999999999</v>
      </c>
      <c r="G1492" s="40">
        <f t="shared" si="492"/>
        <v>2011.47</v>
      </c>
      <c r="H1492" s="40">
        <f t="shared" si="492"/>
        <v>2003.0700000000002</v>
      </c>
      <c r="I1492" s="40">
        <f t="shared" si="492"/>
        <v>1994.6100000000004</v>
      </c>
      <c r="J1492" s="40">
        <f t="shared" si="492"/>
        <v>1977.03</v>
      </c>
      <c r="K1492" s="40">
        <f t="shared" si="492"/>
        <v>2046.3900000000003</v>
      </c>
      <c r="L1492" s="40">
        <f t="shared" si="492"/>
        <v>1994.4299999999998</v>
      </c>
      <c r="M1492" s="40">
        <f t="shared" si="492"/>
        <v>2000.6099999999997</v>
      </c>
      <c r="N1492" s="40">
        <f t="shared" si="492"/>
        <v>1983.9299999999998</v>
      </c>
      <c r="O1492" s="61"/>
      <c r="P1492" s="61"/>
      <c r="Q1492" s="62"/>
      <c r="R1492" s="62"/>
      <c r="S1492" s="139"/>
      <c r="T1492" s="5"/>
      <c r="U1492" s="140"/>
      <c r="X1492" s="118"/>
      <c r="Y1492" s="118"/>
      <c r="Z1492" s="118"/>
      <c r="AA1492" s="118"/>
    </row>
    <row r="1493" spans="1:29" ht="15.6" x14ac:dyDescent="0.3">
      <c r="A1493" s="278">
        <v>43749</v>
      </c>
      <c r="B1493" s="218" t="s">
        <v>185</v>
      </c>
      <c r="C1493" s="6" t="s">
        <v>173</v>
      </c>
      <c r="D1493" s="6" t="s">
        <v>172</v>
      </c>
      <c r="E1493" s="61" t="s">
        <v>186</v>
      </c>
      <c r="F1493">
        <v>27586.37</v>
      </c>
      <c r="G1493">
        <v>27657.07</v>
      </c>
      <c r="H1493">
        <v>27720.52</v>
      </c>
      <c r="I1493">
        <v>27672.04</v>
      </c>
      <c r="J1493">
        <v>27629.3</v>
      </c>
      <c r="K1493">
        <v>27575.91</v>
      </c>
      <c r="L1493">
        <v>27635.94</v>
      </c>
      <c r="M1493">
        <v>27668.19</v>
      </c>
      <c r="N1493">
        <v>27613.79</v>
      </c>
      <c r="O1493" s="61">
        <f>IF((N1494=""),"",MAX(F1495:N1495))</f>
        <v>3920.3700000000026</v>
      </c>
      <c r="P1493" s="61">
        <f>IF(N1494="","",MIN(F1495:N1495))</f>
        <v>3474.8699999999917</v>
      </c>
      <c r="Q1493" s="62">
        <f>IF((N1495=""),"",AVERAGE(F1495:N1495))</f>
        <v>3665.5633333333326</v>
      </c>
      <c r="R1493" s="62">
        <f>IF((N1494=""),"",(O1493-P1493)/(O1493+P1493)*100)</f>
        <v>6.0241452610058799</v>
      </c>
      <c r="S1493" s="139">
        <f>STDEV(F1495:N1495)</f>
        <v>178.38181262393422</v>
      </c>
      <c r="T1493" s="5" t="str">
        <f>IF(N1494="","",IF(R1493&lt;16,IF(Q1493&gt;3200,IF(R1493,IF(Q1493&lt;5240,"Pass","Fail"),"Fail"),"Fail")))</f>
        <v>Pass</v>
      </c>
      <c r="U1493" s="149" t="s">
        <v>396</v>
      </c>
      <c r="V1493" s="11" t="s">
        <v>397</v>
      </c>
      <c r="X1493" s="116">
        <v>4200</v>
      </c>
      <c r="Y1493" s="116">
        <v>5500</v>
      </c>
      <c r="Z1493" s="116">
        <v>3200</v>
      </c>
      <c r="AA1493" s="116">
        <v>5240</v>
      </c>
      <c r="AB1493" s="31">
        <v>16</v>
      </c>
      <c r="AC1493" s="31">
        <v>16</v>
      </c>
    </row>
    <row r="1494" spans="1:29" ht="15.6" x14ac:dyDescent="0.3">
      <c r="A1494" s="212"/>
      <c r="B1494" s="24"/>
      <c r="C1494" s="6"/>
      <c r="D1494" s="6"/>
      <c r="E1494" s="61" t="s">
        <v>187</v>
      </c>
      <c r="F1494">
        <v>26304.26</v>
      </c>
      <c r="G1494">
        <v>26474.5</v>
      </c>
      <c r="H1494">
        <v>26554.59</v>
      </c>
      <c r="I1494">
        <v>26495.94</v>
      </c>
      <c r="J1494">
        <v>26342.71</v>
      </c>
      <c r="K1494">
        <v>26321.9</v>
      </c>
      <c r="L1494">
        <v>26477.65</v>
      </c>
      <c r="M1494">
        <v>26483.89</v>
      </c>
      <c r="N1494">
        <v>26307</v>
      </c>
      <c r="O1494" s="127"/>
      <c r="P1494" s="61"/>
      <c r="Q1494" s="62"/>
      <c r="R1494" s="62"/>
      <c r="S1494" s="139"/>
      <c r="T1494" s="5"/>
      <c r="U1494" s="140"/>
    </row>
    <row r="1495" spans="1:29" ht="23.4" thickBot="1" x14ac:dyDescent="0.35">
      <c r="A1495" s="212"/>
      <c r="B1495" s="63"/>
      <c r="C1495" s="64"/>
      <c r="D1495" s="64"/>
      <c r="E1495" s="61" t="s">
        <v>188</v>
      </c>
      <c r="F1495" s="53">
        <f t="shared" ref="F1495:N1495" si="493">IF(((F1493="")*AND(F1494="")),"",(F1493-F1494)*3)</f>
        <v>3846.3300000000017</v>
      </c>
      <c r="G1495" s="53">
        <f t="shared" si="493"/>
        <v>3547.7099999999991</v>
      </c>
      <c r="H1495" s="53">
        <f t="shared" si="493"/>
        <v>3497.7900000000009</v>
      </c>
      <c r="I1495" s="53">
        <f t="shared" si="493"/>
        <v>3528.3000000000065</v>
      </c>
      <c r="J1495" s="53">
        <f t="shared" si="493"/>
        <v>3859.7700000000004</v>
      </c>
      <c r="K1495" s="53">
        <f t="shared" si="493"/>
        <v>3762.0299999999952</v>
      </c>
      <c r="L1495" s="53">
        <f t="shared" si="493"/>
        <v>3474.8699999999917</v>
      </c>
      <c r="M1495" s="53">
        <f t="shared" si="493"/>
        <v>3552.8999999999978</v>
      </c>
      <c r="N1495" s="53">
        <f t="shared" si="493"/>
        <v>3920.3700000000026</v>
      </c>
      <c r="O1495" s="65"/>
      <c r="P1495" s="65"/>
      <c r="Q1495" s="66"/>
      <c r="R1495" s="66"/>
      <c r="S1495" s="142"/>
      <c r="T1495" s="143"/>
      <c r="U1495" s="144"/>
    </row>
    <row r="1496" spans="1:29" ht="15.6" x14ac:dyDescent="0.3">
      <c r="A1496" s="278">
        <v>43752</v>
      </c>
      <c r="B1496" s="217" t="s">
        <v>174</v>
      </c>
      <c r="C1496" s="44" t="s">
        <v>176</v>
      </c>
      <c r="D1496" s="44" t="s">
        <v>175</v>
      </c>
      <c r="E1496" s="61" t="s">
        <v>186</v>
      </c>
      <c r="F1496">
        <v>7059.58</v>
      </c>
      <c r="G1496">
        <v>7043.87</v>
      </c>
      <c r="H1496">
        <v>7056.72</v>
      </c>
      <c r="I1496">
        <v>7033.32</v>
      </c>
      <c r="J1496">
        <v>6972.69</v>
      </c>
      <c r="K1496">
        <v>7024.2</v>
      </c>
      <c r="L1496">
        <v>7018.62</v>
      </c>
      <c r="M1496">
        <v>7081.67</v>
      </c>
      <c r="N1496">
        <v>7093.87</v>
      </c>
      <c r="O1496" s="59">
        <f>IF((N1497=""),"",MAX(F1498:N1498))</f>
        <v>3857.0599999999995</v>
      </c>
      <c r="P1496" s="59">
        <f>IF(N1497="","",MIN(F1498:N1498))</f>
        <v>3558.7199999999993</v>
      </c>
      <c r="Q1496" s="60">
        <f>IF((N1498=""),"",AVERAGE(F1498:N1498))</f>
        <v>3741.5177777777772</v>
      </c>
      <c r="R1496" s="60">
        <f>IF((N1497=""),"",(O1496-P1496)/(O1496+P1496)*100)</f>
        <v>4.0230427547742815</v>
      </c>
      <c r="S1496" s="131">
        <f>STDEV(F1498:N1498)</f>
        <v>106.06432126047136</v>
      </c>
      <c r="T1496" s="137" t="str">
        <f>IF(N1497="","",IF(Q1496&gt;3650,IF(R1496&lt;7,IF(Q1496&lt;4450,"Pass","Fail"),"Fail"),"Fail"))</f>
        <v>Pass</v>
      </c>
      <c r="U1496" s="149">
        <v>1340</v>
      </c>
      <c r="V1496" s="11" t="s">
        <v>399</v>
      </c>
      <c r="X1496" s="116">
        <v>3650</v>
      </c>
      <c r="Y1496" s="116">
        <v>4450</v>
      </c>
      <c r="Z1496" s="116">
        <v>3700</v>
      </c>
      <c r="AA1496" s="116">
        <v>4100</v>
      </c>
      <c r="AB1496" s="31">
        <v>7</v>
      </c>
      <c r="AC1496" s="31">
        <v>6.5</v>
      </c>
    </row>
    <row r="1497" spans="1:29" ht="15.6" x14ac:dyDescent="0.3">
      <c r="A1497" s="212"/>
      <c r="B1497" s="24"/>
      <c r="C1497" s="6"/>
      <c r="D1497" s="6"/>
      <c r="E1497" s="61" t="s">
        <v>187</v>
      </c>
      <c r="F1497">
        <v>5258.92</v>
      </c>
      <c r="G1497">
        <v>5141.0600000000004</v>
      </c>
      <c r="H1497">
        <v>5139.26</v>
      </c>
      <c r="I1497">
        <v>5126.57</v>
      </c>
      <c r="J1497">
        <v>5130.88</v>
      </c>
      <c r="K1497">
        <v>5244.84</v>
      </c>
      <c r="L1497">
        <v>5124.8999999999996</v>
      </c>
      <c r="M1497">
        <v>5153.1400000000003</v>
      </c>
      <c r="N1497">
        <v>5228.1400000000003</v>
      </c>
      <c r="O1497" s="61"/>
      <c r="P1497" s="61"/>
      <c r="Q1497" s="62"/>
      <c r="R1497" s="62"/>
      <c r="S1497" s="139"/>
      <c r="T1497" s="8"/>
      <c r="U1497" s="146"/>
      <c r="X1497" s="118"/>
      <c r="Y1497" s="118"/>
      <c r="Z1497" s="118"/>
      <c r="AA1497" s="118"/>
    </row>
    <row r="1498" spans="1:29" ht="23.4" thickBot="1" x14ac:dyDescent="0.35">
      <c r="A1498" s="212"/>
      <c r="B1498" s="24"/>
      <c r="C1498" s="6"/>
      <c r="D1498" s="6"/>
      <c r="E1498" s="61" t="s">
        <v>188</v>
      </c>
      <c r="F1498" s="40">
        <f t="shared" ref="F1498:N1498" si="494">IF(((F1496="")*AND(F1497="")),"",(F1496-F1497)*2)</f>
        <v>3601.3199999999997</v>
      </c>
      <c r="G1498" s="40">
        <f t="shared" si="494"/>
        <v>3805.619999999999</v>
      </c>
      <c r="H1498" s="40">
        <f t="shared" si="494"/>
        <v>3834.92</v>
      </c>
      <c r="I1498" s="40">
        <f t="shared" si="494"/>
        <v>3813.5</v>
      </c>
      <c r="J1498" s="40">
        <f t="shared" si="494"/>
        <v>3683.619999999999</v>
      </c>
      <c r="K1498" s="40">
        <f t="shared" si="494"/>
        <v>3558.7199999999993</v>
      </c>
      <c r="L1498" s="40">
        <f t="shared" si="494"/>
        <v>3787.4400000000005</v>
      </c>
      <c r="M1498" s="40">
        <f t="shared" si="494"/>
        <v>3857.0599999999995</v>
      </c>
      <c r="N1498" s="40">
        <f t="shared" si="494"/>
        <v>3731.4599999999991</v>
      </c>
      <c r="O1498" s="61"/>
      <c r="P1498" s="61"/>
      <c r="Q1498" s="62"/>
      <c r="R1498" s="62"/>
      <c r="S1498" s="139"/>
      <c r="T1498" s="8"/>
      <c r="U1498" s="146"/>
      <c r="X1498" s="118"/>
      <c r="Y1498" s="118"/>
      <c r="Z1498" s="118"/>
      <c r="AA1498" s="118"/>
    </row>
    <row r="1499" spans="1:29" ht="15.6" x14ac:dyDescent="0.3">
      <c r="A1499" s="278">
        <v>43752</v>
      </c>
      <c r="B1499" s="215" t="s">
        <v>169</v>
      </c>
      <c r="C1499" s="6" t="s">
        <v>171</v>
      </c>
      <c r="D1499" s="6" t="s">
        <v>189</v>
      </c>
      <c r="E1499" s="61" t="s">
        <v>186</v>
      </c>
      <c r="F1499">
        <v>1968.96</v>
      </c>
      <c r="G1499">
        <v>1963.51</v>
      </c>
      <c r="H1499">
        <v>1954.21</v>
      </c>
      <c r="I1499">
        <v>1964.2</v>
      </c>
      <c r="J1499">
        <v>1969.02</v>
      </c>
      <c r="K1499">
        <v>1973.36</v>
      </c>
      <c r="L1499">
        <v>1962.54</v>
      </c>
      <c r="M1499">
        <v>1963.89</v>
      </c>
      <c r="N1499">
        <v>1969.6</v>
      </c>
      <c r="O1499" s="61">
        <f>IF((N1500=""),"",MAX(F1501:N1501))</f>
        <v>2032.8600000000004</v>
      </c>
      <c r="P1499" s="61">
        <f>IF(N1500="","",MIN(F1501:N1501))</f>
        <v>1991.16</v>
      </c>
      <c r="Q1499" s="62">
        <f>IF((N1501=""),"",AVERAGE(F1501:N1501))</f>
        <v>2009.5400000000004</v>
      </c>
      <c r="R1499" s="62">
        <f>IF((N1500=""),"",(O1499-P1499)/(O1499+P1499)*100)</f>
        <v>1.0362771556801476</v>
      </c>
      <c r="S1499" s="139">
        <f>STDEV(F1501:N1501)</f>
        <v>13.279075645541035</v>
      </c>
      <c r="T1499" s="5" t="str">
        <f>IF(N1500="","",IF(Q1499&gt;1940,IF(R1499&lt;8.3,IF(Q1499&lt;2180,"Pass","Fail"),"Fail"),"Fail"))</f>
        <v>Pass</v>
      </c>
      <c r="U1499" s="149">
        <v>1340</v>
      </c>
      <c r="V1499" s="11" t="s">
        <v>399</v>
      </c>
      <c r="X1499" s="116">
        <v>2000</v>
      </c>
      <c r="Y1499" s="116">
        <v>3000</v>
      </c>
      <c r="Z1499" s="116">
        <v>1940</v>
      </c>
      <c r="AA1499" s="116">
        <v>2180</v>
      </c>
      <c r="AB1499" s="31">
        <v>5.2</v>
      </c>
      <c r="AC1499" s="31">
        <v>5.2</v>
      </c>
    </row>
    <row r="1500" spans="1:29" ht="15.6" x14ac:dyDescent="0.3">
      <c r="A1500" s="212"/>
      <c r="B1500" s="24"/>
      <c r="C1500" s="6"/>
      <c r="D1500" s="6"/>
      <c r="E1500" s="61" t="s">
        <v>187</v>
      </c>
      <c r="F1500" s="304">
        <v>1291.3399999999999</v>
      </c>
      <c r="G1500" s="304">
        <v>1293.58</v>
      </c>
      <c r="H1500" s="304">
        <v>1287.1199999999999</v>
      </c>
      <c r="I1500" s="304">
        <v>1293.94</v>
      </c>
      <c r="J1500" s="304">
        <v>1304.8499999999999</v>
      </c>
      <c r="K1500" s="304">
        <v>1300.5999999999999</v>
      </c>
      <c r="L1500" s="304">
        <v>1298.82</v>
      </c>
      <c r="M1500" s="304">
        <v>1290.8399999999999</v>
      </c>
      <c r="N1500" s="304">
        <v>1299.58</v>
      </c>
      <c r="O1500" s="61"/>
      <c r="P1500" s="61"/>
      <c r="Q1500" s="62"/>
      <c r="R1500" s="62"/>
      <c r="S1500" s="139"/>
      <c r="T1500" s="5"/>
      <c r="U1500" s="140"/>
      <c r="X1500" s="118"/>
      <c r="Y1500" s="118"/>
      <c r="Z1500" s="118"/>
      <c r="AA1500" s="118"/>
    </row>
    <row r="1501" spans="1:29" ht="16.2" thickBot="1" x14ac:dyDescent="0.35">
      <c r="A1501" s="212"/>
      <c r="B1501" s="24"/>
      <c r="C1501" s="6"/>
      <c r="D1501" s="6"/>
      <c r="E1501" s="61" t="s">
        <v>190</v>
      </c>
      <c r="F1501" s="40">
        <f t="shared" ref="F1501:N1501" si="495">IF(((F1499="")*AND(F1500="")),"",(F1499-F1500)*3)</f>
        <v>2032.8600000000004</v>
      </c>
      <c r="G1501" s="40">
        <f t="shared" si="495"/>
        <v>2009.7900000000002</v>
      </c>
      <c r="H1501" s="40">
        <f t="shared" si="495"/>
        <v>2001.2700000000004</v>
      </c>
      <c r="I1501" s="40">
        <f t="shared" si="495"/>
        <v>2010.78</v>
      </c>
      <c r="J1501" s="40">
        <f t="shared" si="495"/>
        <v>1992.5100000000002</v>
      </c>
      <c r="K1501" s="40">
        <f t="shared" si="495"/>
        <v>2018.28</v>
      </c>
      <c r="L1501" s="40">
        <f t="shared" si="495"/>
        <v>1991.16</v>
      </c>
      <c r="M1501" s="40">
        <f t="shared" si="495"/>
        <v>2019.1500000000005</v>
      </c>
      <c r="N1501" s="40">
        <f t="shared" si="495"/>
        <v>2010.06</v>
      </c>
      <c r="O1501" s="61"/>
      <c r="P1501" s="61"/>
      <c r="Q1501" s="62"/>
      <c r="R1501" s="62"/>
      <c r="S1501" s="139"/>
      <c r="T1501" s="5"/>
      <c r="U1501" s="140"/>
      <c r="X1501" s="118"/>
      <c r="Y1501" s="118"/>
      <c r="Z1501" s="118"/>
      <c r="AA1501" s="118"/>
    </row>
    <row r="1502" spans="1:29" ht="15.6" x14ac:dyDescent="0.3">
      <c r="A1502" s="278">
        <v>43752</v>
      </c>
      <c r="B1502" s="218" t="s">
        <v>185</v>
      </c>
      <c r="C1502" s="6" t="s">
        <v>173</v>
      </c>
      <c r="D1502" s="6" t="s">
        <v>172</v>
      </c>
      <c r="E1502" s="61" t="s">
        <v>186</v>
      </c>
      <c r="F1502">
        <v>29305.55</v>
      </c>
      <c r="G1502">
        <v>29192.29</v>
      </c>
      <c r="H1502">
        <v>29157.09</v>
      </c>
      <c r="I1502">
        <v>29189.35</v>
      </c>
      <c r="J1502">
        <v>29311.21</v>
      </c>
      <c r="K1502">
        <v>29297.32</v>
      </c>
      <c r="L1502">
        <v>29190</v>
      </c>
      <c r="M1502">
        <v>29166.38</v>
      </c>
      <c r="N1502">
        <v>29293.37</v>
      </c>
      <c r="O1502" s="61">
        <f>IF((N1503=""),"",MAX(F1504:N1504))</f>
        <v>4454.0099999999948</v>
      </c>
      <c r="P1502" s="61">
        <f>IF(N1503="","",MIN(F1504:N1504))</f>
        <v>3938.3399999999965</v>
      </c>
      <c r="Q1502" s="62">
        <f>IF((N1504=""),"",AVERAGE(F1504:N1504))</f>
        <v>4167.063333333329</v>
      </c>
      <c r="R1502" s="62">
        <f>IF((N1503=""),"",(O1502-P1502)/(O1502+P1502)*100)</f>
        <v>6.1445244776492736</v>
      </c>
      <c r="S1502" s="139">
        <f>STDEV(F1504:N1504)</f>
        <v>204.91464393742044</v>
      </c>
      <c r="T1502" s="5" t="str">
        <f>IF(N1503="","",IF(R1502&lt;16,IF(Q1502&gt;3200,IF(R1502,IF(Q1502&lt;5240,"Pass","Fail"),"Fail"),"Fail")))</f>
        <v>Pass</v>
      </c>
      <c r="U1502" s="149">
        <v>1340</v>
      </c>
      <c r="V1502" s="11" t="s">
        <v>399</v>
      </c>
      <c r="X1502" s="116">
        <v>4200</v>
      </c>
      <c r="Y1502" s="116">
        <v>5500</v>
      </c>
      <c r="Z1502" s="116">
        <v>3200</v>
      </c>
      <c r="AA1502" s="116">
        <v>5240</v>
      </c>
      <c r="AB1502" s="31">
        <v>16</v>
      </c>
      <c r="AC1502" s="31">
        <v>16</v>
      </c>
    </row>
    <row r="1503" spans="1:29" ht="15.6" x14ac:dyDescent="0.3">
      <c r="A1503" s="212"/>
      <c r="B1503" s="24"/>
      <c r="C1503" s="6"/>
      <c r="D1503" s="6"/>
      <c r="E1503" s="61" t="s">
        <v>187</v>
      </c>
      <c r="F1503">
        <v>27820.880000000001</v>
      </c>
      <c r="G1503">
        <v>27845.52</v>
      </c>
      <c r="H1503">
        <v>27844.31</v>
      </c>
      <c r="I1503">
        <v>27857.99</v>
      </c>
      <c r="J1503">
        <v>27872.34</v>
      </c>
      <c r="K1503">
        <v>27828.86</v>
      </c>
      <c r="L1503">
        <v>27845.81</v>
      </c>
      <c r="M1503">
        <v>27836.080000000002</v>
      </c>
      <c r="N1503">
        <v>27849.58</v>
      </c>
      <c r="O1503" s="127"/>
      <c r="P1503" s="61"/>
      <c r="Q1503" s="62"/>
      <c r="R1503" s="62"/>
      <c r="S1503" s="139"/>
      <c r="T1503" s="5"/>
      <c r="U1503" s="140"/>
    </row>
    <row r="1504" spans="1:29" ht="23.4" thickBot="1" x14ac:dyDescent="0.35">
      <c r="A1504" s="212"/>
      <c r="B1504" s="63"/>
      <c r="C1504" s="64"/>
      <c r="D1504" s="64"/>
      <c r="E1504" s="61" t="s">
        <v>188</v>
      </c>
      <c r="F1504" s="53">
        <f t="shared" ref="F1504:N1504" si="496">IF(((F1502="")*AND(F1503="")),"",(F1502-F1503)*3)</f>
        <v>4454.0099999999948</v>
      </c>
      <c r="G1504" s="53">
        <f t="shared" si="496"/>
        <v>4040.3100000000013</v>
      </c>
      <c r="H1504" s="53">
        <f t="shared" si="496"/>
        <v>3938.3399999999965</v>
      </c>
      <c r="I1504" s="53">
        <f t="shared" si="496"/>
        <v>3994.0799999999908</v>
      </c>
      <c r="J1504" s="53">
        <f t="shared" si="496"/>
        <v>4316.6099999999969</v>
      </c>
      <c r="K1504" s="53">
        <f t="shared" si="496"/>
        <v>4405.3799999999974</v>
      </c>
      <c r="L1504" s="53">
        <f t="shared" si="496"/>
        <v>4032.5699999999961</v>
      </c>
      <c r="M1504" s="53">
        <f t="shared" si="496"/>
        <v>3990.8999999999978</v>
      </c>
      <c r="N1504" s="53">
        <f t="shared" si="496"/>
        <v>4331.3699999999917</v>
      </c>
      <c r="O1504" s="65"/>
      <c r="P1504" s="65"/>
      <c r="Q1504" s="66"/>
      <c r="R1504" s="66"/>
      <c r="S1504" s="142"/>
      <c r="T1504" s="143"/>
      <c r="U1504" s="144"/>
    </row>
    <row r="1505" spans="1:29" ht="15.6" x14ac:dyDescent="0.3">
      <c r="A1505" s="278">
        <v>43755</v>
      </c>
      <c r="B1505" s="217" t="s">
        <v>174</v>
      </c>
      <c r="C1505" s="44" t="s">
        <v>176</v>
      </c>
      <c r="D1505" s="44" t="s">
        <v>175</v>
      </c>
      <c r="E1505" s="61" t="s">
        <v>186</v>
      </c>
      <c r="F1505">
        <v>5258.92</v>
      </c>
      <c r="G1505">
        <v>5141.0600000000004</v>
      </c>
      <c r="H1505">
        <v>5139.26</v>
      </c>
      <c r="I1505">
        <v>5126.57</v>
      </c>
      <c r="J1505">
        <v>5130.88</v>
      </c>
      <c r="K1505">
        <v>5244.84</v>
      </c>
      <c r="L1505">
        <v>5124.8999999999996</v>
      </c>
      <c r="M1505">
        <v>5153.1400000000003</v>
      </c>
      <c r="N1505">
        <v>5228.1400000000003</v>
      </c>
      <c r="O1505" s="59">
        <f>IF((N1506=""),"",MAX(F1507:N1507))</f>
        <v>3842.1200000000008</v>
      </c>
      <c r="P1505" s="59">
        <f>IF(N1506="","",MIN(F1507:N1507))</f>
        <v>3567.38</v>
      </c>
      <c r="Q1505" s="60">
        <f>IF((N1507=""),"",AVERAGE(F1507:N1507))</f>
        <v>3739.1555555555556</v>
      </c>
      <c r="R1505" s="60">
        <f>IF((N1506=""),"",(O1505-P1505)/(O1505+P1505)*100)</f>
        <v>3.707942506241996</v>
      </c>
      <c r="S1505" s="131">
        <f>STDEV(F1507:N1507)</f>
        <v>100.60231795429853</v>
      </c>
      <c r="T1505" s="137" t="str">
        <f>IF(N1506="","",IF(Q1505&gt;3650,IF(R1505&lt;7,IF(Q1505&lt;4450,"Pass","Fail"),"Fail"),"Fail"))</f>
        <v>Pass</v>
      </c>
      <c r="U1505" s="149">
        <v>1340</v>
      </c>
      <c r="V1505" s="10" t="s">
        <v>401</v>
      </c>
      <c r="X1505" s="116">
        <v>3650</v>
      </c>
      <c r="Y1505" s="116">
        <v>4450</v>
      </c>
      <c r="Z1505" s="116">
        <v>3700</v>
      </c>
      <c r="AA1505" s="116">
        <v>4100</v>
      </c>
      <c r="AB1505" s="31">
        <v>7</v>
      </c>
      <c r="AC1505" s="31">
        <v>6.5</v>
      </c>
    </row>
    <row r="1506" spans="1:29" ht="15.6" x14ac:dyDescent="0.3">
      <c r="A1506" s="212"/>
      <c r="B1506" s="24"/>
      <c r="C1506" s="6"/>
      <c r="D1506" s="6"/>
      <c r="E1506" s="61" t="s">
        <v>187</v>
      </c>
      <c r="F1506">
        <v>3455.37</v>
      </c>
      <c r="G1506">
        <v>3239.43</v>
      </c>
      <c r="H1506">
        <v>3223.71</v>
      </c>
      <c r="I1506">
        <v>3220.92</v>
      </c>
      <c r="J1506">
        <v>3287.87</v>
      </c>
      <c r="K1506">
        <v>3461.15</v>
      </c>
      <c r="L1506">
        <v>3231.21</v>
      </c>
      <c r="M1506">
        <v>3232.08</v>
      </c>
      <c r="N1506">
        <v>3369.77</v>
      </c>
      <c r="O1506" s="61"/>
      <c r="P1506" s="61"/>
      <c r="Q1506" s="62"/>
      <c r="R1506" s="62"/>
      <c r="S1506" s="139"/>
      <c r="T1506" s="8"/>
      <c r="U1506" s="146"/>
      <c r="X1506" s="118"/>
      <c r="Y1506" s="118"/>
      <c r="Z1506" s="118"/>
      <c r="AA1506" s="118"/>
    </row>
    <row r="1507" spans="1:29" ht="23.4" thickBot="1" x14ac:dyDescent="0.35">
      <c r="A1507" s="212"/>
      <c r="B1507" s="24"/>
      <c r="C1507" s="6"/>
      <c r="D1507" s="6"/>
      <c r="E1507" s="61" t="s">
        <v>188</v>
      </c>
      <c r="F1507" s="40">
        <f t="shared" ref="F1507:N1507" si="497">IF(((F1505="")*AND(F1506="")),"",(F1505-F1506)*2)</f>
        <v>3607.1000000000004</v>
      </c>
      <c r="G1507" s="40">
        <f t="shared" si="497"/>
        <v>3803.2600000000011</v>
      </c>
      <c r="H1507" s="40">
        <f t="shared" si="497"/>
        <v>3831.1000000000004</v>
      </c>
      <c r="I1507" s="40">
        <f t="shared" si="497"/>
        <v>3811.2999999999993</v>
      </c>
      <c r="J1507" s="40">
        <f t="shared" si="497"/>
        <v>3686.0200000000004</v>
      </c>
      <c r="K1507" s="40">
        <f t="shared" si="497"/>
        <v>3567.38</v>
      </c>
      <c r="L1507" s="40">
        <f t="shared" si="497"/>
        <v>3787.3799999999992</v>
      </c>
      <c r="M1507" s="40">
        <f t="shared" si="497"/>
        <v>3842.1200000000008</v>
      </c>
      <c r="N1507" s="40">
        <f t="shared" si="497"/>
        <v>3716.7400000000007</v>
      </c>
      <c r="O1507" s="61"/>
      <c r="P1507" s="61"/>
      <c r="Q1507" s="62"/>
      <c r="R1507" s="62"/>
      <c r="S1507" s="139"/>
      <c r="T1507" s="8"/>
      <c r="U1507" s="146"/>
      <c r="X1507" s="118"/>
      <c r="Y1507" s="118"/>
      <c r="Z1507" s="118"/>
      <c r="AA1507" s="118"/>
    </row>
    <row r="1508" spans="1:29" ht="15.6" x14ac:dyDescent="0.3">
      <c r="A1508" s="278">
        <v>43755</v>
      </c>
      <c r="B1508" s="215" t="s">
        <v>169</v>
      </c>
      <c r="C1508" s="6" t="s">
        <v>171</v>
      </c>
      <c r="D1508" s="6" t="s">
        <v>189</v>
      </c>
      <c r="E1508" s="61" t="s">
        <v>186</v>
      </c>
      <c r="F1508">
        <v>1946.3</v>
      </c>
      <c r="G1508">
        <v>1947.7</v>
      </c>
      <c r="H1508">
        <v>1946.24</v>
      </c>
      <c r="I1508">
        <v>1943.63</v>
      </c>
      <c r="J1508">
        <v>1947.79</v>
      </c>
      <c r="K1508">
        <v>1948.35</v>
      </c>
      <c r="L1508">
        <v>1942.11</v>
      </c>
      <c r="M1508">
        <v>1944.5</v>
      </c>
      <c r="N1508">
        <v>1950.15</v>
      </c>
      <c r="O1508" s="61">
        <f>IF((N1509=""),"",MAX(F1510:N1510))</f>
        <v>2071.2299999999996</v>
      </c>
      <c r="P1508" s="61">
        <f>IF(N1509="","",MIN(F1510:N1510))</f>
        <v>2000.7299999999996</v>
      </c>
      <c r="Q1508" s="62">
        <f>IF((N1510=""),"",AVERAGE(F1510:N1510))</f>
        <v>2027.5733333333333</v>
      </c>
      <c r="R1508" s="62">
        <f>IF((N1509=""),"",(O1508-P1508)/(O1508+P1508)*100)</f>
        <v>1.7313529602451896</v>
      </c>
      <c r="S1508" s="139">
        <f>STDEV(F1510:N1510)</f>
        <v>21.781414095508108</v>
      </c>
      <c r="T1508" s="5" t="str">
        <f>IF(N1509="","",IF(Q1508&gt;1940,IF(R1508&lt;8.3,IF(Q1508&lt;2180,"Pass","Fail"),"Fail"),"Fail"))</f>
        <v>Pass</v>
      </c>
      <c r="U1508" s="149">
        <v>1340</v>
      </c>
      <c r="V1508" s="10" t="s">
        <v>401</v>
      </c>
      <c r="X1508" s="116">
        <v>2000</v>
      </c>
      <c r="Y1508" s="116">
        <v>3000</v>
      </c>
      <c r="Z1508" s="116">
        <v>1940</v>
      </c>
      <c r="AA1508" s="116">
        <v>2180</v>
      </c>
      <c r="AB1508" s="31">
        <v>5.2</v>
      </c>
      <c r="AC1508" s="31">
        <v>5.2</v>
      </c>
    </row>
    <row r="1509" spans="1:29" ht="15.6" x14ac:dyDescent="0.3">
      <c r="A1509" s="212"/>
      <c r="B1509" s="24"/>
      <c r="C1509" s="6"/>
      <c r="D1509" s="6"/>
      <c r="E1509" s="61" t="s">
        <v>187</v>
      </c>
      <c r="F1509">
        <v>1255.8900000000001</v>
      </c>
      <c r="G1509">
        <v>1269.48</v>
      </c>
      <c r="H1509">
        <v>1268.2</v>
      </c>
      <c r="I1509">
        <v>1274.17</v>
      </c>
      <c r="J1509">
        <v>1278.21</v>
      </c>
      <c r="K1509">
        <v>1276.6199999999999</v>
      </c>
      <c r="L1509">
        <v>1275.2</v>
      </c>
      <c r="M1509">
        <v>1265.21</v>
      </c>
      <c r="N1509">
        <v>1271.07</v>
      </c>
      <c r="O1509" s="61"/>
      <c r="P1509" s="61"/>
      <c r="Q1509" s="62"/>
      <c r="R1509" s="62"/>
      <c r="S1509" s="139"/>
      <c r="T1509" s="5"/>
      <c r="U1509" s="140"/>
      <c r="X1509" s="118"/>
      <c r="Y1509" s="118"/>
      <c r="Z1509" s="118"/>
      <c r="AA1509" s="118"/>
    </row>
    <row r="1510" spans="1:29" ht="16.2" thickBot="1" x14ac:dyDescent="0.35">
      <c r="A1510" s="212"/>
      <c r="B1510" s="24"/>
      <c r="C1510" s="6"/>
      <c r="D1510" s="6"/>
      <c r="E1510" s="61" t="s">
        <v>190</v>
      </c>
      <c r="F1510" s="40">
        <f t="shared" ref="F1510:N1510" si="498">IF(((F1508="")*AND(F1509="")),"",(F1508-F1509)*3)</f>
        <v>2071.2299999999996</v>
      </c>
      <c r="G1510" s="40">
        <f t="shared" si="498"/>
        <v>2034.66</v>
      </c>
      <c r="H1510" s="40">
        <f t="shared" si="498"/>
        <v>2034.12</v>
      </c>
      <c r="I1510" s="40">
        <f t="shared" si="498"/>
        <v>2008.38</v>
      </c>
      <c r="J1510" s="40">
        <f t="shared" si="498"/>
        <v>2008.7399999999998</v>
      </c>
      <c r="K1510" s="40">
        <f t="shared" si="498"/>
        <v>2015.19</v>
      </c>
      <c r="L1510" s="40">
        <f t="shared" si="498"/>
        <v>2000.7299999999996</v>
      </c>
      <c r="M1510" s="40">
        <f t="shared" si="498"/>
        <v>2037.87</v>
      </c>
      <c r="N1510" s="40">
        <f t="shared" si="498"/>
        <v>2037.2400000000005</v>
      </c>
      <c r="O1510" s="61"/>
      <c r="P1510" s="61"/>
      <c r="Q1510" s="62"/>
      <c r="R1510" s="62"/>
      <c r="S1510" s="139"/>
      <c r="T1510" s="5"/>
      <c r="U1510" s="140"/>
      <c r="X1510" s="118"/>
      <c r="Y1510" s="118"/>
      <c r="Z1510" s="118"/>
      <c r="AA1510" s="118"/>
    </row>
    <row r="1511" spans="1:29" ht="15.6" x14ac:dyDescent="0.3">
      <c r="A1511" s="278">
        <v>43755</v>
      </c>
      <c r="B1511" s="218" t="s">
        <v>185</v>
      </c>
      <c r="C1511" s="6" t="s">
        <v>173</v>
      </c>
      <c r="D1511" s="6" t="s">
        <v>172</v>
      </c>
      <c r="E1511" s="61" t="s">
        <v>186</v>
      </c>
      <c r="F1511">
        <v>28682.66</v>
      </c>
      <c r="G1511">
        <v>28572.21</v>
      </c>
      <c r="H1511">
        <v>28574.799999999999</v>
      </c>
      <c r="I1511">
        <v>28569.57</v>
      </c>
      <c r="J1511">
        <v>28690.94</v>
      </c>
      <c r="K1511">
        <v>28661.58</v>
      </c>
      <c r="L1511">
        <v>28566.19</v>
      </c>
      <c r="M1511">
        <v>28566.99</v>
      </c>
      <c r="N1511">
        <v>28653.27</v>
      </c>
      <c r="O1511" s="61">
        <f>IF((N1512=""),"",MAX(F1513:N1513))</f>
        <v>4272.9899999999943</v>
      </c>
      <c r="P1511" s="61">
        <f>IF(N1512="","",MIN(F1513:N1513))</f>
        <v>3724.8900000000031</v>
      </c>
      <c r="Q1511" s="62">
        <f>IF((N1513=""),"",AVERAGE(F1513:N1513))</f>
        <v>3984.5999999999995</v>
      </c>
      <c r="R1511" s="62">
        <f>IF((N1512=""),"",(O1511-P1511)/(O1511+P1511)*100)</f>
        <v>6.8530660625064579</v>
      </c>
      <c r="S1511" s="139">
        <f>STDEV(F1513:N1513)</f>
        <v>208.25022773096663</v>
      </c>
      <c r="T1511" s="5" t="str">
        <f>IF(N1512="","",IF(R1511&lt;16,IF(Q1511&gt;3200,IF(R1511,IF(Q1511&lt;5240,"Pass","Fail"),"Fail"),"Fail")))</f>
        <v>Pass</v>
      </c>
      <c r="U1511" s="149">
        <v>1340</v>
      </c>
      <c r="V1511" s="10" t="s">
        <v>401</v>
      </c>
      <c r="X1511" s="116">
        <v>4200</v>
      </c>
      <c r="Y1511" s="116">
        <v>5500</v>
      </c>
      <c r="Z1511" s="116">
        <v>3200</v>
      </c>
      <c r="AA1511" s="116">
        <v>5240</v>
      </c>
      <c r="AB1511" s="31">
        <v>16</v>
      </c>
      <c r="AC1511" s="31">
        <v>16</v>
      </c>
    </row>
    <row r="1512" spans="1:29" ht="15.6" x14ac:dyDescent="0.3">
      <c r="A1512" s="212"/>
      <c r="B1512" s="24"/>
      <c r="C1512" s="6"/>
      <c r="D1512" s="6"/>
      <c r="E1512" s="61" t="s">
        <v>187</v>
      </c>
      <c r="F1512">
        <v>27258.33</v>
      </c>
      <c r="G1512">
        <v>27287.85</v>
      </c>
      <c r="H1512">
        <v>27333.17</v>
      </c>
      <c r="I1512">
        <v>27299.200000000001</v>
      </c>
      <c r="J1512">
        <v>27313.42</v>
      </c>
      <c r="K1512">
        <v>27264.560000000001</v>
      </c>
      <c r="L1512">
        <v>27285.57</v>
      </c>
      <c r="M1512">
        <v>27286.68</v>
      </c>
      <c r="N1512">
        <v>27255.63</v>
      </c>
      <c r="O1512" s="127"/>
      <c r="P1512" s="61"/>
      <c r="Q1512" s="62"/>
      <c r="R1512" s="62"/>
      <c r="S1512" s="139"/>
      <c r="T1512" s="5"/>
      <c r="U1512" s="140"/>
    </row>
    <row r="1513" spans="1:29" ht="23.4" thickBot="1" x14ac:dyDescent="0.35">
      <c r="A1513" s="212"/>
      <c r="B1513" s="63"/>
      <c r="C1513" s="64"/>
      <c r="D1513" s="64"/>
      <c r="E1513" s="61" t="s">
        <v>188</v>
      </c>
      <c r="F1513" s="53">
        <f t="shared" ref="F1513:N1513" si="499">IF(((F1511="")*AND(F1512="")),"",(F1511-F1512)*3)</f>
        <v>4272.9899999999943</v>
      </c>
      <c r="G1513" s="53">
        <f t="shared" si="499"/>
        <v>3853.0800000000017</v>
      </c>
      <c r="H1513" s="53">
        <f t="shared" si="499"/>
        <v>3724.8900000000031</v>
      </c>
      <c r="I1513" s="53">
        <f t="shared" si="499"/>
        <v>3811.1099999999969</v>
      </c>
      <c r="J1513" s="53">
        <f t="shared" si="499"/>
        <v>4132.5600000000013</v>
      </c>
      <c r="K1513" s="53">
        <f t="shared" si="499"/>
        <v>4191.0600000000013</v>
      </c>
      <c r="L1513" s="53">
        <f t="shared" si="499"/>
        <v>3841.8599999999969</v>
      </c>
      <c r="M1513" s="53">
        <f t="shared" si="499"/>
        <v>3840.9300000000039</v>
      </c>
      <c r="N1513" s="53">
        <f t="shared" si="499"/>
        <v>4192.9199999999983</v>
      </c>
      <c r="O1513" s="65"/>
      <c r="P1513" s="65"/>
      <c r="Q1513" s="66"/>
      <c r="R1513" s="66"/>
      <c r="S1513" s="142"/>
      <c r="T1513" s="143"/>
      <c r="U1513" s="144"/>
    </row>
    <row r="1514" spans="1:29" ht="15.6" x14ac:dyDescent="0.3">
      <c r="A1514" s="278">
        <v>43760</v>
      </c>
      <c r="B1514" s="217" t="s">
        <v>174</v>
      </c>
      <c r="C1514" s="44" t="s">
        <v>176</v>
      </c>
      <c r="D1514" s="44" t="s">
        <v>175</v>
      </c>
      <c r="E1514" s="61" t="s">
        <v>186</v>
      </c>
      <c r="F1514">
        <v>3465.17</v>
      </c>
      <c r="G1514">
        <v>3247.73</v>
      </c>
      <c r="H1514">
        <v>3232.13</v>
      </c>
      <c r="I1514">
        <v>3229.08</v>
      </c>
      <c r="J1514">
        <v>3296.47</v>
      </c>
      <c r="K1514">
        <v>3471.02</v>
      </c>
      <c r="L1514">
        <v>3240.06</v>
      </c>
      <c r="M1514">
        <v>3240.38</v>
      </c>
      <c r="N1514">
        <v>3378.59</v>
      </c>
      <c r="O1514" s="59">
        <f>IF((N1515=""),"",MAX(F1516:N1516))</f>
        <v>3887.9</v>
      </c>
      <c r="P1514" s="59">
        <f>IF(N1515="","",MIN(F1516:N1516))</f>
        <v>3606.38</v>
      </c>
      <c r="Q1514" s="60">
        <f>IF((N1516=""),"",AVERAGE(F1516:N1516))</f>
        <v>3785.7066666666669</v>
      </c>
      <c r="R1514" s="60">
        <f>IF((N1515=""),"",(O1514-P1514)/(O1514+P1514)*100)</f>
        <v>3.7564649305870605</v>
      </c>
      <c r="S1514" s="131">
        <f>STDEV(F1516:N1516)</f>
        <v>104.24822060831539</v>
      </c>
      <c r="T1514" s="137" t="str">
        <f>IF(N1515="","",IF(Q1514&gt;3650,IF(R1514&lt;7,IF(Q1514&lt;4450,"Pass","Fail"),"Fail"),"Fail"))</f>
        <v>Pass</v>
      </c>
      <c r="U1514" s="149">
        <v>74</v>
      </c>
      <c r="V1514" s="11" t="s">
        <v>402</v>
      </c>
      <c r="X1514" s="116">
        <v>3650</v>
      </c>
      <c r="Y1514" s="116">
        <v>4450</v>
      </c>
      <c r="Z1514" s="116">
        <v>3700</v>
      </c>
      <c r="AA1514" s="116">
        <v>4100</v>
      </c>
      <c r="AB1514" s="31">
        <v>7</v>
      </c>
      <c r="AC1514" s="31">
        <v>6.5</v>
      </c>
    </row>
    <row r="1515" spans="1:29" ht="15.6" x14ac:dyDescent="0.3">
      <c r="A1515" s="212"/>
      <c r="B1515" s="24"/>
      <c r="C1515" s="6"/>
      <c r="D1515" s="6"/>
      <c r="E1515" s="61" t="s">
        <v>187</v>
      </c>
      <c r="F1515">
        <v>1644.08</v>
      </c>
      <c r="G1515">
        <v>1322.72</v>
      </c>
      <c r="H1515">
        <v>1292.31</v>
      </c>
      <c r="I1515">
        <v>1299.26</v>
      </c>
      <c r="J1515">
        <v>1427.27</v>
      </c>
      <c r="K1515">
        <v>1667.83</v>
      </c>
      <c r="L1515">
        <v>1320.81</v>
      </c>
      <c r="M1515">
        <v>1296.43</v>
      </c>
      <c r="N1515">
        <v>1494.24</v>
      </c>
      <c r="O1515" s="61"/>
      <c r="P1515" s="61"/>
      <c r="Q1515" s="62"/>
      <c r="R1515" s="62"/>
      <c r="S1515" s="139"/>
      <c r="T1515" s="8"/>
      <c r="U1515" s="146"/>
      <c r="X1515" s="118"/>
      <c r="Y1515" s="118"/>
      <c r="Z1515" s="118"/>
      <c r="AA1515" s="118"/>
    </row>
    <row r="1516" spans="1:29" ht="23.4" thickBot="1" x14ac:dyDescent="0.35">
      <c r="A1516" s="212"/>
      <c r="B1516" s="24"/>
      <c r="C1516" s="6"/>
      <c r="D1516" s="6"/>
      <c r="E1516" s="61" t="s">
        <v>188</v>
      </c>
      <c r="F1516" s="40">
        <f t="shared" ref="F1516:N1516" si="500">IF(((F1514="")*AND(F1515="")),"",(F1514-F1515)*2)</f>
        <v>3642.1800000000003</v>
      </c>
      <c r="G1516" s="40">
        <f t="shared" si="500"/>
        <v>3850.02</v>
      </c>
      <c r="H1516" s="40">
        <f t="shared" si="500"/>
        <v>3879.6400000000003</v>
      </c>
      <c r="I1516" s="40">
        <f t="shared" si="500"/>
        <v>3859.64</v>
      </c>
      <c r="J1516" s="40">
        <f t="shared" si="500"/>
        <v>3738.3999999999996</v>
      </c>
      <c r="K1516" s="40">
        <f t="shared" si="500"/>
        <v>3606.38</v>
      </c>
      <c r="L1516" s="40">
        <f t="shared" si="500"/>
        <v>3838.5</v>
      </c>
      <c r="M1516" s="40">
        <f t="shared" si="500"/>
        <v>3887.9</v>
      </c>
      <c r="N1516" s="40">
        <f t="shared" si="500"/>
        <v>3768.7000000000003</v>
      </c>
      <c r="O1516" s="61"/>
      <c r="P1516" s="61"/>
      <c r="Q1516" s="62"/>
      <c r="R1516" s="62"/>
      <c r="S1516" s="139"/>
      <c r="T1516" s="8"/>
      <c r="U1516" s="146"/>
      <c r="X1516" s="118"/>
      <c r="Y1516" s="118"/>
      <c r="Z1516" s="118"/>
      <c r="AA1516" s="118"/>
    </row>
    <row r="1517" spans="1:29" ht="15.6" x14ac:dyDescent="0.3">
      <c r="A1517" s="278">
        <v>43760</v>
      </c>
      <c r="B1517" s="215" t="s">
        <v>169</v>
      </c>
      <c r="C1517" s="6" t="s">
        <v>171</v>
      </c>
      <c r="D1517" s="6" t="s">
        <v>189</v>
      </c>
      <c r="E1517" s="61" t="s">
        <v>186</v>
      </c>
      <c r="F1517">
        <v>1260.3900000000001</v>
      </c>
      <c r="G1517">
        <v>1272.6400000000001</v>
      </c>
      <c r="H1517">
        <v>1276.3599999999999</v>
      </c>
      <c r="I1517">
        <v>1275.98</v>
      </c>
      <c r="J1517">
        <v>1284.17</v>
      </c>
      <c r="K1517">
        <v>1279.72</v>
      </c>
      <c r="L1517">
        <v>1280.1099999999999</v>
      </c>
      <c r="M1517">
        <v>1270.83</v>
      </c>
      <c r="N1517">
        <v>1273.3900000000001</v>
      </c>
      <c r="O1517" s="61">
        <f>IF((N1518=""),"",MAX(F1519:N1519))</f>
        <v>2006.9100000000003</v>
      </c>
      <c r="P1517" s="61">
        <f>IF(N1518="","",MIN(F1519:N1519))</f>
        <v>1977.4500000000003</v>
      </c>
      <c r="Q1517" s="62">
        <f>IF((N1519=""),"",AVERAGE(F1519:N1519))</f>
        <v>1989.3266666666666</v>
      </c>
      <c r="R1517" s="62">
        <f>IF((N1518=""),"",(O1517-P1517)/(O1517+P1517)*100)</f>
        <v>0.73939101888383663</v>
      </c>
      <c r="S1517" s="139">
        <f>STDEV(F1519:N1519)</f>
        <v>10.001293666321478</v>
      </c>
      <c r="T1517" s="5" t="str">
        <f>IF(N1518="","",IF(Q1517&gt;1940,IF(R1517&lt;8.3,IF(Q1517&lt;2180,"Pass","Fail"),"Fail"),"Fail"))</f>
        <v>Pass</v>
      </c>
      <c r="U1517" s="149">
        <v>74</v>
      </c>
      <c r="V1517" s="11" t="s">
        <v>402</v>
      </c>
      <c r="X1517" s="116">
        <v>2000</v>
      </c>
      <c r="Y1517" s="116">
        <v>3000</v>
      </c>
      <c r="Z1517" s="116">
        <v>1940</v>
      </c>
      <c r="AA1517" s="116">
        <v>2180</v>
      </c>
      <c r="AB1517" s="31">
        <v>5.2</v>
      </c>
      <c r="AC1517" s="31">
        <v>5.2</v>
      </c>
    </row>
    <row r="1518" spans="1:29" ht="15.6" x14ac:dyDescent="0.3">
      <c r="A1518" s="212"/>
      <c r="B1518" s="24"/>
      <c r="C1518" s="6"/>
      <c r="D1518" s="6"/>
      <c r="E1518" s="61" t="s">
        <v>187</v>
      </c>
      <c r="F1518">
        <v>591.41999999999996</v>
      </c>
      <c r="G1518">
        <v>613.49</v>
      </c>
      <c r="H1518">
        <v>612.52</v>
      </c>
      <c r="I1518">
        <v>614.72</v>
      </c>
      <c r="J1518">
        <v>623.12</v>
      </c>
      <c r="K1518">
        <v>617.19000000000005</v>
      </c>
      <c r="L1518">
        <v>620.70000000000005</v>
      </c>
      <c r="M1518">
        <v>604.15</v>
      </c>
      <c r="N1518">
        <v>608.29999999999995</v>
      </c>
      <c r="O1518" s="61"/>
      <c r="P1518" s="61"/>
      <c r="Q1518" s="62"/>
      <c r="R1518" s="62"/>
      <c r="S1518" s="139"/>
      <c r="T1518" s="5"/>
      <c r="U1518" s="140"/>
      <c r="X1518" s="118"/>
      <c r="Y1518" s="118"/>
      <c r="Z1518" s="118"/>
      <c r="AA1518" s="118"/>
    </row>
    <row r="1519" spans="1:29" ht="16.2" thickBot="1" x14ac:dyDescent="0.35">
      <c r="A1519" s="212"/>
      <c r="B1519" s="24"/>
      <c r="C1519" s="6"/>
      <c r="D1519" s="6"/>
      <c r="E1519" s="61" t="s">
        <v>190</v>
      </c>
      <c r="F1519" s="40">
        <f t="shared" ref="F1519:N1519" si="501">IF(((F1517="")*AND(F1518="")),"",(F1517-F1518)*3)</f>
        <v>2006.9100000000003</v>
      </c>
      <c r="G1519" s="40">
        <f t="shared" si="501"/>
        <v>1977.4500000000003</v>
      </c>
      <c r="H1519" s="40">
        <f t="shared" si="501"/>
        <v>1991.5199999999998</v>
      </c>
      <c r="I1519" s="40">
        <f t="shared" si="501"/>
        <v>1983.78</v>
      </c>
      <c r="J1519" s="40">
        <f t="shared" si="501"/>
        <v>1983.15</v>
      </c>
      <c r="K1519" s="40">
        <f t="shared" si="501"/>
        <v>1987.59</v>
      </c>
      <c r="L1519" s="40">
        <f t="shared" si="501"/>
        <v>1978.2299999999996</v>
      </c>
      <c r="M1519" s="40">
        <f t="shared" si="501"/>
        <v>2000.04</v>
      </c>
      <c r="N1519" s="40">
        <f t="shared" si="501"/>
        <v>1995.2700000000004</v>
      </c>
      <c r="O1519" s="61"/>
      <c r="P1519" s="61"/>
      <c r="Q1519" s="62"/>
      <c r="R1519" s="62"/>
      <c r="S1519" s="139"/>
      <c r="T1519" s="5"/>
      <c r="U1519" s="140"/>
      <c r="X1519" s="118"/>
      <c r="Y1519" s="118"/>
      <c r="Z1519" s="118"/>
      <c r="AA1519" s="118"/>
    </row>
    <row r="1520" spans="1:29" ht="15.6" x14ac:dyDescent="0.3">
      <c r="A1520" s="278">
        <v>43760</v>
      </c>
      <c r="B1520" s="218" t="s">
        <v>185</v>
      </c>
      <c r="C1520" s="6" t="s">
        <v>173</v>
      </c>
      <c r="D1520" s="6" t="s">
        <v>172</v>
      </c>
      <c r="E1520" s="61" t="s">
        <v>186</v>
      </c>
      <c r="F1520">
        <v>27242.44</v>
      </c>
      <c r="G1520">
        <v>27268.25</v>
      </c>
      <c r="H1520">
        <v>27322.46</v>
      </c>
      <c r="I1520">
        <v>27280.77</v>
      </c>
      <c r="J1520">
        <v>27281.95</v>
      </c>
      <c r="K1520">
        <v>27244.9</v>
      </c>
      <c r="L1520">
        <v>27282.959999999999</v>
      </c>
      <c r="M1520">
        <v>27273.599999999999</v>
      </c>
      <c r="N1520">
        <v>27228.560000000001</v>
      </c>
      <c r="O1520" s="61">
        <f>IF((N1521=""),"",MAX(F1522:N1522))</f>
        <v>4513.7099999999991</v>
      </c>
      <c r="P1520" s="61">
        <f>IF(N1521="","",MIN(F1522:N1522))</f>
        <v>3896.6099999999969</v>
      </c>
      <c r="Q1520" s="62">
        <f>IF((N1522=""),"",AVERAGE(F1522:N1522))</f>
        <v>4166.0099999999993</v>
      </c>
      <c r="R1520" s="62">
        <f>IF((N1521=""),"",(O1520-P1520)/(O1520+P1520)*100)</f>
        <v>7.3374140341866001</v>
      </c>
      <c r="S1520" s="139">
        <f>STDEV(F1522:N1522)</f>
        <v>250.45619257666741</v>
      </c>
      <c r="T1520" s="5" t="str">
        <f>IF(N1521="","",IF(R1520&lt;16,IF(Q1520&gt;3200,IF(R1520,IF(Q1520&lt;5240,"Pass","Fail"),"Fail"),"Fail")))</f>
        <v>Pass</v>
      </c>
      <c r="U1520" s="149">
        <v>74</v>
      </c>
      <c r="V1520" s="11" t="s">
        <v>402</v>
      </c>
      <c r="X1520" s="116">
        <v>4200</v>
      </c>
      <c r="Y1520" s="116">
        <v>5500</v>
      </c>
      <c r="Z1520" s="116">
        <v>3200</v>
      </c>
      <c r="AA1520" s="116">
        <v>5240</v>
      </c>
      <c r="AB1520" s="31">
        <v>16</v>
      </c>
      <c r="AC1520" s="31">
        <v>16</v>
      </c>
    </row>
    <row r="1521" spans="1:29" ht="15.6" x14ac:dyDescent="0.3">
      <c r="A1521" s="212"/>
      <c r="B1521" s="24"/>
      <c r="C1521" s="6"/>
      <c r="D1521" s="6"/>
      <c r="E1521" s="61" t="s">
        <v>187</v>
      </c>
      <c r="F1521">
        <v>25750.92</v>
      </c>
      <c r="G1521">
        <v>25941.67</v>
      </c>
      <c r="H1521">
        <v>26023.59</v>
      </c>
      <c r="I1521">
        <v>25965.31</v>
      </c>
      <c r="J1521">
        <v>25817.22</v>
      </c>
      <c r="K1521">
        <v>25812.37</v>
      </c>
      <c r="L1521">
        <v>25963.54</v>
      </c>
      <c r="M1521">
        <v>25929.25</v>
      </c>
      <c r="N1521">
        <v>25723.99</v>
      </c>
      <c r="O1521" s="127"/>
      <c r="P1521" s="61"/>
      <c r="Q1521" s="62"/>
      <c r="R1521" s="62"/>
      <c r="S1521" s="139"/>
      <c r="T1521" s="5"/>
      <c r="U1521" s="140"/>
    </row>
    <row r="1522" spans="1:29" ht="23.4" thickBot="1" x14ac:dyDescent="0.35">
      <c r="A1522" s="212"/>
      <c r="B1522" s="63"/>
      <c r="C1522" s="64"/>
      <c r="D1522" s="64"/>
      <c r="E1522" s="61" t="s">
        <v>188</v>
      </c>
      <c r="F1522" s="53">
        <f t="shared" ref="F1522:N1522" si="502">IF(((F1520="")*AND(F1521="")),"",(F1520-F1521)*3)</f>
        <v>4474.5600000000013</v>
      </c>
      <c r="G1522" s="53">
        <f t="shared" si="502"/>
        <v>3979.7400000000052</v>
      </c>
      <c r="H1522" s="53">
        <f t="shared" si="502"/>
        <v>3896.6099999999969</v>
      </c>
      <c r="I1522" s="53">
        <f t="shared" si="502"/>
        <v>3946.3799999999974</v>
      </c>
      <c r="J1522" s="53">
        <f t="shared" si="502"/>
        <v>4394.1899999999987</v>
      </c>
      <c r="K1522" s="53">
        <f t="shared" si="502"/>
        <v>4297.5900000000074</v>
      </c>
      <c r="L1522" s="53">
        <f t="shared" si="502"/>
        <v>3958.2599999999948</v>
      </c>
      <c r="M1522" s="53">
        <f t="shared" si="502"/>
        <v>4033.0499999999956</v>
      </c>
      <c r="N1522" s="53">
        <f t="shared" si="502"/>
        <v>4513.7099999999991</v>
      </c>
      <c r="O1522" s="65"/>
      <c r="P1522" s="65"/>
      <c r="Q1522" s="66"/>
      <c r="R1522" s="66"/>
      <c r="S1522" s="142"/>
      <c r="T1522" s="143"/>
      <c r="U1522" s="144"/>
    </row>
    <row r="1523" spans="1:29" ht="15.6" x14ac:dyDescent="0.3">
      <c r="A1523" s="278">
        <v>43766</v>
      </c>
      <c r="B1523" s="217" t="s">
        <v>174</v>
      </c>
      <c r="C1523" s="44" t="s">
        <v>176</v>
      </c>
      <c r="D1523" s="44" t="s">
        <v>175</v>
      </c>
      <c r="E1523" s="61" t="s">
        <v>186</v>
      </c>
      <c r="F1523">
        <v>3494.67</v>
      </c>
      <c r="G1523">
        <v>3510.86</v>
      </c>
      <c r="H1523">
        <v>3534.63</v>
      </c>
      <c r="I1523">
        <v>3522.3</v>
      </c>
      <c r="J1523">
        <v>3484.06</v>
      </c>
      <c r="K1523">
        <v>3454.83</v>
      </c>
      <c r="L1523">
        <v>3497.22</v>
      </c>
      <c r="M1523">
        <v>3546.11</v>
      </c>
      <c r="N1523">
        <v>3543.17</v>
      </c>
      <c r="O1523" s="59">
        <f>IF((N1524=""),"",MAX(F1525:N1525))</f>
        <v>3917.96</v>
      </c>
      <c r="P1523" s="59">
        <f>IF(N1524="","",MIN(F1525:N1525))</f>
        <v>3568.58</v>
      </c>
      <c r="Q1523" s="60">
        <f>IF((N1525=""),"",AVERAGE(F1525:N1525))</f>
        <v>3784.6022222222218</v>
      </c>
      <c r="R1523" s="60">
        <f>IF((N1524=""),"",(O1523-P1523)/(O1523+P1523)*100)</f>
        <v>4.6667753060826511</v>
      </c>
      <c r="S1523" s="131">
        <f>STDEV(F1525:N1525)</f>
        <v>117.49073258961513</v>
      </c>
      <c r="T1523" s="137" t="str">
        <f>IF(N1524="","",IF(Q1523&gt;3650,IF(R1523&lt;7,IF(Q1523&lt;4450,"Pass","Fail"),"Fail"),"Fail"))</f>
        <v>Pass</v>
      </c>
      <c r="U1523" s="149">
        <v>1159</v>
      </c>
      <c r="V1523" s="11" t="s">
        <v>403</v>
      </c>
      <c r="X1523" s="116">
        <v>3650</v>
      </c>
      <c r="Y1523" s="116">
        <v>4450</v>
      </c>
      <c r="Z1523" s="116">
        <v>3700</v>
      </c>
      <c r="AA1523" s="116">
        <v>4100</v>
      </c>
      <c r="AB1523" s="31">
        <v>7</v>
      </c>
      <c r="AC1523" s="31">
        <v>6.5</v>
      </c>
    </row>
    <row r="1524" spans="1:29" ht="15.6" x14ac:dyDescent="0.3">
      <c r="A1524" s="212"/>
      <c r="B1524" s="24"/>
      <c r="C1524" s="6"/>
      <c r="D1524" s="6"/>
      <c r="E1524" s="61" t="s">
        <v>187</v>
      </c>
      <c r="F1524">
        <v>1668.49</v>
      </c>
      <c r="G1524">
        <v>1583.66</v>
      </c>
      <c r="H1524">
        <v>1589.39</v>
      </c>
      <c r="I1524">
        <v>1592.97</v>
      </c>
      <c r="J1524">
        <v>1625.75</v>
      </c>
      <c r="K1524">
        <v>1670.54</v>
      </c>
      <c r="L1524">
        <v>1581.81</v>
      </c>
      <c r="M1524">
        <v>1587.13</v>
      </c>
      <c r="N1524">
        <v>1657.4</v>
      </c>
      <c r="O1524" s="61"/>
      <c r="P1524" s="61"/>
      <c r="Q1524" s="62"/>
      <c r="R1524" s="62"/>
      <c r="S1524" s="139"/>
      <c r="T1524" s="8"/>
      <c r="U1524" s="146"/>
      <c r="X1524" s="118"/>
      <c r="Y1524" s="118"/>
      <c r="Z1524" s="118"/>
      <c r="AA1524" s="118"/>
    </row>
    <row r="1525" spans="1:29" ht="23.4" thickBot="1" x14ac:dyDescent="0.35">
      <c r="A1525" s="212"/>
      <c r="B1525" s="24"/>
      <c r="C1525" s="6"/>
      <c r="D1525" s="6"/>
      <c r="E1525" s="61" t="s">
        <v>188</v>
      </c>
      <c r="F1525" s="40">
        <f t="shared" ref="F1525:N1525" si="503">IF(((F1523="")*AND(F1524="")),"",(F1523-F1524)*2)</f>
        <v>3652.36</v>
      </c>
      <c r="G1525" s="40">
        <f t="shared" si="503"/>
        <v>3854.4</v>
      </c>
      <c r="H1525" s="40">
        <f t="shared" si="503"/>
        <v>3890.48</v>
      </c>
      <c r="I1525" s="40">
        <f t="shared" si="503"/>
        <v>3858.6600000000003</v>
      </c>
      <c r="J1525" s="40">
        <f t="shared" si="503"/>
        <v>3716.62</v>
      </c>
      <c r="K1525" s="40">
        <f t="shared" si="503"/>
        <v>3568.58</v>
      </c>
      <c r="L1525" s="40">
        <f t="shared" si="503"/>
        <v>3830.8199999999997</v>
      </c>
      <c r="M1525" s="40">
        <f t="shared" si="503"/>
        <v>3917.96</v>
      </c>
      <c r="N1525" s="40">
        <f t="shared" si="503"/>
        <v>3771.54</v>
      </c>
      <c r="O1525" s="61"/>
      <c r="P1525" s="61"/>
      <c r="Q1525" s="62"/>
      <c r="R1525" s="62"/>
      <c r="S1525" s="139"/>
      <c r="T1525" s="8"/>
      <c r="U1525" s="146"/>
      <c r="X1525" s="118"/>
      <c r="Y1525" s="118"/>
      <c r="Z1525" s="118"/>
      <c r="AA1525" s="118"/>
    </row>
    <row r="1526" spans="1:29" ht="15.6" x14ac:dyDescent="0.3">
      <c r="A1526" s="278">
        <v>43766</v>
      </c>
      <c r="B1526" s="215" t="s">
        <v>169</v>
      </c>
      <c r="C1526" s="6" t="s">
        <v>171</v>
      </c>
      <c r="D1526" s="6" t="s">
        <v>189</v>
      </c>
      <c r="E1526" s="61" t="s">
        <v>186</v>
      </c>
      <c r="F1526">
        <v>2002.52</v>
      </c>
      <c r="G1526">
        <v>1997.38</v>
      </c>
      <c r="H1526">
        <v>1982.34</v>
      </c>
      <c r="I1526">
        <v>1996.41</v>
      </c>
      <c r="J1526">
        <v>2004.96</v>
      </c>
      <c r="K1526">
        <v>2009.36</v>
      </c>
      <c r="L1526">
        <v>1994.04</v>
      </c>
      <c r="M1526">
        <v>1996.71</v>
      </c>
      <c r="N1526">
        <v>2003.19</v>
      </c>
      <c r="O1526" s="61">
        <f>IF((N1527=""),"",MAX(F1528:N1528))</f>
        <v>2121.2999999999997</v>
      </c>
      <c r="P1526" s="61">
        <f>IF(N1527="","",MIN(F1528:N1528))</f>
        <v>2051.94</v>
      </c>
      <c r="Q1526" s="62">
        <f>IF((N1528=""),"",AVERAGE(F1528:N1528))</f>
        <v>2083.3666666666668</v>
      </c>
      <c r="R1526" s="62">
        <f>IF((N1527=""),"",(O1526-P1526)/(O1526+P1526)*100)</f>
        <v>1.6620180004025569</v>
      </c>
      <c r="S1526" s="139">
        <f>STDEV(F1528:N1528)</f>
        <v>25.433808700231868</v>
      </c>
      <c r="T1526" s="5" t="str">
        <f>IF(N1527="","",IF(Q1526&gt;1940,IF(R1526&lt;8.3,IF(Q1526&lt;2180,"Pass","Fail"),"Fail"),"Fail"))</f>
        <v>Pass</v>
      </c>
      <c r="U1526" s="149">
        <v>1159</v>
      </c>
      <c r="V1526" s="11" t="s">
        <v>403</v>
      </c>
      <c r="X1526" s="116">
        <v>2000</v>
      </c>
      <c r="Y1526" s="116">
        <v>3000</v>
      </c>
      <c r="Z1526" s="116">
        <v>1940</v>
      </c>
      <c r="AA1526" s="116">
        <v>2180</v>
      </c>
      <c r="AB1526" s="31">
        <v>5.2</v>
      </c>
      <c r="AC1526" s="31">
        <v>5.2</v>
      </c>
    </row>
    <row r="1527" spans="1:29" ht="15.6" x14ac:dyDescent="0.3">
      <c r="A1527" s="212"/>
      <c r="B1527" s="24"/>
      <c r="C1527" s="6"/>
      <c r="D1527" s="6"/>
      <c r="E1527" s="61" t="s">
        <v>187</v>
      </c>
      <c r="F1527">
        <v>1295.42</v>
      </c>
      <c r="G1527">
        <v>1307.54</v>
      </c>
      <c r="H1527">
        <v>1295.8599999999999</v>
      </c>
      <c r="I1527">
        <v>1308.17</v>
      </c>
      <c r="J1527">
        <v>1305.75</v>
      </c>
      <c r="K1527">
        <v>1303.73</v>
      </c>
      <c r="L1527">
        <v>1310.06</v>
      </c>
      <c r="M1527">
        <v>1306.03</v>
      </c>
      <c r="N1527">
        <v>1304.25</v>
      </c>
      <c r="O1527" s="61"/>
      <c r="P1527" s="61"/>
      <c r="Q1527" s="62"/>
      <c r="R1527" s="62"/>
      <c r="S1527" s="139"/>
      <c r="T1527" s="5"/>
      <c r="U1527" s="140"/>
      <c r="X1527" s="118"/>
      <c r="Y1527" s="118"/>
      <c r="Z1527" s="118"/>
      <c r="AA1527" s="118"/>
    </row>
    <row r="1528" spans="1:29" ht="16.2" thickBot="1" x14ac:dyDescent="0.35">
      <c r="A1528" s="212"/>
      <c r="B1528" s="24"/>
      <c r="C1528" s="6"/>
      <c r="D1528" s="6"/>
      <c r="E1528" s="61" t="s">
        <v>190</v>
      </c>
      <c r="F1528" s="40">
        <f t="shared" ref="F1528:N1528" si="504">IF(((F1526="")*AND(F1527="")),"",(F1526-F1527)*3)</f>
        <v>2121.2999999999997</v>
      </c>
      <c r="G1528" s="40">
        <f t="shared" si="504"/>
        <v>2069.5200000000004</v>
      </c>
      <c r="H1528" s="40">
        <f t="shared" si="504"/>
        <v>2059.44</v>
      </c>
      <c r="I1528" s="40">
        <f t="shared" si="504"/>
        <v>2064.7200000000003</v>
      </c>
      <c r="J1528" s="40">
        <f t="shared" si="504"/>
        <v>2097.63</v>
      </c>
      <c r="K1528" s="40">
        <f t="shared" si="504"/>
        <v>2116.8899999999994</v>
      </c>
      <c r="L1528" s="40">
        <f t="shared" si="504"/>
        <v>2051.94</v>
      </c>
      <c r="M1528" s="40">
        <f t="shared" si="504"/>
        <v>2072.04</v>
      </c>
      <c r="N1528" s="40">
        <f t="shared" si="504"/>
        <v>2096.8200000000002</v>
      </c>
      <c r="O1528" s="61"/>
      <c r="P1528" s="61"/>
      <c r="Q1528" s="62"/>
      <c r="R1528" s="62"/>
      <c r="S1528" s="139"/>
      <c r="T1528" s="5"/>
      <c r="U1528" s="140"/>
      <c r="X1528" s="118"/>
      <c r="Y1528" s="118"/>
      <c r="Z1528" s="118"/>
      <c r="AA1528" s="118"/>
    </row>
    <row r="1529" spans="1:29" ht="15.6" x14ac:dyDescent="0.3">
      <c r="A1529" s="278">
        <v>43766</v>
      </c>
      <c r="B1529" s="218" t="s">
        <v>185</v>
      </c>
      <c r="C1529" s="6" t="s">
        <v>173</v>
      </c>
      <c r="D1529" s="6" t="s">
        <v>172</v>
      </c>
      <c r="E1529" s="61" t="s">
        <v>186</v>
      </c>
      <c r="F1529">
        <v>25724.01</v>
      </c>
      <c r="G1529">
        <v>25908.06</v>
      </c>
      <c r="H1529">
        <v>25992.65</v>
      </c>
      <c r="I1529">
        <v>25944.5</v>
      </c>
      <c r="J1529">
        <v>25799.74</v>
      </c>
      <c r="K1529">
        <v>25781.39</v>
      </c>
      <c r="L1529">
        <v>25941.74</v>
      </c>
      <c r="M1529">
        <v>25915.200000000001</v>
      </c>
      <c r="N1529">
        <v>25694.080000000002</v>
      </c>
      <c r="O1529" s="61">
        <f>IF((N1530=""),"",MAX(F1531:N1531))</f>
        <v>4356.9000000000087</v>
      </c>
      <c r="P1529" s="61">
        <f>IF(N1530="","",MIN(F1531:N1531))</f>
        <v>3756.4799999999996</v>
      </c>
      <c r="Q1529" s="62">
        <f>IF((N1531=""),"",AVERAGE(F1531:N1531))</f>
        <v>4039.0833333333348</v>
      </c>
      <c r="R1529" s="62">
        <f>IF((N1530=""),"",(O1529-P1529)/(O1529+P1529)*100)</f>
        <v>7.4003682805440949</v>
      </c>
      <c r="S1529" s="139">
        <f>STDEV(F1531:N1531)</f>
        <v>241.16179195718445</v>
      </c>
      <c r="T1529" s="5" t="str">
        <f>IF(N1530="","",IF(R1529&lt;16,IF(Q1529&gt;3200,IF(R1529,IF(Q1529&lt;5240,"Pass","Fail"),"Fail"),"Fail")))</f>
        <v>Pass</v>
      </c>
      <c r="U1529" s="149">
        <v>1159</v>
      </c>
      <c r="V1529" s="11" t="s">
        <v>403</v>
      </c>
      <c r="X1529" s="116">
        <v>4200</v>
      </c>
      <c r="Y1529" s="116">
        <v>5500</v>
      </c>
      <c r="Z1529" s="116">
        <v>3200</v>
      </c>
      <c r="AA1529" s="116">
        <v>5240</v>
      </c>
      <c r="AB1529" s="31">
        <v>16</v>
      </c>
      <c r="AC1529" s="31">
        <v>16</v>
      </c>
    </row>
    <row r="1530" spans="1:29" ht="15.6" x14ac:dyDescent="0.3">
      <c r="A1530" s="212"/>
      <c r="B1530" s="24"/>
      <c r="C1530" s="6"/>
      <c r="D1530" s="6"/>
      <c r="E1530" s="61" t="s">
        <v>187</v>
      </c>
      <c r="F1530">
        <v>24311.71</v>
      </c>
      <c r="G1530">
        <v>24640.13</v>
      </c>
      <c r="H1530">
        <v>24740.49</v>
      </c>
      <c r="I1530">
        <v>24643.63</v>
      </c>
      <c r="J1530">
        <v>24347.439999999999</v>
      </c>
      <c r="K1530">
        <v>24350.52</v>
      </c>
      <c r="L1530">
        <v>24651.759999999998</v>
      </c>
      <c r="M1530">
        <v>24625.15</v>
      </c>
      <c r="N1530">
        <v>24273.29</v>
      </c>
      <c r="O1530" s="127"/>
      <c r="P1530" s="61"/>
      <c r="Q1530" s="62"/>
      <c r="R1530" s="62"/>
      <c r="S1530" s="139"/>
      <c r="T1530" s="5"/>
      <c r="U1530" s="140"/>
    </row>
    <row r="1531" spans="1:29" ht="23.4" thickBot="1" x14ac:dyDescent="0.35">
      <c r="A1531" s="212"/>
      <c r="B1531" s="63"/>
      <c r="C1531" s="64"/>
      <c r="D1531" s="64"/>
      <c r="E1531" s="61" t="s">
        <v>188</v>
      </c>
      <c r="F1531" s="53">
        <f t="shared" ref="F1531:N1531" si="505">IF(((F1529="")*AND(F1530="")),"",(F1529-F1530)*3)</f>
        <v>4236.8999999999978</v>
      </c>
      <c r="G1531" s="53">
        <f t="shared" si="505"/>
        <v>3803.7900000000009</v>
      </c>
      <c r="H1531" s="53">
        <f t="shared" si="505"/>
        <v>3756.4799999999996</v>
      </c>
      <c r="I1531" s="53">
        <f t="shared" si="505"/>
        <v>3902.6099999999969</v>
      </c>
      <c r="J1531" s="53">
        <f t="shared" si="505"/>
        <v>4356.9000000000087</v>
      </c>
      <c r="K1531" s="53">
        <f t="shared" si="505"/>
        <v>4292.6099999999969</v>
      </c>
      <c r="L1531" s="53">
        <f t="shared" si="505"/>
        <v>3869.9400000000096</v>
      </c>
      <c r="M1531" s="53">
        <f t="shared" si="505"/>
        <v>3870.1499999999978</v>
      </c>
      <c r="N1531" s="53">
        <f t="shared" si="505"/>
        <v>4262.3700000000026</v>
      </c>
      <c r="O1531" s="65"/>
      <c r="P1531" s="65"/>
      <c r="Q1531" s="66"/>
      <c r="R1531" s="66"/>
      <c r="S1531" s="142"/>
      <c r="T1531" s="143"/>
      <c r="U1531" s="144"/>
    </row>
    <row r="1532" spans="1:29" ht="15.6" x14ac:dyDescent="0.3">
      <c r="A1532" s="278">
        <v>43769</v>
      </c>
      <c r="B1532" s="217" t="s">
        <v>174</v>
      </c>
      <c r="C1532" s="44" t="s">
        <v>176</v>
      </c>
      <c r="D1532" s="44" t="s">
        <v>175</v>
      </c>
      <c r="E1532" s="61" t="s">
        <v>186</v>
      </c>
      <c r="F1532">
        <v>3226.63</v>
      </c>
      <c r="G1532">
        <v>3011.14</v>
      </c>
      <c r="H1532">
        <v>2979.67</v>
      </c>
      <c r="I1532">
        <v>2977.51</v>
      </c>
      <c r="J1532">
        <v>3033.84</v>
      </c>
      <c r="K1532">
        <v>3233.29</v>
      </c>
      <c r="L1532">
        <v>2978.61</v>
      </c>
      <c r="M1532">
        <v>2990.63</v>
      </c>
      <c r="N1532">
        <v>3109.44</v>
      </c>
      <c r="O1532" s="59">
        <f>IF((N1533=""),"",MAX(F1534:N1534))</f>
        <v>3877.0600000000004</v>
      </c>
      <c r="P1532" s="59">
        <f>IF(N1533="","",MIN(F1534:N1534))</f>
        <v>3596.74</v>
      </c>
      <c r="Q1532" s="60">
        <f>IF((N1534=""),"",AVERAGE(F1534:N1534))</f>
        <v>3772.068888888889</v>
      </c>
      <c r="R1532" s="60">
        <f>IF((N1533=""),"",(O1532-P1532)/(O1532+P1532)*100)</f>
        <v>3.7507024539056522</v>
      </c>
      <c r="S1532" s="131">
        <f>STDEV(F1534:N1534)</f>
        <v>99.731367739097664</v>
      </c>
      <c r="T1532" s="137" t="str">
        <f>IF(N1533="","",IF(Q1532&gt;3650,IF(R1532&lt;7,IF(Q1532&lt;4450,"Pass","Fail"),"Fail"),"Fail"))</f>
        <v>Pass</v>
      </c>
      <c r="U1532" s="149">
        <v>1428</v>
      </c>
      <c r="V1532" s="11" t="s">
        <v>404</v>
      </c>
      <c r="X1532" s="116">
        <v>3650</v>
      </c>
      <c r="Y1532" s="116">
        <v>4450</v>
      </c>
      <c r="Z1532" s="116">
        <v>3700</v>
      </c>
      <c r="AA1532" s="116">
        <v>4100</v>
      </c>
      <c r="AB1532" s="31">
        <v>7</v>
      </c>
      <c r="AC1532" s="31">
        <v>6.5</v>
      </c>
    </row>
    <row r="1533" spans="1:29" ht="15.6" x14ac:dyDescent="0.3">
      <c r="A1533" s="212"/>
      <c r="B1533" s="24"/>
      <c r="C1533" s="6"/>
      <c r="D1533" s="6"/>
      <c r="E1533" s="61" t="s">
        <v>187</v>
      </c>
      <c r="F1533">
        <v>1411.75</v>
      </c>
      <c r="G1533">
        <v>1100.8699999999999</v>
      </c>
      <c r="H1533">
        <v>1051.6400000000001</v>
      </c>
      <c r="I1533">
        <v>1057.73</v>
      </c>
      <c r="J1533">
        <v>1169</v>
      </c>
      <c r="K1533">
        <v>1434.92</v>
      </c>
      <c r="L1533">
        <v>1072.8599999999999</v>
      </c>
      <c r="M1533">
        <v>1052.0999999999999</v>
      </c>
      <c r="N1533">
        <v>1215.58</v>
      </c>
      <c r="O1533" s="61"/>
      <c r="P1533" s="61"/>
      <c r="Q1533" s="62"/>
      <c r="R1533" s="62"/>
      <c r="S1533" s="139"/>
      <c r="T1533" s="8"/>
      <c r="U1533" s="146"/>
      <c r="X1533" s="118"/>
      <c r="Y1533" s="118"/>
      <c r="Z1533" s="118"/>
      <c r="AA1533" s="118"/>
    </row>
    <row r="1534" spans="1:29" ht="23.4" thickBot="1" x14ac:dyDescent="0.35">
      <c r="A1534" s="212"/>
      <c r="B1534" s="24"/>
      <c r="C1534" s="6"/>
      <c r="D1534" s="6"/>
      <c r="E1534" s="61" t="s">
        <v>188</v>
      </c>
      <c r="F1534" s="40">
        <f t="shared" ref="F1534:N1534" si="506">IF(((F1532="")*AND(F1533="")),"",(F1532-F1533)*2)</f>
        <v>3629.76</v>
      </c>
      <c r="G1534" s="40">
        <f t="shared" si="506"/>
        <v>3820.54</v>
      </c>
      <c r="H1534" s="40">
        <f t="shared" si="506"/>
        <v>3856.06</v>
      </c>
      <c r="I1534" s="40">
        <f t="shared" si="506"/>
        <v>3839.5600000000004</v>
      </c>
      <c r="J1534" s="40">
        <f t="shared" si="506"/>
        <v>3729.6800000000003</v>
      </c>
      <c r="K1534" s="40">
        <f t="shared" si="506"/>
        <v>3596.74</v>
      </c>
      <c r="L1534" s="40">
        <f t="shared" si="506"/>
        <v>3811.5000000000005</v>
      </c>
      <c r="M1534" s="40">
        <f t="shared" si="506"/>
        <v>3877.0600000000004</v>
      </c>
      <c r="N1534" s="40">
        <f t="shared" si="506"/>
        <v>3787.7200000000003</v>
      </c>
      <c r="O1534" s="61"/>
      <c r="P1534" s="61"/>
      <c r="Q1534" s="62"/>
      <c r="R1534" s="62"/>
      <c r="S1534" s="139"/>
      <c r="T1534" s="8"/>
      <c r="U1534" s="146"/>
      <c r="X1534" s="118"/>
      <c r="Y1534" s="118"/>
      <c r="Z1534" s="118"/>
      <c r="AA1534" s="118"/>
    </row>
    <row r="1535" spans="1:29" ht="15.6" x14ac:dyDescent="0.3">
      <c r="A1535" s="278">
        <v>43769</v>
      </c>
      <c r="B1535" s="215" t="s">
        <v>169</v>
      </c>
      <c r="C1535" s="6" t="s">
        <v>171</v>
      </c>
      <c r="D1535" s="6" t="s">
        <v>189</v>
      </c>
      <c r="E1535" s="61" t="s">
        <v>186</v>
      </c>
      <c r="F1535">
        <v>1295.42</v>
      </c>
      <c r="G1535">
        <v>1307.54</v>
      </c>
      <c r="H1535">
        <v>1295.8599999999999</v>
      </c>
      <c r="I1535">
        <v>1308.17</v>
      </c>
      <c r="J1535">
        <v>1305.75</v>
      </c>
      <c r="K1535">
        <v>1303.73</v>
      </c>
      <c r="L1535">
        <v>1310.06</v>
      </c>
      <c r="M1535">
        <v>1306.03</v>
      </c>
      <c r="N1535">
        <v>1304.25</v>
      </c>
      <c r="O1535" s="61">
        <f>IF((N1536=""),"",MAX(F1537:N1537))</f>
        <v>2033.7900000000002</v>
      </c>
      <c r="P1535" s="61">
        <f>IF(N1536="","",MIN(F1537:N1537))</f>
        <v>1971.33</v>
      </c>
      <c r="Q1535" s="62">
        <f>IF((N1537=""),"",AVERAGE(F1537:N1537))</f>
        <v>1993.0133333333335</v>
      </c>
      <c r="R1535" s="62">
        <f>IF((N1536=""),"",(O1535-P1535)/(O1535+P1535)*100)</f>
        <v>1.5595038350910899</v>
      </c>
      <c r="S1535" s="139">
        <f>STDEV(F1537:N1537)</f>
        <v>18.557163037490504</v>
      </c>
      <c r="T1535" s="5" t="str">
        <f>IF(N1536="","",IF(Q1535&gt;1940,IF(R1535&lt;8.3,IF(Q1535&lt;2180,"Pass","Fail"),"Fail"),"Fail"))</f>
        <v>Pass</v>
      </c>
      <c r="U1535" s="149">
        <v>1428</v>
      </c>
      <c r="V1535" s="11" t="s">
        <v>404</v>
      </c>
      <c r="X1535" s="116">
        <v>2000</v>
      </c>
      <c r="Y1535" s="116">
        <v>3000</v>
      </c>
      <c r="Z1535" s="116">
        <v>1940</v>
      </c>
      <c r="AA1535" s="116">
        <v>2180</v>
      </c>
      <c r="AB1535" s="31">
        <v>5.2</v>
      </c>
      <c r="AC1535" s="31">
        <v>5.2</v>
      </c>
    </row>
    <row r="1536" spans="1:29" ht="15.6" x14ac:dyDescent="0.3">
      <c r="A1536" s="212"/>
      <c r="B1536" s="24"/>
      <c r="C1536" s="6"/>
      <c r="D1536" s="6"/>
      <c r="E1536" s="61" t="s">
        <v>187</v>
      </c>
      <c r="F1536">
        <v>617.49</v>
      </c>
      <c r="G1536">
        <v>640.6</v>
      </c>
      <c r="H1536">
        <v>635.88</v>
      </c>
      <c r="I1536">
        <v>646.89</v>
      </c>
      <c r="J1536">
        <v>648.64</v>
      </c>
      <c r="K1536">
        <v>636.54999999999995</v>
      </c>
      <c r="L1536">
        <v>649.75</v>
      </c>
      <c r="M1536">
        <v>639.67999999999995</v>
      </c>
      <c r="N1536">
        <v>642.29</v>
      </c>
      <c r="O1536" s="61"/>
      <c r="P1536" s="61"/>
      <c r="Q1536" s="62"/>
      <c r="R1536" s="62"/>
      <c r="S1536" s="139"/>
      <c r="T1536" s="5"/>
      <c r="U1536" s="140"/>
      <c r="X1536" s="118"/>
      <c r="Y1536" s="118"/>
      <c r="Z1536" s="118"/>
      <c r="AA1536" s="118"/>
    </row>
    <row r="1537" spans="1:29" ht="16.2" thickBot="1" x14ac:dyDescent="0.35">
      <c r="A1537" s="212"/>
      <c r="B1537" s="24"/>
      <c r="C1537" s="6"/>
      <c r="D1537" s="6"/>
      <c r="E1537" s="61" t="s">
        <v>190</v>
      </c>
      <c r="F1537" s="40">
        <f t="shared" ref="F1537:N1537" si="507">IF(((F1535="")*AND(F1536="")),"",(F1535-F1536)*3)</f>
        <v>2033.7900000000002</v>
      </c>
      <c r="G1537" s="40">
        <f t="shared" si="507"/>
        <v>2000.8199999999997</v>
      </c>
      <c r="H1537" s="40">
        <f t="shared" si="507"/>
        <v>1979.9399999999996</v>
      </c>
      <c r="I1537" s="40">
        <f t="shared" si="507"/>
        <v>1983.8400000000001</v>
      </c>
      <c r="J1537" s="40">
        <f t="shared" si="507"/>
        <v>1971.33</v>
      </c>
      <c r="K1537" s="40">
        <f t="shared" si="507"/>
        <v>2001.5400000000002</v>
      </c>
      <c r="L1537" s="40">
        <f t="shared" si="507"/>
        <v>1980.9299999999998</v>
      </c>
      <c r="M1537" s="40">
        <f t="shared" si="507"/>
        <v>1999.0500000000002</v>
      </c>
      <c r="N1537" s="40">
        <f t="shared" si="507"/>
        <v>1985.88</v>
      </c>
      <c r="O1537" s="61"/>
      <c r="P1537" s="61"/>
      <c r="Q1537" s="62"/>
      <c r="R1537" s="62"/>
      <c r="S1537" s="139"/>
      <c r="T1537" s="5"/>
      <c r="U1537" s="140"/>
      <c r="X1537" s="118"/>
      <c r="Y1537" s="118"/>
      <c r="Z1537" s="118"/>
      <c r="AA1537" s="118"/>
    </row>
    <row r="1538" spans="1:29" ht="15.6" x14ac:dyDescent="0.3">
      <c r="A1538" s="278">
        <v>43769</v>
      </c>
      <c r="B1538" s="218" t="s">
        <v>185</v>
      </c>
      <c r="C1538" s="6" t="s">
        <v>173</v>
      </c>
      <c r="D1538" s="6" t="s">
        <v>172</v>
      </c>
      <c r="E1538" s="61" t="s">
        <v>186</v>
      </c>
      <c r="F1538">
        <v>29281.65</v>
      </c>
      <c r="G1538">
        <v>29202.62</v>
      </c>
      <c r="H1538">
        <v>29102.6</v>
      </c>
      <c r="I1538">
        <v>29192.44</v>
      </c>
      <c r="J1538">
        <v>29217.48</v>
      </c>
      <c r="K1538">
        <v>29273.86</v>
      </c>
      <c r="L1538">
        <v>29156.66</v>
      </c>
      <c r="M1538">
        <v>29109.53</v>
      </c>
      <c r="N1538">
        <v>29174.9</v>
      </c>
      <c r="O1538" s="61">
        <f>IF((N1539=""),"",MAX(F1540:N1540))</f>
        <v>4541.070000000007</v>
      </c>
      <c r="P1538" s="61">
        <f>IF(N1539="","",MIN(F1540:N1540))</f>
        <v>3703.8599999999969</v>
      </c>
      <c r="Q1538" s="62">
        <f>IF((N1540=""),"",AVERAGE(F1540:N1540))</f>
        <v>4165.3466666666682</v>
      </c>
      <c r="R1538" s="62">
        <f>IF((N1539=""),"",(O1538-P1538)/(O1538+P1538)*100)</f>
        <v>10.154240242185313</v>
      </c>
      <c r="S1538" s="139">
        <f>STDEV(F1540:N1540)</f>
        <v>279.38818818983947</v>
      </c>
      <c r="T1538" s="5" t="str">
        <f>IF(N1539="","",IF(R1538&lt;16,IF(Q1538&gt;3200,IF(R1538,IF(Q1538&lt;5240,"Pass","Fail"),"Fail"),"Fail")))</f>
        <v>Pass</v>
      </c>
      <c r="U1538" s="149">
        <v>1428</v>
      </c>
      <c r="V1538" s="11" t="s">
        <v>404</v>
      </c>
      <c r="X1538" s="116">
        <v>4200</v>
      </c>
      <c r="Y1538" s="116">
        <v>5500</v>
      </c>
      <c r="Z1538" s="116">
        <v>3200</v>
      </c>
      <c r="AA1538" s="116">
        <v>5240</v>
      </c>
      <c r="AB1538" s="31">
        <v>16</v>
      </c>
      <c r="AC1538" s="31">
        <v>16</v>
      </c>
    </row>
    <row r="1539" spans="1:29" ht="15.6" x14ac:dyDescent="0.3">
      <c r="A1539" s="212"/>
      <c r="B1539" s="24"/>
      <c r="C1539" s="6"/>
      <c r="D1539" s="6"/>
      <c r="E1539" s="61" t="s">
        <v>187</v>
      </c>
      <c r="F1539">
        <v>27813.08</v>
      </c>
      <c r="G1539">
        <v>27828.76</v>
      </c>
      <c r="H1539">
        <v>27867.98</v>
      </c>
      <c r="I1539">
        <v>27794.21</v>
      </c>
      <c r="J1539">
        <v>27731.87</v>
      </c>
      <c r="K1539">
        <v>27760.17</v>
      </c>
      <c r="L1539">
        <v>27802.959999999999</v>
      </c>
      <c r="M1539">
        <v>27833.55</v>
      </c>
      <c r="N1539">
        <v>27783.119999999999</v>
      </c>
      <c r="O1539" s="127"/>
      <c r="P1539" s="61"/>
      <c r="Q1539" s="62"/>
      <c r="R1539" s="62"/>
      <c r="S1539" s="139"/>
      <c r="T1539" s="5"/>
      <c r="U1539" s="140"/>
    </row>
    <row r="1540" spans="1:29" ht="23.4" thickBot="1" x14ac:dyDescent="0.35">
      <c r="A1540" s="212"/>
      <c r="B1540" s="63"/>
      <c r="C1540" s="64"/>
      <c r="D1540" s="64"/>
      <c r="E1540" s="61" t="s">
        <v>188</v>
      </c>
      <c r="F1540" s="53">
        <f t="shared" ref="F1540:N1540" si="508">IF(((F1538="")*AND(F1539="")),"",(F1538-F1539)*3)</f>
        <v>4405.7099999999991</v>
      </c>
      <c r="G1540" s="53">
        <f t="shared" si="508"/>
        <v>4121.5800000000017</v>
      </c>
      <c r="H1540" s="53">
        <f t="shared" si="508"/>
        <v>3703.8599999999969</v>
      </c>
      <c r="I1540" s="53">
        <f t="shared" si="508"/>
        <v>4194.6899999999987</v>
      </c>
      <c r="J1540" s="53">
        <f t="shared" si="508"/>
        <v>4456.8300000000017</v>
      </c>
      <c r="K1540" s="53">
        <f t="shared" si="508"/>
        <v>4541.070000000007</v>
      </c>
      <c r="L1540" s="53">
        <f t="shared" si="508"/>
        <v>4061.1000000000022</v>
      </c>
      <c r="M1540" s="53">
        <f t="shared" si="508"/>
        <v>3827.9399999999987</v>
      </c>
      <c r="N1540" s="53">
        <f t="shared" si="508"/>
        <v>4175.3400000000074</v>
      </c>
      <c r="O1540" s="65"/>
      <c r="P1540" s="65"/>
      <c r="Q1540" s="66"/>
      <c r="R1540" s="66"/>
      <c r="S1540" s="142"/>
      <c r="T1540" s="143"/>
      <c r="U1540" s="144"/>
    </row>
    <row r="1541" spans="1:29" ht="15.6" x14ac:dyDescent="0.3">
      <c r="A1541" s="278">
        <v>43773</v>
      </c>
      <c r="B1541" s="217" t="s">
        <v>174</v>
      </c>
      <c r="C1541" s="44" t="s">
        <v>176</v>
      </c>
      <c r="D1541" s="44" t="s">
        <v>175</v>
      </c>
      <c r="E1541" s="61" t="s">
        <v>186</v>
      </c>
      <c r="F1541">
        <v>4987.2</v>
      </c>
      <c r="G1541">
        <v>4975.68</v>
      </c>
      <c r="H1541">
        <v>5151.37</v>
      </c>
      <c r="I1541">
        <v>5165.99</v>
      </c>
      <c r="J1541">
        <v>5291.22</v>
      </c>
      <c r="K1541">
        <v>5268.77</v>
      </c>
      <c r="L1541">
        <v>5151.01</v>
      </c>
      <c r="M1541">
        <v>5040.9799999999996</v>
      </c>
      <c r="N1541">
        <v>4971.58</v>
      </c>
      <c r="O1541" s="59">
        <f>IF((N1542=""),"",MAX(F1543:N1543))</f>
        <v>3952.8599999999988</v>
      </c>
      <c r="P1541" s="59">
        <f>IF(N1542="","",MIN(F1543:N1543))</f>
        <v>3641.3200000000006</v>
      </c>
      <c r="Q1541" s="60">
        <f>IF((N1543=""),"",AVERAGE(F1543:N1543))</f>
        <v>3825.0466666666671</v>
      </c>
      <c r="R1541" s="60">
        <f>IF((N1542=""),"",(O1541-P1541)/(O1541+P1541)*100)</f>
        <v>4.1023520643439868</v>
      </c>
      <c r="S1541" s="131">
        <f>STDEV(F1543:N1543)</f>
        <v>113.8756014254148</v>
      </c>
      <c r="T1541" s="137" t="str">
        <f>IF(N1542="","",IF(Q1541&gt;3650,IF(R1541&lt;7,IF(Q1541&lt;4450,"Pass","Fail"),"Fail"),"Fail"))</f>
        <v>Pass</v>
      </c>
      <c r="U1541" s="149">
        <v>121</v>
      </c>
      <c r="V1541" s="11" t="s">
        <v>407</v>
      </c>
      <c r="X1541" s="116">
        <v>3650</v>
      </c>
      <c r="Y1541" s="116">
        <v>4450</v>
      </c>
      <c r="Z1541" s="116">
        <v>3700</v>
      </c>
      <c r="AA1541" s="116">
        <v>4100</v>
      </c>
      <c r="AB1541" s="31">
        <v>7</v>
      </c>
      <c r="AC1541" s="31">
        <v>6.5</v>
      </c>
    </row>
    <row r="1542" spans="1:29" ht="15.6" x14ac:dyDescent="0.3">
      <c r="A1542" s="212"/>
      <c r="B1542" s="24"/>
      <c r="C1542" s="6"/>
      <c r="D1542" s="6"/>
      <c r="E1542" s="61" t="s">
        <v>187</v>
      </c>
      <c r="F1542">
        <v>3163.72</v>
      </c>
      <c r="G1542">
        <v>3037.53</v>
      </c>
      <c r="H1542">
        <v>3189.68</v>
      </c>
      <c r="I1542">
        <v>3216.14</v>
      </c>
      <c r="J1542">
        <v>3399.76</v>
      </c>
      <c r="K1542">
        <v>3448.11</v>
      </c>
      <c r="L1542">
        <v>3214.65</v>
      </c>
      <c r="M1542">
        <v>3064.55</v>
      </c>
      <c r="N1542">
        <v>3056.95</v>
      </c>
      <c r="O1542" s="61"/>
      <c r="P1542" s="61"/>
      <c r="Q1542" s="62"/>
      <c r="R1542" s="62"/>
      <c r="S1542" s="139"/>
      <c r="T1542" s="8"/>
      <c r="U1542" s="146"/>
      <c r="X1542" s="118"/>
      <c r="Y1542" s="118"/>
      <c r="Z1542" s="118"/>
      <c r="AA1542" s="118"/>
    </row>
    <row r="1543" spans="1:29" ht="23.4" thickBot="1" x14ac:dyDescent="0.35">
      <c r="A1543" s="212"/>
      <c r="B1543" s="24"/>
      <c r="C1543" s="6"/>
      <c r="D1543" s="6"/>
      <c r="E1543" s="61" t="s">
        <v>188</v>
      </c>
      <c r="F1543" s="40">
        <f t="shared" ref="F1543:N1543" si="509">IF(((F1541="")*AND(F1542="")),"",(F1541-F1542)*2)</f>
        <v>3646.96</v>
      </c>
      <c r="G1543" s="40">
        <f t="shared" si="509"/>
        <v>3876.3</v>
      </c>
      <c r="H1543" s="40">
        <f t="shared" si="509"/>
        <v>3923.38</v>
      </c>
      <c r="I1543" s="40">
        <f t="shared" si="509"/>
        <v>3899.7</v>
      </c>
      <c r="J1543" s="40">
        <f t="shared" si="509"/>
        <v>3782.92</v>
      </c>
      <c r="K1543" s="40">
        <f t="shared" si="509"/>
        <v>3641.3200000000006</v>
      </c>
      <c r="L1543" s="40">
        <f t="shared" si="509"/>
        <v>3872.7200000000003</v>
      </c>
      <c r="M1543" s="40">
        <f t="shared" si="509"/>
        <v>3952.8599999999988</v>
      </c>
      <c r="N1543" s="40">
        <f t="shared" si="509"/>
        <v>3829.26</v>
      </c>
      <c r="O1543" s="61"/>
      <c r="P1543" s="61"/>
      <c r="Q1543" s="62"/>
      <c r="R1543" s="62"/>
      <c r="S1543" s="139"/>
      <c r="T1543" s="8"/>
      <c r="U1543" s="146"/>
      <c r="X1543" s="118"/>
      <c r="Y1543" s="118"/>
      <c r="Z1543" s="118"/>
      <c r="AA1543" s="118"/>
    </row>
    <row r="1544" spans="1:29" ht="15.6" x14ac:dyDescent="0.3">
      <c r="A1544" s="278">
        <v>43773</v>
      </c>
      <c r="B1544" s="215" t="s">
        <v>169</v>
      </c>
      <c r="C1544" s="6" t="s">
        <v>171</v>
      </c>
      <c r="D1544" s="6" t="s">
        <v>189</v>
      </c>
      <c r="E1544" s="61" t="s">
        <v>186</v>
      </c>
      <c r="F1544">
        <v>2004.58</v>
      </c>
      <c r="G1544">
        <v>2000.17</v>
      </c>
      <c r="H1544">
        <v>1997.49</v>
      </c>
      <c r="I1544">
        <v>2006.19</v>
      </c>
      <c r="J1544">
        <v>2010.19</v>
      </c>
      <c r="K1544">
        <v>2014.37</v>
      </c>
      <c r="L1544">
        <v>2001.56</v>
      </c>
      <c r="M1544">
        <v>1999.67</v>
      </c>
      <c r="N1544">
        <v>2008.57</v>
      </c>
      <c r="O1544" s="61">
        <f>IF((N1545=""),"",MAX(F1546:N1546))</f>
        <v>2133.06</v>
      </c>
      <c r="P1544" s="61">
        <f>IF(N1545="","",MIN(F1546:N1546))</f>
        <v>2085.9899999999998</v>
      </c>
      <c r="Q1544" s="62">
        <f>IF((N1546=""),"",AVERAGE(F1546:N1546))</f>
        <v>2101.7633333333338</v>
      </c>
      <c r="R1544" s="62">
        <f>IF((N1545=""),"",(O1544-P1544)/(O1544+P1544)*100)</f>
        <v>1.1156539979379285</v>
      </c>
      <c r="S1544" s="139">
        <f>STDEV(F1546:N1546)</f>
        <v>13.856320759855411</v>
      </c>
      <c r="T1544" s="5" t="str">
        <f>IF(N1545="","",IF(Q1544&gt;1940,IF(R1544&lt;8.3,IF(Q1544&lt;2180,"Pass","Fail"),"Fail"),"Fail"))</f>
        <v>Pass</v>
      </c>
      <c r="U1544" s="149">
        <v>121</v>
      </c>
      <c r="V1544" s="11" t="s">
        <v>407</v>
      </c>
      <c r="X1544" s="116">
        <v>2000</v>
      </c>
      <c r="Y1544" s="116">
        <v>3000</v>
      </c>
      <c r="Z1544" s="116">
        <v>1940</v>
      </c>
      <c r="AA1544" s="116">
        <v>2180</v>
      </c>
      <c r="AB1544" s="31">
        <v>5.2</v>
      </c>
      <c r="AC1544" s="31">
        <v>5.2</v>
      </c>
    </row>
    <row r="1545" spans="1:29" ht="15.6" x14ac:dyDescent="0.3">
      <c r="A1545" s="212"/>
      <c r="B1545" s="24"/>
      <c r="C1545" s="6"/>
      <c r="D1545" s="6"/>
      <c r="E1545" s="61" t="s">
        <v>187</v>
      </c>
      <c r="F1545">
        <v>1304.5899999999999</v>
      </c>
      <c r="G1545">
        <v>1302.53</v>
      </c>
      <c r="H1545">
        <v>1301.31</v>
      </c>
      <c r="I1545">
        <v>1295.17</v>
      </c>
      <c r="J1545">
        <v>1309.8900000000001</v>
      </c>
      <c r="K1545">
        <v>1311.47</v>
      </c>
      <c r="L1545">
        <v>1300.5999999999999</v>
      </c>
      <c r="M1545">
        <v>1298.7</v>
      </c>
      <c r="N1545">
        <v>1313.24</v>
      </c>
      <c r="O1545" s="61"/>
      <c r="P1545" s="61"/>
      <c r="Q1545" s="62"/>
      <c r="R1545" s="62"/>
      <c r="S1545" s="139"/>
      <c r="T1545" s="5"/>
      <c r="U1545" s="140"/>
      <c r="X1545" s="118"/>
      <c r="Y1545" s="118"/>
      <c r="Z1545" s="118"/>
      <c r="AA1545" s="118"/>
    </row>
    <row r="1546" spans="1:29" ht="16.2" thickBot="1" x14ac:dyDescent="0.35">
      <c r="A1546" s="212"/>
      <c r="B1546" s="24"/>
      <c r="C1546" s="6"/>
      <c r="D1546" s="6"/>
      <c r="E1546" s="61" t="s">
        <v>190</v>
      </c>
      <c r="F1546" s="40">
        <f t="shared" ref="F1546:N1546" si="510">IF(((F1544="")*AND(F1545="")),"",(F1544-F1545)*3)</f>
        <v>2099.9700000000003</v>
      </c>
      <c r="G1546" s="40">
        <f t="shared" si="510"/>
        <v>2092.92</v>
      </c>
      <c r="H1546" s="40">
        <f t="shared" si="510"/>
        <v>2088.54</v>
      </c>
      <c r="I1546" s="40">
        <f t="shared" si="510"/>
        <v>2133.06</v>
      </c>
      <c r="J1546" s="40">
        <f t="shared" si="510"/>
        <v>2100.8999999999996</v>
      </c>
      <c r="K1546" s="40">
        <f t="shared" si="510"/>
        <v>2108.6999999999998</v>
      </c>
      <c r="L1546" s="40">
        <f t="shared" si="510"/>
        <v>2102.88</v>
      </c>
      <c r="M1546" s="40">
        <f t="shared" si="510"/>
        <v>2102.91</v>
      </c>
      <c r="N1546" s="40">
        <f t="shared" si="510"/>
        <v>2085.9899999999998</v>
      </c>
      <c r="O1546" s="61"/>
      <c r="P1546" s="61"/>
      <c r="Q1546" s="62"/>
      <c r="R1546" s="62"/>
      <c r="S1546" s="139"/>
      <c r="T1546" s="5"/>
      <c r="U1546" s="140"/>
      <c r="X1546" s="118"/>
      <c r="Y1546" s="118"/>
      <c r="Z1546" s="118"/>
      <c r="AA1546" s="118"/>
    </row>
    <row r="1547" spans="1:29" ht="15.6" x14ac:dyDescent="0.3">
      <c r="A1547" s="278">
        <v>43773</v>
      </c>
      <c r="B1547" s="218" t="s">
        <v>185</v>
      </c>
      <c r="C1547" s="6" t="s">
        <v>173</v>
      </c>
      <c r="D1547" s="6" t="s">
        <v>172</v>
      </c>
      <c r="E1547" s="61" t="s">
        <v>186</v>
      </c>
      <c r="F1547">
        <v>27696.49</v>
      </c>
      <c r="G1547">
        <v>27765.33</v>
      </c>
      <c r="H1547">
        <v>27774.87</v>
      </c>
      <c r="I1547">
        <v>27725.63</v>
      </c>
      <c r="J1547">
        <v>27704.61</v>
      </c>
      <c r="K1547">
        <v>27670.04</v>
      </c>
      <c r="L1547">
        <v>27756.17</v>
      </c>
      <c r="M1547">
        <v>27741.53</v>
      </c>
      <c r="N1547">
        <v>27754.54</v>
      </c>
      <c r="O1547" s="61">
        <f>IF((N1548=""),"",MAX(F1549:N1549))</f>
        <v>4451.2200000000048</v>
      </c>
      <c r="P1547" s="61">
        <f>IF(N1548="","",MIN(F1549:N1549))</f>
        <v>3801.5099999999948</v>
      </c>
      <c r="Q1547" s="62">
        <f>IF((N1549=""),"",AVERAGE(F1549:N1549))</f>
        <v>4103.2666666666673</v>
      </c>
      <c r="R1547" s="62">
        <f>IF((N1548=""),"",(O1547-P1547)/(O1547+P1547)*100)</f>
        <v>7.8726675899976142</v>
      </c>
      <c r="S1547" s="139">
        <f>STDEV(F1549:N1549)</f>
        <v>233.5589782046504</v>
      </c>
      <c r="T1547" s="5" t="str">
        <f>IF(N1548="","",IF(R1547&lt;16,IF(Q1547&gt;3200,IF(R1547,IF(Q1547&lt;5240,"Pass","Fail"),"Fail"),"Fail")))</f>
        <v>Pass</v>
      </c>
      <c r="U1547" s="149">
        <v>121</v>
      </c>
      <c r="V1547" s="11" t="s">
        <v>407</v>
      </c>
      <c r="X1547" s="116">
        <v>4200</v>
      </c>
      <c r="Y1547" s="116">
        <v>5500</v>
      </c>
      <c r="Z1547" s="116">
        <v>3200</v>
      </c>
      <c r="AA1547" s="116">
        <v>5240</v>
      </c>
      <c r="AB1547" s="31">
        <v>16</v>
      </c>
      <c r="AC1547" s="31">
        <v>16</v>
      </c>
    </row>
    <row r="1548" spans="1:29" ht="15.6" x14ac:dyDescent="0.3">
      <c r="A1548" s="212"/>
      <c r="B1548" s="24"/>
      <c r="C1548" s="6"/>
      <c r="D1548" s="6"/>
      <c r="E1548" s="61" t="s">
        <v>187</v>
      </c>
      <c r="F1548">
        <v>26275.39</v>
      </c>
      <c r="G1548">
        <v>26458.69</v>
      </c>
      <c r="H1548">
        <v>26507.7</v>
      </c>
      <c r="I1548">
        <v>26427.25</v>
      </c>
      <c r="J1548">
        <v>26220.87</v>
      </c>
      <c r="K1548">
        <v>26259.49</v>
      </c>
      <c r="L1548">
        <v>26431.1</v>
      </c>
      <c r="M1548">
        <v>26406.09</v>
      </c>
      <c r="N1548">
        <v>26292.83</v>
      </c>
      <c r="O1548" s="127"/>
      <c r="P1548" s="61"/>
      <c r="Q1548" s="62"/>
      <c r="R1548" s="62"/>
      <c r="S1548" s="139"/>
      <c r="T1548" s="5"/>
      <c r="U1548" s="140"/>
    </row>
    <row r="1549" spans="1:29" ht="23.4" thickBot="1" x14ac:dyDescent="0.35">
      <c r="A1549" s="212"/>
      <c r="B1549" s="63"/>
      <c r="C1549" s="64"/>
      <c r="D1549" s="64"/>
      <c r="E1549" s="61" t="s">
        <v>188</v>
      </c>
      <c r="F1549" s="53">
        <f t="shared" ref="F1549:N1549" si="511">IF(((F1547="")*AND(F1548="")),"",(F1547-F1548)*3)</f>
        <v>4263.3000000000065</v>
      </c>
      <c r="G1549" s="53">
        <f t="shared" si="511"/>
        <v>3919.9200000000092</v>
      </c>
      <c r="H1549" s="53">
        <f t="shared" si="511"/>
        <v>3801.5099999999948</v>
      </c>
      <c r="I1549" s="53">
        <f t="shared" si="511"/>
        <v>3895.1400000000031</v>
      </c>
      <c r="J1549" s="53">
        <f t="shared" si="511"/>
        <v>4451.2200000000048</v>
      </c>
      <c r="K1549" s="53">
        <f t="shared" si="511"/>
        <v>4231.6499999999978</v>
      </c>
      <c r="L1549" s="53">
        <f t="shared" si="511"/>
        <v>3975.2099999999991</v>
      </c>
      <c r="M1549" s="53">
        <f t="shared" si="511"/>
        <v>4006.3199999999961</v>
      </c>
      <c r="N1549" s="53">
        <f t="shared" si="511"/>
        <v>4385.1299999999974</v>
      </c>
      <c r="O1549" s="65"/>
      <c r="P1549" s="65"/>
      <c r="Q1549" s="66"/>
      <c r="R1549" s="66"/>
      <c r="S1549" s="142"/>
      <c r="T1549" s="143"/>
      <c r="U1549" s="144"/>
    </row>
    <row r="1550" spans="1:29" ht="15.6" x14ac:dyDescent="0.3">
      <c r="A1550" s="278">
        <v>43776</v>
      </c>
      <c r="B1550" s="217" t="s">
        <v>174</v>
      </c>
      <c r="C1550" s="44" t="s">
        <v>176</v>
      </c>
      <c r="D1550" s="44" t="s">
        <v>175</v>
      </c>
      <c r="E1550" s="61" t="s">
        <v>186</v>
      </c>
      <c r="F1550">
        <v>3184.26</v>
      </c>
      <c r="G1550">
        <v>3056.05</v>
      </c>
      <c r="H1550">
        <v>3211.18</v>
      </c>
      <c r="I1550">
        <v>3237.7</v>
      </c>
      <c r="J1550">
        <v>3426.72</v>
      </c>
      <c r="K1550">
        <v>3480.31</v>
      </c>
      <c r="L1550">
        <v>3236.43</v>
      </c>
      <c r="M1550">
        <v>3083.14</v>
      </c>
      <c r="N1550">
        <v>3075.82</v>
      </c>
      <c r="O1550" s="59">
        <f>IF((N1551=""),"",MAX(F1552:N1552))</f>
        <v>3935.9799999999996</v>
      </c>
      <c r="P1550" s="59">
        <f>IF(N1551="","",MIN(F1552:N1552))</f>
        <v>3643.98</v>
      </c>
      <c r="Q1550" s="60">
        <f>IF((N1552=""),"",AVERAGE(F1552:N1552))</f>
        <v>3830.1622222222222</v>
      </c>
      <c r="R1550" s="60">
        <f>IF((N1551=""),"",(O1550-P1550)/(O1550+P1550)*100)</f>
        <v>3.8522630726283458</v>
      </c>
      <c r="S1550" s="131">
        <f>STDEV(F1552:N1552)</f>
        <v>102.51277210398911</v>
      </c>
      <c r="T1550" s="137" t="str">
        <f>IF(N1551="","",IF(Q1550&gt;3650,IF(R1550&lt;7,IF(Q1550&lt;4450,"Pass","Fail"),"Fail"),"Fail"))</f>
        <v>Pass</v>
      </c>
      <c r="U1550" s="149">
        <v>1335</v>
      </c>
      <c r="X1550" s="116">
        <v>3650</v>
      </c>
      <c r="Y1550" s="116">
        <v>4450</v>
      </c>
      <c r="Z1550" s="116">
        <v>3700</v>
      </c>
      <c r="AA1550" s="116">
        <v>4100</v>
      </c>
      <c r="AB1550" s="31">
        <v>7</v>
      </c>
      <c r="AC1550" s="31">
        <v>6.5</v>
      </c>
    </row>
    <row r="1551" spans="1:29" ht="15.6" x14ac:dyDescent="0.3">
      <c r="A1551" s="212"/>
      <c r="B1551" s="24"/>
      <c r="C1551" s="6"/>
      <c r="D1551" s="6"/>
      <c r="E1551" s="61" t="s">
        <v>187</v>
      </c>
      <c r="F1551">
        <v>1337.27</v>
      </c>
      <c r="G1551">
        <v>1119.1099999999999</v>
      </c>
      <c r="H1551">
        <v>1251.98</v>
      </c>
      <c r="I1551">
        <v>1285.67</v>
      </c>
      <c r="J1551">
        <v>1532.48</v>
      </c>
      <c r="K1551">
        <v>1658.32</v>
      </c>
      <c r="L1551">
        <v>1295.04</v>
      </c>
      <c r="M1551">
        <v>1115.1500000000001</v>
      </c>
      <c r="N1551">
        <v>1160.8599999999999</v>
      </c>
      <c r="O1551" s="61"/>
      <c r="P1551" s="61"/>
      <c r="Q1551" s="62"/>
      <c r="R1551" s="62"/>
      <c r="S1551" s="139"/>
      <c r="T1551" s="8"/>
      <c r="U1551" s="146"/>
      <c r="X1551" s="118"/>
      <c r="Y1551" s="118"/>
      <c r="Z1551" s="118"/>
      <c r="AA1551" s="118"/>
    </row>
    <row r="1552" spans="1:29" ht="23.4" thickBot="1" x14ac:dyDescent="0.35">
      <c r="A1552" s="212"/>
      <c r="B1552" s="24"/>
      <c r="C1552" s="6"/>
      <c r="D1552" s="6"/>
      <c r="E1552" s="61" t="s">
        <v>188</v>
      </c>
      <c r="F1552" s="40">
        <f t="shared" ref="F1552:N1552" si="512">IF(((F1550="")*AND(F1551="")),"",(F1550-F1551)*2)</f>
        <v>3693.9800000000005</v>
      </c>
      <c r="G1552" s="40">
        <f t="shared" si="512"/>
        <v>3873.8800000000006</v>
      </c>
      <c r="H1552" s="40">
        <f t="shared" si="512"/>
        <v>3918.3999999999996</v>
      </c>
      <c r="I1552" s="40">
        <f t="shared" si="512"/>
        <v>3904.0599999999995</v>
      </c>
      <c r="J1552" s="40">
        <f t="shared" si="512"/>
        <v>3788.4799999999996</v>
      </c>
      <c r="K1552" s="40">
        <f t="shared" si="512"/>
        <v>3643.98</v>
      </c>
      <c r="L1552" s="40">
        <f t="shared" si="512"/>
        <v>3882.7799999999997</v>
      </c>
      <c r="M1552" s="40">
        <f t="shared" si="512"/>
        <v>3935.9799999999996</v>
      </c>
      <c r="N1552" s="40">
        <f t="shared" si="512"/>
        <v>3829.9200000000005</v>
      </c>
      <c r="O1552" s="61"/>
      <c r="P1552" s="61"/>
      <c r="Q1552" s="62"/>
      <c r="R1552" s="62"/>
      <c r="S1552" s="139"/>
      <c r="T1552" s="8"/>
      <c r="U1552" s="146"/>
      <c r="X1552" s="118"/>
      <c r="Y1552" s="118"/>
      <c r="Z1552" s="118"/>
      <c r="AA1552" s="118"/>
    </row>
    <row r="1553" spans="1:29" ht="15.6" x14ac:dyDescent="0.3">
      <c r="A1553" s="278">
        <v>43776</v>
      </c>
      <c r="B1553" s="215" t="s">
        <v>169</v>
      </c>
      <c r="C1553" s="6" t="s">
        <v>171</v>
      </c>
      <c r="D1553" s="6" t="s">
        <v>189</v>
      </c>
      <c r="E1553" s="61" t="s">
        <v>186</v>
      </c>
      <c r="F1553">
        <v>1297.5899999999999</v>
      </c>
      <c r="G1553">
        <v>1295.44</v>
      </c>
      <c r="H1553">
        <v>1292.01</v>
      </c>
      <c r="I1553">
        <v>1291.98</v>
      </c>
      <c r="J1553">
        <v>1301.33</v>
      </c>
      <c r="K1553">
        <v>1304.17</v>
      </c>
      <c r="L1553">
        <v>1293.6400000000001</v>
      </c>
      <c r="M1553">
        <v>1293.07</v>
      </c>
      <c r="N1553">
        <v>1307.33</v>
      </c>
      <c r="O1553" s="61">
        <f>IF((N1554=""),"",MAX(F1555:N1555))</f>
        <v>2001.9899999999998</v>
      </c>
      <c r="P1553" s="61">
        <f>IF(N1554="","",MIN(F1555:N1555))</f>
        <v>1962.4499999999998</v>
      </c>
      <c r="Q1553" s="62">
        <f>IF((N1555=""),"",AVERAGE(F1555:N1555))</f>
        <v>1990.7500000000005</v>
      </c>
      <c r="R1553" s="62">
        <f>IF((N1554=""),"",(O1553-P1553)/(O1553+P1553)*100)</f>
        <v>0.99736658897599584</v>
      </c>
      <c r="S1553" s="139">
        <f>STDEV(F1555:N1555)</f>
        <v>11.491909110326338</v>
      </c>
      <c r="T1553" s="5" t="str">
        <f>IF(N1554="","",IF(Q1553&gt;1940,IF(R1553&lt;8.3,IF(Q1553&lt;2180,"Pass","Fail"),"Fail"),"Fail"))</f>
        <v>Pass</v>
      </c>
      <c r="U1553" s="149">
        <v>1335</v>
      </c>
      <c r="X1553" s="116">
        <v>2000</v>
      </c>
      <c r="Y1553" s="116">
        <v>3000</v>
      </c>
      <c r="Z1553" s="116">
        <v>1940</v>
      </c>
      <c r="AA1553" s="116">
        <v>2180</v>
      </c>
      <c r="AB1553" s="31">
        <v>5.2</v>
      </c>
      <c r="AC1553" s="31">
        <v>5.2</v>
      </c>
    </row>
    <row r="1554" spans="1:29" ht="15.6" x14ac:dyDescent="0.3">
      <c r="A1554" s="212"/>
      <c r="B1554" s="24"/>
      <c r="C1554" s="6"/>
      <c r="D1554" s="6"/>
      <c r="E1554" s="61" t="s">
        <v>187</v>
      </c>
      <c r="F1554">
        <v>632.14</v>
      </c>
      <c r="G1554">
        <v>630.04</v>
      </c>
      <c r="H1554">
        <v>628.52</v>
      </c>
      <c r="I1554">
        <v>626.99</v>
      </c>
      <c r="J1554">
        <v>647.17999999999995</v>
      </c>
      <c r="K1554">
        <v>639.41</v>
      </c>
      <c r="L1554">
        <v>628.87</v>
      </c>
      <c r="M1554">
        <v>625.74</v>
      </c>
      <c r="N1554">
        <v>645.41999999999996</v>
      </c>
      <c r="O1554" s="61"/>
      <c r="P1554" s="61"/>
      <c r="Q1554" s="62"/>
      <c r="R1554" s="62"/>
      <c r="S1554" s="139"/>
      <c r="T1554" s="5"/>
      <c r="U1554" s="140"/>
      <c r="X1554" s="118"/>
      <c r="Y1554" s="118"/>
      <c r="Z1554" s="118"/>
      <c r="AA1554" s="118"/>
    </row>
    <row r="1555" spans="1:29" ht="16.2" thickBot="1" x14ac:dyDescent="0.35">
      <c r="A1555" s="212"/>
      <c r="B1555" s="24"/>
      <c r="C1555" s="6"/>
      <c r="D1555" s="6"/>
      <c r="E1555" s="61" t="s">
        <v>190</v>
      </c>
      <c r="F1555" s="40">
        <f t="shared" ref="F1555:N1555" si="513">IF(((F1553="")*AND(F1554="")),"",(F1553-F1554)*3)</f>
        <v>1996.35</v>
      </c>
      <c r="G1555" s="40">
        <f t="shared" si="513"/>
        <v>1996.2000000000003</v>
      </c>
      <c r="H1555" s="40">
        <f t="shared" si="513"/>
        <v>1990.47</v>
      </c>
      <c r="I1555" s="40">
        <f t="shared" si="513"/>
        <v>1994.97</v>
      </c>
      <c r="J1555" s="40">
        <f t="shared" si="513"/>
        <v>1962.4499999999998</v>
      </c>
      <c r="K1555" s="40">
        <f t="shared" si="513"/>
        <v>1994.2800000000002</v>
      </c>
      <c r="L1555" s="40">
        <f t="shared" si="513"/>
        <v>1994.3100000000004</v>
      </c>
      <c r="M1555" s="40">
        <f t="shared" si="513"/>
        <v>2001.9899999999998</v>
      </c>
      <c r="N1555" s="40">
        <f t="shared" si="513"/>
        <v>1985.73</v>
      </c>
      <c r="O1555" s="61"/>
      <c r="P1555" s="61"/>
      <c r="Q1555" s="62"/>
      <c r="R1555" s="62"/>
      <c r="S1555" s="139"/>
      <c r="T1555" s="5"/>
      <c r="U1555" s="140"/>
      <c r="X1555" s="118"/>
      <c r="Y1555" s="118"/>
      <c r="Z1555" s="118"/>
      <c r="AA1555" s="118"/>
    </row>
    <row r="1556" spans="1:29" ht="15.6" x14ac:dyDescent="0.3">
      <c r="A1556" s="278">
        <v>43776</v>
      </c>
      <c r="B1556" s="218" t="s">
        <v>185</v>
      </c>
      <c r="C1556" s="6" t="s">
        <v>173</v>
      </c>
      <c r="D1556" s="6" t="s">
        <v>172</v>
      </c>
      <c r="E1556" s="61" t="s">
        <v>186</v>
      </c>
      <c r="F1556">
        <v>26200.9</v>
      </c>
      <c r="G1556">
        <v>26382.18</v>
      </c>
      <c r="H1556">
        <v>26484.79</v>
      </c>
      <c r="I1556">
        <v>26420.02</v>
      </c>
      <c r="J1556">
        <v>26189.07</v>
      </c>
      <c r="K1556">
        <v>26153.02</v>
      </c>
      <c r="L1556">
        <v>26410.21</v>
      </c>
      <c r="M1556">
        <v>26426.15</v>
      </c>
      <c r="N1556">
        <v>26208.66</v>
      </c>
      <c r="O1556" s="61">
        <f>IF((N1557=""),"",MAX(F1558:N1558))</f>
        <v>4848</v>
      </c>
      <c r="P1556" s="61">
        <f>IF(N1557="","",MIN(F1558:N1558))</f>
        <v>4061.25</v>
      </c>
      <c r="Q1556" s="62">
        <f>IF((N1558=""),"",AVERAGE(F1558:N1558))</f>
        <v>4445.1600000000008</v>
      </c>
      <c r="R1556" s="62">
        <f>IF((N1557=""),"",(O1556-P1556)/(O1556+P1556)*100)</f>
        <v>8.8307096556949247</v>
      </c>
      <c r="S1556" s="139">
        <f>STDEV(F1558:N1558)</f>
        <v>320.3284344231721</v>
      </c>
      <c r="T1556" s="5" t="str">
        <f>IF(N1557="","",IF(R1556&lt;16,IF(Q1556&gt;3200,IF(R1556,IF(Q1556&lt;5240,"Pass","Fail"),"Fail"),"Fail")))</f>
        <v>Pass</v>
      </c>
      <c r="U1556" s="149">
        <v>1335</v>
      </c>
      <c r="X1556" s="116">
        <v>4200</v>
      </c>
      <c r="Y1556" s="116">
        <v>5500</v>
      </c>
      <c r="Z1556" s="116">
        <v>3200</v>
      </c>
      <c r="AA1556" s="116">
        <v>5240</v>
      </c>
      <c r="AB1556" s="31">
        <v>16</v>
      </c>
      <c r="AC1556" s="31">
        <v>16</v>
      </c>
    </row>
    <row r="1557" spans="1:29" ht="15.6" x14ac:dyDescent="0.3">
      <c r="A1557" s="212"/>
      <c r="B1557" s="24"/>
      <c r="C1557" s="6"/>
      <c r="D1557" s="6"/>
      <c r="E1557" s="61" t="s">
        <v>187</v>
      </c>
      <c r="F1557">
        <v>24612.59</v>
      </c>
      <c r="G1557">
        <v>24989.56</v>
      </c>
      <c r="H1557">
        <v>25131.040000000001</v>
      </c>
      <c r="I1557">
        <v>25040.29</v>
      </c>
      <c r="J1557">
        <v>24580.25</v>
      </c>
      <c r="K1557">
        <v>24605.46</v>
      </c>
      <c r="L1557">
        <v>24989.5</v>
      </c>
      <c r="M1557">
        <v>24998.17</v>
      </c>
      <c r="N1557">
        <v>24592.66</v>
      </c>
      <c r="O1557" s="127"/>
      <c r="P1557" s="61"/>
      <c r="Q1557" s="62"/>
      <c r="R1557" s="62"/>
      <c r="S1557" s="139"/>
      <c r="T1557" s="5"/>
      <c r="U1557" s="140"/>
    </row>
    <row r="1558" spans="1:29" ht="23.4" thickBot="1" x14ac:dyDescent="0.35">
      <c r="A1558" s="212"/>
      <c r="B1558" s="63"/>
      <c r="C1558" s="64"/>
      <c r="D1558" s="64"/>
      <c r="E1558" s="61" t="s">
        <v>188</v>
      </c>
      <c r="F1558" s="53">
        <f t="shared" ref="F1558:N1558" si="514">IF(((F1556="")*AND(F1557="")),"",(F1556-F1557)*3)</f>
        <v>4764.9300000000039</v>
      </c>
      <c r="G1558" s="53">
        <f t="shared" si="514"/>
        <v>4177.8599999999969</v>
      </c>
      <c r="H1558" s="53">
        <f t="shared" si="514"/>
        <v>4061.25</v>
      </c>
      <c r="I1558" s="53">
        <f t="shared" si="514"/>
        <v>4139.1899999999987</v>
      </c>
      <c r="J1558" s="53">
        <f t="shared" si="514"/>
        <v>4826.4599999999991</v>
      </c>
      <c r="K1558" s="53">
        <f t="shared" si="514"/>
        <v>4642.6800000000039</v>
      </c>
      <c r="L1558" s="53">
        <f t="shared" si="514"/>
        <v>4262.1299999999974</v>
      </c>
      <c r="M1558" s="53">
        <f t="shared" si="514"/>
        <v>4283.9400000000096</v>
      </c>
      <c r="N1558" s="53">
        <f t="shared" si="514"/>
        <v>4848</v>
      </c>
      <c r="O1558" s="65"/>
      <c r="P1558" s="65"/>
      <c r="Q1558" s="66"/>
      <c r="R1558" s="66"/>
      <c r="S1558" s="142"/>
      <c r="T1558" s="143"/>
      <c r="U1558" s="144"/>
    </row>
    <row r="1559" spans="1:29" ht="15.6" x14ac:dyDescent="0.3">
      <c r="A1559" s="278">
        <v>43780</v>
      </c>
      <c r="B1559" s="217" t="s">
        <v>174</v>
      </c>
      <c r="C1559" s="44" t="s">
        <v>176</v>
      </c>
      <c r="D1559" s="44" t="s">
        <v>175</v>
      </c>
      <c r="E1559" s="61" t="s">
        <v>186</v>
      </c>
      <c r="F1559">
        <v>6848.93</v>
      </c>
      <c r="G1559">
        <v>6859.72</v>
      </c>
      <c r="H1559">
        <v>6988.61</v>
      </c>
      <c r="I1559">
        <v>6959.48</v>
      </c>
      <c r="J1559">
        <v>6958.15</v>
      </c>
      <c r="K1559">
        <v>6850.91</v>
      </c>
      <c r="L1559">
        <v>6926.2</v>
      </c>
      <c r="M1559">
        <v>6968.39</v>
      </c>
      <c r="N1559">
        <v>6932.94</v>
      </c>
      <c r="O1559" s="59">
        <f>IF((N1560=""),"",MAX(F1561:N1561))</f>
        <v>3938.3000000000011</v>
      </c>
      <c r="P1559" s="59">
        <f>IF(N1560="","",MIN(F1561:N1561))</f>
        <v>3647.08</v>
      </c>
      <c r="Q1559" s="60">
        <f>IF((N1561=""),"",AVERAGE(F1561:N1561))</f>
        <v>3829.7733333333331</v>
      </c>
      <c r="R1559" s="60">
        <f>IF((N1560=""),"",(O1559-P1559)/(O1559+P1559)*100)</f>
        <v>3.8392275667138778</v>
      </c>
      <c r="S1559" s="131">
        <f>STDEV(F1561:N1561)</f>
        <v>104.54927642026013</v>
      </c>
      <c r="T1559" s="137" t="str">
        <f>IF(N1560="","",IF(Q1559&gt;3650,IF(R1559&lt;7,IF(Q1559&lt;4450,"Pass","Fail"),"Fail"),"Fail"))</f>
        <v>Pass</v>
      </c>
      <c r="U1559" s="149">
        <v>1340</v>
      </c>
      <c r="V1559" s="11" t="s">
        <v>411</v>
      </c>
      <c r="X1559" s="116">
        <v>3650</v>
      </c>
      <c r="Y1559" s="116">
        <v>4450</v>
      </c>
      <c r="Z1559" s="116">
        <v>3700</v>
      </c>
      <c r="AA1559" s="116">
        <v>4100</v>
      </c>
      <c r="AB1559" s="31">
        <v>7</v>
      </c>
      <c r="AC1559" s="31">
        <v>6.5</v>
      </c>
    </row>
    <row r="1560" spans="1:29" ht="15.6" x14ac:dyDescent="0.3">
      <c r="A1560" s="212"/>
      <c r="B1560" s="24"/>
      <c r="C1560" s="6"/>
      <c r="D1560" s="6"/>
      <c r="E1560" s="61" t="s">
        <v>187</v>
      </c>
      <c r="F1560">
        <v>5003.6099999999997</v>
      </c>
      <c r="G1560">
        <v>4917.6000000000004</v>
      </c>
      <c r="H1560">
        <v>5026.29</v>
      </c>
      <c r="I1560">
        <v>5009.05</v>
      </c>
      <c r="J1560">
        <v>5069.17</v>
      </c>
      <c r="K1560">
        <v>5027.37</v>
      </c>
      <c r="L1560">
        <v>4983.45</v>
      </c>
      <c r="M1560">
        <v>4999.24</v>
      </c>
      <c r="N1560">
        <v>5023.57</v>
      </c>
      <c r="O1560" s="61"/>
      <c r="P1560" s="61"/>
      <c r="Q1560" s="62"/>
      <c r="R1560" s="62"/>
      <c r="S1560" s="139"/>
      <c r="T1560" s="8"/>
      <c r="U1560" s="146"/>
      <c r="X1560" s="118"/>
      <c r="Y1560" s="118"/>
      <c r="Z1560" s="118"/>
      <c r="AA1560" s="118"/>
    </row>
    <row r="1561" spans="1:29" ht="23.4" thickBot="1" x14ac:dyDescent="0.35">
      <c r="A1561" s="212"/>
      <c r="B1561" s="24"/>
      <c r="C1561" s="6"/>
      <c r="D1561" s="6"/>
      <c r="E1561" s="61" t="s">
        <v>188</v>
      </c>
      <c r="F1561" s="40">
        <f t="shared" ref="F1561:N1561" si="515">IF(((F1559="")*AND(F1560="")),"",(F1559-F1560)*2)</f>
        <v>3690.6400000000012</v>
      </c>
      <c r="G1561" s="40">
        <f t="shared" si="515"/>
        <v>3884.24</v>
      </c>
      <c r="H1561" s="40">
        <f t="shared" si="515"/>
        <v>3924.6399999999994</v>
      </c>
      <c r="I1561" s="40">
        <f t="shared" si="515"/>
        <v>3900.8599999999988</v>
      </c>
      <c r="J1561" s="40">
        <f t="shared" si="515"/>
        <v>3777.9599999999991</v>
      </c>
      <c r="K1561" s="40">
        <f t="shared" si="515"/>
        <v>3647.08</v>
      </c>
      <c r="L1561" s="40">
        <f t="shared" si="515"/>
        <v>3885.5</v>
      </c>
      <c r="M1561" s="40">
        <f t="shared" si="515"/>
        <v>3938.3000000000011</v>
      </c>
      <c r="N1561" s="40">
        <f t="shared" si="515"/>
        <v>3818.74</v>
      </c>
      <c r="O1561" s="61"/>
      <c r="P1561" s="61"/>
      <c r="Q1561" s="62"/>
      <c r="R1561" s="62"/>
      <c r="S1561" s="139"/>
      <c r="T1561" s="8"/>
      <c r="U1561" s="146"/>
      <c r="X1561" s="118"/>
      <c r="Y1561" s="118"/>
      <c r="Z1561" s="118"/>
      <c r="AA1561" s="118"/>
    </row>
    <row r="1562" spans="1:29" ht="15.6" x14ac:dyDescent="0.3">
      <c r="A1562" s="278">
        <v>43780</v>
      </c>
      <c r="B1562" s="215" t="s">
        <v>169</v>
      </c>
      <c r="C1562" s="6" t="s">
        <v>171</v>
      </c>
      <c r="D1562" s="6" t="s">
        <v>189</v>
      </c>
      <c r="E1562" s="61" t="s">
        <v>186</v>
      </c>
      <c r="F1562">
        <v>1951.4</v>
      </c>
      <c r="G1562">
        <v>1945.64</v>
      </c>
      <c r="H1562">
        <v>1933.37</v>
      </c>
      <c r="I1562">
        <v>1941.93</v>
      </c>
      <c r="J1562">
        <v>1949.58</v>
      </c>
      <c r="K1562">
        <v>1952.34</v>
      </c>
      <c r="L1562">
        <v>1943.14</v>
      </c>
      <c r="M1562">
        <v>1943.8</v>
      </c>
      <c r="N1562">
        <v>1952.71</v>
      </c>
      <c r="O1562" s="61">
        <f>IF((N1563=""),"",MAX(F1564:N1564))</f>
        <v>2046.9600000000005</v>
      </c>
      <c r="P1562" s="61">
        <f>IF(N1563="","",MIN(F1564:N1564))</f>
        <v>1994.7599999999995</v>
      </c>
      <c r="Q1562" s="62">
        <f>IF((N1564=""),"",AVERAGE(F1564:N1564))</f>
        <v>2023.2033333333336</v>
      </c>
      <c r="R1562" s="62">
        <f>IF((N1563=""),"",(O1562-P1562)/(O1562+P1562)*100)</f>
        <v>1.2915293488910897</v>
      </c>
      <c r="S1562" s="139">
        <f>STDEV(F1564:N1564)</f>
        <v>17.780951183781049</v>
      </c>
      <c r="T1562" s="5" t="str">
        <f>IF(N1563="","",IF(Q1562&gt;1940,IF(R1562&lt;8.3,IF(Q1562&lt;2180,"Pass","Fail"),"Fail"),"Fail"))</f>
        <v>Pass</v>
      </c>
      <c r="U1562" s="149">
        <v>1340</v>
      </c>
      <c r="V1562" s="11" t="s">
        <v>411</v>
      </c>
      <c r="X1562" s="116">
        <v>2000</v>
      </c>
      <c r="Y1562" s="116">
        <v>3000</v>
      </c>
      <c r="Z1562" s="116">
        <v>1940</v>
      </c>
      <c r="AA1562" s="116">
        <v>2180</v>
      </c>
      <c r="AB1562" s="31">
        <v>5.2</v>
      </c>
      <c r="AC1562" s="31">
        <v>5.2</v>
      </c>
    </row>
    <row r="1563" spans="1:29" ht="15.6" x14ac:dyDescent="0.3">
      <c r="A1563" s="212"/>
      <c r="B1563" s="24"/>
      <c r="C1563" s="6"/>
      <c r="D1563" s="6"/>
      <c r="E1563" s="61" t="s">
        <v>187</v>
      </c>
      <c r="F1563">
        <v>1269.08</v>
      </c>
      <c r="G1563">
        <v>1267.68</v>
      </c>
      <c r="H1563">
        <v>1258.3</v>
      </c>
      <c r="I1563">
        <v>1269.1500000000001</v>
      </c>
      <c r="J1563">
        <v>1284.6600000000001</v>
      </c>
      <c r="K1563">
        <v>1282.03</v>
      </c>
      <c r="L1563">
        <v>1275.5899999999999</v>
      </c>
      <c r="M1563">
        <v>1264.32</v>
      </c>
      <c r="N1563">
        <v>1273.49</v>
      </c>
      <c r="O1563" s="61"/>
      <c r="P1563" s="61"/>
      <c r="Q1563" s="62"/>
      <c r="R1563" s="62"/>
      <c r="S1563" s="139"/>
      <c r="T1563" s="5"/>
      <c r="U1563" s="140"/>
      <c r="X1563" s="118"/>
      <c r="Y1563" s="118"/>
      <c r="Z1563" s="118"/>
      <c r="AA1563" s="118"/>
    </row>
    <row r="1564" spans="1:29" ht="16.2" thickBot="1" x14ac:dyDescent="0.35">
      <c r="A1564" s="212"/>
      <c r="B1564" s="24"/>
      <c r="C1564" s="6"/>
      <c r="D1564" s="6"/>
      <c r="E1564" s="61" t="s">
        <v>190</v>
      </c>
      <c r="F1564" s="40">
        <f t="shared" ref="F1564:N1564" si="516">IF(((F1562="")*AND(F1563="")),"",(F1562-F1563)*3)</f>
        <v>2046.9600000000005</v>
      </c>
      <c r="G1564" s="40">
        <f t="shared" si="516"/>
        <v>2033.88</v>
      </c>
      <c r="H1564" s="40">
        <f t="shared" si="516"/>
        <v>2025.2099999999998</v>
      </c>
      <c r="I1564" s="40">
        <f t="shared" si="516"/>
        <v>2018.34</v>
      </c>
      <c r="J1564" s="40">
        <f t="shared" si="516"/>
        <v>1994.7599999999995</v>
      </c>
      <c r="K1564" s="40">
        <f t="shared" si="516"/>
        <v>2010.9299999999998</v>
      </c>
      <c r="L1564" s="40">
        <f t="shared" si="516"/>
        <v>2002.6500000000005</v>
      </c>
      <c r="M1564" s="40">
        <f t="shared" si="516"/>
        <v>2038.44</v>
      </c>
      <c r="N1564" s="40">
        <f t="shared" si="516"/>
        <v>2037.66</v>
      </c>
      <c r="O1564" s="61"/>
      <c r="P1564" s="61"/>
      <c r="Q1564" s="62"/>
      <c r="R1564" s="62"/>
      <c r="S1564" s="139"/>
      <c r="T1564" s="5"/>
      <c r="U1564" s="140"/>
      <c r="X1564" s="118"/>
      <c r="Y1564" s="118"/>
      <c r="Z1564" s="118"/>
      <c r="AA1564" s="118"/>
    </row>
    <row r="1565" spans="1:29" ht="15.6" x14ac:dyDescent="0.3">
      <c r="A1565" s="278">
        <v>43780</v>
      </c>
      <c r="B1565" s="218" t="s">
        <v>185</v>
      </c>
      <c r="C1565" s="6" t="s">
        <v>173</v>
      </c>
      <c r="D1565" s="6" t="s">
        <v>172</v>
      </c>
      <c r="E1565" s="61" t="s">
        <v>186</v>
      </c>
      <c r="F1565">
        <v>29128.99</v>
      </c>
      <c r="G1565">
        <v>29049.32</v>
      </c>
      <c r="H1565">
        <v>29037.94</v>
      </c>
      <c r="I1565">
        <v>29008.23</v>
      </c>
      <c r="J1565">
        <v>29123.14</v>
      </c>
      <c r="K1565">
        <v>29164.35</v>
      </c>
      <c r="L1565">
        <v>29037.01</v>
      </c>
      <c r="M1565">
        <v>29006.47</v>
      </c>
      <c r="N1565">
        <v>29120.73</v>
      </c>
      <c r="O1565" s="61">
        <f>IF((N1566=""),"",MAX(F1567:N1567))</f>
        <v>4683.2700000000004</v>
      </c>
      <c r="P1565" s="61">
        <f>IF(N1566="","",MIN(F1567:N1567))</f>
        <v>4010.9399999999987</v>
      </c>
      <c r="Q1565" s="62">
        <f>IF((N1567=""),"",AVERAGE(F1567:N1567))</f>
        <v>4322.5666666666648</v>
      </c>
      <c r="R1565" s="62">
        <f>IF((N1566=""),"",(O1565-P1565)/(O1565+P1565)*100)</f>
        <v>7.7330775309085222</v>
      </c>
      <c r="S1565" s="139">
        <f>STDEV(F1567:N1567)</f>
        <v>278.13316513857103</v>
      </c>
      <c r="T1565" s="5" t="str">
        <f>IF(N1566="","",IF(R1565&lt;16,IF(Q1565&gt;3200,IF(R1565,IF(Q1565&lt;5240,"Pass","Fail"),"Fail"),"Fail")))</f>
        <v>Pass</v>
      </c>
      <c r="U1565" s="149">
        <v>1340</v>
      </c>
      <c r="V1565" s="11" t="s">
        <v>411</v>
      </c>
      <c r="X1565" s="116">
        <v>4200</v>
      </c>
      <c r="Y1565" s="116">
        <v>5500</v>
      </c>
      <c r="Z1565" s="116">
        <v>3200</v>
      </c>
      <c r="AA1565" s="116">
        <v>5240</v>
      </c>
      <c r="AB1565" s="31">
        <v>16</v>
      </c>
      <c r="AC1565" s="31">
        <v>16</v>
      </c>
    </row>
    <row r="1566" spans="1:29" ht="15.6" x14ac:dyDescent="0.3">
      <c r="A1566" s="212"/>
      <c r="B1566" s="24"/>
      <c r="C1566" s="6"/>
      <c r="D1566" s="6"/>
      <c r="E1566" s="61" t="s">
        <v>187</v>
      </c>
      <c r="F1566">
        <v>27612.04</v>
      </c>
      <c r="G1566">
        <v>27670.55</v>
      </c>
      <c r="H1566">
        <v>27700.959999999999</v>
      </c>
      <c r="I1566">
        <v>27643.45</v>
      </c>
      <c r="J1566">
        <v>27562.05</v>
      </c>
      <c r="K1566">
        <v>27626.47</v>
      </c>
      <c r="L1566">
        <v>27656.93</v>
      </c>
      <c r="M1566">
        <v>27647.29</v>
      </c>
      <c r="N1566">
        <v>27588.74</v>
      </c>
      <c r="O1566" s="127"/>
      <c r="P1566" s="61"/>
      <c r="Q1566" s="62"/>
      <c r="R1566" s="62"/>
      <c r="S1566" s="139"/>
      <c r="T1566" s="5"/>
      <c r="U1566" s="140"/>
    </row>
    <row r="1567" spans="1:29" ht="23.4" thickBot="1" x14ac:dyDescent="0.35">
      <c r="A1567" s="212"/>
      <c r="B1567" s="63"/>
      <c r="C1567" s="64"/>
      <c r="D1567" s="64"/>
      <c r="E1567" s="61" t="s">
        <v>188</v>
      </c>
      <c r="F1567" s="53">
        <f t="shared" ref="F1567:N1567" si="517">IF(((F1565="")*AND(F1566="")),"",(F1565-F1566)*3)</f>
        <v>4550.8500000000022</v>
      </c>
      <c r="G1567" s="53">
        <f t="shared" si="517"/>
        <v>4136.3100000000013</v>
      </c>
      <c r="H1567" s="53">
        <f t="shared" si="517"/>
        <v>4010.9399999999987</v>
      </c>
      <c r="I1567" s="53">
        <f t="shared" si="517"/>
        <v>4094.3399999999965</v>
      </c>
      <c r="J1567" s="53">
        <f t="shared" si="517"/>
        <v>4683.2700000000004</v>
      </c>
      <c r="K1567" s="53">
        <f t="shared" si="517"/>
        <v>4613.6399999999921</v>
      </c>
      <c r="L1567" s="53">
        <f t="shared" si="517"/>
        <v>4140.2399999999943</v>
      </c>
      <c r="M1567" s="53">
        <f t="shared" si="517"/>
        <v>4077.5400000000009</v>
      </c>
      <c r="N1567" s="53">
        <f t="shared" si="517"/>
        <v>4595.9699999999939</v>
      </c>
      <c r="O1567" s="65"/>
      <c r="P1567" s="65"/>
      <c r="Q1567" s="66"/>
      <c r="R1567" s="66"/>
      <c r="S1567" s="142"/>
      <c r="T1567" s="143"/>
      <c r="U1567" s="144"/>
    </row>
    <row r="1568" spans="1:29" ht="15.6" x14ac:dyDescent="0.3">
      <c r="A1568" s="278">
        <v>43783</v>
      </c>
      <c r="B1568" s="217" t="s">
        <v>174</v>
      </c>
      <c r="C1568" s="44" t="s">
        <v>176</v>
      </c>
      <c r="D1568" s="44" t="s">
        <v>175</v>
      </c>
      <c r="E1568" s="61" t="s">
        <v>186</v>
      </c>
      <c r="F1568">
        <v>5003.6099999999997</v>
      </c>
      <c r="G1568">
        <v>4917.6000000000004</v>
      </c>
      <c r="H1568">
        <v>5026.29</v>
      </c>
      <c r="I1568">
        <v>5009.05</v>
      </c>
      <c r="J1568">
        <v>5069.17</v>
      </c>
      <c r="K1568">
        <v>5027.37</v>
      </c>
      <c r="L1568">
        <v>4983.45</v>
      </c>
      <c r="M1568">
        <v>4999.24</v>
      </c>
      <c r="N1568">
        <v>5023.57</v>
      </c>
      <c r="O1568" s="59">
        <f>IF((N1569=""),"",MAX(F1570:N1570))</f>
        <v>3928.8599999999997</v>
      </c>
      <c r="P1568" s="59">
        <f>IF(N1569="","",MIN(F1570:N1570))</f>
        <v>3642.42</v>
      </c>
      <c r="Q1568" s="60">
        <f>IF((N1570=""),"",AVERAGE(F1570:N1570))</f>
        <v>3818.3600000000006</v>
      </c>
      <c r="R1568" s="60">
        <f>IF((N1569=""),"",(O1568-P1568)/(O1568+P1568)*100)</f>
        <v>3.783244048562457</v>
      </c>
      <c r="S1568" s="131">
        <f>STDEV(F1570:N1570)</f>
        <v>102.74619603664188</v>
      </c>
      <c r="T1568" s="137" t="str">
        <f>IF(N1569="","",IF(Q1568&gt;3650,IF(R1568&lt;7,IF(Q1568&lt;4450,"Pass","Fail"),"Fail"),"Fail"))</f>
        <v>Pass</v>
      </c>
      <c r="U1568" s="149" t="s">
        <v>217</v>
      </c>
      <c r="V1568" s="10" t="s">
        <v>414</v>
      </c>
      <c r="X1568" s="116">
        <v>3650</v>
      </c>
      <c r="Y1568" s="116">
        <v>4450</v>
      </c>
      <c r="Z1568" s="116">
        <v>3700</v>
      </c>
      <c r="AA1568" s="116">
        <v>4100</v>
      </c>
      <c r="AB1568" s="31">
        <v>7</v>
      </c>
      <c r="AC1568" s="31">
        <v>6.5</v>
      </c>
    </row>
    <row r="1569" spans="1:29" ht="15.6" x14ac:dyDescent="0.3">
      <c r="A1569" s="212"/>
      <c r="B1569" s="24"/>
      <c r="C1569" s="6"/>
      <c r="D1569" s="6"/>
      <c r="E1569" s="61" t="s">
        <v>187</v>
      </c>
      <c r="F1569">
        <v>3170.26</v>
      </c>
      <c r="G1569">
        <v>2978.1</v>
      </c>
      <c r="H1569">
        <v>3076.62</v>
      </c>
      <c r="I1569">
        <v>3066.31</v>
      </c>
      <c r="J1569">
        <v>3179.97</v>
      </c>
      <c r="K1569">
        <v>3206.16</v>
      </c>
      <c r="L1569">
        <v>3052.29</v>
      </c>
      <c r="M1569">
        <v>3034.81</v>
      </c>
      <c r="N1569">
        <v>3112.21</v>
      </c>
      <c r="O1569" s="61"/>
      <c r="P1569" s="61"/>
      <c r="Q1569" s="62"/>
      <c r="R1569" s="62"/>
      <c r="S1569" s="139"/>
      <c r="T1569" s="8"/>
      <c r="U1569" s="146"/>
      <c r="X1569" s="118"/>
      <c r="Y1569" s="118"/>
      <c r="Z1569" s="118"/>
      <c r="AA1569" s="118"/>
    </row>
    <row r="1570" spans="1:29" ht="23.4" thickBot="1" x14ac:dyDescent="0.35">
      <c r="A1570" s="212"/>
      <c r="B1570" s="24"/>
      <c r="C1570" s="6"/>
      <c r="D1570" s="6"/>
      <c r="E1570" s="61" t="s">
        <v>188</v>
      </c>
      <c r="F1570" s="40">
        <f t="shared" ref="F1570:N1570" si="518">IF(((F1568="")*AND(F1569="")),"",(F1568-F1569)*2)</f>
        <v>3666.6999999999989</v>
      </c>
      <c r="G1570" s="40">
        <f t="shared" si="518"/>
        <v>3879.0000000000009</v>
      </c>
      <c r="H1570" s="40">
        <f t="shared" si="518"/>
        <v>3899.34</v>
      </c>
      <c r="I1570" s="40">
        <f t="shared" si="518"/>
        <v>3885.4800000000005</v>
      </c>
      <c r="J1570" s="40">
        <f t="shared" si="518"/>
        <v>3778.4000000000005</v>
      </c>
      <c r="K1570" s="40">
        <f t="shared" si="518"/>
        <v>3642.42</v>
      </c>
      <c r="L1570" s="40">
        <f t="shared" si="518"/>
        <v>3862.3199999999997</v>
      </c>
      <c r="M1570" s="40">
        <f t="shared" si="518"/>
        <v>3928.8599999999997</v>
      </c>
      <c r="N1570" s="40">
        <f t="shared" si="518"/>
        <v>3822.7199999999993</v>
      </c>
      <c r="O1570" s="61"/>
      <c r="P1570" s="61"/>
      <c r="Q1570" s="62"/>
      <c r="R1570" s="62"/>
      <c r="S1570" s="139"/>
      <c r="T1570" s="8"/>
      <c r="U1570" s="146"/>
      <c r="X1570" s="118"/>
      <c r="Y1570" s="118"/>
      <c r="Z1570" s="118"/>
      <c r="AA1570" s="118"/>
    </row>
    <row r="1571" spans="1:29" ht="15.6" x14ac:dyDescent="0.3">
      <c r="A1571" s="278">
        <v>43783</v>
      </c>
      <c r="B1571" s="215" t="s">
        <v>169</v>
      </c>
      <c r="C1571" s="6" t="s">
        <v>171</v>
      </c>
      <c r="D1571" s="6" t="s">
        <v>189</v>
      </c>
      <c r="E1571" s="61" t="s">
        <v>186</v>
      </c>
      <c r="F1571">
        <v>1964.41</v>
      </c>
      <c r="G1571">
        <v>1960.06</v>
      </c>
      <c r="H1571">
        <v>1956.47</v>
      </c>
      <c r="I1571">
        <v>1961.35</v>
      </c>
      <c r="J1571">
        <v>1962.4</v>
      </c>
      <c r="K1571">
        <v>1967.34</v>
      </c>
      <c r="L1571">
        <v>1958.5</v>
      </c>
      <c r="M1571">
        <v>1960.96</v>
      </c>
      <c r="N1571">
        <v>1960.19</v>
      </c>
      <c r="O1571" s="61">
        <f>IF((N1572=""),"",MAX(F1573:N1573))</f>
        <v>2077.8300000000004</v>
      </c>
      <c r="P1571" s="61">
        <f>IF(N1572="","",MIN(F1573:N1573))</f>
        <v>2016.4800000000002</v>
      </c>
      <c r="Q1571" s="62">
        <f>IF((N1573=""),"",AVERAGE(F1573:N1573))</f>
        <v>2040.6566666666668</v>
      </c>
      <c r="R1571" s="62">
        <f>IF((N1572=""),"",(O1571-P1571)/(O1571+P1571)*100)</f>
        <v>1.4984209793591627</v>
      </c>
      <c r="S1571" s="139">
        <f>STDEV(F1573:N1573)</f>
        <v>18.76952250324987</v>
      </c>
      <c r="T1571" s="5" t="str">
        <f>IF(N1572="","",IF(Q1571&gt;1940,IF(R1571&lt;8.3,IF(Q1571&lt;2180,"Pass","Fail"),"Fail"),"Fail"))</f>
        <v>Pass</v>
      </c>
      <c r="U1571" s="149" t="s">
        <v>217</v>
      </c>
      <c r="V1571" s="10" t="s">
        <v>414</v>
      </c>
      <c r="X1571" s="116">
        <v>2000</v>
      </c>
      <c r="Y1571" s="116">
        <v>3000</v>
      </c>
      <c r="Z1571" s="116">
        <v>1940</v>
      </c>
      <c r="AA1571" s="116">
        <v>2180</v>
      </c>
      <c r="AB1571" s="31">
        <v>5.2</v>
      </c>
      <c r="AC1571" s="31">
        <v>5.2</v>
      </c>
    </row>
    <row r="1572" spans="1:29" ht="15.6" x14ac:dyDescent="0.3">
      <c r="A1572" s="212"/>
      <c r="B1572" s="24"/>
      <c r="C1572" s="6"/>
      <c r="D1572" s="6"/>
      <c r="E1572" s="61" t="s">
        <v>187</v>
      </c>
      <c r="F1572">
        <v>1271.8</v>
      </c>
      <c r="G1572">
        <v>1277.75</v>
      </c>
      <c r="H1572">
        <v>1280.22</v>
      </c>
      <c r="I1572">
        <v>1283.9000000000001</v>
      </c>
      <c r="J1572">
        <v>1290.24</v>
      </c>
      <c r="K1572">
        <v>1285.3499999999999</v>
      </c>
      <c r="L1572">
        <v>1284.19</v>
      </c>
      <c r="M1572">
        <v>1275.44</v>
      </c>
      <c r="N1572">
        <v>1280.82</v>
      </c>
      <c r="O1572" s="61"/>
      <c r="P1572" s="61"/>
      <c r="Q1572" s="62"/>
      <c r="R1572" s="62"/>
      <c r="S1572" s="139"/>
      <c r="T1572" s="5"/>
      <c r="U1572" s="140"/>
      <c r="X1572" s="118"/>
      <c r="Y1572" s="118"/>
      <c r="Z1572" s="118"/>
      <c r="AA1572" s="118"/>
    </row>
    <row r="1573" spans="1:29" ht="16.2" thickBot="1" x14ac:dyDescent="0.35">
      <c r="A1573" s="212"/>
      <c r="B1573" s="24"/>
      <c r="C1573" s="6"/>
      <c r="D1573" s="6"/>
      <c r="E1573" s="61" t="s">
        <v>190</v>
      </c>
      <c r="F1573" s="40">
        <f t="shared" ref="F1573:N1573" si="519">IF(((F1571="")*AND(F1572="")),"",(F1571-F1572)*3)</f>
        <v>2077.8300000000004</v>
      </c>
      <c r="G1573" s="40">
        <f t="shared" si="519"/>
        <v>2046.9299999999998</v>
      </c>
      <c r="H1573" s="40">
        <f t="shared" si="519"/>
        <v>2028.75</v>
      </c>
      <c r="I1573" s="40">
        <f t="shared" si="519"/>
        <v>2032.3499999999995</v>
      </c>
      <c r="J1573" s="40">
        <f t="shared" si="519"/>
        <v>2016.4800000000002</v>
      </c>
      <c r="K1573" s="40">
        <f t="shared" si="519"/>
        <v>2045.97</v>
      </c>
      <c r="L1573" s="40">
        <f t="shared" si="519"/>
        <v>2022.9299999999998</v>
      </c>
      <c r="M1573" s="40">
        <f t="shared" si="519"/>
        <v>2056.56</v>
      </c>
      <c r="N1573" s="40">
        <f t="shared" si="519"/>
        <v>2038.1100000000004</v>
      </c>
      <c r="O1573" s="61"/>
      <c r="P1573" s="61"/>
      <c r="Q1573" s="62"/>
      <c r="R1573" s="62"/>
      <c r="S1573" s="139"/>
      <c r="T1573" s="5"/>
      <c r="U1573" s="140"/>
      <c r="X1573" s="118"/>
      <c r="Y1573" s="118"/>
      <c r="Z1573" s="118"/>
      <c r="AA1573" s="118"/>
    </row>
    <row r="1574" spans="1:29" ht="15.6" x14ac:dyDescent="0.3">
      <c r="A1574" s="278">
        <v>43783</v>
      </c>
      <c r="B1574" s="218" t="s">
        <v>185</v>
      </c>
      <c r="C1574" s="6" t="s">
        <v>173</v>
      </c>
      <c r="D1574" s="6" t="s">
        <v>172</v>
      </c>
      <c r="E1574" s="61" t="s">
        <v>186</v>
      </c>
      <c r="F1574">
        <v>28947.53</v>
      </c>
      <c r="G1574">
        <v>28879.22</v>
      </c>
      <c r="H1574">
        <v>28867.27</v>
      </c>
      <c r="I1574">
        <v>28846.93</v>
      </c>
      <c r="J1574">
        <v>28955.54</v>
      </c>
      <c r="K1574">
        <v>29028.83</v>
      </c>
      <c r="L1574">
        <v>28900.99</v>
      </c>
      <c r="M1574">
        <v>28839.22</v>
      </c>
      <c r="N1574">
        <v>29004.07</v>
      </c>
      <c r="O1574" s="61">
        <f>IF((N1575=""),"",MAX(F1576:N1576))</f>
        <v>4557.5699999999961</v>
      </c>
      <c r="P1574" s="61">
        <f>IF(N1575="","",MIN(F1576:N1576))</f>
        <v>3967.6800000000039</v>
      </c>
      <c r="Q1574" s="62">
        <f>IF((N1576=""),"",AVERAGE(F1576:N1576))</f>
        <v>4208.9366666666692</v>
      </c>
      <c r="R1574" s="62">
        <f>IF((N1575=""),"",(O1574-P1574)/(O1574+P1574)*100)</f>
        <v>6.9193278789477395</v>
      </c>
      <c r="S1574" s="139">
        <f>STDEV(F1576:N1576)</f>
        <v>231.43375337231745</v>
      </c>
      <c r="T1574" s="5" t="str">
        <f>IF(N1575="","",IF(R1574&lt;16,IF(Q1574&gt;3200,IF(R1574,IF(Q1574&lt;5240,"Pass","Fail"),"Fail"),"Fail")))</f>
        <v>Pass</v>
      </c>
      <c r="U1574" s="149" t="s">
        <v>217</v>
      </c>
      <c r="V1574" s="10" t="s">
        <v>414</v>
      </c>
      <c r="X1574" s="116">
        <v>4200</v>
      </c>
      <c r="Y1574" s="116">
        <v>5500</v>
      </c>
      <c r="Z1574" s="116">
        <v>3200</v>
      </c>
      <c r="AA1574" s="116">
        <v>5240</v>
      </c>
      <c r="AB1574" s="31">
        <v>16</v>
      </c>
      <c r="AC1574" s="31">
        <v>16</v>
      </c>
    </row>
    <row r="1575" spans="1:29" ht="15.6" x14ac:dyDescent="0.3">
      <c r="A1575" s="212"/>
      <c r="B1575" s="24"/>
      <c r="C1575" s="6"/>
      <c r="D1575" s="6"/>
      <c r="E1575" s="61" t="s">
        <v>187</v>
      </c>
      <c r="F1575">
        <v>27510.2</v>
      </c>
      <c r="G1575">
        <v>27528.69</v>
      </c>
      <c r="H1575">
        <v>27522.69</v>
      </c>
      <c r="I1575">
        <v>27524.37</v>
      </c>
      <c r="J1575">
        <v>27492.89</v>
      </c>
      <c r="K1575">
        <v>27526.95</v>
      </c>
      <c r="L1575">
        <v>27554.91</v>
      </c>
      <c r="M1575">
        <v>27497.21</v>
      </c>
      <c r="N1575">
        <v>27484.880000000001</v>
      </c>
      <c r="O1575" s="127"/>
      <c r="P1575" s="61"/>
      <c r="Q1575" s="62"/>
      <c r="R1575" s="62"/>
      <c r="S1575" s="139"/>
      <c r="T1575" s="5"/>
      <c r="U1575" s="140"/>
    </row>
    <row r="1576" spans="1:29" ht="23.4" thickBot="1" x14ac:dyDescent="0.35">
      <c r="A1576" s="212"/>
      <c r="B1576" s="63"/>
      <c r="C1576" s="64"/>
      <c r="D1576" s="64"/>
      <c r="E1576" s="61" t="s">
        <v>188</v>
      </c>
      <c r="F1576" s="53">
        <f t="shared" ref="F1576:N1576" si="520">IF(((F1574="")*AND(F1575="")),"",(F1574-F1575)*3)</f>
        <v>4311.9899999999943</v>
      </c>
      <c r="G1576" s="53">
        <f t="shared" si="520"/>
        <v>4051.5900000000074</v>
      </c>
      <c r="H1576" s="53">
        <f t="shared" si="520"/>
        <v>4033.7400000000052</v>
      </c>
      <c r="I1576" s="53">
        <f t="shared" si="520"/>
        <v>3967.6800000000039</v>
      </c>
      <c r="J1576" s="53">
        <f t="shared" si="520"/>
        <v>4387.9500000000044</v>
      </c>
      <c r="K1576" s="53">
        <f t="shared" si="520"/>
        <v>4505.6400000000031</v>
      </c>
      <c r="L1576" s="53">
        <f t="shared" si="520"/>
        <v>4038.2400000000052</v>
      </c>
      <c r="M1576" s="53">
        <f t="shared" si="520"/>
        <v>4026.0300000000061</v>
      </c>
      <c r="N1576" s="53">
        <f t="shared" si="520"/>
        <v>4557.5699999999961</v>
      </c>
      <c r="O1576" s="65"/>
      <c r="P1576" s="65"/>
      <c r="Q1576" s="66"/>
      <c r="R1576" s="66"/>
      <c r="S1576" s="142"/>
      <c r="T1576" s="143"/>
      <c r="U1576" s="144"/>
    </row>
    <row r="1577" spans="1:29" ht="15.6" x14ac:dyDescent="0.3">
      <c r="A1577" s="278">
        <v>43787</v>
      </c>
      <c r="B1577" s="217" t="s">
        <v>174</v>
      </c>
      <c r="C1577" s="44" t="s">
        <v>176</v>
      </c>
      <c r="D1577" s="44" t="s">
        <v>175</v>
      </c>
      <c r="E1577" s="61" t="s">
        <v>186</v>
      </c>
      <c r="F1577">
        <v>3181.6</v>
      </c>
      <c r="G1577">
        <v>2990.27</v>
      </c>
      <c r="H1577">
        <v>3089.84</v>
      </c>
      <c r="I1577">
        <v>3079.44</v>
      </c>
      <c r="J1577">
        <v>3191.12</v>
      </c>
      <c r="K1577">
        <v>3215.43</v>
      </c>
      <c r="L1577">
        <v>3064.91</v>
      </c>
      <c r="M1577">
        <v>3047.93</v>
      </c>
      <c r="N1577">
        <v>3123.81</v>
      </c>
      <c r="O1577" s="59">
        <f>IF((N1578=""),"",MAX(F1579:N1579))</f>
        <v>3977.66</v>
      </c>
      <c r="P1577" s="59">
        <f>IF(N1578="","",MIN(F1579:N1579))</f>
        <v>3662.0799999999995</v>
      </c>
      <c r="Q1577" s="60">
        <f>IF((N1579=""),"",AVERAGE(F1579:N1579))</f>
        <v>3859.1622222222213</v>
      </c>
      <c r="R1577" s="60">
        <f>IF((N1578=""),"",(O1577-P1577)/(O1577+P1577)*100)</f>
        <v>4.1307688481545233</v>
      </c>
      <c r="S1577" s="131">
        <f>STDEV(F1579:N1579)</f>
        <v>113.76865053451451</v>
      </c>
      <c r="T1577" s="137" t="str">
        <f>IF(N1578="","",IF(Q1577&gt;3650,IF(R1577&lt;7,IF(Q1577&lt;4450,"Pass","Fail"),"Fail"),"Fail"))</f>
        <v>Pass</v>
      </c>
      <c r="U1577" s="149">
        <v>1159</v>
      </c>
      <c r="V1577" s="10" t="s">
        <v>416</v>
      </c>
      <c r="X1577" s="116">
        <v>3650</v>
      </c>
      <c r="Y1577" s="116">
        <v>4450</v>
      </c>
      <c r="Z1577" s="116">
        <v>3700</v>
      </c>
      <c r="AA1577" s="116">
        <v>4100</v>
      </c>
      <c r="AB1577" s="31">
        <v>7</v>
      </c>
      <c r="AC1577" s="31">
        <v>6.5</v>
      </c>
    </row>
    <row r="1578" spans="1:29" ht="15.6" x14ac:dyDescent="0.3">
      <c r="A1578" s="212"/>
      <c r="B1578" s="24"/>
      <c r="C1578" s="6"/>
      <c r="D1578" s="6"/>
      <c r="E1578" s="61" t="s">
        <v>187</v>
      </c>
      <c r="F1578">
        <v>1335.91</v>
      </c>
      <c r="G1578">
        <v>1033.6600000000001</v>
      </c>
      <c r="H1578">
        <v>1114.26</v>
      </c>
      <c r="I1578">
        <v>1112</v>
      </c>
      <c r="J1578">
        <v>1285.8900000000001</v>
      </c>
      <c r="K1578">
        <v>1384.39</v>
      </c>
      <c r="L1578">
        <v>1110.53</v>
      </c>
      <c r="M1578">
        <v>1059.0999999999999</v>
      </c>
      <c r="N1578">
        <v>1182.3800000000001</v>
      </c>
      <c r="O1578" s="61"/>
      <c r="P1578" s="61"/>
      <c r="Q1578" s="62"/>
      <c r="R1578" s="62"/>
      <c r="S1578" s="139"/>
      <c r="T1578" s="8"/>
      <c r="U1578" s="146"/>
      <c r="X1578" s="118"/>
      <c r="Y1578" s="118"/>
      <c r="Z1578" s="118"/>
      <c r="AA1578" s="118"/>
    </row>
    <row r="1579" spans="1:29" ht="23.4" thickBot="1" x14ac:dyDescent="0.35">
      <c r="A1579" s="212"/>
      <c r="B1579" s="24"/>
      <c r="C1579" s="6"/>
      <c r="D1579" s="6"/>
      <c r="E1579" s="61" t="s">
        <v>188</v>
      </c>
      <c r="F1579" s="40">
        <f t="shared" ref="F1579:N1579" si="521">IF(((F1577="")*AND(F1578="")),"",(F1577-F1578)*2)</f>
        <v>3691.3799999999997</v>
      </c>
      <c r="G1579" s="40">
        <f t="shared" si="521"/>
        <v>3913.22</v>
      </c>
      <c r="H1579" s="40">
        <f t="shared" si="521"/>
        <v>3951.1600000000003</v>
      </c>
      <c r="I1579" s="40">
        <f t="shared" si="521"/>
        <v>3934.88</v>
      </c>
      <c r="J1579" s="40">
        <f t="shared" si="521"/>
        <v>3810.4599999999996</v>
      </c>
      <c r="K1579" s="40">
        <f t="shared" si="521"/>
        <v>3662.0799999999995</v>
      </c>
      <c r="L1579" s="40">
        <f t="shared" si="521"/>
        <v>3908.7599999999998</v>
      </c>
      <c r="M1579" s="40">
        <f t="shared" si="521"/>
        <v>3977.66</v>
      </c>
      <c r="N1579" s="40">
        <f t="shared" si="521"/>
        <v>3882.8599999999997</v>
      </c>
      <c r="O1579" s="61"/>
      <c r="P1579" s="61"/>
      <c r="Q1579" s="62"/>
      <c r="R1579" s="62"/>
      <c r="S1579" s="139"/>
      <c r="T1579" s="8"/>
      <c r="U1579" s="146"/>
      <c r="X1579" s="118"/>
      <c r="Y1579" s="118"/>
      <c r="Z1579" s="118"/>
      <c r="AA1579" s="118"/>
    </row>
    <row r="1580" spans="1:29" ht="15.6" x14ac:dyDescent="0.3">
      <c r="A1580" s="278">
        <v>43787</v>
      </c>
      <c r="B1580" s="215" t="s">
        <v>169</v>
      </c>
      <c r="C1580" s="6" t="s">
        <v>171</v>
      </c>
      <c r="D1580" s="6" t="s">
        <v>189</v>
      </c>
      <c r="E1580" s="61" t="s">
        <v>186</v>
      </c>
      <c r="F1580">
        <v>1272.8599999999999</v>
      </c>
      <c r="G1580">
        <v>1281.1600000000001</v>
      </c>
      <c r="H1580">
        <v>1279.44</v>
      </c>
      <c r="I1580">
        <v>1284.71</v>
      </c>
      <c r="J1580">
        <v>1292.54</v>
      </c>
      <c r="K1580">
        <v>1288.92</v>
      </c>
      <c r="L1580">
        <v>1287.93</v>
      </c>
      <c r="M1580">
        <v>1277.32</v>
      </c>
      <c r="N1580">
        <v>1283.3800000000001</v>
      </c>
      <c r="O1580" s="61">
        <f>IF((N1581=""),"",MAX(F1582:N1582))</f>
        <v>2018.2800000000002</v>
      </c>
      <c r="P1580" s="61">
        <f>IF(N1581="","",MIN(F1582:N1582))</f>
        <v>1971.2699999999998</v>
      </c>
      <c r="Q1580" s="62">
        <f>IF((N1582=""),"",AVERAGE(F1582:N1582))</f>
        <v>1998.9399999999998</v>
      </c>
      <c r="R1580" s="62">
        <f>IF((N1581=""),"",(O1580-P1580)/(O1580+P1580)*100)</f>
        <v>1.1783283829003381</v>
      </c>
      <c r="S1580" s="139">
        <f>STDEV(F1582:N1582)</f>
        <v>15.030726030368593</v>
      </c>
      <c r="T1580" s="5" t="str">
        <f>IF(N1581="","",IF(Q1580&gt;1940,IF(R1580&lt;8.3,IF(Q1580&lt;2180,"Pass","Fail"),"Fail"),"Fail"))</f>
        <v>Pass</v>
      </c>
      <c r="U1580" s="149">
        <v>1159</v>
      </c>
      <c r="V1580" s="10" t="s">
        <v>416</v>
      </c>
      <c r="X1580" s="116">
        <v>2000</v>
      </c>
      <c r="Y1580" s="116">
        <v>3000</v>
      </c>
      <c r="Z1580" s="116">
        <v>1940</v>
      </c>
      <c r="AA1580" s="116">
        <v>2180</v>
      </c>
      <c r="AB1580" s="31">
        <v>5.2</v>
      </c>
      <c r="AC1580" s="31">
        <v>5.2</v>
      </c>
    </row>
    <row r="1581" spans="1:29" ht="15.6" x14ac:dyDescent="0.3">
      <c r="A1581" s="212"/>
      <c r="B1581" s="24"/>
      <c r="C1581" s="6"/>
      <c r="D1581" s="6"/>
      <c r="E1581" s="61" t="s">
        <v>187</v>
      </c>
      <c r="F1581">
        <v>600.20000000000005</v>
      </c>
      <c r="G1581">
        <v>608.4</v>
      </c>
      <c r="H1581">
        <v>613.12</v>
      </c>
      <c r="I1581">
        <v>621.39</v>
      </c>
      <c r="J1581">
        <v>635.45000000000005</v>
      </c>
      <c r="K1581">
        <v>622.48</v>
      </c>
      <c r="L1581">
        <v>623.87</v>
      </c>
      <c r="M1581">
        <v>607.17999999999995</v>
      </c>
      <c r="N1581">
        <v>619.35</v>
      </c>
      <c r="O1581" s="61"/>
      <c r="P1581" s="61"/>
      <c r="Q1581" s="62"/>
      <c r="R1581" s="62"/>
      <c r="S1581" s="139"/>
      <c r="T1581" s="5"/>
      <c r="U1581" s="140"/>
      <c r="X1581" s="118"/>
      <c r="Y1581" s="118"/>
      <c r="Z1581" s="118"/>
      <c r="AA1581" s="118"/>
    </row>
    <row r="1582" spans="1:29" ht="16.2" thickBot="1" x14ac:dyDescent="0.35">
      <c r="A1582" s="212"/>
      <c r="B1582" s="24"/>
      <c r="C1582" s="6"/>
      <c r="D1582" s="6"/>
      <c r="E1582" s="61" t="s">
        <v>190</v>
      </c>
      <c r="F1582" s="40">
        <f t="shared" ref="F1582:N1582" si="522">IF(((F1580="")*AND(F1581="")),"",(F1580-F1581)*3)</f>
        <v>2017.9799999999996</v>
      </c>
      <c r="G1582" s="40">
        <f t="shared" si="522"/>
        <v>2018.2800000000002</v>
      </c>
      <c r="H1582" s="40">
        <f t="shared" si="522"/>
        <v>1998.96</v>
      </c>
      <c r="I1582" s="40">
        <f t="shared" si="522"/>
        <v>1989.96</v>
      </c>
      <c r="J1582" s="40">
        <f t="shared" si="522"/>
        <v>1971.2699999999998</v>
      </c>
      <c r="K1582" s="40">
        <f t="shared" si="522"/>
        <v>1999.3200000000002</v>
      </c>
      <c r="L1582" s="40">
        <f t="shared" si="522"/>
        <v>1992.1800000000003</v>
      </c>
      <c r="M1582" s="40">
        <f t="shared" si="522"/>
        <v>2010.42</v>
      </c>
      <c r="N1582" s="40">
        <f t="shared" si="522"/>
        <v>1992.0900000000001</v>
      </c>
      <c r="O1582" s="61"/>
      <c r="P1582" s="61"/>
      <c r="Q1582" s="62"/>
      <c r="R1582" s="62"/>
      <c r="S1582" s="139"/>
      <c r="T1582" s="5"/>
      <c r="U1582" s="140"/>
      <c r="X1582" s="118"/>
      <c r="Y1582" s="118"/>
      <c r="Z1582" s="118"/>
      <c r="AA1582" s="118"/>
    </row>
    <row r="1583" spans="1:29" ht="15.6" x14ac:dyDescent="0.3">
      <c r="A1583" s="278">
        <v>43787</v>
      </c>
      <c r="B1583" s="218" t="s">
        <v>185</v>
      </c>
      <c r="C1583" s="6" t="s">
        <v>173</v>
      </c>
      <c r="D1583" s="6" t="s">
        <v>172</v>
      </c>
      <c r="E1583" s="61" t="s">
        <v>186</v>
      </c>
      <c r="F1583">
        <v>27452.47</v>
      </c>
      <c r="G1583">
        <v>27493.45</v>
      </c>
      <c r="H1583">
        <v>27506.73</v>
      </c>
      <c r="I1583">
        <v>27513.52</v>
      </c>
      <c r="J1583">
        <v>27449.46</v>
      </c>
      <c r="K1583">
        <v>27534.79</v>
      </c>
      <c r="L1583">
        <v>27520.14</v>
      </c>
      <c r="M1583">
        <v>27501.06</v>
      </c>
      <c r="N1583">
        <v>27453.25</v>
      </c>
      <c r="O1583" s="61">
        <f>IF((N1584=""),"",MAX(F1585:N1585))</f>
        <v>4692.8100000000013</v>
      </c>
      <c r="P1583" s="61">
        <f>IF(N1584="","",MIN(F1585:N1585))</f>
        <v>4018.4100000000035</v>
      </c>
      <c r="Q1583" s="62">
        <f>IF((N1585=""),"",AVERAGE(F1585:N1585))</f>
        <v>4353.760000000002</v>
      </c>
      <c r="R1583" s="62">
        <f>IF((N1584=""),"",(O1583-P1583)/(O1583+P1583)*100)</f>
        <v>7.7417399629443118</v>
      </c>
      <c r="S1583" s="139">
        <f>STDEV(F1585:N1585)</f>
        <v>280.40283089690689</v>
      </c>
      <c r="T1583" s="5" t="str">
        <f>IF(N1584="","",IF(R1583&lt;16,IF(Q1583&gt;3200,IF(R1583,IF(Q1583&lt;5240,"Pass","Fail"),"Fail"),"Fail")))</f>
        <v>Pass</v>
      </c>
      <c r="U1583" s="149">
        <v>1159</v>
      </c>
      <c r="V1583" s="10" t="s">
        <v>416</v>
      </c>
      <c r="X1583" s="116">
        <v>4200</v>
      </c>
      <c r="Y1583" s="116">
        <v>5500</v>
      </c>
      <c r="Z1583" s="116">
        <v>3200</v>
      </c>
      <c r="AA1583" s="116">
        <v>5240</v>
      </c>
      <c r="AB1583" s="31">
        <v>16</v>
      </c>
      <c r="AC1583" s="31">
        <v>16</v>
      </c>
    </row>
    <row r="1584" spans="1:29" ht="15.6" x14ac:dyDescent="0.3">
      <c r="A1584" s="212"/>
      <c r="B1584" s="24"/>
      <c r="C1584" s="6"/>
      <c r="D1584" s="6"/>
      <c r="E1584" s="61" t="s">
        <v>187</v>
      </c>
      <c r="F1584">
        <v>25931.05</v>
      </c>
      <c r="G1584">
        <v>26116.17</v>
      </c>
      <c r="H1584">
        <v>26167.26</v>
      </c>
      <c r="I1584">
        <v>26145.71</v>
      </c>
      <c r="J1584">
        <v>25893.84</v>
      </c>
      <c r="K1584">
        <v>25970.52</v>
      </c>
      <c r="L1584">
        <v>26133.93</v>
      </c>
      <c r="M1584">
        <v>26100.79</v>
      </c>
      <c r="N1584">
        <v>25904.32</v>
      </c>
      <c r="O1584" s="127"/>
      <c r="P1584" s="61"/>
      <c r="Q1584" s="62"/>
      <c r="R1584" s="62"/>
      <c r="S1584" s="139"/>
      <c r="T1584" s="5"/>
      <c r="U1584" s="140"/>
    </row>
    <row r="1585" spans="1:29" ht="23.4" thickBot="1" x14ac:dyDescent="0.35">
      <c r="A1585" s="212"/>
      <c r="B1585" s="63"/>
      <c r="C1585" s="64"/>
      <c r="D1585" s="64"/>
      <c r="E1585" s="61" t="s">
        <v>188</v>
      </c>
      <c r="F1585" s="53">
        <f t="shared" ref="F1585:N1585" si="523">IF(((F1583="")*AND(F1584="")),"",(F1583-F1584)*3)</f>
        <v>4564.2600000000057</v>
      </c>
      <c r="G1585" s="53">
        <f t="shared" si="523"/>
        <v>4131.8400000000074</v>
      </c>
      <c r="H1585" s="53">
        <f t="shared" si="523"/>
        <v>4018.4100000000035</v>
      </c>
      <c r="I1585" s="53">
        <f t="shared" si="523"/>
        <v>4103.4300000000039</v>
      </c>
      <c r="J1585" s="53">
        <f t="shared" si="523"/>
        <v>4666.8599999999969</v>
      </c>
      <c r="K1585" s="53">
        <f t="shared" si="523"/>
        <v>4692.8100000000013</v>
      </c>
      <c r="L1585" s="53">
        <f t="shared" si="523"/>
        <v>4158.6299999999974</v>
      </c>
      <c r="M1585" s="53">
        <f t="shared" si="523"/>
        <v>4200.8100000000013</v>
      </c>
      <c r="N1585" s="53">
        <f t="shared" si="523"/>
        <v>4646.7900000000009</v>
      </c>
      <c r="O1585" s="65"/>
      <c r="P1585" s="65"/>
      <c r="Q1585" s="66"/>
      <c r="R1585" s="66"/>
      <c r="S1585" s="142"/>
      <c r="T1585" s="143"/>
      <c r="U1585" s="144"/>
    </row>
    <row r="1586" spans="1:29" ht="15.6" x14ac:dyDescent="0.3">
      <c r="A1586" s="278">
        <v>43790</v>
      </c>
      <c r="B1586" s="217" t="s">
        <v>174</v>
      </c>
      <c r="C1586" s="44" t="s">
        <v>176</v>
      </c>
      <c r="D1586" s="44" t="s">
        <v>175</v>
      </c>
      <c r="E1586" s="61" t="s">
        <v>186</v>
      </c>
      <c r="F1586">
        <v>6765.26</v>
      </c>
      <c r="G1586">
        <v>6800.83</v>
      </c>
      <c r="H1586">
        <v>6939.05</v>
      </c>
      <c r="I1586">
        <v>6902.46</v>
      </c>
      <c r="J1586">
        <v>6865.94</v>
      </c>
      <c r="K1586">
        <v>6747.34</v>
      </c>
      <c r="L1586">
        <v>6863.44</v>
      </c>
      <c r="M1586">
        <v>6919.18</v>
      </c>
      <c r="N1586">
        <v>6849.36</v>
      </c>
      <c r="O1586" s="59">
        <f>IF((N1587=""),"",MAX(F1588:N1588))</f>
        <v>3952.7800000000007</v>
      </c>
      <c r="P1586" s="59">
        <f>IF(N1587="","",MIN(F1588:N1588))</f>
        <v>3625.7800000000007</v>
      </c>
      <c r="Q1586" s="60">
        <f>IF((N1588=""),"",AVERAGE(F1588:N1588))</f>
        <v>3830.7000000000003</v>
      </c>
      <c r="R1586" s="60">
        <f>IF((N1587=""),"",(O1586-P1586)/(O1586+P1586)*100)</f>
        <v>4.3148038677532394</v>
      </c>
      <c r="S1586" s="131">
        <f>STDEV(F1588:N1588)</f>
        <v>116.69704666357232</v>
      </c>
      <c r="T1586" s="137" t="str">
        <f>IF(N1587="","",IF(Q1586&gt;3650,IF(R1586&lt;7,IF(Q1586&lt;4450,"Pass","Fail"),"Fail"),"Fail"))</f>
        <v>Pass</v>
      </c>
      <c r="U1586" s="149">
        <v>74</v>
      </c>
      <c r="V1586" s="11" t="s">
        <v>418</v>
      </c>
      <c r="X1586" s="116">
        <v>3650</v>
      </c>
      <c r="Y1586" s="116">
        <v>4450</v>
      </c>
      <c r="Z1586" s="116">
        <v>3700</v>
      </c>
      <c r="AA1586" s="116">
        <v>4100</v>
      </c>
      <c r="AB1586" s="31">
        <v>7</v>
      </c>
      <c r="AC1586" s="31">
        <v>6.5</v>
      </c>
    </row>
    <row r="1587" spans="1:29" ht="15.6" x14ac:dyDescent="0.3">
      <c r="B1587" s="24"/>
      <c r="C1587" s="6"/>
      <c r="D1587" s="6"/>
      <c r="E1587" s="61" t="s">
        <v>187</v>
      </c>
      <c r="F1587">
        <v>4934.34</v>
      </c>
      <c r="G1587">
        <v>4860.1499999999996</v>
      </c>
      <c r="H1587">
        <v>4974.22</v>
      </c>
      <c r="I1587">
        <v>4944.01</v>
      </c>
      <c r="J1587">
        <v>4967.53</v>
      </c>
      <c r="K1587">
        <v>4934.45</v>
      </c>
      <c r="L1587">
        <v>4922.6099999999997</v>
      </c>
      <c r="M1587">
        <v>4942.79</v>
      </c>
      <c r="N1587">
        <v>4934.6099999999997</v>
      </c>
      <c r="O1587" s="61"/>
      <c r="P1587" s="61"/>
      <c r="Q1587" s="62"/>
      <c r="R1587" s="62"/>
      <c r="S1587" s="139"/>
      <c r="T1587" s="8"/>
      <c r="U1587" s="146"/>
      <c r="X1587" s="118"/>
      <c r="Y1587" s="118"/>
      <c r="Z1587" s="118"/>
      <c r="AA1587" s="118"/>
    </row>
    <row r="1588" spans="1:29" ht="23.4" thickBot="1" x14ac:dyDescent="0.3">
      <c r="B1588" s="24"/>
      <c r="C1588" s="6"/>
      <c r="D1588" s="6"/>
      <c r="E1588" s="61" t="s">
        <v>188</v>
      </c>
      <c r="F1588" s="40">
        <f t="shared" ref="F1588:N1588" si="524">IF(((F1586="")*AND(F1587="")),"",(F1586-F1587)*2)</f>
        <v>3661.84</v>
      </c>
      <c r="G1588" s="40">
        <f t="shared" si="524"/>
        <v>3881.3600000000006</v>
      </c>
      <c r="H1588" s="40">
        <f t="shared" si="524"/>
        <v>3929.66</v>
      </c>
      <c r="I1588" s="40">
        <f t="shared" si="524"/>
        <v>3916.8999999999996</v>
      </c>
      <c r="J1588" s="40">
        <f t="shared" si="524"/>
        <v>3796.8199999999997</v>
      </c>
      <c r="K1588" s="40">
        <f t="shared" si="524"/>
        <v>3625.7800000000007</v>
      </c>
      <c r="L1588" s="40">
        <f t="shared" si="524"/>
        <v>3881.66</v>
      </c>
      <c r="M1588" s="40">
        <f t="shared" si="524"/>
        <v>3952.7800000000007</v>
      </c>
      <c r="N1588" s="40">
        <f t="shared" si="524"/>
        <v>3829.5</v>
      </c>
      <c r="O1588" s="61"/>
      <c r="P1588" s="61"/>
      <c r="Q1588" s="62"/>
      <c r="R1588" s="62"/>
      <c r="S1588" s="139"/>
      <c r="T1588" s="8"/>
      <c r="U1588" s="146"/>
      <c r="X1588" s="118"/>
      <c r="Y1588" s="118"/>
      <c r="Z1588" s="118"/>
      <c r="AA1588" s="118"/>
    </row>
    <row r="1589" spans="1:29" ht="15.6" x14ac:dyDescent="0.3">
      <c r="A1589" s="278">
        <v>43790</v>
      </c>
      <c r="B1589" s="215" t="s">
        <v>169</v>
      </c>
      <c r="C1589" s="6" t="s">
        <v>171</v>
      </c>
      <c r="D1589" s="6" t="s">
        <v>189</v>
      </c>
      <c r="E1589" s="61" t="s">
        <v>186</v>
      </c>
      <c r="F1589">
        <v>1979.55</v>
      </c>
      <c r="G1589">
        <v>1970.59</v>
      </c>
      <c r="H1589">
        <v>1969.28</v>
      </c>
      <c r="I1589">
        <v>1971.78</v>
      </c>
      <c r="J1589">
        <v>1978.6</v>
      </c>
      <c r="K1589">
        <v>1976.28</v>
      </c>
      <c r="L1589">
        <v>1973.62</v>
      </c>
      <c r="M1589">
        <v>1971.77</v>
      </c>
      <c r="N1589">
        <v>1978.99</v>
      </c>
      <c r="O1589" s="61">
        <f>IF((N1590=""),"",MAX(F1591:N1591))</f>
        <v>2099.6099999999997</v>
      </c>
      <c r="P1589" s="61">
        <f>IF(N1590="","",MIN(F1591:N1591))</f>
        <v>2032.0499999999997</v>
      </c>
      <c r="Q1589" s="62">
        <f>IF((N1591=""),"",AVERAGE(F1591:N1591))</f>
        <v>2063.8500000000004</v>
      </c>
      <c r="R1589" s="62">
        <f>IF((N1590=""),"",(O1589-P1589)/(O1589+P1589)*100)</f>
        <v>1.6351781124293856</v>
      </c>
      <c r="S1589" s="139">
        <f>STDEV(F1591:N1591)</f>
        <v>20.918848558178357</v>
      </c>
      <c r="T1589" s="5" t="str">
        <f>IF(N1590="","",IF(Q1589&gt;1940,IF(R1589&lt;8.3,IF(Q1589&lt;2180,"Pass","Fail"),"Fail"),"Fail"))</f>
        <v>Pass</v>
      </c>
      <c r="U1589" s="149">
        <v>74</v>
      </c>
      <c r="V1589" s="11" t="s">
        <v>418</v>
      </c>
      <c r="X1589" s="116">
        <v>2000</v>
      </c>
      <c r="Y1589" s="116">
        <v>3000</v>
      </c>
      <c r="Z1589" s="116">
        <v>1940</v>
      </c>
      <c r="AA1589" s="116">
        <v>2180</v>
      </c>
      <c r="AB1589" s="31">
        <v>5.2</v>
      </c>
      <c r="AC1589" s="31">
        <v>5.2</v>
      </c>
    </row>
    <row r="1590" spans="1:29" ht="15.6" x14ac:dyDescent="0.3">
      <c r="B1590" s="24"/>
      <c r="C1590" s="6"/>
      <c r="D1590" s="6"/>
      <c r="E1590" s="61" t="s">
        <v>187</v>
      </c>
      <c r="F1590">
        <v>1285.78</v>
      </c>
      <c r="G1590">
        <v>1280.3499999999999</v>
      </c>
      <c r="H1590">
        <v>1269.4100000000001</v>
      </c>
      <c r="I1590">
        <v>1284.1099999999999</v>
      </c>
      <c r="J1590">
        <v>1301.25</v>
      </c>
      <c r="K1590">
        <v>1297.73</v>
      </c>
      <c r="L1590">
        <v>1287.21</v>
      </c>
      <c r="M1590">
        <v>1281.7</v>
      </c>
      <c r="N1590">
        <v>1291.3699999999999</v>
      </c>
      <c r="O1590" s="61"/>
      <c r="P1590" s="61"/>
      <c r="Q1590" s="62"/>
      <c r="R1590" s="62"/>
      <c r="S1590" s="139"/>
      <c r="T1590" s="5"/>
      <c r="U1590" s="140"/>
      <c r="X1590" s="118"/>
      <c r="Y1590" s="118"/>
      <c r="Z1590" s="118"/>
      <c r="AA1590" s="118"/>
    </row>
    <row r="1591" spans="1:29" ht="13.8" thickBot="1" x14ac:dyDescent="0.3">
      <c r="B1591" s="24"/>
      <c r="C1591" s="6"/>
      <c r="D1591" s="6"/>
      <c r="E1591" s="61" t="s">
        <v>190</v>
      </c>
      <c r="F1591" s="40">
        <f t="shared" ref="F1591:N1591" si="525">IF(((F1589="")*AND(F1590="")),"",(F1589-F1590)*3)</f>
        <v>2081.31</v>
      </c>
      <c r="G1591" s="40">
        <f t="shared" si="525"/>
        <v>2070.7200000000003</v>
      </c>
      <c r="H1591" s="40">
        <f t="shared" si="525"/>
        <v>2099.6099999999997</v>
      </c>
      <c r="I1591" s="40">
        <f t="shared" si="525"/>
        <v>2063.0100000000002</v>
      </c>
      <c r="J1591" s="40">
        <f t="shared" si="525"/>
        <v>2032.0499999999997</v>
      </c>
      <c r="K1591" s="40">
        <f t="shared" si="525"/>
        <v>2035.6499999999999</v>
      </c>
      <c r="L1591" s="40">
        <f t="shared" si="525"/>
        <v>2059.2299999999996</v>
      </c>
      <c r="M1591" s="40">
        <f t="shared" si="525"/>
        <v>2070.21</v>
      </c>
      <c r="N1591" s="40">
        <f t="shared" si="525"/>
        <v>2062.8600000000006</v>
      </c>
      <c r="O1591" s="61"/>
      <c r="P1591" s="61"/>
      <c r="Q1591" s="62"/>
      <c r="R1591" s="62"/>
      <c r="S1591" s="139"/>
      <c r="T1591" s="5"/>
      <c r="U1591" s="140"/>
      <c r="X1591" s="118"/>
      <c r="Y1591" s="118"/>
      <c r="Z1591" s="118"/>
      <c r="AA1591" s="118"/>
    </row>
    <row r="1592" spans="1:29" ht="15.6" x14ac:dyDescent="0.3">
      <c r="A1592" s="278">
        <v>43790</v>
      </c>
      <c r="B1592" s="218" t="s">
        <v>185</v>
      </c>
      <c r="C1592" s="6" t="s">
        <v>173</v>
      </c>
      <c r="D1592" s="6" t="s">
        <v>172</v>
      </c>
      <c r="E1592" s="61" t="s">
        <v>186</v>
      </c>
      <c r="F1592">
        <v>29085.26</v>
      </c>
      <c r="G1592">
        <v>28931.91</v>
      </c>
      <c r="H1592">
        <v>28911.08</v>
      </c>
      <c r="I1592">
        <v>28905.65</v>
      </c>
      <c r="J1592">
        <v>29025.81</v>
      </c>
      <c r="K1592">
        <v>29012.27</v>
      </c>
      <c r="L1592">
        <v>28904.44</v>
      </c>
      <c r="M1592">
        <v>28938.36</v>
      </c>
      <c r="N1592">
        <v>29054.91</v>
      </c>
      <c r="O1592" s="61">
        <f>IF((N1593=""),"",MAX(F1594:N1594))</f>
        <v>4644.4799999999996</v>
      </c>
      <c r="P1592" s="61">
        <f>IF(N1593="","",MIN(F1594:N1594))</f>
        <v>3979.2900000000009</v>
      </c>
      <c r="Q1592" s="62">
        <f>IF((N1594=""),"",AVERAGE(F1594:N1594))</f>
        <v>4287.953333333332</v>
      </c>
      <c r="R1592" s="62">
        <f>IF((N1593=""),"",(O1592-P1592)/(O1592+P1592)*100)</f>
        <v>7.7134478308210754</v>
      </c>
      <c r="S1592" s="139">
        <f>STDEV(F1594:N1594)</f>
        <v>273.84890437063842</v>
      </c>
      <c r="T1592" s="5" t="str">
        <f>IF(N1593="","",IF(R1592&lt;16,IF(Q1592&gt;3200,IF(R1592,IF(Q1592&lt;5240,"Pass","Fail"),"Fail"),"Fail")))</f>
        <v>Pass</v>
      </c>
      <c r="U1592" s="149">
        <v>74</v>
      </c>
      <c r="V1592" s="11" t="s">
        <v>418</v>
      </c>
      <c r="X1592" s="116">
        <v>4200</v>
      </c>
      <c r="Y1592" s="116">
        <v>5500</v>
      </c>
      <c r="Z1592" s="116">
        <v>3200</v>
      </c>
      <c r="AA1592" s="116">
        <v>5240</v>
      </c>
      <c r="AB1592" s="31">
        <v>16</v>
      </c>
      <c r="AC1592" s="31">
        <v>16</v>
      </c>
    </row>
    <row r="1593" spans="1:29" ht="15.6" x14ac:dyDescent="0.3">
      <c r="B1593" s="24"/>
      <c r="C1593" s="6"/>
      <c r="D1593" s="6"/>
      <c r="E1593" s="61" t="s">
        <v>187</v>
      </c>
      <c r="F1593">
        <v>27542.83</v>
      </c>
      <c r="G1593">
        <v>27559.040000000001</v>
      </c>
      <c r="H1593">
        <v>27584.65</v>
      </c>
      <c r="I1593">
        <v>27562.54</v>
      </c>
      <c r="J1593">
        <v>27520.61</v>
      </c>
      <c r="K1593">
        <v>27517.31</v>
      </c>
      <c r="L1593">
        <v>27551.09</v>
      </c>
      <c r="M1593">
        <v>27561.01</v>
      </c>
      <c r="N1593">
        <v>27506.75</v>
      </c>
      <c r="O1593" s="127"/>
      <c r="P1593" s="61"/>
      <c r="Q1593" s="62"/>
      <c r="R1593" s="62"/>
      <c r="S1593" s="139"/>
      <c r="T1593" s="5"/>
      <c r="U1593" s="140"/>
    </row>
    <row r="1594" spans="1:29" ht="23.4" thickBot="1" x14ac:dyDescent="0.3">
      <c r="B1594" s="63"/>
      <c r="C1594" s="64"/>
      <c r="D1594" s="64"/>
      <c r="E1594" s="61" t="s">
        <v>188</v>
      </c>
      <c r="F1594" s="53">
        <f t="shared" ref="F1594:N1594" si="526">IF(((F1592="")*AND(F1593="")),"",(F1592-F1593)*3)</f>
        <v>4627.28999999999</v>
      </c>
      <c r="G1594" s="53">
        <f t="shared" si="526"/>
        <v>4118.6099999999969</v>
      </c>
      <c r="H1594" s="53">
        <f t="shared" si="526"/>
        <v>3979.2900000000009</v>
      </c>
      <c r="I1594" s="53">
        <f t="shared" si="526"/>
        <v>4029.3300000000017</v>
      </c>
      <c r="J1594" s="53">
        <f t="shared" si="526"/>
        <v>4515.6000000000022</v>
      </c>
      <c r="K1594" s="53">
        <f t="shared" si="526"/>
        <v>4484.8799999999974</v>
      </c>
      <c r="L1594" s="53">
        <f t="shared" si="526"/>
        <v>4060.0499999999956</v>
      </c>
      <c r="M1594" s="53">
        <f t="shared" si="526"/>
        <v>4132.0500000000065</v>
      </c>
      <c r="N1594" s="53">
        <f t="shared" si="526"/>
        <v>4644.4799999999996</v>
      </c>
      <c r="O1594" s="65"/>
      <c r="P1594" s="65"/>
      <c r="Q1594" s="66"/>
      <c r="R1594" s="66"/>
      <c r="S1594" s="142"/>
      <c r="T1594" s="143"/>
      <c r="U1594" s="144"/>
    </row>
    <row r="1595" spans="1:29" ht="15.6" x14ac:dyDescent="0.3">
      <c r="A1595" s="278">
        <v>43794</v>
      </c>
      <c r="B1595" s="217" t="s">
        <v>174</v>
      </c>
      <c r="C1595" s="44" t="s">
        <v>176</v>
      </c>
      <c r="D1595" s="44" t="s">
        <v>175</v>
      </c>
      <c r="E1595" s="61" t="s">
        <v>186</v>
      </c>
      <c r="F1595" s="304">
        <v>4939.96</v>
      </c>
      <c r="G1595" s="304">
        <v>4868.3999999999996</v>
      </c>
      <c r="H1595" s="304">
        <v>4979.51</v>
      </c>
      <c r="I1595" s="304">
        <v>4950.09</v>
      </c>
      <c r="J1595" s="304">
        <v>4971.6400000000003</v>
      </c>
      <c r="K1595" s="304">
        <v>4940.2299999999996</v>
      </c>
      <c r="L1595" s="304">
        <v>4928.99</v>
      </c>
      <c r="M1595" s="304">
        <v>4949.29</v>
      </c>
      <c r="N1595" s="304">
        <v>4941.0200000000004</v>
      </c>
      <c r="O1595" s="59">
        <f>IF((N1596=""),"",MAX(F1597:N1597))</f>
        <v>3972.34</v>
      </c>
      <c r="P1595" s="59">
        <f>IF(N1596="","",MIN(F1597:N1597))</f>
        <v>3685.2799999999988</v>
      </c>
      <c r="Q1595" s="60">
        <f>IF((N1597=""),"",AVERAGE(F1597:N1597))</f>
        <v>3867.0333333333338</v>
      </c>
      <c r="R1595" s="60">
        <f>IF((N1596=""),"",(O1595-P1595)/(O1595+P1595)*100)</f>
        <v>3.7486843170593649</v>
      </c>
      <c r="S1595" s="131">
        <f>STDEV(F1597:N1597)</f>
        <v>106.75693841619862</v>
      </c>
      <c r="T1595" s="137" t="str">
        <f>IF(N1596="","",IF(Q1595&gt;3650,IF(R1595&lt;7,IF(Q1595&lt;4450,"Pass","Fail"),"Fail"),"Fail"))</f>
        <v>Pass</v>
      </c>
      <c r="U1595" s="149">
        <v>1428</v>
      </c>
      <c r="V1595" s="11" t="s">
        <v>419</v>
      </c>
      <c r="X1595" s="116">
        <v>3650</v>
      </c>
      <c r="Y1595" s="116">
        <v>4450</v>
      </c>
      <c r="Z1595" s="116">
        <v>3700</v>
      </c>
      <c r="AA1595" s="116">
        <v>4100</v>
      </c>
      <c r="AB1595" s="31">
        <v>7</v>
      </c>
      <c r="AC1595" s="31">
        <v>6.5</v>
      </c>
    </row>
    <row r="1596" spans="1:29" ht="15.6" x14ac:dyDescent="0.3">
      <c r="B1596" s="24"/>
      <c r="C1596" s="6"/>
      <c r="D1596" s="6"/>
      <c r="E1596" s="61" t="s">
        <v>187</v>
      </c>
      <c r="F1596" s="304">
        <v>3084.22</v>
      </c>
      <c r="G1596" s="304">
        <v>2897.66</v>
      </c>
      <c r="H1596" s="304">
        <v>3003.67</v>
      </c>
      <c r="I1596" s="304">
        <v>2981.58</v>
      </c>
      <c r="J1596" s="304">
        <v>3063.38</v>
      </c>
      <c r="K1596" s="304">
        <v>3097.59</v>
      </c>
      <c r="L1596" s="304">
        <v>2969.51</v>
      </c>
      <c r="M1596" s="304">
        <v>2963.12</v>
      </c>
      <c r="N1596" s="304">
        <v>3006.75</v>
      </c>
      <c r="O1596" s="61"/>
      <c r="P1596" s="61"/>
      <c r="Q1596" s="62"/>
      <c r="R1596" s="62"/>
      <c r="S1596" s="139"/>
      <c r="T1596" s="8"/>
      <c r="U1596" s="146"/>
      <c r="X1596" s="118"/>
      <c r="Y1596" s="118"/>
      <c r="Z1596" s="118"/>
      <c r="AA1596" s="118"/>
    </row>
    <row r="1597" spans="1:29" ht="23.4" thickBot="1" x14ac:dyDescent="0.3">
      <c r="B1597" s="24"/>
      <c r="C1597" s="6"/>
      <c r="D1597" s="6"/>
      <c r="E1597" s="61" t="s">
        <v>188</v>
      </c>
      <c r="F1597" s="40">
        <f t="shared" ref="F1597:N1597" si="527">IF(((F1595="")*AND(F1596="")),"",(F1595-F1596)*2)</f>
        <v>3711.4800000000005</v>
      </c>
      <c r="G1597" s="40">
        <f t="shared" si="527"/>
        <v>3941.4799999999996</v>
      </c>
      <c r="H1597" s="40">
        <f t="shared" si="527"/>
        <v>3951.6800000000003</v>
      </c>
      <c r="I1597" s="40">
        <f t="shared" si="527"/>
        <v>3937.0200000000004</v>
      </c>
      <c r="J1597" s="40">
        <f t="shared" si="527"/>
        <v>3816.5200000000004</v>
      </c>
      <c r="K1597" s="40">
        <f t="shared" si="527"/>
        <v>3685.2799999999988</v>
      </c>
      <c r="L1597" s="40">
        <f t="shared" si="527"/>
        <v>3918.9599999999991</v>
      </c>
      <c r="M1597" s="40">
        <f t="shared" si="527"/>
        <v>3972.34</v>
      </c>
      <c r="N1597" s="40">
        <f t="shared" si="527"/>
        <v>3868.5400000000009</v>
      </c>
      <c r="O1597" s="61"/>
      <c r="P1597" s="61"/>
      <c r="Q1597" s="62"/>
      <c r="R1597" s="62"/>
      <c r="S1597" s="139"/>
      <c r="T1597" s="8"/>
      <c r="U1597" s="146"/>
      <c r="X1597" s="118"/>
      <c r="Y1597" s="118"/>
      <c r="Z1597" s="118"/>
      <c r="AA1597" s="118"/>
    </row>
    <row r="1598" spans="1:29" ht="15.6" x14ac:dyDescent="0.3">
      <c r="A1598" s="278">
        <v>43794</v>
      </c>
      <c r="B1598" s="215" t="s">
        <v>169</v>
      </c>
      <c r="C1598" s="6" t="s">
        <v>171</v>
      </c>
      <c r="D1598" s="6" t="s">
        <v>189</v>
      </c>
      <c r="E1598" s="61" t="s">
        <v>186</v>
      </c>
      <c r="F1598" s="304">
        <v>1287.6400000000001</v>
      </c>
      <c r="G1598" s="304">
        <v>1281.02</v>
      </c>
      <c r="H1598" s="304">
        <v>1277.6199999999999</v>
      </c>
      <c r="I1598" s="304">
        <v>1289.04</v>
      </c>
      <c r="J1598" s="304">
        <v>1304.8399999999999</v>
      </c>
      <c r="K1598" s="304">
        <v>1299.27</v>
      </c>
      <c r="L1598" s="304">
        <v>1288.9000000000001</v>
      </c>
      <c r="M1598" s="304">
        <v>1284</v>
      </c>
      <c r="N1598" s="304">
        <v>1294.1099999999999</v>
      </c>
      <c r="O1598" s="61">
        <f>IF((N1599=""),"",MAX(F1600:N1600))</f>
        <v>2022.33</v>
      </c>
      <c r="P1598" s="61">
        <f>IF(N1599="","",MIN(F1600:N1600))</f>
        <v>1976.91</v>
      </c>
      <c r="Q1598" s="62">
        <f>IF((N1600=""),"",AVERAGE(F1600:N1600))</f>
        <v>1997.3400000000001</v>
      </c>
      <c r="R1598" s="62">
        <f>IF((N1599=""),"",(O1598-P1598)/(O1598+P1598)*100)</f>
        <v>1.1357157859993361</v>
      </c>
      <c r="S1598" s="139">
        <f>STDEV(F1600:N1600)</f>
        <v>16.474910470166439</v>
      </c>
      <c r="T1598" s="5" t="str">
        <f>IF(N1599="","",IF(Q1598&gt;1940,IF(R1598&lt;8.3,IF(Q1598&lt;2180,"Pass","Fail"),"Fail"),"Fail"))</f>
        <v>Pass</v>
      </c>
      <c r="U1598" s="149">
        <v>1428</v>
      </c>
      <c r="V1598" s="11" t="s">
        <v>419</v>
      </c>
      <c r="X1598" s="116">
        <v>2000</v>
      </c>
      <c r="Y1598" s="116">
        <v>3000</v>
      </c>
      <c r="Z1598" s="116">
        <v>1940</v>
      </c>
      <c r="AA1598" s="116">
        <v>2180</v>
      </c>
      <c r="AB1598" s="31">
        <v>5.2</v>
      </c>
      <c r="AC1598" s="31">
        <v>5.2</v>
      </c>
    </row>
    <row r="1599" spans="1:29" ht="15.6" x14ac:dyDescent="0.3">
      <c r="B1599" s="24"/>
      <c r="C1599" s="6"/>
      <c r="D1599" s="6"/>
      <c r="E1599" s="61" t="s">
        <v>187</v>
      </c>
      <c r="F1599" s="304">
        <v>624.71</v>
      </c>
      <c r="G1599" s="304">
        <v>611.86</v>
      </c>
      <c r="H1599" s="304">
        <v>609.42999999999995</v>
      </c>
      <c r="I1599" s="304">
        <v>617.16</v>
      </c>
      <c r="J1599" s="304">
        <v>643.15</v>
      </c>
      <c r="K1599" s="304">
        <v>640.29999999999995</v>
      </c>
      <c r="L1599" s="304">
        <v>622.79999999999995</v>
      </c>
      <c r="M1599" s="304">
        <v>609.89</v>
      </c>
      <c r="N1599" s="304">
        <v>635.12</v>
      </c>
      <c r="O1599" s="61"/>
      <c r="P1599" s="61"/>
      <c r="Q1599" s="62"/>
      <c r="R1599" s="62"/>
      <c r="S1599" s="139"/>
      <c r="T1599" s="5"/>
      <c r="U1599" s="140"/>
      <c r="X1599" s="118"/>
      <c r="Y1599" s="118"/>
      <c r="Z1599" s="118"/>
      <c r="AA1599" s="118"/>
    </row>
    <row r="1600" spans="1:29" ht="13.8" thickBot="1" x14ac:dyDescent="0.3">
      <c r="B1600" s="24"/>
      <c r="C1600" s="6"/>
      <c r="D1600" s="6"/>
      <c r="E1600" s="61" t="s">
        <v>190</v>
      </c>
      <c r="F1600" s="40">
        <f t="shared" ref="F1600:N1600" si="528">IF(((F1598="")*AND(F1599="")),"",(F1598-F1599)*3)</f>
        <v>1988.7900000000002</v>
      </c>
      <c r="G1600" s="40">
        <f t="shared" si="528"/>
        <v>2007.48</v>
      </c>
      <c r="H1600" s="40">
        <f t="shared" si="528"/>
        <v>2004.5699999999997</v>
      </c>
      <c r="I1600" s="40">
        <f t="shared" si="528"/>
        <v>2015.6399999999999</v>
      </c>
      <c r="J1600" s="40">
        <f t="shared" si="528"/>
        <v>1985.0699999999997</v>
      </c>
      <c r="K1600" s="40">
        <f t="shared" si="528"/>
        <v>1976.91</v>
      </c>
      <c r="L1600" s="40">
        <f t="shared" si="528"/>
        <v>1998.3000000000004</v>
      </c>
      <c r="M1600" s="40">
        <f t="shared" si="528"/>
        <v>2022.33</v>
      </c>
      <c r="N1600" s="40">
        <f t="shared" si="528"/>
        <v>1976.9699999999998</v>
      </c>
      <c r="O1600" s="61"/>
      <c r="P1600" s="61"/>
      <c r="Q1600" s="62"/>
      <c r="R1600" s="62"/>
      <c r="S1600" s="139"/>
      <c r="T1600" s="5"/>
      <c r="U1600" s="140"/>
      <c r="X1600" s="118"/>
      <c r="Y1600" s="118"/>
      <c r="Z1600" s="118"/>
      <c r="AA1600" s="118"/>
    </row>
    <row r="1601" spans="1:29" ht="15.6" x14ac:dyDescent="0.3">
      <c r="A1601" s="278">
        <v>43794</v>
      </c>
      <c r="B1601" s="218" t="s">
        <v>185</v>
      </c>
      <c r="C1601" s="6" t="s">
        <v>173</v>
      </c>
      <c r="D1601" s="6" t="s">
        <v>172</v>
      </c>
      <c r="E1601" s="61" t="s">
        <v>186</v>
      </c>
      <c r="F1601" s="304">
        <v>27495.33</v>
      </c>
      <c r="G1601" s="304">
        <v>27514.43</v>
      </c>
      <c r="H1601" s="304">
        <v>27538.67</v>
      </c>
      <c r="I1601" s="304">
        <v>27507.16</v>
      </c>
      <c r="J1601" s="304">
        <v>27460.57</v>
      </c>
      <c r="K1601" s="304">
        <v>27468.42</v>
      </c>
      <c r="L1601" s="304">
        <v>27505.97</v>
      </c>
      <c r="M1601" s="304">
        <v>27512.38</v>
      </c>
      <c r="N1601" s="304">
        <v>27456.080000000002</v>
      </c>
      <c r="O1601" s="61">
        <f>IF((N1602=""),"",MAX(F1603:N1603))</f>
        <v>4905.0900000000074</v>
      </c>
      <c r="P1601" s="61">
        <f>IF(N1602="","",MIN(F1603:N1603))</f>
        <v>4170.3599999999969</v>
      </c>
      <c r="Q1601" s="62">
        <f>IF((N1603=""),"",AVERAGE(F1603:N1603))</f>
        <v>4504.5333333333338</v>
      </c>
      <c r="R1601" s="62">
        <f>IF((N1602=""),"",(O1601-P1601)/(O1601+P1601)*100)</f>
        <v>8.0957969026330385</v>
      </c>
      <c r="S1601" s="139">
        <f>STDEV(F1603:N1603)</f>
        <v>299.49038932827239</v>
      </c>
      <c r="T1601" s="5" t="str">
        <f>IF(N1602="","",IF(R1601&lt;16,IF(Q1601&gt;3200,IF(R1601,IF(Q1601&lt;5240,"Pass","Fail"),"Fail"),"Fail")))</f>
        <v>Pass</v>
      </c>
      <c r="U1601" s="149">
        <v>1428</v>
      </c>
      <c r="V1601" s="11" t="s">
        <v>419</v>
      </c>
      <c r="X1601" s="116">
        <v>4200</v>
      </c>
      <c r="Y1601" s="116">
        <v>5500</v>
      </c>
      <c r="Z1601" s="116">
        <v>3200</v>
      </c>
      <c r="AA1601" s="116">
        <v>5240</v>
      </c>
      <c r="AB1601" s="31">
        <v>16</v>
      </c>
      <c r="AC1601" s="31">
        <v>16</v>
      </c>
    </row>
    <row r="1602" spans="1:29" ht="15.6" x14ac:dyDescent="0.3">
      <c r="B1602" s="24"/>
      <c r="C1602" s="6"/>
      <c r="D1602" s="6"/>
      <c r="E1602" s="61" t="s">
        <v>187</v>
      </c>
      <c r="F1602" s="304">
        <v>25873.88</v>
      </c>
      <c r="G1602" s="304">
        <v>26082.12</v>
      </c>
      <c r="H1602" s="304">
        <v>26148.55</v>
      </c>
      <c r="I1602" s="304">
        <v>26091.13</v>
      </c>
      <c r="J1602" s="304">
        <v>25878.74</v>
      </c>
      <c r="K1602" s="304">
        <v>25890.55</v>
      </c>
      <c r="L1602" s="304">
        <v>26089.78</v>
      </c>
      <c r="M1602" s="304">
        <v>26069.61</v>
      </c>
      <c r="N1602" s="304">
        <v>25821.05</v>
      </c>
      <c r="O1602" s="127"/>
      <c r="P1602" s="61"/>
      <c r="Q1602" s="62"/>
      <c r="R1602" s="62"/>
      <c r="S1602" s="139"/>
      <c r="T1602" s="5"/>
      <c r="U1602" s="140"/>
    </row>
    <row r="1603" spans="1:29" ht="23.4" thickBot="1" x14ac:dyDescent="0.3">
      <c r="B1603" s="63"/>
      <c r="C1603" s="64"/>
      <c r="D1603" s="64"/>
      <c r="E1603" s="61" t="s">
        <v>188</v>
      </c>
      <c r="F1603" s="53">
        <f t="shared" ref="F1603:N1603" si="529">IF(((F1601="")*AND(F1602="")),"",(F1601-F1602)*3)</f>
        <v>4864.3500000000022</v>
      </c>
      <c r="G1603" s="53">
        <f t="shared" si="529"/>
        <v>4296.9300000000039</v>
      </c>
      <c r="H1603" s="53">
        <f t="shared" si="529"/>
        <v>4170.3599999999969</v>
      </c>
      <c r="I1603" s="53">
        <f t="shared" si="529"/>
        <v>4248.0899999999965</v>
      </c>
      <c r="J1603" s="53">
        <f t="shared" si="529"/>
        <v>4745.4899999999943</v>
      </c>
      <c r="K1603" s="53">
        <f t="shared" si="529"/>
        <v>4733.6099999999969</v>
      </c>
      <c r="L1603" s="53">
        <f t="shared" si="529"/>
        <v>4248.570000000007</v>
      </c>
      <c r="M1603" s="53">
        <f t="shared" si="529"/>
        <v>4328.3100000000013</v>
      </c>
      <c r="N1603" s="53">
        <f t="shared" si="529"/>
        <v>4905.0900000000074</v>
      </c>
      <c r="O1603" s="65"/>
      <c r="P1603" s="65"/>
      <c r="Q1603" s="66"/>
      <c r="R1603" s="66"/>
      <c r="S1603" s="142"/>
      <c r="T1603" s="143"/>
      <c r="U1603" s="144"/>
    </row>
    <row r="1604" spans="1:29" ht="15.6" x14ac:dyDescent="0.3">
      <c r="A1604" s="278">
        <v>43797</v>
      </c>
      <c r="B1604" s="217" t="s">
        <v>174</v>
      </c>
      <c r="C1604" s="44" t="s">
        <v>176</v>
      </c>
      <c r="D1604" s="44" t="s">
        <v>175</v>
      </c>
      <c r="E1604" s="61" t="s">
        <v>186</v>
      </c>
      <c r="F1604" s="304">
        <v>4787.6899999999996</v>
      </c>
      <c r="G1604" s="304">
        <v>4963.4799999999996</v>
      </c>
      <c r="H1604" s="304">
        <v>5028.87</v>
      </c>
      <c r="I1604" s="304">
        <v>4983.08</v>
      </c>
      <c r="J1604" s="304">
        <v>4762.1000000000004</v>
      </c>
      <c r="K1604" s="304">
        <v>4810.97</v>
      </c>
      <c r="L1604" s="304">
        <v>4950.82</v>
      </c>
      <c r="M1604" s="304">
        <v>5049.5</v>
      </c>
      <c r="N1604" s="304">
        <v>4946.42</v>
      </c>
      <c r="O1604" s="59">
        <f>IF((N1605=""),"",MAX(F1606:N1606))</f>
        <v>3959.5200000000004</v>
      </c>
      <c r="P1604" s="59">
        <f>IF(N1605="","",MIN(F1606:N1606))</f>
        <v>3658.3200000000006</v>
      </c>
      <c r="Q1604" s="60">
        <f>IF((N1606=""),"",AVERAGE(F1606:N1606))</f>
        <v>3845.726666666666</v>
      </c>
      <c r="R1604" s="60">
        <f>IF((N1605=""),"",(O1604-P1604)/(O1604+P1604)*100)</f>
        <v>3.9538766894552753</v>
      </c>
      <c r="S1604" s="131">
        <f>STDEV(F1606:N1606)</f>
        <v>112.7816784766034</v>
      </c>
      <c r="T1604" s="137" t="str">
        <f>IF(N1605="","",IF(Q1604&gt;3650,IF(R1604&lt;7,IF(Q1604&lt;4450,"Pass","Fail"),"Fail"),"Fail"))</f>
        <v>Pass</v>
      </c>
      <c r="U1604" s="149">
        <v>1428</v>
      </c>
      <c r="V1604" s="11" t="s">
        <v>421</v>
      </c>
      <c r="X1604" s="116">
        <v>3650</v>
      </c>
      <c r="Y1604" s="116">
        <v>4450</v>
      </c>
      <c r="Z1604" s="116">
        <v>3700</v>
      </c>
      <c r="AA1604" s="116">
        <v>4100</v>
      </c>
      <c r="AB1604" s="31">
        <v>7</v>
      </c>
      <c r="AC1604" s="31">
        <v>6.5</v>
      </c>
    </row>
    <row r="1605" spans="1:29" ht="15.6" x14ac:dyDescent="0.3">
      <c r="B1605" s="24"/>
      <c r="C1605" s="6"/>
      <c r="D1605" s="6"/>
      <c r="E1605" s="61" t="s">
        <v>187</v>
      </c>
      <c r="F1605" s="304">
        <v>2941.37</v>
      </c>
      <c r="G1605" s="304">
        <v>3004.84</v>
      </c>
      <c r="H1605" s="304">
        <v>3052.46</v>
      </c>
      <c r="I1605" s="304">
        <v>3021.11</v>
      </c>
      <c r="J1605" s="304">
        <v>2873.93</v>
      </c>
      <c r="K1605" s="304">
        <v>2981.81</v>
      </c>
      <c r="L1605" s="304">
        <v>3002.49</v>
      </c>
      <c r="M1605" s="304">
        <v>3069.74</v>
      </c>
      <c r="N1605" s="304">
        <v>3029.41</v>
      </c>
      <c r="O1605" s="61"/>
      <c r="P1605" s="61"/>
      <c r="Q1605" s="62"/>
      <c r="R1605" s="62"/>
      <c r="S1605" s="139"/>
      <c r="T1605" s="8"/>
      <c r="U1605" s="146"/>
      <c r="X1605" s="118"/>
      <c r="Y1605" s="118"/>
      <c r="Z1605" s="118"/>
      <c r="AA1605" s="118"/>
    </row>
    <row r="1606" spans="1:29" ht="23.4" thickBot="1" x14ac:dyDescent="0.3">
      <c r="B1606" s="24"/>
      <c r="C1606" s="6"/>
      <c r="D1606" s="6"/>
      <c r="E1606" s="61" t="s">
        <v>188</v>
      </c>
      <c r="F1606" s="40">
        <f t="shared" ref="F1606:N1606" si="530">IF(((F1604="")*AND(F1605="")),"",(F1604-F1605)*2)</f>
        <v>3692.6399999999994</v>
      </c>
      <c r="G1606" s="40">
        <f t="shared" si="530"/>
        <v>3917.2799999999988</v>
      </c>
      <c r="H1606" s="40">
        <f t="shared" si="530"/>
        <v>3952.8199999999997</v>
      </c>
      <c r="I1606" s="40">
        <f t="shared" si="530"/>
        <v>3923.9399999999996</v>
      </c>
      <c r="J1606" s="40">
        <f t="shared" si="530"/>
        <v>3776.3400000000011</v>
      </c>
      <c r="K1606" s="40">
        <f t="shared" si="530"/>
        <v>3658.3200000000006</v>
      </c>
      <c r="L1606" s="40">
        <f t="shared" si="530"/>
        <v>3896.66</v>
      </c>
      <c r="M1606" s="40">
        <f t="shared" si="530"/>
        <v>3959.5200000000004</v>
      </c>
      <c r="N1606" s="40">
        <f t="shared" si="530"/>
        <v>3834.0200000000004</v>
      </c>
      <c r="O1606" s="61"/>
      <c r="P1606" s="61"/>
      <c r="Q1606" s="62"/>
      <c r="R1606" s="62"/>
      <c r="S1606" s="139"/>
      <c r="T1606" s="8"/>
      <c r="U1606" s="146"/>
      <c r="X1606" s="118"/>
      <c r="Y1606" s="118"/>
      <c r="Z1606" s="118"/>
      <c r="AA1606" s="118"/>
    </row>
    <row r="1607" spans="1:29" ht="15.6" x14ac:dyDescent="0.3">
      <c r="A1607" s="278">
        <v>43797</v>
      </c>
      <c r="B1607" s="215" t="s">
        <v>169</v>
      </c>
      <c r="C1607" s="6" t="s">
        <v>171</v>
      </c>
      <c r="D1607" s="6" t="s">
        <v>189</v>
      </c>
      <c r="E1607" s="61" t="s">
        <v>186</v>
      </c>
      <c r="F1607" s="304">
        <v>1197.06</v>
      </c>
      <c r="G1607" s="304">
        <v>1211.05</v>
      </c>
      <c r="H1607" s="304">
        <v>1219.33</v>
      </c>
      <c r="I1607" s="304">
        <v>1197.45</v>
      </c>
      <c r="J1607" s="304">
        <v>1163.24</v>
      </c>
      <c r="K1607" s="304">
        <v>1190.03</v>
      </c>
      <c r="L1607" s="304">
        <v>1212.5899999999999</v>
      </c>
      <c r="M1607" s="304">
        <v>1191.0899999999999</v>
      </c>
      <c r="N1607" s="304">
        <v>1149.96</v>
      </c>
      <c r="O1607" s="61">
        <f>IF((N1608=""),"",MAX(F1609:N1609))</f>
        <v>2146.3500000000004</v>
      </c>
      <c r="P1607" s="61">
        <f>IF(N1608="","",MIN(F1609:N1609))</f>
        <v>1900.65</v>
      </c>
      <c r="Q1607" s="62">
        <f>IF((N1609=""),"",AVERAGE(F1609:N1609))</f>
        <v>2023.0533333333333</v>
      </c>
      <c r="R1607" s="62">
        <f>IF((N1608=""),"",(O1607-P1607)/(O1607+P1607)*100)</f>
        <v>6.0711638250556028</v>
      </c>
      <c r="S1607" s="139">
        <f>STDEV(F1609:N1609)</f>
        <v>88.313915522979684</v>
      </c>
      <c r="T1607" s="5" t="str">
        <f>IF(N1608="","",IF(Q1607&gt;1940,IF(R1607&lt;8.3,IF(Q1607&lt;2180,"Pass","Fail"),"Fail"),"Fail"))</f>
        <v>Pass</v>
      </c>
      <c r="U1607" s="149">
        <v>1428</v>
      </c>
      <c r="V1607" s="11" t="s">
        <v>421</v>
      </c>
      <c r="X1607" s="116">
        <v>2000</v>
      </c>
      <c r="Y1607" s="116">
        <v>3000</v>
      </c>
      <c r="Z1607" s="116">
        <v>1940</v>
      </c>
      <c r="AA1607" s="116">
        <v>2180</v>
      </c>
      <c r="AB1607" s="31">
        <v>5.2</v>
      </c>
      <c r="AC1607" s="31">
        <v>5.2</v>
      </c>
    </row>
    <row r="1608" spans="1:29" ht="15.6" x14ac:dyDescent="0.3">
      <c r="B1608" s="24"/>
      <c r="C1608" s="6"/>
      <c r="D1608" s="6"/>
      <c r="E1608" s="61" t="s">
        <v>187</v>
      </c>
      <c r="F1608" s="304">
        <v>486.47</v>
      </c>
      <c r="G1608" s="304">
        <v>522.27</v>
      </c>
      <c r="H1608" s="304">
        <v>549.4</v>
      </c>
      <c r="I1608" s="304">
        <v>535.37</v>
      </c>
      <c r="J1608" s="304">
        <v>520.5</v>
      </c>
      <c r="K1608" s="304">
        <v>474.58</v>
      </c>
      <c r="L1608" s="304">
        <v>518.54</v>
      </c>
      <c r="M1608" s="304">
        <v>539.1</v>
      </c>
      <c r="N1608" s="304">
        <v>516.41</v>
      </c>
      <c r="O1608" s="61"/>
      <c r="P1608" s="61"/>
      <c r="Q1608" s="62"/>
      <c r="R1608" s="62"/>
      <c r="S1608" s="139"/>
      <c r="T1608" s="5"/>
      <c r="U1608" s="140"/>
      <c r="X1608" s="118"/>
      <c r="Y1608" s="118"/>
      <c r="Z1608" s="118"/>
      <c r="AA1608" s="118"/>
    </row>
    <row r="1609" spans="1:29" ht="13.8" thickBot="1" x14ac:dyDescent="0.3">
      <c r="B1609" s="24"/>
      <c r="C1609" s="6"/>
      <c r="D1609" s="6"/>
      <c r="E1609" s="61" t="s">
        <v>190</v>
      </c>
      <c r="F1609" s="40">
        <f t="shared" ref="F1609:N1609" si="531">IF(((F1607="")*AND(F1608="")),"",(F1607-F1608)*3)</f>
        <v>2131.7699999999995</v>
      </c>
      <c r="G1609" s="40">
        <f t="shared" si="531"/>
        <v>2066.34</v>
      </c>
      <c r="H1609" s="40">
        <f t="shared" si="531"/>
        <v>2009.79</v>
      </c>
      <c r="I1609" s="40">
        <f t="shared" si="531"/>
        <v>1986.2400000000002</v>
      </c>
      <c r="J1609" s="40">
        <f t="shared" si="531"/>
        <v>1928.22</v>
      </c>
      <c r="K1609" s="40">
        <f t="shared" si="531"/>
        <v>2146.3500000000004</v>
      </c>
      <c r="L1609" s="40">
        <f t="shared" si="531"/>
        <v>2082.1499999999996</v>
      </c>
      <c r="M1609" s="40">
        <f t="shared" si="531"/>
        <v>1955.9699999999998</v>
      </c>
      <c r="N1609" s="40">
        <f t="shared" si="531"/>
        <v>1900.65</v>
      </c>
      <c r="O1609" s="61"/>
      <c r="P1609" s="61"/>
      <c r="Q1609" s="62"/>
      <c r="R1609" s="62"/>
      <c r="S1609" s="139"/>
      <c r="T1609" s="5"/>
      <c r="U1609" s="140"/>
      <c r="X1609" s="118"/>
      <c r="Y1609" s="118"/>
      <c r="Z1609" s="118"/>
      <c r="AA1609" s="118"/>
    </row>
    <row r="1610" spans="1:29" ht="15.6" x14ac:dyDescent="0.3">
      <c r="A1610" s="278">
        <v>43797</v>
      </c>
      <c r="B1610" s="218" t="s">
        <v>185</v>
      </c>
      <c r="C1610" s="6" t="s">
        <v>173</v>
      </c>
      <c r="D1610" s="6" t="s">
        <v>172</v>
      </c>
      <c r="E1610" s="61" t="s">
        <v>186</v>
      </c>
      <c r="F1610" s="304">
        <v>28980.1</v>
      </c>
      <c r="G1610" s="304">
        <v>28861.87</v>
      </c>
      <c r="H1610" s="304">
        <v>28856.240000000002</v>
      </c>
      <c r="I1610" s="304">
        <v>28866.65</v>
      </c>
      <c r="J1610" s="304">
        <v>28998.880000000001</v>
      </c>
      <c r="K1610" s="304">
        <v>28991.78</v>
      </c>
      <c r="L1610" s="304">
        <v>28864.27</v>
      </c>
      <c r="M1610" s="304">
        <v>28847.24</v>
      </c>
      <c r="N1610" s="304">
        <v>29006.01</v>
      </c>
      <c r="O1610" s="61">
        <f>IF((N1611=""),"",MAX(F1612:N1612))</f>
        <v>4822.7399999999943</v>
      </c>
      <c r="P1610" s="61">
        <f>IF(N1611="","",MIN(F1612:N1612))</f>
        <v>4155.21000000001</v>
      </c>
      <c r="Q1610" s="62">
        <f>IF((N1612=""),"",AVERAGE(F1612:N1612))</f>
        <v>4452.506666666668</v>
      </c>
      <c r="R1610" s="62">
        <f>IF((N1611=""),"",(O1610-P1610)/(O1610+P1610)*100)</f>
        <v>7.435216279885541</v>
      </c>
      <c r="S1610" s="139">
        <f>STDEV(F1612:N1612)</f>
        <v>271.50283276606615</v>
      </c>
      <c r="T1610" s="5" t="str">
        <f>IF(N1611="","",IF(R1610&lt;16,IF(Q1610&gt;3200,IF(R1610,IF(Q1610&lt;5240,"Pass","Fail"),"Fail"),"Fail")))</f>
        <v>Pass</v>
      </c>
      <c r="U1610" s="149">
        <v>1428</v>
      </c>
      <c r="V1610" s="11" t="s">
        <v>421</v>
      </c>
      <c r="X1610" s="116">
        <v>4200</v>
      </c>
      <c r="Y1610" s="116">
        <v>5500</v>
      </c>
      <c r="Z1610" s="116">
        <v>3200</v>
      </c>
      <c r="AA1610" s="116">
        <v>5240</v>
      </c>
      <c r="AB1610" s="31">
        <v>16</v>
      </c>
      <c r="AC1610" s="31">
        <v>16</v>
      </c>
    </row>
    <row r="1611" spans="1:29" ht="15.6" x14ac:dyDescent="0.3">
      <c r="B1611" s="24"/>
      <c r="C1611" s="6"/>
      <c r="D1611" s="6"/>
      <c r="E1611" s="61" t="s">
        <v>187</v>
      </c>
      <c r="F1611" s="304">
        <v>27372.52</v>
      </c>
      <c r="G1611" s="304">
        <v>27431.72</v>
      </c>
      <c r="H1611" s="304">
        <v>27471.17</v>
      </c>
      <c r="I1611" s="304">
        <v>27460.15</v>
      </c>
      <c r="J1611" s="304">
        <v>27457.51</v>
      </c>
      <c r="K1611" s="304">
        <v>27419.91</v>
      </c>
      <c r="L1611" s="304">
        <v>27453.85</v>
      </c>
      <c r="M1611" s="304">
        <v>27430</v>
      </c>
      <c r="N1611" s="304">
        <v>27418.69</v>
      </c>
      <c r="O1611" s="127"/>
      <c r="P1611" s="61"/>
      <c r="Q1611" s="62"/>
      <c r="R1611" s="62"/>
      <c r="S1611" s="139"/>
      <c r="T1611" s="5"/>
      <c r="U1611" s="140"/>
    </row>
    <row r="1612" spans="1:29" ht="23.4" thickBot="1" x14ac:dyDescent="0.3">
      <c r="B1612" s="63"/>
      <c r="C1612" s="64"/>
      <c r="D1612" s="64"/>
      <c r="E1612" s="61" t="s">
        <v>188</v>
      </c>
      <c r="F1612" s="53">
        <f t="shared" ref="F1612:N1612" si="532">IF(((F1610="")*AND(F1611="")),"",(F1610-F1611)*3)</f>
        <v>4822.7399999999943</v>
      </c>
      <c r="G1612" s="53">
        <f t="shared" si="532"/>
        <v>4290.4499999999935</v>
      </c>
      <c r="H1612" s="53">
        <f t="shared" si="532"/>
        <v>4155.21000000001</v>
      </c>
      <c r="I1612" s="53">
        <f t="shared" si="532"/>
        <v>4219.5</v>
      </c>
      <c r="J1612" s="53">
        <f t="shared" si="532"/>
        <v>4624.1100000000079</v>
      </c>
      <c r="K1612" s="53">
        <f t="shared" si="532"/>
        <v>4715.6099999999969</v>
      </c>
      <c r="L1612" s="53">
        <f t="shared" si="532"/>
        <v>4231.2600000000057</v>
      </c>
      <c r="M1612" s="53">
        <f t="shared" si="532"/>
        <v>4251.7200000000048</v>
      </c>
      <c r="N1612" s="53">
        <f t="shared" si="532"/>
        <v>4761.9599999999991</v>
      </c>
      <c r="O1612" s="65"/>
      <c r="P1612" s="65"/>
      <c r="Q1612" s="66"/>
      <c r="R1612" s="66"/>
      <c r="S1612" s="142"/>
      <c r="T1612" s="143"/>
      <c r="U1612" s="144"/>
    </row>
    <row r="1613" spans="1:29" ht="15.6" x14ac:dyDescent="0.3">
      <c r="A1613" s="278">
        <v>43800</v>
      </c>
      <c r="B1613" s="217" t="s">
        <v>174</v>
      </c>
      <c r="C1613" s="44" t="s">
        <v>176</v>
      </c>
      <c r="D1613" s="44" t="s">
        <v>175</v>
      </c>
      <c r="E1613" s="61" t="s">
        <v>186</v>
      </c>
      <c r="F1613">
        <v>6737.19</v>
      </c>
      <c r="G1613">
        <v>6757.4</v>
      </c>
      <c r="H1613">
        <v>6885.78</v>
      </c>
      <c r="I1613">
        <v>6851.83</v>
      </c>
      <c r="J1613">
        <v>6835.38</v>
      </c>
      <c r="K1613">
        <v>6726.25</v>
      </c>
      <c r="L1613">
        <v>6818.8</v>
      </c>
      <c r="M1613">
        <v>6865.4</v>
      </c>
      <c r="N1613">
        <v>6820.86</v>
      </c>
      <c r="O1613" s="59">
        <f>IF((N1614=""),"",MAX(F1615:N1615))</f>
        <v>3948.7999999999993</v>
      </c>
      <c r="P1613" s="59">
        <f>IF(N1614="","",MIN(F1615:N1615))</f>
        <v>3612.9400000000005</v>
      </c>
      <c r="Q1613" s="60">
        <f>IF((N1615=""),"",AVERAGE(F1615:N1615))</f>
        <v>3826.2644444444441</v>
      </c>
      <c r="R1613" s="60">
        <f>IF((N1614=""),"",(O1613-P1613)/(O1613+P1613)*100)</f>
        <v>4.4415703264063398</v>
      </c>
      <c r="S1613" s="131">
        <f>STDEV(F1615:N1615)</f>
        <v>114.38115919056652</v>
      </c>
      <c r="T1613" s="137" t="str">
        <f>IF(N1614="","",IF(Q1613&gt;3650,IF(R1613&lt;7,IF(Q1613&lt;4450,"Pass","Fail"),"Fail"),"Fail"))</f>
        <v>Pass</v>
      </c>
      <c r="U1613" s="149">
        <v>1335</v>
      </c>
      <c r="V1613" s="11" t="s">
        <v>424</v>
      </c>
      <c r="X1613" s="116">
        <v>3650</v>
      </c>
      <c r="Y1613" s="116">
        <v>4450</v>
      </c>
      <c r="Z1613" s="116">
        <v>3700</v>
      </c>
      <c r="AA1613" s="116">
        <v>4100</v>
      </c>
      <c r="AB1613" s="31">
        <v>7</v>
      </c>
      <c r="AC1613" s="31">
        <v>6.5</v>
      </c>
    </row>
    <row r="1614" spans="1:29" ht="15.6" x14ac:dyDescent="0.3">
      <c r="B1614" s="24"/>
      <c r="C1614" s="6"/>
      <c r="D1614" s="6"/>
      <c r="E1614" s="61" t="s">
        <v>187</v>
      </c>
      <c r="F1614">
        <v>4895.33</v>
      </c>
      <c r="G1614">
        <v>4818.09</v>
      </c>
      <c r="H1614">
        <v>4921.55</v>
      </c>
      <c r="I1614">
        <v>4902.47</v>
      </c>
      <c r="J1614">
        <v>4948.97</v>
      </c>
      <c r="K1614">
        <v>4919.78</v>
      </c>
      <c r="L1614">
        <v>4881.07</v>
      </c>
      <c r="M1614">
        <v>4891</v>
      </c>
      <c r="N1614">
        <v>4902.4399999999996</v>
      </c>
      <c r="O1614" s="61"/>
      <c r="P1614" s="61"/>
      <c r="Q1614" s="62"/>
      <c r="R1614" s="62"/>
      <c r="S1614" s="139"/>
      <c r="T1614" s="8"/>
      <c r="U1614" s="146"/>
      <c r="X1614" s="118"/>
      <c r="Y1614" s="118"/>
      <c r="Z1614" s="118"/>
      <c r="AA1614" s="118"/>
    </row>
    <row r="1615" spans="1:29" ht="23.4" thickBot="1" x14ac:dyDescent="0.3">
      <c r="B1615" s="24"/>
      <c r="C1615" s="6"/>
      <c r="D1615" s="6"/>
      <c r="E1615" s="61" t="s">
        <v>188</v>
      </c>
      <c r="F1615" s="40">
        <f t="shared" ref="F1615:N1615" si="533">IF(((F1613="")*AND(F1614="")),"",(F1613-F1614)*2)</f>
        <v>3683.7199999999993</v>
      </c>
      <c r="G1615" s="40">
        <f t="shared" si="533"/>
        <v>3878.619999999999</v>
      </c>
      <c r="H1615" s="40">
        <f t="shared" si="533"/>
        <v>3928.4599999999991</v>
      </c>
      <c r="I1615" s="40">
        <f t="shared" si="533"/>
        <v>3898.7199999999993</v>
      </c>
      <c r="J1615" s="40">
        <f t="shared" si="533"/>
        <v>3772.8199999999997</v>
      </c>
      <c r="K1615" s="40">
        <f t="shared" si="533"/>
        <v>3612.9400000000005</v>
      </c>
      <c r="L1615" s="40">
        <f t="shared" si="533"/>
        <v>3875.4600000000009</v>
      </c>
      <c r="M1615" s="40">
        <f t="shared" si="533"/>
        <v>3948.7999999999993</v>
      </c>
      <c r="N1615" s="40">
        <f t="shared" si="533"/>
        <v>3836.84</v>
      </c>
      <c r="O1615" s="61"/>
      <c r="P1615" s="61"/>
      <c r="Q1615" s="62"/>
      <c r="R1615" s="62"/>
      <c r="S1615" s="139"/>
      <c r="T1615" s="8"/>
      <c r="U1615" s="146"/>
      <c r="X1615" s="118"/>
      <c r="Y1615" s="118"/>
      <c r="Z1615" s="118"/>
      <c r="AA1615" s="118"/>
    </row>
    <row r="1616" spans="1:29" ht="15.6" x14ac:dyDescent="0.3">
      <c r="A1616" s="278">
        <v>43800</v>
      </c>
      <c r="B1616" s="215" t="s">
        <v>169</v>
      </c>
      <c r="C1616" s="6" t="s">
        <v>171</v>
      </c>
      <c r="D1616" s="6" t="s">
        <v>189</v>
      </c>
      <c r="E1616" s="61" t="s">
        <v>186</v>
      </c>
      <c r="F1616">
        <v>1939.8</v>
      </c>
      <c r="G1616">
        <v>1938.95</v>
      </c>
      <c r="H1616">
        <v>1931.49</v>
      </c>
      <c r="I1616">
        <v>1937.95</v>
      </c>
      <c r="J1616">
        <v>1941.62</v>
      </c>
      <c r="K1616">
        <v>1944.7</v>
      </c>
      <c r="L1616">
        <v>1934.9</v>
      </c>
      <c r="M1616">
        <v>1938.01</v>
      </c>
      <c r="N1616">
        <v>1941.69</v>
      </c>
      <c r="O1616" s="61">
        <f>IF((N1617=""),"",MAX(F1618:N1618))</f>
        <v>2061.0299999999997</v>
      </c>
      <c r="P1616" s="61">
        <f>IF(N1617="","",MIN(F1618:N1618))</f>
        <v>2013.3000000000004</v>
      </c>
      <c r="Q1616" s="62">
        <f>IF((N1618=""),"",AVERAGE(F1618:N1618))</f>
        <v>2039.9933333333331</v>
      </c>
      <c r="R1616" s="62">
        <f>IF((N1617=""),"",(O1616-P1616)/(O1616+P1616)*100)</f>
        <v>1.171480955150892</v>
      </c>
      <c r="S1616" s="139">
        <f>STDEV(F1618:N1618)</f>
        <v>17.22654347221151</v>
      </c>
      <c r="T1616" s="5" t="str">
        <f>IF(N1617="","",IF(Q1616&gt;1940,IF(R1616&lt;8.3,IF(Q1616&lt;2180,"Pass","Fail"),"Fail"),"Fail"))</f>
        <v>Pass</v>
      </c>
      <c r="U1616" s="149">
        <v>1335</v>
      </c>
      <c r="V1616" s="11" t="s">
        <v>424</v>
      </c>
      <c r="X1616" s="116">
        <v>2000</v>
      </c>
      <c r="Y1616" s="116">
        <v>3000</v>
      </c>
      <c r="Z1616" s="116">
        <v>1940</v>
      </c>
      <c r="AA1616" s="116">
        <v>2180</v>
      </c>
      <c r="AB1616" s="31">
        <v>5.2</v>
      </c>
      <c r="AC1616" s="31">
        <v>5.2</v>
      </c>
    </row>
    <row r="1617" spans="1:29" ht="15.6" x14ac:dyDescent="0.3">
      <c r="B1617" s="24"/>
      <c r="C1617" s="6"/>
      <c r="D1617" s="6"/>
      <c r="E1617" s="61" t="s">
        <v>187</v>
      </c>
      <c r="F1617">
        <v>1261.33</v>
      </c>
      <c r="G1617">
        <v>1251.94</v>
      </c>
      <c r="H1617">
        <v>1247.6500000000001</v>
      </c>
      <c r="I1617">
        <v>1252.9000000000001</v>
      </c>
      <c r="J1617">
        <v>1269.0999999999999</v>
      </c>
      <c r="K1617">
        <v>1266.32</v>
      </c>
      <c r="L1617">
        <v>1256.82</v>
      </c>
      <c r="M1617">
        <v>1252.48</v>
      </c>
      <c r="N1617">
        <v>1270.5899999999999</v>
      </c>
      <c r="O1617" s="61"/>
      <c r="P1617" s="61"/>
      <c r="Q1617" s="62"/>
      <c r="R1617" s="62"/>
      <c r="S1617" s="139"/>
      <c r="T1617" s="5"/>
      <c r="U1617" s="140"/>
      <c r="X1617" s="118"/>
      <c r="Y1617" s="118"/>
      <c r="Z1617" s="118"/>
      <c r="AA1617" s="118"/>
    </row>
    <row r="1618" spans="1:29" ht="13.8" thickBot="1" x14ac:dyDescent="0.3">
      <c r="B1618" s="24"/>
      <c r="C1618" s="6"/>
      <c r="D1618" s="6"/>
      <c r="E1618" s="61" t="s">
        <v>190</v>
      </c>
      <c r="F1618" s="40">
        <f t="shared" ref="F1618:N1618" si="534">IF(((F1616="")*AND(F1617="")),"",(F1616-F1617)*3)</f>
        <v>2035.41</v>
      </c>
      <c r="G1618" s="40">
        <f t="shared" si="534"/>
        <v>2061.0299999999997</v>
      </c>
      <c r="H1618" s="40">
        <f t="shared" si="534"/>
        <v>2051.5199999999995</v>
      </c>
      <c r="I1618" s="40">
        <f t="shared" si="534"/>
        <v>2055.1499999999996</v>
      </c>
      <c r="J1618" s="40">
        <f t="shared" si="534"/>
        <v>2017.56</v>
      </c>
      <c r="K1618" s="40">
        <f t="shared" si="534"/>
        <v>2035.1400000000003</v>
      </c>
      <c r="L1618" s="40">
        <f t="shared" si="534"/>
        <v>2034.2400000000005</v>
      </c>
      <c r="M1618" s="40">
        <f t="shared" si="534"/>
        <v>2056.59</v>
      </c>
      <c r="N1618" s="40">
        <f t="shared" si="534"/>
        <v>2013.3000000000004</v>
      </c>
      <c r="O1618" s="61"/>
      <c r="P1618" s="61"/>
      <c r="Q1618" s="62"/>
      <c r="R1618" s="62"/>
      <c r="S1618" s="139"/>
      <c r="T1618" s="5"/>
      <c r="U1618" s="140"/>
      <c r="X1618" s="118"/>
      <c r="Y1618" s="118"/>
      <c r="Z1618" s="118"/>
      <c r="AA1618" s="118"/>
    </row>
    <row r="1619" spans="1:29" ht="15.6" x14ac:dyDescent="0.3">
      <c r="A1619" s="278">
        <v>43800</v>
      </c>
      <c r="B1619" s="218" t="s">
        <v>185</v>
      </c>
      <c r="C1619" s="6" t="s">
        <v>173</v>
      </c>
      <c r="D1619" s="6" t="s">
        <v>172</v>
      </c>
      <c r="E1619" s="61" t="s">
        <v>186</v>
      </c>
      <c r="F1619">
        <v>29277.67</v>
      </c>
      <c r="G1619">
        <v>29160.48</v>
      </c>
      <c r="H1619">
        <v>29144.11</v>
      </c>
      <c r="I1619">
        <v>29122.07</v>
      </c>
      <c r="J1619">
        <v>29195.99</v>
      </c>
      <c r="K1619">
        <v>29122.07</v>
      </c>
      <c r="L1619">
        <v>29101.040000000001</v>
      </c>
      <c r="M1619">
        <v>29139.38</v>
      </c>
      <c r="N1619">
        <v>29257.35</v>
      </c>
      <c r="O1619" s="61">
        <f>IF((N1620=""),"",MAX(F1621:N1621))</f>
        <v>4866.8099999999904</v>
      </c>
      <c r="P1619" s="61">
        <f>IF(N1620="","",MIN(F1621:N1621))</f>
        <v>3956.4900000000052</v>
      </c>
      <c r="Q1619" s="62">
        <f>IF((N1621=""),"",AVERAGE(F1621:N1621))</f>
        <v>4295.083333333333</v>
      </c>
      <c r="R1619" s="62">
        <f>IF((N1620=""),"",(O1619-P1619)/(O1619+P1619)*100)</f>
        <v>10.317228247934283</v>
      </c>
      <c r="S1619" s="139">
        <f>STDEV(F1621:N1621)</f>
        <v>295.95151144232841</v>
      </c>
      <c r="T1619" s="5" t="str">
        <f>IF(N1620="","",IF(R1619&lt;16,IF(Q1619&gt;3200,IF(R1619,IF(Q1619&lt;5240,"Pass","Fail"),"Fail"),"Fail")))</f>
        <v>Pass</v>
      </c>
      <c r="U1619" s="149">
        <v>1335</v>
      </c>
      <c r="V1619" s="11" t="s">
        <v>424</v>
      </c>
      <c r="X1619" s="116">
        <v>4200</v>
      </c>
      <c r="Y1619" s="116">
        <v>5500</v>
      </c>
      <c r="Z1619" s="116">
        <v>3200</v>
      </c>
      <c r="AA1619" s="116">
        <v>5240</v>
      </c>
      <c r="AB1619" s="31">
        <v>16</v>
      </c>
      <c r="AC1619" s="31">
        <v>16</v>
      </c>
    </row>
    <row r="1620" spans="1:29" ht="15.6" x14ac:dyDescent="0.3">
      <c r="B1620" s="24"/>
      <c r="C1620" s="6"/>
      <c r="D1620" s="6"/>
      <c r="E1620" s="61" t="s">
        <v>187</v>
      </c>
      <c r="F1620">
        <v>27778.16</v>
      </c>
      <c r="G1620">
        <v>27798.84</v>
      </c>
      <c r="H1620">
        <v>27825.279999999999</v>
      </c>
      <c r="I1620">
        <v>27722.13</v>
      </c>
      <c r="J1620">
        <v>27661.69</v>
      </c>
      <c r="K1620">
        <v>27751.31</v>
      </c>
      <c r="L1620">
        <v>27726.12</v>
      </c>
      <c r="M1620">
        <v>27736.3</v>
      </c>
      <c r="N1620">
        <v>27635.08</v>
      </c>
      <c r="O1620" s="127"/>
      <c r="P1620" s="61"/>
      <c r="Q1620" s="62"/>
      <c r="R1620" s="62"/>
      <c r="S1620" s="139"/>
      <c r="T1620" s="5"/>
      <c r="U1620" s="140"/>
    </row>
    <row r="1621" spans="1:29" ht="23.4" thickBot="1" x14ac:dyDescent="0.3">
      <c r="B1621" s="63"/>
      <c r="C1621" s="64"/>
      <c r="D1621" s="64"/>
      <c r="E1621" s="61" t="s">
        <v>188</v>
      </c>
      <c r="F1621" s="53">
        <f t="shared" ref="F1621:N1621" si="535">IF(((F1619="")*AND(F1620="")),"",(F1619-F1620)*3)</f>
        <v>4498.5299999999952</v>
      </c>
      <c r="G1621" s="53">
        <f t="shared" si="535"/>
        <v>4084.9199999999983</v>
      </c>
      <c r="H1621" s="53">
        <f t="shared" si="535"/>
        <v>3956.4900000000052</v>
      </c>
      <c r="I1621" s="53">
        <f t="shared" si="535"/>
        <v>4199.8199999999961</v>
      </c>
      <c r="J1621" s="53">
        <f t="shared" si="535"/>
        <v>4602.9000000000087</v>
      </c>
      <c r="K1621" s="53">
        <f t="shared" si="535"/>
        <v>4112.2799999999952</v>
      </c>
      <c r="L1621" s="53">
        <f t="shared" si="535"/>
        <v>4124.7600000000057</v>
      </c>
      <c r="M1621" s="53">
        <f t="shared" si="535"/>
        <v>4209.2400000000052</v>
      </c>
      <c r="N1621" s="53">
        <f t="shared" si="535"/>
        <v>4866.8099999999904</v>
      </c>
      <c r="O1621" s="65"/>
      <c r="P1621" s="65"/>
      <c r="Q1621" s="66"/>
      <c r="R1621" s="66"/>
      <c r="S1621" s="142"/>
      <c r="T1621" s="143"/>
      <c r="U1621" s="144"/>
    </row>
    <row r="1622" spans="1:29" ht="15.6" x14ac:dyDescent="0.3">
      <c r="A1622" s="278">
        <v>43804</v>
      </c>
      <c r="B1622" s="217" t="s">
        <v>174</v>
      </c>
      <c r="C1622" s="44" t="s">
        <v>176</v>
      </c>
      <c r="D1622" s="44" t="s">
        <v>175</v>
      </c>
      <c r="E1622" s="61" t="s">
        <v>186</v>
      </c>
      <c r="F1622">
        <v>4907.1899999999996</v>
      </c>
      <c r="G1622">
        <v>4832.8999999999996</v>
      </c>
      <c r="H1622">
        <v>4930.95</v>
      </c>
      <c r="I1622">
        <v>4913.2</v>
      </c>
      <c r="J1622">
        <v>4957.3999999999996</v>
      </c>
      <c r="K1622">
        <v>4928.9799999999996</v>
      </c>
      <c r="L1622">
        <v>4892.7</v>
      </c>
      <c r="M1622">
        <v>4902.16</v>
      </c>
      <c r="N1622">
        <v>4913.32</v>
      </c>
      <c r="O1622" s="59">
        <f>IF((N1623=""),"",MAX(F1624:N1624))</f>
        <v>4091.0999999999995</v>
      </c>
      <c r="P1622" s="59">
        <f>IF(N1623="","",MIN(F1624:N1624))</f>
        <v>3776.8199999999988</v>
      </c>
      <c r="Q1622" s="60">
        <f>IF((N1624=""),"",AVERAGE(F1624:N1624))</f>
        <v>3972.4488888888882</v>
      </c>
      <c r="R1622" s="60">
        <f>IF((N1623=""),"",(O1622-P1622)/(O1622+P1622)*100)</f>
        <v>3.9944483421285515</v>
      </c>
      <c r="S1622" s="131">
        <f>STDEV(F1624:N1624)</f>
        <v>109.6988327700489</v>
      </c>
      <c r="T1622" s="137" t="str">
        <f>IF(N1623="","",IF(Q1622&gt;3650,IF(R1622&lt;7,IF(Q1622&lt;4450,"Pass","Fail"),"Fail"),"Fail"))</f>
        <v>Pass</v>
      </c>
      <c r="U1622" s="149" t="s">
        <v>427</v>
      </c>
      <c r="X1622" s="116">
        <v>3650</v>
      </c>
      <c r="Y1622" s="116">
        <v>4450</v>
      </c>
      <c r="Z1622" s="116">
        <v>3700</v>
      </c>
      <c r="AA1622" s="116">
        <v>4100</v>
      </c>
      <c r="AB1622" s="31">
        <v>7</v>
      </c>
      <c r="AC1622" s="31">
        <v>6.5</v>
      </c>
    </row>
    <row r="1623" spans="1:29" ht="15.6" x14ac:dyDescent="0.3">
      <c r="B1623" s="24"/>
      <c r="C1623" s="6"/>
      <c r="D1623" s="6"/>
      <c r="E1623" s="61" t="s">
        <v>187</v>
      </c>
      <c r="F1623">
        <v>2995.33</v>
      </c>
      <c r="G1623">
        <v>2808.52</v>
      </c>
      <c r="H1623">
        <v>2905.69</v>
      </c>
      <c r="I1623">
        <v>2892.73</v>
      </c>
      <c r="J1623">
        <v>2998.93</v>
      </c>
      <c r="K1623">
        <v>3040.57</v>
      </c>
      <c r="L1623">
        <v>2884.74</v>
      </c>
      <c r="M1623">
        <v>2856.61</v>
      </c>
      <c r="N1623">
        <v>2919.66</v>
      </c>
      <c r="O1623" s="61"/>
      <c r="P1623" s="61"/>
      <c r="Q1623" s="62"/>
      <c r="R1623" s="62"/>
      <c r="S1623" s="139"/>
      <c r="T1623" s="8"/>
      <c r="U1623" s="146"/>
      <c r="X1623" s="118"/>
      <c r="Y1623" s="118"/>
      <c r="Z1623" s="118"/>
      <c r="AA1623" s="118"/>
    </row>
    <row r="1624" spans="1:29" ht="23.4" thickBot="1" x14ac:dyDescent="0.3">
      <c r="B1624" s="24"/>
      <c r="C1624" s="6"/>
      <c r="D1624" s="6"/>
      <c r="E1624" s="61" t="s">
        <v>188</v>
      </c>
      <c r="F1624" s="40">
        <f t="shared" ref="F1624:N1624" si="536">IF(((F1622="")*AND(F1623="")),"",(F1622-F1623)*2)</f>
        <v>3823.7199999999993</v>
      </c>
      <c r="G1624" s="40">
        <f t="shared" si="536"/>
        <v>4048.7599999999993</v>
      </c>
      <c r="H1624" s="40">
        <f t="shared" si="536"/>
        <v>4050.5199999999995</v>
      </c>
      <c r="I1624" s="40">
        <f t="shared" si="536"/>
        <v>4040.9399999999996</v>
      </c>
      <c r="J1624" s="40">
        <f t="shared" si="536"/>
        <v>3916.9399999999996</v>
      </c>
      <c r="K1624" s="40">
        <f t="shared" si="536"/>
        <v>3776.8199999999988</v>
      </c>
      <c r="L1624" s="40">
        <f t="shared" si="536"/>
        <v>4015.92</v>
      </c>
      <c r="M1624" s="40">
        <f t="shared" si="536"/>
        <v>4091.0999999999995</v>
      </c>
      <c r="N1624" s="40">
        <f t="shared" si="536"/>
        <v>3987.3199999999997</v>
      </c>
      <c r="O1624" s="61"/>
      <c r="P1624" s="61"/>
      <c r="Q1624" s="62"/>
      <c r="R1624" s="62"/>
      <c r="S1624" s="139"/>
      <c r="T1624" s="8"/>
      <c r="U1624" s="146"/>
      <c r="X1624" s="118"/>
      <c r="Y1624" s="118"/>
      <c r="Z1624" s="118"/>
      <c r="AA1624" s="118"/>
    </row>
    <row r="1625" spans="1:29" ht="15.6" x14ac:dyDescent="0.3">
      <c r="A1625" s="278">
        <v>43804</v>
      </c>
      <c r="B1625" s="215" t="s">
        <v>169</v>
      </c>
      <c r="C1625" s="6" t="s">
        <v>171</v>
      </c>
      <c r="D1625" s="6" t="s">
        <v>189</v>
      </c>
      <c r="E1625" s="61" t="s">
        <v>186</v>
      </c>
      <c r="F1625">
        <v>1276.08</v>
      </c>
      <c r="G1625">
        <v>1268.6400000000001</v>
      </c>
      <c r="H1625">
        <v>1268.5999999999999</v>
      </c>
      <c r="I1625">
        <v>1269.04</v>
      </c>
      <c r="J1625">
        <v>1286.27</v>
      </c>
      <c r="K1625">
        <v>1282.3900000000001</v>
      </c>
      <c r="L1625">
        <v>1271.53</v>
      </c>
      <c r="M1625">
        <v>1266.24</v>
      </c>
      <c r="N1625">
        <v>1286.17</v>
      </c>
      <c r="O1625" s="61">
        <f>IF((N1626=""),"",MAX(F1627:N1627))</f>
        <v>2025</v>
      </c>
      <c r="P1625" s="61">
        <f>IF(N1626="","",MIN(F1627:N1627))</f>
        <v>1997.5500000000002</v>
      </c>
      <c r="Q1625" s="62">
        <f>IF((N1627=""),"",AVERAGE(F1627:N1627))</f>
        <v>2013.9133333333334</v>
      </c>
      <c r="R1625" s="62">
        <f>IF((N1626=""),"",(O1625-P1625)/(O1625+P1625)*100)</f>
        <v>0.68240295335048207</v>
      </c>
      <c r="S1625" s="139">
        <f>STDEV(F1627:N1627)</f>
        <v>8.2458959488947574</v>
      </c>
      <c r="T1625" s="5" t="str">
        <f>IF(N1626="","",IF(Q1625&gt;1940,IF(R1625&lt;8.3,IF(Q1625&lt;2180,"Pass","Fail"),"Fail"),"Fail"))</f>
        <v>Pass</v>
      </c>
      <c r="U1625" s="149" t="s">
        <v>427</v>
      </c>
      <c r="X1625" s="116">
        <v>2000</v>
      </c>
      <c r="Y1625" s="116">
        <v>3000</v>
      </c>
      <c r="Z1625" s="116">
        <v>1940</v>
      </c>
      <c r="AA1625" s="116">
        <v>2180</v>
      </c>
      <c r="AB1625" s="31">
        <v>5.2</v>
      </c>
      <c r="AC1625" s="31">
        <v>5.2</v>
      </c>
    </row>
    <row r="1626" spans="1:29" ht="15.6" x14ac:dyDescent="0.3">
      <c r="B1626" s="24"/>
      <c r="C1626" s="6"/>
      <c r="D1626" s="6"/>
      <c r="E1626" s="61" t="s">
        <v>187</v>
      </c>
      <c r="F1626">
        <v>604.65</v>
      </c>
      <c r="G1626">
        <v>595.20000000000005</v>
      </c>
      <c r="H1626">
        <v>594.79999999999995</v>
      </c>
      <c r="I1626">
        <v>598.79999999999995</v>
      </c>
      <c r="J1626">
        <v>620.41999999999996</v>
      </c>
      <c r="K1626">
        <v>611.64</v>
      </c>
      <c r="L1626">
        <v>599.53</v>
      </c>
      <c r="M1626">
        <v>591.24</v>
      </c>
      <c r="N1626">
        <v>616.94000000000005</v>
      </c>
      <c r="O1626" s="61"/>
      <c r="P1626" s="61"/>
      <c r="Q1626" s="62"/>
      <c r="R1626" s="62"/>
      <c r="S1626" s="139"/>
      <c r="T1626" s="5"/>
      <c r="U1626" s="140"/>
      <c r="X1626" s="118"/>
      <c r="Y1626" s="118"/>
      <c r="Z1626" s="118"/>
      <c r="AA1626" s="118"/>
    </row>
    <row r="1627" spans="1:29" ht="13.8" thickBot="1" x14ac:dyDescent="0.3">
      <c r="B1627" s="24"/>
      <c r="C1627" s="6"/>
      <c r="D1627" s="6"/>
      <c r="E1627" s="61" t="s">
        <v>190</v>
      </c>
      <c r="F1627" s="40">
        <f t="shared" ref="F1627:N1627" si="537">IF(((F1625="")*AND(F1626="")),"",(F1625-F1626)*3)</f>
        <v>2014.29</v>
      </c>
      <c r="G1627" s="40">
        <f t="shared" si="537"/>
        <v>2020.3200000000002</v>
      </c>
      <c r="H1627" s="40">
        <f t="shared" si="537"/>
        <v>2021.3999999999999</v>
      </c>
      <c r="I1627" s="40">
        <f t="shared" si="537"/>
        <v>2010.72</v>
      </c>
      <c r="J1627" s="40">
        <f t="shared" si="537"/>
        <v>1997.5500000000002</v>
      </c>
      <c r="K1627" s="40">
        <f t="shared" si="537"/>
        <v>2012.2500000000005</v>
      </c>
      <c r="L1627" s="40">
        <f t="shared" si="537"/>
        <v>2016</v>
      </c>
      <c r="M1627" s="40">
        <f t="shared" si="537"/>
        <v>2025</v>
      </c>
      <c r="N1627" s="40">
        <f t="shared" si="537"/>
        <v>2007.69</v>
      </c>
      <c r="O1627" s="61"/>
      <c r="P1627" s="61"/>
      <c r="Q1627" s="62"/>
      <c r="R1627" s="62"/>
      <c r="S1627" s="139"/>
      <c r="T1627" s="5"/>
      <c r="U1627" s="140"/>
      <c r="X1627" s="118"/>
      <c r="Y1627" s="118"/>
      <c r="Z1627" s="118"/>
      <c r="AA1627" s="118"/>
    </row>
    <row r="1628" spans="1:29" ht="15.6" x14ac:dyDescent="0.3">
      <c r="A1628" s="278">
        <v>43804</v>
      </c>
      <c r="B1628" s="218" t="s">
        <v>185</v>
      </c>
      <c r="C1628" s="6" t="s">
        <v>173</v>
      </c>
      <c r="D1628" s="6" t="s">
        <v>172</v>
      </c>
      <c r="E1628" s="61" t="s">
        <v>186</v>
      </c>
      <c r="F1628">
        <v>27707.599999999999</v>
      </c>
      <c r="G1628">
        <v>27728.32</v>
      </c>
      <c r="H1628">
        <v>27772.22</v>
      </c>
      <c r="I1628">
        <v>27688.53</v>
      </c>
      <c r="J1628">
        <v>27598.560000000001</v>
      </c>
      <c r="K1628">
        <v>27704.82</v>
      </c>
      <c r="L1628">
        <v>27729.74</v>
      </c>
      <c r="M1628">
        <v>27714.28</v>
      </c>
      <c r="N1628">
        <v>27645.69</v>
      </c>
      <c r="O1628" s="61">
        <f>IF((N1629=""),"",MAX(F1630:N1630))</f>
        <v>4734.0299999999952</v>
      </c>
      <c r="P1628" s="61">
        <f>IF(N1629="","",MIN(F1630:N1630))</f>
        <v>3904.4700000000048</v>
      </c>
      <c r="Q1628" s="62">
        <f>IF((N1630=""),"",AVERAGE(F1630:N1630))</f>
        <v>4323.2533333333331</v>
      </c>
      <c r="R1628" s="62">
        <f>IF((N1629=""),"",(O1628-P1628)/(O1628+P1628)*100)</f>
        <v>9.6030560861259531</v>
      </c>
      <c r="S1628" s="139">
        <f>STDEV(F1630:N1630)</f>
        <v>299.02667949532326</v>
      </c>
      <c r="T1628" s="5" t="str">
        <f>IF(N1629="","",IF(R1628&lt;16,IF(Q1628&gt;3200,IF(R1628,IF(Q1628&lt;5240,"Pass","Fail"),"Fail"),"Fail")))</f>
        <v>Pass</v>
      </c>
      <c r="U1628" s="149" t="s">
        <v>427</v>
      </c>
      <c r="X1628" s="116">
        <v>4200</v>
      </c>
      <c r="Y1628" s="116">
        <v>5500</v>
      </c>
      <c r="Z1628" s="116">
        <v>3200</v>
      </c>
      <c r="AA1628" s="116">
        <v>5240</v>
      </c>
      <c r="AB1628" s="31">
        <v>16</v>
      </c>
      <c r="AC1628" s="31">
        <v>16</v>
      </c>
    </row>
    <row r="1629" spans="1:29" ht="15.6" x14ac:dyDescent="0.3">
      <c r="B1629" s="24"/>
      <c r="C1629" s="6"/>
      <c r="D1629" s="6"/>
      <c r="E1629" s="61" t="s">
        <v>187</v>
      </c>
      <c r="F1629">
        <v>26170.3</v>
      </c>
      <c r="G1629">
        <v>26371</v>
      </c>
      <c r="H1629">
        <v>26470.73</v>
      </c>
      <c r="I1629">
        <v>26328.06</v>
      </c>
      <c r="J1629">
        <v>26070.97</v>
      </c>
      <c r="K1629">
        <v>26183.72</v>
      </c>
      <c r="L1629">
        <v>26334.26</v>
      </c>
      <c r="M1629">
        <v>26323.279999999999</v>
      </c>
      <c r="N1629">
        <v>26067.68</v>
      </c>
      <c r="O1629" s="127"/>
      <c r="P1629" s="61"/>
      <c r="Q1629" s="62"/>
      <c r="R1629" s="62"/>
      <c r="S1629" s="139"/>
      <c r="T1629" s="5"/>
      <c r="U1629" s="140"/>
    </row>
    <row r="1630" spans="1:29" ht="23.4" thickBot="1" x14ac:dyDescent="0.3">
      <c r="B1630" s="63"/>
      <c r="C1630" s="64"/>
      <c r="D1630" s="64"/>
      <c r="E1630" s="61" t="s">
        <v>188</v>
      </c>
      <c r="F1630" s="53">
        <f t="shared" ref="F1630:N1630" si="538">IF(((F1628="")*AND(F1629="")),"",(F1628-F1629)*3)</f>
        <v>4611.8999999999978</v>
      </c>
      <c r="G1630" s="53">
        <f t="shared" si="538"/>
        <v>4071.9599999999991</v>
      </c>
      <c r="H1630" s="53">
        <f t="shared" si="538"/>
        <v>3904.4700000000048</v>
      </c>
      <c r="I1630" s="53">
        <f t="shared" si="538"/>
        <v>4081.4099999999926</v>
      </c>
      <c r="J1630" s="53">
        <f t="shared" si="538"/>
        <v>4582.7700000000004</v>
      </c>
      <c r="K1630" s="53">
        <f t="shared" si="538"/>
        <v>4563.2999999999956</v>
      </c>
      <c r="L1630" s="53">
        <f t="shared" si="538"/>
        <v>4186.4400000000096</v>
      </c>
      <c r="M1630" s="53">
        <f t="shared" si="538"/>
        <v>4173</v>
      </c>
      <c r="N1630" s="53">
        <f t="shared" si="538"/>
        <v>4734.0299999999952</v>
      </c>
      <c r="O1630" s="65"/>
      <c r="P1630" s="65"/>
      <c r="Q1630" s="66"/>
      <c r="R1630" s="66"/>
      <c r="S1630" s="142"/>
      <c r="T1630" s="143"/>
      <c r="U1630" s="144"/>
    </row>
    <row r="1631" spans="1:29" ht="15.6" x14ac:dyDescent="0.3">
      <c r="A1631" s="278">
        <v>43807</v>
      </c>
      <c r="B1631" s="217" t="s">
        <v>174</v>
      </c>
      <c r="C1631" s="44" t="s">
        <v>176</v>
      </c>
      <c r="D1631" s="44" t="s">
        <v>175</v>
      </c>
      <c r="E1631" s="61" t="s">
        <v>186</v>
      </c>
      <c r="F1631">
        <v>3002.82</v>
      </c>
      <c r="G1631">
        <v>2816.53</v>
      </c>
      <c r="H1631">
        <v>2915.08</v>
      </c>
      <c r="I1631">
        <v>2902.08</v>
      </c>
      <c r="J1631">
        <v>3006.84</v>
      </c>
      <c r="K1631">
        <v>3048.79</v>
      </c>
      <c r="L1631">
        <v>2893.41</v>
      </c>
      <c r="M1631">
        <v>2865.54</v>
      </c>
      <c r="N1631">
        <v>2927.07</v>
      </c>
      <c r="O1631" s="59">
        <f>IF((N1632=""),"",MAX(F1633:N1633))</f>
        <v>4098.24</v>
      </c>
      <c r="P1631" s="59">
        <f>IF(N1632="","",MIN(F1633:N1633))</f>
        <v>3808.7799999999997</v>
      </c>
      <c r="Q1631" s="60">
        <f>IF((N1633=""),"",AVERAGE(F1633:N1633))</f>
        <v>3995.8422222222225</v>
      </c>
      <c r="R1631" s="60">
        <f>IF((N1632=""),"",(O1631-P1631)/(O1631+P1631)*100)</f>
        <v>3.6607976203424304</v>
      </c>
      <c r="S1631" s="131">
        <f>STDEV(F1633:N1633)</f>
        <v>105.09715098157712</v>
      </c>
      <c r="T1631" s="137" t="str">
        <f>IF(N1632="","",IF(Q1631&gt;3650,IF(R1631&lt;7,IF(Q1631&lt;4450,"Pass","Fail"),"Fail"),"Fail"))</f>
        <v>Pass</v>
      </c>
      <c r="U1631" s="149">
        <v>102</v>
      </c>
      <c r="V1631" s="11" t="s">
        <v>429</v>
      </c>
      <c r="X1631" s="116">
        <v>3650</v>
      </c>
      <c r="Y1631" s="116">
        <v>4450</v>
      </c>
      <c r="Z1631" s="116">
        <v>3700</v>
      </c>
      <c r="AA1631" s="116">
        <v>4100</v>
      </c>
      <c r="AB1631" s="31">
        <v>7</v>
      </c>
      <c r="AC1631" s="31">
        <v>6.5</v>
      </c>
    </row>
    <row r="1632" spans="1:29" ht="15.6" x14ac:dyDescent="0.3">
      <c r="B1632" s="24"/>
      <c r="C1632" s="6"/>
      <c r="D1632" s="6"/>
      <c r="E1632" s="61" t="s">
        <v>187</v>
      </c>
      <c r="F1632">
        <v>1081.5999999999999</v>
      </c>
      <c r="G1632">
        <v>794.84</v>
      </c>
      <c r="H1632">
        <v>872.96</v>
      </c>
      <c r="I1632">
        <v>865.94</v>
      </c>
      <c r="J1632">
        <v>1021.98</v>
      </c>
      <c r="K1632">
        <v>1144.4000000000001</v>
      </c>
      <c r="L1632">
        <v>869.25</v>
      </c>
      <c r="M1632">
        <v>816.42</v>
      </c>
      <c r="N1632">
        <v>929.48</v>
      </c>
      <c r="O1632" s="61"/>
      <c r="P1632" s="61"/>
      <c r="Q1632" s="62"/>
      <c r="R1632" s="62"/>
      <c r="S1632" s="139"/>
      <c r="T1632" s="8"/>
      <c r="U1632" s="146"/>
      <c r="X1632" s="118"/>
      <c r="Y1632" s="118"/>
      <c r="Z1632" s="118"/>
      <c r="AA1632" s="118"/>
    </row>
    <row r="1633" spans="1:29" ht="23.4" thickBot="1" x14ac:dyDescent="0.3">
      <c r="B1633" s="24"/>
      <c r="C1633" s="6"/>
      <c r="D1633" s="6"/>
      <c r="E1633" s="61" t="s">
        <v>188</v>
      </c>
      <c r="F1633" s="40">
        <f t="shared" ref="F1633:N1633" si="539">IF(((F1631="")*AND(F1632="")),"",(F1631-F1632)*2)</f>
        <v>3842.4400000000005</v>
      </c>
      <c r="G1633" s="40">
        <f t="shared" si="539"/>
        <v>4043.38</v>
      </c>
      <c r="H1633" s="40">
        <f t="shared" si="539"/>
        <v>4084.24</v>
      </c>
      <c r="I1633" s="40">
        <f t="shared" si="539"/>
        <v>4072.2799999999997</v>
      </c>
      <c r="J1633" s="40">
        <f t="shared" si="539"/>
        <v>3969.7200000000003</v>
      </c>
      <c r="K1633" s="40">
        <f t="shared" si="539"/>
        <v>3808.7799999999997</v>
      </c>
      <c r="L1633" s="40">
        <f t="shared" si="539"/>
        <v>4048.3199999999997</v>
      </c>
      <c r="M1633" s="40">
        <f t="shared" si="539"/>
        <v>4098.24</v>
      </c>
      <c r="N1633" s="40">
        <f t="shared" si="539"/>
        <v>3995.1800000000003</v>
      </c>
      <c r="O1633" s="61"/>
      <c r="P1633" s="61"/>
      <c r="Q1633" s="62"/>
      <c r="R1633" s="62"/>
      <c r="S1633" s="139"/>
      <c r="T1633" s="8"/>
      <c r="U1633" s="146"/>
      <c r="X1633" s="118"/>
      <c r="Y1633" s="118"/>
      <c r="Z1633" s="118"/>
      <c r="AA1633" s="118"/>
    </row>
    <row r="1634" spans="1:29" ht="15.6" x14ac:dyDescent="0.3">
      <c r="A1634" s="278">
        <v>43807</v>
      </c>
      <c r="B1634" s="215" t="s">
        <v>169</v>
      </c>
      <c r="C1634" s="6" t="s">
        <v>171</v>
      </c>
      <c r="D1634" s="6" t="s">
        <v>189</v>
      </c>
      <c r="E1634" s="61" t="s">
        <v>186</v>
      </c>
      <c r="F1634">
        <v>1946.91</v>
      </c>
      <c r="G1634">
        <v>1938.25</v>
      </c>
      <c r="H1634">
        <v>1926.98</v>
      </c>
      <c r="I1634">
        <v>1937.81</v>
      </c>
      <c r="J1634">
        <v>1946.61</v>
      </c>
      <c r="K1634">
        <v>1947.06</v>
      </c>
      <c r="L1634">
        <v>1935.55</v>
      </c>
      <c r="M1634">
        <v>1938.19</v>
      </c>
      <c r="N1634">
        <v>1947.66</v>
      </c>
      <c r="O1634" s="61">
        <f>IF((N1635=""),"",MAX(F1636:N1636))</f>
        <v>2068.0200000000004</v>
      </c>
      <c r="P1634" s="61">
        <f>IF(N1635="","",MIN(F1636:N1636))</f>
        <v>2027.7599999999995</v>
      </c>
      <c r="Q1634" s="62">
        <f>IF((N1636=""),"",AVERAGE(F1636:N1636))</f>
        <v>2047.6099999999997</v>
      </c>
      <c r="R1634" s="62">
        <f>IF((N1635=""),"",(O1634-P1634)/(O1634+P1634)*100)</f>
        <v>0.98296295211170781</v>
      </c>
      <c r="S1634" s="139">
        <f>STDEV(F1636:N1636)</f>
        <v>15.157505566550563</v>
      </c>
      <c r="T1634" s="5" t="str">
        <f>IF(N1635="","",IF(Q1634&gt;1940,IF(R1634&lt;8.3,IF(Q1634&lt;2180,"Pass","Fail"),"Fail"),"Fail"))</f>
        <v>Pass</v>
      </c>
      <c r="U1634" s="149">
        <v>102</v>
      </c>
      <c r="V1634" s="11" t="s">
        <v>429</v>
      </c>
      <c r="X1634" s="116">
        <v>2000</v>
      </c>
      <c r="Y1634" s="116">
        <v>3000</v>
      </c>
      <c r="Z1634" s="116">
        <v>1940</v>
      </c>
      <c r="AA1634" s="116">
        <v>2180</v>
      </c>
      <c r="AB1634" s="31">
        <v>5.2</v>
      </c>
      <c r="AC1634" s="31">
        <v>5.2</v>
      </c>
    </row>
    <row r="1635" spans="1:29" ht="15.6" x14ac:dyDescent="0.3">
      <c r="B1635" s="24"/>
      <c r="C1635" s="6"/>
      <c r="D1635" s="6"/>
      <c r="E1635" s="61" t="s">
        <v>187</v>
      </c>
      <c r="F1635">
        <v>1257.57</v>
      </c>
      <c r="G1635">
        <v>1258.43</v>
      </c>
      <c r="H1635">
        <v>1244.07</v>
      </c>
      <c r="I1635">
        <v>1254.23</v>
      </c>
      <c r="J1635">
        <v>1268.8800000000001</v>
      </c>
      <c r="K1635">
        <v>1269.4000000000001</v>
      </c>
      <c r="L1635">
        <v>1259.6300000000001</v>
      </c>
      <c r="M1635">
        <v>1250.69</v>
      </c>
      <c r="N1635">
        <v>1259.29</v>
      </c>
      <c r="O1635" s="61"/>
      <c r="P1635" s="61"/>
      <c r="Q1635" s="62"/>
      <c r="R1635" s="62"/>
      <c r="S1635" s="139"/>
      <c r="T1635" s="5"/>
      <c r="U1635" s="140"/>
      <c r="X1635" s="118"/>
      <c r="Y1635" s="118"/>
      <c r="Z1635" s="118"/>
      <c r="AA1635" s="118"/>
    </row>
    <row r="1636" spans="1:29" ht="13.8" thickBot="1" x14ac:dyDescent="0.3">
      <c r="B1636" s="24"/>
      <c r="C1636" s="6"/>
      <c r="D1636" s="6"/>
      <c r="E1636" s="61" t="s">
        <v>190</v>
      </c>
      <c r="F1636" s="40">
        <f t="shared" ref="F1636:N1636" si="540">IF(((F1634="")*AND(F1635="")),"",(F1634-F1635)*3)</f>
        <v>2068.0200000000004</v>
      </c>
      <c r="G1636" s="40">
        <f t="shared" si="540"/>
        <v>2039.4599999999998</v>
      </c>
      <c r="H1636" s="40">
        <f t="shared" si="540"/>
        <v>2048.7300000000005</v>
      </c>
      <c r="I1636" s="40">
        <f t="shared" si="540"/>
        <v>2050.7399999999998</v>
      </c>
      <c r="J1636" s="40">
        <f t="shared" si="540"/>
        <v>2033.1899999999994</v>
      </c>
      <c r="K1636" s="40">
        <f t="shared" si="540"/>
        <v>2032.9799999999996</v>
      </c>
      <c r="L1636" s="40">
        <f t="shared" si="540"/>
        <v>2027.7599999999995</v>
      </c>
      <c r="M1636" s="40">
        <f t="shared" si="540"/>
        <v>2062.5</v>
      </c>
      <c r="N1636" s="40">
        <f t="shared" si="540"/>
        <v>2065.1100000000006</v>
      </c>
      <c r="O1636" s="61"/>
      <c r="P1636" s="61"/>
      <c r="Q1636" s="62"/>
      <c r="R1636" s="62"/>
      <c r="S1636" s="139"/>
      <c r="T1636" s="5"/>
      <c r="U1636" s="140"/>
      <c r="X1636" s="118"/>
      <c r="Y1636" s="118"/>
      <c r="Z1636" s="118"/>
      <c r="AA1636" s="118"/>
    </row>
    <row r="1637" spans="1:29" ht="15.6" x14ac:dyDescent="0.3">
      <c r="A1637" s="278">
        <v>43807</v>
      </c>
      <c r="B1637" s="218" t="s">
        <v>185</v>
      </c>
      <c r="C1637" s="6" t="s">
        <v>173</v>
      </c>
      <c r="D1637" s="6" t="s">
        <v>172</v>
      </c>
      <c r="E1637" s="61" t="s">
        <v>186</v>
      </c>
      <c r="F1637">
        <v>27452.47</v>
      </c>
      <c r="G1637">
        <v>27493.45</v>
      </c>
      <c r="H1637">
        <v>27506.73</v>
      </c>
      <c r="I1637">
        <v>27513.52</v>
      </c>
      <c r="J1637">
        <v>27449.46</v>
      </c>
      <c r="K1637">
        <v>27534.79</v>
      </c>
      <c r="L1637">
        <v>27520.14</v>
      </c>
      <c r="M1637">
        <v>27501.06</v>
      </c>
      <c r="N1637">
        <v>27453.25</v>
      </c>
      <c r="O1637" s="61">
        <f>IF((N1638=""),"",MAX(F1639:N1639))</f>
        <v>4722.8100000000013</v>
      </c>
      <c r="P1637" s="61">
        <f>IF(N1638="","",MIN(F1639:N1639))</f>
        <v>4018.4100000000035</v>
      </c>
      <c r="Q1637" s="62">
        <f>IF((N1639=""),"",AVERAGE(F1639:N1639))</f>
        <v>4357.0933333333351</v>
      </c>
      <c r="R1637" s="62">
        <f>IF((N1638=""),"",(O1637-P1637)/(O1637+P1637)*100)</f>
        <v>8.0583717147034104</v>
      </c>
      <c r="S1637" s="139">
        <f>STDEV(F1639:N1639)</f>
        <v>285.07652056070725</v>
      </c>
      <c r="T1637" s="5" t="str">
        <f>IF(N1638="","",IF(R1637&lt;16,IF(Q1637&gt;3200,IF(R1637,IF(Q1637&lt;5240,"Pass","Fail"),"Fail"),"Fail")))</f>
        <v>Pass</v>
      </c>
      <c r="U1637" s="149">
        <v>102</v>
      </c>
      <c r="V1637" s="11" t="s">
        <v>429</v>
      </c>
      <c r="X1637" s="116">
        <v>4200</v>
      </c>
      <c r="Y1637" s="116">
        <v>5500</v>
      </c>
      <c r="Z1637" s="116">
        <v>3200</v>
      </c>
      <c r="AA1637" s="116">
        <v>5240</v>
      </c>
      <c r="AB1637" s="31">
        <v>16</v>
      </c>
      <c r="AC1637" s="31">
        <v>16</v>
      </c>
    </row>
    <row r="1638" spans="1:29" ht="15.6" x14ac:dyDescent="0.3">
      <c r="B1638" s="24"/>
      <c r="C1638" s="6"/>
      <c r="D1638" s="6"/>
      <c r="E1638" s="61" t="s">
        <v>187</v>
      </c>
      <c r="F1638">
        <v>25931.05</v>
      </c>
      <c r="G1638">
        <v>26116.17</v>
      </c>
      <c r="H1638">
        <v>26167.26</v>
      </c>
      <c r="I1638">
        <v>26145.71</v>
      </c>
      <c r="J1638">
        <v>25893.84</v>
      </c>
      <c r="K1638">
        <v>25960.52</v>
      </c>
      <c r="L1638">
        <v>26133.93</v>
      </c>
      <c r="M1638">
        <v>26100.79</v>
      </c>
      <c r="N1638">
        <v>25904.32</v>
      </c>
      <c r="O1638" s="127"/>
      <c r="P1638" s="61"/>
      <c r="Q1638" s="62"/>
      <c r="R1638" s="62"/>
      <c r="S1638" s="139"/>
      <c r="T1638" s="5"/>
      <c r="U1638" s="140"/>
    </row>
    <row r="1639" spans="1:29" ht="23.4" thickBot="1" x14ac:dyDescent="0.3">
      <c r="B1639" s="63"/>
      <c r="C1639" s="64"/>
      <c r="D1639" s="64"/>
      <c r="E1639" s="61" t="s">
        <v>188</v>
      </c>
      <c r="F1639" s="53">
        <f t="shared" ref="F1639:N1639" si="541">IF(((F1637="")*AND(F1638="")),"",(F1637-F1638)*3)</f>
        <v>4564.2600000000057</v>
      </c>
      <c r="G1639" s="53">
        <f t="shared" si="541"/>
        <v>4131.8400000000074</v>
      </c>
      <c r="H1639" s="53">
        <f t="shared" si="541"/>
        <v>4018.4100000000035</v>
      </c>
      <c r="I1639" s="53">
        <f t="shared" si="541"/>
        <v>4103.4300000000039</v>
      </c>
      <c r="J1639" s="53">
        <f t="shared" si="541"/>
        <v>4666.8599999999969</v>
      </c>
      <c r="K1639" s="53">
        <f t="shared" si="541"/>
        <v>4722.8100000000013</v>
      </c>
      <c r="L1639" s="53">
        <f t="shared" si="541"/>
        <v>4158.6299999999974</v>
      </c>
      <c r="M1639" s="53">
        <f t="shared" si="541"/>
        <v>4200.8100000000013</v>
      </c>
      <c r="N1639" s="53">
        <f t="shared" si="541"/>
        <v>4646.7900000000009</v>
      </c>
      <c r="O1639" s="65"/>
      <c r="P1639" s="65"/>
      <c r="Q1639" s="66"/>
      <c r="R1639" s="66"/>
      <c r="S1639" s="142"/>
      <c r="T1639" s="143"/>
      <c r="U1639" s="144"/>
    </row>
  </sheetData>
  <autoFilter ref="A13:AC1639" xr:uid="{00000000-0009-0000-0000-000001000000}"/>
  <mergeCells count="12">
    <mergeCell ref="W1034:W1042"/>
    <mergeCell ref="E6:N6"/>
    <mergeCell ref="V365:V367"/>
    <mergeCell ref="V767:V775"/>
    <mergeCell ref="V776:V784"/>
    <mergeCell ref="V749:V757"/>
    <mergeCell ref="V758:V766"/>
    <mergeCell ref="D7:D8"/>
    <mergeCell ref="D9:D10"/>
    <mergeCell ref="D11:D12"/>
    <mergeCell ref="W956:W964"/>
    <mergeCell ref="W1022:W1030"/>
  </mergeCells>
  <conditionalFormatting sqref="T1:T1048576">
    <cfRule type="cellIs" dxfId="2401" priority="408" operator="equal">
      <formula>"Fail"</formula>
    </cfRule>
    <cfRule type="cellIs" dxfId="2400" priority="409" operator="equal">
      <formula>"Pass"</formula>
    </cfRule>
  </conditionalFormatting>
  <conditionalFormatting sqref="U1070 U1072:U1076 U1078:U1079 U1081:U1085 U1087:U1088 U1090:U1094 U1096:U1097 U1099:U1103 U1105:U1106 U1108:U1112 U1114 U1121 U1123">
    <cfRule type="cellIs" dxfId="2399" priority="400" stopIfTrue="1" operator="equal">
      <formula>"Fail"</formula>
    </cfRule>
    <cfRule type="cellIs" dxfId="2398" priority="401" stopIfTrue="1" operator="equal">
      <formula>"Pass"</formula>
    </cfRule>
  </conditionalFormatting>
  <conditionalFormatting sqref="A1487 A1490 A1493 A1496 A1499 A1502 A1541 A1544 A1547 A1550 A1553 A1556 A1559 A1562 A1565 A1568 A1571 A1574 A1577 A1580 A1583 A1586 A1589 A1592 A1595 A1598 A1601 A1604 A1607 A1610 A1613 A1616 A1619 A1622 A1625 A1628 A1631 A1634 A1637">
    <cfRule type="timePeriod" dxfId="2397" priority="369" timePeriod="today">
      <formula>FLOOR(A1487,1)=TODAY()</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F618"/>
  <sheetViews>
    <sheetView topLeftCell="K1" zoomScale="70" zoomScaleNormal="70" workbookViewId="0">
      <pane ySplit="9" topLeftCell="A10" activePane="bottomLeft" state="frozen"/>
      <selection activeCell="I145" sqref="I145"/>
      <selection pane="bottomLeft" activeCell="E25" sqref="E25"/>
    </sheetView>
  </sheetViews>
  <sheetFormatPr defaultColWidth="8.19921875" defaultRowHeight="13.2" x14ac:dyDescent="0.25"/>
  <cols>
    <col min="1" max="1" width="15.5" style="69" customWidth="1"/>
    <col min="2" max="2" width="8.5" style="69" bestFit="1" customWidth="1"/>
    <col min="3" max="3" width="12.5" style="69" bestFit="1" customWidth="1"/>
    <col min="4" max="4" width="19.09765625" style="3" customWidth="1"/>
    <col min="5" max="5" width="10.8984375" style="3" customWidth="1"/>
    <col min="6" max="6" width="10.5" style="3" customWidth="1"/>
    <col min="7" max="7" width="10.59765625" style="11" bestFit="1" customWidth="1"/>
    <col min="8" max="11" width="8.19921875" style="3"/>
    <col min="12" max="12" width="9" style="3" bestFit="1" customWidth="1"/>
    <col min="13" max="15" width="8.19921875" style="3"/>
    <col min="16" max="16" width="9.3984375" style="3" bestFit="1" customWidth="1"/>
    <col min="17" max="17" width="8.19921875" style="3"/>
    <col min="18" max="19" width="8.19921875" style="69"/>
    <col min="20" max="20" width="9.5" style="69" bestFit="1" customWidth="1"/>
    <col min="21" max="21" width="8.19921875" style="69"/>
    <col min="22" max="22" width="9.09765625" style="69" customWidth="1"/>
    <col min="23" max="23" width="8.19921875" style="69"/>
    <col min="24" max="24" width="17.8984375" style="91" customWidth="1"/>
    <col min="25" max="25" width="21.19921875" style="10" customWidth="1"/>
    <col min="26" max="26" width="53.09765625" style="10" customWidth="1"/>
    <col min="27" max="30" width="8.19921875" style="74"/>
    <col min="31" max="31" width="12.69921875" style="3" customWidth="1"/>
    <col min="32" max="32" width="11.3984375" style="74" customWidth="1"/>
    <col min="33" max="16384" width="8.19921875" style="3"/>
  </cols>
  <sheetData>
    <row r="1" spans="1:32" x14ac:dyDescent="0.25">
      <c r="A1" s="13"/>
      <c r="B1" s="13"/>
      <c r="C1" s="13"/>
      <c r="D1" s="70"/>
      <c r="E1" s="14"/>
      <c r="F1" s="14"/>
      <c r="G1" s="71"/>
      <c r="H1" s="14"/>
      <c r="I1" s="14"/>
      <c r="J1" s="14"/>
      <c r="K1" s="14"/>
      <c r="L1" s="14"/>
      <c r="M1" s="14"/>
      <c r="N1" s="14"/>
      <c r="O1" s="14"/>
      <c r="P1" s="14"/>
      <c r="Q1" s="14"/>
      <c r="R1" s="13"/>
      <c r="S1" s="13"/>
      <c r="T1" s="13"/>
      <c r="U1" s="13"/>
      <c r="V1" s="13"/>
      <c r="W1" s="13"/>
      <c r="X1" s="72"/>
      <c r="Y1" s="73"/>
      <c r="Z1" s="181"/>
    </row>
    <row r="2" spans="1:32" x14ac:dyDescent="0.25">
      <c r="A2" s="13"/>
      <c r="B2" s="13"/>
      <c r="C2" s="13"/>
      <c r="D2" s="21" t="s">
        <v>166</v>
      </c>
      <c r="E2" s="21" t="s">
        <v>167</v>
      </c>
      <c r="F2" s="22" t="s">
        <v>230</v>
      </c>
      <c r="G2" s="23"/>
      <c r="H2" s="14"/>
      <c r="I2" s="14"/>
      <c r="J2" s="14"/>
      <c r="K2" s="14"/>
      <c r="L2" s="14"/>
      <c r="M2" s="14"/>
      <c r="N2" s="14"/>
      <c r="O2" s="14"/>
      <c r="P2" s="14"/>
      <c r="Q2" s="14"/>
      <c r="R2" s="13"/>
      <c r="S2" s="13"/>
      <c r="T2" s="13"/>
      <c r="U2" s="13"/>
      <c r="V2" s="13"/>
      <c r="W2" s="13"/>
      <c r="X2" s="72"/>
      <c r="Y2" s="73"/>
      <c r="Z2" s="181"/>
    </row>
    <row r="3" spans="1:32" x14ac:dyDescent="0.25">
      <c r="A3" s="13"/>
      <c r="B3" s="13"/>
      <c r="C3" s="13"/>
      <c r="D3" s="75" t="s">
        <v>231</v>
      </c>
      <c r="E3" s="75" t="s">
        <v>232</v>
      </c>
      <c r="F3" s="76" t="s">
        <v>233</v>
      </c>
      <c r="G3" s="77"/>
      <c r="H3" s="14"/>
      <c r="I3" s="14"/>
      <c r="J3" s="14"/>
      <c r="K3" s="14"/>
      <c r="L3" s="14"/>
      <c r="M3" s="14"/>
      <c r="N3" s="14"/>
      <c r="O3" s="14"/>
      <c r="P3" s="14"/>
      <c r="Q3" s="14"/>
      <c r="R3" s="13"/>
      <c r="S3" s="13"/>
      <c r="T3" s="13"/>
      <c r="U3" s="13"/>
      <c r="V3" s="13"/>
      <c r="W3" s="13"/>
      <c r="X3" s="72"/>
      <c r="Y3" s="73"/>
      <c r="Z3" s="181"/>
    </row>
    <row r="4" spans="1:32" x14ac:dyDescent="0.25">
      <c r="A4" s="13"/>
      <c r="B4" s="13"/>
      <c r="C4" s="13"/>
      <c r="D4" s="14"/>
      <c r="E4" s="14"/>
      <c r="F4" s="14"/>
      <c r="G4" s="71"/>
      <c r="H4" s="14"/>
      <c r="I4" s="14"/>
      <c r="J4" s="14"/>
      <c r="K4" s="14"/>
      <c r="L4" s="14"/>
      <c r="M4" s="14"/>
      <c r="N4" s="14"/>
      <c r="O4" s="14"/>
      <c r="P4" s="14"/>
      <c r="Q4" s="14"/>
      <c r="R4" s="13"/>
      <c r="S4" s="13"/>
      <c r="T4" s="13"/>
      <c r="U4" s="13"/>
      <c r="V4" s="13"/>
      <c r="W4" s="13"/>
      <c r="X4" s="72"/>
      <c r="Y4" s="78"/>
      <c r="Z4" s="181"/>
    </row>
    <row r="5" spans="1:32" x14ac:dyDescent="0.25">
      <c r="A5" s="13"/>
      <c r="B5" s="13"/>
      <c r="C5" s="13"/>
      <c r="D5" s="14"/>
      <c r="E5" s="14"/>
      <c r="F5" s="14"/>
      <c r="G5" s="71"/>
      <c r="H5" s="14"/>
      <c r="I5" s="14"/>
      <c r="J5" s="14"/>
      <c r="K5" s="14"/>
      <c r="L5" s="14"/>
      <c r="M5" s="14"/>
      <c r="N5" s="14"/>
      <c r="O5" s="14"/>
      <c r="P5" s="14"/>
      <c r="Q5" s="14"/>
      <c r="R5" s="13"/>
      <c r="S5" s="13"/>
      <c r="T5" s="13"/>
      <c r="U5" s="13"/>
      <c r="V5" s="13"/>
      <c r="W5" s="13"/>
      <c r="X5" s="72"/>
      <c r="Y5" s="181"/>
      <c r="Z5" s="181"/>
    </row>
    <row r="6" spans="1:32" s="197" customFormat="1" ht="14.4" thickBot="1" x14ac:dyDescent="0.35">
      <c r="A6" s="190"/>
      <c r="B6" s="191"/>
      <c r="C6" s="192"/>
      <c r="D6" s="193"/>
      <c r="E6" s="400" t="s">
        <v>265</v>
      </c>
      <c r="F6" s="401"/>
      <c r="G6" s="401"/>
      <c r="H6" s="401"/>
      <c r="I6" s="401"/>
      <c r="J6" s="401"/>
      <c r="K6" s="401"/>
      <c r="L6" s="401"/>
      <c r="M6" s="401"/>
      <c r="N6" s="401"/>
      <c r="O6" s="401"/>
      <c r="P6" s="401"/>
      <c r="Q6" s="401"/>
      <c r="R6" s="402"/>
      <c r="S6" s="402"/>
      <c r="T6" s="402"/>
      <c r="U6" s="402"/>
      <c r="V6" s="402"/>
      <c r="W6" s="194"/>
      <c r="X6" s="194"/>
      <c r="Y6" s="194"/>
      <c r="Z6" s="194"/>
      <c r="AA6" s="194"/>
      <c r="AB6" s="195"/>
      <c r="AC6" s="196"/>
      <c r="AD6" s="196"/>
      <c r="AE6" s="191"/>
      <c r="AF6" s="191"/>
    </row>
    <row r="7" spans="1:32" s="196" customFormat="1" ht="16.2" thickBot="1" x14ac:dyDescent="0.35">
      <c r="A7" s="328"/>
      <c r="B7" s="329"/>
      <c r="C7" s="332"/>
      <c r="D7" s="340" t="s">
        <v>430</v>
      </c>
      <c r="E7" s="333">
        <v>0</v>
      </c>
      <c r="F7" s="333">
        <v>0</v>
      </c>
      <c r="G7" s="333">
        <v>0</v>
      </c>
      <c r="H7" s="333">
        <v>0</v>
      </c>
      <c r="I7" s="333">
        <v>0</v>
      </c>
      <c r="J7" s="333">
        <v>-90</v>
      </c>
      <c r="K7" s="333">
        <v>-30.06</v>
      </c>
      <c r="L7" s="333">
        <v>30.06</v>
      </c>
      <c r="M7" s="333">
        <v>90</v>
      </c>
      <c r="N7" s="333">
        <v>-30.06</v>
      </c>
      <c r="O7" s="333">
        <v>30.06</v>
      </c>
      <c r="P7" s="333">
        <v>-30.06</v>
      </c>
      <c r="Q7" s="334">
        <v>30.06</v>
      </c>
      <c r="R7" s="330"/>
      <c r="S7" s="330"/>
      <c r="T7" s="330"/>
      <c r="U7" s="330"/>
      <c r="V7" s="330"/>
      <c r="W7" s="194"/>
      <c r="X7" s="194"/>
      <c r="Y7" s="194"/>
      <c r="Z7" s="194"/>
      <c r="AA7" s="194"/>
      <c r="AB7" s="195"/>
      <c r="AE7" s="331"/>
      <c r="AF7" s="329"/>
    </row>
    <row r="8" spans="1:32" s="196" customFormat="1" ht="16.2" thickBot="1" x14ac:dyDescent="0.35">
      <c r="A8" s="328"/>
      <c r="B8" s="329"/>
      <c r="C8" s="332"/>
      <c r="D8" s="341" t="s">
        <v>431</v>
      </c>
      <c r="E8" s="335">
        <v>90</v>
      </c>
      <c r="F8" s="335">
        <v>30.06</v>
      </c>
      <c r="G8" s="335">
        <v>0</v>
      </c>
      <c r="H8" s="335">
        <v>-30.06</v>
      </c>
      <c r="I8" s="335">
        <v>-90</v>
      </c>
      <c r="J8" s="335">
        <v>0</v>
      </c>
      <c r="K8" s="335">
        <v>0</v>
      </c>
      <c r="L8" s="335">
        <v>0</v>
      </c>
      <c r="M8" s="335">
        <v>0</v>
      </c>
      <c r="N8" s="335">
        <v>30.06</v>
      </c>
      <c r="O8" s="335">
        <v>-30.06</v>
      </c>
      <c r="P8" s="335">
        <v>-30.06</v>
      </c>
      <c r="Q8" s="336">
        <v>30.06</v>
      </c>
      <c r="R8" s="330"/>
      <c r="S8" s="330"/>
      <c r="T8" s="330"/>
      <c r="U8" s="330"/>
      <c r="V8" s="330"/>
      <c r="W8" s="194"/>
      <c r="X8" s="194"/>
      <c r="Y8" s="194"/>
      <c r="Z8" s="194"/>
      <c r="AA8" s="194"/>
      <c r="AB8" s="195"/>
      <c r="AE8" s="331"/>
      <c r="AF8" s="329"/>
    </row>
    <row r="9" spans="1:32" s="202" customFormat="1" ht="41.25" customHeight="1" thickBot="1" x14ac:dyDescent="0.35">
      <c r="A9" s="107" t="s">
        <v>255</v>
      </c>
      <c r="B9" s="108" t="s">
        <v>166</v>
      </c>
      <c r="C9" s="198" t="s">
        <v>167</v>
      </c>
      <c r="D9" s="337" t="s">
        <v>260</v>
      </c>
      <c r="E9" s="338">
        <v>1</v>
      </c>
      <c r="F9" s="338">
        <v>2</v>
      </c>
      <c r="G9" s="338">
        <v>3</v>
      </c>
      <c r="H9" s="338">
        <v>4</v>
      </c>
      <c r="I9" s="338">
        <v>5</v>
      </c>
      <c r="J9" s="338">
        <v>6</v>
      </c>
      <c r="K9" s="338">
        <v>7</v>
      </c>
      <c r="L9" s="338">
        <v>8</v>
      </c>
      <c r="M9" s="338">
        <v>9</v>
      </c>
      <c r="N9" s="339">
        <v>10</v>
      </c>
      <c r="O9" s="339">
        <v>11</v>
      </c>
      <c r="P9" s="339">
        <v>12</v>
      </c>
      <c r="Q9" s="339">
        <v>13</v>
      </c>
      <c r="R9" s="199" t="s">
        <v>178</v>
      </c>
      <c r="S9" s="199" t="s">
        <v>179</v>
      </c>
      <c r="T9" s="199" t="s">
        <v>261</v>
      </c>
      <c r="U9" s="200" t="s">
        <v>268</v>
      </c>
      <c r="V9" s="204" t="s">
        <v>180</v>
      </c>
      <c r="W9" s="109" t="s">
        <v>23</v>
      </c>
      <c r="X9" s="108" t="s">
        <v>234</v>
      </c>
      <c r="Y9" s="108" t="s">
        <v>264</v>
      </c>
      <c r="Z9" s="109" t="s">
        <v>24</v>
      </c>
      <c r="AA9" s="201" t="s">
        <v>181</v>
      </c>
      <c r="AB9" s="201" t="s">
        <v>22</v>
      </c>
      <c r="AC9" s="201" t="s">
        <v>182</v>
      </c>
      <c r="AD9" s="201" t="s">
        <v>183</v>
      </c>
      <c r="AE9" s="205" t="s">
        <v>262</v>
      </c>
      <c r="AF9" s="201" t="s">
        <v>184</v>
      </c>
    </row>
    <row r="10" spans="1:32" ht="15" x14ac:dyDescent="0.25">
      <c r="A10" s="220">
        <v>43101</v>
      </c>
      <c r="B10" s="79" t="s">
        <v>235</v>
      </c>
      <c r="C10" s="79" t="s">
        <v>232</v>
      </c>
      <c r="D10" s="203" t="s">
        <v>186</v>
      </c>
      <c r="E10" s="81">
        <v>2796.56</v>
      </c>
      <c r="F10" s="81">
        <v>2748.32</v>
      </c>
      <c r="G10" s="81">
        <v>2721.84</v>
      </c>
      <c r="H10" s="81">
        <v>2711.96</v>
      </c>
      <c r="I10" s="81">
        <v>2720.69</v>
      </c>
      <c r="J10" s="81">
        <v>2746.04</v>
      </c>
      <c r="K10" s="81">
        <v>2786.76</v>
      </c>
      <c r="L10" s="81">
        <v>2803.68</v>
      </c>
      <c r="M10" s="81">
        <v>2744.41</v>
      </c>
      <c r="N10" s="81">
        <v>2713.15</v>
      </c>
      <c r="O10" s="81">
        <v>2733.22</v>
      </c>
      <c r="P10" s="81">
        <v>2777.87</v>
      </c>
      <c r="Q10" s="81">
        <v>2851.24</v>
      </c>
      <c r="R10" s="373">
        <f>IF((Q11=""),"",MAX(E12:Q12))</f>
        <v>365.98</v>
      </c>
      <c r="S10" s="373">
        <f>IF(Q11="","",MIN(E12:Q12))</f>
        <v>313.61000000000013</v>
      </c>
      <c r="T10" s="376">
        <f>IF((Q12=""),"",AVERAGE(E12:Q12))</f>
        <v>338.40846153846155</v>
      </c>
      <c r="U10" s="376">
        <f>IF((Q11=""),"",(R10-S10)/(R10+S10)*100)</f>
        <v>7.7061169234391143</v>
      </c>
      <c r="V10" s="376">
        <f>STDEV(E12:Q12)</f>
        <v>19.094805509245123</v>
      </c>
      <c r="W10" s="381" t="str">
        <f>IF(Q11="","",IF(T10&gt;300,IF(U10&lt;14,IF(T10&lt;390,"Pass","Fail"),"Fail"),"Fail"))</f>
        <v>Pass</v>
      </c>
      <c r="X10" s="384"/>
      <c r="Y10" s="390"/>
      <c r="Z10" s="182"/>
      <c r="AA10" s="82">
        <v>270</v>
      </c>
      <c r="AB10" s="82">
        <v>370</v>
      </c>
      <c r="AC10" s="82">
        <v>300</v>
      </c>
      <c r="AD10" s="83">
        <v>390</v>
      </c>
      <c r="AE10" s="83">
        <v>20</v>
      </c>
      <c r="AF10" s="83">
        <v>14</v>
      </c>
    </row>
    <row r="11" spans="1:32" ht="15.6" x14ac:dyDescent="0.3">
      <c r="A11" s="221"/>
      <c r="B11" s="84"/>
      <c r="C11" s="84"/>
      <c r="D11" s="80" t="s">
        <v>187</v>
      </c>
      <c r="E11" s="81">
        <v>2430.58</v>
      </c>
      <c r="F11" s="81">
        <v>2414.33</v>
      </c>
      <c r="G11" s="81">
        <v>2400.17</v>
      </c>
      <c r="H11" s="81">
        <v>2391.1</v>
      </c>
      <c r="I11" s="81">
        <v>2398.3000000000002</v>
      </c>
      <c r="J11" s="81">
        <v>2408.1</v>
      </c>
      <c r="K11" s="81">
        <v>2424.64</v>
      </c>
      <c r="L11" s="81">
        <v>2441.06</v>
      </c>
      <c r="M11" s="81">
        <v>2409.27</v>
      </c>
      <c r="N11" s="81">
        <v>2399.54</v>
      </c>
      <c r="O11" s="81">
        <v>2412.98</v>
      </c>
      <c r="P11" s="81">
        <v>2438.9499999999998</v>
      </c>
      <c r="Q11" s="81">
        <v>2487.41</v>
      </c>
      <c r="R11" s="373"/>
      <c r="S11" s="373"/>
      <c r="T11" s="376"/>
      <c r="U11" s="376"/>
      <c r="V11" s="378"/>
      <c r="W11" s="381"/>
      <c r="X11" s="384"/>
      <c r="Y11" s="390"/>
      <c r="Z11" s="182"/>
      <c r="AA11" s="82"/>
      <c r="AB11" s="82"/>
      <c r="AC11" s="82"/>
      <c r="AD11" s="83"/>
      <c r="AE11" s="83"/>
      <c r="AF11" s="83"/>
    </row>
    <row r="12" spans="1:32" ht="30.6" thickBot="1" x14ac:dyDescent="0.35">
      <c r="A12" s="221"/>
      <c r="B12" s="79"/>
      <c r="C12" s="79"/>
      <c r="D12" s="80" t="s">
        <v>188</v>
      </c>
      <c r="E12" s="85">
        <f t="shared" ref="E12:Q12" si="0">IF(((E10="")*AND(E11="")),"",(E10-E11))</f>
        <v>365.98</v>
      </c>
      <c r="F12" s="85">
        <f t="shared" si="0"/>
        <v>333.99000000000024</v>
      </c>
      <c r="G12" s="85">
        <f t="shared" si="0"/>
        <v>321.67000000000007</v>
      </c>
      <c r="H12" s="85">
        <f t="shared" si="0"/>
        <v>320.86000000000013</v>
      </c>
      <c r="I12" s="85">
        <f t="shared" si="0"/>
        <v>322.38999999999987</v>
      </c>
      <c r="J12" s="85">
        <f t="shared" si="0"/>
        <v>337.94000000000005</v>
      </c>
      <c r="K12" s="85">
        <f t="shared" si="0"/>
        <v>362.12000000000035</v>
      </c>
      <c r="L12" s="85">
        <f t="shared" si="0"/>
        <v>362.61999999999989</v>
      </c>
      <c r="M12" s="85">
        <f t="shared" si="0"/>
        <v>335.13999999999987</v>
      </c>
      <c r="N12" s="85">
        <f t="shared" si="0"/>
        <v>313.61000000000013</v>
      </c>
      <c r="O12" s="85">
        <f t="shared" si="0"/>
        <v>320.23999999999978</v>
      </c>
      <c r="P12" s="85">
        <f t="shared" si="0"/>
        <v>338.92000000000007</v>
      </c>
      <c r="Q12" s="85">
        <f t="shared" si="0"/>
        <v>363.82999999999993</v>
      </c>
      <c r="R12" s="374"/>
      <c r="S12" s="374"/>
      <c r="T12" s="377"/>
      <c r="U12" s="377"/>
      <c r="V12" s="379"/>
      <c r="W12" s="382"/>
      <c r="X12" s="385"/>
      <c r="Y12" s="391"/>
      <c r="Z12" s="182"/>
      <c r="AA12" s="82"/>
      <c r="AB12" s="82"/>
      <c r="AC12" s="82"/>
      <c r="AD12" s="82"/>
      <c r="AE12" s="86"/>
      <c r="AF12" s="82"/>
    </row>
    <row r="13" spans="1:32" ht="15" x14ac:dyDescent="0.25">
      <c r="A13" s="222">
        <v>43105</v>
      </c>
      <c r="B13" s="79" t="s">
        <v>235</v>
      </c>
      <c r="C13" s="79" t="s">
        <v>232</v>
      </c>
      <c r="D13" s="80" t="s">
        <v>186</v>
      </c>
      <c r="E13" s="81">
        <v>2432.1</v>
      </c>
      <c r="F13" s="81">
        <v>2415.88</v>
      </c>
      <c r="G13" s="81">
        <v>2400.87</v>
      </c>
      <c r="H13" s="81">
        <v>2389.8200000000002</v>
      </c>
      <c r="I13" s="81">
        <v>2396.04</v>
      </c>
      <c r="J13" s="81">
        <v>2410.0700000000002</v>
      </c>
      <c r="K13" s="81">
        <v>2427.59</v>
      </c>
      <c r="L13" s="81">
        <v>2443.3200000000002</v>
      </c>
      <c r="M13" s="81">
        <v>2429.96</v>
      </c>
      <c r="N13" s="81">
        <v>2396.1999999999998</v>
      </c>
      <c r="O13" s="81">
        <v>2407.63</v>
      </c>
      <c r="P13" s="81">
        <v>2437.3000000000002</v>
      </c>
      <c r="Q13" s="81">
        <v>2486.2399999999998</v>
      </c>
      <c r="R13" s="372">
        <f>IF((Q14=""),"",MAX(E15:Q15))</f>
        <v>370.87999999999965</v>
      </c>
      <c r="S13" s="372">
        <f>IF(Q14="","",MIN(E15:Q15))</f>
        <v>316.66000000000031</v>
      </c>
      <c r="T13" s="375">
        <f>IF((Q15=""),"",AVERAGE(E15:Q15))</f>
        <v>344.1476923076923</v>
      </c>
      <c r="U13" s="375">
        <f>IF((Q14=""),"",(R13-S13)/(R13+S13)*100)</f>
        <v>7.8860866276870212</v>
      </c>
      <c r="V13" s="375">
        <f>STDEV(E15:Q15)</f>
        <v>20.202388123621184</v>
      </c>
      <c r="W13" s="380" t="str">
        <f>IF(Q14="","",IF(T13&gt;300,IF(U13&lt;14,IF(T13&lt;390,"Pass","Fail"),"Fail"),"Fail"))</f>
        <v>Pass</v>
      </c>
      <c r="X13" s="386" t="s">
        <v>191</v>
      </c>
      <c r="Y13" s="389"/>
      <c r="Z13" s="182"/>
      <c r="AA13" s="82">
        <v>270</v>
      </c>
      <c r="AB13" s="82">
        <v>370</v>
      </c>
      <c r="AC13" s="82">
        <v>300</v>
      </c>
      <c r="AD13" s="83">
        <v>390</v>
      </c>
      <c r="AE13" s="83">
        <v>20</v>
      </c>
      <c r="AF13" s="83">
        <v>14</v>
      </c>
    </row>
    <row r="14" spans="1:32" ht="15.6" x14ac:dyDescent="0.3">
      <c r="A14" s="221"/>
      <c r="B14" s="84"/>
      <c r="C14" s="84"/>
      <c r="D14" s="80" t="s">
        <v>187</v>
      </c>
      <c r="E14" s="81">
        <v>2063.5300000000002</v>
      </c>
      <c r="F14" s="81">
        <v>2074.73</v>
      </c>
      <c r="G14" s="81">
        <v>2073.37</v>
      </c>
      <c r="H14" s="81">
        <v>2073.16</v>
      </c>
      <c r="I14" s="81">
        <v>2072.7199999999998</v>
      </c>
      <c r="J14" s="81">
        <v>2073</v>
      </c>
      <c r="K14" s="81">
        <v>2060.0300000000002</v>
      </c>
      <c r="L14" s="81">
        <v>2074.36</v>
      </c>
      <c r="M14" s="81">
        <v>2071.0500000000002</v>
      </c>
      <c r="N14" s="81">
        <v>2069.4299999999998</v>
      </c>
      <c r="O14" s="81">
        <v>2082.75</v>
      </c>
      <c r="P14" s="81">
        <v>2095.61</v>
      </c>
      <c r="Q14" s="81">
        <v>2115.36</v>
      </c>
      <c r="R14" s="373"/>
      <c r="S14" s="373"/>
      <c r="T14" s="376"/>
      <c r="U14" s="376"/>
      <c r="V14" s="378"/>
      <c r="W14" s="381"/>
      <c r="X14" s="387"/>
      <c r="Y14" s="390"/>
      <c r="Z14" s="182"/>
      <c r="AA14" s="82"/>
      <c r="AB14" s="82"/>
      <c r="AC14" s="82"/>
      <c r="AD14" s="83"/>
      <c r="AE14" s="83"/>
      <c r="AF14" s="83"/>
    </row>
    <row r="15" spans="1:32" ht="30" x14ac:dyDescent="0.3">
      <c r="A15" s="221"/>
      <c r="B15" s="79"/>
      <c r="C15" s="79"/>
      <c r="D15" s="80" t="s">
        <v>188</v>
      </c>
      <c r="E15" s="85">
        <f t="shared" ref="E15:Q15" si="1">IF(((E13="")*AND(E14="")),"",(E13-E14))</f>
        <v>368.56999999999971</v>
      </c>
      <c r="F15" s="85">
        <f t="shared" si="1"/>
        <v>341.15000000000009</v>
      </c>
      <c r="G15" s="85">
        <f t="shared" si="1"/>
        <v>327.5</v>
      </c>
      <c r="H15" s="85">
        <f t="shared" si="1"/>
        <v>316.66000000000031</v>
      </c>
      <c r="I15" s="85">
        <f t="shared" si="1"/>
        <v>323.32000000000016</v>
      </c>
      <c r="J15" s="85">
        <f t="shared" si="1"/>
        <v>337.07000000000016</v>
      </c>
      <c r="K15" s="85">
        <f t="shared" si="1"/>
        <v>367.55999999999995</v>
      </c>
      <c r="L15" s="85">
        <f t="shared" si="1"/>
        <v>368.96000000000004</v>
      </c>
      <c r="M15" s="85">
        <f t="shared" si="1"/>
        <v>358.90999999999985</v>
      </c>
      <c r="N15" s="85">
        <f t="shared" si="1"/>
        <v>326.77</v>
      </c>
      <c r="O15" s="85">
        <f t="shared" si="1"/>
        <v>324.88000000000011</v>
      </c>
      <c r="P15" s="85">
        <f t="shared" si="1"/>
        <v>341.69000000000005</v>
      </c>
      <c r="Q15" s="85">
        <f t="shared" si="1"/>
        <v>370.87999999999965</v>
      </c>
      <c r="R15" s="374"/>
      <c r="S15" s="374"/>
      <c r="T15" s="377"/>
      <c r="U15" s="377"/>
      <c r="V15" s="379"/>
      <c r="W15" s="382"/>
      <c r="X15" s="388"/>
      <c r="Y15" s="391"/>
      <c r="Z15" s="182"/>
      <c r="AA15" s="82"/>
      <c r="AB15" s="82"/>
      <c r="AC15" s="82"/>
      <c r="AD15" s="82"/>
      <c r="AE15" s="86"/>
      <c r="AF15" s="82"/>
    </row>
    <row r="16" spans="1:32" ht="15" x14ac:dyDescent="0.25">
      <c r="A16" s="222">
        <v>43109</v>
      </c>
      <c r="B16" s="79" t="s">
        <v>235</v>
      </c>
      <c r="C16" s="79" t="s">
        <v>232</v>
      </c>
      <c r="D16" s="80" t="s">
        <v>186</v>
      </c>
      <c r="E16" s="81">
        <v>2806.66</v>
      </c>
      <c r="F16" s="81">
        <v>2757.33</v>
      </c>
      <c r="G16" s="81">
        <v>2732.19</v>
      </c>
      <c r="H16" s="81">
        <v>2722.53</v>
      </c>
      <c r="I16" s="81">
        <v>2731.52</v>
      </c>
      <c r="J16" s="81">
        <v>2759.92</v>
      </c>
      <c r="K16" s="81">
        <v>2808.5</v>
      </c>
      <c r="L16" s="81">
        <v>2811.3</v>
      </c>
      <c r="M16" s="81">
        <v>2753.84</v>
      </c>
      <c r="N16" s="81">
        <v>2724.48</v>
      </c>
      <c r="O16" s="81">
        <v>2743.9</v>
      </c>
      <c r="P16" s="81">
        <v>2786.55</v>
      </c>
      <c r="Q16" s="81">
        <v>2857.61</v>
      </c>
      <c r="R16" s="372">
        <f>IF((Q17=""),"",MAX(E18:Q18))</f>
        <v>371.85999999999967</v>
      </c>
      <c r="S16" s="372">
        <f>IF(Q17="","",MIN(E18:Q18))</f>
        <v>315.64000000000033</v>
      </c>
      <c r="T16" s="375">
        <f>IF((Q18=""),"",AVERAGE(E18:Q18))</f>
        <v>340.3523076923077</v>
      </c>
      <c r="U16" s="375">
        <f>IF((Q17=""),"",(R16-S16)/(R16+S16)*100)</f>
        <v>8.1774545454544505</v>
      </c>
      <c r="V16" s="375">
        <f>STDEV(E18:Q18)</f>
        <v>22.219105200197276</v>
      </c>
      <c r="W16" s="380" t="str">
        <f>IF(Q17="","",IF(T16&gt;300,IF(U16&lt;14,IF(T16&lt;390,"Pass","Fail"),"Fail"),"Fail"))</f>
        <v>Pass</v>
      </c>
      <c r="X16" s="383" t="s">
        <v>99</v>
      </c>
      <c r="Y16" s="389"/>
      <c r="Z16" s="182"/>
      <c r="AA16" s="82">
        <v>270</v>
      </c>
      <c r="AB16" s="82">
        <v>370</v>
      </c>
      <c r="AC16" s="82">
        <v>300</v>
      </c>
      <c r="AD16" s="83">
        <v>390</v>
      </c>
      <c r="AE16" s="83">
        <v>20</v>
      </c>
      <c r="AF16" s="83">
        <v>14</v>
      </c>
    </row>
    <row r="17" spans="1:32" ht="15.6" x14ac:dyDescent="0.3">
      <c r="A17" s="221"/>
      <c r="B17" s="84"/>
      <c r="C17" s="84"/>
      <c r="D17" s="80" t="s">
        <v>187</v>
      </c>
      <c r="E17" s="81">
        <v>2434.8000000000002</v>
      </c>
      <c r="F17" s="81">
        <v>2421.5300000000002</v>
      </c>
      <c r="G17" s="81">
        <v>2411.0100000000002</v>
      </c>
      <c r="H17" s="81">
        <v>2406.89</v>
      </c>
      <c r="I17" s="81">
        <v>2411.75</v>
      </c>
      <c r="J17" s="81">
        <v>2423.62</v>
      </c>
      <c r="K17" s="81">
        <v>2437.5300000000002</v>
      </c>
      <c r="L17" s="81">
        <v>2441.25</v>
      </c>
      <c r="M17" s="81">
        <v>2416.58</v>
      </c>
      <c r="N17" s="81">
        <v>2406.34</v>
      </c>
      <c r="O17" s="81">
        <v>2421.6</v>
      </c>
      <c r="P17" s="81">
        <v>2450.35</v>
      </c>
      <c r="Q17" s="81">
        <v>2488.5</v>
      </c>
      <c r="R17" s="373"/>
      <c r="S17" s="373"/>
      <c r="T17" s="376"/>
      <c r="U17" s="376"/>
      <c r="V17" s="378"/>
      <c r="W17" s="381"/>
      <c r="X17" s="384"/>
      <c r="Y17" s="390"/>
      <c r="Z17" s="182"/>
      <c r="AA17" s="82"/>
      <c r="AB17" s="82"/>
      <c r="AC17" s="82"/>
      <c r="AD17" s="83"/>
      <c r="AE17" s="83"/>
      <c r="AF17" s="83"/>
    </row>
    <row r="18" spans="1:32" ht="30" x14ac:dyDescent="0.3">
      <c r="A18" s="221"/>
      <c r="B18" s="79"/>
      <c r="C18" s="79"/>
      <c r="D18" s="80" t="s">
        <v>188</v>
      </c>
      <c r="E18" s="85">
        <f t="shared" ref="E18:Q18" si="2">IF(((E16="")*AND(E17="")),"",(E16-E17))</f>
        <v>371.85999999999967</v>
      </c>
      <c r="F18" s="85">
        <f t="shared" si="2"/>
        <v>335.79999999999973</v>
      </c>
      <c r="G18" s="85">
        <f t="shared" si="2"/>
        <v>321.17999999999984</v>
      </c>
      <c r="H18" s="85">
        <f t="shared" si="2"/>
        <v>315.64000000000033</v>
      </c>
      <c r="I18" s="85">
        <f t="shared" si="2"/>
        <v>319.77</v>
      </c>
      <c r="J18" s="85">
        <f t="shared" si="2"/>
        <v>336.30000000000018</v>
      </c>
      <c r="K18" s="85">
        <f t="shared" si="2"/>
        <v>370.9699999999998</v>
      </c>
      <c r="L18" s="85">
        <f t="shared" si="2"/>
        <v>370.05000000000018</v>
      </c>
      <c r="M18" s="85">
        <f t="shared" si="2"/>
        <v>337.26000000000022</v>
      </c>
      <c r="N18" s="85">
        <f t="shared" si="2"/>
        <v>318.13999999999987</v>
      </c>
      <c r="O18" s="85">
        <f t="shared" si="2"/>
        <v>322.30000000000018</v>
      </c>
      <c r="P18" s="85">
        <f t="shared" si="2"/>
        <v>336.20000000000027</v>
      </c>
      <c r="Q18" s="85">
        <f t="shared" si="2"/>
        <v>369.11000000000013</v>
      </c>
      <c r="R18" s="374"/>
      <c r="S18" s="374"/>
      <c r="T18" s="377"/>
      <c r="U18" s="377"/>
      <c r="V18" s="379"/>
      <c r="W18" s="382"/>
      <c r="X18" s="385"/>
      <c r="Y18" s="391"/>
      <c r="Z18" s="182"/>
      <c r="AA18" s="82"/>
      <c r="AB18" s="82"/>
      <c r="AC18" s="82"/>
      <c r="AD18" s="82"/>
      <c r="AE18" s="86"/>
      <c r="AF18" s="82"/>
    </row>
    <row r="19" spans="1:32" ht="15" x14ac:dyDescent="0.25">
      <c r="A19" s="222">
        <v>43112</v>
      </c>
      <c r="B19" s="79" t="s">
        <v>235</v>
      </c>
      <c r="C19" s="79" t="s">
        <v>232</v>
      </c>
      <c r="D19" s="80" t="s">
        <v>186</v>
      </c>
      <c r="E19" s="81">
        <v>2437.09</v>
      </c>
      <c r="F19" s="81">
        <v>2422.9499999999998</v>
      </c>
      <c r="G19" s="81">
        <v>2412.89</v>
      </c>
      <c r="H19" s="81">
        <v>2404.87</v>
      </c>
      <c r="I19" s="81">
        <v>2411.7199999999998</v>
      </c>
      <c r="J19" s="81">
        <v>2426.9699999999998</v>
      </c>
      <c r="K19" s="81">
        <v>2437.2399999999998</v>
      </c>
      <c r="L19" s="81">
        <v>2446.46</v>
      </c>
      <c r="M19" s="81">
        <v>2417.3200000000002</v>
      </c>
      <c r="N19" s="81">
        <v>2405.39</v>
      </c>
      <c r="O19" s="81">
        <v>2421.3200000000002</v>
      </c>
      <c r="P19" s="81">
        <v>2448.91</v>
      </c>
      <c r="Q19" s="81">
        <v>2485.94</v>
      </c>
      <c r="R19" s="372">
        <f>IF((Q20=""),"",MAX(E21:Q21))</f>
        <v>373.67000000000007</v>
      </c>
      <c r="S19" s="372">
        <f>IF(Q20="","",MIN(E21:Q21))</f>
        <v>322.44000000000005</v>
      </c>
      <c r="T19" s="375">
        <f>IF((Q21=""),"",AVERAGE(E21:Q21))</f>
        <v>345.98384615384606</v>
      </c>
      <c r="U19" s="375">
        <f>IF((Q20=""),"",(R19-S19)/(R19+S19)*100)</f>
        <v>7.3594690494318442</v>
      </c>
      <c r="V19" s="375">
        <f>STDEV(E21:Q21)</f>
        <v>18.603603834768826</v>
      </c>
      <c r="W19" s="380" t="str">
        <f>IF(Q20="","",IF(T19&gt;300,IF(U19&lt;14,IF(T19&lt;390,"Pass","Fail"),"Fail"),"Fail"))</f>
        <v>Pass</v>
      </c>
      <c r="X19" s="383">
        <v>121</v>
      </c>
      <c r="Y19" s="389"/>
      <c r="Z19" s="182"/>
      <c r="AA19" s="82">
        <v>270</v>
      </c>
      <c r="AB19" s="82">
        <v>370</v>
      </c>
      <c r="AC19" s="82">
        <v>300</v>
      </c>
      <c r="AD19" s="83">
        <v>390</v>
      </c>
      <c r="AE19" s="83">
        <v>20</v>
      </c>
      <c r="AF19" s="83">
        <v>14</v>
      </c>
    </row>
    <row r="20" spans="1:32" ht="15.6" x14ac:dyDescent="0.3">
      <c r="A20" s="221"/>
      <c r="B20" s="84"/>
      <c r="C20" s="84"/>
      <c r="D20" s="80" t="s">
        <v>187</v>
      </c>
      <c r="E20" s="81">
        <v>2065.2800000000002</v>
      </c>
      <c r="F20" s="81">
        <v>2077.31</v>
      </c>
      <c r="G20" s="81">
        <v>2081.4899999999998</v>
      </c>
      <c r="H20" s="81">
        <v>2082.4299999999998</v>
      </c>
      <c r="I20" s="81">
        <v>2084.17</v>
      </c>
      <c r="J20" s="81">
        <v>2081.7399999999998</v>
      </c>
      <c r="K20" s="81">
        <v>2072.5300000000002</v>
      </c>
      <c r="L20" s="81">
        <v>2072.79</v>
      </c>
      <c r="M20" s="81">
        <v>2077.1799999999998</v>
      </c>
      <c r="N20" s="81">
        <v>2077.44</v>
      </c>
      <c r="O20" s="81">
        <v>2092.0700000000002</v>
      </c>
      <c r="P20" s="81">
        <v>2101.81</v>
      </c>
      <c r="Q20" s="81">
        <v>2115.04</v>
      </c>
      <c r="R20" s="373"/>
      <c r="S20" s="373"/>
      <c r="T20" s="376"/>
      <c r="U20" s="376"/>
      <c r="V20" s="378"/>
      <c r="W20" s="381"/>
      <c r="X20" s="384"/>
      <c r="Y20" s="390"/>
      <c r="Z20" s="182"/>
      <c r="AA20" s="82"/>
      <c r="AB20" s="82"/>
      <c r="AC20" s="82"/>
      <c r="AD20" s="83"/>
      <c r="AE20" s="83"/>
      <c r="AF20" s="83"/>
    </row>
    <row r="21" spans="1:32" ht="30" x14ac:dyDescent="0.3">
      <c r="A21" s="221"/>
      <c r="B21" s="79"/>
      <c r="C21" s="79"/>
      <c r="D21" s="80" t="s">
        <v>188</v>
      </c>
      <c r="E21" s="85">
        <f t="shared" ref="E21:Q21" si="3">IF(((E19="")*AND(E20="")),"",(E19-E20))</f>
        <v>371.80999999999995</v>
      </c>
      <c r="F21" s="85">
        <f t="shared" si="3"/>
        <v>345.63999999999987</v>
      </c>
      <c r="G21" s="85">
        <f t="shared" si="3"/>
        <v>331.40000000000009</v>
      </c>
      <c r="H21" s="85">
        <f t="shared" si="3"/>
        <v>322.44000000000005</v>
      </c>
      <c r="I21" s="85">
        <f t="shared" si="3"/>
        <v>327.54999999999973</v>
      </c>
      <c r="J21" s="85">
        <f t="shared" si="3"/>
        <v>345.23</v>
      </c>
      <c r="K21" s="85">
        <f t="shared" si="3"/>
        <v>364.70999999999958</v>
      </c>
      <c r="L21" s="85">
        <f t="shared" si="3"/>
        <v>373.67000000000007</v>
      </c>
      <c r="M21" s="85">
        <f t="shared" si="3"/>
        <v>340.14000000000033</v>
      </c>
      <c r="N21" s="85">
        <f t="shared" si="3"/>
        <v>327.94999999999982</v>
      </c>
      <c r="O21" s="85">
        <f t="shared" si="3"/>
        <v>329.25</v>
      </c>
      <c r="P21" s="85">
        <f t="shared" si="3"/>
        <v>347.09999999999991</v>
      </c>
      <c r="Q21" s="85">
        <f t="shared" si="3"/>
        <v>370.90000000000009</v>
      </c>
      <c r="R21" s="374"/>
      <c r="S21" s="374"/>
      <c r="T21" s="377"/>
      <c r="U21" s="377"/>
      <c r="V21" s="379"/>
      <c r="W21" s="382"/>
      <c r="X21" s="385"/>
      <c r="Y21" s="391"/>
      <c r="Z21" s="182"/>
      <c r="AA21" s="82"/>
      <c r="AB21" s="82"/>
      <c r="AC21" s="82"/>
      <c r="AD21" s="82"/>
      <c r="AE21" s="86"/>
      <c r="AF21" s="82"/>
    </row>
    <row r="22" spans="1:32" ht="15" x14ac:dyDescent="0.25">
      <c r="A22" s="222">
        <v>43117</v>
      </c>
      <c r="B22" s="79" t="s">
        <v>235</v>
      </c>
      <c r="C22" s="79" t="s">
        <v>232</v>
      </c>
      <c r="D22" s="80" t="s">
        <v>186</v>
      </c>
      <c r="E22" s="81">
        <v>2808.18</v>
      </c>
      <c r="F22" s="81">
        <v>2765.71</v>
      </c>
      <c r="G22" s="81">
        <v>2741.69</v>
      </c>
      <c r="H22" s="81">
        <v>2730.58</v>
      </c>
      <c r="I22" s="81">
        <v>2738.22</v>
      </c>
      <c r="J22" s="81">
        <v>2762</v>
      </c>
      <c r="K22" s="81">
        <v>2805.39</v>
      </c>
      <c r="L22" s="81">
        <v>2821.6</v>
      </c>
      <c r="M22" s="81">
        <v>2760.84</v>
      </c>
      <c r="N22" s="81">
        <v>2732.7</v>
      </c>
      <c r="O22" s="81">
        <v>2751.45</v>
      </c>
      <c r="P22" s="81">
        <v>2790.09</v>
      </c>
      <c r="Q22" s="81">
        <v>2860.17</v>
      </c>
      <c r="R22" s="372">
        <f>IF((Q23=""),"",MAX(E24:Q24))</f>
        <v>366.09999999999991</v>
      </c>
      <c r="S22" s="372">
        <f>IF(Q23="","",MIN(E24:Q24))</f>
        <v>319.15000000000009</v>
      </c>
      <c r="T22" s="375">
        <f>IF((Q24=""),"",AVERAGE(E24:Q24))</f>
        <v>338.36153846153843</v>
      </c>
      <c r="U22" s="375">
        <f>IF((Q23=""),"",(R22-S22)/(R22+S22)*100)</f>
        <v>6.8515140459685986</v>
      </c>
      <c r="V22" s="375">
        <f>STDEV(E24:Q24)</f>
        <v>17.575635998996709</v>
      </c>
      <c r="W22" s="380" t="str">
        <f>IF(Q23="","",IF(T22&gt;300,IF(U22&lt;14,IF(T22&lt;390,"Pass","Fail"),"Fail"),"Fail"))</f>
        <v>Pass</v>
      </c>
      <c r="X22" s="383">
        <v>1428</v>
      </c>
      <c r="Y22" s="389"/>
      <c r="Z22" s="182"/>
      <c r="AA22" s="82">
        <v>270</v>
      </c>
      <c r="AB22" s="82">
        <v>370</v>
      </c>
      <c r="AC22" s="82">
        <v>300</v>
      </c>
      <c r="AD22" s="83">
        <v>390</v>
      </c>
      <c r="AE22" s="83">
        <v>20</v>
      </c>
      <c r="AF22" s="83">
        <v>14</v>
      </c>
    </row>
    <row r="23" spans="1:32" ht="15.6" x14ac:dyDescent="0.3">
      <c r="A23" s="221"/>
      <c r="B23" s="84"/>
      <c r="C23" s="84"/>
      <c r="D23" s="80" t="s">
        <v>187</v>
      </c>
      <c r="E23" s="81">
        <v>2443.62</v>
      </c>
      <c r="F23" s="81">
        <v>2429.4699999999998</v>
      </c>
      <c r="G23" s="81">
        <v>2420.2199999999998</v>
      </c>
      <c r="H23" s="81">
        <v>2411.4299999999998</v>
      </c>
      <c r="I23" s="81">
        <v>2415.83</v>
      </c>
      <c r="J23" s="81">
        <v>2427.96</v>
      </c>
      <c r="K23" s="81">
        <v>2444.9</v>
      </c>
      <c r="L23" s="81">
        <v>2455.5</v>
      </c>
      <c r="M23" s="81">
        <v>2423.62</v>
      </c>
      <c r="N23" s="81">
        <v>2410.58</v>
      </c>
      <c r="O23" s="81">
        <v>2427.21</v>
      </c>
      <c r="P23" s="81">
        <v>2456.3000000000002</v>
      </c>
      <c r="Q23" s="81">
        <v>2503.2800000000002</v>
      </c>
      <c r="R23" s="373"/>
      <c r="S23" s="373"/>
      <c r="T23" s="376"/>
      <c r="U23" s="376"/>
      <c r="V23" s="378"/>
      <c r="W23" s="381"/>
      <c r="X23" s="384"/>
      <c r="Y23" s="390"/>
      <c r="Z23" s="182"/>
      <c r="AA23" s="82"/>
      <c r="AB23" s="82"/>
      <c r="AC23" s="82"/>
      <c r="AD23" s="83"/>
      <c r="AE23" s="83"/>
      <c r="AF23" s="83"/>
    </row>
    <row r="24" spans="1:32" ht="30" x14ac:dyDescent="0.3">
      <c r="A24" s="221"/>
      <c r="B24" s="79"/>
      <c r="C24" s="79"/>
      <c r="D24" s="80" t="s">
        <v>188</v>
      </c>
      <c r="E24" s="85">
        <f t="shared" ref="E24:Q24" si="4">IF(((E22="")*AND(E23="")),"",(E22-E23))</f>
        <v>364.55999999999995</v>
      </c>
      <c r="F24" s="85">
        <f t="shared" si="4"/>
        <v>336.24000000000024</v>
      </c>
      <c r="G24" s="85">
        <f t="shared" si="4"/>
        <v>321.47000000000025</v>
      </c>
      <c r="H24" s="85">
        <f t="shared" si="4"/>
        <v>319.15000000000009</v>
      </c>
      <c r="I24" s="85">
        <f t="shared" si="4"/>
        <v>322.38999999999987</v>
      </c>
      <c r="J24" s="85">
        <f t="shared" si="4"/>
        <v>334.03999999999996</v>
      </c>
      <c r="K24" s="85">
        <f t="shared" si="4"/>
        <v>360.48999999999978</v>
      </c>
      <c r="L24" s="85">
        <f t="shared" si="4"/>
        <v>366.09999999999991</v>
      </c>
      <c r="M24" s="85">
        <f t="shared" si="4"/>
        <v>337.22000000000025</v>
      </c>
      <c r="N24" s="85">
        <f t="shared" si="4"/>
        <v>322.11999999999989</v>
      </c>
      <c r="O24" s="85">
        <f t="shared" si="4"/>
        <v>324.23999999999978</v>
      </c>
      <c r="P24" s="85">
        <f t="shared" si="4"/>
        <v>333.78999999999996</v>
      </c>
      <c r="Q24" s="85">
        <f t="shared" si="4"/>
        <v>356.88999999999987</v>
      </c>
      <c r="R24" s="374"/>
      <c r="S24" s="374"/>
      <c r="T24" s="377"/>
      <c r="U24" s="377"/>
      <c r="V24" s="379"/>
      <c r="W24" s="382"/>
      <c r="X24" s="385"/>
      <c r="Y24" s="391"/>
      <c r="Z24" s="182"/>
      <c r="AA24" s="82"/>
      <c r="AB24" s="82"/>
      <c r="AC24" s="82"/>
      <c r="AD24" s="82"/>
      <c r="AE24" s="86"/>
      <c r="AF24" s="82"/>
    </row>
    <row r="25" spans="1:32" ht="15" x14ac:dyDescent="0.25">
      <c r="A25" s="222">
        <v>43122</v>
      </c>
      <c r="B25" s="79" t="s">
        <v>235</v>
      </c>
      <c r="C25" s="79" t="s">
        <v>232</v>
      </c>
      <c r="D25" s="80" t="s">
        <v>186</v>
      </c>
      <c r="E25" s="81">
        <v>2441.9299999999998</v>
      </c>
      <c r="F25" s="81">
        <v>2426.46</v>
      </c>
      <c r="G25" s="81">
        <v>2414.4699999999998</v>
      </c>
      <c r="H25" s="81">
        <v>2409.04</v>
      </c>
      <c r="I25" s="81">
        <v>2398.41</v>
      </c>
      <c r="J25" s="81">
        <v>2424.5</v>
      </c>
      <c r="K25" s="81">
        <v>2446.1</v>
      </c>
      <c r="L25" s="81">
        <v>2452.83</v>
      </c>
      <c r="M25" s="81">
        <v>2427.6</v>
      </c>
      <c r="N25" s="81">
        <v>2406.16</v>
      </c>
      <c r="O25" s="81">
        <v>2428.21</v>
      </c>
      <c r="P25" s="81">
        <v>2454.06</v>
      </c>
      <c r="Q25" s="81">
        <v>2509.0300000000002</v>
      </c>
      <c r="R25" s="372">
        <f>IF((Q26=""),"",MAX(E27:Q27))</f>
        <v>380.90000000000009</v>
      </c>
      <c r="S25" s="372">
        <f>IF(Q26="","",MIN(E27:Q27))</f>
        <v>312.59999999999991</v>
      </c>
      <c r="T25" s="375">
        <f>IF((Q27=""),"",AVERAGE(E27:Q27))</f>
        <v>344.53307692307681</v>
      </c>
      <c r="U25" s="375">
        <f>IF((Q26=""),"",(R25-S25)/(R25+S25)*100)</f>
        <v>9.8485940879596523</v>
      </c>
      <c r="V25" s="375">
        <f>STDEV(E27:Q27)</f>
        <v>21.775117062301288</v>
      </c>
      <c r="W25" s="380" t="str">
        <f>IF(Q26="","",IF(T25&gt;300,IF(U25&lt;14,IF(T25&lt;390,"Pass","Fail"),"Fail"),"Fail"))</f>
        <v>Pass</v>
      </c>
      <c r="X25" s="383">
        <v>1428</v>
      </c>
      <c r="Y25" s="389"/>
      <c r="Z25" s="182"/>
      <c r="AA25" s="82">
        <v>270</v>
      </c>
      <c r="AB25" s="82">
        <v>370</v>
      </c>
      <c r="AC25" s="82">
        <v>300</v>
      </c>
      <c r="AD25" s="83">
        <v>390</v>
      </c>
      <c r="AE25" s="83">
        <v>20</v>
      </c>
      <c r="AF25" s="83">
        <v>14</v>
      </c>
    </row>
    <row r="26" spans="1:32" ht="15.6" x14ac:dyDescent="0.3">
      <c r="A26" s="221"/>
      <c r="B26" s="84"/>
      <c r="C26" s="84"/>
      <c r="D26" s="80" t="s">
        <v>187</v>
      </c>
      <c r="E26" s="81">
        <v>2072.0300000000002</v>
      </c>
      <c r="F26" s="81">
        <v>2085.23</v>
      </c>
      <c r="G26" s="81">
        <v>2086.39</v>
      </c>
      <c r="H26" s="81">
        <v>2086.4</v>
      </c>
      <c r="I26" s="81">
        <v>2085.81</v>
      </c>
      <c r="J26" s="81">
        <v>2084.21</v>
      </c>
      <c r="K26" s="81">
        <v>2079.4299999999998</v>
      </c>
      <c r="L26" s="81">
        <v>2082.6999999999998</v>
      </c>
      <c r="M26" s="81">
        <v>2083.48</v>
      </c>
      <c r="N26" s="81">
        <v>2089</v>
      </c>
      <c r="O26" s="81">
        <v>2089</v>
      </c>
      <c r="P26" s="81">
        <v>2108.06</v>
      </c>
      <c r="Q26" s="81">
        <v>2128.13</v>
      </c>
      <c r="R26" s="373"/>
      <c r="S26" s="373"/>
      <c r="T26" s="376"/>
      <c r="U26" s="376"/>
      <c r="V26" s="378"/>
      <c r="W26" s="381"/>
      <c r="X26" s="384"/>
      <c r="Y26" s="390"/>
      <c r="Z26" s="182"/>
      <c r="AA26" s="82"/>
      <c r="AB26" s="82"/>
      <c r="AC26" s="82"/>
      <c r="AD26" s="83"/>
      <c r="AE26" s="83"/>
      <c r="AF26" s="83"/>
    </row>
    <row r="27" spans="1:32" ht="30" x14ac:dyDescent="0.3">
      <c r="A27" s="221"/>
      <c r="B27" s="79"/>
      <c r="C27" s="79"/>
      <c r="D27" s="80" t="s">
        <v>188</v>
      </c>
      <c r="E27" s="85">
        <f t="shared" ref="E27:Q27" si="5">IF(((E25="")*AND(E26="")),"",(E25-E26))</f>
        <v>369.89999999999964</v>
      </c>
      <c r="F27" s="85">
        <f t="shared" si="5"/>
        <v>341.23</v>
      </c>
      <c r="G27" s="85">
        <f t="shared" si="5"/>
        <v>328.07999999999993</v>
      </c>
      <c r="H27" s="85">
        <f t="shared" si="5"/>
        <v>322.63999999999987</v>
      </c>
      <c r="I27" s="85">
        <f t="shared" si="5"/>
        <v>312.59999999999991</v>
      </c>
      <c r="J27" s="85">
        <f t="shared" si="5"/>
        <v>340.28999999999996</v>
      </c>
      <c r="K27" s="85">
        <f t="shared" si="5"/>
        <v>366.67000000000007</v>
      </c>
      <c r="L27" s="85">
        <f t="shared" si="5"/>
        <v>370.13000000000011</v>
      </c>
      <c r="M27" s="85">
        <f t="shared" si="5"/>
        <v>344.11999999999989</v>
      </c>
      <c r="N27" s="85">
        <f t="shared" si="5"/>
        <v>317.15999999999985</v>
      </c>
      <c r="O27" s="85">
        <f t="shared" si="5"/>
        <v>339.21000000000004</v>
      </c>
      <c r="P27" s="85">
        <f t="shared" si="5"/>
        <v>346</v>
      </c>
      <c r="Q27" s="85">
        <f t="shared" si="5"/>
        <v>380.90000000000009</v>
      </c>
      <c r="R27" s="374"/>
      <c r="S27" s="374"/>
      <c r="T27" s="377"/>
      <c r="U27" s="377"/>
      <c r="V27" s="379"/>
      <c r="W27" s="382"/>
      <c r="X27" s="385"/>
      <c r="Y27" s="391"/>
      <c r="Z27" s="182"/>
      <c r="AA27" s="82"/>
      <c r="AB27" s="82"/>
      <c r="AC27" s="82"/>
      <c r="AD27" s="82"/>
      <c r="AE27" s="86"/>
      <c r="AF27" s="82"/>
    </row>
    <row r="28" spans="1:32" ht="15" x14ac:dyDescent="0.25">
      <c r="A28" s="222">
        <v>43125</v>
      </c>
      <c r="B28" s="79" t="s">
        <v>235</v>
      </c>
      <c r="C28" s="79" t="s">
        <v>232</v>
      </c>
      <c r="D28" s="80" t="s">
        <v>186</v>
      </c>
      <c r="E28" s="81">
        <v>2817.06</v>
      </c>
      <c r="F28" s="81">
        <v>2768.21</v>
      </c>
      <c r="G28" s="81">
        <v>2744.26</v>
      </c>
      <c r="H28" s="81">
        <v>2739.06</v>
      </c>
      <c r="I28" s="81">
        <v>2749.78</v>
      </c>
      <c r="J28" s="81">
        <v>2777.99</v>
      </c>
      <c r="K28" s="81">
        <v>2829.11</v>
      </c>
      <c r="L28" s="81">
        <v>2819.68</v>
      </c>
      <c r="M28" s="81">
        <v>2764.44</v>
      </c>
      <c r="N28" s="81">
        <v>2740.37</v>
      </c>
      <c r="O28" s="81">
        <v>2757.79</v>
      </c>
      <c r="P28" s="81">
        <v>2800.03</v>
      </c>
      <c r="Q28" s="81">
        <v>2868.31</v>
      </c>
      <c r="R28" s="372">
        <f>IF((Q29=""),"",MAX(E30:Q30))</f>
        <v>341.04999999999973</v>
      </c>
      <c r="S28" s="372">
        <f>IF(Q29="","",MIN(E30:Q30))</f>
        <v>297.98</v>
      </c>
      <c r="T28" s="375">
        <f>IF((Q30=""),"",AVERAGE(E30:Q30))</f>
        <v>315.78307692307692</v>
      </c>
      <c r="U28" s="375">
        <f>IF((Q29=""),"",(R28-S28)/(R28+S28)*100)</f>
        <v>6.7399026649765617</v>
      </c>
      <c r="V28" s="375">
        <f>STDEV(E30:Q30)</f>
        <v>17.192777739802732</v>
      </c>
      <c r="W28" s="380" t="str">
        <f>IF(Q29="","",IF(T28&gt;300,IF(U28&lt;14,IF(T28&lt;390,"Pass","Fail"),"Fail"),"Fail"))</f>
        <v>Pass</v>
      </c>
      <c r="X28" s="383">
        <v>1428</v>
      </c>
      <c r="Y28" s="389"/>
      <c r="Z28" s="182"/>
      <c r="AA28" s="82">
        <v>270</v>
      </c>
      <c r="AB28" s="82">
        <v>370</v>
      </c>
      <c r="AC28" s="82">
        <v>300</v>
      </c>
      <c r="AD28" s="83">
        <v>390</v>
      </c>
      <c r="AE28" s="83">
        <v>20</v>
      </c>
      <c r="AF28" s="83">
        <v>14</v>
      </c>
    </row>
    <row r="29" spans="1:32" ht="15.6" x14ac:dyDescent="0.3">
      <c r="A29" s="221"/>
      <c r="B29" s="84"/>
      <c r="C29" s="84"/>
      <c r="D29" s="80" t="s">
        <v>187</v>
      </c>
      <c r="E29" s="81">
        <v>2476.0100000000002</v>
      </c>
      <c r="F29" s="81">
        <v>2455.54</v>
      </c>
      <c r="G29" s="81">
        <v>2446.2800000000002</v>
      </c>
      <c r="H29" s="81">
        <v>2440.15</v>
      </c>
      <c r="I29" s="81">
        <v>2450.83</v>
      </c>
      <c r="J29" s="81">
        <v>2464.77</v>
      </c>
      <c r="K29" s="81">
        <v>2491.2199999999998</v>
      </c>
      <c r="L29" s="81">
        <v>2479.85</v>
      </c>
      <c r="M29" s="81">
        <v>2451.9899999999998</v>
      </c>
      <c r="N29" s="81">
        <v>2440.52</v>
      </c>
      <c r="O29" s="81">
        <v>2457.44</v>
      </c>
      <c r="P29" s="81">
        <v>2484.69</v>
      </c>
      <c r="Q29" s="81">
        <v>2531.62</v>
      </c>
      <c r="R29" s="373"/>
      <c r="S29" s="373"/>
      <c r="T29" s="376"/>
      <c r="U29" s="376"/>
      <c r="V29" s="378"/>
      <c r="W29" s="381"/>
      <c r="X29" s="384"/>
      <c r="Y29" s="390"/>
      <c r="Z29" s="182"/>
      <c r="AA29" s="82"/>
      <c r="AB29" s="82"/>
      <c r="AC29" s="82"/>
      <c r="AD29" s="83"/>
      <c r="AE29" s="83"/>
      <c r="AF29" s="83"/>
    </row>
    <row r="30" spans="1:32" ht="30" x14ac:dyDescent="0.3">
      <c r="A30" s="221"/>
      <c r="B30" s="79"/>
      <c r="C30" s="79"/>
      <c r="D30" s="80" t="s">
        <v>188</v>
      </c>
      <c r="E30" s="85">
        <f t="shared" ref="E30:Q30" si="6">IF(((E28="")*AND(E29="")),"",(E28-E29))</f>
        <v>341.04999999999973</v>
      </c>
      <c r="F30" s="85">
        <f t="shared" si="6"/>
        <v>312.67000000000007</v>
      </c>
      <c r="G30" s="85">
        <f t="shared" si="6"/>
        <v>297.98</v>
      </c>
      <c r="H30" s="85">
        <f t="shared" si="6"/>
        <v>298.90999999999985</v>
      </c>
      <c r="I30" s="85">
        <f t="shared" si="6"/>
        <v>298.95000000000027</v>
      </c>
      <c r="J30" s="85">
        <f t="shared" si="6"/>
        <v>313.2199999999998</v>
      </c>
      <c r="K30" s="85">
        <f t="shared" si="6"/>
        <v>337.89000000000033</v>
      </c>
      <c r="L30" s="85">
        <f t="shared" si="6"/>
        <v>339.82999999999993</v>
      </c>
      <c r="M30" s="85">
        <f t="shared" si="6"/>
        <v>312.45000000000027</v>
      </c>
      <c r="N30" s="85">
        <f t="shared" si="6"/>
        <v>299.84999999999991</v>
      </c>
      <c r="O30" s="85">
        <f t="shared" si="6"/>
        <v>300.34999999999991</v>
      </c>
      <c r="P30" s="85">
        <f t="shared" si="6"/>
        <v>315.34000000000015</v>
      </c>
      <c r="Q30" s="85">
        <f t="shared" si="6"/>
        <v>336.69000000000005</v>
      </c>
      <c r="R30" s="374"/>
      <c r="S30" s="374"/>
      <c r="T30" s="377"/>
      <c r="U30" s="377"/>
      <c r="V30" s="379"/>
      <c r="W30" s="382"/>
      <c r="X30" s="385"/>
      <c r="Y30" s="391"/>
      <c r="Z30" s="182"/>
      <c r="AA30" s="82"/>
      <c r="AB30" s="82"/>
      <c r="AC30" s="82"/>
      <c r="AD30" s="82"/>
      <c r="AE30" s="86"/>
      <c r="AF30" s="82"/>
    </row>
    <row r="31" spans="1:32" ht="15" x14ac:dyDescent="0.25">
      <c r="A31" s="222">
        <v>43128</v>
      </c>
      <c r="B31" s="79" t="s">
        <v>235</v>
      </c>
      <c r="C31" s="79" t="s">
        <v>232</v>
      </c>
      <c r="D31" s="80" t="s">
        <v>186</v>
      </c>
      <c r="E31" s="81">
        <v>2475.9299999999998</v>
      </c>
      <c r="F31" s="81">
        <v>2454.33</v>
      </c>
      <c r="G31" s="81">
        <v>2442.66</v>
      </c>
      <c r="H31" s="81">
        <v>2440.67</v>
      </c>
      <c r="I31" s="81">
        <v>2449.4299999999998</v>
      </c>
      <c r="J31" s="81">
        <v>2466.15</v>
      </c>
      <c r="K31" s="81">
        <v>2496.62</v>
      </c>
      <c r="L31" s="81">
        <v>2481.61</v>
      </c>
      <c r="M31" s="81">
        <v>2452.87</v>
      </c>
      <c r="N31" s="81">
        <v>2442.4</v>
      </c>
      <c r="O31" s="81">
        <v>2458.04</v>
      </c>
      <c r="P31" s="81">
        <v>2486.48</v>
      </c>
      <c r="Q31" s="81">
        <v>2530.75</v>
      </c>
      <c r="R31" s="372">
        <f>IF((Q32=""),"",MAX(E33:Q33))</f>
        <v>373.27999999999975</v>
      </c>
      <c r="S31" s="372">
        <f>IF(Q32="","",MIN(E33:Q33))</f>
        <v>312.65000000000009</v>
      </c>
      <c r="T31" s="375">
        <f>IF((Q33=""),"",AVERAGE(E33:Q33))</f>
        <v>343.9507692307692</v>
      </c>
      <c r="U31" s="375">
        <f>IF((Q32=""),"",(R31-S31)/(R31+S31)*100)</f>
        <v>8.8390943682299472</v>
      </c>
      <c r="V31" s="375">
        <f>STDEV(E33:Q33)</f>
        <v>21.492938554146217</v>
      </c>
      <c r="W31" s="380" t="str">
        <f>IF(Q32="","",IF(T31&gt;300,IF(U31&lt;14,IF(T31&lt;390,"Pass","Fail"),"Fail"),"Fail"))</f>
        <v>Pass</v>
      </c>
      <c r="X31" s="383">
        <v>1519</v>
      </c>
      <c r="Y31" s="392"/>
      <c r="Z31" s="182" t="s">
        <v>236</v>
      </c>
      <c r="AA31" s="82">
        <v>270</v>
      </c>
      <c r="AB31" s="82">
        <v>370</v>
      </c>
      <c r="AC31" s="82">
        <v>300</v>
      </c>
      <c r="AD31" s="83">
        <v>390</v>
      </c>
      <c r="AE31" s="83">
        <v>20</v>
      </c>
      <c r="AF31" s="83">
        <v>14</v>
      </c>
    </row>
    <row r="32" spans="1:32" ht="15.6" x14ac:dyDescent="0.3">
      <c r="A32" s="221"/>
      <c r="B32" s="84"/>
      <c r="C32" s="84"/>
      <c r="D32" s="80" t="s">
        <v>187</v>
      </c>
      <c r="E32" s="81">
        <v>2102.65</v>
      </c>
      <c r="F32" s="81">
        <v>2116.64</v>
      </c>
      <c r="G32" s="81">
        <v>2081.4899999999998</v>
      </c>
      <c r="H32" s="81">
        <v>2128.02</v>
      </c>
      <c r="I32" s="81">
        <v>2131.37</v>
      </c>
      <c r="J32" s="81">
        <v>2140.4499999999998</v>
      </c>
      <c r="K32" s="81">
        <v>2145.36</v>
      </c>
      <c r="L32" s="81">
        <v>2126.3000000000002</v>
      </c>
      <c r="M32" s="81">
        <v>2122.02</v>
      </c>
      <c r="N32" s="81">
        <v>2121.39</v>
      </c>
      <c r="O32" s="81">
        <v>2089</v>
      </c>
      <c r="P32" s="81">
        <v>2144.27</v>
      </c>
      <c r="Q32" s="81">
        <v>2157.62</v>
      </c>
      <c r="R32" s="373"/>
      <c r="S32" s="373"/>
      <c r="T32" s="376"/>
      <c r="U32" s="376"/>
      <c r="V32" s="378"/>
      <c r="W32" s="381"/>
      <c r="X32" s="384"/>
      <c r="Y32" s="393"/>
      <c r="Z32" s="183"/>
      <c r="AA32" s="82"/>
      <c r="AB32" s="82"/>
      <c r="AC32" s="82"/>
      <c r="AD32" s="83"/>
      <c r="AE32" s="83"/>
      <c r="AF32" s="83"/>
    </row>
    <row r="33" spans="1:32" ht="30" x14ac:dyDescent="0.3">
      <c r="A33" s="221"/>
      <c r="B33" s="79"/>
      <c r="C33" s="79"/>
      <c r="D33" s="80" t="s">
        <v>188</v>
      </c>
      <c r="E33" s="85">
        <f t="shared" ref="E33:Q33" si="7">IF(((E31="")*AND(E32="")),"",(E31-E32))</f>
        <v>373.27999999999975</v>
      </c>
      <c r="F33" s="85">
        <f t="shared" si="7"/>
        <v>337.69000000000005</v>
      </c>
      <c r="G33" s="85">
        <f t="shared" si="7"/>
        <v>361.17000000000007</v>
      </c>
      <c r="H33" s="85">
        <f t="shared" si="7"/>
        <v>312.65000000000009</v>
      </c>
      <c r="I33" s="85">
        <f t="shared" si="7"/>
        <v>318.05999999999995</v>
      </c>
      <c r="J33" s="85">
        <f t="shared" si="7"/>
        <v>325.70000000000027</v>
      </c>
      <c r="K33" s="85">
        <f t="shared" si="7"/>
        <v>351.25999999999976</v>
      </c>
      <c r="L33" s="85">
        <f t="shared" si="7"/>
        <v>355.30999999999995</v>
      </c>
      <c r="M33" s="85">
        <f t="shared" si="7"/>
        <v>330.84999999999991</v>
      </c>
      <c r="N33" s="85">
        <f t="shared" si="7"/>
        <v>321.01000000000022</v>
      </c>
      <c r="O33" s="85">
        <f t="shared" si="7"/>
        <v>369.03999999999996</v>
      </c>
      <c r="P33" s="85">
        <f t="shared" si="7"/>
        <v>342.21000000000004</v>
      </c>
      <c r="Q33" s="85">
        <f t="shared" si="7"/>
        <v>373.13000000000011</v>
      </c>
      <c r="R33" s="374"/>
      <c r="S33" s="374"/>
      <c r="T33" s="377"/>
      <c r="U33" s="377"/>
      <c r="V33" s="379"/>
      <c r="W33" s="382"/>
      <c r="X33" s="385"/>
      <c r="Y33" s="394"/>
      <c r="Z33" s="183"/>
      <c r="AA33" s="82"/>
      <c r="AB33" s="82"/>
      <c r="AC33" s="82"/>
      <c r="AD33" s="82"/>
      <c r="AE33" s="86"/>
      <c r="AF33" s="82"/>
    </row>
    <row r="34" spans="1:32" ht="15" x14ac:dyDescent="0.25">
      <c r="A34" s="222">
        <v>43131</v>
      </c>
      <c r="B34" s="79" t="s">
        <v>235</v>
      </c>
      <c r="C34" s="79" t="s">
        <v>232</v>
      </c>
      <c r="D34" s="80" t="s">
        <v>186</v>
      </c>
      <c r="E34" s="81">
        <v>2821.6</v>
      </c>
      <c r="F34" s="81">
        <v>2761.13</v>
      </c>
      <c r="G34" s="81">
        <v>2734.66</v>
      </c>
      <c r="H34" s="81">
        <v>2732.91</v>
      </c>
      <c r="I34" s="81">
        <v>2751.37</v>
      </c>
      <c r="J34" s="81">
        <v>2795.86</v>
      </c>
      <c r="K34" s="81">
        <v>2865.82</v>
      </c>
      <c r="L34" s="81">
        <v>2809.27</v>
      </c>
      <c r="M34" s="81">
        <v>2766.1</v>
      </c>
      <c r="N34" s="81">
        <v>2739.65</v>
      </c>
      <c r="O34" s="81">
        <v>2742.05</v>
      </c>
      <c r="P34" s="81">
        <v>2768.95</v>
      </c>
      <c r="Q34" s="81">
        <v>2818.34</v>
      </c>
      <c r="R34" s="372">
        <f>IF((Q35=""),"",MAX(E36:Q36))</f>
        <v>369.75999999999976</v>
      </c>
      <c r="S34" s="372">
        <f>IF(Q35="","",MIN(E36:Q36))</f>
        <v>319.44000000000005</v>
      </c>
      <c r="T34" s="375">
        <f>IF((Q36=""),"",AVERAGE(E36:Q36))</f>
        <v>339.88</v>
      </c>
      <c r="U34" s="375">
        <f>IF((Q35=""),"",(R34-S34)/(R34+S34)*100)</f>
        <v>7.3012188044108708</v>
      </c>
      <c r="V34" s="375">
        <f>STDEV(E36:Q36)</f>
        <v>19.417399413927718</v>
      </c>
      <c r="W34" s="380" t="str">
        <f>IF(Q35="","",IF(T34&gt;300,IF(U34&lt;14,IF(T34&lt;390,"Pass","Fail"),"Fail"),"Fail"))</f>
        <v>Pass</v>
      </c>
      <c r="X34" s="383">
        <v>1335</v>
      </c>
      <c r="Y34" s="389"/>
      <c r="Z34" s="182"/>
      <c r="AA34" s="82">
        <v>270</v>
      </c>
      <c r="AB34" s="82">
        <v>370</v>
      </c>
      <c r="AC34" s="82">
        <v>300</v>
      </c>
      <c r="AD34" s="83">
        <v>390</v>
      </c>
      <c r="AE34" s="83">
        <v>20</v>
      </c>
      <c r="AF34" s="83">
        <v>14</v>
      </c>
    </row>
    <row r="35" spans="1:32" ht="15.6" x14ac:dyDescent="0.3">
      <c r="A35" s="221"/>
      <c r="B35" s="84"/>
      <c r="C35" s="84"/>
      <c r="D35" s="80" t="s">
        <v>187</v>
      </c>
      <c r="E35" s="81">
        <v>2453.59</v>
      </c>
      <c r="F35" s="81">
        <v>2425.5</v>
      </c>
      <c r="G35" s="81">
        <v>2413.0100000000002</v>
      </c>
      <c r="H35" s="81">
        <v>2413.4699999999998</v>
      </c>
      <c r="I35" s="81">
        <v>2428.38</v>
      </c>
      <c r="J35" s="81">
        <v>2459.85</v>
      </c>
      <c r="K35" s="81">
        <v>2503.4499999999998</v>
      </c>
      <c r="L35" s="81">
        <v>2439.5100000000002</v>
      </c>
      <c r="M35" s="81">
        <v>2429.08</v>
      </c>
      <c r="N35" s="81">
        <v>2417.42</v>
      </c>
      <c r="O35" s="81">
        <v>2419.65</v>
      </c>
      <c r="P35" s="81">
        <v>2432.92</v>
      </c>
      <c r="Q35" s="81">
        <v>2453.44</v>
      </c>
      <c r="R35" s="373"/>
      <c r="S35" s="373"/>
      <c r="T35" s="376"/>
      <c r="U35" s="376"/>
      <c r="V35" s="378"/>
      <c r="W35" s="381"/>
      <c r="X35" s="384"/>
      <c r="Y35" s="390"/>
      <c r="Z35" s="182"/>
      <c r="AA35" s="82"/>
      <c r="AB35" s="82"/>
      <c r="AC35" s="82"/>
      <c r="AD35" s="83"/>
      <c r="AE35" s="83"/>
      <c r="AF35" s="83"/>
    </row>
    <row r="36" spans="1:32" ht="30" x14ac:dyDescent="0.3">
      <c r="A36" s="221"/>
      <c r="B36" s="79"/>
      <c r="C36" s="79"/>
      <c r="D36" s="80" t="s">
        <v>188</v>
      </c>
      <c r="E36" s="85">
        <f t="shared" ref="E36:Q36" si="8">IF(((E34="")*AND(E35="")),"",(E34-E35))</f>
        <v>368.00999999999976</v>
      </c>
      <c r="F36" s="85">
        <f t="shared" si="8"/>
        <v>335.63000000000011</v>
      </c>
      <c r="G36" s="85">
        <f t="shared" si="8"/>
        <v>321.64999999999964</v>
      </c>
      <c r="H36" s="85">
        <f t="shared" si="8"/>
        <v>319.44000000000005</v>
      </c>
      <c r="I36" s="85">
        <f t="shared" si="8"/>
        <v>322.98999999999978</v>
      </c>
      <c r="J36" s="85">
        <f t="shared" si="8"/>
        <v>336.01000000000022</v>
      </c>
      <c r="K36" s="85">
        <f t="shared" si="8"/>
        <v>362.37000000000035</v>
      </c>
      <c r="L36" s="85">
        <f t="shared" si="8"/>
        <v>369.75999999999976</v>
      </c>
      <c r="M36" s="85">
        <f t="shared" si="8"/>
        <v>337.02</v>
      </c>
      <c r="N36" s="85">
        <f t="shared" si="8"/>
        <v>322.23</v>
      </c>
      <c r="O36" s="85">
        <f t="shared" si="8"/>
        <v>322.40000000000009</v>
      </c>
      <c r="P36" s="85">
        <f t="shared" si="8"/>
        <v>336.02999999999975</v>
      </c>
      <c r="Q36" s="85">
        <f t="shared" si="8"/>
        <v>364.90000000000009</v>
      </c>
      <c r="R36" s="374"/>
      <c r="S36" s="374"/>
      <c r="T36" s="377"/>
      <c r="U36" s="377"/>
      <c r="V36" s="379"/>
      <c r="W36" s="382"/>
      <c r="X36" s="385"/>
      <c r="Y36" s="391"/>
      <c r="Z36" s="182"/>
      <c r="AA36" s="82"/>
      <c r="AB36" s="82"/>
      <c r="AC36" s="82"/>
      <c r="AD36" s="82"/>
      <c r="AE36" s="86"/>
      <c r="AF36" s="82"/>
    </row>
    <row r="37" spans="1:32" ht="15" x14ac:dyDescent="0.25">
      <c r="A37" s="222">
        <v>43134</v>
      </c>
      <c r="B37" s="79" t="s">
        <v>235</v>
      </c>
      <c r="C37" s="79" t="s">
        <v>232</v>
      </c>
      <c r="D37" s="80" t="s">
        <v>186</v>
      </c>
      <c r="E37" s="81">
        <v>2453.0300000000002</v>
      </c>
      <c r="F37" s="81">
        <v>2426.44</v>
      </c>
      <c r="G37" s="81">
        <v>2410.81</v>
      </c>
      <c r="H37" s="81">
        <v>2410.08</v>
      </c>
      <c r="I37" s="81">
        <v>2439.59</v>
      </c>
      <c r="J37" s="81">
        <v>2449.7800000000002</v>
      </c>
      <c r="K37" s="81">
        <v>2503.37</v>
      </c>
      <c r="L37" s="81">
        <v>2438.2800000000002</v>
      </c>
      <c r="M37" s="81">
        <v>2430.41</v>
      </c>
      <c r="N37" s="81">
        <v>2422.5300000000002</v>
      </c>
      <c r="O37" s="81">
        <v>2420.56</v>
      </c>
      <c r="P37" s="81">
        <v>2433.27</v>
      </c>
      <c r="Q37" s="81">
        <v>2454.59</v>
      </c>
      <c r="R37" s="372">
        <f>IF((Q38=""),"",MAX(E39:Q39))</f>
        <v>369.74000000000024</v>
      </c>
      <c r="S37" s="372">
        <f>IF(Q38="","",MIN(E39:Q39))</f>
        <v>325.32000000000016</v>
      </c>
      <c r="T37" s="375">
        <f>IF((Q39=""),"",AVERAGE(E39:Q39))</f>
        <v>348.34307692307686</v>
      </c>
      <c r="U37" s="375">
        <f>IF((Q38=""),"",(R37-S37)/(R37+S37)*100)</f>
        <v>6.3908151814231928</v>
      </c>
      <c r="V37" s="375">
        <f>STDEV(E39:Q39)</f>
        <v>15.502765013923296</v>
      </c>
      <c r="W37" s="380" t="str">
        <f>IF(Q38="","",IF(T37&gt;300,IF(U37&lt;14,IF(T37&lt;390,"Pass","Fail"),"Fail"),"Fail"))</f>
        <v>Pass</v>
      </c>
      <c r="X37" s="383">
        <v>1335</v>
      </c>
      <c r="Y37" s="389"/>
      <c r="Z37" s="182"/>
      <c r="AA37" s="82">
        <v>270</v>
      </c>
      <c r="AB37" s="82">
        <v>370</v>
      </c>
      <c r="AC37" s="82">
        <v>300</v>
      </c>
      <c r="AD37" s="83">
        <v>390</v>
      </c>
      <c r="AE37" s="83">
        <v>20</v>
      </c>
      <c r="AF37" s="83">
        <v>14</v>
      </c>
    </row>
    <row r="38" spans="1:32" ht="15.6" x14ac:dyDescent="0.3">
      <c r="A38" s="221"/>
      <c r="B38" s="84"/>
      <c r="C38" s="84"/>
      <c r="D38" s="80" t="s">
        <v>187</v>
      </c>
      <c r="E38" s="81">
        <v>2085.7600000000002</v>
      </c>
      <c r="F38" s="81">
        <v>2083.5100000000002</v>
      </c>
      <c r="G38" s="81">
        <v>2085.4899999999998</v>
      </c>
      <c r="H38" s="81">
        <v>2083.5100000000002</v>
      </c>
      <c r="I38" s="81">
        <v>2085.7600000000002</v>
      </c>
      <c r="J38" s="81">
        <v>2085.7600000000002</v>
      </c>
      <c r="K38" s="81">
        <v>2148.66</v>
      </c>
      <c r="L38" s="81">
        <v>2076.27</v>
      </c>
      <c r="M38" s="81">
        <v>2083.5100000000002</v>
      </c>
      <c r="N38" s="81">
        <v>2094.1799999999998</v>
      </c>
      <c r="O38" s="81">
        <v>2083.5100000000002</v>
      </c>
      <c r="P38" s="81">
        <v>2083.5100000000002</v>
      </c>
      <c r="Q38" s="81">
        <v>2084.85</v>
      </c>
      <c r="R38" s="373"/>
      <c r="S38" s="373"/>
      <c r="T38" s="376"/>
      <c r="U38" s="376"/>
      <c r="V38" s="378"/>
      <c r="W38" s="381"/>
      <c r="X38" s="384"/>
      <c r="Y38" s="390"/>
      <c r="Z38" s="182"/>
      <c r="AA38" s="82"/>
      <c r="AB38" s="82"/>
      <c r="AC38" s="82"/>
      <c r="AD38" s="83"/>
      <c r="AE38" s="83"/>
      <c r="AF38" s="83"/>
    </row>
    <row r="39" spans="1:32" ht="30" x14ac:dyDescent="0.3">
      <c r="A39" s="221"/>
      <c r="B39" s="79"/>
      <c r="C39" s="79"/>
      <c r="D39" s="80" t="s">
        <v>188</v>
      </c>
      <c r="E39" s="85">
        <f t="shared" ref="E39:Q39" si="9">IF(((E37="")*AND(E38="")),"",(E37-E38))</f>
        <v>367.27</v>
      </c>
      <c r="F39" s="85">
        <f t="shared" si="9"/>
        <v>342.92999999999984</v>
      </c>
      <c r="G39" s="85">
        <f t="shared" si="9"/>
        <v>325.32000000000016</v>
      </c>
      <c r="H39" s="85">
        <f t="shared" si="9"/>
        <v>326.56999999999971</v>
      </c>
      <c r="I39" s="85">
        <f t="shared" si="9"/>
        <v>353.82999999999993</v>
      </c>
      <c r="J39" s="85">
        <f t="shared" si="9"/>
        <v>364.02</v>
      </c>
      <c r="K39" s="85">
        <f t="shared" si="9"/>
        <v>354.71000000000004</v>
      </c>
      <c r="L39" s="85">
        <f t="shared" si="9"/>
        <v>362.01000000000022</v>
      </c>
      <c r="M39" s="85">
        <f t="shared" si="9"/>
        <v>346.89999999999964</v>
      </c>
      <c r="N39" s="85">
        <f t="shared" si="9"/>
        <v>328.35000000000036</v>
      </c>
      <c r="O39" s="85">
        <f t="shared" si="9"/>
        <v>337.04999999999973</v>
      </c>
      <c r="P39" s="85">
        <f t="shared" si="9"/>
        <v>349.75999999999976</v>
      </c>
      <c r="Q39" s="85">
        <f t="shared" si="9"/>
        <v>369.74000000000024</v>
      </c>
      <c r="R39" s="374"/>
      <c r="S39" s="374"/>
      <c r="T39" s="377"/>
      <c r="U39" s="377"/>
      <c r="V39" s="379"/>
      <c r="W39" s="382"/>
      <c r="X39" s="385"/>
      <c r="Y39" s="391"/>
      <c r="Z39" s="182"/>
      <c r="AA39" s="82"/>
      <c r="AB39" s="82"/>
      <c r="AC39" s="82"/>
      <c r="AD39" s="82"/>
      <c r="AE39" s="86"/>
      <c r="AF39" s="82"/>
    </row>
    <row r="40" spans="1:32" ht="15" x14ac:dyDescent="0.25">
      <c r="A40" s="222">
        <v>43137</v>
      </c>
      <c r="B40" s="79" t="s">
        <v>235</v>
      </c>
      <c r="C40" s="79" t="s">
        <v>232</v>
      </c>
      <c r="D40" s="80" t="s">
        <v>186</v>
      </c>
      <c r="E40" s="81">
        <v>2800.05</v>
      </c>
      <c r="F40" s="81">
        <v>2766.84</v>
      </c>
      <c r="G40" s="81">
        <v>2746.31</v>
      </c>
      <c r="H40" s="81">
        <v>2742.9</v>
      </c>
      <c r="I40" s="81">
        <v>2757.52</v>
      </c>
      <c r="J40" s="81">
        <v>2791.42</v>
      </c>
      <c r="K40" s="81">
        <v>2852.7</v>
      </c>
      <c r="L40" s="81">
        <v>2848.2</v>
      </c>
      <c r="M40" s="81">
        <v>2791.23</v>
      </c>
      <c r="N40" s="81">
        <v>2756.98</v>
      </c>
      <c r="O40" s="81">
        <v>2747.24</v>
      </c>
      <c r="P40" s="81">
        <v>2770.21</v>
      </c>
      <c r="Q40" s="81">
        <v>2808.69</v>
      </c>
      <c r="R40" s="372">
        <f>IF((Q41=""),"",MAX(E42:Q42))</f>
        <v>366.12000000000035</v>
      </c>
      <c r="S40" s="372">
        <f>IF(Q41="","",MIN(E42:Q42))</f>
        <v>316.5</v>
      </c>
      <c r="T40" s="375">
        <f>IF((Q42=""),"",AVERAGE(E42:Q42))</f>
        <v>338.0461538461538</v>
      </c>
      <c r="U40" s="375">
        <f>IF((Q41=""),"",(R40-S40)/(R40+S40)*100)</f>
        <v>7.2690515953239458</v>
      </c>
      <c r="V40" s="375">
        <f>STDEV(E42:Q42)</f>
        <v>17.694384014173142</v>
      </c>
      <c r="W40" s="380" t="str">
        <f>IF(Q41="","",IF(T40&gt;300,IF(U40&lt;14,IF(T40&lt;390,"Pass","Fail"),"Fail"),"Fail"))</f>
        <v>Pass</v>
      </c>
      <c r="X40" s="383"/>
      <c r="Y40" s="389"/>
      <c r="Z40" s="182"/>
      <c r="AA40" s="82">
        <v>270</v>
      </c>
      <c r="AB40" s="82">
        <v>370</v>
      </c>
      <c r="AC40" s="82">
        <v>300</v>
      </c>
      <c r="AD40" s="83">
        <v>390</v>
      </c>
      <c r="AE40" s="83">
        <v>20</v>
      </c>
      <c r="AF40" s="83">
        <v>14</v>
      </c>
    </row>
    <row r="41" spans="1:32" ht="15.6" x14ac:dyDescent="0.3">
      <c r="A41" s="221"/>
      <c r="B41" s="84"/>
      <c r="C41" s="84"/>
      <c r="D41" s="80" t="s">
        <v>187</v>
      </c>
      <c r="E41" s="81">
        <v>2433.9299999999998</v>
      </c>
      <c r="F41" s="81">
        <v>2431.8000000000002</v>
      </c>
      <c r="G41" s="81">
        <v>2423.79</v>
      </c>
      <c r="H41" s="81">
        <v>2426.4</v>
      </c>
      <c r="I41" s="81">
        <v>2434.36</v>
      </c>
      <c r="J41" s="81">
        <v>2457.02</v>
      </c>
      <c r="K41" s="81">
        <v>2493.0100000000002</v>
      </c>
      <c r="L41" s="81">
        <v>2488.35</v>
      </c>
      <c r="M41" s="81">
        <v>2456.59</v>
      </c>
      <c r="N41" s="81">
        <v>2437.71</v>
      </c>
      <c r="O41" s="81">
        <v>2424.06</v>
      </c>
      <c r="P41" s="81">
        <v>2430.08</v>
      </c>
      <c r="Q41" s="81">
        <v>2448.59</v>
      </c>
      <c r="R41" s="373"/>
      <c r="S41" s="373"/>
      <c r="T41" s="376"/>
      <c r="U41" s="376"/>
      <c r="V41" s="378"/>
      <c r="W41" s="381"/>
      <c r="X41" s="384"/>
      <c r="Y41" s="390"/>
      <c r="Z41" s="182"/>
      <c r="AA41" s="82"/>
      <c r="AB41" s="82"/>
      <c r="AC41" s="82"/>
      <c r="AD41" s="83"/>
      <c r="AE41" s="83"/>
      <c r="AF41" s="83"/>
    </row>
    <row r="42" spans="1:32" ht="30" x14ac:dyDescent="0.3">
      <c r="A42" s="221"/>
      <c r="B42" s="79"/>
      <c r="C42" s="79"/>
      <c r="D42" s="80" t="s">
        <v>188</v>
      </c>
      <c r="E42" s="85">
        <f t="shared" ref="E42:Q42" si="10">IF(((E40="")*AND(E41="")),"",(E40-E41))</f>
        <v>366.12000000000035</v>
      </c>
      <c r="F42" s="85">
        <f t="shared" si="10"/>
        <v>335.03999999999996</v>
      </c>
      <c r="G42" s="85">
        <f t="shared" si="10"/>
        <v>322.52</v>
      </c>
      <c r="H42" s="85">
        <f t="shared" si="10"/>
        <v>316.5</v>
      </c>
      <c r="I42" s="85">
        <f t="shared" si="10"/>
        <v>323.15999999999985</v>
      </c>
      <c r="J42" s="85">
        <f t="shared" si="10"/>
        <v>334.40000000000009</v>
      </c>
      <c r="K42" s="85">
        <f t="shared" si="10"/>
        <v>359.6899999999996</v>
      </c>
      <c r="L42" s="85">
        <f t="shared" si="10"/>
        <v>359.84999999999991</v>
      </c>
      <c r="M42" s="85">
        <f t="shared" si="10"/>
        <v>334.63999999999987</v>
      </c>
      <c r="N42" s="85">
        <f t="shared" si="10"/>
        <v>319.27</v>
      </c>
      <c r="O42" s="85">
        <f t="shared" si="10"/>
        <v>323.17999999999984</v>
      </c>
      <c r="P42" s="85">
        <f t="shared" si="10"/>
        <v>340.13000000000011</v>
      </c>
      <c r="Q42" s="85">
        <f t="shared" si="10"/>
        <v>360.09999999999991</v>
      </c>
      <c r="R42" s="374"/>
      <c r="S42" s="374"/>
      <c r="T42" s="377"/>
      <c r="U42" s="377"/>
      <c r="V42" s="379"/>
      <c r="W42" s="382"/>
      <c r="X42" s="385"/>
      <c r="Y42" s="391"/>
      <c r="Z42" s="182"/>
      <c r="AA42" s="82"/>
      <c r="AB42" s="82"/>
      <c r="AC42" s="82"/>
      <c r="AD42" s="82"/>
      <c r="AE42" s="86"/>
      <c r="AF42" s="82"/>
    </row>
    <row r="43" spans="1:32" ht="15" x14ac:dyDescent="0.25">
      <c r="A43" s="222">
        <v>43140</v>
      </c>
      <c r="B43" s="79" t="s">
        <v>235</v>
      </c>
      <c r="C43" s="79" t="s">
        <v>232</v>
      </c>
      <c r="D43" s="80" t="s">
        <v>186</v>
      </c>
      <c r="E43" s="81">
        <v>2434.46</v>
      </c>
      <c r="F43" s="81">
        <v>2432.7399999999998</v>
      </c>
      <c r="G43" s="81">
        <v>2423.69</v>
      </c>
      <c r="H43" s="81">
        <v>2424.19</v>
      </c>
      <c r="I43" s="81">
        <v>2436.7600000000002</v>
      </c>
      <c r="J43" s="81">
        <v>2457.3200000000002</v>
      </c>
      <c r="K43" s="81">
        <v>2495.73</v>
      </c>
      <c r="L43" s="81">
        <v>2488.31</v>
      </c>
      <c r="M43" s="81">
        <v>2457.48</v>
      </c>
      <c r="N43" s="81">
        <v>2435.62</v>
      </c>
      <c r="O43" s="81">
        <v>2423.34</v>
      </c>
      <c r="P43" s="81">
        <v>2432.86</v>
      </c>
      <c r="Q43" s="81">
        <v>2447.65</v>
      </c>
      <c r="R43" s="372">
        <f>IF((Q44=""),"",MAX(E45:Q45))</f>
        <v>375.52</v>
      </c>
      <c r="S43" s="372">
        <f>IF(Q44="","",MIN(E45:Q45))</f>
        <v>328.52</v>
      </c>
      <c r="T43" s="375">
        <f>IF((Q45=""),"",AVERAGE(E45:Q45))</f>
        <v>347.3238461538462</v>
      </c>
      <c r="U43" s="375">
        <f>IF((Q44=""),"",(R43-S43)/(R43+S43)*100)</f>
        <v>6.6757570592579976</v>
      </c>
      <c r="V43" s="375">
        <f>STDEV(E45:Q45)</f>
        <v>17.717301590282492</v>
      </c>
      <c r="W43" s="380" t="str">
        <f>IF(Q44="","",IF(T43&gt;300,IF(U43&lt;14,IF(T43&lt;390,"Pass","Fail"),"Fail"),"Fail"))</f>
        <v>Pass</v>
      </c>
      <c r="X43" s="383"/>
      <c r="Y43" s="389"/>
      <c r="Z43" s="182"/>
      <c r="AA43" s="82">
        <v>270</v>
      </c>
      <c r="AB43" s="82">
        <v>370</v>
      </c>
      <c r="AC43" s="82">
        <v>300</v>
      </c>
      <c r="AD43" s="83">
        <v>390</v>
      </c>
      <c r="AE43" s="83">
        <v>20</v>
      </c>
      <c r="AF43" s="83">
        <v>14</v>
      </c>
    </row>
    <row r="44" spans="1:32" ht="15.6" x14ac:dyDescent="0.3">
      <c r="A44" s="221"/>
      <c r="B44" s="84"/>
      <c r="C44" s="84"/>
      <c r="D44" s="80" t="s">
        <v>187</v>
      </c>
      <c r="E44" s="81">
        <v>2058.94</v>
      </c>
      <c r="F44" s="81">
        <v>2083.21</v>
      </c>
      <c r="G44" s="81">
        <v>2092.96</v>
      </c>
      <c r="H44" s="81">
        <v>2094.96</v>
      </c>
      <c r="I44" s="81">
        <v>2105.84</v>
      </c>
      <c r="J44" s="81">
        <v>2115.3200000000002</v>
      </c>
      <c r="K44" s="81">
        <v>2131.81</v>
      </c>
      <c r="L44" s="81">
        <v>2117.7399999999998</v>
      </c>
      <c r="M44" s="81">
        <v>2112.33</v>
      </c>
      <c r="N44" s="81">
        <v>2105.37</v>
      </c>
      <c r="O44" s="81">
        <v>2094.8200000000002</v>
      </c>
      <c r="P44" s="81">
        <v>2085.83</v>
      </c>
      <c r="Q44" s="81">
        <v>2075.81</v>
      </c>
      <c r="R44" s="373"/>
      <c r="S44" s="373"/>
      <c r="T44" s="376"/>
      <c r="U44" s="376"/>
      <c r="V44" s="378"/>
      <c r="W44" s="381"/>
      <c r="X44" s="384"/>
      <c r="Y44" s="390"/>
      <c r="Z44" s="182"/>
      <c r="AA44" s="82"/>
      <c r="AB44" s="82"/>
      <c r="AC44" s="82"/>
      <c r="AD44" s="83"/>
      <c r="AE44" s="83"/>
      <c r="AF44" s="83"/>
    </row>
    <row r="45" spans="1:32" ht="30" x14ac:dyDescent="0.3">
      <c r="A45" s="221"/>
      <c r="B45" s="79"/>
      <c r="C45" s="79"/>
      <c r="D45" s="80" t="s">
        <v>188</v>
      </c>
      <c r="E45" s="85">
        <f t="shared" ref="E45:Q45" si="11">IF(((E43="")*AND(E44="")),"",(E43-E44))</f>
        <v>375.52</v>
      </c>
      <c r="F45" s="85">
        <f t="shared" si="11"/>
        <v>349.52999999999975</v>
      </c>
      <c r="G45" s="85">
        <f t="shared" si="11"/>
        <v>330.73</v>
      </c>
      <c r="H45" s="85">
        <f t="shared" si="11"/>
        <v>329.23</v>
      </c>
      <c r="I45" s="85">
        <f t="shared" si="11"/>
        <v>330.92000000000007</v>
      </c>
      <c r="J45" s="85">
        <f t="shared" si="11"/>
        <v>342</v>
      </c>
      <c r="K45" s="85">
        <f t="shared" si="11"/>
        <v>363.92000000000007</v>
      </c>
      <c r="L45" s="85">
        <f t="shared" si="11"/>
        <v>370.57000000000016</v>
      </c>
      <c r="M45" s="85">
        <f t="shared" si="11"/>
        <v>345.15000000000009</v>
      </c>
      <c r="N45" s="85">
        <f t="shared" si="11"/>
        <v>330.25</v>
      </c>
      <c r="O45" s="85">
        <f t="shared" si="11"/>
        <v>328.52</v>
      </c>
      <c r="P45" s="85">
        <f t="shared" si="11"/>
        <v>347.0300000000002</v>
      </c>
      <c r="Q45" s="85">
        <f t="shared" si="11"/>
        <v>371.84000000000015</v>
      </c>
      <c r="R45" s="374"/>
      <c r="S45" s="374"/>
      <c r="T45" s="377"/>
      <c r="U45" s="377"/>
      <c r="V45" s="379"/>
      <c r="W45" s="382"/>
      <c r="X45" s="385"/>
      <c r="Y45" s="391"/>
      <c r="Z45" s="182"/>
      <c r="AA45" s="82"/>
      <c r="AB45" s="82"/>
      <c r="AC45" s="82"/>
      <c r="AD45" s="82"/>
      <c r="AE45" s="86"/>
      <c r="AF45" s="82"/>
    </row>
    <row r="46" spans="1:32" ht="15" x14ac:dyDescent="0.25">
      <c r="A46" s="222">
        <v>43143</v>
      </c>
      <c r="B46" s="79" t="s">
        <v>235</v>
      </c>
      <c r="C46" s="79" t="s">
        <v>232</v>
      </c>
      <c r="D46" s="80" t="s">
        <v>186</v>
      </c>
      <c r="E46" s="81">
        <v>2810.19</v>
      </c>
      <c r="F46" s="81">
        <v>2767.87</v>
      </c>
      <c r="G46" s="81">
        <v>2747.72</v>
      </c>
      <c r="H46" s="81">
        <v>2745.42</v>
      </c>
      <c r="I46" s="81">
        <v>2761.41</v>
      </c>
      <c r="J46" s="81">
        <v>2796.91</v>
      </c>
      <c r="K46" s="81">
        <v>2860.08</v>
      </c>
      <c r="L46" s="81">
        <v>2841.49</v>
      </c>
      <c r="M46" s="81">
        <v>2787.2</v>
      </c>
      <c r="N46" s="81">
        <v>2756.6</v>
      </c>
      <c r="O46" s="81">
        <v>2750.61</v>
      </c>
      <c r="P46" s="81">
        <v>2772.96</v>
      </c>
      <c r="Q46" s="81">
        <v>2815.14</v>
      </c>
      <c r="R46" s="372">
        <f>IF((Q47=""),"",MAX(E48:Q48))</f>
        <v>376.15999999999985</v>
      </c>
      <c r="S46" s="372">
        <f>IF(Q47="","",MIN(E48:Q48))</f>
        <v>319.32999999999993</v>
      </c>
      <c r="T46" s="375">
        <f>IF((Q48=""),"",AVERAGE(E48:Q48))</f>
        <v>342.43999999999994</v>
      </c>
      <c r="U46" s="375">
        <f>IF((Q47=""),"",(R46-S46)/(R46+S46)*100)</f>
        <v>8.1712174150598784</v>
      </c>
      <c r="V46" s="375">
        <f>STDEV(E48:Q48)</f>
        <v>22.545535773924982</v>
      </c>
      <c r="W46" s="380" t="str">
        <f>IF(Q47="","",IF(T46&gt;300,IF(U46&lt;14,IF(T46&lt;390,"Pass","Fail"),"Fail"),"Fail"))</f>
        <v>Pass</v>
      </c>
      <c r="X46" s="383"/>
      <c r="Y46" s="389"/>
      <c r="Z46" s="182"/>
      <c r="AA46" s="82">
        <v>270</v>
      </c>
      <c r="AB46" s="82">
        <v>370</v>
      </c>
      <c r="AC46" s="82">
        <v>300</v>
      </c>
      <c r="AD46" s="83">
        <v>390</v>
      </c>
      <c r="AE46" s="83">
        <v>20</v>
      </c>
      <c r="AF46" s="83">
        <v>14</v>
      </c>
    </row>
    <row r="47" spans="1:32" ht="15.6" x14ac:dyDescent="0.3">
      <c r="A47" s="221"/>
      <c r="B47" s="84"/>
      <c r="C47" s="84"/>
      <c r="D47" s="80" t="s">
        <v>187</v>
      </c>
      <c r="E47" s="81">
        <v>2434.75</v>
      </c>
      <c r="F47" s="81">
        <v>2430.92</v>
      </c>
      <c r="G47" s="81">
        <v>2425.1799999999998</v>
      </c>
      <c r="H47" s="81">
        <v>2426.09</v>
      </c>
      <c r="I47" s="81">
        <v>2439.9499999999998</v>
      </c>
      <c r="J47" s="81">
        <v>2456.98</v>
      </c>
      <c r="K47" s="81">
        <v>2490.96</v>
      </c>
      <c r="L47" s="81">
        <v>2469.86</v>
      </c>
      <c r="M47" s="81">
        <v>2450.44</v>
      </c>
      <c r="N47" s="81">
        <v>2434.83</v>
      </c>
      <c r="O47" s="81">
        <v>2428.94</v>
      </c>
      <c r="P47" s="81">
        <v>2434</v>
      </c>
      <c r="Q47" s="81">
        <v>2438.98</v>
      </c>
      <c r="R47" s="373"/>
      <c r="S47" s="373"/>
      <c r="T47" s="376"/>
      <c r="U47" s="376"/>
      <c r="V47" s="378"/>
      <c r="W47" s="381"/>
      <c r="X47" s="384"/>
      <c r="Y47" s="390"/>
      <c r="Z47" s="182"/>
      <c r="AA47" s="82"/>
      <c r="AB47" s="82"/>
      <c r="AC47" s="82"/>
      <c r="AD47" s="83"/>
      <c r="AE47" s="83"/>
      <c r="AF47" s="83"/>
    </row>
    <row r="48" spans="1:32" ht="30" x14ac:dyDescent="0.3">
      <c r="A48" s="221"/>
      <c r="B48" s="79"/>
      <c r="C48" s="79"/>
      <c r="D48" s="80" t="s">
        <v>188</v>
      </c>
      <c r="E48" s="85">
        <f t="shared" ref="E48:Q48" si="12">IF(((E46="")*AND(E47="")),"",(E46-E47))</f>
        <v>375.44000000000005</v>
      </c>
      <c r="F48" s="85">
        <f t="shared" si="12"/>
        <v>336.94999999999982</v>
      </c>
      <c r="G48" s="85">
        <f t="shared" si="12"/>
        <v>322.53999999999996</v>
      </c>
      <c r="H48" s="85">
        <f t="shared" si="12"/>
        <v>319.32999999999993</v>
      </c>
      <c r="I48" s="85">
        <f t="shared" si="12"/>
        <v>321.46000000000004</v>
      </c>
      <c r="J48" s="85">
        <f t="shared" si="12"/>
        <v>339.92999999999984</v>
      </c>
      <c r="K48" s="85">
        <f t="shared" si="12"/>
        <v>369.11999999999989</v>
      </c>
      <c r="L48" s="85">
        <f t="shared" si="12"/>
        <v>371.62999999999965</v>
      </c>
      <c r="M48" s="85">
        <f t="shared" si="12"/>
        <v>336.75999999999976</v>
      </c>
      <c r="N48" s="85">
        <f t="shared" si="12"/>
        <v>321.77</v>
      </c>
      <c r="O48" s="85">
        <f t="shared" si="12"/>
        <v>321.67000000000007</v>
      </c>
      <c r="P48" s="85">
        <f t="shared" si="12"/>
        <v>338.96000000000004</v>
      </c>
      <c r="Q48" s="85">
        <f t="shared" si="12"/>
        <v>376.15999999999985</v>
      </c>
      <c r="R48" s="374"/>
      <c r="S48" s="374"/>
      <c r="T48" s="377"/>
      <c r="U48" s="377"/>
      <c r="V48" s="379"/>
      <c r="W48" s="382"/>
      <c r="X48" s="385"/>
      <c r="Y48" s="391"/>
      <c r="Z48" s="182"/>
      <c r="AA48" s="82"/>
      <c r="AB48" s="82"/>
      <c r="AC48" s="82"/>
      <c r="AD48" s="82"/>
      <c r="AE48" s="86"/>
      <c r="AF48" s="82"/>
    </row>
    <row r="49" spans="1:32" ht="15" x14ac:dyDescent="0.25">
      <c r="A49" s="222">
        <v>43146</v>
      </c>
      <c r="B49" s="79" t="s">
        <v>235</v>
      </c>
      <c r="C49" s="79" t="s">
        <v>232</v>
      </c>
      <c r="D49" s="80" t="s">
        <v>186</v>
      </c>
      <c r="E49" s="81">
        <v>2453.08</v>
      </c>
      <c r="F49" s="81">
        <v>2429.42</v>
      </c>
      <c r="G49" s="81">
        <v>2425.52</v>
      </c>
      <c r="H49" s="81">
        <v>2424.0300000000002</v>
      </c>
      <c r="I49" s="81">
        <v>2446.5500000000002</v>
      </c>
      <c r="J49" s="81">
        <v>2458.12</v>
      </c>
      <c r="K49" s="81">
        <v>2490.48</v>
      </c>
      <c r="L49" s="81">
        <v>2471.61</v>
      </c>
      <c r="M49" s="81">
        <v>2449.41</v>
      </c>
      <c r="N49" s="81">
        <v>2435</v>
      </c>
      <c r="O49" s="81">
        <v>2427.4</v>
      </c>
      <c r="P49" s="81">
        <v>2431.2600000000002</v>
      </c>
      <c r="Q49" s="81">
        <v>2439.0700000000002</v>
      </c>
      <c r="R49" s="372">
        <f>IF((Q50=""),"",MAX(E51:Q51))</f>
        <v>404.09000000000015</v>
      </c>
      <c r="S49" s="372">
        <f>IF(Q50="","",MIN(E51:Q51))</f>
        <v>320.61000000000013</v>
      </c>
      <c r="T49" s="375">
        <f>IF((Q51=""),"",AVERAGE(E51:Q51))</f>
        <v>347.02923076923071</v>
      </c>
      <c r="U49" s="375">
        <f>IF((Q50=""),"",(R49-S49)/(R49+S49)*100)</f>
        <v>11.519249344556366</v>
      </c>
      <c r="V49" s="375">
        <f>STDEV(E51:Q51)</f>
        <v>23.615287231487205</v>
      </c>
      <c r="W49" s="380" t="str">
        <f>IF(Q50="","",IF(T49&gt;300,IF(U49&lt;14,IF(T49&lt;390,"Pass","Fail"),"Fail"),"Fail"))</f>
        <v>Pass</v>
      </c>
      <c r="X49" s="383"/>
      <c r="Y49" s="389"/>
      <c r="Z49" s="182"/>
      <c r="AA49" s="82">
        <v>270</v>
      </c>
      <c r="AB49" s="82">
        <v>370</v>
      </c>
      <c r="AC49" s="82">
        <v>300</v>
      </c>
      <c r="AD49" s="83">
        <v>390</v>
      </c>
      <c r="AE49" s="83">
        <v>20</v>
      </c>
      <c r="AF49" s="83">
        <v>14</v>
      </c>
    </row>
    <row r="50" spans="1:32" ht="15.6" x14ac:dyDescent="0.3">
      <c r="A50" s="221"/>
      <c r="B50" s="84"/>
      <c r="C50" s="84"/>
      <c r="D50" s="80" t="s">
        <v>187</v>
      </c>
      <c r="E50" s="81">
        <v>2048.9899999999998</v>
      </c>
      <c r="F50" s="81">
        <v>2083.44</v>
      </c>
      <c r="G50" s="81">
        <v>2098.0100000000002</v>
      </c>
      <c r="H50" s="81">
        <v>2103.42</v>
      </c>
      <c r="I50" s="81">
        <v>2103.42</v>
      </c>
      <c r="J50" s="81">
        <v>2122.1799999999998</v>
      </c>
      <c r="K50" s="81">
        <v>2124.08</v>
      </c>
      <c r="L50" s="81">
        <v>2094.5700000000002</v>
      </c>
      <c r="M50" s="81">
        <v>2103.42</v>
      </c>
      <c r="N50" s="81">
        <v>2103.42</v>
      </c>
      <c r="O50" s="81">
        <v>2103.42</v>
      </c>
      <c r="P50" s="81">
        <v>2077.7800000000002</v>
      </c>
      <c r="Q50" s="81">
        <v>2103.42</v>
      </c>
      <c r="R50" s="373"/>
      <c r="S50" s="373"/>
      <c r="T50" s="376"/>
      <c r="U50" s="376"/>
      <c r="V50" s="378"/>
      <c r="W50" s="381"/>
      <c r="X50" s="384"/>
      <c r="Y50" s="390"/>
      <c r="Z50" s="182"/>
      <c r="AA50" s="82"/>
      <c r="AB50" s="82"/>
      <c r="AC50" s="82"/>
      <c r="AD50" s="83"/>
      <c r="AE50" s="83"/>
      <c r="AF50" s="83"/>
    </row>
    <row r="51" spans="1:32" ht="30" x14ac:dyDescent="0.3">
      <c r="A51" s="221"/>
      <c r="B51" s="79"/>
      <c r="C51" s="79"/>
      <c r="D51" s="80" t="s">
        <v>188</v>
      </c>
      <c r="E51" s="85">
        <f t="shared" ref="E51:Q51" si="13">IF(((E49="")*AND(E50="")),"",(E49-E50))</f>
        <v>404.09000000000015</v>
      </c>
      <c r="F51" s="85">
        <f t="shared" si="13"/>
        <v>345.98</v>
      </c>
      <c r="G51" s="85">
        <f t="shared" si="13"/>
        <v>327.50999999999976</v>
      </c>
      <c r="H51" s="85">
        <f t="shared" si="13"/>
        <v>320.61000000000013</v>
      </c>
      <c r="I51" s="85">
        <f t="shared" si="13"/>
        <v>343.13000000000011</v>
      </c>
      <c r="J51" s="85">
        <f t="shared" si="13"/>
        <v>335.94000000000005</v>
      </c>
      <c r="K51" s="85">
        <f t="shared" si="13"/>
        <v>366.40000000000009</v>
      </c>
      <c r="L51" s="85">
        <f t="shared" si="13"/>
        <v>377.03999999999996</v>
      </c>
      <c r="M51" s="85">
        <f t="shared" si="13"/>
        <v>345.98999999999978</v>
      </c>
      <c r="N51" s="85">
        <f t="shared" si="13"/>
        <v>331.57999999999993</v>
      </c>
      <c r="O51" s="85">
        <f t="shared" si="13"/>
        <v>323.98</v>
      </c>
      <c r="P51" s="85">
        <f t="shared" si="13"/>
        <v>353.48</v>
      </c>
      <c r="Q51" s="85">
        <f t="shared" si="13"/>
        <v>335.65000000000009</v>
      </c>
      <c r="R51" s="374"/>
      <c r="S51" s="374"/>
      <c r="T51" s="377"/>
      <c r="U51" s="377"/>
      <c r="V51" s="379"/>
      <c r="W51" s="382"/>
      <c r="X51" s="385"/>
      <c r="Y51" s="391"/>
      <c r="Z51" s="182"/>
      <c r="AA51" s="82"/>
      <c r="AB51" s="82"/>
      <c r="AC51" s="82"/>
      <c r="AD51" s="82"/>
      <c r="AE51" s="86"/>
      <c r="AF51" s="82"/>
    </row>
    <row r="52" spans="1:32" ht="15" x14ac:dyDescent="0.25">
      <c r="A52" s="222">
        <v>43159</v>
      </c>
      <c r="B52" s="79" t="s">
        <v>235</v>
      </c>
      <c r="C52" s="79" t="s">
        <v>232</v>
      </c>
      <c r="D52" s="80" t="s">
        <v>186</v>
      </c>
      <c r="E52" s="81">
        <v>2811.93</v>
      </c>
      <c r="F52" s="81">
        <v>2766.64</v>
      </c>
      <c r="G52" s="81">
        <v>2747.63</v>
      </c>
      <c r="H52" s="81">
        <v>2744.48</v>
      </c>
      <c r="I52" s="81">
        <v>2761.1</v>
      </c>
      <c r="J52" s="81">
        <v>2797.47</v>
      </c>
      <c r="K52" s="81">
        <v>2867.28</v>
      </c>
      <c r="L52" s="81">
        <v>2843.07</v>
      </c>
      <c r="M52" s="81">
        <v>2786.29</v>
      </c>
      <c r="N52" s="81">
        <v>2757.43</v>
      </c>
      <c r="O52" s="81">
        <v>2748.85</v>
      </c>
      <c r="P52" s="81">
        <v>2770.9</v>
      </c>
      <c r="Q52" s="81">
        <v>2814.98</v>
      </c>
      <c r="R52" s="372">
        <f>IF((Q53=""),"",MAX(E54:Q54))</f>
        <v>376.54999999999973</v>
      </c>
      <c r="S52" s="372">
        <f>IF(Q53="","",MIN(E54:Q54))</f>
        <v>320.19999999999982</v>
      </c>
      <c r="T52" s="375">
        <f>IF((Q54=""),"",AVERAGE(E54:Q54))</f>
        <v>342.31307692307689</v>
      </c>
      <c r="U52" s="375">
        <f>IF((Q53=""),"",(R52-S52)/(R52+S52)*100)</f>
        <v>8.0875493362037965</v>
      </c>
      <c r="V52" s="375">
        <f>STDEV(E54:Q54)</f>
        <v>21.236429150799463</v>
      </c>
      <c r="W52" s="380" t="str">
        <f>IF(Q53="","",IF(T52&gt;300,IF(U52&lt;14,IF(T52&lt;390,"Pass","Fail"),"Fail"),"Fail"))</f>
        <v>Pass</v>
      </c>
      <c r="X52" s="383">
        <v>1428</v>
      </c>
      <c r="Y52" s="253" t="s">
        <v>237</v>
      </c>
      <c r="Z52" s="182"/>
      <c r="AA52" s="82">
        <v>270</v>
      </c>
      <c r="AB52" s="82">
        <v>370</v>
      </c>
      <c r="AC52" s="82">
        <v>300</v>
      </c>
      <c r="AD52" s="83">
        <v>390</v>
      </c>
      <c r="AE52" s="83">
        <v>20</v>
      </c>
      <c r="AF52" s="83">
        <v>14</v>
      </c>
    </row>
    <row r="53" spans="1:32" ht="15.6" x14ac:dyDescent="0.3">
      <c r="A53" s="221"/>
      <c r="B53" s="84"/>
      <c r="C53" s="84"/>
      <c r="D53" s="80" t="s">
        <v>187</v>
      </c>
      <c r="E53" s="81">
        <v>2435.38</v>
      </c>
      <c r="F53" s="81">
        <v>2430.61</v>
      </c>
      <c r="G53" s="81">
        <v>2424.64</v>
      </c>
      <c r="H53" s="81">
        <v>2424.2800000000002</v>
      </c>
      <c r="I53" s="81">
        <v>2436.91</v>
      </c>
      <c r="J53" s="81">
        <v>2460.06</v>
      </c>
      <c r="K53" s="81">
        <v>2496.6999999999998</v>
      </c>
      <c r="L53" s="81">
        <v>2475.2800000000002</v>
      </c>
      <c r="M53" s="81">
        <v>2448.9699999999998</v>
      </c>
      <c r="N53" s="81">
        <v>2435.2600000000002</v>
      </c>
      <c r="O53" s="81">
        <v>2425.3000000000002</v>
      </c>
      <c r="P53" s="81">
        <v>2429.38</v>
      </c>
      <c r="Q53" s="81">
        <v>2445.21</v>
      </c>
      <c r="R53" s="373"/>
      <c r="S53" s="373"/>
      <c r="T53" s="376"/>
      <c r="U53" s="376"/>
      <c r="V53" s="378"/>
      <c r="W53" s="381"/>
      <c r="X53" s="384"/>
      <c r="Y53" s="254"/>
      <c r="Z53" s="182"/>
      <c r="AA53" s="82"/>
      <c r="AB53" s="82"/>
      <c r="AC53" s="82"/>
      <c r="AD53" s="83"/>
      <c r="AE53" s="83"/>
      <c r="AF53" s="83"/>
    </row>
    <row r="54" spans="1:32" ht="62.25" customHeight="1" x14ac:dyDescent="0.3">
      <c r="A54" s="221"/>
      <c r="B54" s="79"/>
      <c r="C54" s="79"/>
      <c r="D54" s="80" t="s">
        <v>188</v>
      </c>
      <c r="E54" s="85">
        <f t="shared" ref="E54:Q54" si="14">IF(((E52="")*AND(E53="")),"",(E52-E53))</f>
        <v>376.54999999999973</v>
      </c>
      <c r="F54" s="85">
        <f t="shared" si="14"/>
        <v>336.02999999999975</v>
      </c>
      <c r="G54" s="85">
        <f t="shared" si="14"/>
        <v>322.99000000000024</v>
      </c>
      <c r="H54" s="85">
        <f t="shared" si="14"/>
        <v>320.19999999999982</v>
      </c>
      <c r="I54" s="85">
        <f t="shared" si="14"/>
        <v>324.19000000000005</v>
      </c>
      <c r="J54" s="85">
        <f t="shared" si="14"/>
        <v>337.40999999999985</v>
      </c>
      <c r="K54" s="85">
        <f t="shared" si="14"/>
        <v>370.58000000000038</v>
      </c>
      <c r="L54" s="85">
        <f t="shared" si="14"/>
        <v>367.78999999999996</v>
      </c>
      <c r="M54" s="85">
        <f t="shared" si="14"/>
        <v>337.32000000000016</v>
      </c>
      <c r="N54" s="85">
        <f t="shared" si="14"/>
        <v>322.16999999999962</v>
      </c>
      <c r="O54" s="85">
        <f t="shared" si="14"/>
        <v>323.54999999999973</v>
      </c>
      <c r="P54" s="85">
        <f t="shared" si="14"/>
        <v>341.52</v>
      </c>
      <c r="Q54" s="85">
        <f t="shared" si="14"/>
        <v>369.77</v>
      </c>
      <c r="R54" s="374"/>
      <c r="S54" s="374"/>
      <c r="T54" s="377"/>
      <c r="U54" s="377"/>
      <c r="V54" s="379"/>
      <c r="W54" s="382"/>
      <c r="X54" s="385"/>
      <c r="Y54" s="255"/>
      <c r="Z54" s="182"/>
      <c r="AA54" s="82"/>
      <c r="AB54" s="82"/>
      <c r="AC54" s="82"/>
      <c r="AD54" s="82"/>
      <c r="AE54" s="86"/>
      <c r="AF54" s="82"/>
    </row>
    <row r="55" spans="1:32" ht="15" x14ac:dyDescent="0.25">
      <c r="A55" s="222">
        <v>43167</v>
      </c>
      <c r="B55" s="79" t="s">
        <v>235</v>
      </c>
      <c r="C55" s="79" t="s">
        <v>232</v>
      </c>
      <c r="D55" s="80" t="s">
        <v>186</v>
      </c>
      <c r="E55" s="81">
        <v>2436.9499999999998</v>
      </c>
      <c r="F55" s="81">
        <v>2426.33</v>
      </c>
      <c r="G55" s="81">
        <v>2423.85</v>
      </c>
      <c r="H55" s="81">
        <v>2427.5100000000002</v>
      </c>
      <c r="I55" s="81">
        <v>2440.88</v>
      </c>
      <c r="J55" s="81">
        <v>2458.54</v>
      </c>
      <c r="K55" s="81">
        <v>2497.56</v>
      </c>
      <c r="L55" s="81">
        <v>2473.96</v>
      </c>
      <c r="M55" s="81">
        <v>2450.5</v>
      </c>
      <c r="N55" s="81">
        <v>2450.4499999999998</v>
      </c>
      <c r="O55" s="81">
        <v>2426.2399999999998</v>
      </c>
      <c r="P55" s="81">
        <v>2410.5</v>
      </c>
      <c r="Q55" s="81">
        <v>2441.37</v>
      </c>
      <c r="R55" s="372">
        <f>IF((Q56=""),"",MAX(E57:Q57))</f>
        <v>439.57999999999993</v>
      </c>
      <c r="S55" s="372">
        <f>IF(Q56="","",MIN(E57:Q57))</f>
        <v>332.09000000000015</v>
      </c>
      <c r="T55" s="375">
        <f>IF((Q57=""),"",AVERAGE(E57:Q57))</f>
        <v>359.6838461538461</v>
      </c>
      <c r="U55" s="375">
        <f>IF((Q56=""),"",(R55-S55)/(R55+S55)*100)</f>
        <v>13.929529462075729</v>
      </c>
      <c r="V55" s="375">
        <f>STDEV(E57:Q57)</f>
        <v>31.158310164508112</v>
      </c>
      <c r="W55" s="380" t="str">
        <f>IF(Q56="","",IF(T55&gt;300,IF(U55&lt;14,IF(T55&lt;390,"Pass","Fail"),"Fail"),"Fail"))</f>
        <v>Pass</v>
      </c>
      <c r="X55" s="383">
        <v>121</v>
      </c>
      <c r="Y55" s="389"/>
      <c r="Z55" s="182"/>
      <c r="AA55" s="82">
        <v>270</v>
      </c>
      <c r="AB55" s="82">
        <v>370</v>
      </c>
      <c r="AC55" s="82">
        <v>300</v>
      </c>
      <c r="AD55" s="83">
        <v>390</v>
      </c>
      <c r="AE55" s="83">
        <v>20</v>
      </c>
      <c r="AF55" s="83">
        <v>14</v>
      </c>
    </row>
    <row r="56" spans="1:32" ht="15.6" x14ac:dyDescent="0.3">
      <c r="A56" s="221"/>
      <c r="B56" s="84"/>
      <c r="C56" s="84"/>
      <c r="D56" s="80" t="s">
        <v>187</v>
      </c>
      <c r="E56" s="81">
        <v>2057.98</v>
      </c>
      <c r="F56" s="81">
        <v>2080.69</v>
      </c>
      <c r="G56" s="81">
        <v>2090.91</v>
      </c>
      <c r="H56" s="81">
        <v>2080.69</v>
      </c>
      <c r="I56" s="81">
        <v>2108.79</v>
      </c>
      <c r="J56" s="81">
        <v>2064.7800000000002</v>
      </c>
      <c r="K56" s="81">
        <v>2057.98</v>
      </c>
      <c r="L56" s="81">
        <v>2107.87</v>
      </c>
      <c r="M56" s="81">
        <v>2112.3000000000002</v>
      </c>
      <c r="N56" s="81">
        <v>2102.9499999999998</v>
      </c>
      <c r="O56" s="81">
        <v>2080.69</v>
      </c>
      <c r="P56" s="81">
        <v>2078.34</v>
      </c>
      <c r="Q56" s="81">
        <v>2064.7800000000002</v>
      </c>
      <c r="R56" s="373"/>
      <c r="S56" s="373"/>
      <c r="T56" s="376"/>
      <c r="U56" s="376"/>
      <c r="V56" s="378"/>
      <c r="W56" s="381"/>
      <c r="X56" s="384"/>
      <c r="Y56" s="390"/>
      <c r="Z56" s="182"/>
      <c r="AA56" s="82"/>
      <c r="AB56" s="82"/>
      <c r="AC56" s="82"/>
      <c r="AD56" s="83"/>
      <c r="AE56" s="83"/>
      <c r="AF56" s="83"/>
    </row>
    <row r="57" spans="1:32" ht="62.25" customHeight="1" x14ac:dyDescent="0.3">
      <c r="A57" s="221"/>
      <c r="B57" s="79"/>
      <c r="C57" s="79"/>
      <c r="D57" s="80" t="s">
        <v>188</v>
      </c>
      <c r="E57" s="85">
        <f t="shared" ref="E57:Q57" si="15">IF(((E55="")*AND(E56="")),"",(E55-E56))</f>
        <v>378.9699999999998</v>
      </c>
      <c r="F57" s="85">
        <f t="shared" si="15"/>
        <v>345.63999999999987</v>
      </c>
      <c r="G57" s="85">
        <f t="shared" si="15"/>
        <v>332.94000000000005</v>
      </c>
      <c r="H57" s="85">
        <f t="shared" si="15"/>
        <v>346.82000000000016</v>
      </c>
      <c r="I57" s="85">
        <f t="shared" si="15"/>
        <v>332.09000000000015</v>
      </c>
      <c r="J57" s="85">
        <f t="shared" si="15"/>
        <v>393.75999999999976</v>
      </c>
      <c r="K57" s="85">
        <f t="shared" si="15"/>
        <v>439.57999999999993</v>
      </c>
      <c r="L57" s="85">
        <f t="shared" si="15"/>
        <v>366.09000000000015</v>
      </c>
      <c r="M57" s="85">
        <f t="shared" si="15"/>
        <v>338.19999999999982</v>
      </c>
      <c r="N57" s="85">
        <f t="shared" si="15"/>
        <v>347.5</v>
      </c>
      <c r="O57" s="85">
        <f t="shared" si="15"/>
        <v>345.54999999999973</v>
      </c>
      <c r="P57" s="85">
        <f t="shared" si="15"/>
        <v>332.15999999999985</v>
      </c>
      <c r="Q57" s="85">
        <f t="shared" si="15"/>
        <v>376.58999999999969</v>
      </c>
      <c r="R57" s="374"/>
      <c r="S57" s="374"/>
      <c r="T57" s="377"/>
      <c r="U57" s="377"/>
      <c r="V57" s="379"/>
      <c r="W57" s="382"/>
      <c r="X57" s="385"/>
      <c r="Y57" s="391"/>
      <c r="Z57" s="182"/>
      <c r="AA57" s="82"/>
      <c r="AB57" s="82"/>
      <c r="AC57" s="82"/>
      <c r="AD57" s="82"/>
      <c r="AE57" s="86"/>
      <c r="AF57" s="82"/>
    </row>
    <row r="58" spans="1:32" ht="15" x14ac:dyDescent="0.25">
      <c r="A58" s="222">
        <v>43173</v>
      </c>
      <c r="B58" s="79" t="s">
        <v>235</v>
      </c>
      <c r="C58" s="79" t="s">
        <v>232</v>
      </c>
      <c r="D58" s="80" t="s">
        <v>186</v>
      </c>
      <c r="E58" s="81">
        <v>2068</v>
      </c>
      <c r="F58" s="81">
        <v>2058</v>
      </c>
      <c r="G58" s="81">
        <v>2069</v>
      </c>
      <c r="H58" s="81">
        <v>2074</v>
      </c>
      <c r="I58" s="81">
        <v>2077</v>
      </c>
      <c r="J58" s="81">
        <v>2076</v>
      </c>
      <c r="K58" s="81">
        <v>2102</v>
      </c>
      <c r="L58" s="81">
        <v>2067</v>
      </c>
      <c r="M58" s="81">
        <v>2074</v>
      </c>
      <c r="N58" s="81">
        <v>2068</v>
      </c>
      <c r="O58" s="81">
        <v>2079</v>
      </c>
      <c r="P58" s="81">
        <v>2083</v>
      </c>
      <c r="Q58" s="81">
        <v>2115</v>
      </c>
      <c r="R58" s="372">
        <f>IF((Q59=""),"",MAX(E60:Q60))</f>
        <v>362.11999999999989</v>
      </c>
      <c r="S58" s="372">
        <f>IF(Q59="","",MIN(E60:Q60))</f>
        <v>306.80999999999995</v>
      </c>
      <c r="T58" s="375">
        <f>IF((Q60=""),"",AVERAGE(E60:Q60))</f>
        <v>330.07230769230773</v>
      </c>
      <c r="U58" s="375">
        <f>IF((Q59=""),"",(R58-S58)/(R58+S58)*100)</f>
        <v>8.2684286846157242</v>
      </c>
      <c r="V58" s="375">
        <f>STDEV(E60:Q60)</f>
        <v>19.267800927041534</v>
      </c>
      <c r="W58" s="380" t="str">
        <f>IF(Q59="","",IF(T58&gt;300,IF(U58&lt;14,IF(T58&lt;390,"Pass","Fail"),"Fail"),"Fail"))</f>
        <v>Pass</v>
      </c>
      <c r="X58" s="383">
        <v>121</v>
      </c>
      <c r="Y58" s="389"/>
      <c r="Z58" s="182"/>
      <c r="AA58" s="82">
        <v>270</v>
      </c>
      <c r="AB58" s="82">
        <v>370</v>
      </c>
      <c r="AC58" s="82">
        <v>300</v>
      </c>
      <c r="AD58" s="83">
        <v>390</v>
      </c>
      <c r="AE58" s="83">
        <v>20</v>
      </c>
      <c r="AF58" s="83">
        <v>14</v>
      </c>
    </row>
    <row r="59" spans="1:32" ht="15.6" x14ac:dyDescent="0.3">
      <c r="A59" s="221"/>
      <c r="B59" s="84"/>
      <c r="C59" s="84"/>
      <c r="D59" s="80" t="s">
        <v>187</v>
      </c>
      <c r="E59" s="81">
        <v>1709.09</v>
      </c>
      <c r="F59" s="81">
        <v>1731.88</v>
      </c>
      <c r="G59" s="81">
        <v>1755.68</v>
      </c>
      <c r="H59" s="81">
        <v>1767.19</v>
      </c>
      <c r="I59" s="81">
        <v>1765.87</v>
      </c>
      <c r="J59" s="81">
        <v>1750.54</v>
      </c>
      <c r="K59" s="81">
        <v>1756.83</v>
      </c>
      <c r="L59" s="81">
        <v>1704.88</v>
      </c>
      <c r="M59" s="81">
        <v>1734</v>
      </c>
      <c r="N59" s="81">
        <v>1757.53</v>
      </c>
      <c r="O59" s="81">
        <v>1766.54</v>
      </c>
      <c r="P59" s="81">
        <v>1753.02</v>
      </c>
      <c r="Q59" s="81">
        <v>1766.01</v>
      </c>
      <c r="R59" s="373"/>
      <c r="S59" s="373"/>
      <c r="T59" s="376"/>
      <c r="U59" s="376"/>
      <c r="V59" s="378"/>
      <c r="W59" s="381"/>
      <c r="X59" s="384"/>
      <c r="Y59" s="390"/>
      <c r="Z59" s="182"/>
      <c r="AA59" s="82"/>
      <c r="AB59" s="82"/>
      <c r="AC59" s="82"/>
      <c r="AD59" s="83"/>
      <c r="AE59" s="83"/>
      <c r="AF59" s="83"/>
    </row>
    <row r="60" spans="1:32" ht="30" x14ac:dyDescent="0.3">
      <c r="A60" s="221"/>
      <c r="B60" s="79"/>
      <c r="C60" s="79"/>
      <c r="D60" s="80" t="s">
        <v>188</v>
      </c>
      <c r="E60" s="85">
        <f t="shared" ref="E60:Q60" si="16">IF(((E58="")*AND(E59="")),"",(E58-E59))</f>
        <v>358.91000000000008</v>
      </c>
      <c r="F60" s="85">
        <f t="shared" si="16"/>
        <v>326.11999999999989</v>
      </c>
      <c r="G60" s="85">
        <f t="shared" si="16"/>
        <v>313.31999999999994</v>
      </c>
      <c r="H60" s="85">
        <f t="shared" si="16"/>
        <v>306.80999999999995</v>
      </c>
      <c r="I60" s="85">
        <f t="shared" si="16"/>
        <v>311.13000000000011</v>
      </c>
      <c r="J60" s="85">
        <f t="shared" si="16"/>
        <v>325.46000000000004</v>
      </c>
      <c r="K60" s="85">
        <f t="shared" si="16"/>
        <v>345.17000000000007</v>
      </c>
      <c r="L60" s="85">
        <f t="shared" si="16"/>
        <v>362.11999999999989</v>
      </c>
      <c r="M60" s="85">
        <f t="shared" si="16"/>
        <v>340</v>
      </c>
      <c r="N60" s="85">
        <f t="shared" si="16"/>
        <v>310.47000000000003</v>
      </c>
      <c r="O60" s="85">
        <f t="shared" si="16"/>
        <v>312.46000000000004</v>
      </c>
      <c r="P60" s="85">
        <f t="shared" si="16"/>
        <v>329.98</v>
      </c>
      <c r="Q60" s="85">
        <f t="shared" si="16"/>
        <v>348.99</v>
      </c>
      <c r="R60" s="374"/>
      <c r="S60" s="374"/>
      <c r="T60" s="377"/>
      <c r="U60" s="377"/>
      <c r="V60" s="379"/>
      <c r="W60" s="382"/>
      <c r="X60" s="385"/>
      <c r="Y60" s="391"/>
      <c r="Z60" s="182"/>
      <c r="AA60" s="82"/>
      <c r="AB60" s="82"/>
      <c r="AC60" s="82"/>
      <c r="AD60" s="82"/>
      <c r="AE60" s="86"/>
      <c r="AF60" s="82"/>
    </row>
    <row r="61" spans="1:32" ht="15" x14ac:dyDescent="0.25">
      <c r="A61" s="222">
        <v>43187</v>
      </c>
      <c r="B61" s="79" t="s">
        <v>235</v>
      </c>
      <c r="C61" s="79" t="s">
        <v>232</v>
      </c>
      <c r="D61" s="80" t="s">
        <v>186</v>
      </c>
      <c r="E61" s="81">
        <v>1707.54</v>
      </c>
      <c r="F61" s="81">
        <v>1728.19</v>
      </c>
      <c r="G61" s="81">
        <v>1753.97</v>
      </c>
      <c r="H61" s="81">
        <v>1764.91</v>
      </c>
      <c r="I61" s="81">
        <v>1760.49</v>
      </c>
      <c r="J61" s="81">
        <v>1746.14</v>
      </c>
      <c r="K61" s="81">
        <v>1753.59</v>
      </c>
      <c r="L61" s="81">
        <v>1701.98</v>
      </c>
      <c r="M61" s="81">
        <v>1729.64</v>
      </c>
      <c r="N61" s="81">
        <v>1752.84</v>
      </c>
      <c r="O61" s="81">
        <v>1747.48</v>
      </c>
      <c r="P61" s="81">
        <v>1750.21</v>
      </c>
      <c r="Q61" s="81">
        <v>1761.8</v>
      </c>
      <c r="R61" s="372">
        <f>IF((Q62=""),"",MAX(E63:Q63))</f>
        <v>406.70000000000005</v>
      </c>
      <c r="S61" s="372">
        <f>IF(Q62="","",MIN(E63:Q63))</f>
        <v>345.10000000000014</v>
      </c>
      <c r="T61" s="375">
        <f>IF((Q63=""),"",AVERAGE(E63:Q63))</f>
        <v>375.83153846153851</v>
      </c>
      <c r="U61" s="375">
        <f>IF((Q62=""),"",(R61-S61)/(R61+S61)*100)</f>
        <v>8.1936685288640447</v>
      </c>
      <c r="V61" s="375">
        <f>STDEV(E63:Q63)</f>
        <v>22.151990823307425</v>
      </c>
      <c r="W61" s="380" t="str">
        <f>IF(Q62="","",IF(T61&gt;300,IF(U61&lt;14,IF(T61&lt;390,"Pass","Fail"),"Fail"),"Fail"))</f>
        <v>Pass</v>
      </c>
      <c r="X61" s="383">
        <v>1335</v>
      </c>
      <c r="Y61" s="389"/>
      <c r="Z61" s="182"/>
      <c r="AA61" s="82">
        <v>270</v>
      </c>
      <c r="AB61" s="82">
        <v>370</v>
      </c>
      <c r="AC61" s="82">
        <v>300</v>
      </c>
      <c r="AD61" s="83">
        <v>390</v>
      </c>
      <c r="AE61" s="83">
        <v>20</v>
      </c>
      <c r="AF61" s="83">
        <v>14</v>
      </c>
    </row>
    <row r="62" spans="1:32" ht="15.6" x14ac:dyDescent="0.3">
      <c r="A62" s="221"/>
      <c r="B62" s="84"/>
      <c r="C62" s="84"/>
      <c r="D62" s="80" t="s">
        <v>187</v>
      </c>
      <c r="E62" s="81">
        <v>1301.2</v>
      </c>
      <c r="F62" s="81">
        <v>1350.78</v>
      </c>
      <c r="G62" s="81">
        <v>1394.15</v>
      </c>
      <c r="H62" s="81">
        <v>1419.81</v>
      </c>
      <c r="I62" s="81">
        <v>1403.79</v>
      </c>
      <c r="J62" s="81">
        <v>1376.18</v>
      </c>
      <c r="K62" s="81">
        <v>1352.78</v>
      </c>
      <c r="L62" s="81">
        <v>1300.45</v>
      </c>
      <c r="M62" s="81">
        <v>1353.04</v>
      </c>
      <c r="N62" s="81">
        <v>1397.83</v>
      </c>
      <c r="O62" s="81">
        <v>1397.47</v>
      </c>
      <c r="P62" s="81">
        <v>1370.39</v>
      </c>
      <c r="Q62" s="81">
        <v>1355.1</v>
      </c>
      <c r="R62" s="373"/>
      <c r="S62" s="373"/>
      <c r="T62" s="376"/>
      <c r="U62" s="376"/>
      <c r="V62" s="378"/>
      <c r="W62" s="381"/>
      <c r="X62" s="384"/>
      <c r="Y62" s="390"/>
      <c r="Z62" s="182"/>
      <c r="AA62" s="82"/>
      <c r="AB62" s="82"/>
      <c r="AC62" s="82"/>
      <c r="AD62" s="83"/>
      <c r="AE62" s="83"/>
      <c r="AF62" s="83"/>
    </row>
    <row r="63" spans="1:32" ht="30" x14ac:dyDescent="0.3">
      <c r="A63" s="221"/>
      <c r="B63" s="79"/>
      <c r="C63" s="79"/>
      <c r="D63" s="80" t="s">
        <v>188</v>
      </c>
      <c r="E63" s="85">
        <f t="shared" ref="E63:Q63" si="17">IF(((E61="")*AND(E62="")),"",(E61-E62))</f>
        <v>406.33999999999992</v>
      </c>
      <c r="F63" s="85">
        <f t="shared" si="17"/>
        <v>377.41000000000008</v>
      </c>
      <c r="G63" s="85">
        <f t="shared" si="17"/>
        <v>359.81999999999994</v>
      </c>
      <c r="H63" s="85">
        <f t="shared" si="17"/>
        <v>345.10000000000014</v>
      </c>
      <c r="I63" s="85">
        <f t="shared" si="17"/>
        <v>356.70000000000005</v>
      </c>
      <c r="J63" s="85">
        <f t="shared" si="17"/>
        <v>369.96000000000004</v>
      </c>
      <c r="K63" s="85">
        <f t="shared" si="17"/>
        <v>400.80999999999995</v>
      </c>
      <c r="L63" s="85">
        <f t="shared" si="17"/>
        <v>401.53</v>
      </c>
      <c r="M63" s="85">
        <f t="shared" si="17"/>
        <v>376.60000000000014</v>
      </c>
      <c r="N63" s="85">
        <f t="shared" si="17"/>
        <v>355.01</v>
      </c>
      <c r="O63" s="85">
        <f t="shared" si="17"/>
        <v>350.01</v>
      </c>
      <c r="P63" s="85">
        <f t="shared" si="17"/>
        <v>379.81999999999994</v>
      </c>
      <c r="Q63" s="85">
        <f t="shared" si="17"/>
        <v>406.70000000000005</v>
      </c>
      <c r="R63" s="374"/>
      <c r="S63" s="374"/>
      <c r="T63" s="377"/>
      <c r="U63" s="377"/>
      <c r="V63" s="379"/>
      <c r="W63" s="382"/>
      <c r="X63" s="385"/>
      <c r="Y63" s="391"/>
      <c r="Z63" s="182"/>
      <c r="AA63" s="82"/>
      <c r="AB63" s="82"/>
      <c r="AC63" s="82"/>
      <c r="AD63" s="82"/>
      <c r="AE63" s="86"/>
      <c r="AF63" s="82"/>
    </row>
    <row r="64" spans="1:32" ht="15" x14ac:dyDescent="0.25">
      <c r="A64" s="222">
        <v>43192</v>
      </c>
      <c r="B64" s="79" t="s">
        <v>235</v>
      </c>
      <c r="C64" s="79" t="s">
        <v>232</v>
      </c>
      <c r="D64" s="80" t="s">
        <v>186</v>
      </c>
      <c r="E64" s="81">
        <v>2059</v>
      </c>
      <c r="F64" s="81">
        <v>2062</v>
      </c>
      <c r="G64" s="81">
        <v>2074</v>
      </c>
      <c r="H64" s="81">
        <v>2078</v>
      </c>
      <c r="I64" s="81">
        <v>2082</v>
      </c>
      <c r="J64" s="81">
        <v>2081</v>
      </c>
      <c r="K64" s="81">
        <v>2100</v>
      </c>
      <c r="L64" s="81">
        <v>2100</v>
      </c>
      <c r="M64" s="81">
        <v>2080</v>
      </c>
      <c r="N64" s="81">
        <v>2081</v>
      </c>
      <c r="O64" s="81">
        <v>2074</v>
      </c>
      <c r="P64" s="81">
        <v>2063</v>
      </c>
      <c r="Q64" s="81">
        <v>2063</v>
      </c>
      <c r="R64" s="372">
        <f>IF((Q65=""),"",MAX(E66:Q66))</f>
        <v>376</v>
      </c>
      <c r="S64" s="372">
        <f>IF(Q65="","",MIN(E66:Q66))</f>
        <v>329</v>
      </c>
      <c r="T64" s="375">
        <f>IF((Q66=""),"",AVERAGE(E66:Q66))</f>
        <v>350.15384615384613</v>
      </c>
      <c r="U64" s="375">
        <f>IF((Q65=""),"",(R64-S64)/(R64+S64)*100)</f>
        <v>6.666666666666667</v>
      </c>
      <c r="V64" s="375">
        <f>STDEV(E66:Q66)</f>
        <v>18.402201652004187</v>
      </c>
      <c r="W64" s="380" t="str">
        <f>IF(Q65="","",IF(T64&gt;300,IF(U64&lt;14,IF(T64&lt;390,"Pass","Fail"),"Fail"),"Fail"))</f>
        <v>Pass</v>
      </c>
      <c r="X64" s="383"/>
      <c r="Y64" s="389"/>
      <c r="Z64" s="182"/>
      <c r="AA64" s="82">
        <v>270</v>
      </c>
      <c r="AB64" s="82">
        <v>370</v>
      </c>
      <c r="AC64" s="82">
        <v>300</v>
      </c>
      <c r="AD64" s="83">
        <v>390</v>
      </c>
      <c r="AE64" s="83">
        <v>20</v>
      </c>
      <c r="AF64" s="83">
        <v>14</v>
      </c>
    </row>
    <row r="65" spans="1:32" ht="15.6" x14ac:dyDescent="0.3">
      <c r="A65" s="221"/>
      <c r="B65" s="84"/>
      <c r="C65" s="84"/>
      <c r="D65" s="80" t="s">
        <v>187</v>
      </c>
      <c r="E65" s="81">
        <v>1684</v>
      </c>
      <c r="F65" s="81">
        <v>1715</v>
      </c>
      <c r="G65" s="81">
        <v>1740</v>
      </c>
      <c r="H65" s="81">
        <v>1749</v>
      </c>
      <c r="I65" s="81">
        <v>1749</v>
      </c>
      <c r="J65" s="81">
        <v>1733</v>
      </c>
      <c r="K65" s="81">
        <v>1726</v>
      </c>
      <c r="L65" s="81">
        <v>1725</v>
      </c>
      <c r="M65" s="81">
        <v>1733</v>
      </c>
      <c r="N65" s="81">
        <v>1748</v>
      </c>
      <c r="O65" s="81">
        <v>1740</v>
      </c>
      <c r="P65" s="81">
        <v>1716</v>
      </c>
      <c r="Q65" s="81">
        <v>1687</v>
      </c>
      <c r="R65" s="373"/>
      <c r="S65" s="373"/>
      <c r="T65" s="376"/>
      <c r="U65" s="376"/>
      <c r="V65" s="378"/>
      <c r="W65" s="381"/>
      <c r="X65" s="384"/>
      <c r="Y65" s="390"/>
      <c r="Z65" s="182"/>
      <c r="AA65" s="82"/>
      <c r="AB65" s="82"/>
      <c r="AC65" s="82"/>
      <c r="AD65" s="83"/>
      <c r="AE65" s="83"/>
      <c r="AF65" s="83"/>
    </row>
    <row r="66" spans="1:32" ht="30" x14ac:dyDescent="0.3">
      <c r="A66" s="221"/>
      <c r="B66" s="79"/>
      <c r="C66" s="79"/>
      <c r="D66" s="80" t="s">
        <v>188</v>
      </c>
      <c r="E66" s="85">
        <f t="shared" ref="E66:Q66" si="18">IF(((E64="")*AND(E65="")),"",(E64-E65))</f>
        <v>375</v>
      </c>
      <c r="F66" s="85">
        <f t="shared" si="18"/>
        <v>347</v>
      </c>
      <c r="G66" s="85">
        <f t="shared" si="18"/>
        <v>334</v>
      </c>
      <c r="H66" s="85">
        <f t="shared" si="18"/>
        <v>329</v>
      </c>
      <c r="I66" s="85">
        <f t="shared" si="18"/>
        <v>333</v>
      </c>
      <c r="J66" s="85">
        <f t="shared" si="18"/>
        <v>348</v>
      </c>
      <c r="K66" s="85">
        <f t="shared" si="18"/>
        <v>374</v>
      </c>
      <c r="L66" s="85">
        <f t="shared" si="18"/>
        <v>375</v>
      </c>
      <c r="M66" s="85">
        <f t="shared" si="18"/>
        <v>347</v>
      </c>
      <c r="N66" s="85">
        <f t="shared" si="18"/>
        <v>333</v>
      </c>
      <c r="O66" s="85">
        <f t="shared" si="18"/>
        <v>334</v>
      </c>
      <c r="P66" s="85">
        <f t="shared" si="18"/>
        <v>347</v>
      </c>
      <c r="Q66" s="85">
        <f t="shared" si="18"/>
        <v>376</v>
      </c>
      <c r="R66" s="374"/>
      <c r="S66" s="374"/>
      <c r="T66" s="377"/>
      <c r="U66" s="377"/>
      <c r="V66" s="379"/>
      <c r="W66" s="382"/>
      <c r="X66" s="385"/>
      <c r="Y66" s="391"/>
      <c r="Z66" s="182"/>
      <c r="AA66" s="82"/>
      <c r="AB66" s="82"/>
      <c r="AC66" s="82"/>
      <c r="AD66" s="82"/>
      <c r="AE66" s="86"/>
      <c r="AF66" s="82"/>
    </row>
    <row r="67" spans="1:32" ht="15" x14ac:dyDescent="0.25">
      <c r="A67" s="222">
        <v>43199</v>
      </c>
      <c r="B67" s="79" t="s">
        <v>235</v>
      </c>
      <c r="C67" s="79" t="s">
        <v>232</v>
      </c>
      <c r="D67" s="80" t="s">
        <v>186</v>
      </c>
      <c r="E67" s="81">
        <v>2824.99</v>
      </c>
      <c r="F67" s="81">
        <v>2787.2</v>
      </c>
      <c r="G67" s="81">
        <v>2766.26</v>
      </c>
      <c r="H67" s="81">
        <v>2763.84</v>
      </c>
      <c r="I67" s="81">
        <v>2780.18</v>
      </c>
      <c r="J67" s="81">
        <v>2819.72</v>
      </c>
      <c r="K67" s="81">
        <v>2885.87</v>
      </c>
      <c r="L67" s="81">
        <v>2876.87</v>
      </c>
      <c r="M67" s="81">
        <v>2812.65</v>
      </c>
      <c r="N67" s="81">
        <v>2779.1</v>
      </c>
      <c r="O67" s="81">
        <v>2768.84</v>
      </c>
      <c r="P67" s="81">
        <v>2794.65</v>
      </c>
      <c r="Q67" s="81">
        <v>2839.31</v>
      </c>
      <c r="R67" s="372">
        <f>IF((Q68=""),"",MAX(E69:Q69))</f>
        <v>365.84000000000015</v>
      </c>
      <c r="S67" s="372">
        <f>IF(Q68="","",MIN(E69:Q69))</f>
        <v>310.02</v>
      </c>
      <c r="T67" s="375">
        <f>IF((Q69=""),"",AVERAGE(E69:Q69))</f>
        <v>333.26538461538451</v>
      </c>
      <c r="U67" s="375">
        <f>IF((Q68=""),"",(R67-S67)/(R67+S67)*100)</f>
        <v>8.2591069156334385</v>
      </c>
      <c r="V67" s="375">
        <f>STDEV(E69:Q69)</f>
        <v>21.208421525180587</v>
      </c>
      <c r="W67" s="380" t="str">
        <f>IF(Q68="","",IF(T67&gt;300,IF(U67&lt;14,IF(T67&lt;390,"Pass","Fail"),"Fail"),"Fail"))</f>
        <v>Pass</v>
      </c>
      <c r="X67" s="383"/>
      <c r="Y67" s="389"/>
      <c r="Z67" s="182"/>
      <c r="AA67" s="82">
        <v>270</v>
      </c>
      <c r="AB67" s="82">
        <v>370</v>
      </c>
      <c r="AC67" s="82">
        <v>300</v>
      </c>
      <c r="AD67" s="83">
        <v>390</v>
      </c>
      <c r="AE67" s="83">
        <v>20</v>
      </c>
      <c r="AF67" s="83">
        <v>14</v>
      </c>
    </row>
    <row r="68" spans="1:32" ht="15.6" x14ac:dyDescent="0.3">
      <c r="A68" s="221"/>
      <c r="B68" s="84"/>
      <c r="C68" s="84"/>
      <c r="D68" s="80" t="s">
        <v>187</v>
      </c>
      <c r="E68" s="81">
        <v>2459.69</v>
      </c>
      <c r="F68" s="81">
        <v>2457.7399999999998</v>
      </c>
      <c r="G68" s="81">
        <v>2451.4499999999998</v>
      </c>
      <c r="H68" s="81">
        <v>2453.8200000000002</v>
      </c>
      <c r="I68" s="81">
        <v>2463.3000000000002</v>
      </c>
      <c r="J68" s="81">
        <v>2491.77</v>
      </c>
      <c r="K68" s="81">
        <v>2529.75</v>
      </c>
      <c r="L68" s="81">
        <v>2516.1</v>
      </c>
      <c r="M68" s="81">
        <v>2486.0700000000002</v>
      </c>
      <c r="N68" s="81">
        <v>2467.8200000000002</v>
      </c>
      <c r="O68" s="81">
        <v>2453.15</v>
      </c>
      <c r="P68" s="81">
        <v>2462.9</v>
      </c>
      <c r="Q68" s="81">
        <v>2473.4699999999998</v>
      </c>
      <c r="R68" s="373"/>
      <c r="S68" s="373"/>
      <c r="T68" s="376"/>
      <c r="U68" s="376"/>
      <c r="V68" s="378"/>
      <c r="W68" s="381"/>
      <c r="X68" s="384"/>
      <c r="Y68" s="390"/>
      <c r="Z68" s="182"/>
      <c r="AA68" s="82"/>
      <c r="AB68" s="82"/>
      <c r="AC68" s="82"/>
      <c r="AD68" s="83"/>
      <c r="AE68" s="83"/>
      <c r="AF68" s="83"/>
    </row>
    <row r="69" spans="1:32" ht="30" x14ac:dyDescent="0.3">
      <c r="A69" s="221"/>
      <c r="B69" s="79"/>
      <c r="C69" s="79"/>
      <c r="D69" s="80" t="s">
        <v>188</v>
      </c>
      <c r="E69" s="85">
        <f t="shared" ref="E69:Q69" si="19">IF(((E67="")*AND(E68="")),"",(E67-E68))</f>
        <v>365.29999999999973</v>
      </c>
      <c r="F69" s="85">
        <f t="shared" si="19"/>
        <v>329.46000000000004</v>
      </c>
      <c r="G69" s="85">
        <f t="shared" si="19"/>
        <v>314.8100000000004</v>
      </c>
      <c r="H69" s="85">
        <f t="shared" si="19"/>
        <v>310.02</v>
      </c>
      <c r="I69" s="85">
        <f t="shared" si="19"/>
        <v>316.87999999999965</v>
      </c>
      <c r="J69" s="85">
        <f t="shared" si="19"/>
        <v>327.94999999999982</v>
      </c>
      <c r="K69" s="85">
        <f t="shared" si="19"/>
        <v>356.11999999999989</v>
      </c>
      <c r="L69" s="85">
        <f t="shared" si="19"/>
        <v>360.77</v>
      </c>
      <c r="M69" s="85">
        <f t="shared" si="19"/>
        <v>326.57999999999993</v>
      </c>
      <c r="N69" s="85">
        <f t="shared" si="19"/>
        <v>311.27999999999975</v>
      </c>
      <c r="O69" s="85">
        <f t="shared" si="19"/>
        <v>315.69000000000005</v>
      </c>
      <c r="P69" s="85">
        <f t="shared" si="19"/>
        <v>331.75</v>
      </c>
      <c r="Q69" s="85">
        <f t="shared" si="19"/>
        <v>365.84000000000015</v>
      </c>
      <c r="R69" s="374"/>
      <c r="S69" s="374"/>
      <c r="T69" s="377"/>
      <c r="U69" s="377"/>
      <c r="V69" s="379"/>
      <c r="W69" s="382"/>
      <c r="X69" s="385"/>
      <c r="Y69" s="391"/>
      <c r="Z69" s="182"/>
      <c r="AA69" s="82"/>
      <c r="AB69" s="82"/>
      <c r="AC69" s="82"/>
      <c r="AD69" s="82"/>
      <c r="AE69" s="86"/>
      <c r="AF69" s="82"/>
    </row>
    <row r="70" spans="1:32" ht="15" x14ac:dyDescent="0.25">
      <c r="A70" s="222">
        <v>43203</v>
      </c>
      <c r="B70" s="79" t="s">
        <v>235</v>
      </c>
      <c r="C70" s="79" t="s">
        <v>232</v>
      </c>
      <c r="D70" s="80" t="s">
        <v>186</v>
      </c>
      <c r="E70" s="81">
        <v>2461.9299999999998</v>
      </c>
      <c r="F70" s="81">
        <v>2460.09</v>
      </c>
      <c r="G70" s="81">
        <v>2451.88</v>
      </c>
      <c r="H70" s="81">
        <v>2455.36</v>
      </c>
      <c r="I70" s="81">
        <v>2478.62</v>
      </c>
      <c r="J70" s="81">
        <v>2492.15</v>
      </c>
      <c r="K70" s="81">
        <v>2531.41</v>
      </c>
      <c r="L70" s="81">
        <v>2517.81</v>
      </c>
      <c r="M70" s="81">
        <v>2486.61</v>
      </c>
      <c r="N70" s="81">
        <v>2463.8000000000002</v>
      </c>
      <c r="O70" s="81">
        <v>2462.6</v>
      </c>
      <c r="P70" s="81">
        <v>2451.8000000000002</v>
      </c>
      <c r="Q70" s="81">
        <v>2470.86</v>
      </c>
      <c r="R70" s="372">
        <f>IF((Q71=""),"",MAX(E72:Q72))</f>
        <v>389.40999999999985</v>
      </c>
      <c r="S70" s="372">
        <f>IF(Q71="","",MIN(E72:Q72))</f>
        <v>343.80000000000018</v>
      </c>
      <c r="T70" s="375">
        <f>IF((Q72=""),"",AVERAGE(E72:Q72))</f>
        <v>364.1476923076923</v>
      </c>
      <c r="U70" s="375">
        <f>IF((Q71=""),"",(R70-S70)/(R70+S70)*100)</f>
        <v>6.2205916449584251</v>
      </c>
      <c r="V70" s="375">
        <f>STDEV(E72:Q72)</f>
        <v>16.863165555852792</v>
      </c>
      <c r="W70" s="380" t="str">
        <f>IF(Q71="","",IF(T70&gt;300,IF(U70&lt;14,IF(T70&lt;390,"Pass","Fail"),"Fail"),"Fail"))</f>
        <v>Pass</v>
      </c>
      <c r="X70" s="383">
        <v>1428</v>
      </c>
      <c r="Y70" s="389"/>
      <c r="Z70" s="182"/>
      <c r="AA70" s="82">
        <v>270</v>
      </c>
      <c r="AB70" s="82">
        <v>370</v>
      </c>
      <c r="AC70" s="82">
        <v>300</v>
      </c>
      <c r="AD70" s="83">
        <v>390</v>
      </c>
      <c r="AE70" s="83">
        <v>20</v>
      </c>
      <c r="AF70" s="83">
        <v>14</v>
      </c>
    </row>
    <row r="71" spans="1:32" ht="15.6" x14ac:dyDescent="0.3">
      <c r="A71" s="221"/>
      <c r="B71" s="84"/>
      <c r="C71" s="84"/>
      <c r="D71" s="80" t="s">
        <v>187</v>
      </c>
      <c r="E71" s="81">
        <v>2075</v>
      </c>
      <c r="F71" s="81">
        <v>2099</v>
      </c>
      <c r="G71" s="81">
        <v>2107</v>
      </c>
      <c r="H71" s="81">
        <v>2109</v>
      </c>
      <c r="I71" s="81">
        <v>2120</v>
      </c>
      <c r="J71" s="81">
        <v>2129</v>
      </c>
      <c r="K71" s="81">
        <v>2142</v>
      </c>
      <c r="L71" s="81">
        <v>2132</v>
      </c>
      <c r="M71" s="81">
        <v>2126</v>
      </c>
      <c r="N71" s="81">
        <v>2120</v>
      </c>
      <c r="O71" s="81">
        <v>2107</v>
      </c>
      <c r="P71" s="81">
        <v>2099</v>
      </c>
      <c r="Q71" s="81">
        <v>2086</v>
      </c>
      <c r="R71" s="373"/>
      <c r="S71" s="373"/>
      <c r="T71" s="376"/>
      <c r="U71" s="376"/>
      <c r="V71" s="378"/>
      <c r="W71" s="381"/>
      <c r="X71" s="384"/>
      <c r="Y71" s="390"/>
      <c r="Z71" s="182"/>
      <c r="AA71" s="82"/>
      <c r="AB71" s="82"/>
      <c r="AC71" s="82"/>
      <c r="AD71" s="83"/>
      <c r="AE71" s="83"/>
      <c r="AF71" s="83"/>
    </row>
    <row r="72" spans="1:32" ht="30" x14ac:dyDescent="0.3">
      <c r="A72" s="221"/>
      <c r="B72" s="79"/>
      <c r="C72" s="79"/>
      <c r="D72" s="80" t="s">
        <v>188</v>
      </c>
      <c r="E72" s="85">
        <f t="shared" ref="E72:Q72" si="20">IF(((E70="")*AND(E71="")),"",(E70-E71))</f>
        <v>386.92999999999984</v>
      </c>
      <c r="F72" s="85">
        <f t="shared" si="20"/>
        <v>361.09000000000015</v>
      </c>
      <c r="G72" s="85">
        <f t="shared" si="20"/>
        <v>344.88000000000011</v>
      </c>
      <c r="H72" s="85">
        <f t="shared" si="20"/>
        <v>346.36000000000013</v>
      </c>
      <c r="I72" s="85">
        <f t="shared" si="20"/>
        <v>358.61999999999989</v>
      </c>
      <c r="J72" s="85">
        <f t="shared" si="20"/>
        <v>363.15000000000009</v>
      </c>
      <c r="K72" s="85">
        <f t="shared" si="20"/>
        <v>389.40999999999985</v>
      </c>
      <c r="L72" s="85">
        <f t="shared" si="20"/>
        <v>385.80999999999995</v>
      </c>
      <c r="M72" s="85">
        <f t="shared" si="20"/>
        <v>360.61000000000013</v>
      </c>
      <c r="N72" s="85">
        <f t="shared" si="20"/>
        <v>343.80000000000018</v>
      </c>
      <c r="O72" s="85">
        <f t="shared" si="20"/>
        <v>355.59999999999991</v>
      </c>
      <c r="P72" s="85">
        <f t="shared" si="20"/>
        <v>352.80000000000018</v>
      </c>
      <c r="Q72" s="85">
        <f t="shared" si="20"/>
        <v>384.86000000000013</v>
      </c>
      <c r="R72" s="374"/>
      <c r="S72" s="374"/>
      <c r="T72" s="377"/>
      <c r="U72" s="377"/>
      <c r="V72" s="379"/>
      <c r="W72" s="382"/>
      <c r="X72" s="385"/>
      <c r="Y72" s="391"/>
      <c r="Z72" s="182"/>
      <c r="AA72" s="82"/>
      <c r="AB72" s="82"/>
      <c r="AC72" s="82"/>
      <c r="AD72" s="82"/>
      <c r="AE72" s="86"/>
      <c r="AF72" s="82"/>
    </row>
    <row r="73" spans="1:32" ht="15" x14ac:dyDescent="0.25">
      <c r="A73" s="222">
        <v>43208</v>
      </c>
      <c r="B73" s="79" t="s">
        <v>235</v>
      </c>
      <c r="C73" s="79" t="s">
        <v>232</v>
      </c>
      <c r="D73" s="80" t="s">
        <v>186</v>
      </c>
      <c r="E73" s="81">
        <v>2830.28</v>
      </c>
      <c r="F73" s="81">
        <v>2792.49</v>
      </c>
      <c r="G73" s="81">
        <v>2770.84</v>
      </c>
      <c r="H73" s="81">
        <v>2768.18</v>
      </c>
      <c r="I73" s="81">
        <v>2785.92</v>
      </c>
      <c r="J73" s="81">
        <v>2828.17</v>
      </c>
      <c r="K73" s="81">
        <v>2893.37</v>
      </c>
      <c r="L73" s="81">
        <v>2882.58</v>
      </c>
      <c r="M73" s="81">
        <v>2817.84</v>
      </c>
      <c r="N73" s="81">
        <v>2781.39</v>
      </c>
      <c r="O73" s="81">
        <v>2774.02</v>
      </c>
      <c r="P73" s="81">
        <v>2800.18</v>
      </c>
      <c r="Q73" s="81">
        <v>2841.35</v>
      </c>
      <c r="R73" s="372">
        <f>IF((Q74=""),"",MAX(E75:Q75))</f>
        <v>365.65000000000009</v>
      </c>
      <c r="S73" s="372">
        <f>IF(Q74="","",MIN(E75:Q75))</f>
        <v>317.52999999999975</v>
      </c>
      <c r="T73" s="375">
        <f>IF((Q75=""),"",AVERAGE(E75:Q75))</f>
        <v>338.32230769230767</v>
      </c>
      <c r="U73" s="375">
        <f>IF((Q74=""),"",(R73-S73)/(R73+S73)*100)</f>
        <v>7.0435317193126785</v>
      </c>
      <c r="V73" s="375">
        <f>STDEV(E75:Q75)</f>
        <v>17.74972354425374</v>
      </c>
      <c r="W73" s="380" t="str">
        <f>IF(Q74="","",IF(T73&gt;300,IF(U73&lt;14,IF(T73&lt;390,"Pass","Fail"),"Fail"),"Fail"))</f>
        <v>Pass</v>
      </c>
      <c r="X73" s="383">
        <v>74</v>
      </c>
      <c r="Y73" s="389"/>
      <c r="Z73" s="182"/>
      <c r="AA73" s="82">
        <v>270</v>
      </c>
      <c r="AB73" s="82">
        <v>370</v>
      </c>
      <c r="AC73" s="82">
        <v>300</v>
      </c>
      <c r="AD73" s="83">
        <v>390</v>
      </c>
      <c r="AE73" s="83">
        <v>20</v>
      </c>
      <c r="AF73" s="83">
        <v>14</v>
      </c>
    </row>
    <row r="74" spans="1:32" ht="15.6" x14ac:dyDescent="0.3">
      <c r="A74" s="221"/>
      <c r="B74" s="84"/>
      <c r="C74" s="84"/>
      <c r="D74" s="80" t="s">
        <v>187</v>
      </c>
      <c r="E74" s="81">
        <v>2464.63</v>
      </c>
      <c r="F74" s="81">
        <v>2456.13</v>
      </c>
      <c r="G74" s="81">
        <v>2449.4299999999998</v>
      </c>
      <c r="H74" s="81">
        <v>2450.65</v>
      </c>
      <c r="I74" s="81">
        <v>2464.56</v>
      </c>
      <c r="J74" s="81">
        <v>2488.58</v>
      </c>
      <c r="K74" s="81">
        <v>2535.46</v>
      </c>
      <c r="L74" s="81">
        <v>2518.91</v>
      </c>
      <c r="M74" s="81">
        <v>2483.96</v>
      </c>
      <c r="N74" s="81">
        <v>2460.27</v>
      </c>
      <c r="O74" s="81">
        <v>2452.04</v>
      </c>
      <c r="P74" s="81">
        <v>2461.09</v>
      </c>
      <c r="Q74" s="81">
        <v>2482.71</v>
      </c>
      <c r="R74" s="373"/>
      <c r="S74" s="373"/>
      <c r="T74" s="376"/>
      <c r="U74" s="376"/>
      <c r="V74" s="378"/>
      <c r="W74" s="381"/>
      <c r="X74" s="384"/>
      <c r="Y74" s="390"/>
      <c r="Z74" s="182"/>
      <c r="AA74" s="82"/>
      <c r="AB74" s="82"/>
      <c r="AC74" s="82"/>
      <c r="AD74" s="83"/>
      <c r="AE74" s="83"/>
      <c r="AF74" s="83"/>
    </row>
    <row r="75" spans="1:32" ht="30" x14ac:dyDescent="0.3">
      <c r="A75" s="221"/>
      <c r="B75" s="79"/>
      <c r="C75" s="79"/>
      <c r="D75" s="80" t="s">
        <v>188</v>
      </c>
      <c r="E75" s="85">
        <f t="shared" ref="E75:Q75" si="21">IF(((E73="")*AND(E74="")),"",(E73-E74))</f>
        <v>365.65000000000009</v>
      </c>
      <c r="F75" s="85">
        <f t="shared" si="21"/>
        <v>336.35999999999967</v>
      </c>
      <c r="G75" s="85">
        <f t="shared" si="21"/>
        <v>321.41000000000031</v>
      </c>
      <c r="H75" s="85">
        <f t="shared" si="21"/>
        <v>317.52999999999975</v>
      </c>
      <c r="I75" s="85">
        <f t="shared" si="21"/>
        <v>321.36000000000013</v>
      </c>
      <c r="J75" s="85">
        <f t="shared" si="21"/>
        <v>339.59000000000015</v>
      </c>
      <c r="K75" s="85">
        <f t="shared" si="21"/>
        <v>357.90999999999985</v>
      </c>
      <c r="L75" s="85">
        <f t="shared" si="21"/>
        <v>363.67000000000007</v>
      </c>
      <c r="M75" s="85">
        <f t="shared" si="21"/>
        <v>333.88000000000011</v>
      </c>
      <c r="N75" s="85">
        <f t="shared" si="21"/>
        <v>321.11999999999989</v>
      </c>
      <c r="O75" s="85">
        <f t="shared" si="21"/>
        <v>321.98</v>
      </c>
      <c r="P75" s="85">
        <f t="shared" si="21"/>
        <v>339.08999999999969</v>
      </c>
      <c r="Q75" s="85">
        <f t="shared" si="21"/>
        <v>358.63999999999987</v>
      </c>
      <c r="R75" s="374"/>
      <c r="S75" s="374"/>
      <c r="T75" s="377"/>
      <c r="U75" s="377"/>
      <c r="V75" s="379"/>
      <c r="W75" s="382"/>
      <c r="X75" s="385"/>
      <c r="Y75" s="391"/>
      <c r="Z75" s="182"/>
      <c r="AA75" s="82"/>
      <c r="AB75" s="82"/>
      <c r="AC75" s="82"/>
      <c r="AD75" s="82"/>
      <c r="AE75" s="86"/>
      <c r="AF75" s="82"/>
    </row>
    <row r="76" spans="1:32" ht="15" x14ac:dyDescent="0.25">
      <c r="A76" s="222">
        <v>43215</v>
      </c>
      <c r="B76" s="79" t="s">
        <v>235</v>
      </c>
      <c r="C76" s="79" t="s">
        <v>232</v>
      </c>
      <c r="D76" s="80" t="s">
        <v>186</v>
      </c>
      <c r="E76" s="81">
        <v>2466.1999999999998</v>
      </c>
      <c r="F76" s="81">
        <v>2457.56</v>
      </c>
      <c r="G76" s="81">
        <v>2452.5</v>
      </c>
      <c r="H76" s="81">
        <v>2435.89</v>
      </c>
      <c r="I76" s="81">
        <v>2463.4899999999998</v>
      </c>
      <c r="J76" s="81">
        <v>2491.54</v>
      </c>
      <c r="K76" s="81">
        <v>2537.46</v>
      </c>
      <c r="L76" s="81">
        <v>2518.6799999999998</v>
      </c>
      <c r="M76" s="81">
        <v>2486.4699999999998</v>
      </c>
      <c r="N76" s="81">
        <v>2461.56</v>
      </c>
      <c r="O76" s="81">
        <v>2449.3000000000002</v>
      </c>
      <c r="P76" s="81">
        <v>2461.66</v>
      </c>
      <c r="Q76" s="81">
        <v>2480.14</v>
      </c>
      <c r="R76" s="372">
        <f>IF((Q77=""),"",MAX(E78:Q78))</f>
        <v>388.19999999999982</v>
      </c>
      <c r="S76" s="372">
        <f>IF(Q77="","",MIN(E78:Q78))</f>
        <v>326.88999999999987</v>
      </c>
      <c r="T76" s="375">
        <f>IF((Q78=""),"",AVERAGE(E78:Q78))</f>
        <v>362.11153846153837</v>
      </c>
      <c r="U76" s="375">
        <f>IF((Q77=""),"",(R76-S76)/(R76+S76)*100)</f>
        <v>8.5737459620467327</v>
      </c>
      <c r="V76" s="375">
        <f>STDEV(E78:Q78)</f>
        <v>19.480544502209462</v>
      </c>
      <c r="W76" s="380" t="str">
        <f>IF(Q77="","",IF(T76&gt;300,IF(U76&lt;14,IF(T76&lt;390,"Pass","Fail"),"Fail"),"Fail"))</f>
        <v>Pass</v>
      </c>
      <c r="X76" s="383">
        <v>121</v>
      </c>
      <c r="Y76" s="389"/>
      <c r="Z76" s="182" t="s">
        <v>192</v>
      </c>
      <c r="AA76" s="82">
        <v>270</v>
      </c>
      <c r="AB76" s="82">
        <v>370</v>
      </c>
      <c r="AC76" s="82">
        <v>300</v>
      </c>
      <c r="AD76" s="83">
        <v>390</v>
      </c>
      <c r="AE76" s="83">
        <v>20</v>
      </c>
      <c r="AF76" s="83">
        <v>14</v>
      </c>
    </row>
    <row r="77" spans="1:32" ht="15.6" x14ac:dyDescent="0.3">
      <c r="A77" s="221"/>
      <c r="B77" s="84"/>
      <c r="C77" s="84"/>
      <c r="D77" s="80" t="s">
        <v>187</v>
      </c>
      <c r="E77" s="81">
        <v>2078</v>
      </c>
      <c r="F77" s="81">
        <v>2096</v>
      </c>
      <c r="G77" s="81">
        <v>2103</v>
      </c>
      <c r="H77" s="81">
        <v>2109</v>
      </c>
      <c r="I77" s="81">
        <v>2118</v>
      </c>
      <c r="J77" s="81">
        <v>2128</v>
      </c>
      <c r="K77" s="81">
        <v>2150</v>
      </c>
      <c r="L77" s="81">
        <v>2135</v>
      </c>
      <c r="M77" s="81">
        <v>2124</v>
      </c>
      <c r="N77" s="81">
        <v>2116</v>
      </c>
      <c r="O77" s="81">
        <v>2104</v>
      </c>
      <c r="P77" s="81">
        <v>2099</v>
      </c>
      <c r="Q77" s="81">
        <v>2095</v>
      </c>
      <c r="R77" s="373"/>
      <c r="S77" s="373"/>
      <c r="T77" s="376"/>
      <c r="U77" s="376"/>
      <c r="V77" s="378"/>
      <c r="W77" s="381"/>
      <c r="X77" s="384"/>
      <c r="Y77" s="390"/>
      <c r="Z77" s="182"/>
      <c r="AA77" s="82"/>
      <c r="AB77" s="82"/>
      <c r="AC77" s="82"/>
      <c r="AD77" s="83"/>
      <c r="AE77" s="83"/>
      <c r="AF77" s="83"/>
    </row>
    <row r="78" spans="1:32" ht="30" x14ac:dyDescent="0.3">
      <c r="A78" s="221"/>
      <c r="B78" s="79"/>
      <c r="C78" s="79"/>
      <c r="D78" s="80" t="s">
        <v>188</v>
      </c>
      <c r="E78" s="85">
        <f t="shared" ref="E78:Q78" si="22">IF(((E76="")*AND(E77="")),"",(E76-E77))</f>
        <v>388.19999999999982</v>
      </c>
      <c r="F78" s="85">
        <f t="shared" si="22"/>
        <v>361.55999999999995</v>
      </c>
      <c r="G78" s="85">
        <f t="shared" si="22"/>
        <v>349.5</v>
      </c>
      <c r="H78" s="85">
        <f t="shared" si="22"/>
        <v>326.88999999999987</v>
      </c>
      <c r="I78" s="85">
        <f t="shared" si="22"/>
        <v>345.48999999999978</v>
      </c>
      <c r="J78" s="85">
        <f t="shared" si="22"/>
        <v>363.53999999999996</v>
      </c>
      <c r="K78" s="85">
        <f t="shared" si="22"/>
        <v>387.46000000000004</v>
      </c>
      <c r="L78" s="85">
        <f t="shared" si="22"/>
        <v>383.67999999999984</v>
      </c>
      <c r="M78" s="85">
        <f t="shared" si="22"/>
        <v>362.4699999999998</v>
      </c>
      <c r="N78" s="85">
        <f t="shared" si="22"/>
        <v>345.55999999999995</v>
      </c>
      <c r="O78" s="85">
        <f t="shared" si="22"/>
        <v>345.30000000000018</v>
      </c>
      <c r="P78" s="85">
        <f t="shared" si="22"/>
        <v>362.65999999999985</v>
      </c>
      <c r="Q78" s="85">
        <f t="shared" si="22"/>
        <v>385.13999999999987</v>
      </c>
      <c r="R78" s="374"/>
      <c r="S78" s="374"/>
      <c r="T78" s="377"/>
      <c r="U78" s="377"/>
      <c r="V78" s="379"/>
      <c r="W78" s="382"/>
      <c r="X78" s="385"/>
      <c r="Y78" s="391"/>
      <c r="Z78" s="182"/>
      <c r="AA78" s="82"/>
      <c r="AB78" s="82"/>
      <c r="AC78" s="82"/>
      <c r="AD78" s="82"/>
      <c r="AE78" s="86"/>
      <c r="AF78" s="82"/>
    </row>
    <row r="79" spans="1:32" ht="15" x14ac:dyDescent="0.25">
      <c r="A79" s="222">
        <v>43220</v>
      </c>
      <c r="B79" s="79" t="s">
        <v>235</v>
      </c>
      <c r="C79" s="79" t="s">
        <v>232</v>
      </c>
      <c r="D79" s="80" t="s">
        <v>186</v>
      </c>
      <c r="E79" s="81">
        <v>1811.77</v>
      </c>
      <c r="F79" s="81">
        <v>1790.89</v>
      </c>
      <c r="G79" s="81">
        <v>1792.08</v>
      </c>
      <c r="H79" s="81">
        <v>1802.81</v>
      </c>
      <c r="I79" s="81">
        <v>1824.73</v>
      </c>
      <c r="J79" s="81">
        <v>1865.6</v>
      </c>
      <c r="K79" s="81">
        <v>1929.5</v>
      </c>
      <c r="L79" s="81">
        <v>1911.94</v>
      </c>
      <c r="M79" s="81">
        <v>1849</v>
      </c>
      <c r="N79" s="81">
        <v>1817.27</v>
      </c>
      <c r="O79" s="81">
        <v>1800.46</v>
      </c>
      <c r="P79" s="81">
        <v>1814.75</v>
      </c>
      <c r="Q79" s="81">
        <v>1857.85</v>
      </c>
      <c r="R79" s="372">
        <f>IF((Q80=""),"",MAX(E81:Q81))</f>
        <v>386.95000000000005</v>
      </c>
      <c r="S79" s="372">
        <f>IF(Q80="","",MIN(E81:Q81))</f>
        <v>300.03999999999996</v>
      </c>
      <c r="T79" s="375">
        <f>IF((Q81=""),"",AVERAGE(E81:Q81))</f>
        <v>330.84999999999997</v>
      </c>
      <c r="U79" s="375">
        <f>IF((Q80=""),"",(R79-S79)/(R79+S79)*100)</f>
        <v>12.650839167964612</v>
      </c>
      <c r="V79" s="375">
        <f>STDEV(E81:Q81)</f>
        <v>31.023578130189946</v>
      </c>
      <c r="W79" s="380" t="str">
        <f>IF(Q80="","",IF(T79&gt;300,IF(U79&lt;14,IF(T79&lt;390,"Pass","Fail"),"Fail"),"Fail"))</f>
        <v>Pass</v>
      </c>
      <c r="X79" s="383"/>
      <c r="Y79" s="389"/>
      <c r="Z79" s="182"/>
      <c r="AA79" s="82">
        <v>270</v>
      </c>
      <c r="AB79" s="82">
        <v>370</v>
      </c>
      <c r="AC79" s="82">
        <v>300</v>
      </c>
      <c r="AD79" s="83">
        <v>390</v>
      </c>
      <c r="AE79" s="83">
        <v>20</v>
      </c>
      <c r="AF79" s="83">
        <v>14</v>
      </c>
    </row>
    <row r="80" spans="1:32" ht="15.6" x14ac:dyDescent="0.3">
      <c r="A80" s="221"/>
      <c r="B80" s="84"/>
      <c r="C80" s="84"/>
      <c r="D80" s="80" t="s">
        <v>187</v>
      </c>
      <c r="E80" s="81">
        <v>1501.44</v>
      </c>
      <c r="F80" s="81">
        <v>1490.29</v>
      </c>
      <c r="G80" s="81">
        <v>1490.48</v>
      </c>
      <c r="H80" s="81">
        <v>1500.22</v>
      </c>
      <c r="I80" s="81">
        <v>1500.14</v>
      </c>
      <c r="J80" s="81">
        <v>1507.26</v>
      </c>
      <c r="K80" s="81">
        <v>1552.15</v>
      </c>
      <c r="L80" s="81">
        <v>1524.99</v>
      </c>
      <c r="M80" s="81">
        <v>1500.01</v>
      </c>
      <c r="N80" s="81">
        <v>1500.16</v>
      </c>
      <c r="O80" s="81">
        <v>1500.42</v>
      </c>
      <c r="P80" s="81">
        <v>1500.02</v>
      </c>
      <c r="Q80" s="81">
        <v>1500.02</v>
      </c>
      <c r="R80" s="373"/>
      <c r="S80" s="373"/>
      <c r="T80" s="376"/>
      <c r="U80" s="376"/>
      <c r="V80" s="378"/>
      <c r="W80" s="381"/>
      <c r="X80" s="384"/>
      <c r="Y80" s="390"/>
      <c r="Z80" s="182"/>
      <c r="AA80" s="82"/>
      <c r="AB80" s="82"/>
      <c r="AC80" s="82"/>
      <c r="AD80" s="83"/>
      <c r="AE80" s="83"/>
      <c r="AF80" s="83"/>
    </row>
    <row r="81" spans="1:32" ht="30" x14ac:dyDescent="0.3">
      <c r="A81" s="221"/>
      <c r="B81" s="79"/>
      <c r="C81" s="79"/>
      <c r="D81" s="80" t="s">
        <v>188</v>
      </c>
      <c r="E81" s="85">
        <f t="shared" ref="E81:Q81" si="23">IF(((E79="")*AND(E80="")),"",(E79-E80))</f>
        <v>310.32999999999993</v>
      </c>
      <c r="F81" s="85">
        <f t="shared" si="23"/>
        <v>300.60000000000014</v>
      </c>
      <c r="G81" s="85">
        <f t="shared" si="23"/>
        <v>301.59999999999991</v>
      </c>
      <c r="H81" s="85">
        <f t="shared" si="23"/>
        <v>302.58999999999992</v>
      </c>
      <c r="I81" s="85">
        <f t="shared" si="23"/>
        <v>324.58999999999992</v>
      </c>
      <c r="J81" s="85">
        <f t="shared" si="23"/>
        <v>358.33999999999992</v>
      </c>
      <c r="K81" s="85">
        <f t="shared" si="23"/>
        <v>377.34999999999991</v>
      </c>
      <c r="L81" s="85">
        <f t="shared" si="23"/>
        <v>386.95000000000005</v>
      </c>
      <c r="M81" s="85">
        <f t="shared" si="23"/>
        <v>348.99</v>
      </c>
      <c r="N81" s="85">
        <f t="shared" si="23"/>
        <v>317.1099999999999</v>
      </c>
      <c r="O81" s="85">
        <f t="shared" si="23"/>
        <v>300.03999999999996</v>
      </c>
      <c r="P81" s="85">
        <f t="shared" si="23"/>
        <v>314.73</v>
      </c>
      <c r="Q81" s="85">
        <f t="shared" si="23"/>
        <v>357.82999999999993</v>
      </c>
      <c r="R81" s="374"/>
      <c r="S81" s="374"/>
      <c r="T81" s="377"/>
      <c r="U81" s="377"/>
      <c r="V81" s="379"/>
      <c r="W81" s="382"/>
      <c r="X81" s="385"/>
      <c r="Y81" s="391"/>
      <c r="Z81" s="182"/>
      <c r="AA81" s="82"/>
      <c r="AB81" s="82"/>
      <c r="AC81" s="82"/>
      <c r="AD81" s="82"/>
      <c r="AE81" s="86"/>
      <c r="AF81" s="82"/>
    </row>
    <row r="82" spans="1:32" ht="15" x14ac:dyDescent="0.25">
      <c r="A82" s="222">
        <v>43224</v>
      </c>
      <c r="B82" s="79" t="s">
        <v>235</v>
      </c>
      <c r="C82" s="79" t="s">
        <v>232</v>
      </c>
      <c r="D82" s="80" t="s">
        <v>186</v>
      </c>
      <c r="E82" s="81">
        <v>2850.42</v>
      </c>
      <c r="F82" s="81">
        <v>2798.96</v>
      </c>
      <c r="G82" s="81">
        <v>2774.32</v>
      </c>
      <c r="H82" s="81">
        <v>2773.88</v>
      </c>
      <c r="I82" s="81">
        <v>2790</v>
      </c>
      <c r="J82" s="81">
        <v>2832.46</v>
      </c>
      <c r="K82" s="81">
        <v>2896.31</v>
      </c>
      <c r="L82" s="81">
        <v>2853.35</v>
      </c>
      <c r="M82" s="81">
        <v>2807.89</v>
      </c>
      <c r="N82" s="81">
        <v>2780.82</v>
      </c>
      <c r="O82" s="81">
        <v>2781.54</v>
      </c>
      <c r="P82" s="81">
        <v>2804.77</v>
      </c>
      <c r="Q82" s="81">
        <v>2858.86</v>
      </c>
      <c r="R82" s="372">
        <f>IF((Q83=""),"",MAX(E84:Q84))</f>
        <v>366.45000000000027</v>
      </c>
      <c r="S82" s="372">
        <f>IF(Q83="","",MIN(E84:Q84))</f>
        <v>318.42000000000007</v>
      </c>
      <c r="T82" s="375">
        <f>IF((Q84=""),"",AVERAGE(E84:Q84))</f>
        <v>338.40692307692314</v>
      </c>
      <c r="U82" s="375">
        <f>IF((Q83=""),"",(R82-S82)/(R82+S82)*100)</f>
        <v>7.0130097682772172</v>
      </c>
      <c r="V82" s="375">
        <f>STDEV(E84:Q84)</f>
        <v>18.509506289388792</v>
      </c>
      <c r="W82" s="380" t="str">
        <f>IF(Q83="","",IF(T82&gt;300,IF(U82&lt;14,IF(T82&lt;390,"Pass","Fail"),"Fail"),"Fail"))</f>
        <v>Pass</v>
      </c>
      <c r="X82" s="383">
        <v>1159</v>
      </c>
      <c r="Y82" s="253" t="s">
        <v>193</v>
      </c>
      <c r="Z82" s="182"/>
      <c r="AA82" s="82">
        <v>270</v>
      </c>
      <c r="AB82" s="82">
        <v>370</v>
      </c>
      <c r="AC82" s="82">
        <v>300</v>
      </c>
      <c r="AD82" s="83">
        <v>390</v>
      </c>
      <c r="AE82" s="83">
        <v>20</v>
      </c>
      <c r="AF82" s="83">
        <v>14</v>
      </c>
    </row>
    <row r="83" spans="1:32" ht="15.6" x14ac:dyDescent="0.3">
      <c r="A83" s="221"/>
      <c r="B83" s="84"/>
      <c r="C83" s="84"/>
      <c r="D83" s="80" t="s">
        <v>187</v>
      </c>
      <c r="E83" s="81">
        <v>2485.67</v>
      </c>
      <c r="F83" s="81">
        <v>2461.9699999999998</v>
      </c>
      <c r="G83" s="81">
        <v>2452.92</v>
      </c>
      <c r="H83" s="81">
        <v>2455.46</v>
      </c>
      <c r="I83" s="81">
        <v>2470.9499999999998</v>
      </c>
      <c r="J83" s="81">
        <v>2498.65</v>
      </c>
      <c r="K83" s="81">
        <v>2540.2199999999998</v>
      </c>
      <c r="L83" s="81">
        <v>2488.1</v>
      </c>
      <c r="M83" s="81">
        <v>2474.46</v>
      </c>
      <c r="N83" s="81">
        <v>2459.7399999999998</v>
      </c>
      <c r="O83" s="81">
        <v>2456.7600000000002</v>
      </c>
      <c r="P83" s="81">
        <v>2466.98</v>
      </c>
      <c r="Q83" s="81">
        <v>2492.41</v>
      </c>
      <c r="R83" s="373"/>
      <c r="S83" s="373"/>
      <c r="T83" s="376"/>
      <c r="U83" s="376"/>
      <c r="V83" s="378"/>
      <c r="W83" s="381"/>
      <c r="X83" s="384"/>
      <c r="Y83" s="254"/>
      <c r="Z83" s="182"/>
      <c r="AA83" s="82"/>
      <c r="AB83" s="82"/>
      <c r="AC83" s="82"/>
      <c r="AD83" s="83"/>
      <c r="AE83" s="83"/>
      <c r="AF83" s="83"/>
    </row>
    <row r="84" spans="1:32" ht="30" x14ac:dyDescent="0.3">
      <c r="A84" s="221"/>
      <c r="B84" s="79"/>
      <c r="C84" s="79"/>
      <c r="D84" s="80" t="s">
        <v>188</v>
      </c>
      <c r="E84" s="85">
        <f t="shared" ref="E84:Q84" si="24">IF(((E82="")*AND(E83="")),"",(E82-E83))</f>
        <v>364.75</v>
      </c>
      <c r="F84" s="85">
        <f t="shared" si="24"/>
        <v>336.99000000000024</v>
      </c>
      <c r="G84" s="85">
        <f t="shared" si="24"/>
        <v>321.40000000000009</v>
      </c>
      <c r="H84" s="85">
        <f t="shared" si="24"/>
        <v>318.42000000000007</v>
      </c>
      <c r="I84" s="85">
        <f t="shared" si="24"/>
        <v>319.05000000000018</v>
      </c>
      <c r="J84" s="85">
        <f t="shared" si="24"/>
        <v>333.80999999999995</v>
      </c>
      <c r="K84" s="85">
        <f t="shared" si="24"/>
        <v>356.09000000000015</v>
      </c>
      <c r="L84" s="85">
        <f t="shared" si="24"/>
        <v>365.25</v>
      </c>
      <c r="M84" s="85">
        <f t="shared" si="24"/>
        <v>333.42999999999984</v>
      </c>
      <c r="N84" s="85">
        <f t="shared" si="24"/>
        <v>321.08000000000038</v>
      </c>
      <c r="O84" s="85">
        <f t="shared" si="24"/>
        <v>324.77999999999975</v>
      </c>
      <c r="P84" s="85">
        <f t="shared" si="24"/>
        <v>337.78999999999996</v>
      </c>
      <c r="Q84" s="85">
        <f t="shared" si="24"/>
        <v>366.45000000000027</v>
      </c>
      <c r="R84" s="374"/>
      <c r="S84" s="374"/>
      <c r="T84" s="377"/>
      <c r="U84" s="377"/>
      <c r="V84" s="379"/>
      <c r="W84" s="382"/>
      <c r="X84" s="385"/>
      <c r="Y84" s="255"/>
      <c r="Z84" s="182"/>
      <c r="AA84" s="82"/>
      <c r="AB84" s="82"/>
      <c r="AC84" s="82"/>
      <c r="AD84" s="82"/>
      <c r="AE84" s="86"/>
      <c r="AF84" s="82"/>
    </row>
    <row r="85" spans="1:32" ht="15" x14ac:dyDescent="0.25">
      <c r="A85" s="222">
        <v>43227</v>
      </c>
      <c r="B85" s="79" t="s">
        <v>235</v>
      </c>
      <c r="C85" s="79" t="s">
        <v>232</v>
      </c>
      <c r="D85" s="80" t="s">
        <v>186</v>
      </c>
      <c r="E85" s="81">
        <v>2850.06</v>
      </c>
      <c r="F85" s="81">
        <v>2800.26</v>
      </c>
      <c r="G85" s="81">
        <v>2773.91</v>
      </c>
      <c r="H85" s="81">
        <v>2772.21</v>
      </c>
      <c r="I85" s="81">
        <v>2792.02</v>
      </c>
      <c r="J85" s="81">
        <v>2835.39</v>
      </c>
      <c r="K85" s="81">
        <v>2899.53</v>
      </c>
      <c r="L85" s="81">
        <v>2843.58</v>
      </c>
      <c r="M85" s="81">
        <v>2800.31</v>
      </c>
      <c r="N85" s="81">
        <v>2776.86</v>
      </c>
      <c r="O85" s="81">
        <v>2782.72</v>
      </c>
      <c r="P85" s="81">
        <v>2808.93</v>
      </c>
      <c r="Q85" s="81">
        <v>2852.33</v>
      </c>
      <c r="R85" s="372">
        <f>IF((Q86=""),"",MAX(E87:Q87))</f>
        <v>369.57999999999993</v>
      </c>
      <c r="S85" s="372">
        <f>IF(Q86="","",MIN(E87:Q87))</f>
        <v>316.59000000000015</v>
      </c>
      <c r="T85" s="375">
        <f>IF((Q87=""),"",AVERAGE(E87:Q87))</f>
        <v>339.59615384615387</v>
      </c>
      <c r="U85" s="375">
        <f>IF((Q86=""),"",(R85-S85)/(R85+S85)*100)</f>
        <v>7.7225760380080413</v>
      </c>
      <c r="V85" s="375">
        <f>STDEV(E87:Q87)</f>
        <v>20.201015873160724</v>
      </c>
      <c r="W85" s="380" t="str">
        <f>IF(Q86="","",IF(T85&gt;300,IF(U85&lt;14,IF(T85&lt;390,"Pass","Fail"),"Fail"),"Fail"))</f>
        <v>Pass</v>
      </c>
      <c r="X85" s="383">
        <v>1335</v>
      </c>
      <c r="Y85" s="389"/>
      <c r="Z85" s="182"/>
      <c r="AA85" s="82">
        <v>270</v>
      </c>
      <c r="AB85" s="82">
        <v>370</v>
      </c>
      <c r="AC85" s="82">
        <v>300</v>
      </c>
      <c r="AD85" s="83">
        <v>390</v>
      </c>
      <c r="AE85" s="83">
        <v>20</v>
      </c>
      <c r="AF85" s="83">
        <v>14</v>
      </c>
    </row>
    <row r="86" spans="1:32" ht="15.6" x14ac:dyDescent="0.3">
      <c r="A86" s="221"/>
      <c r="B86" s="84"/>
      <c r="C86" s="84"/>
      <c r="D86" s="80" t="s">
        <v>187</v>
      </c>
      <c r="E86" s="81">
        <v>2483.9</v>
      </c>
      <c r="F86" s="81">
        <v>2461.59</v>
      </c>
      <c r="G86" s="81">
        <v>2450.52</v>
      </c>
      <c r="H86" s="81">
        <v>2455.62</v>
      </c>
      <c r="I86" s="81">
        <v>2471.89</v>
      </c>
      <c r="J86" s="81">
        <v>2498.12</v>
      </c>
      <c r="K86" s="81">
        <v>2538.13</v>
      </c>
      <c r="L86" s="81">
        <v>2474</v>
      </c>
      <c r="M86" s="81">
        <v>2465.5500000000002</v>
      </c>
      <c r="N86" s="81">
        <v>2459.2199999999998</v>
      </c>
      <c r="O86" s="81">
        <v>2460.0700000000002</v>
      </c>
      <c r="P86" s="81">
        <v>2471.0700000000002</v>
      </c>
      <c r="Q86" s="81">
        <v>2483.6799999999998</v>
      </c>
      <c r="R86" s="373"/>
      <c r="S86" s="373"/>
      <c r="T86" s="376"/>
      <c r="U86" s="376"/>
      <c r="V86" s="378"/>
      <c r="W86" s="381"/>
      <c r="X86" s="384"/>
      <c r="Y86" s="390"/>
      <c r="Z86" s="182"/>
      <c r="AA86" s="82"/>
      <c r="AB86" s="82"/>
      <c r="AC86" s="82"/>
      <c r="AD86" s="83"/>
      <c r="AE86" s="83"/>
      <c r="AF86" s="83"/>
    </row>
    <row r="87" spans="1:32" ht="30" x14ac:dyDescent="0.3">
      <c r="A87" s="221"/>
      <c r="B87" s="79"/>
      <c r="C87" s="79"/>
      <c r="D87" s="80" t="s">
        <v>188</v>
      </c>
      <c r="E87" s="85">
        <f t="shared" ref="E87:Q87" si="25">IF(((E85="")*AND(E86="")),"",(E85-E86))</f>
        <v>366.15999999999985</v>
      </c>
      <c r="F87" s="85">
        <f t="shared" si="25"/>
        <v>338.67000000000007</v>
      </c>
      <c r="G87" s="85">
        <f t="shared" si="25"/>
        <v>323.38999999999987</v>
      </c>
      <c r="H87" s="85">
        <f t="shared" si="25"/>
        <v>316.59000000000015</v>
      </c>
      <c r="I87" s="85">
        <f t="shared" si="25"/>
        <v>320.13000000000011</v>
      </c>
      <c r="J87" s="85">
        <f t="shared" si="25"/>
        <v>337.27</v>
      </c>
      <c r="K87" s="85">
        <f t="shared" si="25"/>
        <v>361.40000000000009</v>
      </c>
      <c r="L87" s="85">
        <f t="shared" si="25"/>
        <v>369.57999999999993</v>
      </c>
      <c r="M87" s="85">
        <f t="shared" si="25"/>
        <v>334.75999999999976</v>
      </c>
      <c r="N87" s="85">
        <f t="shared" si="25"/>
        <v>317.64000000000033</v>
      </c>
      <c r="O87" s="85">
        <f t="shared" si="25"/>
        <v>322.64999999999964</v>
      </c>
      <c r="P87" s="85">
        <f t="shared" si="25"/>
        <v>337.85999999999967</v>
      </c>
      <c r="Q87" s="85">
        <f t="shared" si="25"/>
        <v>368.65000000000009</v>
      </c>
      <c r="R87" s="374"/>
      <c r="S87" s="374"/>
      <c r="T87" s="377"/>
      <c r="U87" s="377"/>
      <c r="V87" s="379"/>
      <c r="W87" s="382"/>
      <c r="X87" s="385"/>
      <c r="Y87" s="391"/>
      <c r="Z87" s="182"/>
      <c r="AA87" s="82"/>
      <c r="AB87" s="82"/>
      <c r="AC87" s="82"/>
      <c r="AD87" s="82"/>
      <c r="AE87" s="86"/>
      <c r="AF87" s="82"/>
    </row>
    <row r="88" spans="1:32" ht="15" x14ac:dyDescent="0.25">
      <c r="A88" s="222">
        <v>43230</v>
      </c>
      <c r="B88" s="79" t="s">
        <v>235</v>
      </c>
      <c r="C88" s="79" t="s">
        <v>232</v>
      </c>
      <c r="D88" s="80" t="s">
        <v>186</v>
      </c>
      <c r="E88" s="81">
        <v>2483.02</v>
      </c>
      <c r="F88" s="81">
        <v>2463.71</v>
      </c>
      <c r="G88" s="81">
        <v>2457.6999999999998</v>
      </c>
      <c r="H88" s="81">
        <v>2448.84</v>
      </c>
      <c r="I88" s="81">
        <v>2473.58</v>
      </c>
      <c r="J88" s="81">
        <v>2499.86</v>
      </c>
      <c r="K88" s="81">
        <v>2541.17</v>
      </c>
      <c r="L88" s="81">
        <v>2479.2600000000002</v>
      </c>
      <c r="M88" s="81">
        <v>2468.5300000000002</v>
      </c>
      <c r="N88" s="81">
        <v>2458.15</v>
      </c>
      <c r="O88" s="81">
        <v>2486.94</v>
      </c>
      <c r="P88" s="81">
        <v>2471.34</v>
      </c>
      <c r="Q88" s="81">
        <v>2484.12</v>
      </c>
      <c r="R88" s="372">
        <f>IF((Q89=""),"",MAX(E90:Q90))</f>
        <v>407.74000000000024</v>
      </c>
      <c r="S88" s="372">
        <f>IF(Q89="","",MIN(E90:Q90))</f>
        <v>308.68000000000029</v>
      </c>
      <c r="T88" s="375">
        <f>IF((Q90=""),"",AVERAGE(E90:Q90))</f>
        <v>342.54153846153866</v>
      </c>
      <c r="U88" s="375">
        <f>IF((Q89=""),"",(R88-S88)/(R88+S88)*100)</f>
        <v>13.827084671003027</v>
      </c>
      <c r="V88" s="375">
        <f>STDEV(E90:Q90)</f>
        <v>25.742173194375624</v>
      </c>
      <c r="W88" s="380" t="str">
        <f>IF(Q89="","",IF(T88&gt;300,IF(U88&lt;14,IF(T88&lt;390,"Pass","Fail"),"Fail"),"Fail"))</f>
        <v>Pass</v>
      </c>
      <c r="X88" s="383">
        <v>1335</v>
      </c>
      <c r="Y88" s="389"/>
      <c r="Z88" s="182"/>
      <c r="AA88" s="82">
        <v>270</v>
      </c>
      <c r="AB88" s="82">
        <v>370</v>
      </c>
      <c r="AC88" s="82">
        <v>300</v>
      </c>
      <c r="AD88" s="83">
        <v>390</v>
      </c>
      <c r="AE88" s="83">
        <v>20</v>
      </c>
      <c r="AF88" s="83">
        <v>14</v>
      </c>
    </row>
    <row r="89" spans="1:32" ht="15.6" x14ac:dyDescent="0.3">
      <c r="A89" s="221"/>
      <c r="B89" s="84"/>
      <c r="C89" s="84"/>
      <c r="D89" s="80" t="s">
        <v>187</v>
      </c>
      <c r="E89" s="81">
        <v>2140.16</v>
      </c>
      <c r="F89" s="81">
        <v>2140.16</v>
      </c>
      <c r="G89" s="81">
        <v>2140.16</v>
      </c>
      <c r="H89" s="81">
        <v>2140.16</v>
      </c>
      <c r="I89" s="81">
        <v>2148.35</v>
      </c>
      <c r="J89" s="81">
        <v>2148.35</v>
      </c>
      <c r="K89" s="81">
        <v>2133.4299999999998</v>
      </c>
      <c r="L89" s="81">
        <v>2133.4299999999998</v>
      </c>
      <c r="M89" s="81">
        <v>2133.4299999999998</v>
      </c>
      <c r="N89" s="81">
        <v>2133.4299999999998</v>
      </c>
      <c r="O89" s="81">
        <v>2135.2600000000002</v>
      </c>
      <c r="P89" s="81">
        <v>2120.9699999999998</v>
      </c>
      <c r="Q89" s="81">
        <v>2115.89</v>
      </c>
      <c r="R89" s="373"/>
      <c r="S89" s="373"/>
      <c r="T89" s="376"/>
      <c r="U89" s="376"/>
      <c r="V89" s="378"/>
      <c r="W89" s="381"/>
      <c r="X89" s="384"/>
      <c r="Y89" s="390"/>
      <c r="Z89" s="182"/>
      <c r="AA89" s="82"/>
      <c r="AB89" s="82"/>
      <c r="AC89" s="82"/>
      <c r="AD89" s="83"/>
      <c r="AE89" s="83"/>
      <c r="AF89" s="83"/>
    </row>
    <row r="90" spans="1:32" ht="30" x14ac:dyDescent="0.3">
      <c r="A90" s="221"/>
      <c r="B90" s="79"/>
      <c r="C90" s="79"/>
      <c r="D90" s="80" t="s">
        <v>188</v>
      </c>
      <c r="E90" s="85">
        <f t="shared" ref="E90:Q90" si="26">IF(((E88="")*AND(E89="")),"",(E88-E89))</f>
        <v>342.86000000000013</v>
      </c>
      <c r="F90" s="85">
        <f t="shared" si="26"/>
        <v>323.55000000000018</v>
      </c>
      <c r="G90" s="85">
        <f t="shared" si="26"/>
        <v>317.53999999999996</v>
      </c>
      <c r="H90" s="85">
        <f t="shared" si="26"/>
        <v>308.68000000000029</v>
      </c>
      <c r="I90" s="85">
        <f t="shared" si="26"/>
        <v>325.23</v>
      </c>
      <c r="J90" s="85">
        <f t="shared" si="26"/>
        <v>351.51000000000022</v>
      </c>
      <c r="K90" s="85">
        <f t="shared" si="26"/>
        <v>407.74000000000024</v>
      </c>
      <c r="L90" s="85">
        <f t="shared" si="26"/>
        <v>345.83000000000038</v>
      </c>
      <c r="M90" s="85">
        <f t="shared" si="26"/>
        <v>335.10000000000036</v>
      </c>
      <c r="N90" s="85">
        <f t="shared" si="26"/>
        <v>324.72000000000025</v>
      </c>
      <c r="O90" s="85">
        <f t="shared" si="26"/>
        <v>351.67999999999984</v>
      </c>
      <c r="P90" s="85">
        <f t="shared" si="26"/>
        <v>350.37000000000035</v>
      </c>
      <c r="Q90" s="85">
        <f t="shared" si="26"/>
        <v>368.23</v>
      </c>
      <c r="R90" s="374"/>
      <c r="S90" s="374"/>
      <c r="T90" s="377"/>
      <c r="U90" s="377"/>
      <c r="V90" s="379"/>
      <c r="W90" s="382"/>
      <c r="X90" s="385"/>
      <c r="Y90" s="391"/>
      <c r="Z90" s="182"/>
      <c r="AA90" s="82"/>
      <c r="AB90" s="82"/>
      <c r="AC90" s="82"/>
      <c r="AD90" s="82"/>
      <c r="AE90" s="86"/>
      <c r="AF90" s="82"/>
    </row>
    <row r="91" spans="1:32" ht="15" x14ac:dyDescent="0.25">
      <c r="A91" s="222">
        <v>43234</v>
      </c>
      <c r="B91" s="79" t="s">
        <v>235</v>
      </c>
      <c r="C91" s="79" t="s">
        <v>232</v>
      </c>
      <c r="D91" s="80" t="s">
        <v>186</v>
      </c>
      <c r="E91" s="81">
        <v>2853.94</v>
      </c>
      <c r="F91" s="81">
        <v>2798.94</v>
      </c>
      <c r="G91" s="81">
        <v>2775.68</v>
      </c>
      <c r="H91" s="81">
        <v>2774.27</v>
      </c>
      <c r="I91" s="81">
        <v>2795.12</v>
      </c>
      <c r="J91" s="81">
        <v>2836.23</v>
      </c>
      <c r="K91" s="81">
        <v>2903.04</v>
      </c>
      <c r="L91" s="81">
        <v>2849.06</v>
      </c>
      <c r="M91" s="81">
        <v>2806.33</v>
      </c>
      <c r="N91" s="81">
        <v>2782.99</v>
      </c>
      <c r="O91" s="81">
        <v>2785.02</v>
      </c>
      <c r="P91" s="81">
        <v>2807.56</v>
      </c>
      <c r="Q91" s="81">
        <v>2862.77</v>
      </c>
      <c r="R91" s="372">
        <f>IF((Q92=""),"",MAX(E93:Q93))</f>
        <v>370.82000000000016</v>
      </c>
      <c r="S91" s="372">
        <f>IF(Q92="","",MIN(E93:Q93))</f>
        <v>317.82999999999993</v>
      </c>
      <c r="T91" s="375">
        <f>IF((Q93=""),"",AVERAGE(E93:Q93))</f>
        <v>341</v>
      </c>
      <c r="U91" s="375">
        <f>IF((Q92=""),"",(R91-S91)/(R91+S91)*100)</f>
        <v>7.6947651201626703</v>
      </c>
      <c r="V91" s="375">
        <f>STDEV(E93:Q93)</f>
        <v>19.144031707036095</v>
      </c>
      <c r="W91" s="380" t="str">
        <f>IF(Q92="","",IF(T91&gt;300,IF(U91&lt;14,IF(T91&lt;390,"Pass","Fail"),"Fail"),"Fail"))</f>
        <v>Pass</v>
      </c>
      <c r="X91" s="383">
        <v>1335</v>
      </c>
      <c r="Y91" s="389"/>
      <c r="Z91" s="182"/>
      <c r="AA91" s="82">
        <v>270</v>
      </c>
      <c r="AB91" s="82">
        <v>370</v>
      </c>
      <c r="AC91" s="82">
        <v>300</v>
      </c>
      <c r="AD91" s="83">
        <v>390</v>
      </c>
      <c r="AE91" s="83">
        <v>20</v>
      </c>
      <c r="AF91" s="83">
        <v>14</v>
      </c>
    </row>
    <row r="92" spans="1:32" ht="15.6" x14ac:dyDescent="0.3">
      <c r="A92" s="221"/>
      <c r="B92" s="84"/>
      <c r="C92" s="84"/>
      <c r="D92" s="80" t="s">
        <v>187</v>
      </c>
      <c r="E92" s="81">
        <v>2487.38</v>
      </c>
      <c r="F92" s="81">
        <v>2462.0100000000002</v>
      </c>
      <c r="G92" s="81">
        <v>2452.48</v>
      </c>
      <c r="H92" s="81">
        <v>2456.44</v>
      </c>
      <c r="I92" s="81">
        <v>2470.08</v>
      </c>
      <c r="J92" s="81">
        <v>2497.83</v>
      </c>
      <c r="K92" s="81">
        <v>2541.64</v>
      </c>
      <c r="L92" s="81">
        <v>2480.4899999999998</v>
      </c>
      <c r="M92" s="81">
        <v>2470.7600000000002</v>
      </c>
      <c r="N92" s="81">
        <v>2459.7399999999998</v>
      </c>
      <c r="O92" s="81">
        <v>2458.0300000000002</v>
      </c>
      <c r="P92" s="81">
        <v>2469.12</v>
      </c>
      <c r="Q92" s="81">
        <v>2491.9499999999998</v>
      </c>
      <c r="R92" s="373"/>
      <c r="S92" s="373"/>
      <c r="T92" s="376"/>
      <c r="U92" s="376"/>
      <c r="V92" s="378"/>
      <c r="W92" s="381"/>
      <c r="X92" s="384"/>
      <c r="Y92" s="390"/>
      <c r="Z92" s="182"/>
      <c r="AA92" s="82"/>
      <c r="AB92" s="82"/>
      <c r="AC92" s="82"/>
      <c r="AD92" s="83"/>
      <c r="AE92" s="83"/>
      <c r="AF92" s="83"/>
    </row>
    <row r="93" spans="1:32" ht="30" x14ac:dyDescent="0.3">
      <c r="A93" s="221"/>
      <c r="B93" s="79"/>
      <c r="C93" s="79"/>
      <c r="D93" s="80" t="s">
        <v>188</v>
      </c>
      <c r="E93" s="85">
        <f t="shared" ref="E93:Q93" si="27">IF(((E91="")*AND(E92="")),"",(E91-E92))</f>
        <v>366.55999999999995</v>
      </c>
      <c r="F93" s="85">
        <f t="shared" si="27"/>
        <v>336.92999999999984</v>
      </c>
      <c r="G93" s="85">
        <f t="shared" si="27"/>
        <v>323.19999999999982</v>
      </c>
      <c r="H93" s="85">
        <f t="shared" si="27"/>
        <v>317.82999999999993</v>
      </c>
      <c r="I93" s="85">
        <f t="shared" si="27"/>
        <v>325.03999999999996</v>
      </c>
      <c r="J93" s="85">
        <f t="shared" si="27"/>
        <v>338.40000000000009</v>
      </c>
      <c r="K93" s="85">
        <f t="shared" si="27"/>
        <v>361.40000000000009</v>
      </c>
      <c r="L93" s="85">
        <f t="shared" si="27"/>
        <v>368.57000000000016</v>
      </c>
      <c r="M93" s="85">
        <f t="shared" si="27"/>
        <v>335.56999999999971</v>
      </c>
      <c r="N93" s="85">
        <f t="shared" si="27"/>
        <v>323.25</v>
      </c>
      <c r="O93" s="85">
        <f t="shared" si="27"/>
        <v>326.98999999999978</v>
      </c>
      <c r="P93" s="85">
        <f t="shared" si="27"/>
        <v>338.44000000000005</v>
      </c>
      <c r="Q93" s="85">
        <f t="shared" si="27"/>
        <v>370.82000000000016</v>
      </c>
      <c r="R93" s="374"/>
      <c r="S93" s="374"/>
      <c r="T93" s="377"/>
      <c r="U93" s="377"/>
      <c r="V93" s="379"/>
      <c r="W93" s="382"/>
      <c r="X93" s="385"/>
      <c r="Y93" s="391"/>
      <c r="Z93" s="182"/>
      <c r="AA93" s="82"/>
      <c r="AB93" s="82"/>
      <c r="AC93" s="82"/>
      <c r="AD93" s="82"/>
      <c r="AE93" s="86"/>
      <c r="AF93" s="82"/>
    </row>
    <row r="94" spans="1:32" ht="15" x14ac:dyDescent="0.25">
      <c r="A94" s="222">
        <v>43237</v>
      </c>
      <c r="B94" s="79" t="s">
        <v>235</v>
      </c>
      <c r="C94" s="79" t="s">
        <v>232</v>
      </c>
      <c r="D94" s="80" t="s">
        <v>186</v>
      </c>
      <c r="E94" s="81">
        <v>2483</v>
      </c>
      <c r="F94" s="81">
        <v>2464</v>
      </c>
      <c r="G94" s="81">
        <v>2451</v>
      </c>
      <c r="H94" s="81">
        <v>2451</v>
      </c>
      <c r="I94" s="81">
        <v>2463</v>
      </c>
      <c r="J94" s="81">
        <v>2521</v>
      </c>
      <c r="K94" s="81">
        <v>2541</v>
      </c>
      <c r="L94" s="81">
        <v>2481</v>
      </c>
      <c r="M94" s="81">
        <v>2467</v>
      </c>
      <c r="N94" s="81">
        <v>2459</v>
      </c>
      <c r="O94" s="81">
        <v>2457</v>
      </c>
      <c r="P94" s="81">
        <v>2464</v>
      </c>
      <c r="Q94" s="81">
        <v>2490</v>
      </c>
      <c r="R94" s="372">
        <f>IF((Q95=""),"",MAX(E96:Q96))</f>
        <v>387</v>
      </c>
      <c r="S94" s="372">
        <f>IF(Q95="","",MIN(E96:Q96))</f>
        <v>337</v>
      </c>
      <c r="T94" s="375">
        <f>IF((Q96=""),"",AVERAGE(E96:Q96))</f>
        <v>361.15384615384613</v>
      </c>
      <c r="U94" s="375">
        <f>IF((Q95=""),"",(R94-S94)/(R94+S94)*100)</f>
        <v>6.9060773480662991</v>
      </c>
      <c r="V94" s="375">
        <f>STDEV(E96:Q96)</f>
        <v>20.210748600048415</v>
      </c>
      <c r="W94" s="380" t="str">
        <f>IF(Q95="","",IF(T94&gt;300,IF(U94&lt;14,IF(T94&lt;390,"Pass","Fail"),"Fail"),"Fail"))</f>
        <v>Pass</v>
      </c>
      <c r="X94" s="383">
        <v>121</v>
      </c>
      <c r="Y94" s="389"/>
      <c r="Z94" s="182"/>
      <c r="AA94" s="82">
        <v>270</v>
      </c>
      <c r="AB94" s="82">
        <v>370</v>
      </c>
      <c r="AC94" s="82">
        <v>300</v>
      </c>
      <c r="AD94" s="83">
        <v>390</v>
      </c>
      <c r="AE94" s="83">
        <v>20</v>
      </c>
      <c r="AF94" s="83">
        <v>14</v>
      </c>
    </row>
    <row r="95" spans="1:32" ht="15.6" x14ac:dyDescent="0.3">
      <c r="A95" s="221"/>
      <c r="B95" s="84"/>
      <c r="C95" s="84"/>
      <c r="D95" s="80" t="s">
        <v>187</v>
      </c>
      <c r="E95" s="81">
        <v>2101</v>
      </c>
      <c r="F95" s="81">
        <v>2104</v>
      </c>
      <c r="G95" s="81">
        <v>2109</v>
      </c>
      <c r="H95" s="81">
        <v>2114</v>
      </c>
      <c r="I95" s="81">
        <v>2126</v>
      </c>
      <c r="J95" s="81">
        <v>2139</v>
      </c>
      <c r="K95" s="81">
        <v>2156</v>
      </c>
      <c r="L95" s="81">
        <v>2096</v>
      </c>
      <c r="M95" s="81">
        <v>2113</v>
      </c>
      <c r="N95" s="81">
        <v>2116</v>
      </c>
      <c r="O95" s="81">
        <v>2113</v>
      </c>
      <c r="P95" s="81">
        <v>2107</v>
      </c>
      <c r="Q95" s="81">
        <v>2103</v>
      </c>
      <c r="R95" s="373"/>
      <c r="S95" s="373"/>
      <c r="T95" s="376"/>
      <c r="U95" s="376"/>
      <c r="V95" s="378"/>
      <c r="W95" s="381"/>
      <c r="X95" s="384"/>
      <c r="Y95" s="390"/>
      <c r="Z95" s="182"/>
      <c r="AA95" s="82"/>
      <c r="AB95" s="82"/>
      <c r="AC95" s="82"/>
      <c r="AD95" s="83"/>
      <c r="AE95" s="83"/>
      <c r="AF95" s="83"/>
    </row>
    <row r="96" spans="1:32" ht="30" x14ac:dyDescent="0.3">
      <c r="A96" s="221"/>
      <c r="B96" s="79"/>
      <c r="C96" s="79"/>
      <c r="D96" s="80" t="s">
        <v>188</v>
      </c>
      <c r="E96" s="85">
        <f t="shared" ref="E96:Q96" si="28">IF(((E94="")*AND(E95="")),"",(E94-E95))</f>
        <v>382</v>
      </c>
      <c r="F96" s="85">
        <f t="shared" si="28"/>
        <v>360</v>
      </c>
      <c r="G96" s="85">
        <f t="shared" si="28"/>
        <v>342</v>
      </c>
      <c r="H96" s="85">
        <f t="shared" si="28"/>
        <v>337</v>
      </c>
      <c r="I96" s="85">
        <f t="shared" si="28"/>
        <v>337</v>
      </c>
      <c r="J96" s="85">
        <f t="shared" si="28"/>
        <v>382</v>
      </c>
      <c r="K96" s="85">
        <f t="shared" si="28"/>
        <v>385</v>
      </c>
      <c r="L96" s="85">
        <f t="shared" si="28"/>
        <v>385</v>
      </c>
      <c r="M96" s="85">
        <f t="shared" si="28"/>
        <v>354</v>
      </c>
      <c r="N96" s="85">
        <f t="shared" si="28"/>
        <v>343</v>
      </c>
      <c r="O96" s="85">
        <f t="shared" si="28"/>
        <v>344</v>
      </c>
      <c r="P96" s="85">
        <f t="shared" si="28"/>
        <v>357</v>
      </c>
      <c r="Q96" s="85">
        <f t="shared" si="28"/>
        <v>387</v>
      </c>
      <c r="R96" s="374"/>
      <c r="S96" s="374"/>
      <c r="T96" s="377"/>
      <c r="U96" s="377"/>
      <c r="V96" s="379"/>
      <c r="W96" s="382"/>
      <c r="X96" s="385"/>
      <c r="Y96" s="391"/>
      <c r="Z96" s="182"/>
      <c r="AA96" s="82"/>
      <c r="AB96" s="82"/>
      <c r="AC96" s="82"/>
      <c r="AD96" s="82"/>
      <c r="AE96" s="86"/>
      <c r="AF96" s="82"/>
    </row>
    <row r="97" spans="1:32" ht="15" x14ac:dyDescent="0.25">
      <c r="A97" s="222">
        <v>43237</v>
      </c>
      <c r="B97" s="79" t="s">
        <v>235</v>
      </c>
      <c r="C97" s="79" t="s">
        <v>232</v>
      </c>
      <c r="D97" s="80" t="s">
        <v>186</v>
      </c>
      <c r="E97" s="81">
        <v>2816.27</v>
      </c>
      <c r="F97" s="81">
        <v>2767.7</v>
      </c>
      <c r="G97" s="81">
        <v>2738.39</v>
      </c>
      <c r="H97" s="81">
        <v>2728.39</v>
      </c>
      <c r="I97" s="81">
        <v>2737.31</v>
      </c>
      <c r="J97" s="81">
        <v>2771.33</v>
      </c>
      <c r="K97" s="81">
        <v>2816.42</v>
      </c>
      <c r="L97" s="81">
        <v>2821.98</v>
      </c>
      <c r="M97" s="81">
        <v>2758.84</v>
      </c>
      <c r="N97" s="81">
        <v>2731.89</v>
      </c>
      <c r="O97" s="81">
        <v>2752.82</v>
      </c>
      <c r="P97" s="81">
        <v>2796.06</v>
      </c>
      <c r="Q97" s="81">
        <v>2877.22</v>
      </c>
      <c r="R97" s="372">
        <f>IF((Q98=""),"",MAX(E99:Q99))</f>
        <v>369.59999999999991</v>
      </c>
      <c r="S97" s="372">
        <f>IF(Q98="","",MIN(E99:Q99))</f>
        <v>322.44999999999982</v>
      </c>
      <c r="T97" s="375">
        <f>IF((Q99=""),"",AVERAGE(E99:Q99))</f>
        <v>344.60615384615386</v>
      </c>
      <c r="U97" s="375">
        <f>IF((Q98=""),"",(R97-S97)/(R97+S97)*100)</f>
        <v>6.8130915396286555</v>
      </c>
      <c r="V97" s="375">
        <f>STDEV(E99:Q99)</f>
        <v>17.350102563799453</v>
      </c>
      <c r="W97" s="380" t="str">
        <f>IF(Q98="","",IF(T97&gt;300,IF(U97&lt;14,IF(T97&lt;390,"Pass","Fail"),"Fail"),"Fail"))</f>
        <v>Pass</v>
      </c>
      <c r="X97" s="383">
        <v>102</v>
      </c>
      <c r="Y97" s="389"/>
      <c r="Z97" s="182"/>
      <c r="AA97" s="82">
        <v>270</v>
      </c>
      <c r="AB97" s="82">
        <v>370</v>
      </c>
      <c r="AC97" s="82">
        <v>300</v>
      </c>
      <c r="AD97" s="83">
        <v>390</v>
      </c>
      <c r="AE97" s="83">
        <v>20</v>
      </c>
      <c r="AF97" s="83">
        <v>14</v>
      </c>
    </row>
    <row r="98" spans="1:32" ht="15.6" x14ac:dyDescent="0.3">
      <c r="A98" s="221"/>
      <c r="B98" s="84"/>
      <c r="C98" s="84"/>
      <c r="D98" s="80" t="s">
        <v>187</v>
      </c>
      <c r="E98" s="81">
        <v>2449.66</v>
      </c>
      <c r="F98" s="81">
        <v>2422.61</v>
      </c>
      <c r="G98" s="81">
        <v>2410.69</v>
      </c>
      <c r="H98" s="81">
        <v>2405.94</v>
      </c>
      <c r="I98" s="81">
        <v>2410.04</v>
      </c>
      <c r="J98" s="81">
        <v>2425.67</v>
      </c>
      <c r="K98" s="81">
        <v>2449.85</v>
      </c>
      <c r="L98" s="81">
        <v>2452.38</v>
      </c>
      <c r="M98" s="81">
        <v>2415.6</v>
      </c>
      <c r="N98" s="81">
        <v>2403.16</v>
      </c>
      <c r="O98" s="81">
        <v>2423.44</v>
      </c>
      <c r="P98" s="81">
        <v>2454.27</v>
      </c>
      <c r="Q98" s="81">
        <v>2511.4299999999998</v>
      </c>
      <c r="R98" s="373"/>
      <c r="S98" s="373"/>
      <c r="T98" s="376"/>
      <c r="U98" s="376"/>
      <c r="V98" s="378"/>
      <c r="W98" s="381"/>
      <c r="X98" s="384"/>
      <c r="Y98" s="390"/>
      <c r="Z98" s="182"/>
      <c r="AA98" s="82"/>
      <c r="AB98" s="82"/>
      <c r="AC98" s="82"/>
      <c r="AD98" s="83"/>
      <c r="AE98" s="83"/>
      <c r="AF98" s="83"/>
    </row>
    <row r="99" spans="1:32" ht="30" x14ac:dyDescent="0.3">
      <c r="A99" s="221"/>
      <c r="B99" s="79"/>
      <c r="C99" s="79"/>
      <c r="D99" s="80" t="s">
        <v>188</v>
      </c>
      <c r="E99" s="85">
        <f t="shared" ref="E99:Q99" si="29">IF(((E97="")*AND(E98="")),"",(E97-E98))</f>
        <v>366.61000000000013</v>
      </c>
      <c r="F99" s="85">
        <f t="shared" si="29"/>
        <v>345.08999999999969</v>
      </c>
      <c r="G99" s="85">
        <f t="shared" si="29"/>
        <v>327.69999999999982</v>
      </c>
      <c r="H99" s="85">
        <f t="shared" si="29"/>
        <v>322.44999999999982</v>
      </c>
      <c r="I99" s="85">
        <f t="shared" si="29"/>
        <v>327.27</v>
      </c>
      <c r="J99" s="85">
        <f t="shared" si="29"/>
        <v>345.65999999999985</v>
      </c>
      <c r="K99" s="85">
        <f t="shared" si="29"/>
        <v>366.57000000000016</v>
      </c>
      <c r="L99" s="85">
        <f t="shared" si="29"/>
        <v>369.59999999999991</v>
      </c>
      <c r="M99" s="85">
        <f t="shared" si="29"/>
        <v>343.24000000000024</v>
      </c>
      <c r="N99" s="85">
        <f t="shared" si="29"/>
        <v>328.73</v>
      </c>
      <c r="O99" s="85">
        <f t="shared" si="29"/>
        <v>329.38000000000011</v>
      </c>
      <c r="P99" s="85">
        <f t="shared" si="29"/>
        <v>341.78999999999996</v>
      </c>
      <c r="Q99" s="85">
        <f t="shared" si="29"/>
        <v>365.78999999999996</v>
      </c>
      <c r="R99" s="374"/>
      <c r="S99" s="374"/>
      <c r="T99" s="377"/>
      <c r="U99" s="377"/>
      <c r="V99" s="379"/>
      <c r="W99" s="382"/>
      <c r="X99" s="385"/>
      <c r="Y99" s="391"/>
      <c r="Z99" s="182"/>
      <c r="AA99" s="82"/>
      <c r="AB99" s="82"/>
      <c r="AC99" s="82"/>
      <c r="AD99" s="82"/>
      <c r="AE99" s="86"/>
      <c r="AF99" s="82"/>
    </row>
    <row r="100" spans="1:32" ht="15" x14ac:dyDescent="0.25">
      <c r="A100" s="222">
        <v>43244</v>
      </c>
      <c r="B100" s="79" t="s">
        <v>235</v>
      </c>
      <c r="C100" s="79" t="s">
        <v>232</v>
      </c>
      <c r="D100" s="80" t="s">
        <v>186</v>
      </c>
      <c r="E100" s="81">
        <v>2454.2399999999998</v>
      </c>
      <c r="F100" s="81">
        <v>2425.66</v>
      </c>
      <c r="G100" s="81">
        <v>2412.91</v>
      </c>
      <c r="H100" s="81">
        <v>2410.14</v>
      </c>
      <c r="I100" s="81">
        <v>2415.44</v>
      </c>
      <c r="J100" s="81">
        <v>2429.06</v>
      </c>
      <c r="K100" s="81">
        <v>2456.94</v>
      </c>
      <c r="L100" s="81">
        <v>2456.66</v>
      </c>
      <c r="M100" s="81">
        <v>2421.34</v>
      </c>
      <c r="N100" s="81">
        <v>2407.02</v>
      </c>
      <c r="O100" s="81">
        <v>2429.2199999999998</v>
      </c>
      <c r="P100" s="81">
        <v>2456.61</v>
      </c>
      <c r="Q100" s="81">
        <v>2431.27</v>
      </c>
      <c r="R100" s="372">
        <f>IF((Q101=""),"",MAX(E102:Q102))</f>
        <v>400.32999999999993</v>
      </c>
      <c r="S100" s="372">
        <f>IF(Q101="","",MIN(E102:Q102))</f>
        <v>308.21000000000004</v>
      </c>
      <c r="T100" s="375">
        <f>IF((Q102=""),"",AVERAGE(E102:Q102))</f>
        <v>349.48461538461532</v>
      </c>
      <c r="U100" s="375">
        <f>IF((Q101=""),"",(R100-S100)/(R100+S100)*100)</f>
        <v>13.001383125864438</v>
      </c>
      <c r="V100" s="375">
        <f>STDEV(E102:Q102)</f>
        <v>31.272820365130791</v>
      </c>
      <c r="W100" s="380" t="str">
        <f>IF(Q101="","",IF(T100&gt;300,IF(U100&lt;14,IF(T100&lt;390,"Pass","Fail"),"Fail"),"Fail"))</f>
        <v>Pass</v>
      </c>
      <c r="X100" s="383">
        <v>1159</v>
      </c>
      <c r="Y100" s="253" t="s">
        <v>195</v>
      </c>
      <c r="Z100" s="182"/>
      <c r="AA100" s="82">
        <v>270</v>
      </c>
      <c r="AB100" s="82">
        <v>370</v>
      </c>
      <c r="AC100" s="82">
        <v>300</v>
      </c>
      <c r="AD100" s="83">
        <v>390</v>
      </c>
      <c r="AE100" s="83">
        <v>20</v>
      </c>
      <c r="AF100" s="83">
        <v>14</v>
      </c>
    </row>
    <row r="101" spans="1:32" ht="15.6" x14ac:dyDescent="0.3">
      <c r="A101" s="221"/>
      <c r="B101" s="84"/>
      <c r="C101" s="84"/>
      <c r="D101" s="80" t="s">
        <v>187</v>
      </c>
      <c r="E101" s="81">
        <v>2056.42</v>
      </c>
      <c r="F101" s="81">
        <v>2056.73</v>
      </c>
      <c r="G101" s="81">
        <v>2066.9</v>
      </c>
      <c r="H101" s="81">
        <v>2096.84</v>
      </c>
      <c r="I101" s="81">
        <v>2084.62</v>
      </c>
      <c r="J101" s="81">
        <v>2106.84</v>
      </c>
      <c r="K101" s="81">
        <v>2117.42</v>
      </c>
      <c r="L101" s="81">
        <v>2099.5300000000002</v>
      </c>
      <c r="M101" s="81">
        <v>2105.2399999999998</v>
      </c>
      <c r="N101" s="81">
        <v>2098.81</v>
      </c>
      <c r="O101" s="81">
        <v>2064.16</v>
      </c>
      <c r="P101" s="81">
        <v>2056.2800000000002</v>
      </c>
      <c r="Q101" s="81">
        <v>2053.42</v>
      </c>
      <c r="R101" s="373"/>
      <c r="S101" s="373"/>
      <c r="T101" s="376"/>
      <c r="U101" s="376"/>
      <c r="V101" s="378"/>
      <c r="W101" s="381"/>
      <c r="X101" s="384"/>
      <c r="Y101" s="254"/>
      <c r="Z101" s="182"/>
      <c r="AA101" s="82"/>
      <c r="AB101" s="82"/>
      <c r="AC101" s="82"/>
      <c r="AD101" s="83"/>
      <c r="AE101" s="83"/>
      <c r="AF101" s="83"/>
    </row>
    <row r="102" spans="1:32" ht="62.25" customHeight="1" x14ac:dyDescent="0.3">
      <c r="A102" s="221"/>
      <c r="B102" s="79"/>
      <c r="C102" s="79"/>
      <c r="D102" s="80" t="s">
        <v>188</v>
      </c>
      <c r="E102" s="85">
        <f t="shared" ref="E102:Q102" si="30">IF(((E100="")*AND(E101="")),"",(E100-E101))</f>
        <v>397.81999999999971</v>
      </c>
      <c r="F102" s="85">
        <f t="shared" si="30"/>
        <v>368.92999999999984</v>
      </c>
      <c r="G102" s="85">
        <f t="shared" si="30"/>
        <v>346.00999999999976</v>
      </c>
      <c r="H102" s="85">
        <f t="shared" si="30"/>
        <v>313.29999999999973</v>
      </c>
      <c r="I102" s="85">
        <f t="shared" si="30"/>
        <v>330.82000000000016</v>
      </c>
      <c r="J102" s="85">
        <f t="shared" si="30"/>
        <v>322.2199999999998</v>
      </c>
      <c r="K102" s="85">
        <f t="shared" si="30"/>
        <v>339.52</v>
      </c>
      <c r="L102" s="85">
        <f t="shared" si="30"/>
        <v>357.12999999999965</v>
      </c>
      <c r="M102" s="85">
        <f t="shared" si="30"/>
        <v>316.10000000000036</v>
      </c>
      <c r="N102" s="85">
        <f t="shared" si="30"/>
        <v>308.21000000000004</v>
      </c>
      <c r="O102" s="85">
        <f t="shared" si="30"/>
        <v>365.05999999999995</v>
      </c>
      <c r="P102" s="85">
        <f t="shared" si="30"/>
        <v>400.32999999999993</v>
      </c>
      <c r="Q102" s="85">
        <f t="shared" si="30"/>
        <v>377.84999999999991</v>
      </c>
      <c r="R102" s="374"/>
      <c r="S102" s="374"/>
      <c r="T102" s="377"/>
      <c r="U102" s="377"/>
      <c r="V102" s="379"/>
      <c r="W102" s="382"/>
      <c r="X102" s="385"/>
      <c r="Y102" s="255"/>
      <c r="Z102" s="182"/>
      <c r="AA102" s="82"/>
      <c r="AB102" s="82"/>
      <c r="AC102" s="82"/>
      <c r="AD102" s="82"/>
      <c r="AE102" s="86"/>
      <c r="AF102" s="82"/>
    </row>
    <row r="103" spans="1:32" ht="15" x14ac:dyDescent="0.25">
      <c r="A103" s="222">
        <v>43248</v>
      </c>
      <c r="B103" s="79" t="s">
        <v>235</v>
      </c>
      <c r="C103" s="79" t="s">
        <v>232</v>
      </c>
      <c r="D103" s="80" t="s">
        <v>186</v>
      </c>
      <c r="E103" s="81">
        <v>1998.15</v>
      </c>
      <c r="F103" s="81">
        <v>2003.11</v>
      </c>
      <c r="G103" s="81">
        <v>2010.73</v>
      </c>
      <c r="H103" s="81">
        <v>2016.15</v>
      </c>
      <c r="I103" s="81">
        <v>2023.2</v>
      </c>
      <c r="J103" s="81">
        <v>2028.97</v>
      </c>
      <c r="K103" s="81">
        <v>2038.15</v>
      </c>
      <c r="L103" s="81">
        <v>2032.2</v>
      </c>
      <c r="M103" s="81">
        <v>2025.52</v>
      </c>
      <c r="N103" s="81">
        <v>2020.36</v>
      </c>
      <c r="O103" s="81">
        <v>2047.79</v>
      </c>
      <c r="P103" s="81">
        <v>2041.3</v>
      </c>
      <c r="Q103" s="81">
        <v>2074.39</v>
      </c>
      <c r="R103" s="372">
        <f>IF((Q104=""),"",MAX(E105:Q105))</f>
        <v>357.78</v>
      </c>
      <c r="S103" s="372">
        <f>IF(Q104="","",MIN(E105:Q105))</f>
        <v>281.08999999999992</v>
      </c>
      <c r="T103" s="375">
        <f>IF((Q105=""),"",AVERAGE(E105:Q105))</f>
        <v>314.34999999999997</v>
      </c>
      <c r="U103" s="375">
        <f>IF((Q104=""),"",(R103-S103)/(R103+S103)*100)</f>
        <v>12.004007074991794</v>
      </c>
      <c r="V103" s="375">
        <f>STDEV(E105:Q105)</f>
        <v>23.721760404039721</v>
      </c>
      <c r="W103" s="380" t="str">
        <f>IF(Q104="","",IF(T103&gt;300,IF(U103&lt;14,IF(T103&lt;390,"Pass","Fail"),"Fail"),"Fail"))</f>
        <v>Pass</v>
      </c>
      <c r="X103" s="383">
        <v>1428</v>
      </c>
      <c r="Y103" s="253" t="s">
        <v>238</v>
      </c>
      <c r="Z103" s="182"/>
      <c r="AA103" s="82">
        <v>270</v>
      </c>
      <c r="AB103" s="82">
        <v>370</v>
      </c>
      <c r="AC103" s="82">
        <v>300</v>
      </c>
      <c r="AD103" s="83">
        <v>390</v>
      </c>
      <c r="AE103" s="83">
        <v>20</v>
      </c>
      <c r="AF103" s="83">
        <v>14</v>
      </c>
    </row>
    <row r="104" spans="1:32" ht="15.6" x14ac:dyDescent="0.3">
      <c r="A104" s="221"/>
      <c r="B104" s="84"/>
      <c r="C104" s="84"/>
      <c r="D104" s="80" t="s">
        <v>187</v>
      </c>
      <c r="E104" s="81">
        <v>1675.96</v>
      </c>
      <c r="F104" s="81">
        <v>1706.33</v>
      </c>
      <c r="G104" s="81">
        <v>1729.64</v>
      </c>
      <c r="H104" s="81">
        <v>1730.09</v>
      </c>
      <c r="I104" s="81">
        <v>1726.99</v>
      </c>
      <c r="J104" s="81">
        <v>1711.87</v>
      </c>
      <c r="K104" s="81">
        <v>1683.97</v>
      </c>
      <c r="L104" s="81">
        <v>1674.42</v>
      </c>
      <c r="M104" s="81">
        <v>1707.89</v>
      </c>
      <c r="N104" s="81">
        <v>1721.2</v>
      </c>
      <c r="O104" s="81">
        <v>1740.64</v>
      </c>
      <c r="P104" s="81">
        <v>1723.43</v>
      </c>
      <c r="Q104" s="81">
        <v>1741.04</v>
      </c>
      <c r="R104" s="373"/>
      <c r="S104" s="373"/>
      <c r="T104" s="376"/>
      <c r="U104" s="376"/>
      <c r="V104" s="378"/>
      <c r="W104" s="381"/>
      <c r="X104" s="384"/>
      <c r="Y104" s="254"/>
      <c r="Z104" s="182"/>
      <c r="AA104" s="82"/>
      <c r="AB104" s="82"/>
      <c r="AC104" s="82"/>
      <c r="AD104" s="83"/>
      <c r="AE104" s="83"/>
      <c r="AF104" s="83"/>
    </row>
    <row r="105" spans="1:32" ht="30" x14ac:dyDescent="0.3">
      <c r="A105" s="221"/>
      <c r="B105" s="79"/>
      <c r="C105" s="79"/>
      <c r="D105" s="80" t="s">
        <v>188</v>
      </c>
      <c r="E105" s="85">
        <f t="shared" ref="E105:Q105" si="31">IF(((E103="")*AND(E104="")),"",(E103-E104))</f>
        <v>322.19000000000005</v>
      </c>
      <c r="F105" s="85">
        <f t="shared" si="31"/>
        <v>296.77999999999997</v>
      </c>
      <c r="G105" s="85">
        <f t="shared" si="31"/>
        <v>281.08999999999992</v>
      </c>
      <c r="H105" s="85">
        <f t="shared" si="31"/>
        <v>286.06000000000017</v>
      </c>
      <c r="I105" s="85">
        <f t="shared" si="31"/>
        <v>296.21000000000004</v>
      </c>
      <c r="J105" s="85">
        <f t="shared" si="31"/>
        <v>317.10000000000014</v>
      </c>
      <c r="K105" s="85">
        <f t="shared" si="31"/>
        <v>354.18000000000006</v>
      </c>
      <c r="L105" s="85">
        <f t="shared" si="31"/>
        <v>357.78</v>
      </c>
      <c r="M105" s="85">
        <f t="shared" si="31"/>
        <v>317.62999999999988</v>
      </c>
      <c r="N105" s="85">
        <f t="shared" si="31"/>
        <v>299.15999999999985</v>
      </c>
      <c r="O105" s="85">
        <f t="shared" si="31"/>
        <v>307.14999999999986</v>
      </c>
      <c r="P105" s="85">
        <f t="shared" si="31"/>
        <v>317.86999999999989</v>
      </c>
      <c r="Q105" s="85">
        <f t="shared" si="31"/>
        <v>333.34999999999991</v>
      </c>
      <c r="R105" s="374"/>
      <c r="S105" s="374"/>
      <c r="T105" s="377"/>
      <c r="U105" s="377"/>
      <c r="V105" s="379"/>
      <c r="W105" s="382"/>
      <c r="X105" s="385"/>
      <c r="Y105" s="255"/>
      <c r="Z105" s="182"/>
      <c r="AA105" s="82"/>
      <c r="AB105" s="82"/>
      <c r="AC105" s="82"/>
      <c r="AD105" s="82"/>
      <c r="AE105" s="86"/>
      <c r="AF105" s="82"/>
    </row>
    <row r="106" spans="1:32" ht="15" x14ac:dyDescent="0.25">
      <c r="A106" s="222">
        <v>43252</v>
      </c>
      <c r="B106" s="79" t="s">
        <v>235</v>
      </c>
      <c r="C106" s="79" t="s">
        <v>232</v>
      </c>
      <c r="D106" s="80" t="s">
        <v>186</v>
      </c>
      <c r="E106" s="81">
        <v>1675.96</v>
      </c>
      <c r="F106" s="81">
        <v>1706.33</v>
      </c>
      <c r="G106" s="81">
        <v>1729.64</v>
      </c>
      <c r="H106" s="81">
        <v>1730.09</v>
      </c>
      <c r="I106" s="81">
        <v>1726.99</v>
      </c>
      <c r="J106" s="81">
        <v>1711.87</v>
      </c>
      <c r="K106" s="81">
        <v>1683.97</v>
      </c>
      <c r="L106" s="81">
        <v>1674.42</v>
      </c>
      <c r="M106" s="81">
        <v>1707.89</v>
      </c>
      <c r="N106" s="81">
        <v>1721.2</v>
      </c>
      <c r="O106" s="81">
        <v>1740.64</v>
      </c>
      <c r="P106" s="81">
        <v>1723.43</v>
      </c>
      <c r="Q106" s="81">
        <v>1741.04</v>
      </c>
      <c r="R106" s="372">
        <f>IF((Q107=""),"",MAX(E108:Q108))</f>
        <v>386.59999999999991</v>
      </c>
      <c r="S106" s="372">
        <f>IF(Q107="","",MIN(E108:Q108))</f>
        <v>293.62000000000012</v>
      </c>
      <c r="T106" s="375">
        <f>IF((Q108=""),"",AVERAGE(E108:Q108))</f>
        <v>334.19153846153847</v>
      </c>
      <c r="U106" s="375">
        <f>IF((Q107=""),"",(R106-S106)/(R106+S106)*100)</f>
        <v>13.669107053600275</v>
      </c>
      <c r="V106" s="375">
        <f>STDEV(E108:Q108)</f>
        <v>33.561055765612657</v>
      </c>
      <c r="W106" s="380" t="str">
        <f>IF(Q107="","",IF(T106&gt;300,IF(U106&lt;14,IF(T106&lt;390,"Pass","Fail"),"Fail"),"Fail"))</f>
        <v>Pass</v>
      </c>
      <c r="X106" s="383">
        <v>1428</v>
      </c>
      <c r="Y106" s="389"/>
      <c r="Z106" s="182"/>
      <c r="AA106" s="82">
        <v>270</v>
      </c>
      <c r="AB106" s="82">
        <v>370</v>
      </c>
      <c r="AC106" s="82">
        <v>300</v>
      </c>
      <c r="AD106" s="83">
        <v>390</v>
      </c>
      <c r="AE106" s="83">
        <v>20</v>
      </c>
      <c r="AF106" s="83">
        <v>14</v>
      </c>
    </row>
    <row r="107" spans="1:32" ht="15.6" x14ac:dyDescent="0.3">
      <c r="A107" s="221"/>
      <c r="B107" s="84"/>
      <c r="C107" s="84"/>
      <c r="D107" s="80" t="s">
        <v>187</v>
      </c>
      <c r="E107" s="81">
        <v>1291.8499999999999</v>
      </c>
      <c r="F107" s="81">
        <v>1376.49</v>
      </c>
      <c r="G107" s="81">
        <v>1415.57</v>
      </c>
      <c r="H107" s="81">
        <v>1425.23</v>
      </c>
      <c r="I107" s="81">
        <v>1433.37</v>
      </c>
      <c r="J107" s="81">
        <v>1382.6</v>
      </c>
      <c r="K107" s="81">
        <v>1307.19</v>
      </c>
      <c r="L107" s="81">
        <v>1302.06</v>
      </c>
      <c r="M107" s="81">
        <v>1383.37</v>
      </c>
      <c r="N107" s="81">
        <v>1410.61</v>
      </c>
      <c r="O107" s="81">
        <v>1439.65</v>
      </c>
      <c r="P107" s="81">
        <v>1406.55</v>
      </c>
      <c r="Q107" s="81">
        <v>1354.44</v>
      </c>
      <c r="R107" s="373"/>
      <c r="S107" s="373"/>
      <c r="T107" s="376"/>
      <c r="U107" s="376"/>
      <c r="V107" s="378"/>
      <c r="W107" s="381"/>
      <c r="X107" s="384"/>
      <c r="Y107" s="390"/>
      <c r="Z107" s="182"/>
      <c r="AA107" s="82"/>
      <c r="AB107" s="82"/>
      <c r="AC107" s="82"/>
      <c r="AD107" s="83"/>
      <c r="AE107" s="83"/>
      <c r="AF107" s="83"/>
    </row>
    <row r="108" spans="1:32" ht="30" x14ac:dyDescent="0.3">
      <c r="A108" s="221"/>
      <c r="B108" s="79"/>
      <c r="C108" s="79"/>
      <c r="D108" s="80" t="s">
        <v>188</v>
      </c>
      <c r="E108" s="85">
        <f t="shared" ref="E108:Q108" si="32">IF(((E106="")*AND(E107="")),"",(E106-E107))</f>
        <v>384.11000000000013</v>
      </c>
      <c r="F108" s="85">
        <f t="shared" si="32"/>
        <v>329.83999999999992</v>
      </c>
      <c r="G108" s="85">
        <f t="shared" si="32"/>
        <v>314.07000000000016</v>
      </c>
      <c r="H108" s="85">
        <f t="shared" si="32"/>
        <v>304.8599999999999</v>
      </c>
      <c r="I108" s="85">
        <f t="shared" si="32"/>
        <v>293.62000000000012</v>
      </c>
      <c r="J108" s="85">
        <f t="shared" si="32"/>
        <v>329.27</v>
      </c>
      <c r="K108" s="85">
        <f t="shared" si="32"/>
        <v>376.78</v>
      </c>
      <c r="L108" s="85">
        <f t="shared" si="32"/>
        <v>372.36000000000013</v>
      </c>
      <c r="M108" s="85">
        <f t="shared" si="32"/>
        <v>324.52000000000021</v>
      </c>
      <c r="N108" s="85">
        <f t="shared" si="32"/>
        <v>310.59000000000015</v>
      </c>
      <c r="O108" s="85">
        <f t="shared" si="32"/>
        <v>300.99</v>
      </c>
      <c r="P108" s="85">
        <f t="shared" si="32"/>
        <v>316.88000000000011</v>
      </c>
      <c r="Q108" s="85">
        <f t="shared" si="32"/>
        <v>386.59999999999991</v>
      </c>
      <c r="R108" s="374"/>
      <c r="S108" s="374"/>
      <c r="T108" s="377"/>
      <c r="U108" s="377"/>
      <c r="V108" s="379"/>
      <c r="W108" s="382"/>
      <c r="X108" s="385"/>
      <c r="Y108" s="391"/>
      <c r="Z108" s="182"/>
      <c r="AA108" s="82"/>
      <c r="AB108" s="82"/>
      <c r="AC108" s="82"/>
      <c r="AD108" s="82"/>
      <c r="AE108" s="86"/>
      <c r="AF108" s="82"/>
    </row>
    <row r="109" spans="1:32" ht="15" x14ac:dyDescent="0.25">
      <c r="A109" s="222">
        <v>43256</v>
      </c>
      <c r="B109" s="79" t="s">
        <v>235</v>
      </c>
      <c r="C109" s="79" t="s">
        <v>232</v>
      </c>
      <c r="D109" s="80" t="s">
        <v>186</v>
      </c>
      <c r="E109" s="81">
        <v>2882.42</v>
      </c>
      <c r="F109" s="81">
        <v>2814.92</v>
      </c>
      <c r="G109" s="81">
        <v>2776.79</v>
      </c>
      <c r="H109" s="81">
        <v>2760.88</v>
      </c>
      <c r="I109" s="81">
        <v>2763.89</v>
      </c>
      <c r="J109" s="81">
        <v>2787.91</v>
      </c>
      <c r="K109" s="81">
        <v>2829.56</v>
      </c>
      <c r="L109" s="81">
        <v>2832.26</v>
      </c>
      <c r="M109" s="81">
        <v>2786.14</v>
      </c>
      <c r="N109" s="81">
        <v>2765.23</v>
      </c>
      <c r="O109" s="81">
        <v>2777.05</v>
      </c>
      <c r="P109" s="81">
        <v>2817.9</v>
      </c>
      <c r="Q109" s="81">
        <v>2891.57</v>
      </c>
      <c r="R109" s="372">
        <f>IF((Q110=""),"",MAX(E111:Q111))</f>
        <v>381.46000000000004</v>
      </c>
      <c r="S109" s="372">
        <f>IF(Q110="","",MIN(E111:Q111))</f>
        <v>322.05999999999995</v>
      </c>
      <c r="T109" s="375">
        <f>IF((Q111=""),"",AVERAGE(E111:Q111))</f>
        <v>344.30000000000007</v>
      </c>
      <c r="U109" s="375">
        <f>IF((Q110=""),"",(R109-S109)/(R109+S109)*100)</f>
        <v>8.4432567659768161</v>
      </c>
      <c r="V109" s="375">
        <f>STDEV(E111:Q111)</f>
        <v>23.338256861499641</v>
      </c>
      <c r="W109" s="380" t="str">
        <f>IF(Q110="","",IF(T109&gt;300,IF(U109&lt;14,IF(T109&lt;390,"Pass","Fail"),"Fail"),"Fail"))</f>
        <v>Pass</v>
      </c>
      <c r="X109" s="383">
        <v>1335</v>
      </c>
      <c r="Y109" s="389"/>
      <c r="Z109" s="182"/>
      <c r="AA109" s="82">
        <v>270</v>
      </c>
      <c r="AB109" s="82">
        <v>370</v>
      </c>
      <c r="AC109" s="82">
        <v>300</v>
      </c>
      <c r="AD109" s="83">
        <v>390</v>
      </c>
      <c r="AE109" s="83">
        <v>20</v>
      </c>
      <c r="AF109" s="83">
        <v>14</v>
      </c>
    </row>
    <row r="110" spans="1:32" ht="15.6" x14ac:dyDescent="0.3">
      <c r="A110" s="221"/>
      <c r="B110" s="84"/>
      <c r="C110" s="84"/>
      <c r="D110" s="80" t="s">
        <v>187</v>
      </c>
      <c r="E110" s="81">
        <v>2505.98</v>
      </c>
      <c r="F110" s="81">
        <v>2476.21</v>
      </c>
      <c r="G110" s="81">
        <v>2452.25</v>
      </c>
      <c r="H110" s="81">
        <v>2438.5700000000002</v>
      </c>
      <c r="I110" s="81">
        <v>2441.83</v>
      </c>
      <c r="J110" s="81">
        <v>2451.5100000000002</v>
      </c>
      <c r="K110" s="81">
        <v>2451.79</v>
      </c>
      <c r="L110" s="81">
        <v>2460.7199999999998</v>
      </c>
      <c r="M110" s="81">
        <v>2452.41</v>
      </c>
      <c r="N110" s="81">
        <v>2438.87</v>
      </c>
      <c r="O110" s="81">
        <v>2450.91</v>
      </c>
      <c r="P110" s="81">
        <v>2479.46</v>
      </c>
      <c r="Q110" s="81">
        <v>2510.11</v>
      </c>
      <c r="R110" s="373"/>
      <c r="S110" s="373"/>
      <c r="T110" s="376"/>
      <c r="U110" s="376"/>
      <c r="V110" s="378"/>
      <c r="W110" s="381"/>
      <c r="X110" s="384"/>
      <c r="Y110" s="390"/>
      <c r="Z110" s="182"/>
      <c r="AA110" s="82"/>
      <c r="AB110" s="82"/>
      <c r="AC110" s="82"/>
      <c r="AD110" s="83"/>
      <c r="AE110" s="83"/>
      <c r="AF110" s="83"/>
    </row>
    <row r="111" spans="1:32" ht="30" x14ac:dyDescent="0.3">
      <c r="A111" s="221"/>
      <c r="B111" s="79"/>
      <c r="C111" s="79"/>
      <c r="D111" s="80" t="s">
        <v>188</v>
      </c>
      <c r="E111" s="85">
        <f t="shared" ref="E111:Q111" si="33">IF(((E109="")*AND(E110="")),"",(E109-E110))</f>
        <v>376.44000000000005</v>
      </c>
      <c r="F111" s="85">
        <f t="shared" si="33"/>
        <v>338.71000000000004</v>
      </c>
      <c r="G111" s="85">
        <f t="shared" si="33"/>
        <v>324.53999999999996</v>
      </c>
      <c r="H111" s="85">
        <f t="shared" si="33"/>
        <v>322.30999999999995</v>
      </c>
      <c r="I111" s="85">
        <f t="shared" si="33"/>
        <v>322.05999999999995</v>
      </c>
      <c r="J111" s="85">
        <f t="shared" si="33"/>
        <v>336.39999999999964</v>
      </c>
      <c r="K111" s="85">
        <f t="shared" si="33"/>
        <v>377.77</v>
      </c>
      <c r="L111" s="85">
        <f t="shared" si="33"/>
        <v>371.54000000000042</v>
      </c>
      <c r="M111" s="85">
        <f t="shared" si="33"/>
        <v>333.73</v>
      </c>
      <c r="N111" s="85">
        <f t="shared" si="33"/>
        <v>326.36000000000013</v>
      </c>
      <c r="O111" s="85">
        <f t="shared" si="33"/>
        <v>326.14000000000033</v>
      </c>
      <c r="P111" s="85">
        <f t="shared" si="33"/>
        <v>338.44000000000005</v>
      </c>
      <c r="Q111" s="85">
        <f t="shared" si="33"/>
        <v>381.46000000000004</v>
      </c>
      <c r="R111" s="374"/>
      <c r="S111" s="374"/>
      <c r="T111" s="377"/>
      <c r="U111" s="377"/>
      <c r="V111" s="379"/>
      <c r="W111" s="382"/>
      <c r="X111" s="385"/>
      <c r="Y111" s="391"/>
      <c r="Z111" s="182"/>
      <c r="AA111" s="82"/>
      <c r="AB111" s="82"/>
      <c r="AC111" s="82"/>
      <c r="AD111" s="82"/>
      <c r="AE111" s="86"/>
      <c r="AF111" s="82"/>
    </row>
    <row r="112" spans="1:32" ht="15" x14ac:dyDescent="0.25">
      <c r="A112" s="222">
        <v>43259</v>
      </c>
      <c r="B112" s="79" t="s">
        <v>235</v>
      </c>
      <c r="C112" s="79" t="s">
        <v>232</v>
      </c>
      <c r="D112" s="80" t="s">
        <v>186</v>
      </c>
      <c r="E112" s="81">
        <v>2507.02</v>
      </c>
      <c r="F112" s="81">
        <v>2476.5</v>
      </c>
      <c r="G112" s="81">
        <v>2451.19</v>
      </c>
      <c r="H112" s="81">
        <v>2439.3200000000002</v>
      </c>
      <c r="I112" s="81">
        <v>2437.62</v>
      </c>
      <c r="J112" s="81">
        <v>2457.15</v>
      </c>
      <c r="K112" s="81">
        <v>2451.62</v>
      </c>
      <c r="L112" s="81">
        <v>2460.31</v>
      </c>
      <c r="M112" s="81">
        <v>2451.79</v>
      </c>
      <c r="N112" s="81">
        <v>2445.34</v>
      </c>
      <c r="O112" s="81">
        <v>2526.4</v>
      </c>
      <c r="P112" s="81">
        <v>2481.9</v>
      </c>
      <c r="Q112" s="81">
        <v>2512.5300000000002</v>
      </c>
      <c r="R112" s="372">
        <f>IF((Q113=""),"",MAX(E114:Q114))</f>
        <v>440.44000000000005</v>
      </c>
      <c r="S112" s="372">
        <f>IF(Q113="","",MIN(E114:Q114))</f>
        <v>332.77999999999975</v>
      </c>
      <c r="T112" s="375">
        <f>IF((Q114=""),"",AVERAGE(E114:Q114))</f>
        <v>376.3776923076922</v>
      </c>
      <c r="U112" s="375">
        <f>IF((Q113=""),"",(R112-S112)/(R112+S112)*100)</f>
        <v>13.923592250588493</v>
      </c>
      <c r="V112" s="375">
        <f>STDEV(E114:Q114)</f>
        <v>34.208652695345549</v>
      </c>
      <c r="W112" s="380" t="str">
        <f>IF(Q113="","",IF(T112&gt;300,IF(U112&lt;14,IF(T112&lt;390,"Pass","Fail"),"Fail"),"Fail"))</f>
        <v>Pass</v>
      </c>
      <c r="X112" s="383">
        <v>1335</v>
      </c>
      <c r="Y112" s="389"/>
      <c r="Z112" s="182"/>
      <c r="AA112" s="82">
        <v>270</v>
      </c>
      <c r="AB112" s="82">
        <v>370</v>
      </c>
      <c r="AC112" s="82">
        <v>300</v>
      </c>
      <c r="AD112" s="83">
        <v>390</v>
      </c>
      <c r="AE112" s="83">
        <v>20</v>
      </c>
      <c r="AF112" s="83">
        <v>14</v>
      </c>
    </row>
    <row r="113" spans="1:32" ht="15.6" x14ac:dyDescent="0.3">
      <c r="A113" s="221"/>
      <c r="B113" s="84"/>
      <c r="C113" s="84"/>
      <c r="D113" s="80" t="s">
        <v>187</v>
      </c>
      <c r="E113" s="81">
        <v>2090.8200000000002</v>
      </c>
      <c r="F113" s="81">
        <v>2092.7800000000002</v>
      </c>
      <c r="G113" s="81">
        <v>2087.33</v>
      </c>
      <c r="H113" s="81">
        <v>2086.7600000000002</v>
      </c>
      <c r="I113" s="81">
        <v>2093</v>
      </c>
      <c r="J113" s="81">
        <v>2102.86</v>
      </c>
      <c r="K113" s="81">
        <v>2064.4</v>
      </c>
      <c r="L113" s="81">
        <v>2095.88</v>
      </c>
      <c r="M113" s="81">
        <v>2119.0100000000002</v>
      </c>
      <c r="N113" s="81">
        <v>2105.04</v>
      </c>
      <c r="O113" s="81">
        <v>2085.96</v>
      </c>
      <c r="P113" s="81">
        <v>2096.0500000000002</v>
      </c>
      <c r="Q113" s="81">
        <v>2085.89</v>
      </c>
      <c r="R113" s="373"/>
      <c r="S113" s="373"/>
      <c r="T113" s="376"/>
      <c r="U113" s="376"/>
      <c r="V113" s="378"/>
      <c r="W113" s="381"/>
      <c r="X113" s="384"/>
      <c r="Y113" s="390"/>
      <c r="Z113" s="182"/>
      <c r="AA113" s="82"/>
      <c r="AB113" s="82"/>
      <c r="AC113" s="82"/>
      <c r="AD113" s="83"/>
      <c r="AE113" s="83"/>
      <c r="AF113" s="83"/>
    </row>
    <row r="114" spans="1:32" ht="30" x14ac:dyDescent="0.3">
      <c r="A114" s="221"/>
      <c r="B114" s="79"/>
      <c r="C114" s="79"/>
      <c r="D114" s="80" t="s">
        <v>188</v>
      </c>
      <c r="E114" s="85">
        <f t="shared" ref="E114:Q114" si="34">IF(((E112="")*AND(E113="")),"",(E112-E113))</f>
        <v>416.19999999999982</v>
      </c>
      <c r="F114" s="85">
        <f t="shared" si="34"/>
        <v>383.7199999999998</v>
      </c>
      <c r="G114" s="85">
        <f t="shared" si="34"/>
        <v>363.86000000000013</v>
      </c>
      <c r="H114" s="85">
        <f t="shared" si="34"/>
        <v>352.55999999999995</v>
      </c>
      <c r="I114" s="85">
        <f t="shared" si="34"/>
        <v>344.61999999999989</v>
      </c>
      <c r="J114" s="85">
        <f t="shared" si="34"/>
        <v>354.28999999999996</v>
      </c>
      <c r="K114" s="85">
        <f t="shared" si="34"/>
        <v>387.2199999999998</v>
      </c>
      <c r="L114" s="85">
        <f t="shared" si="34"/>
        <v>364.42999999999984</v>
      </c>
      <c r="M114" s="85">
        <f t="shared" si="34"/>
        <v>332.77999999999975</v>
      </c>
      <c r="N114" s="85">
        <f t="shared" si="34"/>
        <v>340.30000000000018</v>
      </c>
      <c r="O114" s="85">
        <f t="shared" si="34"/>
        <v>440.44000000000005</v>
      </c>
      <c r="P114" s="85">
        <f t="shared" si="34"/>
        <v>385.84999999999991</v>
      </c>
      <c r="Q114" s="85">
        <f t="shared" si="34"/>
        <v>426.64000000000033</v>
      </c>
      <c r="R114" s="374"/>
      <c r="S114" s="374"/>
      <c r="T114" s="377"/>
      <c r="U114" s="377"/>
      <c r="V114" s="379"/>
      <c r="W114" s="382"/>
      <c r="X114" s="385"/>
      <c r="Y114" s="391"/>
      <c r="Z114" s="182"/>
      <c r="AA114" s="82"/>
      <c r="AB114" s="82"/>
      <c r="AC114" s="82"/>
      <c r="AD114" s="82"/>
      <c r="AE114" s="86"/>
      <c r="AF114" s="82"/>
    </row>
    <row r="115" spans="1:32" ht="15" x14ac:dyDescent="0.25">
      <c r="A115" s="222">
        <v>43262</v>
      </c>
      <c r="B115" s="79" t="s">
        <v>235</v>
      </c>
      <c r="C115" s="79" t="s">
        <v>232</v>
      </c>
      <c r="D115" s="80" t="s">
        <v>186</v>
      </c>
      <c r="E115" s="81">
        <v>2084.13</v>
      </c>
      <c r="F115" s="81">
        <v>2080.1999999999998</v>
      </c>
      <c r="G115" s="81">
        <v>2078.27</v>
      </c>
      <c r="H115" s="81">
        <v>2074.9</v>
      </c>
      <c r="I115" s="81">
        <v>2079.75</v>
      </c>
      <c r="J115" s="81">
        <v>2100.3000000000002</v>
      </c>
      <c r="K115" s="81">
        <v>2059.3000000000002</v>
      </c>
      <c r="L115" s="81">
        <v>2088.54</v>
      </c>
      <c r="M115" s="81">
        <v>2108.9699999999998</v>
      </c>
      <c r="N115" s="81">
        <v>2094.5</v>
      </c>
      <c r="O115" s="81">
        <v>2082.13</v>
      </c>
      <c r="P115" s="81">
        <v>2079.15</v>
      </c>
      <c r="Q115" s="81">
        <v>2073.58</v>
      </c>
      <c r="R115" s="372">
        <f>IF((Q116=""),"",MAX(E117:Q117))</f>
        <v>392.87999999999988</v>
      </c>
      <c r="S115" s="372">
        <f>IF(Q116="","",MIN(E117:Q117))</f>
        <v>300.47000000000003</v>
      </c>
      <c r="T115" s="375">
        <f>IF((Q117=""),"",AVERAGE(E117:Q117))</f>
        <v>338.32923076923078</v>
      </c>
      <c r="U115" s="375">
        <f>IF((Q116=""),"",(R115-S115)/(R115+S115)*100)</f>
        <v>13.328044998918276</v>
      </c>
      <c r="V115" s="375">
        <f>STDEV(E117:Q117)</f>
        <v>27.985388289110968</v>
      </c>
      <c r="W115" s="380" t="str">
        <f>IF(Q116="","",IF(T115&gt;300,IF(U115&lt;14,IF(T115&lt;390,"Pass","Fail"),"Fail"),"Fail"))</f>
        <v>Pass</v>
      </c>
      <c r="X115" s="383">
        <v>1159</v>
      </c>
      <c r="Y115" s="253" t="s">
        <v>197</v>
      </c>
      <c r="Z115" s="182"/>
      <c r="AA115" s="82">
        <v>270</v>
      </c>
      <c r="AB115" s="82">
        <v>370</v>
      </c>
      <c r="AC115" s="82">
        <v>300</v>
      </c>
      <c r="AD115" s="83">
        <v>390</v>
      </c>
      <c r="AE115" s="83">
        <v>20</v>
      </c>
      <c r="AF115" s="83">
        <v>14</v>
      </c>
    </row>
    <row r="116" spans="1:32" ht="15.6" x14ac:dyDescent="0.3">
      <c r="A116" s="221"/>
      <c r="B116" s="84"/>
      <c r="C116" s="84"/>
      <c r="D116" s="80" t="s">
        <v>187</v>
      </c>
      <c r="E116" s="81">
        <v>1729.27</v>
      </c>
      <c r="F116" s="81">
        <v>1777.67</v>
      </c>
      <c r="G116" s="81">
        <v>1755.3</v>
      </c>
      <c r="H116" s="81">
        <v>1743.92</v>
      </c>
      <c r="I116" s="81">
        <v>1753.55</v>
      </c>
      <c r="J116" s="81">
        <v>1750.88</v>
      </c>
      <c r="K116" s="81">
        <v>1681.85</v>
      </c>
      <c r="L116" s="81">
        <v>1695.66</v>
      </c>
      <c r="M116" s="81">
        <v>1757.57</v>
      </c>
      <c r="N116" s="81">
        <v>1761.41</v>
      </c>
      <c r="O116" s="81">
        <v>1775.71</v>
      </c>
      <c r="P116" s="81">
        <v>1778.68</v>
      </c>
      <c r="Q116" s="81">
        <v>1723.97</v>
      </c>
      <c r="R116" s="373"/>
      <c r="S116" s="373"/>
      <c r="T116" s="376"/>
      <c r="U116" s="376"/>
      <c r="V116" s="378"/>
      <c r="W116" s="381"/>
      <c r="X116" s="384"/>
      <c r="Y116" s="254"/>
      <c r="Z116" s="182"/>
      <c r="AA116" s="82"/>
      <c r="AB116" s="82"/>
      <c r="AC116" s="82"/>
      <c r="AD116" s="83"/>
      <c r="AE116" s="83"/>
      <c r="AF116" s="83"/>
    </row>
    <row r="117" spans="1:32" ht="30" x14ac:dyDescent="0.3">
      <c r="A117" s="221"/>
      <c r="B117" s="79"/>
      <c r="C117" s="79"/>
      <c r="D117" s="80" t="s">
        <v>188</v>
      </c>
      <c r="E117" s="85">
        <f t="shared" ref="E117:Q117" si="35">IF(((E115="")*AND(E116="")),"",(E115-E116))</f>
        <v>354.86000000000013</v>
      </c>
      <c r="F117" s="85">
        <f t="shared" si="35"/>
        <v>302.52999999999975</v>
      </c>
      <c r="G117" s="85">
        <f t="shared" si="35"/>
        <v>322.97000000000003</v>
      </c>
      <c r="H117" s="85">
        <f t="shared" si="35"/>
        <v>330.98</v>
      </c>
      <c r="I117" s="85">
        <f t="shared" si="35"/>
        <v>326.20000000000005</v>
      </c>
      <c r="J117" s="85">
        <f t="shared" si="35"/>
        <v>349.42000000000007</v>
      </c>
      <c r="K117" s="85">
        <f t="shared" si="35"/>
        <v>377.45000000000027</v>
      </c>
      <c r="L117" s="85">
        <f t="shared" si="35"/>
        <v>392.87999999999988</v>
      </c>
      <c r="M117" s="85">
        <f t="shared" si="35"/>
        <v>351.39999999999986</v>
      </c>
      <c r="N117" s="85">
        <f t="shared" si="35"/>
        <v>333.08999999999992</v>
      </c>
      <c r="O117" s="85">
        <f t="shared" si="35"/>
        <v>306.42000000000007</v>
      </c>
      <c r="P117" s="85">
        <f t="shared" si="35"/>
        <v>300.47000000000003</v>
      </c>
      <c r="Q117" s="85">
        <f t="shared" si="35"/>
        <v>349.6099999999999</v>
      </c>
      <c r="R117" s="374"/>
      <c r="S117" s="374"/>
      <c r="T117" s="377"/>
      <c r="U117" s="377"/>
      <c r="V117" s="379"/>
      <c r="W117" s="382"/>
      <c r="X117" s="385"/>
      <c r="Y117" s="255"/>
      <c r="Z117" s="182"/>
      <c r="AA117" s="82"/>
      <c r="AB117" s="82"/>
      <c r="AC117" s="82"/>
      <c r="AD117" s="82"/>
      <c r="AE117" s="86"/>
      <c r="AF117" s="82"/>
    </row>
    <row r="118" spans="1:32" ht="15" x14ac:dyDescent="0.25">
      <c r="A118" s="222">
        <v>43266</v>
      </c>
      <c r="B118" s="79" t="s">
        <v>235</v>
      </c>
      <c r="C118" s="79" t="s">
        <v>232</v>
      </c>
      <c r="D118" s="80" t="s">
        <v>186</v>
      </c>
      <c r="E118" s="81">
        <v>2885.29</v>
      </c>
      <c r="F118" s="81">
        <v>2821.21</v>
      </c>
      <c r="G118" s="81">
        <v>2784.9</v>
      </c>
      <c r="H118" s="81">
        <v>2768.3</v>
      </c>
      <c r="I118" s="81">
        <v>2773.74</v>
      </c>
      <c r="J118" s="81">
        <v>2798.65</v>
      </c>
      <c r="K118" s="81">
        <v>2843.86</v>
      </c>
      <c r="L118" s="81">
        <v>2889.19</v>
      </c>
      <c r="M118" s="81">
        <v>2823.89</v>
      </c>
      <c r="N118" s="81">
        <v>2783.82</v>
      </c>
      <c r="O118" s="81">
        <v>2774.24</v>
      </c>
      <c r="P118" s="81">
        <v>2797.37</v>
      </c>
      <c r="Q118" s="81">
        <v>2833.89</v>
      </c>
      <c r="R118" s="372">
        <f>IF((Q119=""),"",MAX(E120:Q120))</f>
        <v>373.80999999999995</v>
      </c>
      <c r="S118" s="372">
        <f>IF(Q119="","",MIN(E120:Q120))</f>
        <v>316.90000000000009</v>
      </c>
      <c r="T118" s="375">
        <f>IF((Q120=""),"",AVERAGE(E120:Q120))</f>
        <v>340.47384615384613</v>
      </c>
      <c r="U118" s="375">
        <f>IF((Q119=""),"",(R118-S118)/(R118+S118)*100)</f>
        <v>8.2393479173603765</v>
      </c>
      <c r="V118" s="375">
        <f>STDEV(E120:Q120)</f>
        <v>22.324235910202145</v>
      </c>
      <c r="W118" s="380" t="str">
        <f>IF(Q119="","",IF(T118&gt;300,IF(U118&lt;14,IF(T118&lt;390,"Pass","Fail"),"Fail"),"Fail"))</f>
        <v>Pass</v>
      </c>
      <c r="X118" s="383">
        <v>121</v>
      </c>
      <c r="Y118" s="389"/>
      <c r="Z118" s="182"/>
      <c r="AA118" s="82">
        <v>270</v>
      </c>
      <c r="AB118" s="82">
        <v>370</v>
      </c>
      <c r="AC118" s="82">
        <v>300</v>
      </c>
      <c r="AD118" s="83">
        <v>390</v>
      </c>
      <c r="AE118" s="83">
        <v>20</v>
      </c>
      <c r="AF118" s="83">
        <v>14</v>
      </c>
    </row>
    <row r="119" spans="1:32" ht="15.6" x14ac:dyDescent="0.3">
      <c r="A119" s="221"/>
      <c r="B119" s="84"/>
      <c r="C119" s="84"/>
      <c r="D119" s="80" t="s">
        <v>187</v>
      </c>
      <c r="E119" s="81">
        <v>2515.2600000000002</v>
      </c>
      <c r="F119" s="81">
        <v>2487.54</v>
      </c>
      <c r="G119" s="81">
        <v>2461.2800000000002</v>
      </c>
      <c r="H119" s="81">
        <v>2451.4</v>
      </c>
      <c r="I119" s="81">
        <v>2453.41</v>
      </c>
      <c r="J119" s="81">
        <v>2466.5100000000002</v>
      </c>
      <c r="K119" s="81">
        <v>2470.0500000000002</v>
      </c>
      <c r="L119" s="81">
        <v>2520.2399999999998</v>
      </c>
      <c r="M119" s="81">
        <v>2489.0700000000002</v>
      </c>
      <c r="N119" s="81">
        <v>2465.34</v>
      </c>
      <c r="O119" s="81">
        <v>2449.9299999999998</v>
      </c>
      <c r="P119" s="81">
        <v>2460.85</v>
      </c>
      <c r="Q119" s="81">
        <v>2461.31</v>
      </c>
      <c r="R119" s="373"/>
      <c r="S119" s="373"/>
      <c r="T119" s="376"/>
      <c r="U119" s="376"/>
      <c r="V119" s="378"/>
      <c r="W119" s="381"/>
      <c r="X119" s="384"/>
      <c r="Y119" s="390"/>
      <c r="Z119" s="182"/>
      <c r="AA119" s="82"/>
      <c r="AB119" s="82"/>
      <c r="AC119" s="82"/>
      <c r="AD119" s="83"/>
      <c r="AE119" s="83"/>
      <c r="AF119" s="83"/>
    </row>
    <row r="120" spans="1:32" ht="30" x14ac:dyDescent="0.3">
      <c r="A120" s="221"/>
      <c r="B120" s="79"/>
      <c r="C120" s="79"/>
      <c r="D120" s="80" t="s">
        <v>188</v>
      </c>
      <c r="E120" s="85">
        <f t="shared" ref="E120:Q120" si="36">IF(((E118="")*AND(E119="")),"",(E118-E119))</f>
        <v>370.02999999999975</v>
      </c>
      <c r="F120" s="85">
        <f t="shared" si="36"/>
        <v>333.67000000000007</v>
      </c>
      <c r="G120" s="85">
        <f t="shared" si="36"/>
        <v>323.61999999999989</v>
      </c>
      <c r="H120" s="85">
        <f t="shared" si="36"/>
        <v>316.90000000000009</v>
      </c>
      <c r="I120" s="85">
        <f t="shared" si="36"/>
        <v>320.32999999999993</v>
      </c>
      <c r="J120" s="85">
        <f t="shared" si="36"/>
        <v>332.13999999999987</v>
      </c>
      <c r="K120" s="85">
        <f t="shared" si="36"/>
        <v>373.80999999999995</v>
      </c>
      <c r="L120" s="85">
        <f t="shared" si="36"/>
        <v>368.95000000000027</v>
      </c>
      <c r="M120" s="85">
        <f t="shared" si="36"/>
        <v>334.81999999999971</v>
      </c>
      <c r="N120" s="85">
        <f t="shared" si="36"/>
        <v>318.48</v>
      </c>
      <c r="O120" s="85">
        <f t="shared" si="36"/>
        <v>324.30999999999995</v>
      </c>
      <c r="P120" s="85">
        <f t="shared" si="36"/>
        <v>336.52</v>
      </c>
      <c r="Q120" s="85">
        <f t="shared" si="36"/>
        <v>372.57999999999993</v>
      </c>
      <c r="R120" s="374"/>
      <c r="S120" s="374"/>
      <c r="T120" s="377"/>
      <c r="U120" s="377"/>
      <c r="V120" s="379"/>
      <c r="W120" s="382"/>
      <c r="X120" s="385"/>
      <c r="Y120" s="391"/>
      <c r="Z120" s="182"/>
      <c r="AA120" s="82"/>
      <c r="AB120" s="82"/>
      <c r="AC120" s="82"/>
      <c r="AD120" s="82"/>
      <c r="AE120" s="86"/>
      <c r="AF120" s="82"/>
    </row>
    <row r="121" spans="1:32" ht="15" x14ac:dyDescent="0.25">
      <c r="A121" s="222">
        <v>43270</v>
      </c>
      <c r="B121" s="79" t="s">
        <v>235</v>
      </c>
      <c r="C121" s="79" t="s">
        <v>232</v>
      </c>
      <c r="D121" s="80" t="s">
        <v>186</v>
      </c>
      <c r="E121" s="81">
        <v>2515.1999999999998</v>
      </c>
      <c r="F121" s="81">
        <v>2486.13</v>
      </c>
      <c r="G121" s="81">
        <v>2460.13</v>
      </c>
      <c r="H121" s="81">
        <v>2458.8200000000002</v>
      </c>
      <c r="I121" s="81">
        <v>2454.6</v>
      </c>
      <c r="J121" s="81">
        <v>2463.44</v>
      </c>
      <c r="K121" s="81">
        <v>2468.46</v>
      </c>
      <c r="L121" s="81">
        <v>2521.87</v>
      </c>
      <c r="M121" s="81">
        <v>2488.23</v>
      </c>
      <c r="N121" s="81">
        <v>2463.0300000000002</v>
      </c>
      <c r="O121" s="81">
        <v>2449.44</v>
      </c>
      <c r="P121" s="81">
        <v>2465.89</v>
      </c>
      <c r="Q121" s="81">
        <v>2459.34</v>
      </c>
      <c r="R121" s="372">
        <f>IF((Q122=""),"",MAX(E123:Q123))</f>
        <v>442.97000000000025</v>
      </c>
      <c r="S121" s="372">
        <f>IF(Q122="","",MIN(E123:Q123))</f>
        <v>380.07999999999993</v>
      </c>
      <c r="T121" s="375">
        <f>IF((Q123=""),"",AVERAGE(E123:Q123))</f>
        <v>403.62076923076927</v>
      </c>
      <c r="U121" s="375">
        <f>IF((Q122=""),"",(R121-S121)/(R121+S121)*100)</f>
        <v>7.6410910637264209</v>
      </c>
      <c r="V121" s="375">
        <f>STDEV(E123:Q123)</f>
        <v>21.801141201604775</v>
      </c>
      <c r="W121" s="380" t="str">
        <f>IF(Q122="","",IF(T121&gt;300,IF(U121&lt;14,IF(T121&lt;390,"Pass","Fail"),"Fail"),"Fail"))</f>
        <v>Fail</v>
      </c>
      <c r="X121" s="395">
        <v>1159</v>
      </c>
      <c r="Y121" s="389"/>
      <c r="Z121" s="182"/>
      <c r="AA121" s="82">
        <v>270</v>
      </c>
      <c r="AB121" s="82">
        <v>370</v>
      </c>
      <c r="AC121" s="82">
        <v>300</v>
      </c>
      <c r="AD121" s="83">
        <v>390</v>
      </c>
      <c r="AE121" s="83">
        <v>20</v>
      </c>
      <c r="AF121" s="83">
        <v>14</v>
      </c>
    </row>
    <row r="122" spans="1:32" ht="15.6" x14ac:dyDescent="0.3">
      <c r="A122" s="221"/>
      <c r="B122" s="84"/>
      <c r="C122" s="84"/>
      <c r="D122" s="80" t="s">
        <v>187</v>
      </c>
      <c r="E122" s="81">
        <v>2080.62</v>
      </c>
      <c r="F122" s="81">
        <v>2097.4899999999998</v>
      </c>
      <c r="G122" s="81">
        <v>2080.0500000000002</v>
      </c>
      <c r="H122" s="81">
        <v>2065.63</v>
      </c>
      <c r="I122" s="81">
        <v>2066.39</v>
      </c>
      <c r="J122" s="81">
        <v>2068.63</v>
      </c>
      <c r="K122" s="81">
        <v>2039.08</v>
      </c>
      <c r="L122" s="81">
        <v>2095.64</v>
      </c>
      <c r="M122" s="81">
        <v>2101.3000000000002</v>
      </c>
      <c r="N122" s="81">
        <v>2076.7600000000002</v>
      </c>
      <c r="O122" s="81">
        <v>2060.88</v>
      </c>
      <c r="P122" s="81">
        <v>2058.67</v>
      </c>
      <c r="Q122" s="81">
        <v>2016.37</v>
      </c>
      <c r="R122" s="373"/>
      <c r="S122" s="373"/>
      <c r="T122" s="376"/>
      <c r="U122" s="376"/>
      <c r="V122" s="378"/>
      <c r="W122" s="381"/>
      <c r="X122" s="384"/>
      <c r="Y122" s="390"/>
      <c r="Z122" s="182"/>
      <c r="AA122" s="82"/>
      <c r="AB122" s="82"/>
      <c r="AC122" s="82"/>
      <c r="AD122" s="83"/>
      <c r="AE122" s="83"/>
      <c r="AF122" s="83"/>
    </row>
    <row r="123" spans="1:32" ht="30" x14ac:dyDescent="0.3">
      <c r="A123" s="221"/>
      <c r="B123" s="79"/>
      <c r="C123" s="79"/>
      <c r="D123" s="80" t="s">
        <v>188</v>
      </c>
      <c r="E123" s="85">
        <f t="shared" ref="E123:Q123" si="37">IF(((E121="")*AND(E122="")),"",(E121-E122))</f>
        <v>434.57999999999993</v>
      </c>
      <c r="F123" s="85">
        <f t="shared" si="37"/>
        <v>388.64000000000033</v>
      </c>
      <c r="G123" s="85">
        <f t="shared" si="37"/>
        <v>380.07999999999993</v>
      </c>
      <c r="H123" s="85">
        <f t="shared" si="37"/>
        <v>393.19000000000005</v>
      </c>
      <c r="I123" s="85">
        <f t="shared" si="37"/>
        <v>388.21000000000004</v>
      </c>
      <c r="J123" s="85">
        <f t="shared" si="37"/>
        <v>394.80999999999995</v>
      </c>
      <c r="K123" s="85">
        <f t="shared" si="37"/>
        <v>429.38000000000011</v>
      </c>
      <c r="L123" s="85">
        <f t="shared" si="37"/>
        <v>426.23</v>
      </c>
      <c r="M123" s="85">
        <f t="shared" si="37"/>
        <v>386.92999999999984</v>
      </c>
      <c r="N123" s="85">
        <f t="shared" si="37"/>
        <v>386.27</v>
      </c>
      <c r="O123" s="85">
        <f t="shared" si="37"/>
        <v>388.55999999999995</v>
      </c>
      <c r="P123" s="85">
        <f t="shared" si="37"/>
        <v>407.2199999999998</v>
      </c>
      <c r="Q123" s="85">
        <f t="shared" si="37"/>
        <v>442.97000000000025</v>
      </c>
      <c r="R123" s="374"/>
      <c r="S123" s="374"/>
      <c r="T123" s="377"/>
      <c r="U123" s="377"/>
      <c r="V123" s="379"/>
      <c r="W123" s="382"/>
      <c r="X123" s="385"/>
      <c r="Y123" s="391"/>
      <c r="Z123" s="182"/>
      <c r="AA123" s="82"/>
      <c r="AB123" s="82"/>
      <c r="AC123" s="82"/>
      <c r="AD123" s="82"/>
      <c r="AE123" s="86"/>
      <c r="AF123" s="82"/>
    </row>
    <row r="124" spans="1:32" ht="15" x14ac:dyDescent="0.25">
      <c r="A124" s="222">
        <v>43270</v>
      </c>
      <c r="B124" s="79" t="s">
        <v>235</v>
      </c>
      <c r="C124" s="79" t="s">
        <v>232</v>
      </c>
      <c r="D124" s="80" t="s">
        <v>186</v>
      </c>
      <c r="E124" s="81">
        <v>2080.62</v>
      </c>
      <c r="F124" s="81">
        <v>2097.4899999999998</v>
      </c>
      <c r="G124" s="81">
        <v>2080.0500000000002</v>
      </c>
      <c r="H124" s="81">
        <v>2065.63</v>
      </c>
      <c r="I124" s="81">
        <v>2066.39</v>
      </c>
      <c r="J124" s="81">
        <v>2068.63</v>
      </c>
      <c r="K124" s="81">
        <v>2039.08</v>
      </c>
      <c r="L124" s="81">
        <v>2095.64</v>
      </c>
      <c r="M124" s="81">
        <v>2101.3000000000002</v>
      </c>
      <c r="N124" s="81">
        <v>2076.7600000000002</v>
      </c>
      <c r="O124" s="81">
        <v>2060.88</v>
      </c>
      <c r="P124" s="81">
        <v>2058.67</v>
      </c>
      <c r="Q124" s="81">
        <v>2016.37</v>
      </c>
      <c r="R124" s="372">
        <f>IF((Q125=""),"",MAX(E126:Q126))</f>
        <v>357.82999999999993</v>
      </c>
      <c r="S124" s="372">
        <f>IF(Q125="","",MIN(E126:Q126))</f>
        <v>274.1400000000001</v>
      </c>
      <c r="T124" s="375">
        <f>IF((Q126=""),"",AVERAGE(E126:Q126))</f>
        <v>308.73923076923074</v>
      </c>
      <c r="U124" s="375">
        <f>IF((Q125=""),"",(R124-S124)/(R124+S124)*100)</f>
        <v>13.242717217589414</v>
      </c>
      <c r="V124" s="375">
        <f>STDEV(E126:Q126)</f>
        <v>33.035353653709556</v>
      </c>
      <c r="W124" s="380" t="str">
        <f>IF(Q125="","",IF(T124&gt;300,IF(U124&lt;14,IF(T124&lt;390,"Pass","Fail"),"Fail"),"Fail"))</f>
        <v>Pass</v>
      </c>
      <c r="X124" s="383">
        <v>1159</v>
      </c>
      <c r="Y124" s="253" t="s">
        <v>198</v>
      </c>
      <c r="Z124" s="182"/>
      <c r="AA124" s="82">
        <v>270</v>
      </c>
      <c r="AB124" s="82">
        <v>370</v>
      </c>
      <c r="AC124" s="82">
        <v>300</v>
      </c>
      <c r="AD124" s="83">
        <v>390</v>
      </c>
      <c r="AE124" s="83">
        <v>20</v>
      </c>
      <c r="AF124" s="83">
        <v>14</v>
      </c>
    </row>
    <row r="125" spans="1:32" ht="15.6" x14ac:dyDescent="0.3">
      <c r="A125" s="221"/>
      <c r="B125" s="84"/>
      <c r="C125" s="84"/>
      <c r="D125" s="80" t="s">
        <v>187</v>
      </c>
      <c r="E125" s="81">
        <v>1724.1</v>
      </c>
      <c r="F125" s="81">
        <v>1790.48</v>
      </c>
      <c r="G125" s="81">
        <v>1793.12</v>
      </c>
      <c r="H125" s="81">
        <v>1786.55</v>
      </c>
      <c r="I125" s="81">
        <v>1786.94</v>
      </c>
      <c r="J125" s="81">
        <v>1767.45</v>
      </c>
      <c r="K125" s="81">
        <v>1681.25</v>
      </c>
      <c r="L125" s="81">
        <v>1737.95</v>
      </c>
      <c r="M125" s="81">
        <v>1799.59</v>
      </c>
      <c r="N125" s="81">
        <v>1790.69</v>
      </c>
      <c r="O125" s="81">
        <v>1786.74</v>
      </c>
      <c r="P125" s="81">
        <v>1776.79</v>
      </c>
      <c r="Q125" s="81">
        <v>1672.25</v>
      </c>
      <c r="R125" s="373"/>
      <c r="S125" s="373"/>
      <c r="T125" s="376"/>
      <c r="U125" s="376"/>
      <c r="V125" s="378"/>
      <c r="W125" s="381"/>
      <c r="X125" s="384"/>
      <c r="Y125" s="254"/>
      <c r="Z125" s="182"/>
      <c r="AA125" s="82"/>
      <c r="AB125" s="82"/>
      <c r="AC125" s="82"/>
      <c r="AD125" s="83"/>
      <c r="AE125" s="83"/>
      <c r="AF125" s="83"/>
    </row>
    <row r="126" spans="1:32" ht="30" x14ac:dyDescent="0.3">
      <c r="A126" s="221"/>
      <c r="B126" s="79"/>
      <c r="C126" s="79"/>
      <c r="D126" s="80" t="s">
        <v>188</v>
      </c>
      <c r="E126" s="85">
        <f t="shared" ref="E126:Q126" si="38">IF(((E124="")*AND(E125="")),"",(E124-E125))</f>
        <v>356.52</v>
      </c>
      <c r="F126" s="85">
        <f t="shared" si="38"/>
        <v>307.00999999999976</v>
      </c>
      <c r="G126" s="85">
        <f t="shared" si="38"/>
        <v>286.93000000000029</v>
      </c>
      <c r="H126" s="85">
        <f t="shared" si="38"/>
        <v>279.08000000000015</v>
      </c>
      <c r="I126" s="85">
        <f t="shared" si="38"/>
        <v>279.44999999999982</v>
      </c>
      <c r="J126" s="85">
        <f t="shared" si="38"/>
        <v>301.18000000000006</v>
      </c>
      <c r="K126" s="85">
        <f t="shared" si="38"/>
        <v>357.82999999999993</v>
      </c>
      <c r="L126" s="85">
        <f t="shared" si="38"/>
        <v>357.68999999999983</v>
      </c>
      <c r="M126" s="85">
        <f t="shared" si="38"/>
        <v>301.71000000000026</v>
      </c>
      <c r="N126" s="85">
        <f t="shared" si="38"/>
        <v>286.07000000000016</v>
      </c>
      <c r="O126" s="85">
        <f t="shared" si="38"/>
        <v>274.1400000000001</v>
      </c>
      <c r="P126" s="85">
        <f t="shared" si="38"/>
        <v>281.88000000000011</v>
      </c>
      <c r="Q126" s="85">
        <f t="shared" si="38"/>
        <v>344.11999999999989</v>
      </c>
      <c r="R126" s="374"/>
      <c r="S126" s="374"/>
      <c r="T126" s="377"/>
      <c r="U126" s="377"/>
      <c r="V126" s="379"/>
      <c r="W126" s="382"/>
      <c r="X126" s="385"/>
      <c r="Y126" s="255"/>
      <c r="Z126" s="182"/>
      <c r="AA126" s="82"/>
      <c r="AB126" s="82"/>
      <c r="AC126" s="82"/>
      <c r="AD126" s="82"/>
      <c r="AE126" s="86"/>
      <c r="AF126" s="82"/>
    </row>
    <row r="127" spans="1:32" ht="15" x14ac:dyDescent="0.25">
      <c r="A127" s="222">
        <v>43276</v>
      </c>
      <c r="B127" s="79" t="s">
        <v>235</v>
      </c>
      <c r="C127" s="79" t="s">
        <v>232</v>
      </c>
      <c r="D127" s="80" t="s">
        <v>186</v>
      </c>
      <c r="E127" s="81">
        <v>2522.98</v>
      </c>
      <c r="F127" s="81">
        <v>2497.3200000000002</v>
      </c>
      <c r="G127" s="81">
        <v>2468.0500000000002</v>
      </c>
      <c r="H127" s="81">
        <v>2452.9</v>
      </c>
      <c r="I127" s="81">
        <v>2453.2199999999998</v>
      </c>
      <c r="J127" s="81">
        <v>2466.06</v>
      </c>
      <c r="K127" s="81">
        <v>2462.7199999999998</v>
      </c>
      <c r="L127" s="81">
        <v>2473.17</v>
      </c>
      <c r="M127" s="81">
        <v>2469.08</v>
      </c>
      <c r="N127" s="81">
        <v>2454.84</v>
      </c>
      <c r="O127" s="81">
        <v>2465.39</v>
      </c>
      <c r="P127" s="81">
        <v>2493.4699999999998</v>
      </c>
      <c r="Q127" s="81">
        <v>2519.79</v>
      </c>
      <c r="R127" s="372">
        <f>IF((Q128=""),"",MAX(E129:Q129))</f>
        <v>408.21000000000004</v>
      </c>
      <c r="S127" s="372">
        <f>IF(Q128="","",MIN(E129:Q129))</f>
        <v>315.14000000000033</v>
      </c>
      <c r="T127" s="375">
        <f>IF((Q129=""),"",AVERAGE(E129:Q129))</f>
        <v>352.6938461538461</v>
      </c>
      <c r="U127" s="375">
        <f>IF((Q128=""),"",(R127-S127)/(R127+S127)*100)</f>
        <v>12.866523812815325</v>
      </c>
      <c r="V127" s="375">
        <f>STDEV(E129:Q129)</f>
        <v>31.862432042156225</v>
      </c>
      <c r="W127" s="380" t="str">
        <f>IF(Q128="","",IF(T127&gt;300,IF(U127&lt;14,IF(T127&lt;390,"Pass","Fail"),"Fail"),"Fail"))</f>
        <v>Pass</v>
      </c>
      <c r="X127" s="383">
        <v>1340</v>
      </c>
      <c r="Y127" s="253" t="s">
        <v>199</v>
      </c>
      <c r="Z127" s="182"/>
      <c r="AA127" s="82">
        <v>270</v>
      </c>
      <c r="AB127" s="82">
        <v>370</v>
      </c>
      <c r="AC127" s="82">
        <v>300</v>
      </c>
      <c r="AD127" s="83">
        <v>390</v>
      </c>
      <c r="AE127" s="83">
        <v>20</v>
      </c>
      <c r="AF127" s="83">
        <v>14</v>
      </c>
    </row>
    <row r="128" spans="1:32" ht="15.6" x14ac:dyDescent="0.3">
      <c r="A128" s="221"/>
      <c r="B128" s="84"/>
      <c r="C128" s="84"/>
      <c r="D128" s="80" t="s">
        <v>187</v>
      </c>
      <c r="E128" s="81">
        <v>2118.5300000000002</v>
      </c>
      <c r="F128" s="81">
        <v>2120.4299999999998</v>
      </c>
      <c r="G128" s="81">
        <v>2123.62</v>
      </c>
      <c r="H128" s="81">
        <v>2127.86</v>
      </c>
      <c r="I128" s="81">
        <v>2130.94</v>
      </c>
      <c r="J128" s="81">
        <v>2140.62</v>
      </c>
      <c r="K128" s="81">
        <v>2098.4299999999998</v>
      </c>
      <c r="L128" s="81">
        <v>2114.38</v>
      </c>
      <c r="M128" s="81">
        <v>2150.02</v>
      </c>
      <c r="N128" s="81">
        <v>2139.6999999999998</v>
      </c>
      <c r="O128" s="81">
        <v>2120.71</v>
      </c>
      <c r="P128" s="81">
        <v>2117.15</v>
      </c>
      <c r="Q128" s="81">
        <v>2111.58</v>
      </c>
      <c r="R128" s="373"/>
      <c r="S128" s="373"/>
      <c r="T128" s="376"/>
      <c r="U128" s="376"/>
      <c r="V128" s="378"/>
      <c r="W128" s="381"/>
      <c r="X128" s="384"/>
      <c r="Y128" s="254"/>
      <c r="Z128" s="182"/>
      <c r="AA128" s="82"/>
      <c r="AB128" s="82"/>
      <c r="AC128" s="82"/>
      <c r="AD128" s="83"/>
      <c r="AE128" s="83"/>
      <c r="AF128" s="83"/>
    </row>
    <row r="129" spans="1:32" ht="30" x14ac:dyDescent="0.3">
      <c r="A129" s="221"/>
      <c r="B129" s="79"/>
      <c r="C129" s="79"/>
      <c r="D129" s="80" t="s">
        <v>188</v>
      </c>
      <c r="E129" s="85">
        <f t="shared" ref="E129:Q129" si="39">IF(((E127="")*AND(E128="")),"",(E127-E128))</f>
        <v>404.44999999999982</v>
      </c>
      <c r="F129" s="85">
        <f t="shared" si="39"/>
        <v>376.89000000000033</v>
      </c>
      <c r="G129" s="85">
        <f t="shared" si="39"/>
        <v>344.43000000000029</v>
      </c>
      <c r="H129" s="85">
        <f t="shared" si="39"/>
        <v>325.03999999999996</v>
      </c>
      <c r="I129" s="85">
        <f t="shared" si="39"/>
        <v>322.27999999999975</v>
      </c>
      <c r="J129" s="85">
        <f t="shared" si="39"/>
        <v>325.44000000000005</v>
      </c>
      <c r="K129" s="85">
        <f t="shared" si="39"/>
        <v>364.28999999999996</v>
      </c>
      <c r="L129" s="85">
        <f t="shared" si="39"/>
        <v>358.78999999999996</v>
      </c>
      <c r="M129" s="85">
        <f t="shared" si="39"/>
        <v>319.05999999999995</v>
      </c>
      <c r="N129" s="85">
        <f t="shared" si="39"/>
        <v>315.14000000000033</v>
      </c>
      <c r="O129" s="85">
        <f t="shared" si="39"/>
        <v>344.67999999999984</v>
      </c>
      <c r="P129" s="85">
        <f t="shared" si="39"/>
        <v>376.31999999999971</v>
      </c>
      <c r="Q129" s="85">
        <f t="shared" si="39"/>
        <v>408.21000000000004</v>
      </c>
      <c r="R129" s="374"/>
      <c r="S129" s="374"/>
      <c r="T129" s="377"/>
      <c r="U129" s="377"/>
      <c r="V129" s="379"/>
      <c r="W129" s="382"/>
      <c r="X129" s="385"/>
      <c r="Y129" s="255"/>
      <c r="Z129" s="182"/>
      <c r="AA129" s="82"/>
      <c r="AB129" s="82"/>
      <c r="AC129" s="82"/>
      <c r="AD129" s="82"/>
      <c r="AE129" s="86"/>
      <c r="AF129" s="82"/>
    </row>
    <row r="130" spans="1:32" ht="15" x14ac:dyDescent="0.25">
      <c r="A130" s="222">
        <v>43279</v>
      </c>
      <c r="B130" s="79" t="s">
        <v>235</v>
      </c>
      <c r="C130" s="79" t="s">
        <v>232</v>
      </c>
      <c r="D130" s="80" t="s">
        <v>186</v>
      </c>
      <c r="E130" s="81">
        <v>2122.4899999999998</v>
      </c>
      <c r="F130" s="81">
        <v>2116.2800000000002</v>
      </c>
      <c r="G130" s="81">
        <v>2116.61</v>
      </c>
      <c r="H130" s="81">
        <v>2122.58</v>
      </c>
      <c r="I130" s="81">
        <v>2124.06</v>
      </c>
      <c r="J130" s="81">
        <v>2138.4499999999998</v>
      </c>
      <c r="K130" s="81">
        <v>2095.6</v>
      </c>
      <c r="L130" s="81">
        <v>2110.23</v>
      </c>
      <c r="M130" s="81">
        <v>2147.86</v>
      </c>
      <c r="N130" s="81">
        <v>2135.86</v>
      </c>
      <c r="O130" s="81">
        <v>2120.44</v>
      </c>
      <c r="P130" s="81">
        <v>2112.92</v>
      </c>
      <c r="Q130" s="81">
        <v>2106.9899999999998</v>
      </c>
      <c r="R130" s="372">
        <f>IF((Q131=""),"",MAX(E132:Q132))</f>
        <v>415.57999999999993</v>
      </c>
      <c r="S130" s="372">
        <f>IF(Q131="","",MIN(E132:Q132))</f>
        <v>314.98</v>
      </c>
      <c r="T130" s="375">
        <f>IF((Q132=""),"",AVERAGE(E132:Q132))</f>
        <v>354.23769230769233</v>
      </c>
      <c r="U130" s="375">
        <f>IF((Q131=""),"",(R130-S130)/(R130+S130)*100)</f>
        <v>13.770258431887855</v>
      </c>
      <c r="V130" s="375">
        <f>STDEV(E132:Q132)</f>
        <v>35.752295533258142</v>
      </c>
      <c r="W130" s="380" t="str">
        <f>IF(Q131="","",IF(T130&gt;300,IF(U130&lt;14,IF(T130&lt;390,"Pass","Fail"),"Fail"),"Fail"))</f>
        <v>Pass</v>
      </c>
      <c r="X130" s="383"/>
      <c r="Y130" s="389"/>
      <c r="Z130" s="182"/>
      <c r="AA130" s="82">
        <v>270</v>
      </c>
      <c r="AB130" s="82">
        <v>370</v>
      </c>
      <c r="AC130" s="82">
        <v>300</v>
      </c>
      <c r="AD130" s="83">
        <v>390</v>
      </c>
      <c r="AE130" s="83">
        <v>20</v>
      </c>
      <c r="AF130" s="83">
        <v>14</v>
      </c>
    </row>
    <row r="131" spans="1:32" ht="15.6" x14ac:dyDescent="0.3">
      <c r="A131" s="221"/>
      <c r="B131" s="84"/>
      <c r="C131" s="84"/>
      <c r="D131" s="80" t="s">
        <v>187</v>
      </c>
      <c r="E131" s="81">
        <v>1737.72</v>
      </c>
      <c r="F131" s="81">
        <v>1800.86</v>
      </c>
      <c r="G131" s="81">
        <v>1801.63</v>
      </c>
      <c r="H131" s="81">
        <v>1788.66</v>
      </c>
      <c r="I131" s="81">
        <v>1790.17</v>
      </c>
      <c r="J131" s="81">
        <v>1772.78</v>
      </c>
      <c r="K131" s="81">
        <v>1680.76</v>
      </c>
      <c r="L131" s="81">
        <v>1694.65</v>
      </c>
      <c r="M131" s="81">
        <v>1778.69</v>
      </c>
      <c r="N131" s="81">
        <v>1791.16</v>
      </c>
      <c r="O131" s="81">
        <v>1797.25</v>
      </c>
      <c r="P131" s="81">
        <v>1795.8</v>
      </c>
      <c r="Q131" s="81">
        <v>1735.15</v>
      </c>
      <c r="R131" s="373"/>
      <c r="S131" s="373"/>
      <c r="T131" s="376"/>
      <c r="U131" s="376"/>
      <c r="V131" s="378"/>
      <c r="W131" s="381"/>
      <c r="X131" s="384"/>
      <c r="Y131" s="390"/>
      <c r="Z131" s="182"/>
      <c r="AA131" s="82"/>
      <c r="AB131" s="82"/>
      <c r="AC131" s="82"/>
      <c r="AD131" s="83"/>
      <c r="AE131" s="83"/>
      <c r="AF131" s="83"/>
    </row>
    <row r="132" spans="1:32" ht="30" x14ac:dyDescent="0.3">
      <c r="A132" s="221"/>
      <c r="B132" s="79"/>
      <c r="C132" s="79"/>
      <c r="D132" s="80" t="s">
        <v>188</v>
      </c>
      <c r="E132" s="85">
        <f t="shared" ref="E132:Q132" si="40">IF(((E130="")*AND(E131="")),"",(E130-E131))</f>
        <v>384.76999999999975</v>
      </c>
      <c r="F132" s="85">
        <f t="shared" si="40"/>
        <v>315.4200000000003</v>
      </c>
      <c r="G132" s="85">
        <f t="shared" si="40"/>
        <v>314.98</v>
      </c>
      <c r="H132" s="85">
        <f t="shared" si="40"/>
        <v>333.91999999999985</v>
      </c>
      <c r="I132" s="85">
        <f t="shared" si="40"/>
        <v>333.88999999999987</v>
      </c>
      <c r="J132" s="85">
        <f t="shared" si="40"/>
        <v>365.66999999999985</v>
      </c>
      <c r="K132" s="85">
        <f t="shared" si="40"/>
        <v>414.83999999999992</v>
      </c>
      <c r="L132" s="85">
        <f t="shared" si="40"/>
        <v>415.57999999999993</v>
      </c>
      <c r="M132" s="85">
        <f t="shared" si="40"/>
        <v>369.17000000000007</v>
      </c>
      <c r="N132" s="85">
        <f t="shared" si="40"/>
        <v>344.70000000000005</v>
      </c>
      <c r="O132" s="85">
        <f t="shared" si="40"/>
        <v>323.19000000000005</v>
      </c>
      <c r="P132" s="85">
        <f t="shared" si="40"/>
        <v>317.12000000000012</v>
      </c>
      <c r="Q132" s="85">
        <f t="shared" si="40"/>
        <v>371.83999999999969</v>
      </c>
      <c r="R132" s="374"/>
      <c r="S132" s="374"/>
      <c r="T132" s="377"/>
      <c r="U132" s="377"/>
      <c r="V132" s="379"/>
      <c r="W132" s="382"/>
      <c r="X132" s="385"/>
      <c r="Y132" s="391"/>
      <c r="Z132" s="182"/>
      <c r="AA132" s="82"/>
      <c r="AB132" s="82"/>
      <c r="AC132" s="82"/>
      <c r="AD132" s="82"/>
      <c r="AE132" s="86"/>
      <c r="AF132" s="82"/>
    </row>
    <row r="133" spans="1:32" ht="15" x14ac:dyDescent="0.25">
      <c r="A133" s="222">
        <v>43283</v>
      </c>
      <c r="B133" s="79" t="s">
        <v>235</v>
      </c>
      <c r="C133" s="79" t="s">
        <v>232</v>
      </c>
      <c r="D133" s="80" t="s">
        <v>186</v>
      </c>
      <c r="E133" s="81">
        <v>1737.72</v>
      </c>
      <c r="F133" s="81">
        <v>1803.86</v>
      </c>
      <c r="G133" s="81">
        <v>1801.63</v>
      </c>
      <c r="H133" s="81">
        <v>1788.66</v>
      </c>
      <c r="I133" s="81">
        <v>1790.17</v>
      </c>
      <c r="J133" s="81">
        <v>1772.78</v>
      </c>
      <c r="K133" s="81">
        <v>1680.76</v>
      </c>
      <c r="L133" s="81">
        <v>1694.65</v>
      </c>
      <c r="M133" s="81">
        <v>1778.69</v>
      </c>
      <c r="N133" s="81">
        <v>1791.16</v>
      </c>
      <c r="O133" s="81">
        <v>1797.25</v>
      </c>
      <c r="P133" s="81">
        <v>1795.8</v>
      </c>
      <c r="Q133" s="81">
        <v>1735.15</v>
      </c>
      <c r="R133" s="372">
        <f>IF((Q134=""),"",MAX(E135:Q135))</f>
        <v>376.16000000000008</v>
      </c>
      <c r="S133" s="372">
        <f>IF(Q134="","",MIN(E135:Q135))</f>
        <v>314.49</v>
      </c>
      <c r="T133" s="375">
        <f>IF((Q135=""),"",AVERAGE(E135:Q135))</f>
        <v>337.55230769230764</v>
      </c>
      <c r="U133" s="375">
        <f>IF((Q134=""),"",(R133-S133)/(R133+S133)*100)</f>
        <v>8.9292695287048538</v>
      </c>
      <c r="V133" s="375">
        <f>STDEV(E135:Q135)</f>
        <v>21.73389831340516</v>
      </c>
      <c r="W133" s="380" t="str">
        <f>IF(Q134="","",IF(T133&gt;300,IF(U133&lt;14,IF(T133&lt;390,"Pass","Fail"),"Fail"),"Fail"))</f>
        <v>Pass</v>
      </c>
      <c r="X133" s="383">
        <v>1340</v>
      </c>
      <c r="Y133" s="389"/>
      <c r="Z133" s="182"/>
      <c r="AA133" s="82">
        <v>270</v>
      </c>
      <c r="AB133" s="82">
        <v>370</v>
      </c>
      <c r="AC133" s="82">
        <v>300</v>
      </c>
      <c r="AD133" s="83">
        <v>390</v>
      </c>
      <c r="AE133" s="83">
        <v>20</v>
      </c>
      <c r="AF133" s="83">
        <v>14</v>
      </c>
    </row>
    <row r="134" spans="1:32" ht="15.6" x14ac:dyDescent="0.3">
      <c r="A134" s="221"/>
      <c r="B134" s="84"/>
      <c r="C134" s="84"/>
      <c r="D134" s="80" t="s">
        <v>187</v>
      </c>
      <c r="E134" s="81">
        <v>1372.13</v>
      </c>
      <c r="F134" s="81">
        <v>1470.63</v>
      </c>
      <c r="G134" s="81">
        <v>1478.96</v>
      </c>
      <c r="H134" s="81">
        <v>1474.17</v>
      </c>
      <c r="I134" s="81">
        <v>1470.39</v>
      </c>
      <c r="J134" s="81">
        <v>1442.22</v>
      </c>
      <c r="K134" s="81">
        <v>1312.44</v>
      </c>
      <c r="L134" s="81">
        <v>1336</v>
      </c>
      <c r="M134" s="81">
        <v>1453.31</v>
      </c>
      <c r="N134" s="81">
        <v>1473.35</v>
      </c>
      <c r="O134" s="81">
        <v>1477.66</v>
      </c>
      <c r="P134" s="81">
        <v>1459.85</v>
      </c>
      <c r="Q134" s="81">
        <v>1358.99</v>
      </c>
      <c r="R134" s="373"/>
      <c r="S134" s="373"/>
      <c r="T134" s="376"/>
      <c r="U134" s="376"/>
      <c r="V134" s="378"/>
      <c r="W134" s="381"/>
      <c r="X134" s="384"/>
      <c r="Y134" s="390"/>
      <c r="Z134" s="182"/>
      <c r="AA134" s="82"/>
      <c r="AB134" s="82"/>
      <c r="AC134" s="82"/>
      <c r="AD134" s="83"/>
      <c r="AE134" s="83"/>
      <c r="AF134" s="83"/>
    </row>
    <row r="135" spans="1:32" ht="30" x14ac:dyDescent="0.3">
      <c r="A135" s="221"/>
      <c r="B135" s="79"/>
      <c r="C135" s="79"/>
      <c r="D135" s="80" t="s">
        <v>188</v>
      </c>
      <c r="E135" s="85">
        <f t="shared" ref="E135:Q135" si="41">IF(((E133="")*AND(E134="")),"",(E133-E134))</f>
        <v>365.58999999999992</v>
      </c>
      <c r="F135" s="85">
        <f t="shared" si="41"/>
        <v>333.22999999999979</v>
      </c>
      <c r="G135" s="85">
        <f t="shared" si="41"/>
        <v>322.67000000000007</v>
      </c>
      <c r="H135" s="85">
        <f t="shared" si="41"/>
        <v>314.49</v>
      </c>
      <c r="I135" s="85">
        <f t="shared" si="41"/>
        <v>319.77999999999997</v>
      </c>
      <c r="J135" s="85">
        <f t="shared" si="41"/>
        <v>330.55999999999995</v>
      </c>
      <c r="K135" s="85">
        <f t="shared" si="41"/>
        <v>368.31999999999994</v>
      </c>
      <c r="L135" s="85">
        <f t="shared" si="41"/>
        <v>358.65000000000009</v>
      </c>
      <c r="M135" s="85">
        <f t="shared" si="41"/>
        <v>325.38000000000011</v>
      </c>
      <c r="N135" s="85">
        <f t="shared" si="41"/>
        <v>317.81000000000017</v>
      </c>
      <c r="O135" s="85">
        <f t="shared" si="41"/>
        <v>319.58999999999992</v>
      </c>
      <c r="P135" s="85">
        <f t="shared" si="41"/>
        <v>335.95000000000005</v>
      </c>
      <c r="Q135" s="85">
        <f t="shared" si="41"/>
        <v>376.16000000000008</v>
      </c>
      <c r="R135" s="374"/>
      <c r="S135" s="374"/>
      <c r="T135" s="377"/>
      <c r="U135" s="377"/>
      <c r="V135" s="379"/>
      <c r="W135" s="382"/>
      <c r="X135" s="385"/>
      <c r="Y135" s="391"/>
      <c r="Z135" s="182"/>
      <c r="AA135" s="82"/>
      <c r="AB135" s="82"/>
      <c r="AC135" s="82"/>
      <c r="AD135" s="82"/>
      <c r="AE135" s="86"/>
      <c r="AF135" s="82"/>
    </row>
    <row r="136" spans="1:32" ht="15" x14ac:dyDescent="0.25">
      <c r="A136" s="222">
        <v>43286</v>
      </c>
      <c r="B136" s="79" t="s">
        <v>235</v>
      </c>
      <c r="C136" s="79" t="s">
        <v>232</v>
      </c>
      <c r="D136" s="80" t="s">
        <v>186</v>
      </c>
      <c r="E136" s="81">
        <v>2042.65</v>
      </c>
      <c r="F136" s="81">
        <v>2060.89</v>
      </c>
      <c r="G136" s="81">
        <v>2079.14</v>
      </c>
      <c r="H136" s="81">
        <v>2084.1799999999998</v>
      </c>
      <c r="I136" s="81">
        <v>2100.1999999999998</v>
      </c>
      <c r="J136" s="81">
        <v>2120.16</v>
      </c>
      <c r="K136" s="81">
        <v>2128.91</v>
      </c>
      <c r="L136" s="81">
        <v>2130.4499999999998</v>
      </c>
      <c r="M136" s="81">
        <v>2125.1999999999998</v>
      </c>
      <c r="N136" s="81">
        <v>2109.46</v>
      </c>
      <c r="O136" s="81">
        <v>2082.06</v>
      </c>
      <c r="P136" s="81">
        <v>2067.9299999999998</v>
      </c>
      <c r="Q136" s="81">
        <v>2059.11</v>
      </c>
      <c r="R136" s="372">
        <f>IF((Q137=""),"",MAX(E138:Q138))</f>
        <v>382.06999999999971</v>
      </c>
      <c r="S136" s="372">
        <f>IF(Q137="","",MIN(E138:Q138))</f>
        <v>312.34999999999991</v>
      </c>
      <c r="T136" s="375">
        <f>IF((Q138=""),"",AVERAGE(E138:Q138))</f>
        <v>339.17923076923063</v>
      </c>
      <c r="U136" s="375">
        <f>IF((Q137=""),"",(R136-S136)/(R136+S136)*100)</f>
        <v>10.04003340917598</v>
      </c>
      <c r="V136" s="375">
        <f>STDEV(E138:Q138)</f>
        <v>23.65144056977589</v>
      </c>
      <c r="W136" s="380" t="str">
        <f>IF(Q137="","",IF(T136&gt;300,IF(U136&lt;14,IF(T136&lt;390,"Pass","Fail"),"Fail"),"Fail"))</f>
        <v>Pass</v>
      </c>
      <c r="X136" s="383">
        <v>121</v>
      </c>
      <c r="Y136" s="389"/>
      <c r="Z136" s="182"/>
      <c r="AA136" s="82">
        <v>270</v>
      </c>
      <c r="AB136" s="82">
        <v>370</v>
      </c>
      <c r="AC136" s="82">
        <v>300</v>
      </c>
      <c r="AD136" s="83">
        <v>390</v>
      </c>
      <c r="AE136" s="83">
        <v>20</v>
      </c>
      <c r="AF136" s="83">
        <v>14</v>
      </c>
    </row>
    <row r="137" spans="1:32" ht="15.6" x14ac:dyDescent="0.3">
      <c r="A137" s="221"/>
      <c r="B137" s="84"/>
      <c r="C137" s="84"/>
      <c r="D137" s="80" t="s">
        <v>187</v>
      </c>
      <c r="E137" s="81">
        <v>1690.6</v>
      </c>
      <c r="F137" s="81">
        <v>1744.05</v>
      </c>
      <c r="G137" s="81">
        <v>1763.54</v>
      </c>
      <c r="H137" s="81">
        <v>1771.83</v>
      </c>
      <c r="I137" s="81">
        <v>1778.22</v>
      </c>
      <c r="J137" s="81">
        <v>1774.49</v>
      </c>
      <c r="K137" s="81">
        <v>1755.47</v>
      </c>
      <c r="L137" s="81">
        <v>1748.38</v>
      </c>
      <c r="M137" s="81">
        <v>1776.47</v>
      </c>
      <c r="N137" s="81">
        <v>1776.09</v>
      </c>
      <c r="O137" s="81">
        <v>1765.67</v>
      </c>
      <c r="P137" s="81">
        <v>1741.2</v>
      </c>
      <c r="Q137" s="81">
        <v>1695</v>
      </c>
      <c r="R137" s="373"/>
      <c r="S137" s="373"/>
      <c r="T137" s="376"/>
      <c r="U137" s="376"/>
      <c r="V137" s="378"/>
      <c r="W137" s="381"/>
      <c r="X137" s="384"/>
      <c r="Y137" s="390"/>
      <c r="Z137" s="182"/>
      <c r="AA137" s="82"/>
      <c r="AB137" s="82"/>
      <c r="AC137" s="82"/>
      <c r="AD137" s="83"/>
      <c r="AE137" s="83"/>
      <c r="AF137" s="83"/>
    </row>
    <row r="138" spans="1:32" ht="30" x14ac:dyDescent="0.3">
      <c r="A138" s="221"/>
      <c r="B138" s="79"/>
      <c r="C138" s="79"/>
      <c r="D138" s="80" t="s">
        <v>188</v>
      </c>
      <c r="E138" s="85">
        <f t="shared" ref="E138:Q138" si="42">IF(((E136="")*AND(E137="")),"",(E136-E137))</f>
        <v>352.05000000000018</v>
      </c>
      <c r="F138" s="85">
        <f t="shared" si="42"/>
        <v>316.83999999999992</v>
      </c>
      <c r="G138" s="85">
        <f t="shared" si="42"/>
        <v>315.59999999999991</v>
      </c>
      <c r="H138" s="85">
        <f t="shared" si="42"/>
        <v>312.34999999999991</v>
      </c>
      <c r="I138" s="85">
        <f t="shared" si="42"/>
        <v>321.97999999999979</v>
      </c>
      <c r="J138" s="85">
        <f t="shared" si="42"/>
        <v>345.66999999999985</v>
      </c>
      <c r="K138" s="85">
        <f t="shared" si="42"/>
        <v>373.43999999999983</v>
      </c>
      <c r="L138" s="85">
        <f t="shared" si="42"/>
        <v>382.06999999999971</v>
      </c>
      <c r="M138" s="85">
        <f t="shared" si="42"/>
        <v>348.72999999999979</v>
      </c>
      <c r="N138" s="85">
        <f t="shared" si="42"/>
        <v>333.37000000000012</v>
      </c>
      <c r="O138" s="85">
        <f t="shared" si="42"/>
        <v>316.38999999999987</v>
      </c>
      <c r="P138" s="85">
        <f t="shared" si="42"/>
        <v>326.72999999999979</v>
      </c>
      <c r="Q138" s="85">
        <f t="shared" si="42"/>
        <v>364.11000000000013</v>
      </c>
      <c r="R138" s="374"/>
      <c r="S138" s="374"/>
      <c r="T138" s="377"/>
      <c r="U138" s="377"/>
      <c r="V138" s="379"/>
      <c r="W138" s="382"/>
      <c r="X138" s="385"/>
      <c r="Y138" s="391"/>
      <c r="Z138" s="182"/>
      <c r="AA138" s="82"/>
      <c r="AB138" s="82"/>
      <c r="AC138" s="82"/>
      <c r="AD138" s="82"/>
      <c r="AE138" s="86"/>
      <c r="AF138" s="82"/>
    </row>
    <row r="139" spans="1:32" ht="15" x14ac:dyDescent="0.25">
      <c r="A139" s="222">
        <v>43289</v>
      </c>
      <c r="B139" s="79" t="s">
        <v>235</v>
      </c>
      <c r="C139" s="79" t="s">
        <v>232</v>
      </c>
      <c r="D139" s="80" t="s">
        <v>186</v>
      </c>
      <c r="E139" s="81">
        <v>1685.39</v>
      </c>
      <c r="F139" s="81">
        <v>1739.22</v>
      </c>
      <c r="G139" s="81">
        <v>1738.01</v>
      </c>
      <c r="H139" s="81">
        <v>1757.85</v>
      </c>
      <c r="I139" s="81">
        <v>1777.94</v>
      </c>
      <c r="J139" s="81">
        <v>1772.33</v>
      </c>
      <c r="K139" s="81">
        <v>1757.42</v>
      </c>
      <c r="L139" s="81">
        <v>1739.91</v>
      </c>
      <c r="M139" s="81">
        <v>1771.07</v>
      </c>
      <c r="N139" s="81">
        <v>1769.13</v>
      </c>
      <c r="O139" s="81">
        <v>1750.53</v>
      </c>
      <c r="P139" s="81">
        <v>1742.91</v>
      </c>
      <c r="Q139" s="81">
        <v>1703.37</v>
      </c>
      <c r="R139" s="372">
        <f>IF((Q140=""),"",MAX(E141:Q141))</f>
        <v>367.37999999999988</v>
      </c>
      <c r="S139" s="372">
        <f>IF(Q140="","",MIN(E141:Q141))</f>
        <v>289.73</v>
      </c>
      <c r="T139" s="375">
        <f>IF((Q141=""),"",AVERAGE(E141:Q141))</f>
        <v>325.65076923076924</v>
      </c>
      <c r="U139" s="375">
        <f>IF((Q140=""),"",(R139-S139)/(R139+S139)*100)</f>
        <v>11.816895192585697</v>
      </c>
      <c r="V139" s="375">
        <f>STDEV(E141:Q141)</f>
        <v>28.451063677110142</v>
      </c>
      <c r="W139" s="380" t="str">
        <f>IF(Q140="","",IF(T139&gt;300,IF(U139&lt;14,IF(T139&lt;390,"Pass","Fail"),"Fail"),"Fail"))</f>
        <v>Pass</v>
      </c>
      <c r="X139" s="383">
        <v>1428</v>
      </c>
      <c r="Y139" s="253" t="s">
        <v>239</v>
      </c>
      <c r="Z139" s="182"/>
      <c r="AA139" s="82">
        <v>270</v>
      </c>
      <c r="AB139" s="82">
        <v>370</v>
      </c>
      <c r="AC139" s="82">
        <v>300</v>
      </c>
      <c r="AD139" s="83">
        <v>390</v>
      </c>
      <c r="AE139" s="83">
        <v>20</v>
      </c>
      <c r="AF139" s="83">
        <v>14</v>
      </c>
    </row>
    <row r="140" spans="1:32" ht="15.6" x14ac:dyDescent="0.3">
      <c r="A140" s="221"/>
      <c r="B140" s="84"/>
      <c r="C140" s="84"/>
      <c r="D140" s="80" t="s">
        <v>187</v>
      </c>
      <c r="E140" s="81">
        <v>1320.07</v>
      </c>
      <c r="F140" s="81">
        <v>1418.13</v>
      </c>
      <c r="G140" s="81">
        <v>1448.28</v>
      </c>
      <c r="H140" s="81">
        <v>1458.22</v>
      </c>
      <c r="I140" s="81">
        <v>1467.12</v>
      </c>
      <c r="J140" s="81">
        <v>1452.35</v>
      </c>
      <c r="K140" s="81">
        <v>1395.61</v>
      </c>
      <c r="L140" s="81">
        <v>1382.69</v>
      </c>
      <c r="M140" s="81">
        <v>1452.05</v>
      </c>
      <c r="N140" s="81">
        <v>1466.2</v>
      </c>
      <c r="O140" s="81">
        <v>1460.72</v>
      </c>
      <c r="P140" s="81">
        <v>1414.19</v>
      </c>
      <c r="Q140" s="81">
        <v>1335.99</v>
      </c>
      <c r="R140" s="373"/>
      <c r="S140" s="373"/>
      <c r="T140" s="376"/>
      <c r="U140" s="376"/>
      <c r="V140" s="378"/>
      <c r="W140" s="381"/>
      <c r="X140" s="384"/>
      <c r="Y140" s="254"/>
      <c r="Z140" s="182"/>
      <c r="AA140" s="82"/>
      <c r="AB140" s="82"/>
      <c r="AC140" s="82"/>
      <c r="AD140" s="83"/>
      <c r="AE140" s="83"/>
      <c r="AF140" s="83"/>
    </row>
    <row r="141" spans="1:32" ht="30" x14ac:dyDescent="0.3">
      <c r="A141" s="221"/>
      <c r="B141" s="79"/>
      <c r="C141" s="79"/>
      <c r="D141" s="80" t="s">
        <v>188</v>
      </c>
      <c r="E141" s="85">
        <f t="shared" ref="E141:Q141" si="43">IF(((E139="")*AND(E140="")),"",(E139-E140))</f>
        <v>365.32000000000016</v>
      </c>
      <c r="F141" s="85">
        <f t="shared" si="43"/>
        <v>321.08999999999992</v>
      </c>
      <c r="G141" s="85">
        <f t="shared" si="43"/>
        <v>289.73</v>
      </c>
      <c r="H141" s="85">
        <f t="shared" si="43"/>
        <v>299.62999999999988</v>
      </c>
      <c r="I141" s="85">
        <f t="shared" si="43"/>
        <v>310.82000000000016</v>
      </c>
      <c r="J141" s="85">
        <f t="shared" si="43"/>
        <v>319.98</v>
      </c>
      <c r="K141" s="85">
        <f t="shared" si="43"/>
        <v>361.81000000000017</v>
      </c>
      <c r="L141" s="85">
        <f t="shared" si="43"/>
        <v>357.22</v>
      </c>
      <c r="M141" s="85">
        <f t="shared" si="43"/>
        <v>319.02</v>
      </c>
      <c r="N141" s="85">
        <f t="shared" si="43"/>
        <v>302.93000000000006</v>
      </c>
      <c r="O141" s="85">
        <f t="shared" si="43"/>
        <v>289.80999999999995</v>
      </c>
      <c r="P141" s="85">
        <f t="shared" si="43"/>
        <v>328.72</v>
      </c>
      <c r="Q141" s="85">
        <f t="shared" si="43"/>
        <v>367.37999999999988</v>
      </c>
      <c r="R141" s="374"/>
      <c r="S141" s="374"/>
      <c r="T141" s="377"/>
      <c r="U141" s="377"/>
      <c r="V141" s="379"/>
      <c r="W141" s="382"/>
      <c r="X141" s="385"/>
      <c r="Y141" s="255"/>
      <c r="Z141" s="182"/>
      <c r="AA141" s="82"/>
      <c r="AB141" s="82"/>
      <c r="AC141" s="82"/>
      <c r="AD141" s="82"/>
      <c r="AE141" s="86"/>
      <c r="AF141" s="82"/>
    </row>
    <row r="142" spans="1:32" ht="15" x14ac:dyDescent="0.25">
      <c r="A142" s="222">
        <v>43292</v>
      </c>
      <c r="B142" s="79" t="s">
        <v>235</v>
      </c>
      <c r="C142" s="79" t="s">
        <v>232</v>
      </c>
      <c r="D142" s="80" t="s">
        <v>186</v>
      </c>
      <c r="E142" s="81">
        <v>1860.54</v>
      </c>
      <c r="F142" s="81">
        <v>1770.45</v>
      </c>
      <c r="G142" s="81">
        <v>1738.25</v>
      </c>
      <c r="H142" s="81">
        <v>1727.16</v>
      </c>
      <c r="I142" s="81">
        <v>1728.07</v>
      </c>
      <c r="J142" s="81">
        <v>1759.92</v>
      </c>
      <c r="K142" s="81">
        <v>1865.76</v>
      </c>
      <c r="L142" s="81">
        <v>1836.16</v>
      </c>
      <c r="M142" s="81">
        <v>1750.02</v>
      </c>
      <c r="N142" s="81">
        <v>1725.85</v>
      </c>
      <c r="O142" s="81">
        <v>1746.88</v>
      </c>
      <c r="P142" s="81">
        <v>1797.9</v>
      </c>
      <c r="Q142" s="81">
        <v>1920.09</v>
      </c>
      <c r="R142" s="372">
        <f>IF((Q143=""),"",MAX(E144:Q144))</f>
        <v>356.23</v>
      </c>
      <c r="S142" s="372">
        <f>IF(Q143="","",MIN(E144:Q144))</f>
        <v>310.30000000000018</v>
      </c>
      <c r="T142" s="375">
        <f>IF((Q144=""),"",AVERAGE(E144:Q144))</f>
        <v>328.53230769230771</v>
      </c>
      <c r="U142" s="375">
        <f>IF((Q143=""),"",(R142-S142)/(R142+S142)*100)</f>
        <v>6.8909126370905769</v>
      </c>
      <c r="V142" s="375">
        <f>STDEV(E144:Q144)</f>
        <v>15.347452640881571</v>
      </c>
      <c r="W142" s="380" t="str">
        <f>IF(Q143="","",IF(T142&gt;300,IF(U142&lt;14,IF(T142&lt;390,"Pass","Fail"),"Fail"),"Fail"))</f>
        <v>Pass</v>
      </c>
      <c r="X142" s="383">
        <v>1335</v>
      </c>
      <c r="Y142" s="389"/>
      <c r="Z142" s="182"/>
      <c r="AA142" s="82">
        <v>270</v>
      </c>
      <c r="AB142" s="82">
        <v>370</v>
      </c>
      <c r="AC142" s="82">
        <v>300</v>
      </c>
      <c r="AD142" s="83">
        <v>390</v>
      </c>
      <c r="AE142" s="83">
        <v>20</v>
      </c>
      <c r="AF142" s="83">
        <v>14</v>
      </c>
    </row>
    <row r="143" spans="1:32" ht="15.6" x14ac:dyDescent="0.3">
      <c r="A143" s="221"/>
      <c r="B143" s="84"/>
      <c r="C143" s="84"/>
      <c r="D143" s="80" t="s">
        <v>187</v>
      </c>
      <c r="E143" s="81">
        <v>1504.31</v>
      </c>
      <c r="F143" s="81">
        <v>1443.17</v>
      </c>
      <c r="G143" s="81">
        <v>1424.25</v>
      </c>
      <c r="H143" s="81">
        <v>1416.86</v>
      </c>
      <c r="I143" s="81">
        <v>1414.72</v>
      </c>
      <c r="J143" s="81">
        <v>1432.39</v>
      </c>
      <c r="K143" s="81">
        <v>1519.71</v>
      </c>
      <c r="L143" s="81">
        <v>1485.35</v>
      </c>
      <c r="M143" s="81">
        <v>1424.36</v>
      </c>
      <c r="N143" s="81">
        <v>1412.48</v>
      </c>
      <c r="O143" s="81">
        <v>1429.79</v>
      </c>
      <c r="P143" s="81">
        <v>1467.53</v>
      </c>
      <c r="Q143" s="81">
        <v>1581.21</v>
      </c>
      <c r="R143" s="373"/>
      <c r="S143" s="373"/>
      <c r="T143" s="376"/>
      <c r="U143" s="376"/>
      <c r="V143" s="378"/>
      <c r="W143" s="381"/>
      <c r="X143" s="384"/>
      <c r="Y143" s="390"/>
      <c r="Z143" s="182"/>
      <c r="AA143" s="82"/>
      <c r="AB143" s="82"/>
      <c r="AC143" s="82"/>
      <c r="AD143" s="83"/>
      <c r="AE143" s="83"/>
      <c r="AF143" s="83"/>
    </row>
    <row r="144" spans="1:32" ht="30" x14ac:dyDescent="0.3">
      <c r="A144" s="221"/>
      <c r="B144" s="79"/>
      <c r="C144" s="79"/>
      <c r="D144" s="80" t="s">
        <v>188</v>
      </c>
      <c r="E144" s="85">
        <f t="shared" ref="E144:Q144" si="44">IF(((E142="")*AND(E143="")),"",(E142-E143))</f>
        <v>356.23</v>
      </c>
      <c r="F144" s="85">
        <f t="shared" si="44"/>
        <v>327.27999999999997</v>
      </c>
      <c r="G144" s="85">
        <f t="shared" si="44"/>
        <v>314</v>
      </c>
      <c r="H144" s="85">
        <f t="shared" si="44"/>
        <v>310.30000000000018</v>
      </c>
      <c r="I144" s="85">
        <f t="shared" si="44"/>
        <v>313.34999999999991</v>
      </c>
      <c r="J144" s="85">
        <f t="shared" si="44"/>
        <v>327.52999999999997</v>
      </c>
      <c r="K144" s="85">
        <f t="shared" si="44"/>
        <v>346.04999999999995</v>
      </c>
      <c r="L144" s="85">
        <f t="shared" si="44"/>
        <v>350.81000000000017</v>
      </c>
      <c r="M144" s="85">
        <f t="shared" si="44"/>
        <v>325.66000000000008</v>
      </c>
      <c r="N144" s="85">
        <f t="shared" si="44"/>
        <v>313.36999999999989</v>
      </c>
      <c r="O144" s="85">
        <f t="shared" si="44"/>
        <v>317.09000000000015</v>
      </c>
      <c r="P144" s="85">
        <f t="shared" si="44"/>
        <v>330.37000000000012</v>
      </c>
      <c r="Q144" s="85">
        <f t="shared" si="44"/>
        <v>338.87999999999988</v>
      </c>
      <c r="R144" s="374"/>
      <c r="S144" s="374"/>
      <c r="T144" s="377"/>
      <c r="U144" s="377"/>
      <c r="V144" s="379"/>
      <c r="W144" s="382"/>
      <c r="X144" s="385"/>
      <c r="Y144" s="391"/>
      <c r="Z144" s="182"/>
      <c r="AA144" s="82"/>
      <c r="AB144" s="82"/>
      <c r="AC144" s="82"/>
      <c r="AD144" s="82"/>
      <c r="AE144" s="86"/>
      <c r="AF144" s="82"/>
    </row>
    <row r="145" spans="1:32" ht="15" x14ac:dyDescent="0.25">
      <c r="A145" s="222">
        <v>43296</v>
      </c>
      <c r="B145" s="79" t="s">
        <v>235</v>
      </c>
      <c r="C145" s="79" t="s">
        <v>232</v>
      </c>
      <c r="D145" s="80" t="s">
        <v>186</v>
      </c>
      <c r="E145" s="81">
        <v>2881.64</v>
      </c>
      <c r="F145" s="81">
        <v>2831.34</v>
      </c>
      <c r="G145" s="81">
        <v>2801.47</v>
      </c>
      <c r="H145" s="81">
        <v>2793.02</v>
      </c>
      <c r="I145" s="81">
        <v>2801</v>
      </c>
      <c r="J145" s="81">
        <v>2822.23</v>
      </c>
      <c r="K145" s="81">
        <v>2865.81</v>
      </c>
      <c r="L145" s="81">
        <v>2879.68</v>
      </c>
      <c r="M145" s="81">
        <v>2822.68</v>
      </c>
      <c r="N145" s="81">
        <v>2793.38</v>
      </c>
      <c r="O145" s="81">
        <v>2815.14</v>
      </c>
      <c r="P145" s="81">
        <v>2856.31</v>
      </c>
      <c r="Q145" s="81">
        <v>2935.58</v>
      </c>
      <c r="R145" s="372">
        <f>IF((Q146=""),"",MAX(E147:Q147))</f>
        <v>377.88000000000011</v>
      </c>
      <c r="S145" s="372">
        <f>IF(Q146="","",MIN(E147:Q147))</f>
        <v>316.14000000000033</v>
      </c>
      <c r="T145" s="375">
        <f>IF((Q147=""),"",AVERAGE(E147:Q147))</f>
        <v>338.86230769230764</v>
      </c>
      <c r="U145" s="375">
        <f>IF((Q146=""),"",(R145-S145)/(R145+S145)*100)</f>
        <v>8.8959972335090836</v>
      </c>
      <c r="V145" s="375">
        <f>STDEV(E147:Q147)</f>
        <v>23.794503270659735</v>
      </c>
      <c r="W145" s="380" t="str">
        <f>IF(Q146="","",IF(T145&gt;300,IF(U145&lt;14,IF(T145&lt;390,"Pass","Fail"),"Fail"),"Fail"))</f>
        <v>Pass</v>
      </c>
      <c r="X145" s="383">
        <v>1335</v>
      </c>
      <c r="Y145" s="389"/>
      <c r="Z145" s="182"/>
      <c r="AA145" s="82">
        <v>270</v>
      </c>
      <c r="AB145" s="82">
        <v>370</v>
      </c>
      <c r="AC145" s="82">
        <v>300</v>
      </c>
      <c r="AD145" s="83">
        <v>390</v>
      </c>
      <c r="AE145" s="83">
        <v>20</v>
      </c>
      <c r="AF145" s="83">
        <v>14</v>
      </c>
    </row>
    <row r="146" spans="1:32" ht="15.6" x14ac:dyDescent="0.3">
      <c r="A146" s="221"/>
      <c r="B146" s="84"/>
      <c r="C146" s="84"/>
      <c r="D146" s="80" t="s">
        <v>187</v>
      </c>
      <c r="E146" s="81">
        <v>2510.17</v>
      </c>
      <c r="F146" s="81">
        <v>2499.92</v>
      </c>
      <c r="G146" s="81">
        <v>2483.13</v>
      </c>
      <c r="H146" s="81">
        <v>2475.37</v>
      </c>
      <c r="I146" s="81">
        <v>2478.62</v>
      </c>
      <c r="J146" s="81">
        <v>2494.63</v>
      </c>
      <c r="K146" s="81">
        <v>2494.9499999999998</v>
      </c>
      <c r="L146" s="81">
        <v>2510.7399999999998</v>
      </c>
      <c r="M146" s="81">
        <v>2491.8200000000002</v>
      </c>
      <c r="N146" s="81">
        <v>2477.2399999999998</v>
      </c>
      <c r="O146" s="81">
        <v>2493.5</v>
      </c>
      <c r="P146" s="81">
        <v>2526.2800000000002</v>
      </c>
      <c r="Q146" s="81">
        <v>2557.6999999999998</v>
      </c>
      <c r="R146" s="373"/>
      <c r="S146" s="373"/>
      <c r="T146" s="376"/>
      <c r="U146" s="376"/>
      <c r="V146" s="378"/>
      <c r="W146" s="381"/>
      <c r="X146" s="384"/>
      <c r="Y146" s="390"/>
      <c r="Z146" s="182"/>
      <c r="AA146" s="82"/>
      <c r="AB146" s="82"/>
      <c r="AC146" s="82"/>
      <c r="AD146" s="83"/>
      <c r="AE146" s="83"/>
      <c r="AF146" s="83"/>
    </row>
    <row r="147" spans="1:32" ht="30" x14ac:dyDescent="0.3">
      <c r="A147" s="221"/>
      <c r="B147" s="79"/>
      <c r="C147" s="79"/>
      <c r="D147" s="80" t="s">
        <v>188</v>
      </c>
      <c r="E147" s="85">
        <f t="shared" ref="E147:Q147" si="45">IF(((E145="")*AND(E146="")),"",(E145-E146))</f>
        <v>371.4699999999998</v>
      </c>
      <c r="F147" s="85">
        <f t="shared" si="45"/>
        <v>331.42000000000007</v>
      </c>
      <c r="G147" s="85">
        <f t="shared" si="45"/>
        <v>318.33999999999969</v>
      </c>
      <c r="H147" s="85">
        <f t="shared" si="45"/>
        <v>317.65000000000009</v>
      </c>
      <c r="I147" s="85">
        <f t="shared" si="45"/>
        <v>322.38000000000011</v>
      </c>
      <c r="J147" s="85">
        <f t="shared" si="45"/>
        <v>327.59999999999991</v>
      </c>
      <c r="K147" s="85">
        <f t="shared" si="45"/>
        <v>370.86000000000013</v>
      </c>
      <c r="L147" s="85">
        <f t="shared" si="45"/>
        <v>368.94000000000005</v>
      </c>
      <c r="M147" s="85">
        <f t="shared" si="45"/>
        <v>330.85999999999967</v>
      </c>
      <c r="N147" s="85">
        <f t="shared" si="45"/>
        <v>316.14000000000033</v>
      </c>
      <c r="O147" s="85">
        <f t="shared" si="45"/>
        <v>321.63999999999987</v>
      </c>
      <c r="P147" s="85">
        <f t="shared" si="45"/>
        <v>330.02999999999975</v>
      </c>
      <c r="Q147" s="85">
        <f t="shared" si="45"/>
        <v>377.88000000000011</v>
      </c>
      <c r="R147" s="374"/>
      <c r="S147" s="374"/>
      <c r="T147" s="377"/>
      <c r="U147" s="377"/>
      <c r="V147" s="379"/>
      <c r="W147" s="382"/>
      <c r="X147" s="385"/>
      <c r="Y147" s="391"/>
      <c r="Z147" s="182"/>
      <c r="AA147" s="82"/>
      <c r="AB147" s="82"/>
      <c r="AC147" s="82"/>
      <c r="AD147" s="82"/>
      <c r="AE147" s="86"/>
      <c r="AF147" s="82"/>
    </row>
    <row r="148" spans="1:32" ht="15" x14ac:dyDescent="0.25">
      <c r="A148" s="222">
        <v>43300</v>
      </c>
      <c r="B148" s="79" t="s">
        <v>235</v>
      </c>
      <c r="C148" s="79" t="s">
        <v>232</v>
      </c>
      <c r="D148" s="80" t="s">
        <v>186</v>
      </c>
      <c r="E148" s="81">
        <v>2510.17</v>
      </c>
      <c r="F148" s="81">
        <v>2499.92</v>
      </c>
      <c r="G148" s="81">
        <v>2483.13</v>
      </c>
      <c r="H148" s="81">
        <v>2475.37</v>
      </c>
      <c r="I148" s="81">
        <v>2478.62</v>
      </c>
      <c r="J148" s="81">
        <v>2494.63</v>
      </c>
      <c r="K148" s="81">
        <v>2494.9499999999998</v>
      </c>
      <c r="L148" s="81">
        <v>2510.7399999999998</v>
      </c>
      <c r="M148" s="81">
        <v>2491.8200000000002</v>
      </c>
      <c r="N148" s="81">
        <v>2477.2399999999998</v>
      </c>
      <c r="O148" s="81">
        <v>2493.5</v>
      </c>
      <c r="P148" s="81">
        <v>2526.2800000000002</v>
      </c>
      <c r="Q148" s="81">
        <v>2557.6999999999998</v>
      </c>
      <c r="R148" s="372">
        <f>IF((Q149=""),"",MAX(E150:Q150))</f>
        <v>421.38999999999987</v>
      </c>
      <c r="S148" s="372">
        <f>IF(Q149="","",MIN(E150:Q150))</f>
        <v>369.72000000000025</v>
      </c>
      <c r="T148" s="375">
        <f>IF((Q150=""),"",AVERAGE(E150:Q150))</f>
        <v>389.63846153846163</v>
      </c>
      <c r="U148" s="375">
        <f>IF((Q149=""),"",(R148-S148)/(R148+S148)*100)</f>
        <v>6.5313293979344991</v>
      </c>
      <c r="V148" s="375">
        <f>STDEV(E150:Q150)</f>
        <v>16.410502656405633</v>
      </c>
      <c r="W148" s="380" t="str">
        <f>IF(Q149="","",IF(T148&gt;300,IF(U148&lt;14,IF(T148&lt;390,"Pass","Fail"),"Fail"),"Fail"))</f>
        <v>Pass</v>
      </c>
      <c r="X148" s="383">
        <v>1340</v>
      </c>
      <c r="Y148" s="389"/>
      <c r="Z148" s="182"/>
      <c r="AA148" s="82">
        <v>270</v>
      </c>
      <c r="AB148" s="82">
        <v>370</v>
      </c>
      <c r="AC148" s="82">
        <v>300</v>
      </c>
      <c r="AD148" s="83">
        <v>390</v>
      </c>
      <c r="AE148" s="83">
        <v>20</v>
      </c>
      <c r="AF148" s="83">
        <v>14</v>
      </c>
    </row>
    <row r="149" spans="1:32" ht="15.6" x14ac:dyDescent="0.3">
      <c r="A149" s="221"/>
      <c r="B149" s="84"/>
      <c r="C149" s="84"/>
      <c r="D149" s="80" t="s">
        <v>187</v>
      </c>
      <c r="E149" s="81">
        <v>2089.0500000000002</v>
      </c>
      <c r="F149" s="81">
        <v>2098.1999999999998</v>
      </c>
      <c r="G149" s="81">
        <v>2095.7399999999998</v>
      </c>
      <c r="H149" s="81">
        <v>2095.17</v>
      </c>
      <c r="I149" s="81">
        <v>2107.2199999999998</v>
      </c>
      <c r="J149" s="81">
        <v>2113.33</v>
      </c>
      <c r="K149" s="81">
        <v>2112.5500000000002</v>
      </c>
      <c r="L149" s="81">
        <v>2124.62</v>
      </c>
      <c r="M149" s="81">
        <v>2122.1</v>
      </c>
      <c r="N149" s="81">
        <v>2098.08</v>
      </c>
      <c r="O149" s="81">
        <v>2104.09</v>
      </c>
      <c r="P149" s="81">
        <v>2132.31</v>
      </c>
      <c r="Q149" s="81">
        <v>2136.31</v>
      </c>
      <c r="R149" s="373"/>
      <c r="S149" s="373"/>
      <c r="T149" s="376"/>
      <c r="U149" s="376"/>
      <c r="V149" s="378"/>
      <c r="W149" s="381"/>
      <c r="X149" s="384"/>
      <c r="Y149" s="390"/>
      <c r="Z149" s="182"/>
      <c r="AA149" s="82"/>
      <c r="AB149" s="82"/>
      <c r="AC149" s="82"/>
      <c r="AD149" s="83"/>
      <c r="AE149" s="83"/>
      <c r="AF149" s="83"/>
    </row>
    <row r="150" spans="1:32" ht="30" x14ac:dyDescent="0.3">
      <c r="A150" s="221"/>
      <c r="B150" s="79"/>
      <c r="C150" s="79"/>
      <c r="D150" s="80" t="s">
        <v>188</v>
      </c>
      <c r="E150" s="85">
        <f t="shared" ref="E150:Q150" si="46">IF(((E148="")*AND(E149="")),"",(E148-E149))</f>
        <v>421.11999999999989</v>
      </c>
      <c r="F150" s="85">
        <f t="shared" si="46"/>
        <v>401.72000000000025</v>
      </c>
      <c r="G150" s="85">
        <f t="shared" si="46"/>
        <v>387.39000000000033</v>
      </c>
      <c r="H150" s="85">
        <f t="shared" si="46"/>
        <v>380.19999999999982</v>
      </c>
      <c r="I150" s="85">
        <f t="shared" si="46"/>
        <v>371.40000000000009</v>
      </c>
      <c r="J150" s="85">
        <f t="shared" si="46"/>
        <v>381.30000000000018</v>
      </c>
      <c r="K150" s="85">
        <f t="shared" si="46"/>
        <v>382.39999999999964</v>
      </c>
      <c r="L150" s="85">
        <f t="shared" si="46"/>
        <v>386.11999999999989</v>
      </c>
      <c r="M150" s="85">
        <f t="shared" si="46"/>
        <v>369.72000000000025</v>
      </c>
      <c r="N150" s="85">
        <f t="shared" si="46"/>
        <v>379.15999999999985</v>
      </c>
      <c r="O150" s="85">
        <f t="shared" si="46"/>
        <v>389.40999999999985</v>
      </c>
      <c r="P150" s="85">
        <f t="shared" si="46"/>
        <v>393.97000000000025</v>
      </c>
      <c r="Q150" s="85">
        <f t="shared" si="46"/>
        <v>421.38999999999987</v>
      </c>
      <c r="R150" s="374"/>
      <c r="S150" s="374"/>
      <c r="T150" s="377"/>
      <c r="U150" s="377"/>
      <c r="V150" s="379"/>
      <c r="W150" s="382"/>
      <c r="X150" s="385"/>
      <c r="Y150" s="391"/>
      <c r="Z150" s="182"/>
      <c r="AA150" s="82"/>
      <c r="AB150" s="82"/>
      <c r="AC150" s="82"/>
      <c r="AD150" s="82"/>
      <c r="AE150" s="86"/>
      <c r="AF150" s="82"/>
    </row>
    <row r="151" spans="1:32" ht="15" x14ac:dyDescent="0.25">
      <c r="A151" s="222">
        <v>43303</v>
      </c>
      <c r="B151" s="79" t="s">
        <v>235</v>
      </c>
      <c r="C151" s="79" t="s">
        <v>232</v>
      </c>
      <c r="D151" s="80" t="s">
        <v>186</v>
      </c>
      <c r="E151" s="81">
        <v>2889.27</v>
      </c>
      <c r="F151" s="81">
        <v>2835.39</v>
      </c>
      <c r="G151" s="81">
        <v>2808.55</v>
      </c>
      <c r="H151" s="81">
        <v>2795.47</v>
      </c>
      <c r="I151" s="81">
        <v>2798.09</v>
      </c>
      <c r="J151" s="81">
        <v>2822.43</v>
      </c>
      <c r="K151" s="81">
        <v>2875.52</v>
      </c>
      <c r="L151" s="81">
        <v>2879.35</v>
      </c>
      <c r="M151" s="81">
        <v>2822.42</v>
      </c>
      <c r="N151" s="81">
        <v>2795.97</v>
      </c>
      <c r="O151" s="81">
        <v>2815.3</v>
      </c>
      <c r="P151" s="81">
        <v>2856.66</v>
      </c>
      <c r="Q151" s="81">
        <v>2932.29</v>
      </c>
      <c r="R151" s="372">
        <f>IF((Q152=""),"",MAX(E153:Q153))</f>
        <v>380.07999999999993</v>
      </c>
      <c r="S151" s="372">
        <f>IF(Q152="","",MIN(E153:Q153))</f>
        <v>319.6899999999996</v>
      </c>
      <c r="T151" s="375">
        <f>IF((Q153=""),"",AVERAGE(E153:Q153))</f>
        <v>343.07</v>
      </c>
      <c r="U151" s="375">
        <f>IF((Q152=""),"",(R151-S151)/(R151+S151)*100)</f>
        <v>8.6299784214813968</v>
      </c>
      <c r="V151" s="375">
        <f>STDEV(E153:Q153)</f>
        <v>22.602214493274758</v>
      </c>
      <c r="W151" s="380" t="str">
        <f>IF(Q152="","",IF(T151&gt;300,IF(U151&lt;14,IF(T151&lt;390,"Pass","Fail"),"Fail"),"Fail"))</f>
        <v>Pass</v>
      </c>
      <c r="X151" s="383">
        <v>1335</v>
      </c>
      <c r="Y151" s="389"/>
      <c r="Z151" s="182"/>
      <c r="AA151" s="82">
        <v>270</v>
      </c>
      <c r="AB151" s="82">
        <v>370</v>
      </c>
      <c r="AC151" s="82">
        <v>300</v>
      </c>
      <c r="AD151" s="83">
        <v>390</v>
      </c>
      <c r="AE151" s="83">
        <v>20</v>
      </c>
      <c r="AF151" s="83">
        <v>14</v>
      </c>
    </row>
    <row r="152" spans="1:32" ht="15.6" x14ac:dyDescent="0.3">
      <c r="A152" s="221"/>
      <c r="B152" s="84"/>
      <c r="C152" s="84"/>
      <c r="D152" s="80" t="s">
        <v>187</v>
      </c>
      <c r="E152" s="81">
        <v>2519.48</v>
      </c>
      <c r="F152" s="81">
        <v>2504.1999999999998</v>
      </c>
      <c r="G152" s="81">
        <v>2482.94</v>
      </c>
      <c r="H152" s="81">
        <v>2472.92</v>
      </c>
      <c r="I152" s="81">
        <v>2473.0300000000002</v>
      </c>
      <c r="J152" s="81">
        <v>2483.7199999999998</v>
      </c>
      <c r="K152" s="81">
        <v>2498.71</v>
      </c>
      <c r="L152" s="81">
        <v>2508.27</v>
      </c>
      <c r="M152" s="81">
        <v>2485.6</v>
      </c>
      <c r="N152" s="81">
        <v>2476.2800000000002</v>
      </c>
      <c r="O152" s="81">
        <v>2488.9699999999998</v>
      </c>
      <c r="P152" s="81">
        <v>2520.4699999999998</v>
      </c>
      <c r="Q152" s="81">
        <v>2552.21</v>
      </c>
      <c r="R152" s="373"/>
      <c r="S152" s="373"/>
      <c r="T152" s="376"/>
      <c r="U152" s="376"/>
      <c r="V152" s="378"/>
      <c r="W152" s="381"/>
      <c r="X152" s="384"/>
      <c r="Y152" s="390"/>
      <c r="Z152" s="182"/>
      <c r="AA152" s="82"/>
      <c r="AB152" s="82"/>
      <c r="AC152" s="82"/>
      <c r="AD152" s="82"/>
      <c r="AE152" s="86"/>
      <c r="AF152" s="82"/>
    </row>
    <row r="153" spans="1:32" ht="30" x14ac:dyDescent="0.3">
      <c r="A153" s="221"/>
      <c r="B153" s="79"/>
      <c r="C153" s="79"/>
      <c r="D153" s="80" t="s">
        <v>188</v>
      </c>
      <c r="E153" s="85">
        <f t="shared" ref="E153:Q153" si="47">IF(((E151="")*AND(E152="")),"",(E151-E152))</f>
        <v>369.78999999999996</v>
      </c>
      <c r="F153" s="85">
        <f t="shared" si="47"/>
        <v>331.19000000000005</v>
      </c>
      <c r="G153" s="85">
        <f t="shared" si="47"/>
        <v>325.61000000000013</v>
      </c>
      <c r="H153" s="85">
        <f t="shared" si="47"/>
        <v>322.54999999999973</v>
      </c>
      <c r="I153" s="85">
        <f t="shared" si="47"/>
        <v>325.05999999999995</v>
      </c>
      <c r="J153" s="85">
        <f t="shared" si="47"/>
        <v>338.71000000000004</v>
      </c>
      <c r="K153" s="85">
        <f t="shared" si="47"/>
        <v>376.80999999999995</v>
      </c>
      <c r="L153" s="85">
        <f t="shared" si="47"/>
        <v>371.07999999999993</v>
      </c>
      <c r="M153" s="85">
        <f t="shared" si="47"/>
        <v>336.82000000000016</v>
      </c>
      <c r="N153" s="85">
        <f t="shared" si="47"/>
        <v>319.6899999999996</v>
      </c>
      <c r="O153" s="85">
        <f t="shared" si="47"/>
        <v>326.33000000000038</v>
      </c>
      <c r="P153" s="85">
        <f t="shared" si="47"/>
        <v>336.19000000000005</v>
      </c>
      <c r="Q153" s="85">
        <f t="shared" si="47"/>
        <v>380.07999999999993</v>
      </c>
      <c r="R153" s="374"/>
      <c r="S153" s="374"/>
      <c r="T153" s="377"/>
      <c r="U153" s="377"/>
      <c r="V153" s="379"/>
      <c r="W153" s="382"/>
      <c r="X153" s="385"/>
      <c r="Y153" s="391"/>
      <c r="Z153" s="182"/>
      <c r="AA153" s="82"/>
      <c r="AB153" s="82"/>
      <c r="AC153" s="82"/>
      <c r="AD153" s="82"/>
      <c r="AE153" s="86"/>
      <c r="AF153" s="82"/>
    </row>
    <row r="154" spans="1:32" ht="15" x14ac:dyDescent="0.25">
      <c r="A154" s="222">
        <v>43307</v>
      </c>
      <c r="B154" s="79" t="s">
        <v>235</v>
      </c>
      <c r="C154" s="79" t="s">
        <v>232</v>
      </c>
      <c r="D154" s="80" t="s">
        <v>186</v>
      </c>
      <c r="E154" s="81">
        <v>2519.48</v>
      </c>
      <c r="F154" s="81">
        <v>2504.1999999999998</v>
      </c>
      <c r="G154" s="81">
        <v>2482.94</v>
      </c>
      <c r="H154" s="81">
        <v>2472.92</v>
      </c>
      <c r="I154" s="81">
        <v>2473.0300000000002</v>
      </c>
      <c r="J154" s="81">
        <v>2483.7199999999998</v>
      </c>
      <c r="K154" s="81">
        <v>2498.71</v>
      </c>
      <c r="L154" s="81">
        <v>2508.27</v>
      </c>
      <c r="M154" s="81">
        <v>2485.6</v>
      </c>
      <c r="N154" s="81">
        <v>2476.2800000000002</v>
      </c>
      <c r="O154" s="81">
        <v>2488.9699999999998</v>
      </c>
      <c r="P154" s="81">
        <v>2520.4699999999998</v>
      </c>
      <c r="Q154" s="81">
        <v>2552.21</v>
      </c>
      <c r="R154" s="372">
        <f>IF((Q155=""),"",MAX(E156:Q156))</f>
        <v>443.99000000000024</v>
      </c>
      <c r="S154" s="372">
        <f>IF(Q155="","",MIN(E156:Q156))</f>
        <v>377.27</v>
      </c>
      <c r="T154" s="375">
        <f>IF((Q156=""),"",AVERAGE(E156:Q156))</f>
        <v>395.53230769230771</v>
      </c>
      <c r="U154" s="375">
        <f>IF((Q155=""),"",(R154-S154)/(R154+S154)*100)</f>
        <v>8.1241019896257267</v>
      </c>
      <c r="V154" s="375">
        <f>STDEV(E156:Q156)</f>
        <v>20.733785292707775</v>
      </c>
      <c r="W154" s="380" t="str">
        <f>IF(Q155="","",IF(T154&gt;300,IF(U154&lt;14,IF(T154&lt;390,"Pass","Fail"),"Fail"),"Fail"))</f>
        <v>Fail</v>
      </c>
      <c r="X154" s="395"/>
      <c r="Y154" s="389"/>
      <c r="Z154" s="182"/>
      <c r="AA154" s="82">
        <v>270</v>
      </c>
      <c r="AB154" s="82">
        <v>370</v>
      </c>
      <c r="AC154" s="82">
        <v>300</v>
      </c>
      <c r="AD154" s="83">
        <v>390</v>
      </c>
      <c r="AE154" s="83">
        <v>20</v>
      </c>
      <c r="AF154" s="83">
        <v>14</v>
      </c>
    </row>
    <row r="155" spans="1:32" ht="15.6" x14ac:dyDescent="0.3">
      <c r="A155" s="221"/>
      <c r="B155" s="84"/>
      <c r="C155" s="84"/>
      <c r="D155" s="80" t="s">
        <v>187</v>
      </c>
      <c r="E155" s="81">
        <v>2075.4899999999998</v>
      </c>
      <c r="F155" s="81">
        <v>2103.88</v>
      </c>
      <c r="G155" s="81">
        <v>2090.4899999999998</v>
      </c>
      <c r="H155" s="81">
        <v>2093.8200000000002</v>
      </c>
      <c r="I155" s="81">
        <v>2095.7600000000002</v>
      </c>
      <c r="J155" s="81">
        <v>2095.23</v>
      </c>
      <c r="K155" s="81">
        <v>2095.44</v>
      </c>
      <c r="L155" s="81">
        <v>2111.87</v>
      </c>
      <c r="M155" s="81">
        <v>2104.86</v>
      </c>
      <c r="N155" s="81">
        <v>2098.96</v>
      </c>
      <c r="O155" s="81">
        <v>2106.62</v>
      </c>
      <c r="P155" s="81">
        <v>2131.75</v>
      </c>
      <c r="Q155" s="81">
        <v>2120.71</v>
      </c>
      <c r="R155" s="373"/>
      <c r="S155" s="373"/>
      <c r="T155" s="376"/>
      <c r="U155" s="376"/>
      <c r="V155" s="378"/>
      <c r="W155" s="381"/>
      <c r="X155" s="384"/>
      <c r="Y155" s="390"/>
      <c r="Z155" s="182"/>
      <c r="AA155" s="82"/>
      <c r="AB155" s="82"/>
      <c r="AC155" s="82"/>
      <c r="AD155" s="82"/>
      <c r="AE155" s="86"/>
      <c r="AF155" s="82"/>
    </row>
    <row r="156" spans="1:32" ht="30" x14ac:dyDescent="0.3">
      <c r="A156" s="221"/>
      <c r="B156" s="79"/>
      <c r="C156" s="79"/>
      <c r="D156" s="80" t="s">
        <v>188</v>
      </c>
      <c r="E156" s="85">
        <f t="shared" ref="E156:Q156" si="48">IF(((E154="")*AND(E155="")),"",(E154-E155))</f>
        <v>443.99000000000024</v>
      </c>
      <c r="F156" s="85">
        <f t="shared" si="48"/>
        <v>400.31999999999971</v>
      </c>
      <c r="G156" s="85">
        <f t="shared" si="48"/>
        <v>392.45000000000027</v>
      </c>
      <c r="H156" s="85">
        <f t="shared" si="48"/>
        <v>379.09999999999991</v>
      </c>
      <c r="I156" s="85">
        <f t="shared" si="48"/>
        <v>377.27</v>
      </c>
      <c r="J156" s="85">
        <f t="shared" si="48"/>
        <v>388.48999999999978</v>
      </c>
      <c r="K156" s="85">
        <f t="shared" si="48"/>
        <v>403.27</v>
      </c>
      <c r="L156" s="85">
        <f t="shared" si="48"/>
        <v>396.40000000000009</v>
      </c>
      <c r="M156" s="85">
        <f t="shared" si="48"/>
        <v>380.73999999999978</v>
      </c>
      <c r="N156" s="85">
        <f t="shared" si="48"/>
        <v>377.32000000000016</v>
      </c>
      <c r="O156" s="85">
        <f t="shared" si="48"/>
        <v>382.34999999999991</v>
      </c>
      <c r="P156" s="85">
        <f t="shared" si="48"/>
        <v>388.7199999999998</v>
      </c>
      <c r="Q156" s="85">
        <f t="shared" si="48"/>
        <v>431.5</v>
      </c>
      <c r="R156" s="374"/>
      <c r="S156" s="374"/>
      <c r="T156" s="377"/>
      <c r="U156" s="377"/>
      <c r="V156" s="379"/>
      <c r="W156" s="382"/>
      <c r="X156" s="385"/>
      <c r="Y156" s="391"/>
      <c r="Z156" s="182"/>
      <c r="AA156" s="82"/>
      <c r="AB156" s="82"/>
      <c r="AC156" s="82"/>
      <c r="AD156" s="82"/>
      <c r="AE156" s="86"/>
      <c r="AF156" s="82"/>
    </row>
    <row r="157" spans="1:32" ht="15" x14ac:dyDescent="0.25">
      <c r="A157" s="222">
        <v>43307</v>
      </c>
      <c r="B157" s="79" t="s">
        <v>235</v>
      </c>
      <c r="C157" s="79" t="s">
        <v>232</v>
      </c>
      <c r="D157" s="80" t="s">
        <v>186</v>
      </c>
      <c r="E157" s="81">
        <v>2878.04</v>
      </c>
      <c r="F157" s="81">
        <v>2827.07</v>
      </c>
      <c r="G157" s="81">
        <v>2803.11</v>
      </c>
      <c r="H157" s="81">
        <v>2792.89</v>
      </c>
      <c r="I157" s="81">
        <v>2805.52</v>
      </c>
      <c r="J157" s="81">
        <v>2832.1</v>
      </c>
      <c r="K157" s="81">
        <v>2884.91</v>
      </c>
      <c r="L157" s="81">
        <v>2871.85</v>
      </c>
      <c r="M157" s="81">
        <v>2818.23</v>
      </c>
      <c r="N157" s="81">
        <v>2794.92</v>
      </c>
      <c r="O157" s="81">
        <v>2817.87</v>
      </c>
      <c r="P157" s="81">
        <v>2863.91</v>
      </c>
      <c r="Q157" s="81">
        <v>2832</v>
      </c>
      <c r="R157" s="372">
        <f>IF((Q158=""),"",MAX(E159:Q159))</f>
        <v>396.10999999999967</v>
      </c>
      <c r="S157" s="372">
        <f>IF(Q158="","",MIN(E159:Q159))</f>
        <v>313.2199999999998</v>
      </c>
      <c r="T157" s="375">
        <f>IF((Q159=""),"",AVERAGE(E159:Q159))</f>
        <v>343.2676923076923</v>
      </c>
      <c r="U157" s="375">
        <f>IF((Q158=""),"",(R157-S157)/(R157+S157)*100)</f>
        <v>11.685675214639158</v>
      </c>
      <c r="V157" s="375">
        <f>STDEV(E159:Q159)</f>
        <v>29.281744071988495</v>
      </c>
      <c r="W157" s="380" t="str">
        <f>IF(Q158="","",IF(T157&gt;300,IF(U157&lt;14,IF(T157&lt;390,"Pass","Fail"),"Fail"),"Fail"))</f>
        <v>Pass</v>
      </c>
      <c r="X157" s="383"/>
      <c r="Y157" s="389"/>
      <c r="Z157" s="182"/>
      <c r="AA157" s="82">
        <v>270</v>
      </c>
      <c r="AB157" s="82">
        <v>370</v>
      </c>
      <c r="AC157" s="82">
        <v>300</v>
      </c>
      <c r="AD157" s="83">
        <v>390</v>
      </c>
      <c r="AE157" s="83">
        <v>20</v>
      </c>
      <c r="AF157" s="83">
        <v>14</v>
      </c>
    </row>
    <row r="158" spans="1:32" ht="15.6" x14ac:dyDescent="0.3">
      <c r="A158" s="221"/>
      <c r="B158" s="84"/>
      <c r="C158" s="84"/>
      <c r="D158" s="80" t="s">
        <v>187</v>
      </c>
      <c r="E158" s="81">
        <v>2487.04</v>
      </c>
      <c r="F158" s="81">
        <v>2489.63</v>
      </c>
      <c r="G158" s="81">
        <v>2484.65</v>
      </c>
      <c r="H158" s="81">
        <v>2479.67</v>
      </c>
      <c r="I158" s="81">
        <v>2483.39</v>
      </c>
      <c r="J158" s="81">
        <v>2492.54</v>
      </c>
      <c r="K158" s="81">
        <v>2488.8000000000002</v>
      </c>
      <c r="L158" s="81">
        <v>2484.41</v>
      </c>
      <c r="M158" s="81">
        <v>2484.83</v>
      </c>
      <c r="N158" s="81">
        <v>2477.81</v>
      </c>
      <c r="O158" s="81">
        <v>2496.31</v>
      </c>
      <c r="P158" s="81">
        <v>2521.86</v>
      </c>
      <c r="Q158" s="81">
        <v>2489</v>
      </c>
      <c r="R158" s="373"/>
      <c r="S158" s="373"/>
      <c r="T158" s="376"/>
      <c r="U158" s="376"/>
      <c r="V158" s="378"/>
      <c r="W158" s="381"/>
      <c r="X158" s="384"/>
      <c r="Y158" s="390"/>
      <c r="Z158" s="182"/>
      <c r="AA158" s="82"/>
      <c r="AB158" s="82"/>
      <c r="AC158" s="82"/>
      <c r="AD158" s="82"/>
      <c r="AE158" s="86"/>
      <c r="AF158" s="82"/>
    </row>
    <row r="159" spans="1:32" ht="30" x14ac:dyDescent="0.3">
      <c r="A159" s="221"/>
      <c r="B159" s="79"/>
      <c r="C159" s="79"/>
      <c r="D159" s="80" t="s">
        <v>188</v>
      </c>
      <c r="E159" s="85">
        <f t="shared" ref="E159:Q159" si="49">IF(((E157="")*AND(E158="")),"",(E157-E158))</f>
        <v>391</v>
      </c>
      <c r="F159" s="85">
        <f t="shared" si="49"/>
        <v>337.44000000000005</v>
      </c>
      <c r="G159" s="85">
        <f t="shared" si="49"/>
        <v>318.46000000000004</v>
      </c>
      <c r="H159" s="85">
        <f t="shared" si="49"/>
        <v>313.2199999999998</v>
      </c>
      <c r="I159" s="85">
        <f t="shared" si="49"/>
        <v>322.13000000000011</v>
      </c>
      <c r="J159" s="85">
        <f t="shared" si="49"/>
        <v>339.55999999999995</v>
      </c>
      <c r="K159" s="85">
        <f t="shared" si="49"/>
        <v>396.10999999999967</v>
      </c>
      <c r="L159" s="85">
        <f t="shared" si="49"/>
        <v>387.44000000000005</v>
      </c>
      <c r="M159" s="85">
        <f t="shared" si="49"/>
        <v>333.40000000000009</v>
      </c>
      <c r="N159" s="85">
        <f t="shared" si="49"/>
        <v>317.11000000000013</v>
      </c>
      <c r="O159" s="85">
        <f t="shared" si="49"/>
        <v>321.55999999999995</v>
      </c>
      <c r="P159" s="85">
        <f t="shared" si="49"/>
        <v>342.04999999999973</v>
      </c>
      <c r="Q159" s="85">
        <f t="shared" si="49"/>
        <v>343</v>
      </c>
      <c r="R159" s="374"/>
      <c r="S159" s="374"/>
      <c r="T159" s="377"/>
      <c r="U159" s="377"/>
      <c r="V159" s="379"/>
      <c r="W159" s="382"/>
      <c r="X159" s="385"/>
      <c r="Y159" s="391"/>
      <c r="Z159" s="182"/>
      <c r="AA159" s="82"/>
      <c r="AB159" s="82"/>
      <c r="AC159" s="82"/>
      <c r="AD159" s="82"/>
      <c r="AE159" s="86"/>
      <c r="AF159" s="82"/>
    </row>
    <row r="160" spans="1:32" ht="15" x14ac:dyDescent="0.25">
      <c r="A160" s="222">
        <v>43311</v>
      </c>
      <c r="B160" s="79" t="s">
        <v>235</v>
      </c>
      <c r="C160" s="79" t="s">
        <v>232</v>
      </c>
      <c r="D160" s="80" t="s">
        <v>186</v>
      </c>
      <c r="E160" s="81">
        <v>2487.04</v>
      </c>
      <c r="F160" s="81">
        <v>2489.63</v>
      </c>
      <c r="G160" s="81">
        <v>2484.65</v>
      </c>
      <c r="H160" s="81">
        <v>2479.67</v>
      </c>
      <c r="I160" s="81">
        <v>2483.39</v>
      </c>
      <c r="J160" s="81">
        <v>2492.54</v>
      </c>
      <c r="K160" s="81">
        <v>2488.8000000000002</v>
      </c>
      <c r="L160" s="81">
        <v>2484.41</v>
      </c>
      <c r="M160" s="81">
        <v>2484.83</v>
      </c>
      <c r="N160" s="81">
        <v>2477.81</v>
      </c>
      <c r="O160" s="81">
        <v>2496.31</v>
      </c>
      <c r="P160" s="81">
        <v>2521.86</v>
      </c>
      <c r="Q160" s="81">
        <v>2489</v>
      </c>
      <c r="R160" s="372">
        <f>IF((Q161=""),"",MAX(E162:Q162))</f>
        <v>416.69999999999982</v>
      </c>
      <c r="S160" s="372">
        <f>IF(Q161="","",MIN(E162:Q162))</f>
        <v>362.65999999999985</v>
      </c>
      <c r="T160" s="375">
        <f>IF((Q162=""),"",AVERAGE(E162:Q162))</f>
        <v>381.61307692307685</v>
      </c>
      <c r="U160" s="375">
        <f>IF((Q161=""),"",(R160-S160)/(R160+S160)*100)</f>
        <v>6.9338944775200142</v>
      </c>
      <c r="V160" s="375">
        <f>STDEV(E162:Q162)</f>
        <v>15.717058346806615</v>
      </c>
      <c r="W160" s="380" t="str">
        <f>IF(Q161="","",IF(T160&gt;300,IF(U160&lt;14,IF(T160&lt;390,"Pass","Fail"),"Fail"),"Fail"))</f>
        <v>Pass</v>
      </c>
      <c r="X160" s="383"/>
      <c r="Y160" s="389"/>
      <c r="Z160" s="182"/>
      <c r="AA160" s="82">
        <v>270</v>
      </c>
      <c r="AB160" s="82">
        <v>370</v>
      </c>
      <c r="AC160" s="82">
        <v>300</v>
      </c>
      <c r="AD160" s="83">
        <v>390</v>
      </c>
      <c r="AE160" s="83">
        <v>20</v>
      </c>
      <c r="AF160" s="83">
        <v>14</v>
      </c>
    </row>
    <row r="161" spans="1:32" ht="15.6" x14ac:dyDescent="0.3">
      <c r="A161" s="221"/>
      <c r="B161" s="84"/>
      <c r="C161" s="84"/>
      <c r="D161" s="80" t="s">
        <v>187</v>
      </c>
      <c r="E161" s="81">
        <v>2070.34</v>
      </c>
      <c r="F161" s="81">
        <v>2097.19</v>
      </c>
      <c r="G161" s="81">
        <v>2100.34</v>
      </c>
      <c r="H161" s="81">
        <v>2108.36</v>
      </c>
      <c r="I161" s="81">
        <v>2108.15</v>
      </c>
      <c r="J161" s="81">
        <v>2118.6799999999998</v>
      </c>
      <c r="K161" s="81">
        <v>2111.2399999999998</v>
      </c>
      <c r="L161" s="81">
        <v>2115.4499999999998</v>
      </c>
      <c r="M161" s="81">
        <v>2122.17</v>
      </c>
      <c r="N161" s="81">
        <v>2113.38</v>
      </c>
      <c r="O161" s="81">
        <v>2109.02</v>
      </c>
      <c r="P161" s="81">
        <v>2117.04</v>
      </c>
      <c r="Q161" s="81">
        <v>2107.61</v>
      </c>
      <c r="R161" s="373"/>
      <c r="S161" s="373"/>
      <c r="T161" s="376"/>
      <c r="U161" s="376"/>
      <c r="V161" s="378"/>
      <c r="W161" s="381"/>
      <c r="X161" s="384"/>
      <c r="Y161" s="390"/>
      <c r="Z161" s="182"/>
      <c r="AA161" s="82"/>
      <c r="AB161" s="82"/>
      <c r="AC161" s="82"/>
      <c r="AD161" s="82"/>
      <c r="AE161" s="86"/>
      <c r="AF161" s="82"/>
    </row>
    <row r="162" spans="1:32" ht="30" x14ac:dyDescent="0.3">
      <c r="A162" s="221"/>
      <c r="B162" s="79"/>
      <c r="C162" s="79"/>
      <c r="D162" s="80" t="s">
        <v>188</v>
      </c>
      <c r="E162" s="85">
        <f t="shared" ref="E162:Q162" si="50">IF(((E160="")*AND(E161="")),"",(E160-E161))</f>
        <v>416.69999999999982</v>
      </c>
      <c r="F162" s="85">
        <f t="shared" si="50"/>
        <v>392.44000000000005</v>
      </c>
      <c r="G162" s="85">
        <f t="shared" si="50"/>
        <v>384.30999999999995</v>
      </c>
      <c r="H162" s="85">
        <f t="shared" si="50"/>
        <v>371.30999999999995</v>
      </c>
      <c r="I162" s="85">
        <f t="shared" si="50"/>
        <v>375.23999999999978</v>
      </c>
      <c r="J162" s="85">
        <f t="shared" si="50"/>
        <v>373.86000000000013</v>
      </c>
      <c r="K162" s="85">
        <f t="shared" si="50"/>
        <v>377.5600000000004</v>
      </c>
      <c r="L162" s="85">
        <f t="shared" si="50"/>
        <v>368.96000000000004</v>
      </c>
      <c r="M162" s="85">
        <f t="shared" si="50"/>
        <v>362.65999999999985</v>
      </c>
      <c r="N162" s="85">
        <f t="shared" si="50"/>
        <v>364.42999999999984</v>
      </c>
      <c r="O162" s="85">
        <f t="shared" si="50"/>
        <v>387.28999999999996</v>
      </c>
      <c r="P162" s="85">
        <f t="shared" si="50"/>
        <v>404.82000000000016</v>
      </c>
      <c r="Q162" s="85">
        <f t="shared" si="50"/>
        <v>381.38999999999987</v>
      </c>
      <c r="R162" s="374"/>
      <c r="S162" s="374"/>
      <c r="T162" s="377"/>
      <c r="U162" s="377"/>
      <c r="V162" s="379"/>
      <c r="W162" s="382"/>
      <c r="X162" s="385"/>
      <c r="Y162" s="391"/>
      <c r="Z162" s="182"/>
      <c r="AA162" s="82"/>
      <c r="AB162" s="82"/>
      <c r="AC162" s="82"/>
      <c r="AD162" s="82"/>
      <c r="AE162" s="86"/>
      <c r="AF162" s="82"/>
    </row>
    <row r="163" spans="1:32" ht="15" x14ac:dyDescent="0.25">
      <c r="A163" s="222">
        <v>43314</v>
      </c>
      <c r="B163" s="79" t="s">
        <v>235</v>
      </c>
      <c r="C163" s="79" t="s">
        <v>232</v>
      </c>
      <c r="D163" s="80" t="s">
        <v>186</v>
      </c>
      <c r="E163" s="81">
        <v>2883.2</v>
      </c>
      <c r="F163" s="81">
        <v>2832.12</v>
      </c>
      <c r="G163" s="81">
        <v>2808.89</v>
      </c>
      <c r="H163" s="81">
        <v>2798.52</v>
      </c>
      <c r="I163" s="81">
        <v>2807.22</v>
      </c>
      <c r="J163" s="81">
        <v>2833.19</v>
      </c>
      <c r="K163" s="81">
        <v>2873.58</v>
      </c>
      <c r="L163" s="81">
        <v>2873.54</v>
      </c>
      <c r="M163" s="81">
        <v>2819.09</v>
      </c>
      <c r="N163" s="81">
        <v>2798.81</v>
      </c>
      <c r="O163" s="81">
        <v>2820.34</v>
      </c>
      <c r="P163" s="81">
        <v>2865.39</v>
      </c>
      <c r="Q163" s="81">
        <v>2816</v>
      </c>
      <c r="R163" s="372">
        <f>IF((Q164=""),"",MAX(E165:Q165))</f>
        <v>380.15999999999985</v>
      </c>
      <c r="S163" s="372">
        <f>IF(Q164="","",MIN(E165:Q165))</f>
        <v>320.77999999999975</v>
      </c>
      <c r="T163" s="375">
        <f>IF((Q165=""),"",AVERAGE(E165:Q165))</f>
        <v>340.61769230769221</v>
      </c>
      <c r="U163" s="375">
        <f>IF((Q164=""),"",(R163-S163)/(R163+S163)*100)</f>
        <v>8.4714811538790968</v>
      </c>
      <c r="V163" s="375">
        <f>STDEV(E165:Q165)</f>
        <v>22.059637407811174</v>
      </c>
      <c r="W163" s="380" t="str">
        <f>IF(Q164="","",IF(T163&gt;300,IF(U163&lt;14,IF(T163&lt;390,"Pass","Fail"),"Fail"),"Fail"))</f>
        <v>Pass</v>
      </c>
      <c r="X163" s="396">
        <v>1340</v>
      </c>
      <c r="Y163" s="399"/>
      <c r="Z163" s="184"/>
      <c r="AA163" s="380">
        <v>270</v>
      </c>
      <c r="AB163" s="82">
        <v>370</v>
      </c>
      <c r="AC163" s="82">
        <v>300</v>
      </c>
      <c r="AD163" s="83">
        <v>390</v>
      </c>
      <c r="AE163" s="83">
        <v>20</v>
      </c>
      <c r="AF163" s="83">
        <v>14</v>
      </c>
    </row>
    <row r="164" spans="1:32" ht="15.6" x14ac:dyDescent="0.3">
      <c r="A164" s="221"/>
      <c r="B164" s="84"/>
      <c r="C164" s="84"/>
      <c r="D164" s="80" t="s">
        <v>187</v>
      </c>
      <c r="E164" s="81">
        <v>2503.04</v>
      </c>
      <c r="F164" s="81">
        <v>2497.2600000000002</v>
      </c>
      <c r="G164" s="81">
        <v>2479.52</v>
      </c>
      <c r="H164" s="81">
        <v>2475.5500000000002</v>
      </c>
      <c r="I164" s="81">
        <v>2486.44</v>
      </c>
      <c r="J164" s="81">
        <v>2493.61</v>
      </c>
      <c r="K164" s="81">
        <v>2494.44</v>
      </c>
      <c r="L164" s="81">
        <v>2500.23</v>
      </c>
      <c r="M164" s="81">
        <v>2482.41</v>
      </c>
      <c r="N164" s="81">
        <v>2475.08</v>
      </c>
      <c r="O164" s="81">
        <v>2496.44</v>
      </c>
      <c r="P164" s="81">
        <v>2525.84</v>
      </c>
      <c r="Q164" s="81">
        <v>2492</v>
      </c>
      <c r="R164" s="373"/>
      <c r="S164" s="373"/>
      <c r="T164" s="376"/>
      <c r="U164" s="376"/>
      <c r="V164" s="378"/>
      <c r="W164" s="381"/>
      <c r="X164" s="397"/>
      <c r="Y164" s="390"/>
      <c r="Z164" s="185"/>
      <c r="AA164" s="381"/>
      <c r="AB164" s="82"/>
      <c r="AC164" s="82"/>
      <c r="AD164" s="82"/>
      <c r="AE164" s="86"/>
      <c r="AF164" s="82"/>
    </row>
    <row r="165" spans="1:32" ht="30" x14ac:dyDescent="0.3">
      <c r="A165" s="221"/>
      <c r="B165" s="79"/>
      <c r="C165" s="79"/>
      <c r="D165" s="80" t="s">
        <v>188</v>
      </c>
      <c r="E165" s="85">
        <f t="shared" ref="E165:Q165" si="51">IF(((E163="")*AND(E164="")),"",(E163-E164))</f>
        <v>380.15999999999985</v>
      </c>
      <c r="F165" s="85">
        <f t="shared" si="51"/>
        <v>334.85999999999967</v>
      </c>
      <c r="G165" s="85">
        <f t="shared" si="51"/>
        <v>329.36999999999989</v>
      </c>
      <c r="H165" s="85">
        <f t="shared" si="51"/>
        <v>322.9699999999998</v>
      </c>
      <c r="I165" s="85">
        <f t="shared" si="51"/>
        <v>320.77999999999975</v>
      </c>
      <c r="J165" s="85">
        <f t="shared" si="51"/>
        <v>339.57999999999993</v>
      </c>
      <c r="K165" s="85">
        <f t="shared" si="51"/>
        <v>379.13999999999987</v>
      </c>
      <c r="L165" s="85">
        <f t="shared" si="51"/>
        <v>373.30999999999995</v>
      </c>
      <c r="M165" s="85">
        <f t="shared" si="51"/>
        <v>336.68000000000029</v>
      </c>
      <c r="N165" s="85">
        <f t="shared" si="51"/>
        <v>323.73</v>
      </c>
      <c r="O165" s="85">
        <f t="shared" si="51"/>
        <v>323.90000000000009</v>
      </c>
      <c r="P165" s="85">
        <f t="shared" si="51"/>
        <v>339.54999999999973</v>
      </c>
      <c r="Q165" s="85">
        <f t="shared" si="51"/>
        <v>324</v>
      </c>
      <c r="R165" s="374"/>
      <c r="S165" s="374"/>
      <c r="T165" s="377"/>
      <c r="U165" s="377"/>
      <c r="V165" s="379"/>
      <c r="W165" s="382"/>
      <c r="X165" s="398"/>
      <c r="Y165" s="391"/>
      <c r="Z165" s="186"/>
      <c r="AA165" s="382"/>
      <c r="AB165" s="82"/>
      <c r="AC165" s="82"/>
      <c r="AD165" s="82"/>
      <c r="AE165" s="86"/>
      <c r="AF165" s="82"/>
    </row>
    <row r="166" spans="1:32" ht="15" x14ac:dyDescent="0.25">
      <c r="A166" s="222">
        <v>43317</v>
      </c>
      <c r="B166" s="79" t="s">
        <v>235</v>
      </c>
      <c r="C166" s="79" t="s">
        <v>232</v>
      </c>
      <c r="D166" s="80" t="s">
        <v>186</v>
      </c>
      <c r="E166" s="81">
        <v>2503.04</v>
      </c>
      <c r="F166" s="81">
        <v>2497.2600000000002</v>
      </c>
      <c r="G166" s="81">
        <v>2479.52</v>
      </c>
      <c r="H166" s="81">
        <v>2475.5500000000002</v>
      </c>
      <c r="I166" s="81">
        <v>2486.44</v>
      </c>
      <c r="J166" s="81">
        <v>2493.61</v>
      </c>
      <c r="K166" s="81">
        <v>2494.44</v>
      </c>
      <c r="L166" s="81">
        <v>2500.23</v>
      </c>
      <c r="M166" s="81">
        <v>2482.41</v>
      </c>
      <c r="N166" s="81">
        <v>2475.08</v>
      </c>
      <c r="O166" s="81">
        <v>2496.44</v>
      </c>
      <c r="P166" s="81">
        <v>2525.84</v>
      </c>
      <c r="Q166" s="81">
        <v>2492</v>
      </c>
      <c r="R166" s="372">
        <f>IF((Q167=""),"",MAX(E168:Q168))</f>
        <v>401</v>
      </c>
      <c r="S166" s="372">
        <f>IF(Q167="","",MIN(E168:Q168))</f>
        <v>334.83999999999969</v>
      </c>
      <c r="T166" s="375">
        <f>IF((Q168=""),"",AVERAGE(E168:Q168))</f>
        <v>360.94384615384621</v>
      </c>
      <c r="U166" s="375">
        <f>IF((Q167=""),"",(R166-S166)/(R166+S166)*100)</f>
        <v>8.9910850184823232</v>
      </c>
      <c r="V166" s="375">
        <f>STDEV(E168:Q168)</f>
        <v>20.465314778286707</v>
      </c>
      <c r="W166" s="380" t="str">
        <f>IF(Q167="","",IF(T166&gt;300,IF(U166&lt;14,IF(T166&lt;390,"Pass","Fail"),"Fail"),"Fail"))</f>
        <v>Pass</v>
      </c>
      <c r="X166" s="396">
        <v>1340</v>
      </c>
      <c r="Y166" s="389"/>
      <c r="Z166" s="182"/>
      <c r="AA166" s="82">
        <v>270</v>
      </c>
      <c r="AB166" s="82">
        <v>370</v>
      </c>
      <c r="AC166" s="82">
        <v>300</v>
      </c>
      <c r="AD166" s="83">
        <v>390</v>
      </c>
      <c r="AE166" s="83">
        <v>20</v>
      </c>
      <c r="AF166" s="83">
        <v>14</v>
      </c>
    </row>
    <row r="167" spans="1:32" ht="15.6" x14ac:dyDescent="0.3">
      <c r="A167" s="221"/>
      <c r="B167" s="84"/>
      <c r="C167" s="84"/>
      <c r="D167" s="80" t="s">
        <v>187</v>
      </c>
      <c r="E167" s="81">
        <v>2111.71</v>
      </c>
      <c r="F167" s="81">
        <v>2115.5</v>
      </c>
      <c r="G167" s="81">
        <v>2117.87</v>
      </c>
      <c r="H167" s="81">
        <v>2127.58</v>
      </c>
      <c r="I167" s="81">
        <v>2134.8200000000002</v>
      </c>
      <c r="J167" s="81">
        <v>2138.2600000000002</v>
      </c>
      <c r="K167" s="81">
        <v>2148.21</v>
      </c>
      <c r="L167" s="81">
        <v>2148.4</v>
      </c>
      <c r="M167" s="81">
        <v>2147.5700000000002</v>
      </c>
      <c r="N167" s="81">
        <v>2139.89</v>
      </c>
      <c r="O167" s="81">
        <v>2123.94</v>
      </c>
      <c r="P167" s="81">
        <v>2124.84</v>
      </c>
      <c r="Q167" s="81">
        <v>2131</v>
      </c>
      <c r="R167" s="373"/>
      <c r="S167" s="373"/>
      <c r="T167" s="376"/>
      <c r="U167" s="376"/>
      <c r="V167" s="378"/>
      <c r="W167" s="381"/>
      <c r="X167" s="397"/>
      <c r="Y167" s="390"/>
      <c r="Z167" s="182"/>
      <c r="AA167" s="82"/>
      <c r="AB167" s="82"/>
      <c r="AC167" s="82"/>
      <c r="AD167" s="82"/>
      <c r="AE167" s="86"/>
      <c r="AF167" s="82"/>
    </row>
    <row r="168" spans="1:32" ht="30" x14ac:dyDescent="0.3">
      <c r="A168" s="221"/>
      <c r="B168" s="79"/>
      <c r="C168" s="79"/>
      <c r="D168" s="80" t="s">
        <v>188</v>
      </c>
      <c r="E168" s="85">
        <f t="shared" ref="E168:Q168" si="52">IF(((E166="")*AND(E167="")),"",(E166-E167))</f>
        <v>391.32999999999993</v>
      </c>
      <c r="F168" s="85">
        <f t="shared" si="52"/>
        <v>381.76000000000022</v>
      </c>
      <c r="G168" s="85">
        <f t="shared" si="52"/>
        <v>361.65000000000009</v>
      </c>
      <c r="H168" s="85">
        <f t="shared" si="52"/>
        <v>347.97000000000025</v>
      </c>
      <c r="I168" s="85">
        <f t="shared" si="52"/>
        <v>351.61999999999989</v>
      </c>
      <c r="J168" s="85">
        <f t="shared" si="52"/>
        <v>355.34999999999991</v>
      </c>
      <c r="K168" s="85">
        <f t="shared" si="52"/>
        <v>346.23</v>
      </c>
      <c r="L168" s="85">
        <f t="shared" si="52"/>
        <v>351.82999999999993</v>
      </c>
      <c r="M168" s="85">
        <f t="shared" si="52"/>
        <v>334.83999999999969</v>
      </c>
      <c r="N168" s="85">
        <f t="shared" si="52"/>
        <v>335.19000000000005</v>
      </c>
      <c r="O168" s="85">
        <f t="shared" si="52"/>
        <v>372.5</v>
      </c>
      <c r="P168" s="85">
        <f t="shared" si="52"/>
        <v>401</v>
      </c>
      <c r="Q168" s="85">
        <f t="shared" si="52"/>
        <v>361</v>
      </c>
      <c r="R168" s="374"/>
      <c r="S168" s="374"/>
      <c r="T168" s="377"/>
      <c r="U168" s="377"/>
      <c r="V168" s="379"/>
      <c r="W168" s="382"/>
      <c r="X168" s="398"/>
      <c r="Y168" s="391"/>
      <c r="Z168" s="182"/>
      <c r="AA168" s="82"/>
      <c r="AB168" s="82"/>
      <c r="AC168" s="82"/>
      <c r="AD168" s="82"/>
      <c r="AE168" s="86"/>
      <c r="AF168" s="82"/>
    </row>
    <row r="169" spans="1:32" ht="15" x14ac:dyDescent="0.25">
      <c r="A169" s="222">
        <v>43320</v>
      </c>
      <c r="B169" s="79" t="s">
        <v>235</v>
      </c>
      <c r="C169" s="79" t="s">
        <v>232</v>
      </c>
      <c r="D169" s="80" t="s">
        <v>186</v>
      </c>
      <c r="E169" s="81">
        <v>2871.85</v>
      </c>
      <c r="F169" s="81">
        <v>2805.2</v>
      </c>
      <c r="G169" s="81">
        <v>2796.28</v>
      </c>
      <c r="H169" s="81">
        <v>2803.08</v>
      </c>
      <c r="I169" s="81">
        <v>2863.49</v>
      </c>
      <c r="J169" s="81">
        <v>2864.37</v>
      </c>
      <c r="K169" s="81">
        <v>2798.13</v>
      </c>
      <c r="L169" s="81">
        <v>2818.78</v>
      </c>
      <c r="M169" s="81">
        <v>2920.3</v>
      </c>
      <c r="N169" s="81">
        <v>2806.06</v>
      </c>
      <c r="O169" s="81">
        <v>2825.74</v>
      </c>
      <c r="P169" s="81">
        <v>2802</v>
      </c>
      <c r="Q169" s="81">
        <v>2824.26</v>
      </c>
      <c r="R169" s="372">
        <f>IF((Q170=""),"",MAX(E171:Q171))</f>
        <v>370.4699999999998</v>
      </c>
      <c r="S169" s="372">
        <f>IF(Q170="","",MIN(E171:Q171))</f>
        <v>322.26000000000022</v>
      </c>
      <c r="T169" s="375">
        <f>IF((Q171=""),"",AVERAGE(E171:Q171))</f>
        <v>339.26923076923077</v>
      </c>
      <c r="U169" s="375">
        <f>IF((Q170=""),"",(R169-S169)/(R169+S169)*100)</f>
        <v>6.9594214196006492</v>
      </c>
      <c r="V169" s="375">
        <f>STDEV(E171:Q171)</f>
        <v>19.57756090593606</v>
      </c>
      <c r="W169" s="380" t="str">
        <f>IF(Q170="","",IF(T169&gt;300,IF(U169&lt;14,IF(T169&lt;390,"Pass","Fail"),"Fail"),"Fail"))</f>
        <v>Pass</v>
      </c>
      <c r="X169" s="396" t="s">
        <v>53</v>
      </c>
      <c r="Y169" s="253" t="s">
        <v>204</v>
      </c>
      <c r="Z169" s="182"/>
      <c r="AA169" s="82">
        <v>270</v>
      </c>
      <c r="AB169" s="82">
        <v>370</v>
      </c>
      <c r="AC169" s="82">
        <v>300</v>
      </c>
      <c r="AD169" s="83">
        <v>390</v>
      </c>
      <c r="AE169" s="83">
        <v>20</v>
      </c>
      <c r="AF169" s="83">
        <v>14</v>
      </c>
    </row>
    <row r="170" spans="1:32" ht="15.6" x14ac:dyDescent="0.3">
      <c r="A170" s="221"/>
      <c r="B170" s="84"/>
      <c r="C170" s="84"/>
      <c r="D170" s="80" t="s">
        <v>187</v>
      </c>
      <c r="E170" s="81">
        <v>2501.38</v>
      </c>
      <c r="F170" s="81">
        <v>2478.4499999999998</v>
      </c>
      <c r="G170" s="81">
        <v>2474.02</v>
      </c>
      <c r="H170" s="81">
        <v>2479.25</v>
      </c>
      <c r="I170" s="81">
        <v>2495.9</v>
      </c>
      <c r="J170" s="81">
        <v>2502.5100000000002</v>
      </c>
      <c r="K170" s="81">
        <v>2473.6</v>
      </c>
      <c r="L170" s="81">
        <v>2491.37</v>
      </c>
      <c r="M170" s="81">
        <v>2551.63</v>
      </c>
      <c r="N170" s="81">
        <v>2474.79</v>
      </c>
      <c r="O170" s="81">
        <v>2498.0500000000002</v>
      </c>
      <c r="P170" s="81">
        <v>2472.12</v>
      </c>
      <c r="Q170" s="81">
        <v>2495.9699999999998</v>
      </c>
      <c r="R170" s="373"/>
      <c r="S170" s="373"/>
      <c r="T170" s="376"/>
      <c r="U170" s="376"/>
      <c r="V170" s="378"/>
      <c r="W170" s="381"/>
      <c r="X170" s="397"/>
      <c r="Y170" s="254"/>
      <c r="Z170" s="182"/>
      <c r="AA170" s="82"/>
      <c r="AB170" s="82"/>
      <c r="AC170" s="82"/>
      <c r="AD170" s="82"/>
      <c r="AE170" s="86"/>
      <c r="AF170" s="82"/>
    </row>
    <row r="171" spans="1:32" ht="30" x14ac:dyDescent="0.3">
      <c r="A171" s="221"/>
      <c r="B171" s="79"/>
      <c r="C171" s="79"/>
      <c r="D171" s="80" t="s">
        <v>188</v>
      </c>
      <c r="E171" s="85">
        <f t="shared" ref="E171:Q171" si="53">IF(((E169="")*AND(E170="")),"",(E169-E170))</f>
        <v>370.4699999999998</v>
      </c>
      <c r="F171" s="85">
        <f t="shared" si="53"/>
        <v>326.75</v>
      </c>
      <c r="G171" s="85">
        <f t="shared" si="53"/>
        <v>322.26000000000022</v>
      </c>
      <c r="H171" s="85">
        <f t="shared" si="53"/>
        <v>323.82999999999993</v>
      </c>
      <c r="I171" s="85">
        <f t="shared" si="53"/>
        <v>367.58999999999969</v>
      </c>
      <c r="J171" s="85">
        <f t="shared" si="53"/>
        <v>361.85999999999967</v>
      </c>
      <c r="K171" s="85">
        <f t="shared" si="53"/>
        <v>324.5300000000002</v>
      </c>
      <c r="L171" s="85">
        <f t="shared" si="53"/>
        <v>327.41000000000031</v>
      </c>
      <c r="M171" s="85">
        <f t="shared" si="53"/>
        <v>368.67000000000007</v>
      </c>
      <c r="N171" s="85">
        <f t="shared" si="53"/>
        <v>331.27</v>
      </c>
      <c r="O171" s="85">
        <f t="shared" si="53"/>
        <v>327.6899999999996</v>
      </c>
      <c r="P171" s="85">
        <f t="shared" si="53"/>
        <v>329.88000000000011</v>
      </c>
      <c r="Q171" s="85">
        <f t="shared" si="53"/>
        <v>328.29000000000042</v>
      </c>
      <c r="R171" s="374"/>
      <c r="S171" s="374"/>
      <c r="T171" s="377"/>
      <c r="U171" s="377"/>
      <c r="V171" s="379"/>
      <c r="W171" s="382"/>
      <c r="X171" s="398"/>
      <c r="Y171" s="255"/>
      <c r="Z171" s="182"/>
      <c r="AA171" s="82"/>
      <c r="AB171" s="82"/>
      <c r="AC171" s="82"/>
      <c r="AD171" s="82"/>
      <c r="AE171" s="86"/>
      <c r="AF171" s="82"/>
    </row>
    <row r="172" spans="1:32" ht="15" x14ac:dyDescent="0.25">
      <c r="A172" s="222">
        <v>43322</v>
      </c>
      <c r="B172" s="79" t="s">
        <v>235</v>
      </c>
      <c r="C172" s="79" t="s">
        <v>232</v>
      </c>
      <c r="D172" s="80" t="s">
        <v>186</v>
      </c>
      <c r="E172" s="81">
        <v>2501.17</v>
      </c>
      <c r="F172" s="81">
        <v>2478.6</v>
      </c>
      <c r="G172" s="81">
        <v>2471.2399999999998</v>
      </c>
      <c r="H172" s="81">
        <v>2473.69</v>
      </c>
      <c r="I172" s="81">
        <v>2495.11</v>
      </c>
      <c r="J172" s="81">
        <v>2500.2800000000002</v>
      </c>
      <c r="K172" s="81">
        <v>2474.6999999999998</v>
      </c>
      <c r="L172" s="81">
        <v>2490.9499999999998</v>
      </c>
      <c r="M172" s="81">
        <v>2554.4899999999998</v>
      </c>
      <c r="N172" s="81">
        <v>2476.25</v>
      </c>
      <c r="O172" s="81">
        <v>2495.36</v>
      </c>
      <c r="P172" s="81">
        <v>2470.92</v>
      </c>
      <c r="Q172" s="81">
        <v>2497.44</v>
      </c>
      <c r="R172" s="372">
        <f>IF((Q173=""),"",MAX(E174:Q174))</f>
        <v>414.5</v>
      </c>
      <c r="S172" s="372">
        <f>IF(Q173="","",MIN(E174:Q174))</f>
        <v>353.19000000000005</v>
      </c>
      <c r="T172" s="375">
        <f>IF((Q174=""),"",AVERAGE(E174:Q174))</f>
        <v>374.51692307692315</v>
      </c>
      <c r="U172" s="375">
        <f>IF((Q173=""),"",(R172-S172)/(R172+S172)*100)</f>
        <v>7.9862965519936351</v>
      </c>
      <c r="V172" s="375">
        <f>STDEV(E174:Q174)</f>
        <v>18.28849519261372</v>
      </c>
      <c r="W172" s="380" t="str">
        <f>IF(Q173="","",IF(T172&gt;300,IF(U172&lt;14,IF(T172&lt;390,"Pass","Fail"),"Fail"),"Fail"))</f>
        <v>Pass</v>
      </c>
      <c r="X172" s="383">
        <v>1428</v>
      </c>
      <c r="Y172" s="253" t="s">
        <v>240</v>
      </c>
      <c r="Z172" s="182"/>
      <c r="AA172" s="82">
        <v>270</v>
      </c>
      <c r="AB172" s="82">
        <v>370</v>
      </c>
      <c r="AC172" s="82">
        <v>300</v>
      </c>
      <c r="AD172" s="83">
        <v>390</v>
      </c>
      <c r="AE172" s="83">
        <v>20</v>
      </c>
      <c r="AF172" s="83">
        <v>14</v>
      </c>
    </row>
    <row r="173" spans="1:32" ht="15.6" x14ac:dyDescent="0.3">
      <c r="A173" s="221"/>
      <c r="B173" s="84"/>
      <c r="C173" s="84"/>
      <c r="D173" s="80" t="s">
        <v>187</v>
      </c>
      <c r="E173" s="81">
        <v>2093.2800000000002</v>
      </c>
      <c r="F173" s="81">
        <v>2102.2800000000002</v>
      </c>
      <c r="G173" s="81">
        <v>2111.5</v>
      </c>
      <c r="H173" s="81">
        <v>2111.35</v>
      </c>
      <c r="I173" s="81">
        <v>2130.87</v>
      </c>
      <c r="J173" s="81">
        <v>2132.85</v>
      </c>
      <c r="K173" s="81">
        <v>2116.58</v>
      </c>
      <c r="L173" s="81">
        <v>2113.6</v>
      </c>
      <c r="M173" s="81">
        <v>2139.9899999999998</v>
      </c>
      <c r="N173" s="81">
        <v>2104.89</v>
      </c>
      <c r="O173" s="81">
        <v>2119.2199999999998</v>
      </c>
      <c r="P173" s="81">
        <v>2117.73</v>
      </c>
      <c r="Q173" s="81">
        <v>2117.34</v>
      </c>
      <c r="R173" s="373"/>
      <c r="S173" s="373"/>
      <c r="T173" s="376"/>
      <c r="U173" s="376"/>
      <c r="V173" s="378"/>
      <c r="W173" s="381"/>
      <c r="X173" s="384"/>
      <c r="Y173" s="254"/>
      <c r="Z173" s="182"/>
      <c r="AA173" s="82"/>
      <c r="AB173" s="82"/>
      <c r="AC173" s="82"/>
      <c r="AD173" s="82"/>
      <c r="AE173" s="86"/>
      <c r="AF173" s="82"/>
    </row>
    <row r="174" spans="1:32" ht="30" x14ac:dyDescent="0.3">
      <c r="A174" s="221"/>
      <c r="B174" s="79"/>
      <c r="C174" s="79"/>
      <c r="D174" s="80" t="s">
        <v>188</v>
      </c>
      <c r="E174" s="85">
        <f t="shared" ref="E174:Q174" si="54">IF(((E172="")*AND(E173="")),"",(E172-E173))</f>
        <v>407.88999999999987</v>
      </c>
      <c r="F174" s="85">
        <f t="shared" si="54"/>
        <v>376.31999999999971</v>
      </c>
      <c r="G174" s="85">
        <f t="shared" si="54"/>
        <v>359.73999999999978</v>
      </c>
      <c r="H174" s="85">
        <f t="shared" si="54"/>
        <v>362.34000000000015</v>
      </c>
      <c r="I174" s="85">
        <f t="shared" si="54"/>
        <v>364.24000000000024</v>
      </c>
      <c r="J174" s="85">
        <f t="shared" si="54"/>
        <v>367.43000000000029</v>
      </c>
      <c r="K174" s="85">
        <f t="shared" si="54"/>
        <v>358.11999999999989</v>
      </c>
      <c r="L174" s="85">
        <f t="shared" si="54"/>
        <v>377.34999999999991</v>
      </c>
      <c r="M174" s="85">
        <f t="shared" si="54"/>
        <v>414.5</v>
      </c>
      <c r="N174" s="85">
        <f t="shared" si="54"/>
        <v>371.36000000000013</v>
      </c>
      <c r="O174" s="85">
        <f t="shared" si="54"/>
        <v>376.14000000000033</v>
      </c>
      <c r="P174" s="85">
        <f t="shared" si="54"/>
        <v>353.19000000000005</v>
      </c>
      <c r="Q174" s="85">
        <f t="shared" si="54"/>
        <v>380.09999999999991</v>
      </c>
      <c r="R174" s="374"/>
      <c r="S174" s="374"/>
      <c r="T174" s="377"/>
      <c r="U174" s="377"/>
      <c r="V174" s="379"/>
      <c r="W174" s="382"/>
      <c r="X174" s="385"/>
      <c r="Y174" s="255"/>
      <c r="Z174" s="182"/>
      <c r="AA174" s="82"/>
      <c r="AB174" s="82"/>
      <c r="AC174" s="82"/>
      <c r="AD174" s="82"/>
      <c r="AE174" s="86"/>
      <c r="AF174" s="82"/>
    </row>
    <row r="175" spans="1:32" ht="15" x14ac:dyDescent="0.25">
      <c r="A175" s="222">
        <v>43328</v>
      </c>
      <c r="B175" s="79" t="s">
        <v>235</v>
      </c>
      <c r="C175" s="79" t="s">
        <v>232</v>
      </c>
      <c r="D175" s="80" t="s">
        <v>186</v>
      </c>
      <c r="E175" s="81">
        <v>2876.69</v>
      </c>
      <c r="F175" s="81">
        <v>2811.12</v>
      </c>
      <c r="G175" s="81">
        <v>2799.38</v>
      </c>
      <c r="H175" s="81">
        <v>2802.74</v>
      </c>
      <c r="I175" s="81">
        <v>2863.93</v>
      </c>
      <c r="J175" s="81">
        <v>2870.54</v>
      </c>
      <c r="K175" s="81">
        <v>2799.94</v>
      </c>
      <c r="L175" s="81">
        <v>2822.51</v>
      </c>
      <c r="M175" s="81">
        <v>2924.07</v>
      </c>
      <c r="N175" s="81">
        <v>2810.91</v>
      </c>
      <c r="O175" s="81">
        <v>2825.02</v>
      </c>
      <c r="P175" s="81">
        <v>2801.45</v>
      </c>
      <c r="Q175" s="81">
        <v>2830.77</v>
      </c>
      <c r="R175" s="372">
        <f>IF((Q176=""),"",MAX(E177:Q177))</f>
        <v>372.46000000000004</v>
      </c>
      <c r="S175" s="372">
        <f>IF(Q176="","",MIN(E177:Q177))</f>
        <v>318.62999999999965</v>
      </c>
      <c r="T175" s="375">
        <f>IF((Q177=""),"",AVERAGE(E177:Q177))</f>
        <v>336.11846153846147</v>
      </c>
      <c r="U175" s="375">
        <f>IF((Q176=""),"",(R175-S175)/(R175+S175)*100)</f>
        <v>7.7891446844839898</v>
      </c>
      <c r="V175" s="375">
        <f>STDEV(E177:Q177)</f>
        <v>21.194429239053168</v>
      </c>
      <c r="W175" s="380" t="str">
        <f>IF(Q176="","",IF(T175&gt;300,IF(U175&lt;14,IF(T175&lt;390,"Pass","Fail"),"Fail"),"Fail"))</f>
        <v>Pass</v>
      </c>
      <c r="X175" s="383">
        <v>1335</v>
      </c>
      <c r="Y175" s="389"/>
      <c r="Z175" s="182"/>
      <c r="AA175" s="82">
        <v>270</v>
      </c>
      <c r="AB175" s="82">
        <v>370</v>
      </c>
      <c r="AC175" s="82">
        <v>300</v>
      </c>
      <c r="AD175" s="83">
        <v>390</v>
      </c>
      <c r="AE175" s="83">
        <v>20</v>
      </c>
      <c r="AF175" s="83">
        <v>14</v>
      </c>
    </row>
    <row r="176" spans="1:32" ht="15.6" x14ac:dyDescent="0.3">
      <c r="A176" s="221"/>
      <c r="B176" s="84"/>
      <c r="C176" s="84"/>
      <c r="D176" s="80" t="s">
        <v>187</v>
      </c>
      <c r="E176" s="81">
        <v>2509.02</v>
      </c>
      <c r="F176" s="81">
        <v>2487.85</v>
      </c>
      <c r="G176" s="81">
        <v>2478.33</v>
      </c>
      <c r="H176" s="81">
        <v>2484.11</v>
      </c>
      <c r="I176" s="81">
        <v>2500.36</v>
      </c>
      <c r="J176" s="81">
        <v>2509.16</v>
      </c>
      <c r="K176" s="81">
        <v>2479.81</v>
      </c>
      <c r="L176" s="81">
        <v>2496.4699999999998</v>
      </c>
      <c r="M176" s="81">
        <v>2551.61</v>
      </c>
      <c r="N176" s="81">
        <v>2486.0500000000002</v>
      </c>
      <c r="O176" s="81">
        <v>2501.5300000000002</v>
      </c>
      <c r="P176" s="81">
        <v>2481.3000000000002</v>
      </c>
      <c r="Q176" s="81">
        <v>2503.9299999999998</v>
      </c>
      <c r="R176" s="373"/>
      <c r="S176" s="373"/>
      <c r="T176" s="376"/>
      <c r="U176" s="376"/>
      <c r="V176" s="378"/>
      <c r="W176" s="381"/>
      <c r="X176" s="384"/>
      <c r="Y176" s="390"/>
      <c r="Z176" s="182"/>
      <c r="AA176" s="82"/>
      <c r="AB176" s="82"/>
      <c r="AC176" s="82"/>
      <c r="AD176" s="82"/>
      <c r="AE176" s="86"/>
      <c r="AF176" s="82"/>
    </row>
    <row r="177" spans="1:32" ht="30" x14ac:dyDescent="0.3">
      <c r="A177" s="221"/>
      <c r="B177" s="79"/>
      <c r="C177" s="79"/>
      <c r="D177" s="80" t="s">
        <v>188</v>
      </c>
      <c r="E177" s="85">
        <f t="shared" ref="E177:Q177" si="55">IF(((E175="")*AND(E176="")),"",(E175-E176))</f>
        <v>367.67000000000007</v>
      </c>
      <c r="F177" s="85">
        <f t="shared" si="55"/>
        <v>323.27</v>
      </c>
      <c r="G177" s="85">
        <f t="shared" si="55"/>
        <v>321.05000000000018</v>
      </c>
      <c r="H177" s="85">
        <f t="shared" si="55"/>
        <v>318.62999999999965</v>
      </c>
      <c r="I177" s="85">
        <f t="shared" si="55"/>
        <v>363.56999999999971</v>
      </c>
      <c r="J177" s="85">
        <f t="shared" si="55"/>
        <v>361.38000000000011</v>
      </c>
      <c r="K177" s="85">
        <f t="shared" si="55"/>
        <v>320.13000000000011</v>
      </c>
      <c r="L177" s="85">
        <f t="shared" si="55"/>
        <v>326.04000000000042</v>
      </c>
      <c r="M177" s="85">
        <f t="shared" si="55"/>
        <v>372.46000000000004</v>
      </c>
      <c r="N177" s="85">
        <f t="shared" si="55"/>
        <v>324.85999999999967</v>
      </c>
      <c r="O177" s="85">
        <f t="shared" si="55"/>
        <v>323.48999999999978</v>
      </c>
      <c r="P177" s="85">
        <f t="shared" si="55"/>
        <v>320.14999999999964</v>
      </c>
      <c r="Q177" s="85">
        <f t="shared" si="55"/>
        <v>326.84000000000015</v>
      </c>
      <c r="R177" s="374"/>
      <c r="S177" s="374"/>
      <c r="T177" s="377"/>
      <c r="U177" s="377"/>
      <c r="V177" s="379"/>
      <c r="W177" s="382"/>
      <c r="X177" s="385"/>
      <c r="Y177" s="391"/>
      <c r="Z177" s="182"/>
      <c r="AA177" s="82"/>
      <c r="AB177" s="82"/>
      <c r="AC177" s="82"/>
      <c r="AD177" s="82"/>
      <c r="AE177" s="86"/>
      <c r="AF177" s="82"/>
    </row>
    <row r="178" spans="1:32" ht="15" x14ac:dyDescent="0.25">
      <c r="A178" s="222">
        <v>43332</v>
      </c>
      <c r="B178" s="79" t="s">
        <v>235</v>
      </c>
      <c r="C178" s="79" t="s">
        <v>232</v>
      </c>
      <c r="D178" s="80" t="s">
        <v>186</v>
      </c>
      <c r="E178" s="81">
        <v>2509.02</v>
      </c>
      <c r="F178" s="81">
        <v>2487.85</v>
      </c>
      <c r="G178" s="81">
        <v>2478.33</v>
      </c>
      <c r="H178" s="81">
        <v>2484.11</v>
      </c>
      <c r="I178" s="81">
        <v>2500.36</v>
      </c>
      <c r="J178" s="81">
        <v>2509.16</v>
      </c>
      <c r="K178" s="81">
        <v>2479.81</v>
      </c>
      <c r="L178" s="81">
        <v>2496.4699999999998</v>
      </c>
      <c r="M178" s="81">
        <v>2551.61</v>
      </c>
      <c r="N178" s="81">
        <v>2486.0500000000002</v>
      </c>
      <c r="O178" s="81">
        <v>2501.5300000000002</v>
      </c>
      <c r="P178" s="81">
        <v>2481.3000000000002</v>
      </c>
      <c r="Q178" s="81">
        <v>2503.9299999999998</v>
      </c>
      <c r="R178" s="372">
        <f>IF((Q179=""),"",MAX(E180:Q180))</f>
        <v>430.61000000000013</v>
      </c>
      <c r="S178" s="372">
        <f>IF(Q179="","",MIN(E180:Q180))</f>
        <v>354.10000000000036</v>
      </c>
      <c r="T178" s="375">
        <f>IF((Q180=""),"",AVERAGE(E180:Q180))</f>
        <v>378.94461538461542</v>
      </c>
      <c r="U178" s="375">
        <f>IF((Q179=""),"",(R178-S178)/(R178+S178)*100)</f>
        <v>9.7500987626001603</v>
      </c>
      <c r="V178" s="375">
        <f>STDEV(E180:Q180)</f>
        <v>21.668073524344745</v>
      </c>
      <c r="W178" s="380" t="str">
        <f>IF(Q179="","",IF(T178&gt;300,IF(U178&lt;14,IF(T178&lt;390,"Pass","Fail"),"Fail"),"Fail"))</f>
        <v>Pass</v>
      </c>
      <c r="X178" s="383">
        <v>1340</v>
      </c>
      <c r="Y178" s="389"/>
      <c r="Z178" s="182"/>
      <c r="AA178" s="82">
        <v>270</v>
      </c>
      <c r="AB178" s="82">
        <v>370</v>
      </c>
      <c r="AC178" s="82">
        <v>300</v>
      </c>
      <c r="AD178" s="83">
        <v>390</v>
      </c>
      <c r="AE178" s="83">
        <v>20</v>
      </c>
      <c r="AF178" s="83">
        <v>14</v>
      </c>
    </row>
    <row r="179" spans="1:32" ht="15.6" x14ac:dyDescent="0.3">
      <c r="A179" s="221"/>
      <c r="B179" s="84"/>
      <c r="C179" s="84"/>
      <c r="D179" s="80" t="s">
        <v>187</v>
      </c>
      <c r="E179" s="81">
        <v>2100.69</v>
      </c>
      <c r="F179" s="81">
        <v>2108.7800000000002</v>
      </c>
      <c r="G179" s="81">
        <v>2112.02</v>
      </c>
      <c r="H179" s="81">
        <v>2118.98</v>
      </c>
      <c r="I179" s="81">
        <v>2135.34</v>
      </c>
      <c r="J179" s="81">
        <v>2140.9499999999998</v>
      </c>
      <c r="K179" s="81">
        <v>2124.21</v>
      </c>
      <c r="L179" s="81">
        <v>2112.58</v>
      </c>
      <c r="M179" s="81">
        <v>2121</v>
      </c>
      <c r="N179" s="81">
        <v>2113.91</v>
      </c>
      <c r="O179" s="81">
        <v>2114.7199999999998</v>
      </c>
      <c r="P179" s="81">
        <v>2127.1999999999998</v>
      </c>
      <c r="Q179" s="81">
        <v>2112.87</v>
      </c>
      <c r="R179" s="373"/>
      <c r="S179" s="373"/>
      <c r="T179" s="376"/>
      <c r="U179" s="376"/>
      <c r="V179" s="378"/>
      <c r="W179" s="381"/>
      <c r="X179" s="384"/>
      <c r="Y179" s="390"/>
      <c r="Z179" s="182"/>
      <c r="AA179" s="82"/>
      <c r="AB179" s="82"/>
      <c r="AC179" s="82"/>
      <c r="AD179" s="82"/>
      <c r="AE179" s="86"/>
      <c r="AF179" s="82"/>
    </row>
    <row r="180" spans="1:32" ht="30" x14ac:dyDescent="0.3">
      <c r="A180" s="221"/>
      <c r="B180" s="79"/>
      <c r="C180" s="79"/>
      <c r="D180" s="80" t="s">
        <v>188</v>
      </c>
      <c r="E180" s="85">
        <f t="shared" ref="E180:Q180" si="56">IF(((E178="")*AND(E179="")),"",(E178-E179))</f>
        <v>408.32999999999993</v>
      </c>
      <c r="F180" s="85">
        <f t="shared" si="56"/>
        <v>379.06999999999971</v>
      </c>
      <c r="G180" s="85">
        <f t="shared" si="56"/>
        <v>366.30999999999995</v>
      </c>
      <c r="H180" s="85">
        <f t="shared" si="56"/>
        <v>365.13000000000011</v>
      </c>
      <c r="I180" s="85">
        <f t="shared" si="56"/>
        <v>365.02</v>
      </c>
      <c r="J180" s="85">
        <f t="shared" si="56"/>
        <v>368.21000000000004</v>
      </c>
      <c r="K180" s="85">
        <f t="shared" si="56"/>
        <v>355.59999999999991</v>
      </c>
      <c r="L180" s="85">
        <f t="shared" si="56"/>
        <v>383.88999999999987</v>
      </c>
      <c r="M180" s="85">
        <f t="shared" si="56"/>
        <v>430.61000000000013</v>
      </c>
      <c r="N180" s="85">
        <f t="shared" si="56"/>
        <v>372.14000000000033</v>
      </c>
      <c r="O180" s="85">
        <f t="shared" si="56"/>
        <v>386.8100000000004</v>
      </c>
      <c r="P180" s="85">
        <f t="shared" si="56"/>
        <v>354.10000000000036</v>
      </c>
      <c r="Q180" s="85">
        <f t="shared" si="56"/>
        <v>391.05999999999995</v>
      </c>
      <c r="R180" s="374"/>
      <c r="S180" s="374"/>
      <c r="T180" s="377"/>
      <c r="U180" s="377"/>
      <c r="V180" s="379"/>
      <c r="W180" s="382"/>
      <c r="X180" s="385"/>
      <c r="Y180" s="391"/>
      <c r="Z180" s="182"/>
      <c r="AA180" s="82"/>
      <c r="AB180" s="82"/>
      <c r="AC180" s="82"/>
      <c r="AD180" s="82"/>
      <c r="AE180" s="86"/>
      <c r="AF180" s="82"/>
    </row>
    <row r="181" spans="1:32" ht="15" x14ac:dyDescent="0.25">
      <c r="A181" s="222">
        <v>43335</v>
      </c>
      <c r="B181" s="79" t="s">
        <v>235</v>
      </c>
      <c r="C181" s="79" t="s">
        <v>232</v>
      </c>
      <c r="D181" s="80" t="s">
        <v>186</v>
      </c>
      <c r="E181" s="81">
        <v>2779</v>
      </c>
      <c r="F181" s="81">
        <v>2717</v>
      </c>
      <c r="G181" s="81">
        <v>2708</v>
      </c>
      <c r="H181" s="81">
        <v>2713</v>
      </c>
      <c r="I181" s="81">
        <v>2781</v>
      </c>
      <c r="J181" s="81">
        <v>2822</v>
      </c>
      <c r="K181" s="81">
        <v>2726</v>
      </c>
      <c r="L181" s="81">
        <v>2711</v>
      </c>
      <c r="M181" s="81">
        <v>2790</v>
      </c>
      <c r="N181" s="81">
        <v>2733</v>
      </c>
      <c r="O181" s="81">
        <v>2718</v>
      </c>
      <c r="P181" s="81">
        <v>2731</v>
      </c>
      <c r="Q181" s="81">
        <v>2719</v>
      </c>
      <c r="R181" s="372">
        <f>IF((Q182=""),"",MAX(E183:Q183))</f>
        <v>371</v>
      </c>
      <c r="S181" s="372">
        <f>IF(Q182="","",MIN(E183:Q183))</f>
        <v>324</v>
      </c>
      <c r="T181" s="375">
        <f>IF((Q183=""),"",AVERAGE(E183:Q183))</f>
        <v>340.23076923076923</v>
      </c>
      <c r="U181" s="375">
        <f>IF((Q182=""),"",(R181-S181)/(R181+S181)*100)</f>
        <v>6.7625899280575537</v>
      </c>
      <c r="V181" s="375">
        <f>STDEV(E183:Q183)</f>
        <v>20.20376964064646</v>
      </c>
      <c r="W181" s="380" t="str">
        <f>IF(Q182="","",IF(T181&gt;300,IF(U181&lt;14,IF(T181&lt;390,"Pass","Fail"),"Fail"),"Fail"))</f>
        <v>Pass</v>
      </c>
      <c r="X181" s="383">
        <v>1340</v>
      </c>
      <c r="Y181" s="389"/>
      <c r="Z181" s="182"/>
      <c r="AA181" s="82">
        <v>270</v>
      </c>
      <c r="AB181" s="82">
        <v>370</v>
      </c>
      <c r="AC181" s="82">
        <v>300</v>
      </c>
      <c r="AD181" s="83">
        <v>390</v>
      </c>
      <c r="AE181" s="83">
        <v>20</v>
      </c>
      <c r="AF181" s="83">
        <v>14</v>
      </c>
    </row>
    <row r="182" spans="1:32" ht="15.6" x14ac:dyDescent="0.3">
      <c r="A182" s="221"/>
      <c r="B182" s="84"/>
      <c r="C182" s="84"/>
      <c r="D182" s="80" t="s">
        <v>187</v>
      </c>
      <c r="E182" s="81">
        <v>2408</v>
      </c>
      <c r="F182" s="81">
        <v>2388</v>
      </c>
      <c r="G182" s="81">
        <v>2382</v>
      </c>
      <c r="H182" s="81">
        <v>2389</v>
      </c>
      <c r="I182" s="81">
        <v>2414</v>
      </c>
      <c r="J182" s="81">
        <v>2454</v>
      </c>
      <c r="K182" s="81">
        <v>2398</v>
      </c>
      <c r="L182" s="81">
        <v>2384</v>
      </c>
      <c r="M182" s="81">
        <v>2419</v>
      </c>
      <c r="N182" s="81">
        <v>2405</v>
      </c>
      <c r="O182" s="81">
        <v>2390</v>
      </c>
      <c r="P182" s="81">
        <v>2404</v>
      </c>
      <c r="Q182" s="81">
        <v>2390</v>
      </c>
      <c r="R182" s="373"/>
      <c r="S182" s="373"/>
      <c r="T182" s="376"/>
      <c r="U182" s="376"/>
      <c r="V182" s="378"/>
      <c r="W182" s="381"/>
      <c r="X182" s="384"/>
      <c r="Y182" s="390"/>
      <c r="Z182" s="182"/>
      <c r="AA182" s="82"/>
      <c r="AB182" s="82"/>
      <c r="AC182" s="82"/>
      <c r="AD182" s="82"/>
      <c r="AE182" s="86"/>
      <c r="AF182" s="82"/>
    </row>
    <row r="183" spans="1:32" ht="30" x14ac:dyDescent="0.3">
      <c r="A183" s="221"/>
      <c r="B183" s="79"/>
      <c r="C183" s="79"/>
      <c r="D183" s="80" t="s">
        <v>188</v>
      </c>
      <c r="E183" s="85">
        <f t="shared" ref="E183:Q183" si="57">IF(((E181="")*AND(E182="")),"",(E181-E182))</f>
        <v>371</v>
      </c>
      <c r="F183" s="85">
        <f t="shared" si="57"/>
        <v>329</v>
      </c>
      <c r="G183" s="85">
        <f t="shared" si="57"/>
        <v>326</v>
      </c>
      <c r="H183" s="85">
        <f t="shared" si="57"/>
        <v>324</v>
      </c>
      <c r="I183" s="85">
        <f t="shared" si="57"/>
        <v>367</v>
      </c>
      <c r="J183" s="85">
        <f t="shared" si="57"/>
        <v>368</v>
      </c>
      <c r="K183" s="85">
        <f t="shared" si="57"/>
        <v>328</v>
      </c>
      <c r="L183" s="85">
        <f t="shared" si="57"/>
        <v>327</v>
      </c>
      <c r="M183" s="85">
        <f t="shared" si="57"/>
        <v>371</v>
      </c>
      <c r="N183" s="85">
        <f t="shared" si="57"/>
        <v>328</v>
      </c>
      <c r="O183" s="85">
        <f t="shared" si="57"/>
        <v>328</v>
      </c>
      <c r="P183" s="85">
        <f t="shared" si="57"/>
        <v>327</v>
      </c>
      <c r="Q183" s="85">
        <f t="shared" si="57"/>
        <v>329</v>
      </c>
      <c r="R183" s="374"/>
      <c r="S183" s="374"/>
      <c r="T183" s="377"/>
      <c r="U183" s="377"/>
      <c r="V183" s="379"/>
      <c r="W183" s="382"/>
      <c r="X183" s="385"/>
      <c r="Y183" s="391"/>
      <c r="Z183" s="182"/>
      <c r="AA183" s="82"/>
      <c r="AB183" s="82"/>
      <c r="AC183" s="82"/>
      <c r="AD183" s="82"/>
      <c r="AE183" s="86"/>
      <c r="AF183" s="82"/>
    </row>
    <row r="184" spans="1:32" ht="15" x14ac:dyDescent="0.25">
      <c r="A184" s="222">
        <v>43338</v>
      </c>
      <c r="B184" s="79" t="s">
        <v>235</v>
      </c>
      <c r="C184" s="79" t="s">
        <v>232</v>
      </c>
      <c r="D184" s="80" t="s">
        <v>186</v>
      </c>
      <c r="E184" s="81">
        <v>2406.9299999999998</v>
      </c>
      <c r="F184" s="81">
        <v>2384.1999999999998</v>
      </c>
      <c r="G184" s="81">
        <v>2384.7399999999998</v>
      </c>
      <c r="H184" s="81">
        <v>2383.9499999999998</v>
      </c>
      <c r="I184" s="81">
        <v>2414.65</v>
      </c>
      <c r="J184" s="81">
        <v>2452.36</v>
      </c>
      <c r="K184" s="81">
        <v>2397.83</v>
      </c>
      <c r="L184" s="81">
        <v>2363.16</v>
      </c>
      <c r="M184" s="81">
        <v>2318.09</v>
      </c>
      <c r="N184" s="81">
        <v>2403.2800000000002</v>
      </c>
      <c r="O184" s="81">
        <v>2392.04</v>
      </c>
      <c r="P184" s="81">
        <v>2467.5500000000002</v>
      </c>
      <c r="Q184" s="81">
        <v>2389.81</v>
      </c>
      <c r="R184" s="372">
        <f>IF((Q185=""),"",MAX(E186:Q186))</f>
        <v>420.33999999999992</v>
      </c>
      <c r="S184" s="372">
        <f>IF(Q185="","",MIN(E186:Q186))</f>
        <v>319.71000000000004</v>
      </c>
      <c r="T184" s="375">
        <f>IF((Q186=""),"",AVERAGE(E186:Q186))</f>
        <v>348.14692307692309</v>
      </c>
      <c r="U184" s="375">
        <f>IF((Q185=""),"",(R184-S184)/(R184+S184)*100)</f>
        <v>13.597729883115992</v>
      </c>
      <c r="V184" s="375">
        <f>STDEV(E186:Q186)</f>
        <v>28.341255672198496</v>
      </c>
      <c r="W184" s="380" t="str">
        <f>IF(Q185="","",IF(T184&gt;300,IF(U184&lt;14,IF(T184&lt;390,"Pass","Fail"),"Fail"),"Fail"))</f>
        <v>Pass</v>
      </c>
      <c r="X184" s="383">
        <v>102</v>
      </c>
      <c r="Y184" s="389"/>
      <c r="Z184" s="182"/>
      <c r="AA184" s="82">
        <v>270</v>
      </c>
      <c r="AB184" s="82">
        <v>370</v>
      </c>
      <c r="AC184" s="82">
        <v>300</v>
      </c>
      <c r="AD184" s="83">
        <v>390</v>
      </c>
      <c r="AE184" s="83">
        <v>20</v>
      </c>
      <c r="AF184" s="83">
        <v>14</v>
      </c>
    </row>
    <row r="185" spans="1:32" ht="15.6" x14ac:dyDescent="0.3">
      <c r="A185" s="221"/>
      <c r="B185" s="84"/>
      <c r="C185" s="84"/>
      <c r="D185" s="80" t="s">
        <v>187</v>
      </c>
      <c r="E185" s="81">
        <v>1986.59</v>
      </c>
      <c r="F185" s="81">
        <v>2041.75</v>
      </c>
      <c r="G185" s="81">
        <v>2043.8</v>
      </c>
      <c r="H185" s="81">
        <v>2058.3200000000002</v>
      </c>
      <c r="I185" s="81">
        <v>2056.9699999999998</v>
      </c>
      <c r="J185" s="81">
        <v>2121.35</v>
      </c>
      <c r="K185" s="81">
        <v>2078.12</v>
      </c>
      <c r="L185" s="81">
        <v>2030.18</v>
      </c>
      <c r="M185" s="81">
        <v>1995.86</v>
      </c>
      <c r="N185" s="81">
        <v>2066.12</v>
      </c>
      <c r="O185" s="81">
        <v>2048.33</v>
      </c>
      <c r="P185" s="81">
        <v>2086.79</v>
      </c>
      <c r="Q185" s="81">
        <v>2018.5</v>
      </c>
      <c r="R185" s="373"/>
      <c r="S185" s="373"/>
      <c r="T185" s="376"/>
      <c r="U185" s="376"/>
      <c r="V185" s="378"/>
      <c r="W185" s="381"/>
      <c r="X185" s="384"/>
      <c r="Y185" s="390"/>
      <c r="Z185" s="182"/>
      <c r="AA185" s="82"/>
      <c r="AB185" s="82"/>
      <c r="AC185" s="82"/>
      <c r="AD185" s="82"/>
      <c r="AE185" s="86"/>
      <c r="AF185" s="82"/>
    </row>
    <row r="186" spans="1:32" ht="30" x14ac:dyDescent="0.3">
      <c r="A186" s="221"/>
      <c r="B186" s="79"/>
      <c r="C186" s="79"/>
      <c r="D186" s="80" t="s">
        <v>188</v>
      </c>
      <c r="E186" s="85">
        <f t="shared" ref="E186:Q186" si="58">IF(((E184="")*AND(E185="")),"",(E184-E185))</f>
        <v>420.33999999999992</v>
      </c>
      <c r="F186" s="85">
        <f t="shared" si="58"/>
        <v>342.44999999999982</v>
      </c>
      <c r="G186" s="85">
        <f t="shared" si="58"/>
        <v>340.93999999999983</v>
      </c>
      <c r="H186" s="85">
        <f t="shared" si="58"/>
        <v>325.62999999999965</v>
      </c>
      <c r="I186" s="85">
        <f t="shared" si="58"/>
        <v>357.68000000000029</v>
      </c>
      <c r="J186" s="85">
        <f t="shared" si="58"/>
        <v>331.01000000000022</v>
      </c>
      <c r="K186" s="85">
        <f t="shared" si="58"/>
        <v>319.71000000000004</v>
      </c>
      <c r="L186" s="85">
        <f t="shared" si="58"/>
        <v>332.97999999999979</v>
      </c>
      <c r="M186" s="85">
        <f t="shared" si="58"/>
        <v>322.23000000000025</v>
      </c>
      <c r="N186" s="85">
        <f t="shared" si="58"/>
        <v>337.16000000000031</v>
      </c>
      <c r="O186" s="85">
        <f t="shared" si="58"/>
        <v>343.71000000000004</v>
      </c>
      <c r="P186" s="85">
        <f t="shared" si="58"/>
        <v>380.76000000000022</v>
      </c>
      <c r="Q186" s="85">
        <f t="shared" si="58"/>
        <v>371.30999999999995</v>
      </c>
      <c r="R186" s="374"/>
      <c r="S186" s="374"/>
      <c r="T186" s="377"/>
      <c r="U186" s="377"/>
      <c r="V186" s="379"/>
      <c r="W186" s="382"/>
      <c r="X186" s="385"/>
      <c r="Y186" s="391"/>
      <c r="Z186" s="182"/>
      <c r="AA186" s="82"/>
      <c r="AB186" s="82"/>
      <c r="AC186" s="82"/>
      <c r="AD186" s="82"/>
      <c r="AE186" s="86"/>
      <c r="AF186" s="82"/>
    </row>
    <row r="187" spans="1:32" ht="15" x14ac:dyDescent="0.25">
      <c r="A187" s="222">
        <v>43341</v>
      </c>
      <c r="B187" s="79" t="s">
        <v>235</v>
      </c>
      <c r="C187" s="79" t="s">
        <v>232</v>
      </c>
      <c r="D187" s="80" t="s">
        <v>186</v>
      </c>
      <c r="E187" s="81">
        <v>1989.07</v>
      </c>
      <c r="F187" s="81">
        <v>2047.09</v>
      </c>
      <c r="G187" s="81">
        <v>2045.88</v>
      </c>
      <c r="H187" s="81">
        <v>2048.15</v>
      </c>
      <c r="I187" s="81">
        <v>2062.6799999999998</v>
      </c>
      <c r="J187" s="81">
        <v>2125.58</v>
      </c>
      <c r="K187" s="81">
        <v>2074.48</v>
      </c>
      <c r="L187" s="81">
        <v>2039.27</v>
      </c>
      <c r="M187" s="81">
        <v>1997.98</v>
      </c>
      <c r="N187" s="81">
        <v>2074.1999999999998</v>
      </c>
      <c r="O187" s="81">
        <v>2052.16</v>
      </c>
      <c r="P187" s="81">
        <v>2081.67</v>
      </c>
      <c r="Q187" s="81">
        <v>2025.37</v>
      </c>
      <c r="R187" s="372">
        <f>IF((Q188=""),"",MAX(E189:Q189))</f>
        <v>429.09999999999991</v>
      </c>
      <c r="S187" s="372">
        <f>IF(Q188="","",MIN(E189:Q189))</f>
        <v>333.08999999999992</v>
      </c>
      <c r="T187" s="375">
        <f>IF((Q189=""),"",AVERAGE(E189:Q189))</f>
        <v>363.50923076923067</v>
      </c>
      <c r="U187" s="375">
        <f>IF((Q188=""),"",(R187-S187)/(R187+S187)*100)</f>
        <v>12.596596649129484</v>
      </c>
      <c r="V187" s="375">
        <f>STDEV(E189:Q189)</f>
        <v>27.129560587895742</v>
      </c>
      <c r="W187" s="380" t="str">
        <f>IF(Q188="","",IF(T187&gt;300,IF(U187&lt;14,IF(T187&lt;390,"Pass","Fail"),"Fail"),"Fail"))</f>
        <v>Pass</v>
      </c>
      <c r="X187" s="383">
        <v>121</v>
      </c>
      <c r="Y187" s="389"/>
      <c r="Z187" s="182"/>
      <c r="AA187" s="82">
        <v>270</v>
      </c>
      <c r="AB187" s="82">
        <v>370</v>
      </c>
      <c r="AC187" s="82">
        <v>300</v>
      </c>
      <c r="AD187" s="83">
        <v>390</v>
      </c>
      <c r="AE187" s="83">
        <v>20</v>
      </c>
      <c r="AF187" s="83">
        <v>14</v>
      </c>
    </row>
    <row r="188" spans="1:32" ht="15.6" x14ac:dyDescent="0.3">
      <c r="A188" s="221"/>
      <c r="B188" s="84"/>
      <c r="C188" s="84"/>
      <c r="D188" s="80" t="s">
        <v>187</v>
      </c>
      <c r="E188" s="81">
        <v>1637.06</v>
      </c>
      <c r="F188" s="81">
        <v>1699.28</v>
      </c>
      <c r="G188" s="81">
        <v>1698.04</v>
      </c>
      <c r="H188" s="81">
        <v>1697.52</v>
      </c>
      <c r="I188" s="81">
        <v>1652.28</v>
      </c>
      <c r="J188" s="81">
        <v>1696.48</v>
      </c>
      <c r="K188" s="81">
        <v>1708.53</v>
      </c>
      <c r="L188" s="81">
        <v>1694.94</v>
      </c>
      <c r="M188" s="81">
        <v>1646.53</v>
      </c>
      <c r="N188" s="81">
        <v>1712.35</v>
      </c>
      <c r="O188" s="81">
        <v>1693.11</v>
      </c>
      <c r="P188" s="81">
        <v>1709.56</v>
      </c>
      <c r="Q188" s="81">
        <v>1692.28</v>
      </c>
      <c r="R188" s="373"/>
      <c r="S188" s="373"/>
      <c r="T188" s="376"/>
      <c r="U188" s="376"/>
      <c r="V188" s="378"/>
      <c r="W188" s="381"/>
      <c r="X188" s="384"/>
      <c r="Y188" s="390"/>
      <c r="Z188" s="182"/>
      <c r="AA188" s="82"/>
      <c r="AB188" s="82"/>
      <c r="AC188" s="82"/>
      <c r="AD188" s="82"/>
      <c r="AE188" s="86"/>
      <c r="AF188" s="82"/>
    </row>
    <row r="189" spans="1:32" ht="30" x14ac:dyDescent="0.3">
      <c r="A189" s="221"/>
      <c r="B189" s="79"/>
      <c r="C189" s="79"/>
      <c r="D189" s="80" t="s">
        <v>188</v>
      </c>
      <c r="E189" s="85">
        <f t="shared" ref="E189:Q189" si="59">IF(((E187="")*AND(E188="")),"",(E187-E188))</f>
        <v>352.01</v>
      </c>
      <c r="F189" s="85">
        <f t="shared" si="59"/>
        <v>347.80999999999995</v>
      </c>
      <c r="G189" s="85">
        <f t="shared" si="59"/>
        <v>347.84000000000015</v>
      </c>
      <c r="H189" s="85">
        <f t="shared" si="59"/>
        <v>350.63000000000011</v>
      </c>
      <c r="I189" s="85">
        <f t="shared" si="59"/>
        <v>410.39999999999986</v>
      </c>
      <c r="J189" s="85">
        <f t="shared" si="59"/>
        <v>429.09999999999991</v>
      </c>
      <c r="K189" s="85">
        <f t="shared" si="59"/>
        <v>365.95000000000005</v>
      </c>
      <c r="L189" s="85">
        <f t="shared" si="59"/>
        <v>344.32999999999993</v>
      </c>
      <c r="M189" s="85">
        <f t="shared" si="59"/>
        <v>351.45000000000005</v>
      </c>
      <c r="N189" s="85">
        <f t="shared" si="59"/>
        <v>361.84999999999991</v>
      </c>
      <c r="O189" s="85">
        <f t="shared" si="59"/>
        <v>359.04999999999995</v>
      </c>
      <c r="P189" s="85">
        <f t="shared" si="59"/>
        <v>372.11000000000013</v>
      </c>
      <c r="Q189" s="85">
        <f t="shared" si="59"/>
        <v>333.08999999999992</v>
      </c>
      <c r="R189" s="374"/>
      <c r="S189" s="374"/>
      <c r="T189" s="377"/>
      <c r="U189" s="377"/>
      <c r="V189" s="379"/>
      <c r="W189" s="382"/>
      <c r="X189" s="385"/>
      <c r="Y189" s="391"/>
      <c r="Z189" s="182"/>
      <c r="AA189" s="82"/>
      <c r="AB189" s="82"/>
      <c r="AC189" s="82"/>
      <c r="AD189" s="82"/>
      <c r="AE189" s="86"/>
      <c r="AF189" s="82"/>
    </row>
    <row r="190" spans="1:32" ht="15" x14ac:dyDescent="0.25">
      <c r="A190" s="222">
        <v>43344</v>
      </c>
      <c r="B190" s="79" t="s">
        <v>235</v>
      </c>
      <c r="C190" s="79" t="s">
        <v>232</v>
      </c>
      <c r="D190" s="80" t="s">
        <v>186</v>
      </c>
      <c r="E190" s="81">
        <v>2442.25</v>
      </c>
      <c r="F190" s="81">
        <v>2357.94</v>
      </c>
      <c r="G190" s="81">
        <v>2342.2399999999998</v>
      </c>
      <c r="H190" s="81">
        <v>2343.9499999999998</v>
      </c>
      <c r="I190" s="81">
        <v>2403.2800000000002</v>
      </c>
      <c r="J190" s="81">
        <v>2399.73</v>
      </c>
      <c r="K190" s="81">
        <v>2345.96</v>
      </c>
      <c r="L190" s="81">
        <v>2348.2800000000002</v>
      </c>
      <c r="M190" s="81">
        <v>2401.33</v>
      </c>
      <c r="N190" s="81">
        <v>2363.79</v>
      </c>
      <c r="O190" s="81">
        <v>2347.7199999999998</v>
      </c>
      <c r="P190" s="81">
        <v>2348.63</v>
      </c>
      <c r="Q190" s="81">
        <v>2363.86</v>
      </c>
      <c r="R190" s="372">
        <f>IF((Q191=""),"",MAX(E192:Q192))</f>
        <v>417.09999999999991</v>
      </c>
      <c r="S190" s="372">
        <f>IF(Q191="","",MIN(E192:Q192))</f>
        <v>340.52</v>
      </c>
      <c r="T190" s="375">
        <f>IF((Q192=""),"",AVERAGE(E192:Q192))</f>
        <v>360.67384615384617</v>
      </c>
      <c r="U190" s="375">
        <f>IF((Q191=""),"",(R190-S190)/(R190+S190)*100)</f>
        <v>10.10796969456983</v>
      </c>
      <c r="V190" s="375">
        <f>STDEV(E192:Q192)</f>
        <v>19.204050153748593</v>
      </c>
      <c r="W190" s="380" t="str">
        <f>IF(Q191="","",IF(T190&gt;300,IF(U190&lt;14,IF(T190&lt;390,"Pass","Fail"),"Fail"),"Fail"))</f>
        <v>Pass</v>
      </c>
      <c r="X190" s="383">
        <v>1335</v>
      </c>
      <c r="Y190" s="389"/>
      <c r="Z190" s="182"/>
      <c r="AA190" s="82">
        <v>270</v>
      </c>
      <c r="AB190" s="82">
        <v>370</v>
      </c>
      <c r="AC190" s="82">
        <v>300</v>
      </c>
      <c r="AD190" s="83">
        <v>390</v>
      </c>
      <c r="AE190" s="83">
        <v>20</v>
      </c>
      <c r="AF190" s="83">
        <v>14</v>
      </c>
    </row>
    <row r="191" spans="1:32" ht="15.6" x14ac:dyDescent="0.3">
      <c r="A191" s="221"/>
      <c r="B191" s="84"/>
      <c r="C191" s="84"/>
      <c r="D191" s="80" t="s">
        <v>187</v>
      </c>
      <c r="E191" s="81">
        <v>2064.2800000000002</v>
      </c>
      <c r="F191" s="81">
        <v>2002.77</v>
      </c>
      <c r="G191" s="81">
        <v>1985.58</v>
      </c>
      <c r="H191" s="81">
        <v>1989</v>
      </c>
      <c r="I191" s="81">
        <v>2048.39</v>
      </c>
      <c r="J191" s="81">
        <v>2046.17</v>
      </c>
      <c r="K191" s="81">
        <v>2005.44</v>
      </c>
      <c r="L191" s="81">
        <v>1982.07</v>
      </c>
      <c r="M191" s="81">
        <v>1984.23</v>
      </c>
      <c r="N191" s="81">
        <v>2013.06</v>
      </c>
      <c r="O191" s="81">
        <v>1994.88</v>
      </c>
      <c r="P191" s="81">
        <v>2001.45</v>
      </c>
      <c r="Q191" s="81">
        <v>2002.88</v>
      </c>
      <c r="R191" s="373"/>
      <c r="S191" s="373"/>
      <c r="T191" s="376"/>
      <c r="U191" s="376"/>
      <c r="V191" s="378"/>
      <c r="W191" s="381"/>
      <c r="X191" s="384"/>
      <c r="Y191" s="390"/>
      <c r="Z191" s="182"/>
      <c r="AA191" s="82"/>
      <c r="AB191" s="82"/>
      <c r="AC191" s="82"/>
      <c r="AD191" s="82"/>
      <c r="AE191" s="86"/>
      <c r="AF191" s="82"/>
    </row>
    <row r="192" spans="1:32" ht="30" x14ac:dyDescent="0.3">
      <c r="A192" s="221"/>
      <c r="B192" s="79"/>
      <c r="C192" s="79"/>
      <c r="D192" s="80" t="s">
        <v>188</v>
      </c>
      <c r="E192" s="85">
        <f t="shared" ref="E192:Q192" si="60">IF(((E190="")*AND(E191="")),"",(E190-E191))</f>
        <v>377.9699999999998</v>
      </c>
      <c r="F192" s="85">
        <f t="shared" si="60"/>
        <v>355.17000000000007</v>
      </c>
      <c r="G192" s="85">
        <f t="shared" si="60"/>
        <v>356.65999999999985</v>
      </c>
      <c r="H192" s="85">
        <f t="shared" si="60"/>
        <v>354.94999999999982</v>
      </c>
      <c r="I192" s="85">
        <f t="shared" si="60"/>
        <v>354.89000000000033</v>
      </c>
      <c r="J192" s="85">
        <f t="shared" si="60"/>
        <v>353.55999999999995</v>
      </c>
      <c r="K192" s="85">
        <f t="shared" si="60"/>
        <v>340.52</v>
      </c>
      <c r="L192" s="85">
        <f t="shared" si="60"/>
        <v>366.21000000000026</v>
      </c>
      <c r="M192" s="85">
        <f t="shared" si="60"/>
        <v>417.09999999999991</v>
      </c>
      <c r="N192" s="85">
        <f t="shared" si="60"/>
        <v>350.73</v>
      </c>
      <c r="O192" s="85">
        <f t="shared" si="60"/>
        <v>352.83999999999969</v>
      </c>
      <c r="P192" s="85">
        <f t="shared" si="60"/>
        <v>347.18000000000006</v>
      </c>
      <c r="Q192" s="85">
        <f t="shared" si="60"/>
        <v>360.98</v>
      </c>
      <c r="R192" s="374"/>
      <c r="S192" s="374"/>
      <c r="T192" s="377"/>
      <c r="U192" s="377"/>
      <c r="V192" s="379"/>
      <c r="W192" s="382"/>
      <c r="X192" s="385"/>
      <c r="Y192" s="391"/>
      <c r="Z192" s="182"/>
      <c r="AA192" s="82"/>
      <c r="AB192" s="82"/>
      <c r="AC192" s="82"/>
      <c r="AD192" s="82"/>
      <c r="AE192" s="86"/>
      <c r="AF192" s="82"/>
    </row>
    <row r="193" spans="1:32" ht="15" x14ac:dyDescent="0.25">
      <c r="A193" s="222">
        <v>43347</v>
      </c>
      <c r="B193" s="79" t="s">
        <v>235</v>
      </c>
      <c r="C193" s="79" t="s">
        <v>232</v>
      </c>
      <c r="D193" s="80" t="s">
        <v>186</v>
      </c>
      <c r="E193" s="81">
        <v>2064.2800000000002</v>
      </c>
      <c r="F193" s="81">
        <v>2002.77</v>
      </c>
      <c r="G193" s="81">
        <v>1985.58</v>
      </c>
      <c r="H193" s="81">
        <v>1989</v>
      </c>
      <c r="I193" s="81">
        <v>2048.39</v>
      </c>
      <c r="J193" s="81">
        <v>2046.17</v>
      </c>
      <c r="K193" s="81">
        <v>2005.44</v>
      </c>
      <c r="L193" s="81">
        <v>1982.07</v>
      </c>
      <c r="M193" s="81">
        <v>1984.23</v>
      </c>
      <c r="N193" s="81">
        <v>2013.06</v>
      </c>
      <c r="O193" s="81">
        <v>1994.88</v>
      </c>
      <c r="P193" s="81">
        <v>2001.45</v>
      </c>
      <c r="Q193" s="81">
        <v>2002.88</v>
      </c>
      <c r="R193" s="372">
        <f>IF((Q194=""),"",MAX(E195:Q195))</f>
        <v>410.89999999999986</v>
      </c>
      <c r="S193" s="372">
        <f>IF(Q194="","",MIN(E195:Q195))</f>
        <v>316.11999999999989</v>
      </c>
      <c r="T193" s="375">
        <f>IF((Q195=""),"",AVERAGE(E195:Q195))</f>
        <v>350.06461538461542</v>
      </c>
      <c r="U193" s="375">
        <f>IF((Q194=""),"",(R193-S193)/(R193+S193)*100)</f>
        <v>13.036780281147701</v>
      </c>
      <c r="V193" s="375">
        <f>STDEV(E195:Q195)</f>
        <v>31.67255873659526</v>
      </c>
      <c r="W193" s="380" t="str">
        <f>IF(Q194="","",IF(T193&gt;300,IF(U193&lt;14,IF(T193&lt;390,"Pass","Fail"),"Fail"),"Fail"))</f>
        <v>Pass</v>
      </c>
      <c r="X193" s="383"/>
      <c r="Y193" s="389"/>
      <c r="Z193" s="182"/>
      <c r="AA193" s="82">
        <v>270</v>
      </c>
      <c r="AB193" s="82">
        <v>370</v>
      </c>
      <c r="AC193" s="82">
        <v>300</v>
      </c>
      <c r="AD193" s="83">
        <v>390</v>
      </c>
      <c r="AE193" s="83">
        <v>20</v>
      </c>
      <c r="AF193" s="83">
        <v>14</v>
      </c>
    </row>
    <row r="194" spans="1:32" ht="15.6" x14ac:dyDescent="0.3">
      <c r="A194" s="221"/>
      <c r="B194" s="84"/>
      <c r="C194" s="84"/>
      <c r="D194" s="80" t="s">
        <v>187</v>
      </c>
      <c r="E194" s="81">
        <v>1670.72</v>
      </c>
      <c r="F194" s="81">
        <v>1674.86</v>
      </c>
      <c r="G194" s="81">
        <v>1660.73</v>
      </c>
      <c r="H194" s="81">
        <v>1652.09</v>
      </c>
      <c r="I194" s="81">
        <v>1637.49</v>
      </c>
      <c r="J194" s="81">
        <v>1643.24</v>
      </c>
      <c r="K194" s="81">
        <v>1671.82</v>
      </c>
      <c r="L194" s="81">
        <v>1665.95</v>
      </c>
      <c r="M194" s="81">
        <v>1629.1</v>
      </c>
      <c r="N194" s="81">
        <v>1663.97</v>
      </c>
      <c r="O194" s="81">
        <v>1658.58</v>
      </c>
      <c r="P194" s="81">
        <v>1665.12</v>
      </c>
      <c r="Q194" s="81">
        <v>1675.69</v>
      </c>
      <c r="R194" s="373"/>
      <c r="S194" s="373"/>
      <c r="T194" s="376"/>
      <c r="U194" s="376"/>
      <c r="V194" s="378"/>
      <c r="W194" s="381"/>
      <c r="X194" s="384"/>
      <c r="Y194" s="390"/>
      <c r="Z194" s="182"/>
      <c r="AA194" s="82"/>
      <c r="AB194" s="82"/>
      <c r="AC194" s="82"/>
      <c r="AD194" s="82"/>
      <c r="AE194" s="86"/>
      <c r="AF194" s="82"/>
    </row>
    <row r="195" spans="1:32" ht="30" x14ac:dyDescent="0.3">
      <c r="A195" s="221"/>
      <c r="B195" s="79"/>
      <c r="C195" s="79"/>
      <c r="D195" s="80" t="s">
        <v>188</v>
      </c>
      <c r="E195" s="85">
        <f t="shared" ref="E195:Q195" si="61">IF(((E193="")*AND(E194="")),"",(E193-E194))</f>
        <v>393.56000000000017</v>
      </c>
      <c r="F195" s="85">
        <f t="shared" si="61"/>
        <v>327.91000000000008</v>
      </c>
      <c r="G195" s="85">
        <f t="shared" si="61"/>
        <v>324.84999999999991</v>
      </c>
      <c r="H195" s="85">
        <f t="shared" si="61"/>
        <v>336.91000000000008</v>
      </c>
      <c r="I195" s="85">
        <f t="shared" si="61"/>
        <v>410.89999999999986</v>
      </c>
      <c r="J195" s="85">
        <f t="shared" si="61"/>
        <v>402.93000000000006</v>
      </c>
      <c r="K195" s="85">
        <f t="shared" si="61"/>
        <v>333.62000000000012</v>
      </c>
      <c r="L195" s="85">
        <f t="shared" si="61"/>
        <v>316.11999999999989</v>
      </c>
      <c r="M195" s="85">
        <f t="shared" si="61"/>
        <v>355.13000000000011</v>
      </c>
      <c r="N195" s="85">
        <f t="shared" si="61"/>
        <v>349.08999999999992</v>
      </c>
      <c r="O195" s="85">
        <f t="shared" si="61"/>
        <v>336.30000000000018</v>
      </c>
      <c r="P195" s="85">
        <f t="shared" si="61"/>
        <v>336.33000000000015</v>
      </c>
      <c r="Q195" s="85">
        <f t="shared" si="61"/>
        <v>327.19000000000005</v>
      </c>
      <c r="R195" s="374"/>
      <c r="S195" s="374"/>
      <c r="T195" s="377"/>
      <c r="U195" s="377"/>
      <c r="V195" s="379"/>
      <c r="W195" s="382"/>
      <c r="X195" s="385"/>
      <c r="Y195" s="391"/>
      <c r="Z195" s="182"/>
      <c r="AA195" s="82"/>
      <c r="AB195" s="82"/>
      <c r="AC195" s="82"/>
      <c r="AD195" s="82"/>
      <c r="AE195" s="86"/>
      <c r="AF195" s="82"/>
    </row>
    <row r="196" spans="1:32" ht="15" x14ac:dyDescent="0.25">
      <c r="A196" s="222">
        <v>43353</v>
      </c>
      <c r="B196" s="79" t="s">
        <v>235</v>
      </c>
      <c r="C196" s="79" t="s">
        <v>232</v>
      </c>
      <c r="D196" s="80" t="s">
        <v>186</v>
      </c>
      <c r="E196" s="81">
        <v>2444.0700000000002</v>
      </c>
      <c r="F196" s="81">
        <v>2356.61</v>
      </c>
      <c r="G196" s="81">
        <v>2339.23</v>
      </c>
      <c r="H196" s="81">
        <v>2341.46</v>
      </c>
      <c r="I196" s="81">
        <v>2400.5700000000002</v>
      </c>
      <c r="J196" s="81">
        <v>2398.85</v>
      </c>
      <c r="K196" s="81">
        <v>2346.4499999999998</v>
      </c>
      <c r="L196" s="81">
        <v>2347.37</v>
      </c>
      <c r="M196" s="81">
        <v>2403.2399999999998</v>
      </c>
      <c r="N196" s="81">
        <v>2362.71</v>
      </c>
      <c r="O196" s="81">
        <v>2348.0500000000002</v>
      </c>
      <c r="P196" s="81">
        <v>2344.41</v>
      </c>
      <c r="Q196" s="81">
        <v>2366.13</v>
      </c>
      <c r="R196" s="372">
        <f>IF((Q197=""),"",MAX(E198:Q198))</f>
        <v>431.64999999999986</v>
      </c>
      <c r="S196" s="372">
        <f>IF(Q197="","",MIN(E198:Q198))</f>
        <v>376.04999999999995</v>
      </c>
      <c r="T196" s="375">
        <f>IF((Q198=""),"",AVERAGE(E198:Q198))</f>
        <v>388.12846153846152</v>
      </c>
      <c r="U196" s="375">
        <f>IF((Q197=""),"",(R196-S196)/(R196+S196)*100)</f>
        <v>6.8837439643431866</v>
      </c>
      <c r="V196" s="375">
        <f>STDEV(E198:Q198)</f>
        <v>14.686452286690301</v>
      </c>
      <c r="W196" s="380" t="str">
        <f>IF(Q197="","",IF(T196&gt;300,IF(U196&lt;14,IF(T196&lt;390,"Pass","Fail"),"Fail"),"Fail"))</f>
        <v>Pass</v>
      </c>
      <c r="X196" s="383" t="s">
        <v>241</v>
      </c>
      <c r="Y196" s="389"/>
      <c r="Z196" s="182"/>
      <c r="AA196" s="82">
        <v>270</v>
      </c>
      <c r="AB196" s="82">
        <v>370</v>
      </c>
      <c r="AC196" s="82">
        <v>300</v>
      </c>
      <c r="AD196" s="83">
        <v>390</v>
      </c>
      <c r="AE196" s="83">
        <v>20</v>
      </c>
      <c r="AF196" s="83">
        <v>14</v>
      </c>
    </row>
    <row r="197" spans="1:32" ht="15.6" x14ac:dyDescent="0.3">
      <c r="A197" s="221"/>
      <c r="B197" s="84"/>
      <c r="C197" s="84"/>
      <c r="D197" s="80" t="s">
        <v>187</v>
      </c>
      <c r="E197" s="81">
        <v>2046.18</v>
      </c>
      <c r="F197" s="81">
        <v>1973.24</v>
      </c>
      <c r="G197" s="81">
        <v>1956.71</v>
      </c>
      <c r="H197" s="81">
        <v>1951.04</v>
      </c>
      <c r="I197" s="81">
        <v>2008.68</v>
      </c>
      <c r="J197" s="81">
        <v>2019.77</v>
      </c>
      <c r="K197" s="81">
        <v>1968.13</v>
      </c>
      <c r="L197" s="81">
        <v>1969.77</v>
      </c>
      <c r="M197" s="81">
        <v>1971.59</v>
      </c>
      <c r="N197" s="81">
        <v>1983.44</v>
      </c>
      <c r="O197" s="81">
        <v>1961.61</v>
      </c>
      <c r="P197" s="81">
        <v>1968.36</v>
      </c>
      <c r="Q197" s="81">
        <v>1974.96</v>
      </c>
      <c r="R197" s="373"/>
      <c r="S197" s="373"/>
      <c r="T197" s="376"/>
      <c r="U197" s="376"/>
      <c r="V197" s="378"/>
      <c r="W197" s="381"/>
      <c r="X197" s="384"/>
      <c r="Y197" s="390"/>
      <c r="Z197" s="182"/>
      <c r="AA197" s="82"/>
      <c r="AB197" s="82"/>
      <c r="AC197" s="82"/>
      <c r="AD197" s="82"/>
      <c r="AE197" s="86"/>
      <c r="AF197" s="82"/>
    </row>
    <row r="198" spans="1:32" ht="30" x14ac:dyDescent="0.3">
      <c r="A198" s="221"/>
      <c r="B198" s="79"/>
      <c r="C198" s="79"/>
      <c r="D198" s="80" t="s">
        <v>188</v>
      </c>
      <c r="E198" s="85">
        <f t="shared" ref="E198:Q198" si="62">IF(((E196="")*AND(E197="")),"",(E196-E197))</f>
        <v>397.8900000000001</v>
      </c>
      <c r="F198" s="85">
        <f t="shared" si="62"/>
        <v>383.37000000000012</v>
      </c>
      <c r="G198" s="85">
        <f t="shared" si="62"/>
        <v>382.52</v>
      </c>
      <c r="H198" s="85">
        <f t="shared" si="62"/>
        <v>390.42000000000007</v>
      </c>
      <c r="I198" s="85">
        <f t="shared" si="62"/>
        <v>391.8900000000001</v>
      </c>
      <c r="J198" s="85">
        <f t="shared" si="62"/>
        <v>379.07999999999993</v>
      </c>
      <c r="K198" s="85">
        <f t="shared" si="62"/>
        <v>378.31999999999971</v>
      </c>
      <c r="L198" s="85">
        <f t="shared" si="62"/>
        <v>377.59999999999991</v>
      </c>
      <c r="M198" s="85">
        <f t="shared" si="62"/>
        <v>431.64999999999986</v>
      </c>
      <c r="N198" s="85">
        <f t="shared" si="62"/>
        <v>379.27</v>
      </c>
      <c r="O198" s="85">
        <f t="shared" si="62"/>
        <v>386.44000000000028</v>
      </c>
      <c r="P198" s="85">
        <f t="shared" si="62"/>
        <v>376.04999999999995</v>
      </c>
      <c r="Q198" s="85">
        <f t="shared" si="62"/>
        <v>391.17000000000007</v>
      </c>
      <c r="R198" s="374"/>
      <c r="S198" s="374"/>
      <c r="T198" s="377"/>
      <c r="U198" s="377"/>
      <c r="V198" s="379"/>
      <c r="W198" s="382"/>
      <c r="X198" s="385"/>
      <c r="Y198" s="391"/>
      <c r="Z198" s="182"/>
      <c r="AA198" s="82"/>
      <c r="AB198" s="82"/>
      <c r="AC198" s="82"/>
      <c r="AD198" s="82"/>
      <c r="AE198" s="86"/>
      <c r="AF198" s="82"/>
    </row>
    <row r="199" spans="1:32" ht="15" x14ac:dyDescent="0.25">
      <c r="A199" s="222">
        <v>43353</v>
      </c>
      <c r="B199" s="79" t="s">
        <v>235</v>
      </c>
      <c r="C199" s="79" t="s">
        <v>232</v>
      </c>
      <c r="D199" s="80" t="s">
        <v>186</v>
      </c>
      <c r="E199" s="87">
        <v>2026</v>
      </c>
      <c r="F199" s="87">
        <v>1961</v>
      </c>
      <c r="G199" s="87">
        <v>1950</v>
      </c>
      <c r="H199" s="87">
        <v>1948</v>
      </c>
      <c r="I199" s="87">
        <v>2000</v>
      </c>
      <c r="J199" s="87">
        <v>2008</v>
      </c>
      <c r="K199" s="87">
        <v>1961</v>
      </c>
      <c r="L199" s="87">
        <v>1952</v>
      </c>
      <c r="M199" s="87">
        <v>1962</v>
      </c>
      <c r="N199" s="87">
        <v>1970</v>
      </c>
      <c r="O199" s="87">
        <v>1957</v>
      </c>
      <c r="P199" s="87">
        <v>1962</v>
      </c>
      <c r="Q199" s="87">
        <v>1965</v>
      </c>
      <c r="R199" s="372">
        <f>IF((Q200=""),"",MAX(E201:Q201))</f>
        <v>370</v>
      </c>
      <c r="S199" s="372">
        <f>IF(Q200="","",MIN(E201:Q201))</f>
        <v>286</v>
      </c>
      <c r="T199" s="375">
        <f>IF((Q201=""),"",AVERAGE(E201:Q201))</f>
        <v>311.61538461538464</v>
      </c>
      <c r="U199" s="375">
        <f>IF((Q200=""),"",(R199-S199)/(R199+S199)*100)</f>
        <v>12.804878048780488</v>
      </c>
      <c r="V199" s="375">
        <f>STDEV(E201:Q201)</f>
        <v>33.302999017952565</v>
      </c>
      <c r="W199" s="380" t="str">
        <f>IF(Q200="","",IF(T199&gt;300,IF(U199&lt;14,IF(T199&lt;390,"Pass","Fail"),"Fail"),"Fail"))</f>
        <v>Pass</v>
      </c>
      <c r="X199" s="383" t="s">
        <v>241</v>
      </c>
      <c r="Y199" s="389"/>
      <c r="Z199" s="182"/>
      <c r="AA199" s="82">
        <v>270</v>
      </c>
      <c r="AB199" s="82">
        <v>370</v>
      </c>
      <c r="AC199" s="82">
        <v>300</v>
      </c>
      <c r="AD199" s="83">
        <v>390</v>
      </c>
      <c r="AE199" s="83">
        <v>20</v>
      </c>
      <c r="AF199" s="83">
        <v>14</v>
      </c>
    </row>
    <row r="200" spans="1:32" ht="15.6" x14ac:dyDescent="0.3">
      <c r="A200" s="221"/>
      <c r="B200" s="84"/>
      <c r="C200" s="84"/>
      <c r="D200" s="80" t="s">
        <v>187</v>
      </c>
      <c r="E200" s="87">
        <v>1666</v>
      </c>
      <c r="F200" s="87">
        <v>1675</v>
      </c>
      <c r="G200" s="87">
        <v>1662</v>
      </c>
      <c r="H200" s="87">
        <v>1661</v>
      </c>
      <c r="I200" s="87">
        <v>1635</v>
      </c>
      <c r="J200" s="87">
        <v>1638</v>
      </c>
      <c r="K200" s="87">
        <v>1664</v>
      </c>
      <c r="L200" s="87">
        <v>1666</v>
      </c>
      <c r="M200" s="87">
        <v>1625</v>
      </c>
      <c r="N200" s="87">
        <v>1677</v>
      </c>
      <c r="O200" s="87">
        <v>1660</v>
      </c>
      <c r="P200" s="87">
        <v>1663</v>
      </c>
      <c r="Q200" s="87">
        <v>1679</v>
      </c>
      <c r="R200" s="373"/>
      <c r="S200" s="373"/>
      <c r="T200" s="376"/>
      <c r="U200" s="376"/>
      <c r="V200" s="378"/>
      <c r="W200" s="381"/>
      <c r="X200" s="384"/>
      <c r="Y200" s="390"/>
      <c r="Z200" s="182"/>
      <c r="AA200" s="82"/>
      <c r="AB200" s="82"/>
      <c r="AC200" s="82"/>
      <c r="AD200" s="82"/>
      <c r="AE200" s="86"/>
      <c r="AF200" s="82"/>
    </row>
    <row r="201" spans="1:32" ht="30" x14ac:dyDescent="0.3">
      <c r="A201" s="221"/>
      <c r="B201" s="79"/>
      <c r="C201" s="79"/>
      <c r="D201" s="80" t="s">
        <v>188</v>
      </c>
      <c r="E201" s="85">
        <f t="shared" ref="E201:Q201" si="63">IF(((E199="")*AND(E200="")),"",(E199-E200))</f>
        <v>360</v>
      </c>
      <c r="F201" s="85">
        <f t="shared" si="63"/>
        <v>286</v>
      </c>
      <c r="G201" s="85">
        <f t="shared" si="63"/>
        <v>288</v>
      </c>
      <c r="H201" s="85">
        <f t="shared" si="63"/>
        <v>287</v>
      </c>
      <c r="I201" s="85">
        <f t="shared" si="63"/>
        <v>365</v>
      </c>
      <c r="J201" s="85">
        <f t="shared" si="63"/>
        <v>370</v>
      </c>
      <c r="K201" s="85">
        <f t="shared" si="63"/>
        <v>297</v>
      </c>
      <c r="L201" s="85">
        <f t="shared" si="63"/>
        <v>286</v>
      </c>
      <c r="M201" s="85">
        <f t="shared" si="63"/>
        <v>337</v>
      </c>
      <c r="N201" s="85">
        <f t="shared" si="63"/>
        <v>293</v>
      </c>
      <c r="O201" s="85">
        <f t="shared" si="63"/>
        <v>297</v>
      </c>
      <c r="P201" s="85">
        <f t="shared" si="63"/>
        <v>299</v>
      </c>
      <c r="Q201" s="85">
        <f t="shared" si="63"/>
        <v>286</v>
      </c>
      <c r="R201" s="374"/>
      <c r="S201" s="374"/>
      <c r="T201" s="377"/>
      <c r="U201" s="377"/>
      <c r="V201" s="379"/>
      <c r="W201" s="382"/>
      <c r="X201" s="385"/>
      <c r="Y201" s="391"/>
      <c r="Z201" s="182"/>
      <c r="AA201" s="82"/>
      <c r="AB201" s="82"/>
      <c r="AC201" s="82"/>
      <c r="AD201" s="82"/>
      <c r="AE201" s="86"/>
      <c r="AF201" s="82"/>
    </row>
    <row r="202" spans="1:32" ht="15" x14ac:dyDescent="0.25">
      <c r="A202" s="222">
        <v>43357</v>
      </c>
      <c r="B202" s="79" t="s">
        <v>235</v>
      </c>
      <c r="C202" s="79" t="s">
        <v>232</v>
      </c>
      <c r="D202" s="80" t="s">
        <v>186</v>
      </c>
      <c r="E202" s="81">
        <v>2439.0300000000002</v>
      </c>
      <c r="F202" s="81">
        <v>2352.64</v>
      </c>
      <c r="G202" s="81">
        <v>2337.04</v>
      </c>
      <c r="H202" s="81">
        <v>2336.73</v>
      </c>
      <c r="I202" s="81">
        <v>2392.04</v>
      </c>
      <c r="J202" s="81">
        <v>2395.63</v>
      </c>
      <c r="K202" s="81">
        <v>2343.02</v>
      </c>
      <c r="L202" s="81">
        <v>2345.2399999999998</v>
      </c>
      <c r="M202" s="81">
        <v>2396.16</v>
      </c>
      <c r="N202" s="81">
        <v>2360.7800000000002</v>
      </c>
      <c r="O202" s="81">
        <v>2343.67</v>
      </c>
      <c r="P202" s="81">
        <v>2343.19</v>
      </c>
      <c r="Q202" s="81">
        <v>2362.06</v>
      </c>
      <c r="R202" s="372">
        <f>IF((Q203=""),"",MAX(E204:Q204))</f>
        <v>438.44999999999982</v>
      </c>
      <c r="S202" s="372">
        <f>IF(Q203="","",MIN(E204:Q204))</f>
        <v>381.96000000000004</v>
      </c>
      <c r="T202" s="375">
        <f>IF((Q204=""),"",AVERAGE(E204:Q204))</f>
        <v>395.62307692307695</v>
      </c>
      <c r="U202" s="375">
        <f>IF((Q203=""),"",(R202-S202)/(R202+S202)*100)</f>
        <v>6.885581599444154</v>
      </c>
      <c r="V202" s="375">
        <f>STDEV(E204:Q204)</f>
        <v>15.009239590229816</v>
      </c>
      <c r="W202" s="380" t="str">
        <f>IF(Q203="","",IF(T202&gt;300,IF(U202&lt;14,IF(T202&lt;390,"Pass","Fail"),"Fail"),"Fail"))</f>
        <v>Fail</v>
      </c>
      <c r="X202" s="383">
        <v>1335</v>
      </c>
      <c r="Y202" s="389"/>
      <c r="Z202" s="182"/>
      <c r="AA202" s="82">
        <v>270</v>
      </c>
      <c r="AB202" s="82">
        <v>370</v>
      </c>
      <c r="AC202" s="82">
        <v>300</v>
      </c>
      <c r="AD202" s="83">
        <v>390</v>
      </c>
      <c r="AE202" s="83">
        <v>20</v>
      </c>
      <c r="AF202" s="83">
        <v>14</v>
      </c>
    </row>
    <row r="203" spans="1:32" ht="15.6" x14ac:dyDescent="0.3">
      <c r="A203" s="221"/>
      <c r="B203" s="84"/>
      <c r="C203" s="84"/>
      <c r="D203" s="80" t="s">
        <v>187</v>
      </c>
      <c r="E203" s="81">
        <v>2028.95</v>
      </c>
      <c r="F203" s="81">
        <v>1961.96</v>
      </c>
      <c r="G203" s="81">
        <v>1950.69</v>
      </c>
      <c r="H203" s="81">
        <v>1948.69</v>
      </c>
      <c r="I203" s="81">
        <v>1991.19</v>
      </c>
      <c r="J203" s="81">
        <v>2000.78</v>
      </c>
      <c r="K203" s="81">
        <v>1961.06</v>
      </c>
      <c r="L203" s="81">
        <v>1952.97</v>
      </c>
      <c r="M203" s="81">
        <v>1957.71</v>
      </c>
      <c r="N203" s="81">
        <v>1972.74</v>
      </c>
      <c r="O203" s="81">
        <v>1952.33</v>
      </c>
      <c r="P203" s="81">
        <v>1961.14</v>
      </c>
      <c r="Q203" s="81">
        <v>1963.92</v>
      </c>
      <c r="R203" s="373"/>
      <c r="S203" s="373"/>
      <c r="T203" s="376"/>
      <c r="U203" s="376"/>
      <c r="V203" s="378"/>
      <c r="W203" s="381"/>
      <c r="X203" s="384"/>
      <c r="Y203" s="390"/>
      <c r="Z203" s="182"/>
      <c r="AA203" s="82"/>
      <c r="AB203" s="82"/>
      <c r="AC203" s="82"/>
      <c r="AD203" s="82"/>
      <c r="AE203" s="86"/>
      <c r="AF203" s="82"/>
    </row>
    <row r="204" spans="1:32" ht="30" x14ac:dyDescent="0.3">
      <c r="A204" s="221"/>
      <c r="B204" s="79"/>
      <c r="C204" s="79"/>
      <c r="D204" s="80" t="s">
        <v>188</v>
      </c>
      <c r="E204" s="85">
        <f t="shared" ref="E204:Q204" si="64">IF(((E202="")*AND(E203="")),"",(E202-E203))</f>
        <v>410.08000000000015</v>
      </c>
      <c r="F204" s="85">
        <f t="shared" si="64"/>
        <v>390.67999999999984</v>
      </c>
      <c r="G204" s="85">
        <f t="shared" si="64"/>
        <v>386.34999999999991</v>
      </c>
      <c r="H204" s="85">
        <f t="shared" si="64"/>
        <v>388.03999999999996</v>
      </c>
      <c r="I204" s="85">
        <f t="shared" si="64"/>
        <v>400.84999999999991</v>
      </c>
      <c r="J204" s="85">
        <f t="shared" si="64"/>
        <v>394.85000000000014</v>
      </c>
      <c r="K204" s="85">
        <f t="shared" si="64"/>
        <v>381.96000000000004</v>
      </c>
      <c r="L204" s="85">
        <f t="shared" si="64"/>
        <v>392.26999999999975</v>
      </c>
      <c r="M204" s="85">
        <f t="shared" si="64"/>
        <v>438.44999999999982</v>
      </c>
      <c r="N204" s="85">
        <f t="shared" si="64"/>
        <v>388.04000000000019</v>
      </c>
      <c r="O204" s="85">
        <f t="shared" si="64"/>
        <v>391.34000000000015</v>
      </c>
      <c r="P204" s="85">
        <f t="shared" si="64"/>
        <v>382.04999999999995</v>
      </c>
      <c r="Q204" s="85">
        <f t="shared" si="64"/>
        <v>398.13999999999987</v>
      </c>
      <c r="R204" s="374"/>
      <c r="S204" s="374"/>
      <c r="T204" s="377"/>
      <c r="U204" s="377"/>
      <c r="V204" s="379"/>
      <c r="W204" s="382"/>
      <c r="X204" s="385"/>
      <c r="Y204" s="391"/>
      <c r="Z204" s="182"/>
      <c r="AA204" s="82"/>
      <c r="AB204" s="82"/>
      <c r="AC204" s="82"/>
      <c r="AD204" s="82"/>
      <c r="AE204" s="86"/>
      <c r="AF204" s="82"/>
    </row>
    <row r="205" spans="1:32" ht="15" x14ac:dyDescent="0.25">
      <c r="A205" s="222">
        <v>43357</v>
      </c>
      <c r="B205" s="79" t="s">
        <v>235</v>
      </c>
      <c r="C205" s="79" t="s">
        <v>232</v>
      </c>
      <c r="D205" s="80" t="s">
        <v>186</v>
      </c>
      <c r="E205" s="81">
        <v>2028.95</v>
      </c>
      <c r="F205" s="81">
        <v>1961.96</v>
      </c>
      <c r="G205" s="81">
        <v>1950.69</v>
      </c>
      <c r="H205" s="81">
        <v>1948.69</v>
      </c>
      <c r="I205" s="81">
        <v>1991.19</v>
      </c>
      <c r="J205" s="81">
        <v>2000.78</v>
      </c>
      <c r="K205" s="81">
        <v>1961.06</v>
      </c>
      <c r="L205" s="81">
        <v>1952.97</v>
      </c>
      <c r="M205" s="81">
        <v>1957.71</v>
      </c>
      <c r="N205" s="81">
        <v>1972.74</v>
      </c>
      <c r="O205" s="81">
        <v>1952.33</v>
      </c>
      <c r="P205" s="81">
        <v>1961.14</v>
      </c>
      <c r="Q205" s="81">
        <v>1963.92</v>
      </c>
      <c r="R205" s="372">
        <f>IF((Q206=""),"",MAX(E207:Q207))</f>
        <v>376.98</v>
      </c>
      <c r="S205" s="372">
        <f>IF(Q206="","",MIN(E207:Q207))</f>
        <v>293.57000000000016</v>
      </c>
      <c r="T205" s="375">
        <f>IF((Q207=""),"",AVERAGE(E207:Q207))</f>
        <v>320.95615384615388</v>
      </c>
      <c r="U205" s="375">
        <f>IF((Q206=""),"",(R205-S205)/(R205+S205)*100)</f>
        <v>12.439042576989014</v>
      </c>
      <c r="V205" s="375">
        <f>STDEV(E207:Q207)</f>
        <v>34.650322398322707</v>
      </c>
      <c r="W205" s="380" t="str">
        <f>IF(Q206="","",IF(T205&gt;300,IF(U205&lt;14,IF(T205&lt;390,"Pass","Fail"),"Fail"),"Fail"))</f>
        <v>Pass</v>
      </c>
      <c r="X205" s="383">
        <v>121</v>
      </c>
      <c r="Y205" s="389"/>
      <c r="Z205" s="182"/>
      <c r="AA205" s="82">
        <v>270</v>
      </c>
      <c r="AB205" s="82">
        <v>370</v>
      </c>
      <c r="AC205" s="82">
        <v>300</v>
      </c>
      <c r="AD205" s="83">
        <v>390</v>
      </c>
      <c r="AE205" s="83">
        <v>20</v>
      </c>
      <c r="AF205" s="83">
        <v>14</v>
      </c>
    </row>
    <row r="206" spans="1:32" ht="15.6" x14ac:dyDescent="0.3">
      <c r="A206" s="221"/>
      <c r="B206" s="84"/>
      <c r="C206" s="84"/>
      <c r="D206" s="80" t="s">
        <v>187</v>
      </c>
      <c r="E206" s="81">
        <v>1652.42</v>
      </c>
      <c r="F206" s="81">
        <v>1666.89</v>
      </c>
      <c r="G206" s="81">
        <v>1657.12</v>
      </c>
      <c r="H206" s="81">
        <v>1652.1</v>
      </c>
      <c r="I206" s="81">
        <v>1614.27</v>
      </c>
      <c r="J206" s="81">
        <v>1623.8</v>
      </c>
      <c r="K206" s="81">
        <v>1660.02</v>
      </c>
      <c r="L206" s="81">
        <v>1653.65</v>
      </c>
      <c r="M206" s="81">
        <v>1610.31</v>
      </c>
      <c r="N206" s="81">
        <v>1670.31</v>
      </c>
      <c r="O206" s="81">
        <v>1653.35</v>
      </c>
      <c r="P206" s="81">
        <v>1652.05</v>
      </c>
      <c r="Q206" s="81">
        <v>1665.41</v>
      </c>
      <c r="R206" s="373"/>
      <c r="S206" s="373"/>
      <c r="T206" s="376"/>
      <c r="U206" s="376"/>
      <c r="V206" s="378"/>
      <c r="W206" s="381"/>
      <c r="X206" s="384"/>
      <c r="Y206" s="390"/>
      <c r="Z206" s="182"/>
      <c r="AA206" s="82"/>
      <c r="AB206" s="82"/>
      <c r="AC206" s="82"/>
      <c r="AD206" s="82"/>
      <c r="AE206" s="86"/>
      <c r="AF206" s="82"/>
    </row>
    <row r="207" spans="1:32" ht="30" x14ac:dyDescent="0.3">
      <c r="A207" s="221"/>
      <c r="B207" s="79"/>
      <c r="C207" s="79"/>
      <c r="D207" s="80" t="s">
        <v>188</v>
      </c>
      <c r="E207" s="85">
        <f t="shared" ref="E207:Q207" si="65">IF(((E205="")*AND(E206="")),"",(E205-E206))</f>
        <v>376.53</v>
      </c>
      <c r="F207" s="85">
        <f t="shared" si="65"/>
        <v>295.06999999999994</v>
      </c>
      <c r="G207" s="85">
        <f t="shared" si="65"/>
        <v>293.57000000000016</v>
      </c>
      <c r="H207" s="85">
        <f t="shared" si="65"/>
        <v>296.59000000000015</v>
      </c>
      <c r="I207" s="85">
        <f t="shared" si="65"/>
        <v>376.92000000000007</v>
      </c>
      <c r="J207" s="85">
        <f t="shared" si="65"/>
        <v>376.98</v>
      </c>
      <c r="K207" s="85">
        <f t="shared" si="65"/>
        <v>301.03999999999996</v>
      </c>
      <c r="L207" s="85">
        <f t="shared" si="65"/>
        <v>299.31999999999994</v>
      </c>
      <c r="M207" s="85">
        <f t="shared" si="65"/>
        <v>347.40000000000009</v>
      </c>
      <c r="N207" s="85">
        <f t="shared" si="65"/>
        <v>302.43000000000006</v>
      </c>
      <c r="O207" s="85">
        <f t="shared" si="65"/>
        <v>298.98</v>
      </c>
      <c r="P207" s="85">
        <f t="shared" si="65"/>
        <v>309.09000000000015</v>
      </c>
      <c r="Q207" s="85">
        <f t="shared" si="65"/>
        <v>298.51</v>
      </c>
      <c r="R207" s="374"/>
      <c r="S207" s="374"/>
      <c r="T207" s="377"/>
      <c r="U207" s="377"/>
      <c r="V207" s="379"/>
      <c r="W207" s="382"/>
      <c r="X207" s="385"/>
      <c r="Y207" s="391"/>
      <c r="Z207" s="182"/>
      <c r="AA207" s="82"/>
      <c r="AB207" s="82"/>
      <c r="AC207" s="82"/>
      <c r="AD207" s="82"/>
      <c r="AE207" s="86"/>
      <c r="AF207" s="82"/>
    </row>
    <row r="208" spans="1:32" ht="15" x14ac:dyDescent="0.25">
      <c r="A208" s="222">
        <v>43360</v>
      </c>
      <c r="B208" s="79" t="s">
        <v>235</v>
      </c>
      <c r="C208" s="79" t="s">
        <v>232</v>
      </c>
      <c r="D208" s="80" t="s">
        <v>186</v>
      </c>
      <c r="E208" s="81">
        <v>2409.86</v>
      </c>
      <c r="F208" s="81">
        <v>2321.7199999999998</v>
      </c>
      <c r="G208" s="81">
        <v>2304.41</v>
      </c>
      <c r="H208" s="81">
        <v>2312.35</v>
      </c>
      <c r="I208" s="81">
        <v>2388.38</v>
      </c>
      <c r="J208" s="81">
        <v>2382.81</v>
      </c>
      <c r="K208" s="81">
        <v>2316.06</v>
      </c>
      <c r="L208" s="81">
        <v>2310.15</v>
      </c>
      <c r="M208" s="81">
        <v>2368.96</v>
      </c>
      <c r="N208" s="81">
        <v>2329.34</v>
      </c>
      <c r="O208" s="81">
        <v>2314.37</v>
      </c>
      <c r="P208" s="81">
        <v>2318.13</v>
      </c>
      <c r="Q208" s="81">
        <v>2323.84</v>
      </c>
      <c r="R208" s="372">
        <f>IF((Q209=""),"",MAX(E210:Q210))</f>
        <v>434.35000000000014</v>
      </c>
      <c r="S208" s="372">
        <f>IF(Q209="","",MIN(E210:Q210))</f>
        <v>377.51999999999975</v>
      </c>
      <c r="T208" s="375">
        <f>IF((Q210=""),"",AVERAGE(E210:Q210))</f>
        <v>398.8692307692308</v>
      </c>
      <c r="U208" s="375">
        <f>IF((Q209=""),"",(R208-S208)/(R208+S208)*100)</f>
        <v>6.9998891448138725</v>
      </c>
      <c r="V208" s="375">
        <f>STDEV(E210:Q210)</f>
        <v>18.23530525360928</v>
      </c>
      <c r="W208" s="380" t="str">
        <f>IF(Q209="","",IF(T208&gt;300,IF(U208&lt;14,IF(T208&lt;390,"Pass","Fail"),"Fail"),"Fail"))</f>
        <v>Fail</v>
      </c>
      <c r="X208" s="383">
        <v>1340</v>
      </c>
      <c r="Y208" s="389"/>
      <c r="Z208" s="182"/>
      <c r="AA208" s="82">
        <v>270</v>
      </c>
      <c r="AB208" s="82">
        <v>370</v>
      </c>
      <c r="AC208" s="82">
        <v>300</v>
      </c>
      <c r="AD208" s="83">
        <v>390</v>
      </c>
      <c r="AE208" s="83">
        <v>20</v>
      </c>
      <c r="AF208" s="83">
        <v>14</v>
      </c>
    </row>
    <row r="209" spans="1:32" ht="15.6" x14ac:dyDescent="0.3">
      <c r="A209" s="221"/>
      <c r="B209" s="84"/>
      <c r="C209" s="84"/>
      <c r="D209" s="80" t="s">
        <v>187</v>
      </c>
      <c r="E209" s="81">
        <v>1975.51</v>
      </c>
      <c r="F209" s="81">
        <v>1931.67</v>
      </c>
      <c r="G209" s="81">
        <v>1926.89</v>
      </c>
      <c r="H209" s="81">
        <v>1921.42</v>
      </c>
      <c r="I209" s="81">
        <v>1971.78</v>
      </c>
      <c r="J209" s="81">
        <v>1965.45</v>
      </c>
      <c r="K209" s="81">
        <v>1924.19</v>
      </c>
      <c r="L209" s="81">
        <v>1926.93</v>
      </c>
      <c r="M209" s="81">
        <v>1941.82</v>
      </c>
      <c r="N209" s="81">
        <v>1940.03</v>
      </c>
      <c r="O209" s="81">
        <v>1924.92</v>
      </c>
      <c r="P209" s="81">
        <v>1929.89</v>
      </c>
      <c r="Q209" s="81">
        <v>1934.58</v>
      </c>
      <c r="R209" s="373"/>
      <c r="S209" s="373"/>
      <c r="T209" s="376"/>
      <c r="U209" s="376"/>
      <c r="V209" s="378"/>
      <c r="W209" s="381"/>
      <c r="X209" s="384"/>
      <c r="Y209" s="390"/>
      <c r="Z209" s="182"/>
      <c r="AA209" s="82"/>
      <c r="AB209" s="82"/>
      <c r="AC209" s="82"/>
      <c r="AD209" s="82"/>
      <c r="AE209" s="86"/>
      <c r="AF209" s="82"/>
    </row>
    <row r="210" spans="1:32" ht="30" x14ac:dyDescent="0.3">
      <c r="A210" s="221"/>
      <c r="B210" s="79"/>
      <c r="C210" s="79"/>
      <c r="D210" s="80" t="s">
        <v>188</v>
      </c>
      <c r="E210" s="85">
        <f t="shared" ref="E210:Q210" si="66">IF(((E208="")*AND(E209="")),"",(E208-E209))</f>
        <v>434.35000000000014</v>
      </c>
      <c r="F210" s="85">
        <f t="shared" si="66"/>
        <v>390.04999999999973</v>
      </c>
      <c r="G210" s="85">
        <f t="shared" si="66"/>
        <v>377.51999999999975</v>
      </c>
      <c r="H210" s="85">
        <f t="shared" si="66"/>
        <v>390.92999999999984</v>
      </c>
      <c r="I210" s="85">
        <f t="shared" si="66"/>
        <v>416.60000000000014</v>
      </c>
      <c r="J210" s="85">
        <f t="shared" si="66"/>
        <v>417.3599999999999</v>
      </c>
      <c r="K210" s="85">
        <f t="shared" si="66"/>
        <v>391.86999999999989</v>
      </c>
      <c r="L210" s="85">
        <f t="shared" si="66"/>
        <v>383.22</v>
      </c>
      <c r="M210" s="85">
        <f t="shared" si="66"/>
        <v>427.1400000000001</v>
      </c>
      <c r="N210" s="85">
        <f t="shared" si="66"/>
        <v>389.31000000000017</v>
      </c>
      <c r="O210" s="85">
        <f t="shared" si="66"/>
        <v>389.44999999999982</v>
      </c>
      <c r="P210" s="85">
        <f t="shared" si="66"/>
        <v>388.24</v>
      </c>
      <c r="Q210" s="85">
        <f t="shared" si="66"/>
        <v>389.26000000000022</v>
      </c>
      <c r="R210" s="374"/>
      <c r="S210" s="374"/>
      <c r="T210" s="377"/>
      <c r="U210" s="377"/>
      <c r="V210" s="379"/>
      <c r="W210" s="382"/>
      <c r="X210" s="385"/>
      <c r="Y210" s="391"/>
      <c r="Z210" s="182"/>
      <c r="AA210" s="82"/>
      <c r="AB210" s="82"/>
      <c r="AC210" s="82"/>
      <c r="AD210" s="82"/>
      <c r="AE210" s="86"/>
      <c r="AF210" s="82"/>
    </row>
    <row r="211" spans="1:32" ht="15" x14ac:dyDescent="0.25">
      <c r="A211" s="222">
        <v>43360</v>
      </c>
      <c r="B211" s="79" t="s">
        <v>235</v>
      </c>
      <c r="C211" s="79" t="s">
        <v>232</v>
      </c>
      <c r="D211" s="80" t="s">
        <v>186</v>
      </c>
      <c r="E211" s="81">
        <v>1975.51</v>
      </c>
      <c r="F211" s="81">
        <v>1931.67</v>
      </c>
      <c r="G211" s="81">
        <v>1926.89</v>
      </c>
      <c r="H211" s="81">
        <v>1921.42</v>
      </c>
      <c r="I211" s="81">
        <v>1971.78</v>
      </c>
      <c r="J211" s="81">
        <v>1965.45</v>
      </c>
      <c r="K211" s="81">
        <v>1924.19</v>
      </c>
      <c r="L211" s="81">
        <v>1926.93</v>
      </c>
      <c r="M211" s="81">
        <v>1941.82</v>
      </c>
      <c r="N211" s="81">
        <v>1940.03</v>
      </c>
      <c r="O211" s="81">
        <v>1924.92</v>
      </c>
      <c r="P211" s="81">
        <v>1929.89</v>
      </c>
      <c r="Q211" s="81">
        <v>1934.58</v>
      </c>
      <c r="R211" s="372">
        <f>IF((Q212=""),"",MAX(E213:Q213))</f>
        <v>356.75</v>
      </c>
      <c r="S211" s="372">
        <f>IF(Q212="","",MIN(E213:Q213))</f>
        <v>286.32000000000016</v>
      </c>
      <c r="T211" s="375">
        <f>IF((Q213=""),"",AVERAGE(E213:Q213))</f>
        <v>312.36846153846159</v>
      </c>
      <c r="U211" s="375">
        <f>IF((Q212=""),"",(R211-S211)/(R211+S211)*100)</f>
        <v>10.95215139875905</v>
      </c>
      <c r="V211" s="375">
        <f>STDEV(E213:Q213)</f>
        <v>27.375044549782221</v>
      </c>
      <c r="W211" s="380" t="str">
        <f>IF(Q212="","",IF(T211&gt;300,IF(U211&lt;14,IF(T211&lt;390,"Pass","Fail"),"Fail"),"Fail"))</f>
        <v>Pass</v>
      </c>
      <c r="X211" s="383">
        <v>1340</v>
      </c>
      <c r="Y211" s="253" t="s">
        <v>205</v>
      </c>
      <c r="Z211" s="182"/>
      <c r="AA211" s="82">
        <v>270</v>
      </c>
      <c r="AB211" s="82">
        <v>370</v>
      </c>
      <c r="AC211" s="82">
        <v>300</v>
      </c>
      <c r="AD211" s="83">
        <v>390</v>
      </c>
      <c r="AE211" s="83">
        <v>20</v>
      </c>
      <c r="AF211" s="83">
        <v>14</v>
      </c>
    </row>
    <row r="212" spans="1:32" ht="15.6" x14ac:dyDescent="0.3">
      <c r="A212" s="221"/>
      <c r="B212" s="84"/>
      <c r="C212" s="84"/>
      <c r="D212" s="80" t="s">
        <v>187</v>
      </c>
      <c r="E212" s="81">
        <v>1630.21</v>
      </c>
      <c r="F212" s="81">
        <v>1634.83</v>
      </c>
      <c r="G212" s="81">
        <v>1631.2</v>
      </c>
      <c r="H212" s="81">
        <v>1630.27</v>
      </c>
      <c r="I212" s="81">
        <v>1615.03</v>
      </c>
      <c r="J212" s="81">
        <v>1614.77</v>
      </c>
      <c r="K212" s="81">
        <v>1637.87</v>
      </c>
      <c r="L212" s="81">
        <v>1630.49</v>
      </c>
      <c r="M212" s="81">
        <v>1588.92</v>
      </c>
      <c r="N212" s="81">
        <v>1643.37</v>
      </c>
      <c r="O212" s="81">
        <v>1628.97</v>
      </c>
      <c r="P212" s="81">
        <v>1631.62</v>
      </c>
      <c r="Q212" s="81">
        <v>1636.74</v>
      </c>
      <c r="R212" s="373"/>
      <c r="S212" s="373"/>
      <c r="T212" s="376"/>
      <c r="U212" s="376"/>
      <c r="V212" s="378"/>
      <c r="W212" s="381"/>
      <c r="X212" s="384"/>
      <c r="Y212" s="254"/>
      <c r="Z212" s="182"/>
      <c r="AA212" s="82"/>
      <c r="AB212" s="82"/>
      <c r="AC212" s="82"/>
      <c r="AD212" s="82"/>
      <c r="AE212" s="86"/>
      <c r="AF212" s="82"/>
    </row>
    <row r="213" spans="1:32" ht="30" x14ac:dyDescent="0.3">
      <c r="A213" s="221"/>
      <c r="B213" s="79"/>
      <c r="C213" s="79"/>
      <c r="D213" s="80" t="s">
        <v>188</v>
      </c>
      <c r="E213" s="85">
        <f t="shared" ref="E213:Q213" si="67">IF(((E211="")*AND(E212="")),"",(E211-E212))</f>
        <v>345.29999999999995</v>
      </c>
      <c r="F213" s="85">
        <f t="shared" si="67"/>
        <v>296.84000000000015</v>
      </c>
      <c r="G213" s="85">
        <f t="shared" si="67"/>
        <v>295.69000000000005</v>
      </c>
      <c r="H213" s="85">
        <f t="shared" si="67"/>
        <v>291.15000000000009</v>
      </c>
      <c r="I213" s="85">
        <f t="shared" si="67"/>
        <v>356.75</v>
      </c>
      <c r="J213" s="85">
        <f t="shared" si="67"/>
        <v>350.68000000000006</v>
      </c>
      <c r="K213" s="85">
        <f t="shared" si="67"/>
        <v>286.32000000000016</v>
      </c>
      <c r="L213" s="85">
        <f t="shared" si="67"/>
        <v>296.44000000000005</v>
      </c>
      <c r="M213" s="85">
        <f t="shared" si="67"/>
        <v>352.89999999999986</v>
      </c>
      <c r="N213" s="85">
        <f t="shared" si="67"/>
        <v>296.66000000000008</v>
      </c>
      <c r="O213" s="85">
        <f t="shared" si="67"/>
        <v>295.95000000000005</v>
      </c>
      <c r="P213" s="85">
        <f t="shared" si="67"/>
        <v>298.27000000000021</v>
      </c>
      <c r="Q213" s="85">
        <f t="shared" si="67"/>
        <v>297.83999999999992</v>
      </c>
      <c r="R213" s="374"/>
      <c r="S213" s="374"/>
      <c r="T213" s="377"/>
      <c r="U213" s="377"/>
      <c r="V213" s="379"/>
      <c r="W213" s="382"/>
      <c r="X213" s="385"/>
      <c r="Y213" s="255"/>
      <c r="Z213" s="182"/>
      <c r="AA213" s="82"/>
      <c r="AB213" s="82"/>
      <c r="AC213" s="82"/>
      <c r="AD213" s="82"/>
      <c r="AE213" s="86"/>
      <c r="AF213" s="82"/>
    </row>
    <row r="214" spans="1:32" ht="15" x14ac:dyDescent="0.25">
      <c r="A214" s="222">
        <v>43363</v>
      </c>
      <c r="B214" s="79" t="s">
        <v>235</v>
      </c>
      <c r="C214" s="79" t="s">
        <v>232</v>
      </c>
      <c r="D214" s="80" t="s">
        <v>186</v>
      </c>
      <c r="E214" s="81">
        <v>2410.54</v>
      </c>
      <c r="F214" s="81">
        <v>2315.52</v>
      </c>
      <c r="G214" s="81">
        <v>2299.81</v>
      </c>
      <c r="H214" s="81">
        <v>2303.2399999999998</v>
      </c>
      <c r="I214" s="81">
        <v>2377.21</v>
      </c>
      <c r="J214" s="81">
        <v>2376.08</v>
      </c>
      <c r="K214" s="81">
        <v>2309.67</v>
      </c>
      <c r="L214" s="81">
        <v>2306.62</v>
      </c>
      <c r="M214" s="81">
        <v>2369.14</v>
      </c>
      <c r="N214" s="81">
        <v>2324.11</v>
      </c>
      <c r="O214" s="81">
        <v>2310.4</v>
      </c>
      <c r="P214" s="81">
        <v>2312.41</v>
      </c>
      <c r="Q214" s="81">
        <v>2323.23</v>
      </c>
      <c r="R214" s="372">
        <f>IF((Q215=""),"",MAX(E216:Q216))</f>
        <v>437.83999999999992</v>
      </c>
      <c r="S214" s="372">
        <f>IF(Q215="","",MIN(E216:Q216))</f>
        <v>383.33999999999969</v>
      </c>
      <c r="T214" s="375">
        <f>IF((Q216=""),"",AVERAGE(E216:Q216))</f>
        <v>399.36999999999989</v>
      </c>
      <c r="U214" s="375">
        <f>IF((Q215=""),"",(R214-S214)/(R214+S214)*100)</f>
        <v>6.6367909593512087</v>
      </c>
      <c r="V214" s="375">
        <f>STDEV(E216:Q216)</f>
        <v>19.829420482370786</v>
      </c>
      <c r="W214" s="380" t="str">
        <f>IF(Q215="","",IF(T214&gt;300,IF(U214&lt;14,IF(T214&lt;390,"Pass","Fail"),"Fail"),"Fail"))</f>
        <v>Fail</v>
      </c>
      <c r="X214" s="383">
        <v>1340</v>
      </c>
      <c r="Y214" s="389"/>
      <c r="Z214" s="182"/>
      <c r="AA214" s="82">
        <v>270</v>
      </c>
      <c r="AB214" s="82">
        <v>370</v>
      </c>
      <c r="AC214" s="82">
        <v>300</v>
      </c>
      <c r="AD214" s="83">
        <v>390</v>
      </c>
      <c r="AE214" s="83">
        <v>20</v>
      </c>
      <c r="AF214" s="83">
        <v>14</v>
      </c>
    </row>
    <row r="215" spans="1:32" ht="15.6" x14ac:dyDescent="0.3">
      <c r="A215" s="221"/>
      <c r="B215" s="84"/>
      <c r="C215" s="84"/>
      <c r="D215" s="80" t="s">
        <v>187</v>
      </c>
      <c r="E215" s="81">
        <v>1972.7</v>
      </c>
      <c r="F215" s="81">
        <v>1929.08</v>
      </c>
      <c r="G215" s="81">
        <v>1915.09</v>
      </c>
      <c r="H215" s="81">
        <v>1919.9</v>
      </c>
      <c r="I215" s="81">
        <v>1954.18</v>
      </c>
      <c r="J215" s="81">
        <v>1958.27</v>
      </c>
      <c r="K215" s="81">
        <v>1924</v>
      </c>
      <c r="L215" s="81">
        <v>1919.44</v>
      </c>
      <c r="M215" s="81">
        <v>1939.51</v>
      </c>
      <c r="N215" s="81">
        <v>1935.66</v>
      </c>
      <c r="O215" s="81">
        <v>1922.42</v>
      </c>
      <c r="P215" s="81">
        <v>1925.56</v>
      </c>
      <c r="Q215" s="81">
        <v>1930.36</v>
      </c>
      <c r="R215" s="373"/>
      <c r="S215" s="373"/>
      <c r="T215" s="376"/>
      <c r="U215" s="376"/>
      <c r="V215" s="378"/>
      <c r="W215" s="381"/>
      <c r="X215" s="384"/>
      <c r="Y215" s="390"/>
      <c r="Z215" s="182"/>
      <c r="AA215" s="82"/>
      <c r="AB215" s="82"/>
      <c r="AC215" s="82"/>
      <c r="AD215" s="83"/>
      <c r="AE215" s="83"/>
      <c r="AF215" s="83"/>
    </row>
    <row r="216" spans="1:32" ht="30" x14ac:dyDescent="0.3">
      <c r="A216" s="221"/>
      <c r="B216" s="79"/>
      <c r="C216" s="79"/>
      <c r="D216" s="80" t="s">
        <v>188</v>
      </c>
      <c r="E216" s="85">
        <f t="shared" ref="E216:Q216" si="68">IF(((E214="")*AND(E215="")),"",(E214-E215))</f>
        <v>437.83999999999992</v>
      </c>
      <c r="F216" s="85">
        <f t="shared" si="68"/>
        <v>386.44000000000005</v>
      </c>
      <c r="G216" s="85">
        <f t="shared" si="68"/>
        <v>384.72</v>
      </c>
      <c r="H216" s="85">
        <f t="shared" si="68"/>
        <v>383.33999999999969</v>
      </c>
      <c r="I216" s="85">
        <f t="shared" si="68"/>
        <v>423.03</v>
      </c>
      <c r="J216" s="85">
        <f t="shared" si="68"/>
        <v>417.80999999999995</v>
      </c>
      <c r="K216" s="85">
        <f t="shared" si="68"/>
        <v>385.67000000000007</v>
      </c>
      <c r="L216" s="85">
        <f t="shared" si="68"/>
        <v>387.17999999999984</v>
      </c>
      <c r="M216" s="85">
        <f t="shared" si="68"/>
        <v>429.62999999999988</v>
      </c>
      <c r="N216" s="85">
        <f t="shared" si="68"/>
        <v>388.45000000000005</v>
      </c>
      <c r="O216" s="85">
        <f t="shared" si="68"/>
        <v>387.98</v>
      </c>
      <c r="P216" s="85">
        <f t="shared" si="68"/>
        <v>386.84999999999991</v>
      </c>
      <c r="Q216" s="85">
        <f t="shared" si="68"/>
        <v>392.87000000000012</v>
      </c>
      <c r="R216" s="374"/>
      <c r="S216" s="374"/>
      <c r="T216" s="377"/>
      <c r="U216" s="377"/>
      <c r="V216" s="379"/>
      <c r="W216" s="382"/>
      <c r="X216" s="385"/>
      <c r="Y216" s="391"/>
      <c r="Z216" s="182"/>
      <c r="AA216" s="82"/>
      <c r="AB216" s="82"/>
      <c r="AC216" s="82"/>
      <c r="AD216" s="82"/>
      <c r="AE216" s="86"/>
      <c r="AF216" s="82"/>
    </row>
    <row r="217" spans="1:32" ht="15" x14ac:dyDescent="0.25">
      <c r="A217" s="222">
        <v>43363</v>
      </c>
      <c r="B217" s="79" t="s">
        <v>235</v>
      </c>
      <c r="C217" s="79" t="s">
        <v>232</v>
      </c>
      <c r="D217" s="80" t="s">
        <v>186</v>
      </c>
      <c r="E217" s="81">
        <v>1972.7</v>
      </c>
      <c r="F217" s="81">
        <v>1929.08</v>
      </c>
      <c r="G217" s="81">
        <v>1915.09</v>
      </c>
      <c r="H217" s="81">
        <v>1919.9</v>
      </c>
      <c r="I217" s="81">
        <v>1954.18</v>
      </c>
      <c r="J217" s="81">
        <v>1958.27</v>
      </c>
      <c r="K217" s="81">
        <v>1924</v>
      </c>
      <c r="L217" s="81">
        <v>1919.44</v>
      </c>
      <c r="M217" s="81">
        <v>1939.51</v>
      </c>
      <c r="N217" s="81">
        <v>1935.66</v>
      </c>
      <c r="O217" s="81">
        <v>1922.42</v>
      </c>
      <c r="P217" s="81">
        <v>1925.56</v>
      </c>
      <c r="Q217" s="81">
        <v>1930.36</v>
      </c>
      <c r="R217" s="372">
        <f>IF((Q218=""),"",MAX(E219:Q219))</f>
        <v>346.8900000000001</v>
      </c>
      <c r="S217" s="372">
        <f>IF(Q218="","",MIN(E219:Q219))</f>
        <v>291.55999999999995</v>
      </c>
      <c r="T217" s="375">
        <f>IF((Q219=""),"",AVERAGE(E219:Q219))</f>
        <v>311.76538461538462</v>
      </c>
      <c r="U217" s="375">
        <f>IF((Q218=""),"",(R217-S217)/(R217+S217)*100)</f>
        <v>8.6663011982144482</v>
      </c>
      <c r="V217" s="375">
        <f>STDEV(E219:Q219)</f>
        <v>23.059483810132104</v>
      </c>
      <c r="W217" s="380" t="str">
        <f>IF(Q218="","",IF(T217&gt;300,IF(U217&lt;14,IF(T217&lt;390,"Pass","Fail"),"Fail"),"Fail"))</f>
        <v>Pass</v>
      </c>
      <c r="X217" s="383">
        <v>1340</v>
      </c>
      <c r="Y217" s="389"/>
      <c r="Z217" s="182"/>
      <c r="AA217" s="82">
        <v>270</v>
      </c>
      <c r="AB217" s="82">
        <v>370</v>
      </c>
      <c r="AC217" s="82">
        <v>300</v>
      </c>
      <c r="AD217" s="83">
        <v>390</v>
      </c>
      <c r="AE217" s="83">
        <v>20</v>
      </c>
      <c r="AF217" s="83">
        <v>14</v>
      </c>
    </row>
    <row r="218" spans="1:32" ht="15.6" x14ac:dyDescent="0.3">
      <c r="A218" s="221"/>
      <c r="B218" s="84"/>
      <c r="C218" s="84"/>
      <c r="D218" s="80" t="s">
        <v>187</v>
      </c>
      <c r="E218" s="81">
        <v>1631.5</v>
      </c>
      <c r="F218" s="81">
        <v>1631.93</v>
      </c>
      <c r="G218" s="81">
        <v>1623.53</v>
      </c>
      <c r="H218" s="81">
        <v>1620.31</v>
      </c>
      <c r="I218" s="81">
        <v>1607.29</v>
      </c>
      <c r="J218" s="81">
        <v>1612.85</v>
      </c>
      <c r="K218" s="81">
        <v>1629.86</v>
      </c>
      <c r="L218" s="81">
        <v>1624.84</v>
      </c>
      <c r="M218" s="81">
        <v>1594.1</v>
      </c>
      <c r="N218" s="81">
        <v>1636.17</v>
      </c>
      <c r="O218" s="81">
        <v>1621.13</v>
      </c>
      <c r="P218" s="81">
        <v>1629.34</v>
      </c>
      <c r="Q218" s="81">
        <v>1630.37</v>
      </c>
      <c r="R218" s="373"/>
      <c r="S218" s="373"/>
      <c r="T218" s="376"/>
      <c r="U218" s="376"/>
      <c r="V218" s="378"/>
      <c r="W218" s="381"/>
      <c r="X218" s="384"/>
      <c r="Y218" s="390"/>
      <c r="Z218" s="182"/>
      <c r="AA218" s="82"/>
      <c r="AB218" s="82"/>
      <c r="AC218" s="82"/>
      <c r="AD218" s="83"/>
      <c r="AE218" s="83"/>
      <c r="AF218" s="83"/>
    </row>
    <row r="219" spans="1:32" ht="30" x14ac:dyDescent="0.3">
      <c r="A219" s="221"/>
      <c r="B219" s="79"/>
      <c r="C219" s="79"/>
      <c r="D219" s="80" t="s">
        <v>188</v>
      </c>
      <c r="E219" s="85">
        <f t="shared" ref="E219:Q219" si="69">IF(((E217="")*AND(E218="")),"",(E217-E218))</f>
        <v>341.20000000000005</v>
      </c>
      <c r="F219" s="85">
        <f t="shared" si="69"/>
        <v>297.14999999999986</v>
      </c>
      <c r="G219" s="85">
        <f t="shared" si="69"/>
        <v>291.55999999999995</v>
      </c>
      <c r="H219" s="85">
        <f t="shared" si="69"/>
        <v>299.59000000000015</v>
      </c>
      <c r="I219" s="85">
        <f t="shared" si="69"/>
        <v>346.8900000000001</v>
      </c>
      <c r="J219" s="85">
        <f t="shared" si="69"/>
        <v>345.42000000000007</v>
      </c>
      <c r="K219" s="85">
        <f t="shared" si="69"/>
        <v>294.1400000000001</v>
      </c>
      <c r="L219" s="85">
        <f t="shared" si="69"/>
        <v>294.60000000000014</v>
      </c>
      <c r="M219" s="85">
        <f t="shared" si="69"/>
        <v>345.41000000000008</v>
      </c>
      <c r="N219" s="85">
        <f t="shared" si="69"/>
        <v>299.49</v>
      </c>
      <c r="O219" s="85">
        <f t="shared" si="69"/>
        <v>301.28999999999996</v>
      </c>
      <c r="P219" s="85">
        <f t="shared" si="69"/>
        <v>296.22000000000003</v>
      </c>
      <c r="Q219" s="85">
        <f t="shared" si="69"/>
        <v>299.99</v>
      </c>
      <c r="R219" s="374"/>
      <c r="S219" s="374"/>
      <c r="T219" s="377"/>
      <c r="U219" s="377"/>
      <c r="V219" s="379"/>
      <c r="W219" s="382"/>
      <c r="X219" s="385"/>
      <c r="Y219" s="391"/>
      <c r="Z219" s="182"/>
      <c r="AA219" s="82"/>
      <c r="AB219" s="82"/>
      <c r="AC219" s="82"/>
      <c r="AD219" s="82"/>
      <c r="AE219" s="86"/>
      <c r="AF219" s="82"/>
    </row>
    <row r="220" spans="1:32" ht="15" x14ac:dyDescent="0.25">
      <c r="A220" s="222">
        <v>43367</v>
      </c>
      <c r="B220" s="79" t="s">
        <v>235</v>
      </c>
      <c r="C220" s="79" t="s">
        <v>232</v>
      </c>
      <c r="D220" s="80" t="s">
        <v>186</v>
      </c>
      <c r="E220" s="87">
        <v>2407</v>
      </c>
      <c r="F220" s="87">
        <v>2310</v>
      </c>
      <c r="G220" s="87">
        <v>2294</v>
      </c>
      <c r="H220" s="87">
        <v>2298</v>
      </c>
      <c r="I220" s="87">
        <v>2374</v>
      </c>
      <c r="J220" s="87">
        <v>2374</v>
      </c>
      <c r="K220" s="87">
        <v>2302</v>
      </c>
      <c r="L220" s="87">
        <v>2301</v>
      </c>
      <c r="M220" s="87">
        <v>2366</v>
      </c>
      <c r="N220" s="87">
        <v>2317</v>
      </c>
      <c r="O220" s="87">
        <v>2307</v>
      </c>
      <c r="P220" s="87">
        <v>2309</v>
      </c>
      <c r="Q220" s="87">
        <v>2316</v>
      </c>
      <c r="R220" s="372">
        <f>IF((Q221=""),"",MAX(E222:Q222))</f>
        <v>426</v>
      </c>
      <c r="S220" s="372">
        <f>IF(Q221="","",MIN(E222:Q222))</f>
        <v>366</v>
      </c>
      <c r="T220" s="375">
        <f>IF((Q222=""),"",AVERAGE(E222:Q222))</f>
        <v>382.15384615384613</v>
      </c>
      <c r="U220" s="375">
        <f>IF((Q221=""),"",(R220-S220)/(R220+S220)*100)</f>
        <v>7.5757575757575761</v>
      </c>
      <c r="V220" s="375">
        <f>STDEV(E222:Q222)</f>
        <v>15.043526591450965</v>
      </c>
      <c r="W220" s="380" t="str">
        <f>IF(Q221="","",IF(T220&gt;300,IF(U220&lt;14,IF(T220&lt;390,"Pass","Fail"),"Fail"),"Fail"))</f>
        <v>Pass</v>
      </c>
      <c r="X220" s="383">
        <v>1340</v>
      </c>
      <c r="Y220" s="389"/>
      <c r="Z220" s="182"/>
      <c r="AA220" s="82">
        <v>270</v>
      </c>
      <c r="AB220" s="82">
        <v>370</v>
      </c>
      <c r="AC220" s="82">
        <v>300</v>
      </c>
      <c r="AD220" s="83">
        <v>390</v>
      </c>
      <c r="AE220" s="83">
        <v>20</v>
      </c>
      <c r="AF220" s="83">
        <v>14</v>
      </c>
    </row>
    <row r="221" spans="1:32" ht="15.6" x14ac:dyDescent="0.3">
      <c r="A221" s="221"/>
      <c r="B221" s="84"/>
      <c r="C221" s="84"/>
      <c r="D221" s="80" t="s">
        <v>187</v>
      </c>
      <c r="E221" s="87">
        <v>2013</v>
      </c>
      <c r="F221" s="87">
        <v>1928</v>
      </c>
      <c r="G221" s="87">
        <v>1928</v>
      </c>
      <c r="H221" s="87">
        <v>1922</v>
      </c>
      <c r="I221" s="87">
        <v>1997</v>
      </c>
      <c r="J221" s="87">
        <v>2000</v>
      </c>
      <c r="K221" s="87">
        <v>1932</v>
      </c>
      <c r="L221" s="87">
        <v>1918</v>
      </c>
      <c r="M221" s="87">
        <v>1940</v>
      </c>
      <c r="N221" s="87">
        <v>1939</v>
      </c>
      <c r="O221" s="87">
        <v>1922</v>
      </c>
      <c r="P221" s="87">
        <v>1936</v>
      </c>
      <c r="Q221" s="87">
        <v>1932</v>
      </c>
      <c r="R221" s="373"/>
      <c r="S221" s="373"/>
      <c r="T221" s="376"/>
      <c r="U221" s="376"/>
      <c r="V221" s="378"/>
      <c r="W221" s="381"/>
      <c r="X221" s="384"/>
      <c r="Y221" s="390"/>
      <c r="Z221" s="182"/>
      <c r="AA221" s="82"/>
      <c r="AB221" s="82"/>
      <c r="AC221" s="82"/>
      <c r="AD221" s="83"/>
      <c r="AE221" s="83"/>
      <c r="AF221" s="83"/>
    </row>
    <row r="222" spans="1:32" ht="30" x14ac:dyDescent="0.3">
      <c r="A222" s="221"/>
      <c r="B222" s="79"/>
      <c r="C222" s="79"/>
      <c r="D222" s="80" t="s">
        <v>188</v>
      </c>
      <c r="E222" s="85">
        <f t="shared" ref="E222:Q222" si="70">IF(((E220="")*AND(E221="")),"",(E220-E221))</f>
        <v>394</v>
      </c>
      <c r="F222" s="85">
        <f t="shared" si="70"/>
        <v>382</v>
      </c>
      <c r="G222" s="85">
        <f t="shared" si="70"/>
        <v>366</v>
      </c>
      <c r="H222" s="85">
        <f t="shared" si="70"/>
        <v>376</v>
      </c>
      <c r="I222" s="85">
        <f t="shared" si="70"/>
        <v>377</v>
      </c>
      <c r="J222" s="85">
        <f t="shared" si="70"/>
        <v>374</v>
      </c>
      <c r="K222" s="85">
        <f t="shared" si="70"/>
        <v>370</v>
      </c>
      <c r="L222" s="85">
        <f t="shared" si="70"/>
        <v>383</v>
      </c>
      <c r="M222" s="85">
        <f t="shared" si="70"/>
        <v>426</v>
      </c>
      <c r="N222" s="85">
        <f t="shared" si="70"/>
        <v>378</v>
      </c>
      <c r="O222" s="85">
        <f t="shared" si="70"/>
        <v>385</v>
      </c>
      <c r="P222" s="85">
        <f t="shared" si="70"/>
        <v>373</v>
      </c>
      <c r="Q222" s="85">
        <f t="shared" si="70"/>
        <v>384</v>
      </c>
      <c r="R222" s="374"/>
      <c r="S222" s="374"/>
      <c r="T222" s="377"/>
      <c r="U222" s="377"/>
      <c r="V222" s="379"/>
      <c r="W222" s="382"/>
      <c r="X222" s="385"/>
      <c r="Y222" s="391"/>
      <c r="Z222" s="182"/>
      <c r="AA222" s="82"/>
      <c r="AB222" s="82"/>
      <c r="AC222" s="82"/>
      <c r="AD222" s="82"/>
      <c r="AE222" s="86"/>
      <c r="AF222" s="82"/>
    </row>
    <row r="223" spans="1:32" ht="15" x14ac:dyDescent="0.25">
      <c r="A223" s="222">
        <v>43370</v>
      </c>
      <c r="B223" s="79" t="s">
        <v>235</v>
      </c>
      <c r="C223" s="79" t="s">
        <v>232</v>
      </c>
      <c r="D223" s="80" t="s">
        <v>186</v>
      </c>
      <c r="E223" s="81">
        <v>1893.08</v>
      </c>
      <c r="F223" s="81">
        <v>1900.83</v>
      </c>
      <c r="G223" s="81">
        <v>1907.01</v>
      </c>
      <c r="H223" s="81">
        <v>1907.67</v>
      </c>
      <c r="I223" s="81">
        <v>1907</v>
      </c>
      <c r="J223" s="81">
        <v>1904.08</v>
      </c>
      <c r="K223" s="81">
        <v>1904</v>
      </c>
      <c r="L223" s="81">
        <v>1906.31</v>
      </c>
      <c r="M223" s="81">
        <v>1903.65</v>
      </c>
      <c r="N223" s="81">
        <v>1903.1</v>
      </c>
      <c r="O223" s="81">
        <v>1905.5</v>
      </c>
      <c r="P223" s="81">
        <v>1906.02</v>
      </c>
      <c r="Q223" s="81">
        <v>1904.4</v>
      </c>
      <c r="R223" s="372">
        <f>IF((Q224=""),"",MAX(E225:Q225))</f>
        <v>141.15000000000009</v>
      </c>
      <c r="S223" s="372">
        <f>IF(Q224="","",MIN(E225:Q225))</f>
        <v>99.319999999999936</v>
      </c>
      <c r="T223" s="375">
        <f>IF((Q225=""),"",AVERAGE(E225:Q225))</f>
        <v>125.04846153846152</v>
      </c>
      <c r="U223" s="375">
        <f>IF((Q224=""),"",(R223-S223)/(R223+S223)*100)</f>
        <v>17.395101260032501</v>
      </c>
      <c r="V223" s="375">
        <f>STDEV(E225:Q225)</f>
        <v>11.265327962494682</v>
      </c>
      <c r="W223" s="380" t="str">
        <f>IF(Q224="","",IF(T223&gt;300,IF(U223&lt;14,IF(T223&lt;390,"Pass","Fail"),"Fail"),"Fail"))</f>
        <v>Fail</v>
      </c>
      <c r="X223" s="383">
        <v>1340</v>
      </c>
      <c r="Y223" s="389"/>
      <c r="Z223" s="182"/>
      <c r="AA223" s="82">
        <v>270</v>
      </c>
      <c r="AB223" s="82">
        <v>370</v>
      </c>
      <c r="AC223" s="82">
        <v>300</v>
      </c>
      <c r="AD223" s="83">
        <v>390</v>
      </c>
      <c r="AE223" s="83">
        <v>20</v>
      </c>
      <c r="AF223" s="83">
        <v>14</v>
      </c>
    </row>
    <row r="224" spans="1:32" ht="15.6" x14ac:dyDescent="0.3">
      <c r="A224" s="221"/>
      <c r="B224" s="84"/>
      <c r="C224" s="84"/>
      <c r="D224" s="80" t="s">
        <v>187</v>
      </c>
      <c r="E224" s="81">
        <v>1793.76</v>
      </c>
      <c r="F224" s="81">
        <v>1788.47</v>
      </c>
      <c r="G224" s="81">
        <v>1791</v>
      </c>
      <c r="H224" s="81">
        <v>1772.97</v>
      </c>
      <c r="I224" s="81">
        <v>1765.85</v>
      </c>
      <c r="J224" s="81">
        <v>1766.96</v>
      </c>
      <c r="K224" s="81">
        <v>1777.42</v>
      </c>
      <c r="L224" s="81">
        <v>1775.91</v>
      </c>
      <c r="M224" s="81">
        <v>1775.61</v>
      </c>
      <c r="N224" s="81">
        <v>1778</v>
      </c>
      <c r="O224" s="81">
        <v>1776.34</v>
      </c>
      <c r="P224" s="81">
        <v>1778</v>
      </c>
      <c r="Q224" s="81">
        <v>1786.73</v>
      </c>
      <c r="R224" s="373"/>
      <c r="S224" s="373"/>
      <c r="T224" s="376"/>
      <c r="U224" s="376"/>
      <c r="V224" s="378"/>
      <c r="W224" s="381"/>
      <c r="X224" s="384"/>
      <c r="Y224" s="390"/>
      <c r="Z224" s="182"/>
      <c r="AA224" s="82"/>
      <c r="AB224" s="82"/>
      <c r="AC224" s="82"/>
      <c r="AD224" s="83"/>
      <c r="AE224" s="83"/>
      <c r="AF224" s="83"/>
    </row>
    <row r="225" spans="1:32" ht="30" x14ac:dyDescent="0.3">
      <c r="A225" s="221"/>
      <c r="B225" s="79"/>
      <c r="C225" s="79"/>
      <c r="D225" s="80" t="s">
        <v>188</v>
      </c>
      <c r="E225" s="85">
        <f t="shared" ref="E225:Q225" si="71">IF(((E223="")*AND(E224="")),"",(E223-E224))</f>
        <v>99.319999999999936</v>
      </c>
      <c r="F225" s="85">
        <f t="shared" si="71"/>
        <v>112.3599999999999</v>
      </c>
      <c r="G225" s="85">
        <f t="shared" si="71"/>
        <v>116.00999999999999</v>
      </c>
      <c r="H225" s="85">
        <f t="shared" si="71"/>
        <v>134.70000000000005</v>
      </c>
      <c r="I225" s="85">
        <f t="shared" si="71"/>
        <v>141.15000000000009</v>
      </c>
      <c r="J225" s="85">
        <f t="shared" si="71"/>
        <v>137.11999999999989</v>
      </c>
      <c r="K225" s="85">
        <f t="shared" si="71"/>
        <v>126.57999999999993</v>
      </c>
      <c r="L225" s="85">
        <f t="shared" si="71"/>
        <v>130.39999999999986</v>
      </c>
      <c r="M225" s="85">
        <f t="shared" si="71"/>
        <v>128.04000000000019</v>
      </c>
      <c r="N225" s="85">
        <f t="shared" si="71"/>
        <v>125.09999999999991</v>
      </c>
      <c r="O225" s="85">
        <f t="shared" si="71"/>
        <v>129.16000000000008</v>
      </c>
      <c r="P225" s="85">
        <f t="shared" si="71"/>
        <v>128.01999999999998</v>
      </c>
      <c r="Q225" s="85">
        <f t="shared" si="71"/>
        <v>117.67000000000007</v>
      </c>
      <c r="R225" s="374"/>
      <c r="S225" s="374"/>
      <c r="T225" s="377"/>
      <c r="U225" s="377"/>
      <c r="V225" s="379"/>
      <c r="W225" s="382"/>
      <c r="X225" s="385"/>
      <c r="Y225" s="391"/>
      <c r="Z225" s="182"/>
      <c r="AA225" s="82"/>
      <c r="AB225" s="82"/>
      <c r="AC225" s="82"/>
      <c r="AD225" s="82"/>
      <c r="AE225" s="86"/>
      <c r="AF225" s="82"/>
    </row>
    <row r="226" spans="1:32" ht="15" x14ac:dyDescent="0.25">
      <c r="A226" s="222">
        <v>43370</v>
      </c>
      <c r="B226" s="79" t="s">
        <v>235</v>
      </c>
      <c r="C226" s="79" t="s">
        <v>232</v>
      </c>
      <c r="D226" s="80" t="s">
        <v>186</v>
      </c>
      <c r="E226" s="81">
        <v>2417.3000000000002</v>
      </c>
      <c r="F226" s="81">
        <v>2325.4299999999998</v>
      </c>
      <c r="G226" s="81">
        <v>2308.64</v>
      </c>
      <c r="H226" s="81">
        <v>2309.64</v>
      </c>
      <c r="I226" s="81">
        <v>2379.3200000000002</v>
      </c>
      <c r="J226" s="81">
        <v>2379.98</v>
      </c>
      <c r="K226" s="81">
        <v>2314.4</v>
      </c>
      <c r="L226" s="81">
        <v>2315.2600000000002</v>
      </c>
      <c r="M226" s="81">
        <v>2386.48</v>
      </c>
      <c r="N226" s="81">
        <v>2328.91</v>
      </c>
      <c r="O226" s="81">
        <v>2317.08</v>
      </c>
      <c r="P226" s="81">
        <v>2319.16</v>
      </c>
      <c r="Q226" s="81">
        <v>2333.4699999999998</v>
      </c>
      <c r="R226" s="372">
        <f>IF((Q227=""),"",MAX(E228:Q228))</f>
        <v>443.31999999999994</v>
      </c>
      <c r="S226" s="372">
        <f>IF(Q227="","",MIN(E228:Q228))</f>
        <v>379.5300000000002</v>
      </c>
      <c r="T226" s="375">
        <f>IF((Q228=""),"",AVERAGE(E228:Q228))</f>
        <v>398.89307692307682</v>
      </c>
      <c r="U226" s="375">
        <f>IF((Q227=""),"",(R226-S226)/(R226+S226)*100)</f>
        <v>7.7523242389256524</v>
      </c>
      <c r="V226" s="375">
        <f>STDEV(E228:Q228)</f>
        <v>21.296376602846259</v>
      </c>
      <c r="W226" s="380" t="str">
        <f>IF(Q227="","",IF(T226&gt;300,IF(U226&lt;14,IF(T226&lt;390,"Pass","Fail"),"Fail"),"Fail"))</f>
        <v>Fail</v>
      </c>
      <c r="X226" s="383">
        <v>1340</v>
      </c>
      <c r="Y226" s="389"/>
      <c r="Z226" s="182"/>
      <c r="AA226" s="82">
        <v>270</v>
      </c>
      <c r="AB226" s="82">
        <v>370</v>
      </c>
      <c r="AC226" s="82">
        <v>300</v>
      </c>
      <c r="AD226" s="83">
        <v>390</v>
      </c>
      <c r="AE226" s="83">
        <v>20</v>
      </c>
      <c r="AF226" s="83">
        <v>14</v>
      </c>
    </row>
    <row r="227" spans="1:32" ht="15.6" x14ac:dyDescent="0.3">
      <c r="A227" s="221"/>
      <c r="B227" s="84"/>
      <c r="C227" s="84"/>
      <c r="D227" s="80" t="s">
        <v>187</v>
      </c>
      <c r="E227" s="81">
        <v>1986.72</v>
      </c>
      <c r="F227" s="81">
        <v>1937.43</v>
      </c>
      <c r="G227" s="81">
        <v>1924.86</v>
      </c>
      <c r="H227" s="81">
        <v>1925.1</v>
      </c>
      <c r="I227" s="81">
        <v>1953.16</v>
      </c>
      <c r="J227" s="81">
        <v>1970.23</v>
      </c>
      <c r="K227" s="81">
        <v>1934.87</v>
      </c>
      <c r="L227" s="81">
        <v>1929.45</v>
      </c>
      <c r="M227" s="81">
        <v>1943.16</v>
      </c>
      <c r="N227" s="81">
        <v>1941.15</v>
      </c>
      <c r="O227" s="81">
        <v>1925.57</v>
      </c>
      <c r="P227" s="81">
        <v>1937.34</v>
      </c>
      <c r="Q227" s="81">
        <v>1940.42</v>
      </c>
      <c r="R227" s="373"/>
      <c r="S227" s="373"/>
      <c r="T227" s="376"/>
      <c r="U227" s="376"/>
      <c r="V227" s="378"/>
      <c r="W227" s="381"/>
      <c r="X227" s="384"/>
      <c r="Y227" s="390"/>
      <c r="Z227" s="182"/>
      <c r="AA227" s="82"/>
      <c r="AB227" s="82"/>
      <c r="AC227" s="82"/>
      <c r="AD227" s="83"/>
      <c r="AE227" s="83"/>
      <c r="AF227" s="83"/>
    </row>
    <row r="228" spans="1:32" ht="30" x14ac:dyDescent="0.3">
      <c r="A228" s="221"/>
      <c r="B228" s="79"/>
      <c r="C228" s="79"/>
      <c r="D228" s="80" t="s">
        <v>188</v>
      </c>
      <c r="E228" s="85">
        <f t="shared" ref="E228:Q228" si="72">IF(((E226="")*AND(E227="")),"",(E226-E227))</f>
        <v>430.58000000000015</v>
      </c>
      <c r="F228" s="85">
        <f t="shared" si="72"/>
        <v>387.99999999999977</v>
      </c>
      <c r="G228" s="85">
        <f t="shared" si="72"/>
        <v>383.78</v>
      </c>
      <c r="H228" s="85">
        <f t="shared" si="72"/>
        <v>384.53999999999996</v>
      </c>
      <c r="I228" s="85">
        <f t="shared" si="72"/>
        <v>426.16000000000008</v>
      </c>
      <c r="J228" s="85">
        <f t="shared" si="72"/>
        <v>409.75</v>
      </c>
      <c r="K228" s="85">
        <f t="shared" si="72"/>
        <v>379.5300000000002</v>
      </c>
      <c r="L228" s="85">
        <f t="shared" si="72"/>
        <v>385.81000000000017</v>
      </c>
      <c r="M228" s="85">
        <f t="shared" si="72"/>
        <v>443.31999999999994</v>
      </c>
      <c r="N228" s="85">
        <f t="shared" si="72"/>
        <v>387.75999999999976</v>
      </c>
      <c r="O228" s="85">
        <f t="shared" si="72"/>
        <v>391.51</v>
      </c>
      <c r="P228" s="85">
        <f t="shared" si="72"/>
        <v>381.81999999999994</v>
      </c>
      <c r="Q228" s="85">
        <f t="shared" si="72"/>
        <v>393.04999999999973</v>
      </c>
      <c r="R228" s="374"/>
      <c r="S228" s="374"/>
      <c r="T228" s="377"/>
      <c r="U228" s="377"/>
      <c r="V228" s="379"/>
      <c r="W228" s="382"/>
      <c r="X228" s="385"/>
      <c r="Y228" s="391"/>
      <c r="Z228" s="182"/>
      <c r="AA228" s="82"/>
      <c r="AB228" s="82"/>
      <c r="AC228" s="82"/>
      <c r="AD228" s="82"/>
      <c r="AE228" s="86"/>
      <c r="AF228" s="82"/>
    </row>
    <row r="229" spans="1:32" ht="15" x14ac:dyDescent="0.25">
      <c r="A229" s="222">
        <v>43370</v>
      </c>
      <c r="B229" s="79" t="s">
        <v>235</v>
      </c>
      <c r="C229" s="79" t="s">
        <v>232</v>
      </c>
      <c r="D229" s="80" t="s">
        <v>186</v>
      </c>
      <c r="E229" s="81">
        <v>1986.72</v>
      </c>
      <c r="F229" s="81">
        <v>1937.43</v>
      </c>
      <c r="G229" s="81">
        <v>1924.86</v>
      </c>
      <c r="H229" s="81">
        <v>1925.1</v>
      </c>
      <c r="I229" s="81">
        <v>1953.16</v>
      </c>
      <c r="J229" s="81">
        <v>1970.23</v>
      </c>
      <c r="K229" s="81">
        <v>1934.87</v>
      </c>
      <c r="L229" s="81">
        <v>1929.45</v>
      </c>
      <c r="M229" s="81">
        <v>1943.16</v>
      </c>
      <c r="N229" s="81">
        <v>1941.15</v>
      </c>
      <c r="O229" s="81">
        <v>1925.57</v>
      </c>
      <c r="P229" s="81">
        <v>1937.34</v>
      </c>
      <c r="Q229" s="81">
        <v>1940.42</v>
      </c>
      <c r="R229" s="372">
        <f>IF((Q230=""),"",MAX(E231:Q231))</f>
        <v>356.25</v>
      </c>
      <c r="S229" s="372">
        <f>IF(Q230="","",MIN(E231:Q231))</f>
        <v>289.06999999999994</v>
      </c>
      <c r="T229" s="375">
        <f>IF((Q231=""),"",AVERAGE(E231:Q231))</f>
        <v>310.89538461538461</v>
      </c>
      <c r="U229" s="375">
        <f>IF((Q230=""),"",(R229-S229)/(R229+S229)*100)</f>
        <v>10.41033905659209</v>
      </c>
      <c r="V229" s="375">
        <f>STDEV(E231:Q231)</f>
        <v>26.181476790339389</v>
      </c>
      <c r="W229" s="380" t="str">
        <f>IF(Q230="","",IF(T229&gt;300,IF(U229&lt;14,IF(T229&lt;390,"Pass","Fail"),"Fail"),"Fail"))</f>
        <v>Pass</v>
      </c>
      <c r="X229" s="383">
        <v>1335</v>
      </c>
      <c r="Y229" s="389"/>
      <c r="Z229" s="182"/>
      <c r="AA229" s="82">
        <v>270</v>
      </c>
      <c r="AB229" s="82">
        <v>370</v>
      </c>
      <c r="AC229" s="82">
        <v>300</v>
      </c>
      <c r="AD229" s="83">
        <v>390</v>
      </c>
      <c r="AE229" s="83">
        <v>20</v>
      </c>
      <c r="AF229" s="83">
        <v>14</v>
      </c>
    </row>
    <row r="230" spans="1:32" ht="15.6" x14ac:dyDescent="0.3">
      <c r="A230" s="221"/>
      <c r="B230" s="84"/>
      <c r="C230" s="84"/>
      <c r="D230" s="80" t="s">
        <v>187</v>
      </c>
      <c r="E230" s="81">
        <v>1637.76</v>
      </c>
      <c r="F230" s="81">
        <v>1646.4</v>
      </c>
      <c r="G230" s="81">
        <v>1635.79</v>
      </c>
      <c r="H230" s="81">
        <v>1629.98</v>
      </c>
      <c r="I230" s="81">
        <v>1604.62</v>
      </c>
      <c r="J230" s="81">
        <v>1613.98</v>
      </c>
      <c r="K230" s="81">
        <v>1639.05</v>
      </c>
      <c r="L230" s="81">
        <v>1636.22</v>
      </c>
      <c r="M230" s="81">
        <v>1604.84</v>
      </c>
      <c r="N230" s="81">
        <v>1642.99</v>
      </c>
      <c r="O230" s="81">
        <v>1632.4</v>
      </c>
      <c r="P230" s="81">
        <v>1636.62</v>
      </c>
      <c r="Q230" s="81">
        <v>1647.17</v>
      </c>
      <c r="R230" s="373"/>
      <c r="S230" s="373"/>
      <c r="T230" s="376"/>
      <c r="U230" s="376"/>
      <c r="V230" s="378"/>
      <c r="W230" s="381"/>
      <c r="X230" s="384"/>
      <c r="Y230" s="390"/>
      <c r="Z230" s="182"/>
      <c r="AA230" s="82"/>
      <c r="AB230" s="82"/>
      <c r="AC230" s="82"/>
      <c r="AD230" s="83"/>
      <c r="AE230" s="83"/>
      <c r="AF230" s="83"/>
    </row>
    <row r="231" spans="1:32" ht="30" x14ac:dyDescent="0.3">
      <c r="A231" s="221"/>
      <c r="B231" s="79"/>
      <c r="C231" s="79"/>
      <c r="D231" s="80" t="s">
        <v>188</v>
      </c>
      <c r="E231" s="85">
        <f t="shared" ref="E231:Q231" si="73">IF(((E229="")*AND(E230="")),"",(E229-E230))</f>
        <v>348.96000000000004</v>
      </c>
      <c r="F231" s="85">
        <f t="shared" si="73"/>
        <v>291.02999999999997</v>
      </c>
      <c r="G231" s="85">
        <f t="shared" si="73"/>
        <v>289.06999999999994</v>
      </c>
      <c r="H231" s="85">
        <f t="shared" si="73"/>
        <v>295.11999999999989</v>
      </c>
      <c r="I231" s="85">
        <f t="shared" si="73"/>
        <v>348.54000000000019</v>
      </c>
      <c r="J231" s="85">
        <f t="shared" si="73"/>
        <v>356.25</v>
      </c>
      <c r="K231" s="85">
        <f t="shared" si="73"/>
        <v>295.81999999999994</v>
      </c>
      <c r="L231" s="85">
        <f t="shared" si="73"/>
        <v>293.23</v>
      </c>
      <c r="M231" s="85">
        <f t="shared" si="73"/>
        <v>338.32000000000016</v>
      </c>
      <c r="N231" s="85">
        <f t="shared" si="73"/>
        <v>298.16000000000008</v>
      </c>
      <c r="O231" s="85">
        <f t="shared" si="73"/>
        <v>293.16999999999985</v>
      </c>
      <c r="P231" s="85">
        <f t="shared" si="73"/>
        <v>300.72000000000003</v>
      </c>
      <c r="Q231" s="85">
        <f t="shared" si="73"/>
        <v>293.25</v>
      </c>
      <c r="R231" s="374"/>
      <c r="S231" s="374"/>
      <c r="T231" s="377"/>
      <c r="U231" s="377"/>
      <c r="V231" s="379"/>
      <c r="W231" s="382"/>
      <c r="X231" s="385"/>
      <c r="Y231" s="391"/>
      <c r="Z231" s="182"/>
      <c r="AA231" s="82"/>
      <c r="AB231" s="82"/>
      <c r="AC231" s="82"/>
      <c r="AD231" s="82"/>
      <c r="AE231" s="86"/>
      <c r="AF231" s="82"/>
    </row>
    <row r="232" spans="1:32" ht="15" x14ac:dyDescent="0.25">
      <c r="A232" s="222">
        <v>43373</v>
      </c>
      <c r="B232" s="79" t="s">
        <v>235</v>
      </c>
      <c r="C232" s="79" t="s">
        <v>232</v>
      </c>
      <c r="D232" s="80" t="s">
        <v>186</v>
      </c>
      <c r="E232" s="81">
        <v>2425.5300000000002</v>
      </c>
      <c r="F232" s="81">
        <v>2334.84</v>
      </c>
      <c r="G232" s="81">
        <v>2318.02</v>
      </c>
      <c r="H232" s="81">
        <v>2319.6999999999998</v>
      </c>
      <c r="I232" s="81">
        <v>2397.06</v>
      </c>
      <c r="J232" s="81">
        <v>2389.25</v>
      </c>
      <c r="K232" s="81">
        <v>2327.5300000000002</v>
      </c>
      <c r="L232" s="81">
        <v>2324.33</v>
      </c>
      <c r="M232" s="81">
        <v>2380.44</v>
      </c>
      <c r="N232" s="81">
        <v>2344.52</v>
      </c>
      <c r="O232" s="81">
        <v>2328.04</v>
      </c>
      <c r="P232" s="81">
        <v>2329.5300000000002</v>
      </c>
      <c r="Q232" s="81">
        <v>2339.7399999999998</v>
      </c>
      <c r="R232" s="372">
        <f>IF((Q233=""),"",MAX(E234:Q234))</f>
        <v>445.50000000000023</v>
      </c>
      <c r="S232" s="372">
        <f>IF(Q233="","",MIN(E234:Q234))</f>
        <v>385.27</v>
      </c>
      <c r="T232" s="375">
        <f>IF((Q234=""),"",AVERAGE(E234:Q234))</f>
        <v>402.95000000000005</v>
      </c>
      <c r="U232" s="375">
        <f>IF((Q233=""),"",(R232-S232)/(R232+S232)*100)</f>
        <v>7.2499006945364224</v>
      </c>
      <c r="V232" s="375">
        <f>STDEV(E234:Q234)</f>
        <v>20.974717717607916</v>
      </c>
      <c r="W232" s="380" t="str">
        <f>IF(Q233="","",IF(T232&gt;300,IF(U232&lt;14,IF(T232&lt;390,"Pass","Fail"),"Fail"),"Fail"))</f>
        <v>Fail</v>
      </c>
      <c r="X232" s="383">
        <v>74</v>
      </c>
      <c r="Y232" s="389"/>
      <c r="Z232" s="182"/>
      <c r="AA232" s="82">
        <v>270</v>
      </c>
      <c r="AB232" s="82">
        <v>370</v>
      </c>
      <c r="AC232" s="82">
        <v>300</v>
      </c>
      <c r="AD232" s="83">
        <v>390</v>
      </c>
      <c r="AE232" s="83">
        <v>20</v>
      </c>
      <c r="AF232" s="83">
        <v>14</v>
      </c>
    </row>
    <row r="233" spans="1:32" ht="15.6" x14ac:dyDescent="0.3">
      <c r="A233" s="221"/>
      <c r="B233" s="84"/>
      <c r="C233" s="84"/>
      <c r="D233" s="80" t="s">
        <v>187</v>
      </c>
      <c r="E233" s="81">
        <v>1980.03</v>
      </c>
      <c r="F233" s="81">
        <v>1946.98</v>
      </c>
      <c r="G233" s="81">
        <v>1930.17</v>
      </c>
      <c r="H233" s="81">
        <v>1932.2</v>
      </c>
      <c r="I233" s="81">
        <v>1967.87</v>
      </c>
      <c r="J233" s="81">
        <v>1965.43</v>
      </c>
      <c r="K233" s="81">
        <v>1935.85</v>
      </c>
      <c r="L233" s="81">
        <v>1939.06</v>
      </c>
      <c r="M233" s="81">
        <v>1950.47</v>
      </c>
      <c r="N233" s="81">
        <v>1946.98</v>
      </c>
      <c r="O233" s="81">
        <v>1938.69</v>
      </c>
      <c r="P233" s="81">
        <v>1938.14</v>
      </c>
      <c r="Q233" s="81">
        <v>1948.31</v>
      </c>
      <c r="R233" s="373"/>
      <c r="S233" s="373"/>
      <c r="T233" s="376"/>
      <c r="U233" s="376"/>
      <c r="V233" s="378"/>
      <c r="W233" s="381"/>
      <c r="X233" s="384"/>
      <c r="Y233" s="390"/>
      <c r="Z233" s="182"/>
      <c r="AA233" s="82"/>
      <c r="AB233" s="82"/>
      <c r="AC233" s="82"/>
      <c r="AD233" s="83"/>
      <c r="AE233" s="83"/>
      <c r="AF233" s="83"/>
    </row>
    <row r="234" spans="1:32" ht="30" x14ac:dyDescent="0.3">
      <c r="A234" s="221"/>
      <c r="B234" s="79"/>
      <c r="C234" s="79"/>
      <c r="D234" s="80" t="s">
        <v>188</v>
      </c>
      <c r="E234" s="85">
        <f t="shared" ref="E234:Q234" si="74">IF(((E232="")*AND(E233="")),"",(E232-E233))</f>
        <v>445.50000000000023</v>
      </c>
      <c r="F234" s="85">
        <f t="shared" si="74"/>
        <v>387.86000000000013</v>
      </c>
      <c r="G234" s="85">
        <f t="shared" si="74"/>
        <v>387.84999999999991</v>
      </c>
      <c r="H234" s="85">
        <f t="shared" si="74"/>
        <v>387.49999999999977</v>
      </c>
      <c r="I234" s="85">
        <f t="shared" si="74"/>
        <v>429.19000000000005</v>
      </c>
      <c r="J234" s="85">
        <f t="shared" si="74"/>
        <v>423.81999999999994</v>
      </c>
      <c r="K234" s="85">
        <f t="shared" si="74"/>
        <v>391.68000000000029</v>
      </c>
      <c r="L234" s="85">
        <f t="shared" si="74"/>
        <v>385.27</v>
      </c>
      <c r="M234" s="85">
        <f t="shared" si="74"/>
        <v>429.97</v>
      </c>
      <c r="N234" s="85">
        <f t="shared" si="74"/>
        <v>397.53999999999996</v>
      </c>
      <c r="O234" s="85">
        <f t="shared" si="74"/>
        <v>389.34999999999991</v>
      </c>
      <c r="P234" s="85">
        <f t="shared" si="74"/>
        <v>391.3900000000001</v>
      </c>
      <c r="Q234" s="85">
        <f t="shared" si="74"/>
        <v>391.42999999999984</v>
      </c>
      <c r="R234" s="374"/>
      <c r="S234" s="374"/>
      <c r="T234" s="377"/>
      <c r="U234" s="377"/>
      <c r="V234" s="379"/>
      <c r="W234" s="382"/>
      <c r="X234" s="385"/>
      <c r="Y234" s="391"/>
      <c r="Z234" s="182"/>
      <c r="AA234" s="82"/>
      <c r="AB234" s="82"/>
      <c r="AC234" s="82"/>
      <c r="AD234" s="82"/>
      <c r="AE234" s="86"/>
      <c r="AF234" s="82"/>
    </row>
    <row r="235" spans="1:32" ht="15" x14ac:dyDescent="0.25">
      <c r="A235" s="222">
        <v>43377</v>
      </c>
      <c r="B235" s="79" t="s">
        <v>235</v>
      </c>
      <c r="C235" s="79" t="s">
        <v>232</v>
      </c>
      <c r="D235" s="80" t="s">
        <v>186</v>
      </c>
      <c r="E235" s="81">
        <v>1980.03</v>
      </c>
      <c r="F235" s="81">
        <v>1946.98</v>
      </c>
      <c r="G235" s="81">
        <v>1930.17</v>
      </c>
      <c r="H235" s="81">
        <v>1932.2</v>
      </c>
      <c r="I235" s="81">
        <v>1967.87</v>
      </c>
      <c r="J235" s="81">
        <v>1965.43</v>
      </c>
      <c r="K235" s="81">
        <v>1935.85</v>
      </c>
      <c r="L235" s="81">
        <v>1939.06</v>
      </c>
      <c r="M235" s="81">
        <v>1950.47</v>
      </c>
      <c r="N235" s="81">
        <v>1946.98</v>
      </c>
      <c r="O235" s="81">
        <v>1938.69</v>
      </c>
      <c r="P235" s="81">
        <v>1938.14</v>
      </c>
      <c r="Q235" s="81">
        <v>1948.31</v>
      </c>
      <c r="R235" s="372">
        <f>IF((Q236=""),"",MAX(E237:Q237))</f>
        <v>347.62000000000012</v>
      </c>
      <c r="S235" s="372">
        <f>IF(Q236="","",MIN(E237:Q237))</f>
        <v>288.17000000000007</v>
      </c>
      <c r="T235" s="375">
        <f>IF((Q237=""),"",AVERAGE(E237:Q237))</f>
        <v>310.15615384615381</v>
      </c>
      <c r="U235" s="375">
        <f>IF((Q236=""),"",(R235-S235)/(R235+S235)*100)</f>
        <v>9.3505717296591691</v>
      </c>
      <c r="V235" s="375">
        <f>STDEV(E237:Q237)</f>
        <v>20.644528951783464</v>
      </c>
      <c r="W235" s="380" t="str">
        <f>IF(Q236="","",IF(T235&gt;300,IF(U235&lt;14,IF(T235&lt;390,"Pass","Fail"),"Fail"),"Fail"))</f>
        <v>Pass</v>
      </c>
      <c r="X235" s="383">
        <v>1340</v>
      </c>
      <c r="Y235" s="253" t="s">
        <v>206</v>
      </c>
      <c r="Z235" s="182"/>
      <c r="AA235" s="82">
        <v>270</v>
      </c>
      <c r="AB235" s="82">
        <v>370</v>
      </c>
      <c r="AC235" s="82">
        <v>300</v>
      </c>
      <c r="AD235" s="83">
        <v>390</v>
      </c>
      <c r="AE235" s="83">
        <v>20</v>
      </c>
      <c r="AF235" s="83">
        <v>14</v>
      </c>
    </row>
    <row r="236" spans="1:32" ht="15.6" x14ac:dyDescent="0.3">
      <c r="A236" s="221"/>
      <c r="B236" s="84"/>
      <c r="C236" s="84"/>
      <c r="D236" s="80" t="s">
        <v>187</v>
      </c>
      <c r="E236" s="81">
        <v>1651.51</v>
      </c>
      <c r="F236" s="81">
        <v>1650.08</v>
      </c>
      <c r="G236" s="81">
        <v>1637.75</v>
      </c>
      <c r="H236" s="81">
        <v>1644.03</v>
      </c>
      <c r="I236" s="81">
        <v>1628.19</v>
      </c>
      <c r="J236" s="81">
        <v>1626.35</v>
      </c>
      <c r="K236" s="81">
        <v>1641.08</v>
      </c>
      <c r="L236" s="81">
        <v>1636.4</v>
      </c>
      <c r="M236" s="81">
        <v>1602.85</v>
      </c>
      <c r="N236" s="81">
        <v>1650.6</v>
      </c>
      <c r="O236" s="81">
        <v>1634.9</v>
      </c>
      <c r="P236" s="81">
        <v>1637.98</v>
      </c>
      <c r="Q236" s="81">
        <v>1646.43</v>
      </c>
      <c r="R236" s="373"/>
      <c r="S236" s="373"/>
      <c r="T236" s="376"/>
      <c r="U236" s="376"/>
      <c r="V236" s="378"/>
      <c r="W236" s="381"/>
      <c r="X236" s="384"/>
      <c r="Y236" s="254"/>
      <c r="Z236" s="182"/>
      <c r="AA236" s="82"/>
      <c r="AB236" s="82"/>
      <c r="AC236" s="82"/>
      <c r="AD236" s="83"/>
      <c r="AE236" s="83"/>
      <c r="AF236" s="83"/>
    </row>
    <row r="237" spans="1:32" ht="30" x14ac:dyDescent="0.3">
      <c r="A237" s="221"/>
      <c r="B237" s="79"/>
      <c r="C237" s="79"/>
      <c r="D237" s="80" t="s">
        <v>188</v>
      </c>
      <c r="E237" s="85">
        <f t="shared" ref="E237:Q237" si="75">IF(((E235="")*AND(E236="")),"",(E235-E236))</f>
        <v>328.52</v>
      </c>
      <c r="F237" s="85">
        <f t="shared" si="75"/>
        <v>296.90000000000009</v>
      </c>
      <c r="G237" s="85">
        <f t="shared" si="75"/>
        <v>292.42000000000007</v>
      </c>
      <c r="H237" s="85">
        <f t="shared" si="75"/>
        <v>288.17000000000007</v>
      </c>
      <c r="I237" s="85">
        <f t="shared" si="75"/>
        <v>339.67999999999984</v>
      </c>
      <c r="J237" s="85">
        <f t="shared" si="75"/>
        <v>339.08000000000015</v>
      </c>
      <c r="K237" s="85">
        <f t="shared" si="75"/>
        <v>294.77</v>
      </c>
      <c r="L237" s="85">
        <f t="shared" si="75"/>
        <v>302.65999999999985</v>
      </c>
      <c r="M237" s="85">
        <f t="shared" si="75"/>
        <v>347.62000000000012</v>
      </c>
      <c r="N237" s="85">
        <f t="shared" si="75"/>
        <v>296.38000000000011</v>
      </c>
      <c r="O237" s="85">
        <f t="shared" si="75"/>
        <v>303.78999999999996</v>
      </c>
      <c r="P237" s="85">
        <f t="shared" si="75"/>
        <v>300.16000000000008</v>
      </c>
      <c r="Q237" s="85">
        <f t="shared" si="75"/>
        <v>301.87999999999988</v>
      </c>
      <c r="R237" s="374"/>
      <c r="S237" s="374"/>
      <c r="T237" s="377"/>
      <c r="U237" s="377"/>
      <c r="V237" s="379"/>
      <c r="W237" s="382"/>
      <c r="X237" s="385"/>
      <c r="Y237" s="255"/>
      <c r="Z237" s="182"/>
      <c r="AA237" s="82"/>
      <c r="AB237" s="82"/>
      <c r="AC237" s="82"/>
      <c r="AD237" s="82"/>
      <c r="AE237" s="86"/>
      <c r="AF237" s="82"/>
    </row>
    <row r="238" spans="1:32" ht="15" x14ac:dyDescent="0.25">
      <c r="A238" s="222">
        <v>43380</v>
      </c>
      <c r="B238" s="79" t="s">
        <v>235</v>
      </c>
      <c r="C238" s="79" t="s">
        <v>232</v>
      </c>
      <c r="D238" s="80" t="s">
        <v>186</v>
      </c>
      <c r="E238" s="81">
        <v>1643.58</v>
      </c>
      <c r="F238" s="81">
        <v>1661.7</v>
      </c>
      <c r="G238" s="81">
        <v>1632.55</v>
      </c>
      <c r="H238" s="81">
        <v>1624.62</v>
      </c>
      <c r="I238" s="81">
        <v>1624.18</v>
      </c>
      <c r="J238" s="81">
        <v>1626.82</v>
      </c>
      <c r="K238" s="81">
        <v>1628.62</v>
      </c>
      <c r="L238" s="81">
        <v>1620</v>
      </c>
      <c r="M238" s="81">
        <v>1605.22</v>
      </c>
      <c r="N238" s="81">
        <v>1659.06</v>
      </c>
      <c r="O238" s="81">
        <v>1626.69</v>
      </c>
      <c r="P238" s="81">
        <v>1620</v>
      </c>
      <c r="Q238" s="81">
        <v>1645.31</v>
      </c>
      <c r="R238" s="372">
        <f>IF((Q239=""),"",MAX(E240:Q240))</f>
        <v>381.28</v>
      </c>
      <c r="S238" s="372">
        <f>IF(Q239="","",MIN(E240:Q240))</f>
        <v>303.13000000000011</v>
      </c>
      <c r="T238" s="375">
        <f>IF((Q240=""),"",AVERAGE(E240:Q240))</f>
        <v>333.11615384615379</v>
      </c>
      <c r="U238" s="375">
        <f>IF((Q239=""),"",(R238-S238)/(R238+S238)*100)</f>
        <v>11.41859411756109</v>
      </c>
      <c r="V238" s="375">
        <f>STDEV(E240:Q240)</f>
        <v>27.294910862180132</v>
      </c>
      <c r="W238" s="380" t="str">
        <f>IF(Q239="","",IF(T238&gt;300,IF(U238&lt;14,IF(T238&lt;390,"Pass","Fail"),"Fail"),"Fail"))</f>
        <v>Pass</v>
      </c>
      <c r="X238" s="383">
        <v>1428</v>
      </c>
      <c r="Y238" s="389"/>
      <c r="Z238" s="182"/>
      <c r="AA238" s="82">
        <v>270</v>
      </c>
      <c r="AB238" s="82">
        <v>370</v>
      </c>
      <c r="AC238" s="82">
        <v>300</v>
      </c>
      <c r="AD238" s="83">
        <v>390</v>
      </c>
      <c r="AE238" s="83">
        <v>20</v>
      </c>
      <c r="AF238" s="83">
        <v>14</v>
      </c>
    </row>
    <row r="239" spans="1:32" ht="15.6" x14ac:dyDescent="0.3">
      <c r="A239" s="221"/>
      <c r="B239" s="84"/>
      <c r="C239" s="84"/>
      <c r="D239" s="80" t="s">
        <v>187</v>
      </c>
      <c r="E239" s="81">
        <v>1275.3499999999999</v>
      </c>
      <c r="F239" s="81">
        <v>1328.87</v>
      </c>
      <c r="G239" s="81">
        <v>1318.32</v>
      </c>
      <c r="H239" s="81">
        <v>1318.58</v>
      </c>
      <c r="I239" s="81">
        <v>1257.9000000000001</v>
      </c>
      <c r="J239" s="81">
        <v>1263.51</v>
      </c>
      <c r="K239" s="81">
        <v>1319.21</v>
      </c>
      <c r="L239" s="81">
        <v>1311.66</v>
      </c>
      <c r="M239" s="81">
        <v>1223.94</v>
      </c>
      <c r="N239" s="81">
        <v>1328.11</v>
      </c>
      <c r="O239" s="81">
        <v>1305.82</v>
      </c>
      <c r="P239" s="81">
        <v>1316.87</v>
      </c>
      <c r="Q239" s="81">
        <v>1319.7</v>
      </c>
      <c r="R239" s="373"/>
      <c r="S239" s="373"/>
      <c r="T239" s="376"/>
      <c r="U239" s="376"/>
      <c r="V239" s="378"/>
      <c r="W239" s="381"/>
      <c r="X239" s="384"/>
      <c r="Y239" s="390"/>
      <c r="Z239" s="182"/>
      <c r="AA239" s="82"/>
      <c r="AB239" s="82"/>
      <c r="AC239" s="82"/>
      <c r="AD239" s="83"/>
      <c r="AE239" s="83"/>
      <c r="AF239" s="83"/>
    </row>
    <row r="240" spans="1:32" ht="30" x14ac:dyDescent="0.3">
      <c r="A240" s="221"/>
      <c r="B240" s="79"/>
      <c r="C240" s="79"/>
      <c r="D240" s="80" t="s">
        <v>188</v>
      </c>
      <c r="E240" s="85">
        <f t="shared" ref="E240:Q240" si="76">IF(((E238="")*AND(E239="")),"",(E238-E239))</f>
        <v>368.23</v>
      </c>
      <c r="F240" s="85">
        <f t="shared" si="76"/>
        <v>332.83000000000015</v>
      </c>
      <c r="G240" s="85">
        <f t="shared" si="76"/>
        <v>314.23</v>
      </c>
      <c r="H240" s="85">
        <f t="shared" si="76"/>
        <v>306.03999999999996</v>
      </c>
      <c r="I240" s="85">
        <f t="shared" si="76"/>
        <v>366.28</v>
      </c>
      <c r="J240" s="85">
        <f t="shared" si="76"/>
        <v>363.30999999999995</v>
      </c>
      <c r="K240" s="85">
        <f t="shared" si="76"/>
        <v>309.40999999999985</v>
      </c>
      <c r="L240" s="85">
        <f t="shared" si="76"/>
        <v>308.33999999999992</v>
      </c>
      <c r="M240" s="85">
        <f t="shared" si="76"/>
        <v>381.28</v>
      </c>
      <c r="N240" s="85">
        <f t="shared" si="76"/>
        <v>330.95000000000005</v>
      </c>
      <c r="O240" s="85">
        <f t="shared" si="76"/>
        <v>320.87000000000012</v>
      </c>
      <c r="P240" s="85">
        <f t="shared" si="76"/>
        <v>303.13000000000011</v>
      </c>
      <c r="Q240" s="85">
        <f t="shared" si="76"/>
        <v>325.6099999999999</v>
      </c>
      <c r="R240" s="374"/>
      <c r="S240" s="374"/>
      <c r="T240" s="377"/>
      <c r="U240" s="377"/>
      <c r="V240" s="379"/>
      <c r="W240" s="382"/>
      <c r="X240" s="385"/>
      <c r="Y240" s="391"/>
      <c r="Z240" s="182"/>
      <c r="AA240" s="82"/>
      <c r="AB240" s="82"/>
      <c r="AC240" s="82"/>
      <c r="AD240" s="82"/>
      <c r="AE240" s="86"/>
      <c r="AF240" s="82"/>
    </row>
    <row r="241" spans="1:32" ht="15" x14ac:dyDescent="0.25">
      <c r="A241" s="222">
        <v>43383</v>
      </c>
      <c r="B241" s="79" t="s">
        <v>235</v>
      </c>
      <c r="C241" s="79" t="s">
        <v>232</v>
      </c>
      <c r="D241" s="80" t="s">
        <v>186</v>
      </c>
      <c r="E241" s="81">
        <v>2910.11</v>
      </c>
      <c r="F241" s="81">
        <v>2849.82</v>
      </c>
      <c r="G241" s="81">
        <v>2845.99</v>
      </c>
      <c r="H241" s="81">
        <v>2859.16</v>
      </c>
      <c r="I241" s="81">
        <v>2949.81</v>
      </c>
      <c r="J241" s="81">
        <v>2968.09</v>
      </c>
      <c r="K241" s="81">
        <v>2864.78</v>
      </c>
      <c r="L241" s="81">
        <v>2847.9</v>
      </c>
      <c r="M241" s="81">
        <v>2908.96</v>
      </c>
      <c r="N241" s="81">
        <v>2862.68</v>
      </c>
      <c r="O241" s="81">
        <v>2858.86</v>
      </c>
      <c r="P241" s="81">
        <v>2878.27</v>
      </c>
      <c r="Q241" s="81">
        <v>2850.7</v>
      </c>
      <c r="R241" s="372">
        <f>IF((Q242=""),"",MAX(E243:Q243))</f>
        <v>379.76000000000022</v>
      </c>
      <c r="S241" s="372">
        <f>IF(Q242="","",MIN(E243:Q243))</f>
        <v>332.23999999999978</v>
      </c>
      <c r="T241" s="375">
        <f>IF((Q243=""),"",AVERAGE(E243:Q243))</f>
        <v>347.82</v>
      </c>
      <c r="U241" s="375">
        <f>IF((Q242=""),"",(R241-S241)/(R241+S241)*100)</f>
        <v>6.6741573033708477</v>
      </c>
      <c r="V241" s="375">
        <f>STDEV(E243:Q243)</f>
        <v>21.165119497260928</v>
      </c>
      <c r="W241" s="380" t="str">
        <f>IF(Q242="","",IF(T241&gt;300,IF(U241&lt;14,IF(T241&lt;390,"Pass","Fail"),"Fail"),"Fail"))</f>
        <v>Pass</v>
      </c>
      <c r="X241" s="383">
        <v>1340</v>
      </c>
      <c r="Y241" s="253" t="s">
        <v>208</v>
      </c>
      <c r="Z241" s="182"/>
      <c r="AA241" s="82">
        <v>270</v>
      </c>
      <c r="AB241" s="82">
        <v>370</v>
      </c>
      <c r="AC241" s="82">
        <v>300</v>
      </c>
      <c r="AD241" s="83">
        <v>390</v>
      </c>
      <c r="AE241" s="83">
        <v>20</v>
      </c>
      <c r="AF241" s="83">
        <v>14</v>
      </c>
    </row>
    <row r="242" spans="1:32" ht="15.6" x14ac:dyDescent="0.3">
      <c r="A242" s="221"/>
      <c r="B242" s="84"/>
      <c r="C242" s="84"/>
      <c r="D242" s="80" t="s">
        <v>187</v>
      </c>
      <c r="E242" s="81">
        <v>2530.35</v>
      </c>
      <c r="F242" s="81">
        <v>2516.12</v>
      </c>
      <c r="G242" s="81">
        <v>2513.75</v>
      </c>
      <c r="H242" s="81">
        <v>2526.3200000000002</v>
      </c>
      <c r="I242" s="81">
        <v>2571.84</v>
      </c>
      <c r="J242" s="81">
        <v>2591.64</v>
      </c>
      <c r="K242" s="81">
        <v>2532.21</v>
      </c>
      <c r="L242" s="81">
        <v>2511.56</v>
      </c>
      <c r="M242" s="81">
        <v>2530.2800000000002</v>
      </c>
      <c r="N242" s="81">
        <v>2527.5500000000002</v>
      </c>
      <c r="O242" s="81">
        <v>2520.5700000000002</v>
      </c>
      <c r="P242" s="81">
        <v>2545.14</v>
      </c>
      <c r="Q242" s="81">
        <v>2516.14</v>
      </c>
      <c r="R242" s="373"/>
      <c r="S242" s="373"/>
      <c r="T242" s="376"/>
      <c r="U242" s="376"/>
      <c r="V242" s="378"/>
      <c r="W242" s="381"/>
      <c r="X242" s="384"/>
      <c r="Y242" s="254"/>
      <c r="Z242" s="182"/>
      <c r="AA242" s="82"/>
      <c r="AB242" s="82"/>
      <c r="AC242" s="82"/>
      <c r="AD242" s="83"/>
      <c r="AE242" s="83"/>
      <c r="AF242" s="83"/>
    </row>
    <row r="243" spans="1:32" ht="30" x14ac:dyDescent="0.3">
      <c r="A243" s="221"/>
      <c r="B243" s="79"/>
      <c r="C243" s="79"/>
      <c r="D243" s="80" t="s">
        <v>188</v>
      </c>
      <c r="E243" s="85">
        <f t="shared" ref="E243:Q243" si="77">IF(((E241="")*AND(E242="")),"",(E241-E242))</f>
        <v>379.76000000000022</v>
      </c>
      <c r="F243" s="85">
        <f t="shared" si="77"/>
        <v>333.70000000000027</v>
      </c>
      <c r="G243" s="85">
        <f t="shared" si="77"/>
        <v>332.23999999999978</v>
      </c>
      <c r="H243" s="85">
        <f t="shared" si="77"/>
        <v>332.83999999999969</v>
      </c>
      <c r="I243" s="85">
        <f t="shared" si="77"/>
        <v>377.9699999999998</v>
      </c>
      <c r="J243" s="85">
        <f t="shared" si="77"/>
        <v>376.45000000000027</v>
      </c>
      <c r="K243" s="85">
        <f t="shared" si="77"/>
        <v>332.57000000000016</v>
      </c>
      <c r="L243" s="85">
        <f t="shared" si="77"/>
        <v>336.34000000000015</v>
      </c>
      <c r="M243" s="85">
        <f t="shared" si="77"/>
        <v>378.67999999999984</v>
      </c>
      <c r="N243" s="85">
        <f t="shared" si="77"/>
        <v>335.12999999999965</v>
      </c>
      <c r="O243" s="85">
        <f t="shared" si="77"/>
        <v>338.28999999999996</v>
      </c>
      <c r="P243" s="85">
        <f t="shared" si="77"/>
        <v>333.13000000000011</v>
      </c>
      <c r="Q243" s="85">
        <f t="shared" si="77"/>
        <v>334.55999999999995</v>
      </c>
      <c r="R243" s="374"/>
      <c r="S243" s="374"/>
      <c r="T243" s="377"/>
      <c r="U243" s="377"/>
      <c r="V243" s="379"/>
      <c r="W243" s="382"/>
      <c r="X243" s="385"/>
      <c r="Y243" s="255"/>
      <c r="Z243" s="182"/>
      <c r="AA243" s="82"/>
      <c r="AB243" s="82"/>
      <c r="AC243" s="82"/>
      <c r="AD243" s="82"/>
      <c r="AE243" s="86"/>
      <c r="AF243" s="82"/>
    </row>
    <row r="244" spans="1:32" ht="15" x14ac:dyDescent="0.25">
      <c r="A244" s="222">
        <v>43387</v>
      </c>
      <c r="B244" s="79" t="s">
        <v>235</v>
      </c>
      <c r="C244" s="79" t="s">
        <v>232</v>
      </c>
      <c r="D244" s="80" t="s">
        <v>186</v>
      </c>
      <c r="E244" s="81">
        <v>2912.84</v>
      </c>
      <c r="F244" s="81">
        <v>2845.61</v>
      </c>
      <c r="G244" s="81">
        <v>2834.01</v>
      </c>
      <c r="H244" s="81">
        <v>2845.04</v>
      </c>
      <c r="I244" s="81">
        <v>2929.65</v>
      </c>
      <c r="J244" s="81">
        <v>2958.39</v>
      </c>
      <c r="K244" s="81">
        <v>2851.63</v>
      </c>
      <c r="L244" s="81">
        <v>2834.4</v>
      </c>
      <c r="M244" s="81">
        <v>2910.28</v>
      </c>
      <c r="N244" s="81">
        <v>2850.62</v>
      </c>
      <c r="O244" s="81">
        <v>2846.24</v>
      </c>
      <c r="P244" s="81">
        <v>2859.51</v>
      </c>
      <c r="Q244" s="81">
        <v>2843.76</v>
      </c>
      <c r="R244" s="372">
        <f>IF((Q245=""),"",MAX(E246:Q246))</f>
        <v>382.96000000000004</v>
      </c>
      <c r="S244" s="372">
        <f>IF(Q245="","",MIN(E246:Q246))</f>
        <v>329.83999999999969</v>
      </c>
      <c r="T244" s="375">
        <v>348.82</v>
      </c>
      <c r="U244" s="375">
        <f>IF((Q245=""),"",(R244-S244)/(R244+S244)*100)</f>
        <v>7.4523007856341712</v>
      </c>
      <c r="V244" s="375">
        <f>STDEV(E246:Q246)</f>
        <v>21.780982089181229</v>
      </c>
      <c r="W244" s="380" t="str">
        <f>IF(Q245="","",IF(T244&gt;300,IF(U244&lt;14,IF(T244&lt;390,"Pass","Fail"),"Fail"),"Fail"))</f>
        <v>Pass</v>
      </c>
      <c r="X244" s="383">
        <v>1340</v>
      </c>
      <c r="Y244" s="253" t="s">
        <v>209</v>
      </c>
      <c r="Z244" s="182"/>
      <c r="AA244" s="82">
        <v>270</v>
      </c>
      <c r="AB244" s="82">
        <v>370</v>
      </c>
      <c r="AC244" s="82">
        <v>300</v>
      </c>
      <c r="AD244" s="83">
        <v>390</v>
      </c>
      <c r="AE244" s="83">
        <v>20</v>
      </c>
      <c r="AF244" s="83">
        <v>14</v>
      </c>
    </row>
    <row r="245" spans="1:32" ht="15.6" x14ac:dyDescent="0.3">
      <c r="A245" s="221"/>
      <c r="B245" s="84"/>
      <c r="C245" s="84"/>
      <c r="D245" s="80" t="s">
        <v>187</v>
      </c>
      <c r="E245" s="81">
        <v>2530.66</v>
      </c>
      <c r="F245" s="81">
        <v>2509.35</v>
      </c>
      <c r="G245" s="81">
        <v>2498.25</v>
      </c>
      <c r="H245" s="81">
        <v>2511.37</v>
      </c>
      <c r="I245" s="81">
        <v>2551.9699999999998</v>
      </c>
      <c r="J245" s="81">
        <v>2581.87</v>
      </c>
      <c r="K245" s="81">
        <v>2518.71</v>
      </c>
      <c r="L245" s="81">
        <v>2495.79</v>
      </c>
      <c r="M245" s="81">
        <v>2527.3200000000002</v>
      </c>
      <c r="N245" s="81">
        <v>2520.7800000000002</v>
      </c>
      <c r="O245" s="81">
        <v>2505.88</v>
      </c>
      <c r="P245" s="81">
        <v>2529.09</v>
      </c>
      <c r="Q245" s="81">
        <v>2506.3000000000002</v>
      </c>
      <c r="R245" s="373"/>
      <c r="S245" s="373"/>
      <c r="T245" s="376"/>
      <c r="U245" s="376"/>
      <c r="V245" s="378"/>
      <c r="W245" s="381"/>
      <c r="X245" s="384"/>
      <c r="Y245" s="254"/>
      <c r="Z245" s="182"/>
      <c r="AA245" s="82"/>
      <c r="AB245" s="82"/>
      <c r="AC245" s="82"/>
      <c r="AD245" s="83"/>
      <c r="AE245" s="83"/>
      <c r="AF245" s="83"/>
    </row>
    <row r="246" spans="1:32" ht="30" x14ac:dyDescent="0.3">
      <c r="A246" s="221"/>
      <c r="B246" s="79"/>
      <c r="C246" s="79"/>
      <c r="D246" s="80" t="s">
        <v>188</v>
      </c>
      <c r="E246" s="85">
        <f t="shared" ref="E246:Q246" si="78">IF(((E244="")*AND(E245="")),"",(E244-E245))</f>
        <v>382.18000000000029</v>
      </c>
      <c r="F246" s="85">
        <f t="shared" si="78"/>
        <v>336.26000000000022</v>
      </c>
      <c r="G246" s="85">
        <f t="shared" si="78"/>
        <v>335.76000000000022</v>
      </c>
      <c r="H246" s="85">
        <f t="shared" si="78"/>
        <v>333.67000000000007</v>
      </c>
      <c r="I246" s="85">
        <f t="shared" si="78"/>
        <v>377.68000000000029</v>
      </c>
      <c r="J246" s="85">
        <f t="shared" si="78"/>
        <v>376.52</v>
      </c>
      <c r="K246" s="85">
        <f t="shared" si="78"/>
        <v>332.92000000000007</v>
      </c>
      <c r="L246" s="85">
        <f t="shared" si="78"/>
        <v>338.61000000000013</v>
      </c>
      <c r="M246" s="85">
        <f t="shared" si="78"/>
        <v>382.96000000000004</v>
      </c>
      <c r="N246" s="85">
        <f t="shared" si="78"/>
        <v>329.83999999999969</v>
      </c>
      <c r="O246" s="85">
        <f t="shared" si="78"/>
        <v>340.35999999999967</v>
      </c>
      <c r="P246" s="85">
        <f t="shared" si="78"/>
        <v>330.42000000000007</v>
      </c>
      <c r="Q246" s="85">
        <f t="shared" si="78"/>
        <v>337.46000000000004</v>
      </c>
      <c r="R246" s="374"/>
      <c r="S246" s="374"/>
      <c r="T246" s="377"/>
      <c r="U246" s="377"/>
      <c r="V246" s="379"/>
      <c r="W246" s="382"/>
      <c r="X246" s="385"/>
      <c r="Y246" s="255"/>
      <c r="Z246" s="182"/>
      <c r="AA246" s="82"/>
      <c r="AB246" s="82"/>
      <c r="AC246" s="82"/>
      <c r="AD246" s="82"/>
      <c r="AE246" s="86"/>
      <c r="AF246" s="82"/>
    </row>
    <row r="247" spans="1:32" ht="15" x14ac:dyDescent="0.25">
      <c r="A247" s="222">
        <v>43390</v>
      </c>
      <c r="B247" s="79" t="s">
        <v>235</v>
      </c>
      <c r="C247" s="79" t="s">
        <v>232</v>
      </c>
      <c r="D247" s="80" t="s">
        <v>186</v>
      </c>
      <c r="E247" s="81">
        <v>2534.2199999999998</v>
      </c>
      <c r="F247" s="81">
        <v>2505.66</v>
      </c>
      <c r="G247" s="81">
        <v>2496.36</v>
      </c>
      <c r="H247" s="81">
        <v>2508.87</v>
      </c>
      <c r="I247" s="81">
        <v>2553.0300000000002</v>
      </c>
      <c r="J247" s="81">
        <v>2588.6799999999998</v>
      </c>
      <c r="K247" s="81">
        <v>2518.33</v>
      </c>
      <c r="L247" s="81">
        <v>2500.11</v>
      </c>
      <c r="M247" s="81">
        <v>2530.0100000000002</v>
      </c>
      <c r="N247" s="81">
        <v>2538.27</v>
      </c>
      <c r="O247" s="81">
        <v>2511.8200000000002</v>
      </c>
      <c r="P247" s="81">
        <v>2525.8000000000002</v>
      </c>
      <c r="Q247" s="81">
        <v>2506.58</v>
      </c>
      <c r="R247" s="372">
        <f>IF((Q248=""),"",MAX(E249:Q249))</f>
        <v>430.52</v>
      </c>
      <c r="S247" s="372">
        <f>IF(Q248="","",MIN(E249:Q249))</f>
        <v>336.27</v>
      </c>
      <c r="T247" s="375">
        <f>IF((Q249=""),"",AVERAGE(E249:Q249))</f>
        <v>387.41076923076929</v>
      </c>
      <c r="U247" s="375">
        <f>IF((Q248=""),"",(R247-S247)/(R247+S247)*100)</f>
        <v>12.291500932458693</v>
      </c>
      <c r="V247" s="375">
        <f>STDEV(E249:Q249)</f>
        <v>25.342602951531493</v>
      </c>
      <c r="W247" s="380" t="str">
        <f>IF(Q248="","",IF(T247&gt;300,IF(U247&lt;14,IF(T247&lt;390,"Pass","Fail"),"Fail"),"Fail"))</f>
        <v>Pass</v>
      </c>
      <c r="X247" s="383">
        <v>102</v>
      </c>
      <c r="Y247" s="253" t="s">
        <v>210</v>
      </c>
      <c r="Z247" s="182"/>
      <c r="AA247" s="82">
        <v>270</v>
      </c>
      <c r="AB247" s="82">
        <v>370</v>
      </c>
      <c r="AC247" s="82">
        <v>300</v>
      </c>
      <c r="AD247" s="83">
        <v>390</v>
      </c>
      <c r="AE247" s="83">
        <v>20</v>
      </c>
      <c r="AF247" s="83">
        <v>14</v>
      </c>
    </row>
    <row r="248" spans="1:32" ht="15.6" x14ac:dyDescent="0.3">
      <c r="A248" s="221"/>
      <c r="B248" s="84"/>
      <c r="C248" s="84"/>
      <c r="D248" s="80" t="s">
        <v>187</v>
      </c>
      <c r="E248" s="81">
        <v>2197.9499999999998</v>
      </c>
      <c r="F248" s="81">
        <v>2107.8000000000002</v>
      </c>
      <c r="G248" s="81">
        <v>2111.77</v>
      </c>
      <c r="H248" s="81">
        <v>2117.83</v>
      </c>
      <c r="I248" s="81">
        <v>2181.09</v>
      </c>
      <c r="J248" s="81">
        <v>2158.16</v>
      </c>
      <c r="K248" s="81">
        <v>2130.16</v>
      </c>
      <c r="L248" s="81">
        <v>2108.79</v>
      </c>
      <c r="M248" s="81">
        <v>2186.29</v>
      </c>
      <c r="N248" s="81">
        <v>2126.91</v>
      </c>
      <c r="O248" s="81">
        <v>2110.15</v>
      </c>
      <c r="P248" s="81">
        <v>2138.0500000000002</v>
      </c>
      <c r="Q248" s="81">
        <v>2106.4499999999998</v>
      </c>
      <c r="R248" s="373"/>
      <c r="S248" s="373"/>
      <c r="T248" s="376"/>
      <c r="U248" s="376"/>
      <c r="V248" s="378"/>
      <c r="W248" s="381"/>
      <c r="X248" s="384"/>
      <c r="Y248" s="254"/>
      <c r="Z248" s="182"/>
      <c r="AA248" s="82"/>
      <c r="AB248" s="82"/>
      <c r="AC248" s="82"/>
      <c r="AD248" s="83"/>
      <c r="AE248" s="83"/>
      <c r="AF248" s="83"/>
    </row>
    <row r="249" spans="1:32" ht="30" x14ac:dyDescent="0.3">
      <c r="A249" s="221"/>
      <c r="B249" s="79"/>
      <c r="C249" s="79"/>
      <c r="D249" s="80" t="s">
        <v>188</v>
      </c>
      <c r="E249" s="85">
        <f t="shared" ref="E249:Q249" si="79">IF(((E247="")*AND(E248="")),"",(E247-E248))</f>
        <v>336.27</v>
      </c>
      <c r="F249" s="85">
        <f t="shared" si="79"/>
        <v>397.85999999999967</v>
      </c>
      <c r="G249" s="85">
        <f t="shared" si="79"/>
        <v>384.59000000000015</v>
      </c>
      <c r="H249" s="85">
        <f t="shared" si="79"/>
        <v>391.03999999999996</v>
      </c>
      <c r="I249" s="85">
        <f t="shared" si="79"/>
        <v>371.94000000000005</v>
      </c>
      <c r="J249" s="85">
        <f t="shared" si="79"/>
        <v>430.52</v>
      </c>
      <c r="K249" s="85">
        <f t="shared" si="79"/>
        <v>388.17000000000007</v>
      </c>
      <c r="L249" s="85">
        <f t="shared" si="79"/>
        <v>391.32000000000016</v>
      </c>
      <c r="M249" s="85">
        <f t="shared" si="79"/>
        <v>343.72000000000025</v>
      </c>
      <c r="N249" s="85">
        <f t="shared" si="79"/>
        <v>411.36000000000013</v>
      </c>
      <c r="O249" s="85">
        <f t="shared" si="79"/>
        <v>401.67000000000007</v>
      </c>
      <c r="P249" s="85">
        <f t="shared" si="79"/>
        <v>387.75</v>
      </c>
      <c r="Q249" s="85">
        <f t="shared" si="79"/>
        <v>400.13000000000011</v>
      </c>
      <c r="R249" s="374"/>
      <c r="S249" s="374"/>
      <c r="T249" s="377"/>
      <c r="U249" s="377"/>
      <c r="V249" s="379"/>
      <c r="W249" s="382"/>
      <c r="X249" s="385"/>
      <c r="Y249" s="255"/>
      <c r="Z249" s="182"/>
      <c r="AA249" s="82"/>
      <c r="AB249" s="82"/>
      <c r="AC249" s="82"/>
      <c r="AD249" s="82"/>
      <c r="AE249" s="86"/>
      <c r="AF249" s="82"/>
    </row>
    <row r="250" spans="1:32" ht="15" x14ac:dyDescent="0.25">
      <c r="A250" s="222">
        <v>43394</v>
      </c>
      <c r="B250" s="79" t="s">
        <v>235</v>
      </c>
      <c r="C250" s="79" t="s">
        <v>232</v>
      </c>
      <c r="D250" s="80" t="s">
        <v>186</v>
      </c>
      <c r="E250" s="3">
        <v>2096.56</v>
      </c>
      <c r="F250" s="3">
        <v>2104.8200000000002</v>
      </c>
      <c r="G250" s="3">
        <v>2104.0300000000002</v>
      </c>
      <c r="H250" s="3">
        <v>2105.83</v>
      </c>
      <c r="I250" s="3">
        <v>2129.31</v>
      </c>
      <c r="J250" s="3">
        <v>2141.6</v>
      </c>
      <c r="K250" s="3">
        <v>2129.5700000000002</v>
      </c>
      <c r="L250" s="3">
        <v>2098.5300000000002</v>
      </c>
      <c r="M250" s="3">
        <v>2085.31</v>
      </c>
      <c r="N250" s="3">
        <v>2171.25</v>
      </c>
      <c r="O250" s="3">
        <v>2113</v>
      </c>
      <c r="P250" s="3">
        <v>2131.91</v>
      </c>
      <c r="Q250" s="3">
        <v>2098.81</v>
      </c>
      <c r="R250" s="372">
        <f>IF((Q251=""),"",MAX(E252:Q252))</f>
        <v>360.29999999999995</v>
      </c>
      <c r="S250" s="372">
        <f>IF(Q251="","",MIN(E252:Q252))</f>
        <v>295.58000000000015</v>
      </c>
      <c r="T250" s="375">
        <f>IF((Q252=""),"",AVERAGE(E252:Q252))</f>
        <v>323.80615384615379</v>
      </c>
      <c r="U250" s="375">
        <f>IF((Q251=""),"",(R250-S250)/(R250+S250)*100)</f>
        <v>9.8676587180581485</v>
      </c>
      <c r="V250" s="375">
        <f>STDEV(E252:Q252)</f>
        <v>25.384122510755102</v>
      </c>
      <c r="W250" s="380" t="str">
        <f>IF(Q251="","",IF(T250&gt;300,IF(U250&lt;14,IF(T250&lt;390,"Pass","Fail"),"Fail"),"Fail"))</f>
        <v>Pass</v>
      </c>
      <c r="X250" s="383">
        <v>121</v>
      </c>
      <c r="Y250" s="253" t="s">
        <v>211</v>
      </c>
      <c r="Z250" s="182"/>
      <c r="AA250" s="82">
        <v>270</v>
      </c>
      <c r="AB250" s="82">
        <v>370</v>
      </c>
      <c r="AC250" s="82">
        <v>300</v>
      </c>
      <c r="AD250" s="83">
        <v>390</v>
      </c>
      <c r="AE250" s="83">
        <v>20</v>
      </c>
      <c r="AF250" s="83">
        <v>14</v>
      </c>
    </row>
    <row r="251" spans="1:32" ht="15.6" x14ac:dyDescent="0.3">
      <c r="A251" s="221"/>
      <c r="B251" s="84"/>
      <c r="C251" s="84"/>
      <c r="D251" s="80" t="s">
        <v>187</v>
      </c>
      <c r="E251" s="3">
        <v>1739.49</v>
      </c>
      <c r="F251" s="3">
        <v>1801.92</v>
      </c>
      <c r="G251" s="3">
        <v>1808.45</v>
      </c>
      <c r="H251" s="3">
        <v>1803.01</v>
      </c>
      <c r="I251" s="3">
        <v>1769.01</v>
      </c>
      <c r="J251" s="3">
        <v>1802.86</v>
      </c>
      <c r="K251" s="3">
        <v>1813.84</v>
      </c>
      <c r="L251" s="3">
        <v>1802.16</v>
      </c>
      <c r="M251" s="3">
        <v>1729.59</v>
      </c>
      <c r="N251" s="3">
        <v>1817.64</v>
      </c>
      <c r="O251" s="3">
        <v>1795.89</v>
      </c>
      <c r="P251" s="3">
        <v>1829.96</v>
      </c>
      <c r="Q251" s="3">
        <v>1787.23</v>
      </c>
      <c r="R251" s="373"/>
      <c r="S251" s="373"/>
      <c r="T251" s="376"/>
      <c r="U251" s="376"/>
      <c r="V251" s="378"/>
      <c r="W251" s="381"/>
      <c r="X251" s="384"/>
      <c r="Y251" s="254"/>
      <c r="Z251" s="182"/>
      <c r="AA251" s="82"/>
      <c r="AB251" s="82"/>
      <c r="AC251" s="82"/>
      <c r="AD251" s="83"/>
      <c r="AE251" s="83"/>
      <c r="AF251" s="83"/>
    </row>
    <row r="252" spans="1:32" ht="30" x14ac:dyDescent="0.3">
      <c r="A252" s="221"/>
      <c r="B252" s="79"/>
      <c r="C252" s="79"/>
      <c r="D252" s="80" t="s">
        <v>188</v>
      </c>
      <c r="E252" s="85">
        <f t="shared" ref="E252:Q252" si="80">IF(((E250="")*AND(E251="")),"",(E250-E251))</f>
        <v>357.06999999999994</v>
      </c>
      <c r="F252" s="85">
        <f t="shared" si="80"/>
        <v>302.90000000000009</v>
      </c>
      <c r="G252" s="85">
        <f t="shared" si="80"/>
        <v>295.58000000000015</v>
      </c>
      <c r="H252" s="85">
        <f t="shared" si="80"/>
        <v>302.81999999999994</v>
      </c>
      <c r="I252" s="85">
        <f t="shared" si="80"/>
        <v>360.29999999999995</v>
      </c>
      <c r="J252" s="85">
        <f t="shared" si="80"/>
        <v>338.74</v>
      </c>
      <c r="K252" s="85">
        <f t="shared" si="80"/>
        <v>315.73000000000025</v>
      </c>
      <c r="L252" s="85">
        <f t="shared" si="80"/>
        <v>296.37000000000012</v>
      </c>
      <c r="M252" s="85">
        <f t="shared" si="80"/>
        <v>355.72</v>
      </c>
      <c r="N252" s="85">
        <f t="shared" si="80"/>
        <v>353.6099999999999</v>
      </c>
      <c r="O252" s="85">
        <f t="shared" si="80"/>
        <v>317.1099999999999</v>
      </c>
      <c r="P252" s="85">
        <f t="shared" si="80"/>
        <v>301.94999999999982</v>
      </c>
      <c r="Q252" s="85">
        <f t="shared" si="80"/>
        <v>311.57999999999993</v>
      </c>
      <c r="R252" s="374"/>
      <c r="S252" s="374"/>
      <c r="T252" s="377"/>
      <c r="U252" s="377"/>
      <c r="V252" s="379"/>
      <c r="W252" s="382"/>
      <c r="X252" s="385"/>
      <c r="Y252" s="255"/>
      <c r="Z252" s="182"/>
      <c r="AA252" s="82"/>
      <c r="AB252" s="82"/>
      <c r="AC252" s="82"/>
      <c r="AD252" s="82"/>
      <c r="AE252" s="86"/>
      <c r="AF252" s="82"/>
    </row>
    <row r="253" spans="1:32" ht="15" x14ac:dyDescent="0.25">
      <c r="A253" s="222">
        <v>43397</v>
      </c>
      <c r="B253" s="79" t="s">
        <v>235</v>
      </c>
      <c r="C253" s="79" t="s">
        <v>232</v>
      </c>
      <c r="D253" s="80" t="s">
        <v>186</v>
      </c>
      <c r="E253" s="3">
        <v>2907.08</v>
      </c>
      <c r="F253" s="3">
        <v>2843.56</v>
      </c>
      <c r="G253" s="3">
        <v>2837.83</v>
      </c>
      <c r="H253" s="3">
        <v>2851.88</v>
      </c>
      <c r="I253" s="3">
        <v>2940.8</v>
      </c>
      <c r="J253" s="3">
        <v>2960.8</v>
      </c>
      <c r="K253" s="3">
        <v>2854.91</v>
      </c>
      <c r="L253" s="3">
        <v>2841.21</v>
      </c>
      <c r="M253" s="3">
        <v>2913.02</v>
      </c>
      <c r="N253" s="3">
        <v>2859.11</v>
      </c>
      <c r="O253" s="3">
        <v>2848.22</v>
      </c>
      <c r="P253" s="3">
        <v>2868.93</v>
      </c>
      <c r="Q253" s="3">
        <v>2849.57</v>
      </c>
      <c r="R253" s="372">
        <f>IF((Q254=""),"",MAX(E255:Q255))</f>
        <v>381.36000000000013</v>
      </c>
      <c r="S253" s="372">
        <f>IF(Q254="","",MIN(E255:Q255))</f>
        <v>330.54999999999973</v>
      </c>
      <c r="T253" s="375">
        <f>IF((Q255=""),"",AVERAGE(E255:Q255))</f>
        <v>347.63538461538462</v>
      </c>
      <c r="U253" s="375">
        <f>IF((Q254=""),"",(R253-S253)/(R253+S253)*100)</f>
        <v>7.1371381213918061</v>
      </c>
      <c r="V253" s="375">
        <f>STDEV(E255:Q255)</f>
        <v>19.608845204560378</v>
      </c>
      <c r="W253" s="380" t="str">
        <f>IF(Q254="","",IF(T253&gt;300,IF(U253&lt;14,IF(T253&lt;390,"Pass","Fail"),"Fail"),"Fail"))</f>
        <v>Pass</v>
      </c>
      <c r="X253" s="383">
        <v>1159</v>
      </c>
      <c r="Y253" s="253" t="s">
        <v>212</v>
      </c>
      <c r="Z253" s="182"/>
      <c r="AA253" s="82">
        <v>270</v>
      </c>
      <c r="AB253" s="82">
        <v>370</v>
      </c>
      <c r="AC253" s="82">
        <v>300</v>
      </c>
      <c r="AD253" s="83">
        <v>390</v>
      </c>
      <c r="AE253" s="83">
        <v>20</v>
      </c>
      <c r="AF253" s="83">
        <v>14</v>
      </c>
    </row>
    <row r="254" spans="1:32" ht="15.6" x14ac:dyDescent="0.3">
      <c r="A254" s="221"/>
      <c r="B254" s="84"/>
      <c r="C254" s="84"/>
      <c r="D254" s="80" t="s">
        <v>187</v>
      </c>
      <c r="E254" s="3">
        <v>2535.27</v>
      </c>
      <c r="F254" s="3">
        <v>2507.9299999999998</v>
      </c>
      <c r="G254" s="3">
        <v>2507.2800000000002</v>
      </c>
      <c r="H254" s="3">
        <v>2515.6799999999998</v>
      </c>
      <c r="I254" s="3">
        <v>2562.2600000000002</v>
      </c>
      <c r="J254" s="3">
        <v>2590.7600000000002</v>
      </c>
      <c r="K254" s="3">
        <v>2521.69</v>
      </c>
      <c r="L254" s="3">
        <v>2506.15</v>
      </c>
      <c r="M254" s="3">
        <v>2531.66</v>
      </c>
      <c r="N254" s="3">
        <v>2523.5500000000002</v>
      </c>
      <c r="O254" s="3">
        <v>2509.7199999999998</v>
      </c>
      <c r="P254" s="3">
        <v>2535.7399999999998</v>
      </c>
      <c r="Q254" s="3">
        <v>2509.9699999999998</v>
      </c>
      <c r="R254" s="373"/>
      <c r="S254" s="373"/>
      <c r="T254" s="376"/>
      <c r="U254" s="376"/>
      <c r="V254" s="378"/>
      <c r="W254" s="381"/>
      <c r="X254" s="384"/>
      <c r="Y254" s="254"/>
      <c r="Z254" s="182"/>
      <c r="AA254" s="82"/>
      <c r="AB254" s="82"/>
      <c r="AC254" s="82"/>
      <c r="AD254" s="83"/>
      <c r="AE254" s="83"/>
      <c r="AF254" s="83"/>
    </row>
    <row r="255" spans="1:32" ht="30" x14ac:dyDescent="0.3">
      <c r="A255" s="221"/>
      <c r="B255" s="79"/>
      <c r="C255" s="79"/>
      <c r="D255" s="80" t="s">
        <v>188</v>
      </c>
      <c r="E255" s="85">
        <f t="shared" ref="E255:Q255" si="81">IF(((E253="")*AND(E254="")),"",(E253-E254))</f>
        <v>371.80999999999995</v>
      </c>
      <c r="F255" s="85">
        <f t="shared" si="81"/>
        <v>335.63000000000011</v>
      </c>
      <c r="G255" s="85">
        <f t="shared" si="81"/>
        <v>330.54999999999973</v>
      </c>
      <c r="H255" s="85">
        <f t="shared" si="81"/>
        <v>336.20000000000027</v>
      </c>
      <c r="I255" s="85">
        <f t="shared" si="81"/>
        <v>378.53999999999996</v>
      </c>
      <c r="J255" s="85">
        <f t="shared" si="81"/>
        <v>370.03999999999996</v>
      </c>
      <c r="K255" s="85">
        <f t="shared" si="81"/>
        <v>333.2199999999998</v>
      </c>
      <c r="L255" s="85">
        <f t="shared" si="81"/>
        <v>335.05999999999995</v>
      </c>
      <c r="M255" s="85">
        <f t="shared" si="81"/>
        <v>381.36000000000013</v>
      </c>
      <c r="N255" s="85">
        <f t="shared" si="81"/>
        <v>335.55999999999995</v>
      </c>
      <c r="O255" s="85">
        <f t="shared" si="81"/>
        <v>338.5</v>
      </c>
      <c r="P255" s="85">
        <f t="shared" si="81"/>
        <v>333.19000000000005</v>
      </c>
      <c r="Q255" s="85">
        <f t="shared" si="81"/>
        <v>339.60000000000036</v>
      </c>
      <c r="R255" s="374"/>
      <c r="S255" s="374"/>
      <c r="T255" s="377"/>
      <c r="U255" s="377"/>
      <c r="V255" s="379"/>
      <c r="W255" s="382"/>
      <c r="X255" s="385"/>
      <c r="Y255" s="255"/>
      <c r="Z255" s="182"/>
      <c r="AA255" s="82"/>
      <c r="AB255" s="82"/>
      <c r="AC255" s="82"/>
      <c r="AD255" s="82"/>
      <c r="AE255" s="86"/>
      <c r="AF255" s="82"/>
    </row>
    <row r="256" spans="1:32" ht="15" x14ac:dyDescent="0.25">
      <c r="A256" s="227">
        <v>43401</v>
      </c>
      <c r="B256" s="79" t="s">
        <v>235</v>
      </c>
      <c r="C256" s="79" t="s">
        <v>232</v>
      </c>
      <c r="D256" s="80" t="s">
        <v>186</v>
      </c>
      <c r="E256" s="3">
        <v>2545.6799999999998</v>
      </c>
      <c r="F256" s="3">
        <v>2509.88</v>
      </c>
      <c r="G256" s="3">
        <v>2506.15</v>
      </c>
      <c r="H256" s="3">
        <v>2520.29</v>
      </c>
      <c r="I256" s="3">
        <v>2565.38</v>
      </c>
      <c r="J256" s="3">
        <v>2591.7399999999998</v>
      </c>
      <c r="K256" s="3">
        <v>2525.7800000000002</v>
      </c>
      <c r="L256" s="3">
        <v>2504.58</v>
      </c>
      <c r="M256" s="3">
        <v>2537.14</v>
      </c>
      <c r="N256" s="3">
        <v>2523.12</v>
      </c>
      <c r="O256" s="3">
        <v>2515.6799999999998</v>
      </c>
      <c r="P256" s="3">
        <v>2523.56</v>
      </c>
      <c r="Q256" s="3">
        <v>2512.3200000000002</v>
      </c>
      <c r="R256" s="372">
        <f>IF((Q257=""),"",MAX(E258:Q258))</f>
        <v>445.54999999999973</v>
      </c>
      <c r="S256" s="372">
        <f>IF(Q257="","",MIN(E258:Q258))</f>
        <v>378.23999999999978</v>
      </c>
      <c r="T256" s="375">
        <f>IF((Q258=""),"",AVERAGE(E258:Q258))</f>
        <v>403.03</v>
      </c>
      <c r="U256" s="375">
        <f>IF((Q257=""),"",(R256-S256)/(R256+S256)*100)</f>
        <v>8.1707716772478403</v>
      </c>
      <c r="V256" s="375">
        <f>STDEV(E258:Q258)</f>
        <v>20.556193308424824</v>
      </c>
      <c r="W256" s="380" t="str">
        <f>IF(Q257="","",IF(T256&gt;300,IF(U256&lt;14,IF(T256&lt;390,"Pass","Fail"),"Fail"),"Fail"))</f>
        <v>Fail</v>
      </c>
      <c r="X256" s="383">
        <v>1335</v>
      </c>
      <c r="Y256" s="389"/>
      <c r="Z256" s="182"/>
      <c r="AA256" s="82">
        <v>270</v>
      </c>
      <c r="AB256" s="82">
        <v>370</v>
      </c>
      <c r="AC256" s="82">
        <v>300</v>
      </c>
      <c r="AD256" s="83">
        <v>390</v>
      </c>
      <c r="AE256" s="83">
        <v>20</v>
      </c>
      <c r="AF256" s="83">
        <v>14</v>
      </c>
    </row>
    <row r="257" spans="1:32" ht="15.6" x14ac:dyDescent="0.3">
      <c r="A257" s="221"/>
      <c r="B257" s="84"/>
      <c r="C257" s="84"/>
      <c r="D257" s="80" t="s">
        <v>187</v>
      </c>
      <c r="E257" s="3">
        <v>2100.13</v>
      </c>
      <c r="F257" s="3">
        <v>2122.54</v>
      </c>
      <c r="G257" s="3">
        <v>2117.94</v>
      </c>
      <c r="H257" s="3">
        <v>2124.7199999999998</v>
      </c>
      <c r="I257" s="3">
        <v>2143.0700000000002</v>
      </c>
      <c r="J257" s="3">
        <v>2172.36</v>
      </c>
      <c r="K257" s="3">
        <v>2130.8200000000002</v>
      </c>
      <c r="L257" s="3">
        <v>2119.1</v>
      </c>
      <c r="M257" s="3">
        <v>2103.21</v>
      </c>
      <c r="N257" s="3">
        <v>2127.16</v>
      </c>
      <c r="O257" s="3">
        <v>2122.39</v>
      </c>
      <c r="P257" s="3">
        <v>2145.3200000000002</v>
      </c>
      <c r="Q257" s="3">
        <v>2113.15</v>
      </c>
      <c r="R257" s="373"/>
      <c r="S257" s="373"/>
      <c r="T257" s="376"/>
      <c r="U257" s="376"/>
      <c r="V257" s="378"/>
      <c r="W257" s="381"/>
      <c r="X257" s="384"/>
      <c r="Y257" s="390"/>
      <c r="Z257" s="182"/>
      <c r="AA257" s="82"/>
      <c r="AB257" s="82"/>
      <c r="AC257" s="82"/>
      <c r="AD257" s="83"/>
      <c r="AE257" s="83"/>
      <c r="AF257" s="83"/>
    </row>
    <row r="258" spans="1:32" ht="30" x14ac:dyDescent="0.3">
      <c r="A258" s="221"/>
      <c r="B258" s="79"/>
      <c r="C258" s="79"/>
      <c r="D258" s="80" t="s">
        <v>188</v>
      </c>
      <c r="E258" s="85">
        <f t="shared" ref="E258:Q258" si="82">IF(((E256="")*AND(E257="")),"",(E256-E257))</f>
        <v>445.54999999999973</v>
      </c>
      <c r="F258" s="85">
        <f t="shared" si="82"/>
        <v>387.34000000000015</v>
      </c>
      <c r="G258" s="85">
        <f t="shared" si="82"/>
        <v>388.21000000000004</v>
      </c>
      <c r="H258" s="85">
        <f t="shared" si="82"/>
        <v>395.57000000000016</v>
      </c>
      <c r="I258" s="85">
        <f t="shared" si="82"/>
        <v>422.30999999999995</v>
      </c>
      <c r="J258" s="85">
        <f t="shared" si="82"/>
        <v>419.37999999999965</v>
      </c>
      <c r="K258" s="85">
        <f t="shared" si="82"/>
        <v>394.96000000000004</v>
      </c>
      <c r="L258" s="85">
        <f t="shared" si="82"/>
        <v>385.48</v>
      </c>
      <c r="M258" s="85">
        <f t="shared" si="82"/>
        <v>433.92999999999984</v>
      </c>
      <c r="N258" s="85">
        <f t="shared" si="82"/>
        <v>395.96000000000004</v>
      </c>
      <c r="O258" s="85">
        <f t="shared" si="82"/>
        <v>393.28999999999996</v>
      </c>
      <c r="P258" s="85">
        <f t="shared" si="82"/>
        <v>378.23999999999978</v>
      </c>
      <c r="Q258" s="85">
        <f t="shared" si="82"/>
        <v>399.17000000000007</v>
      </c>
      <c r="R258" s="374"/>
      <c r="S258" s="374"/>
      <c r="T258" s="377"/>
      <c r="U258" s="377"/>
      <c r="V258" s="379"/>
      <c r="W258" s="382"/>
      <c r="X258" s="385"/>
      <c r="Y258" s="391"/>
      <c r="Z258" s="182"/>
      <c r="AA258" s="82"/>
      <c r="AB258" s="82"/>
      <c r="AC258" s="82"/>
      <c r="AD258" s="82"/>
      <c r="AE258" s="86"/>
      <c r="AF258" s="82"/>
    </row>
    <row r="259" spans="1:32" ht="15" x14ac:dyDescent="0.25">
      <c r="A259" s="222">
        <v>43401</v>
      </c>
      <c r="B259" s="79" t="s">
        <v>235</v>
      </c>
      <c r="C259" s="79" t="s">
        <v>232</v>
      </c>
      <c r="D259" s="80" t="s">
        <v>186</v>
      </c>
      <c r="E259" s="3">
        <v>2913.34</v>
      </c>
      <c r="F259" s="3">
        <v>2852.1</v>
      </c>
      <c r="G259" s="3">
        <v>2845.42</v>
      </c>
      <c r="H259" s="3">
        <v>2859.6</v>
      </c>
      <c r="I259" s="3">
        <v>2945.24</v>
      </c>
      <c r="J259" s="3">
        <v>2973.7</v>
      </c>
      <c r="K259" s="3">
        <v>2863.21</v>
      </c>
      <c r="L259" s="3">
        <v>2849.49</v>
      </c>
      <c r="M259" s="3">
        <v>2914.93</v>
      </c>
      <c r="N259" s="3">
        <v>2867.68</v>
      </c>
      <c r="O259" s="3">
        <v>2857.3</v>
      </c>
      <c r="P259" s="3">
        <v>2877.33</v>
      </c>
      <c r="Q259" s="3">
        <v>2855.88</v>
      </c>
      <c r="R259" s="372">
        <f>IF((Q260=""),"",MAX(E261:Q261))</f>
        <v>396.62999999999965</v>
      </c>
      <c r="S259" s="372">
        <f>IF(Q260="","",MIN(E261:Q261))</f>
        <v>331.94000000000005</v>
      </c>
      <c r="T259" s="375">
        <f>IF((Q261=""),"",AVERAGE(E261:Q261))</f>
        <v>354.94769230769231</v>
      </c>
      <c r="U259" s="375">
        <f>IF((Q260=""),"",(R259-S259)/(R259+S259)*100)</f>
        <v>8.8790370177195914</v>
      </c>
      <c r="V259" s="375">
        <f>STDEV(E261:Q261)</f>
        <v>27.700847506242422</v>
      </c>
      <c r="W259" s="380" t="str">
        <f>IF(Q260="","",IF(T259&gt;300,IF(U259&lt;14,IF(T259&lt;390,"Pass","Fail"),"Fail"),"Fail"))</f>
        <v>Pass</v>
      </c>
      <c r="X259" s="383">
        <v>1335</v>
      </c>
      <c r="Y259" s="253" t="s">
        <v>242</v>
      </c>
      <c r="Z259" s="182"/>
      <c r="AA259" s="82">
        <v>270</v>
      </c>
      <c r="AB259" s="82">
        <v>370</v>
      </c>
      <c r="AC259" s="82">
        <v>300</v>
      </c>
      <c r="AD259" s="83">
        <v>390</v>
      </c>
      <c r="AE259" s="83">
        <v>20</v>
      </c>
      <c r="AF259" s="83">
        <v>14</v>
      </c>
    </row>
    <row r="260" spans="1:32" ht="15.6" x14ac:dyDescent="0.3">
      <c r="A260" s="221"/>
      <c r="B260" s="84"/>
      <c r="C260" s="84"/>
      <c r="D260" s="80" t="s">
        <v>187</v>
      </c>
      <c r="E260" s="3">
        <v>2518.86</v>
      </c>
      <c r="F260" s="3">
        <v>2517.08</v>
      </c>
      <c r="G260" s="3">
        <v>2512.08</v>
      </c>
      <c r="H260" s="3">
        <v>2520.29</v>
      </c>
      <c r="I260" s="3">
        <v>2554.06</v>
      </c>
      <c r="J260" s="3">
        <v>2577.36</v>
      </c>
      <c r="K260" s="3">
        <v>2531.27</v>
      </c>
      <c r="L260" s="3">
        <v>2511.4699999999998</v>
      </c>
      <c r="M260" s="3">
        <v>2518.3000000000002</v>
      </c>
      <c r="N260" s="3">
        <v>2529.2800000000002</v>
      </c>
      <c r="O260" s="3">
        <v>2516.54</v>
      </c>
      <c r="P260" s="3">
        <v>2538.83</v>
      </c>
      <c r="Q260" s="3">
        <v>2515.48</v>
      </c>
      <c r="R260" s="373"/>
      <c r="S260" s="373"/>
      <c r="T260" s="376"/>
      <c r="U260" s="376"/>
      <c r="V260" s="378"/>
      <c r="W260" s="381"/>
      <c r="X260" s="384"/>
      <c r="Y260" s="254"/>
      <c r="Z260" s="182"/>
      <c r="AA260" s="82"/>
      <c r="AB260" s="82"/>
      <c r="AC260" s="82"/>
      <c r="AD260" s="83"/>
      <c r="AE260" s="83"/>
      <c r="AF260" s="83"/>
    </row>
    <row r="261" spans="1:32" ht="30" x14ac:dyDescent="0.3">
      <c r="A261" s="221"/>
      <c r="B261" s="79"/>
      <c r="C261" s="79"/>
      <c r="D261" s="80" t="s">
        <v>188</v>
      </c>
      <c r="E261" s="85">
        <f t="shared" ref="E261:Q261" si="83">IF(((E259="")*AND(E260="")),"",(E259-E260))</f>
        <v>394.48</v>
      </c>
      <c r="F261" s="85">
        <f t="shared" si="83"/>
        <v>335.02</v>
      </c>
      <c r="G261" s="85">
        <f t="shared" si="83"/>
        <v>333.34000000000015</v>
      </c>
      <c r="H261" s="85">
        <f t="shared" si="83"/>
        <v>339.30999999999995</v>
      </c>
      <c r="I261" s="85">
        <f t="shared" si="83"/>
        <v>391.17999999999984</v>
      </c>
      <c r="J261" s="85">
        <f t="shared" si="83"/>
        <v>396.33999999999969</v>
      </c>
      <c r="K261" s="85">
        <f t="shared" si="83"/>
        <v>331.94000000000005</v>
      </c>
      <c r="L261" s="85">
        <f t="shared" si="83"/>
        <v>338.02</v>
      </c>
      <c r="M261" s="85">
        <f t="shared" si="83"/>
        <v>396.62999999999965</v>
      </c>
      <c r="N261" s="85">
        <f t="shared" si="83"/>
        <v>338.39999999999964</v>
      </c>
      <c r="O261" s="85">
        <f t="shared" si="83"/>
        <v>340.76000000000022</v>
      </c>
      <c r="P261" s="85">
        <f t="shared" si="83"/>
        <v>338.5</v>
      </c>
      <c r="Q261" s="85">
        <f t="shared" si="83"/>
        <v>340.40000000000009</v>
      </c>
      <c r="R261" s="374"/>
      <c r="S261" s="374"/>
      <c r="T261" s="377"/>
      <c r="U261" s="377"/>
      <c r="V261" s="379"/>
      <c r="W261" s="382"/>
      <c r="X261" s="385"/>
      <c r="Y261" s="255"/>
      <c r="Z261" s="182"/>
      <c r="AA261" s="82"/>
      <c r="AB261" s="82"/>
      <c r="AC261" s="82"/>
      <c r="AD261" s="82"/>
      <c r="AE261" s="86"/>
      <c r="AF261" s="82"/>
    </row>
    <row r="262" spans="1:32" ht="15" x14ac:dyDescent="0.25">
      <c r="A262" s="227">
        <v>43404</v>
      </c>
      <c r="B262" s="79" t="s">
        <v>235</v>
      </c>
      <c r="C262" s="79" t="s">
        <v>232</v>
      </c>
      <c r="D262" s="80" t="s">
        <v>186</v>
      </c>
      <c r="E262" s="3">
        <v>2519.83</v>
      </c>
      <c r="F262" s="3">
        <v>2514</v>
      </c>
      <c r="G262" s="3">
        <v>2512.9499999999998</v>
      </c>
      <c r="H262" s="3">
        <v>2523.17</v>
      </c>
      <c r="I262" s="3">
        <v>2555.6999999999998</v>
      </c>
      <c r="J262" s="3">
        <v>2583.0100000000002</v>
      </c>
      <c r="K262" s="3">
        <v>2530.0500000000002</v>
      </c>
      <c r="L262" s="3">
        <v>2516.84</v>
      </c>
      <c r="M262" s="3">
        <v>2523.75</v>
      </c>
      <c r="N262" s="3">
        <v>2528.67</v>
      </c>
      <c r="O262" s="3">
        <v>2517.2199999999998</v>
      </c>
      <c r="P262" s="3">
        <v>2542.96</v>
      </c>
      <c r="Q262" s="3">
        <v>2514</v>
      </c>
      <c r="R262" s="372">
        <f>IF((Q263=""),"",MAX(E264:Q264))</f>
        <v>422.5300000000002</v>
      </c>
      <c r="S262" s="372">
        <f>IF(Q263="","",MIN(E264:Q264))</f>
        <v>387.08000000000038</v>
      </c>
      <c r="T262" s="375">
        <f>IF((Q264=""),"",AVERAGE(E264:Q264))</f>
        <v>397.41384615384607</v>
      </c>
      <c r="U262" s="375">
        <f>IF((Q263=""),"",(R262-S262)/(R262+S262)*100)</f>
        <v>4.3786514494632964</v>
      </c>
      <c r="V262" s="375">
        <f>STDEV(E264:Q264)</f>
        <v>9.9050782753609141</v>
      </c>
      <c r="W262" s="380" t="str">
        <f>IF(Q263="","",IF(T262&gt;300,IF(U262&lt;14,IF(T262&lt;390,"Pass","Fail"),"Fail"),"Fail"))</f>
        <v>Fail</v>
      </c>
      <c r="X262" s="383">
        <v>64</v>
      </c>
      <c r="Y262" s="389"/>
      <c r="Z262" s="182"/>
      <c r="AA262" s="82">
        <v>270</v>
      </c>
      <c r="AB262" s="82">
        <v>370</v>
      </c>
      <c r="AC262" s="82">
        <v>300</v>
      </c>
      <c r="AD262" s="83">
        <v>390</v>
      </c>
      <c r="AE262" s="83">
        <v>20</v>
      </c>
      <c r="AF262" s="83">
        <v>14</v>
      </c>
    </row>
    <row r="263" spans="1:32" ht="15.6" x14ac:dyDescent="0.3">
      <c r="A263" s="221"/>
      <c r="B263" s="84"/>
      <c r="C263" s="84"/>
      <c r="D263" s="80" t="s">
        <v>187</v>
      </c>
      <c r="E263" s="3">
        <v>2124.21</v>
      </c>
      <c r="F263" s="3">
        <v>2118.71</v>
      </c>
      <c r="G263" s="3">
        <v>2121.96</v>
      </c>
      <c r="H263" s="3">
        <v>2131.23</v>
      </c>
      <c r="I263" s="3">
        <v>2149.6999999999998</v>
      </c>
      <c r="J263" s="3">
        <v>2160.48</v>
      </c>
      <c r="K263" s="3">
        <v>2142.9699999999998</v>
      </c>
      <c r="L263" s="3">
        <v>2115.11</v>
      </c>
      <c r="M263" s="3">
        <v>2115.9899999999998</v>
      </c>
      <c r="N263" s="3">
        <v>2138.25</v>
      </c>
      <c r="O263" s="3">
        <v>2125.83</v>
      </c>
      <c r="P263" s="3">
        <v>2154.2600000000002</v>
      </c>
      <c r="Q263" s="3">
        <v>2117.0700000000002</v>
      </c>
      <c r="R263" s="373"/>
      <c r="S263" s="373"/>
      <c r="T263" s="376"/>
      <c r="U263" s="376"/>
      <c r="V263" s="378"/>
      <c r="W263" s="381"/>
      <c r="X263" s="384"/>
      <c r="Y263" s="390"/>
      <c r="Z263" s="182"/>
      <c r="AA263" s="82"/>
      <c r="AB263" s="82"/>
      <c r="AC263" s="82"/>
      <c r="AD263" s="83"/>
      <c r="AE263" s="83"/>
      <c r="AF263" s="83"/>
    </row>
    <row r="264" spans="1:32" ht="30" x14ac:dyDescent="0.3">
      <c r="A264" s="221"/>
      <c r="B264" s="79"/>
      <c r="C264" s="79"/>
      <c r="D264" s="80" t="s">
        <v>188</v>
      </c>
      <c r="E264" s="85">
        <f t="shared" ref="E264:Q264" si="84">IF(((E262="")*AND(E263="")),"",(E262-E263))</f>
        <v>395.61999999999989</v>
      </c>
      <c r="F264" s="85">
        <f t="shared" si="84"/>
        <v>395.28999999999996</v>
      </c>
      <c r="G264" s="85">
        <f t="shared" si="84"/>
        <v>390.98999999999978</v>
      </c>
      <c r="H264" s="85">
        <f t="shared" si="84"/>
        <v>391.94000000000005</v>
      </c>
      <c r="I264" s="85">
        <f t="shared" si="84"/>
        <v>406</v>
      </c>
      <c r="J264" s="85">
        <f t="shared" si="84"/>
        <v>422.5300000000002</v>
      </c>
      <c r="K264" s="85">
        <f t="shared" si="84"/>
        <v>387.08000000000038</v>
      </c>
      <c r="L264" s="85">
        <f t="shared" si="84"/>
        <v>401.73</v>
      </c>
      <c r="M264" s="85">
        <f t="shared" si="84"/>
        <v>407.76000000000022</v>
      </c>
      <c r="N264" s="85">
        <f t="shared" si="84"/>
        <v>390.42000000000007</v>
      </c>
      <c r="O264" s="85">
        <f t="shared" si="84"/>
        <v>391.38999999999987</v>
      </c>
      <c r="P264" s="85">
        <f t="shared" si="84"/>
        <v>388.69999999999982</v>
      </c>
      <c r="Q264" s="85">
        <f t="shared" si="84"/>
        <v>396.92999999999984</v>
      </c>
      <c r="R264" s="374"/>
      <c r="S264" s="374"/>
      <c r="T264" s="377"/>
      <c r="U264" s="377"/>
      <c r="V264" s="379"/>
      <c r="W264" s="382"/>
      <c r="X264" s="385"/>
      <c r="Y264" s="391"/>
      <c r="Z264" s="182"/>
      <c r="AA264" s="82"/>
      <c r="AB264" s="82"/>
      <c r="AC264" s="82"/>
      <c r="AD264" s="82"/>
      <c r="AE264" s="86"/>
      <c r="AF264" s="82"/>
    </row>
    <row r="265" spans="1:32" ht="15" x14ac:dyDescent="0.25">
      <c r="A265" s="222">
        <v>43404</v>
      </c>
      <c r="B265" s="79" t="s">
        <v>235</v>
      </c>
      <c r="C265" s="79" t="s">
        <v>232</v>
      </c>
      <c r="D265" s="80" t="s">
        <v>186</v>
      </c>
      <c r="E265" s="3">
        <v>2913.88</v>
      </c>
      <c r="F265" s="3">
        <v>2853.87</v>
      </c>
      <c r="G265" s="3">
        <v>2847.6</v>
      </c>
      <c r="H265" s="3">
        <v>2862.61</v>
      </c>
      <c r="I265" s="3">
        <v>2947.7</v>
      </c>
      <c r="J265" s="3">
        <v>2972.33</v>
      </c>
      <c r="K265" s="3">
        <v>2864.31</v>
      </c>
      <c r="L265" s="3">
        <v>2853.08</v>
      </c>
      <c r="M265" s="3">
        <v>2913.66</v>
      </c>
      <c r="N265" s="3">
        <v>2868.29</v>
      </c>
      <c r="O265" s="3">
        <v>2860.98</v>
      </c>
      <c r="P265" s="3">
        <v>2879.04</v>
      </c>
      <c r="Q265" s="3">
        <v>2856.77</v>
      </c>
      <c r="R265" s="372">
        <f>IF((Q266=""),"",MAX(E267:Q267))</f>
        <v>392.75</v>
      </c>
      <c r="S265" s="372">
        <f>IF(Q266="","",MIN(E267:Q267))</f>
        <v>334.11999999999989</v>
      </c>
      <c r="T265" s="375">
        <f>IF((Q267=""),"",AVERAGE(E267:Q267))</f>
        <v>354.87615384615378</v>
      </c>
      <c r="U265" s="375">
        <f>IF((Q266=""),"",(R265-S265)/(R265+S265)*100)</f>
        <v>8.0660915982225312</v>
      </c>
      <c r="V265" s="375">
        <f>STDEV(E267:Q267)</f>
        <v>24.868508043461183</v>
      </c>
      <c r="W265" s="380" t="str">
        <f>IF(Q266="","",IF(T265&gt;300,IF(U265&lt;14,IF(T265&lt;390,"Pass","Fail"),"Fail"),"Fail"))</f>
        <v>Pass</v>
      </c>
      <c r="X265" s="383">
        <v>64</v>
      </c>
      <c r="Y265" s="389"/>
      <c r="Z265" s="182"/>
      <c r="AA265" s="82">
        <v>270</v>
      </c>
      <c r="AB265" s="82">
        <v>370</v>
      </c>
      <c r="AC265" s="82">
        <v>300</v>
      </c>
      <c r="AD265" s="83">
        <v>390</v>
      </c>
      <c r="AE265" s="83">
        <v>20</v>
      </c>
      <c r="AF265" s="83">
        <v>14</v>
      </c>
    </row>
    <row r="266" spans="1:32" ht="15.6" x14ac:dyDescent="0.3">
      <c r="A266" s="221"/>
      <c r="B266" s="84"/>
      <c r="C266" s="84"/>
      <c r="D266" s="80" t="s">
        <v>187</v>
      </c>
      <c r="E266" s="3">
        <v>2523.35</v>
      </c>
      <c r="F266" s="3">
        <v>2515.33</v>
      </c>
      <c r="G266" s="3">
        <v>2513.36</v>
      </c>
      <c r="H266" s="3">
        <v>2524.2399999999998</v>
      </c>
      <c r="I266" s="3">
        <v>2557.75</v>
      </c>
      <c r="J266" s="3">
        <v>2583.91</v>
      </c>
      <c r="K266" s="3">
        <v>2530.19</v>
      </c>
      <c r="L266" s="3">
        <v>2513.42</v>
      </c>
      <c r="M266" s="3">
        <v>2520.91</v>
      </c>
      <c r="N266" s="3">
        <v>2526.35</v>
      </c>
      <c r="O266" s="3">
        <v>2516.15</v>
      </c>
      <c r="P266" s="3">
        <v>2542.42</v>
      </c>
      <c r="Q266" s="3">
        <v>2513.35</v>
      </c>
      <c r="R266" s="373"/>
      <c r="S266" s="373"/>
      <c r="T266" s="376"/>
      <c r="U266" s="376"/>
      <c r="V266" s="378"/>
      <c r="W266" s="381"/>
      <c r="X266" s="384"/>
      <c r="Y266" s="390"/>
      <c r="Z266" s="182"/>
      <c r="AA266" s="82"/>
      <c r="AB266" s="82"/>
      <c r="AC266" s="82"/>
      <c r="AD266" s="83"/>
      <c r="AE266" s="83"/>
      <c r="AF266" s="83"/>
    </row>
    <row r="267" spans="1:32" ht="30" x14ac:dyDescent="0.3">
      <c r="A267" s="221"/>
      <c r="B267" s="79"/>
      <c r="C267" s="79"/>
      <c r="D267" s="80" t="s">
        <v>188</v>
      </c>
      <c r="E267" s="85">
        <f t="shared" ref="E267:Q267" si="85">IF(((E265="")*AND(E266="")),"",(E265-E266))</f>
        <v>390.5300000000002</v>
      </c>
      <c r="F267" s="85">
        <f t="shared" si="85"/>
        <v>338.53999999999996</v>
      </c>
      <c r="G267" s="85">
        <f t="shared" si="85"/>
        <v>334.23999999999978</v>
      </c>
      <c r="H267" s="85">
        <f t="shared" si="85"/>
        <v>338.37000000000035</v>
      </c>
      <c r="I267" s="85">
        <f t="shared" si="85"/>
        <v>389.94999999999982</v>
      </c>
      <c r="J267" s="85">
        <f t="shared" si="85"/>
        <v>388.42000000000007</v>
      </c>
      <c r="K267" s="85">
        <f t="shared" si="85"/>
        <v>334.11999999999989</v>
      </c>
      <c r="L267" s="85">
        <f t="shared" si="85"/>
        <v>339.65999999999985</v>
      </c>
      <c r="M267" s="85">
        <f t="shared" si="85"/>
        <v>392.75</v>
      </c>
      <c r="N267" s="85">
        <f t="shared" si="85"/>
        <v>341.94000000000005</v>
      </c>
      <c r="O267" s="85">
        <f t="shared" si="85"/>
        <v>344.82999999999993</v>
      </c>
      <c r="P267" s="85">
        <f t="shared" si="85"/>
        <v>336.61999999999989</v>
      </c>
      <c r="Q267" s="85">
        <f t="shared" si="85"/>
        <v>343.42000000000007</v>
      </c>
      <c r="R267" s="374"/>
      <c r="S267" s="374"/>
      <c r="T267" s="377"/>
      <c r="U267" s="377"/>
      <c r="V267" s="379"/>
      <c r="W267" s="382"/>
      <c r="X267" s="385"/>
      <c r="Y267" s="391"/>
      <c r="Z267" s="182"/>
      <c r="AA267" s="82"/>
      <c r="AB267" s="82"/>
      <c r="AC267" s="82"/>
      <c r="AD267" s="82"/>
      <c r="AE267" s="86"/>
      <c r="AF267" s="82"/>
    </row>
    <row r="268" spans="1:32" ht="15" x14ac:dyDescent="0.25">
      <c r="A268" s="222">
        <v>43408</v>
      </c>
      <c r="B268" s="79" t="s">
        <v>235</v>
      </c>
      <c r="C268" s="79" t="s">
        <v>232</v>
      </c>
      <c r="D268" s="80" t="s">
        <v>186</v>
      </c>
      <c r="E268" s="3">
        <v>2111.13</v>
      </c>
      <c r="F268" s="3">
        <v>2110.79</v>
      </c>
      <c r="G268" s="3">
        <v>2118.56</v>
      </c>
      <c r="H268" s="3">
        <v>2119.65</v>
      </c>
      <c r="I268" s="3">
        <v>2139.46</v>
      </c>
      <c r="J268" s="3">
        <v>2150.88</v>
      </c>
      <c r="K268" s="3">
        <v>2130.2600000000002</v>
      </c>
      <c r="L268" s="3">
        <v>2107.63</v>
      </c>
      <c r="M268" s="3">
        <v>2104.12</v>
      </c>
      <c r="N268" s="3">
        <v>2133.08</v>
      </c>
      <c r="O268" s="3">
        <v>2125.9499999999998</v>
      </c>
      <c r="P268" s="3">
        <v>2183.06</v>
      </c>
      <c r="Q268" s="3">
        <v>2103.11</v>
      </c>
      <c r="R268" s="372">
        <f>IF((Q269=""),"",MAX(E270:Q270))</f>
        <v>389.49</v>
      </c>
      <c r="S268" s="372">
        <f>IF(Q269="","",MIN(E270:Q270))</f>
        <v>294.26</v>
      </c>
      <c r="T268" s="375">
        <f>IF((Q270=""),"",AVERAGE(E270:Q270))</f>
        <v>340.5992307692307</v>
      </c>
      <c r="U268" s="375">
        <f>IF((Q269=""),"",(R268-S268)/(R268+S268)*100)</f>
        <v>13.927605118829984</v>
      </c>
      <c r="V268" s="375">
        <f>STDEV(E270:Q270)</f>
        <v>37.184360391061915</v>
      </c>
      <c r="W268" s="380" t="str">
        <f>IF(Q269="","",IF(T268&gt;300,IF(U268&lt;14,IF(T268&lt;390,"Pass","Fail"),"Fail"),"Fail"))</f>
        <v>Pass</v>
      </c>
      <c r="X268" s="383">
        <v>121</v>
      </c>
      <c r="Y268" s="253" t="s">
        <v>213</v>
      </c>
      <c r="Z268" s="182"/>
      <c r="AA268" s="82">
        <v>270</v>
      </c>
      <c r="AB268" s="82">
        <v>370</v>
      </c>
      <c r="AC268" s="82">
        <v>300</v>
      </c>
      <c r="AD268" s="83">
        <v>390</v>
      </c>
      <c r="AE268" s="83">
        <v>20</v>
      </c>
      <c r="AF268" s="83">
        <v>14</v>
      </c>
    </row>
    <row r="269" spans="1:32" ht="15.6" x14ac:dyDescent="0.3">
      <c r="A269" s="221"/>
      <c r="B269" s="84"/>
      <c r="C269" s="84"/>
      <c r="D269" s="80" t="s">
        <v>187</v>
      </c>
      <c r="E269" s="3">
        <v>1722.6</v>
      </c>
      <c r="F269" s="3">
        <v>1809.16</v>
      </c>
      <c r="G269" s="3">
        <v>1824.3</v>
      </c>
      <c r="H269" s="3">
        <v>1819.83</v>
      </c>
      <c r="I269" s="3">
        <v>1749.97</v>
      </c>
      <c r="J269" s="3">
        <v>1788.9</v>
      </c>
      <c r="K269" s="3">
        <v>1749.87</v>
      </c>
      <c r="L269" s="3">
        <v>1793.59</v>
      </c>
      <c r="M269" s="3">
        <v>1720.03</v>
      </c>
      <c r="N269" s="3">
        <v>1809.64</v>
      </c>
      <c r="O269" s="3">
        <v>1806.09</v>
      </c>
      <c r="P269" s="3">
        <v>1823.91</v>
      </c>
      <c r="Q269" s="3">
        <v>1792</v>
      </c>
      <c r="R269" s="373"/>
      <c r="S269" s="373"/>
      <c r="T269" s="376"/>
      <c r="U269" s="376"/>
      <c r="V269" s="378"/>
      <c r="W269" s="381"/>
      <c r="X269" s="384"/>
      <c r="Y269" s="254"/>
      <c r="Z269" s="182"/>
      <c r="AA269" s="82"/>
      <c r="AB269" s="82"/>
      <c r="AC269" s="82"/>
      <c r="AD269" s="83"/>
      <c r="AE269" s="83"/>
      <c r="AF269" s="83"/>
    </row>
    <row r="270" spans="1:32" ht="30" x14ac:dyDescent="0.3">
      <c r="A270" s="221"/>
      <c r="B270" s="79"/>
      <c r="C270" s="79"/>
      <c r="D270" s="80" t="s">
        <v>188</v>
      </c>
      <c r="E270" s="85">
        <f t="shared" ref="E270:Q270" si="86">IF(((E268="")*AND(E269="")),"",(E268-E269))</f>
        <v>388.5300000000002</v>
      </c>
      <c r="F270" s="85">
        <f t="shared" si="86"/>
        <v>301.62999999999988</v>
      </c>
      <c r="G270" s="85">
        <f t="shared" si="86"/>
        <v>294.26</v>
      </c>
      <c r="H270" s="85">
        <f t="shared" si="86"/>
        <v>299.82000000000016</v>
      </c>
      <c r="I270" s="85">
        <f t="shared" si="86"/>
        <v>389.49</v>
      </c>
      <c r="J270" s="85">
        <f t="shared" si="86"/>
        <v>361.98</v>
      </c>
      <c r="K270" s="85">
        <f t="shared" si="86"/>
        <v>380.39000000000033</v>
      </c>
      <c r="L270" s="85">
        <f t="shared" si="86"/>
        <v>314.04000000000019</v>
      </c>
      <c r="M270" s="85">
        <f t="shared" si="86"/>
        <v>384.08999999999992</v>
      </c>
      <c r="N270" s="85">
        <f t="shared" si="86"/>
        <v>323.43999999999983</v>
      </c>
      <c r="O270" s="85">
        <f t="shared" si="86"/>
        <v>319.8599999999999</v>
      </c>
      <c r="P270" s="85">
        <f t="shared" si="86"/>
        <v>359.14999999999986</v>
      </c>
      <c r="Q270" s="85">
        <f t="shared" si="86"/>
        <v>311.11000000000013</v>
      </c>
      <c r="R270" s="374"/>
      <c r="S270" s="374"/>
      <c r="T270" s="377"/>
      <c r="U270" s="377"/>
      <c r="V270" s="379"/>
      <c r="W270" s="382"/>
      <c r="X270" s="385"/>
      <c r="Y270" s="255"/>
      <c r="Z270" s="182"/>
      <c r="AA270" s="82"/>
      <c r="AB270" s="82"/>
      <c r="AC270" s="82"/>
      <c r="AD270" s="82"/>
      <c r="AE270" s="86"/>
      <c r="AF270" s="82"/>
    </row>
    <row r="271" spans="1:32" ht="15" x14ac:dyDescent="0.25">
      <c r="A271" s="222">
        <v>43412</v>
      </c>
      <c r="B271" s="79" t="s">
        <v>235</v>
      </c>
      <c r="C271" s="79" t="s">
        <v>232</v>
      </c>
      <c r="D271" s="80" t="s">
        <v>186</v>
      </c>
      <c r="E271" s="3">
        <v>2916.75</v>
      </c>
      <c r="F271" s="3">
        <v>2819.14</v>
      </c>
      <c r="G271" s="3">
        <v>2803.27</v>
      </c>
      <c r="H271" s="3">
        <v>2810.7</v>
      </c>
      <c r="I271" s="3">
        <v>2890.8</v>
      </c>
      <c r="J271" s="3">
        <v>2873.86</v>
      </c>
      <c r="K271" s="3">
        <v>2805.27</v>
      </c>
      <c r="L271" s="3">
        <v>2827.59</v>
      </c>
      <c r="M271" s="3">
        <v>2953.25</v>
      </c>
      <c r="N271" s="3">
        <v>2813.94</v>
      </c>
      <c r="O271" s="3">
        <v>2831.25</v>
      </c>
      <c r="P271" s="3">
        <v>2810.28</v>
      </c>
      <c r="Q271" s="3">
        <v>2847.35</v>
      </c>
      <c r="R271" s="372">
        <f>IF((Q272=""),"",MAX(E273:Q273))</f>
        <v>377.7800000000002</v>
      </c>
      <c r="S271" s="372">
        <f>IF(Q272="","",MIN(E273:Q273))</f>
        <v>331.42000000000007</v>
      </c>
      <c r="T271" s="375">
        <f>IF((Q273=""),"",AVERAGE(E273:Q273))</f>
        <v>349.14230769230778</v>
      </c>
      <c r="U271" s="375">
        <f>IF((Q272=""),"",(R271-S271)/(R271+S271)*100)</f>
        <v>6.5369430344049784</v>
      </c>
      <c r="V271" s="375">
        <f>STDEV(E273:Q273)</f>
        <v>18.704226418043536</v>
      </c>
      <c r="W271" s="380" t="str">
        <f>IF(Q272="","",IF(T271&gt;300,IF(U271&lt;14,IF(T271&lt;390,"Pass","Fail"),"Fail"),"Fail"))</f>
        <v>Pass</v>
      </c>
      <c r="X271" s="383">
        <v>1335</v>
      </c>
      <c r="Y271" s="389"/>
      <c r="Z271" s="182"/>
      <c r="AA271" s="82">
        <v>270</v>
      </c>
      <c r="AB271" s="82">
        <v>370</v>
      </c>
      <c r="AC271" s="82">
        <v>300</v>
      </c>
      <c r="AD271" s="83">
        <v>390</v>
      </c>
      <c r="AE271" s="83">
        <v>20</v>
      </c>
      <c r="AF271" s="83">
        <v>14</v>
      </c>
    </row>
    <row r="272" spans="1:32" ht="15.6" x14ac:dyDescent="0.3">
      <c r="A272" s="221"/>
      <c r="B272" s="84"/>
      <c r="C272" s="84"/>
      <c r="D272" s="80" t="s">
        <v>187</v>
      </c>
      <c r="E272" s="3">
        <v>2539</v>
      </c>
      <c r="F272" s="3">
        <v>2481.16</v>
      </c>
      <c r="G272" s="3">
        <v>2471.69</v>
      </c>
      <c r="H272" s="3">
        <v>2475.73</v>
      </c>
      <c r="I272" s="3">
        <v>2514.91</v>
      </c>
      <c r="J272" s="3">
        <v>2503.5500000000002</v>
      </c>
      <c r="K272" s="3">
        <v>2468.27</v>
      </c>
      <c r="L272" s="3">
        <v>2490.5</v>
      </c>
      <c r="M272" s="3">
        <v>2575.4699999999998</v>
      </c>
      <c r="N272" s="3">
        <v>2474.37</v>
      </c>
      <c r="O272" s="3">
        <v>2489.1999999999998</v>
      </c>
      <c r="P272" s="3">
        <v>2478.86</v>
      </c>
      <c r="Q272" s="3">
        <v>2501.89</v>
      </c>
      <c r="R272" s="373"/>
      <c r="S272" s="373"/>
      <c r="T272" s="376"/>
      <c r="U272" s="376"/>
      <c r="V272" s="378"/>
      <c r="W272" s="381"/>
      <c r="X272" s="384"/>
      <c r="Y272" s="390"/>
      <c r="Z272" s="182"/>
      <c r="AA272" s="82"/>
      <c r="AB272" s="82"/>
      <c r="AC272" s="82"/>
      <c r="AD272" s="83"/>
      <c r="AE272" s="83"/>
      <c r="AF272" s="83"/>
    </row>
    <row r="273" spans="1:32" ht="30" x14ac:dyDescent="0.3">
      <c r="A273" s="221"/>
      <c r="B273" s="79"/>
      <c r="C273" s="79"/>
      <c r="D273" s="80" t="s">
        <v>188</v>
      </c>
      <c r="E273" s="85">
        <f t="shared" ref="E273:Q273" si="87">IF(((E271="")*AND(E272="")),"",(E271-E272))</f>
        <v>377.75</v>
      </c>
      <c r="F273" s="85">
        <f t="shared" si="87"/>
        <v>337.98</v>
      </c>
      <c r="G273" s="85">
        <f t="shared" si="87"/>
        <v>331.57999999999993</v>
      </c>
      <c r="H273" s="85">
        <f t="shared" si="87"/>
        <v>334.9699999999998</v>
      </c>
      <c r="I273" s="85">
        <f t="shared" si="87"/>
        <v>375.89000000000033</v>
      </c>
      <c r="J273" s="85">
        <f t="shared" si="87"/>
        <v>370.30999999999995</v>
      </c>
      <c r="K273" s="85">
        <f t="shared" si="87"/>
        <v>337</v>
      </c>
      <c r="L273" s="85">
        <f t="shared" si="87"/>
        <v>337.09000000000015</v>
      </c>
      <c r="M273" s="85">
        <f t="shared" si="87"/>
        <v>377.7800000000002</v>
      </c>
      <c r="N273" s="85">
        <f t="shared" si="87"/>
        <v>339.57000000000016</v>
      </c>
      <c r="O273" s="85">
        <f t="shared" si="87"/>
        <v>342.05000000000018</v>
      </c>
      <c r="P273" s="85">
        <f t="shared" si="87"/>
        <v>331.42000000000007</v>
      </c>
      <c r="Q273" s="85">
        <f t="shared" si="87"/>
        <v>345.46000000000004</v>
      </c>
      <c r="R273" s="374"/>
      <c r="S273" s="374"/>
      <c r="T273" s="377"/>
      <c r="U273" s="377"/>
      <c r="V273" s="379"/>
      <c r="W273" s="382"/>
      <c r="X273" s="385"/>
      <c r="Y273" s="391"/>
      <c r="Z273" s="182"/>
      <c r="AA273" s="82"/>
      <c r="AB273" s="82"/>
      <c r="AC273" s="82"/>
      <c r="AD273" s="82"/>
      <c r="AE273" s="86"/>
      <c r="AF273" s="82"/>
    </row>
    <row r="274" spans="1:32" ht="15" x14ac:dyDescent="0.25">
      <c r="A274" s="222">
        <v>43416</v>
      </c>
      <c r="B274" s="79" t="s">
        <v>235</v>
      </c>
      <c r="C274" s="79" t="s">
        <v>232</v>
      </c>
      <c r="D274" s="80" t="s">
        <v>186</v>
      </c>
      <c r="E274" s="3">
        <v>2539</v>
      </c>
      <c r="F274" s="3">
        <v>2481.16</v>
      </c>
      <c r="G274" s="3">
        <v>2471.69</v>
      </c>
      <c r="H274" s="3">
        <v>2475.73</v>
      </c>
      <c r="I274" s="3">
        <v>2514.91</v>
      </c>
      <c r="J274" s="3">
        <v>2503.5500000000002</v>
      </c>
      <c r="K274" s="3">
        <v>2468.27</v>
      </c>
      <c r="L274" s="3">
        <v>2490.5</v>
      </c>
      <c r="M274" s="3">
        <v>2575.4699999999998</v>
      </c>
      <c r="N274" s="3">
        <v>2474.37</v>
      </c>
      <c r="O274" s="3">
        <v>2489.1999999999998</v>
      </c>
      <c r="P274" s="3">
        <v>2478.86</v>
      </c>
      <c r="Q274" s="3">
        <v>2501.89</v>
      </c>
      <c r="R274" s="372">
        <f>IF((Q275=""),"",MAX(E276:Q276))</f>
        <v>424.15999999999985</v>
      </c>
      <c r="S274" s="372">
        <f>IF(Q275="","",MIN(E276:Q276))</f>
        <v>331.2199999999998</v>
      </c>
      <c r="T274" s="375">
        <f>IF((Q276=""),"",AVERAGE(E276:Q276))</f>
        <v>365.59307692307686</v>
      </c>
      <c r="U274" s="375">
        <f>IF((Q275=""),"",(R274-S274)/(R274+S274)*100)</f>
        <v>12.303741163387977</v>
      </c>
      <c r="V274" s="375">
        <f>STDEV(E276:Q276)</f>
        <v>28.275412577188934</v>
      </c>
      <c r="W274" s="380" t="str">
        <f>IF(Q275="","",IF(T274&gt;300,IF(U274&lt;14,IF(T274&lt;390,"Pass","Fail"),"Fail"),"Fail"))</f>
        <v>Pass</v>
      </c>
      <c r="X274" s="383">
        <v>121</v>
      </c>
      <c r="Y274" s="253" t="s">
        <v>215</v>
      </c>
      <c r="Z274" s="182"/>
      <c r="AA274" s="82">
        <v>270</v>
      </c>
      <c r="AB274" s="82">
        <v>370</v>
      </c>
      <c r="AC274" s="82">
        <v>300</v>
      </c>
      <c r="AD274" s="83">
        <v>390</v>
      </c>
      <c r="AE274" s="83">
        <v>20</v>
      </c>
      <c r="AF274" s="83">
        <v>14</v>
      </c>
    </row>
    <row r="275" spans="1:32" ht="15.6" x14ac:dyDescent="0.3">
      <c r="A275" s="221"/>
      <c r="B275" s="84"/>
      <c r="C275" s="84"/>
      <c r="D275" s="80" t="s">
        <v>187</v>
      </c>
      <c r="E275" s="3">
        <v>2122.5</v>
      </c>
      <c r="F275" s="3">
        <v>2118.37</v>
      </c>
      <c r="G275" s="3">
        <v>2124.2199999999998</v>
      </c>
      <c r="H275" s="3">
        <v>2127.6</v>
      </c>
      <c r="I275" s="3">
        <v>2150.2199999999998</v>
      </c>
      <c r="J275" s="3">
        <v>2153.5</v>
      </c>
      <c r="K275" s="3">
        <v>2137.0500000000002</v>
      </c>
      <c r="L275" s="3">
        <v>2121.11</v>
      </c>
      <c r="M275" s="3">
        <v>2151.31</v>
      </c>
      <c r="N275" s="3">
        <v>2122.9299999999998</v>
      </c>
      <c r="O275" s="3">
        <v>2128.69</v>
      </c>
      <c r="P275" s="3">
        <v>2140.73</v>
      </c>
      <c r="Q275" s="3">
        <v>2113.66</v>
      </c>
      <c r="R275" s="373"/>
      <c r="S275" s="373"/>
      <c r="T275" s="376"/>
      <c r="U275" s="376"/>
      <c r="V275" s="378"/>
      <c r="W275" s="381"/>
      <c r="X275" s="384"/>
      <c r="Y275" s="254"/>
      <c r="Z275" s="182"/>
      <c r="AA275" s="82"/>
      <c r="AB275" s="82"/>
      <c r="AC275" s="82"/>
      <c r="AD275" s="83"/>
      <c r="AE275" s="83"/>
      <c r="AF275" s="83"/>
    </row>
    <row r="276" spans="1:32" ht="30" x14ac:dyDescent="0.3">
      <c r="A276" s="221"/>
      <c r="B276" s="79"/>
      <c r="C276" s="79"/>
      <c r="D276" s="80" t="s">
        <v>188</v>
      </c>
      <c r="E276" s="85">
        <f t="shared" ref="E276:Q276" si="88">IF(((E274="")*AND(E275="")),"",(E274-E275))</f>
        <v>416.5</v>
      </c>
      <c r="F276" s="85">
        <f t="shared" si="88"/>
        <v>362.78999999999996</v>
      </c>
      <c r="G276" s="85">
        <f t="shared" si="88"/>
        <v>347.47000000000025</v>
      </c>
      <c r="H276" s="85">
        <f t="shared" si="88"/>
        <v>348.13000000000011</v>
      </c>
      <c r="I276" s="85">
        <f t="shared" si="88"/>
        <v>364.69000000000005</v>
      </c>
      <c r="J276" s="85">
        <f t="shared" si="88"/>
        <v>350.05000000000018</v>
      </c>
      <c r="K276" s="85">
        <f t="shared" si="88"/>
        <v>331.2199999999998</v>
      </c>
      <c r="L276" s="85">
        <f t="shared" si="88"/>
        <v>369.38999999999987</v>
      </c>
      <c r="M276" s="85">
        <f t="shared" si="88"/>
        <v>424.15999999999985</v>
      </c>
      <c r="N276" s="85">
        <f t="shared" si="88"/>
        <v>351.44000000000005</v>
      </c>
      <c r="O276" s="85">
        <f t="shared" si="88"/>
        <v>360.50999999999976</v>
      </c>
      <c r="P276" s="85">
        <f t="shared" si="88"/>
        <v>338.13000000000011</v>
      </c>
      <c r="Q276" s="85">
        <f t="shared" si="88"/>
        <v>388.23</v>
      </c>
      <c r="R276" s="374"/>
      <c r="S276" s="374"/>
      <c r="T276" s="377"/>
      <c r="U276" s="377"/>
      <c r="V276" s="379"/>
      <c r="W276" s="382"/>
      <c r="X276" s="385"/>
      <c r="Y276" s="255"/>
      <c r="Z276" s="182"/>
      <c r="AA276" s="82"/>
      <c r="AB276" s="82"/>
      <c r="AC276" s="82"/>
      <c r="AD276" s="82"/>
      <c r="AE276" s="86"/>
      <c r="AF276" s="82"/>
    </row>
    <row r="277" spans="1:32" ht="15" x14ac:dyDescent="0.25">
      <c r="A277" s="222">
        <v>43424</v>
      </c>
      <c r="B277" s="79" t="s">
        <v>235</v>
      </c>
      <c r="C277" s="79" t="s">
        <v>232</v>
      </c>
      <c r="D277" s="80" t="s">
        <v>186</v>
      </c>
      <c r="E277" s="3">
        <v>2108.5100000000002</v>
      </c>
      <c r="F277" s="3">
        <v>2106.9299999999998</v>
      </c>
      <c r="G277" s="3">
        <v>2097.7199999999998</v>
      </c>
      <c r="H277" s="3">
        <v>2116.19</v>
      </c>
      <c r="I277" s="3">
        <v>2138.6799999999998</v>
      </c>
      <c r="J277" s="3">
        <v>2144.0300000000002</v>
      </c>
      <c r="K277" s="3">
        <v>2121.34</v>
      </c>
      <c r="L277" s="3">
        <v>2105.5</v>
      </c>
      <c r="M277" s="3">
        <v>2143.35</v>
      </c>
      <c r="N277" s="3">
        <v>2106.79</v>
      </c>
      <c r="O277" s="3">
        <v>2122.0500000000002</v>
      </c>
      <c r="P277" s="3">
        <v>2123.1799999999998</v>
      </c>
      <c r="Q277" s="3">
        <v>2089.48</v>
      </c>
      <c r="R277" s="372">
        <f>IF((Q278=""),"",MAX(E279:Q279))</f>
        <v>404.41000000000031</v>
      </c>
      <c r="S277" s="372">
        <f>IF(Q278="","",MIN(E279:Q279))</f>
        <v>306.08999999999992</v>
      </c>
      <c r="T277" s="375">
        <f>IF((Q279=""),"",AVERAGE(E279:Q279))</f>
        <v>347.6438461538462</v>
      </c>
      <c r="U277" s="375">
        <f>IF((Q278=""),"",(R277-S277)/(R277+S277)*100)</f>
        <v>13.838142153413141</v>
      </c>
      <c r="V277" s="375">
        <f>STDEV(E279:Q279)</f>
        <v>27.414085047186251</v>
      </c>
      <c r="W277" s="380" t="str">
        <f>IF(Q278="","",IF(T277&gt;300,IF(U277&lt;14,IF(T277&lt;390,"Pass","Fail"),"Fail"),"Fail"))</f>
        <v>Pass</v>
      </c>
      <c r="X277" s="383">
        <v>121</v>
      </c>
      <c r="Y277" s="253" t="s">
        <v>216</v>
      </c>
      <c r="Z277" s="182"/>
      <c r="AA277" s="82">
        <v>270</v>
      </c>
      <c r="AB277" s="82">
        <v>370</v>
      </c>
      <c r="AC277" s="82">
        <v>300</v>
      </c>
      <c r="AD277" s="83">
        <v>390</v>
      </c>
      <c r="AE277" s="83">
        <v>20</v>
      </c>
      <c r="AF277" s="83">
        <v>14</v>
      </c>
    </row>
    <row r="278" spans="1:32" ht="15.6" x14ac:dyDescent="0.3">
      <c r="A278" s="221"/>
      <c r="B278" s="84"/>
      <c r="C278" s="84"/>
      <c r="D278" s="80" t="s">
        <v>187</v>
      </c>
      <c r="E278" s="3">
        <v>1758.75</v>
      </c>
      <c r="F278" s="3">
        <v>1783.12</v>
      </c>
      <c r="G278" s="3">
        <v>1765.68</v>
      </c>
      <c r="H278" s="3">
        <v>1769.92</v>
      </c>
      <c r="I278" s="3">
        <v>1741.67</v>
      </c>
      <c r="J278" s="3">
        <v>1739.62</v>
      </c>
      <c r="K278" s="3">
        <v>1775.87</v>
      </c>
      <c r="L278" s="3">
        <v>1744.71</v>
      </c>
      <c r="M278" s="3">
        <v>1791.59</v>
      </c>
      <c r="N278" s="3">
        <v>1775.08</v>
      </c>
      <c r="O278" s="3">
        <v>1792.05</v>
      </c>
      <c r="P278" s="3">
        <v>1782.93</v>
      </c>
      <c r="Q278" s="3">
        <v>1783.39</v>
      </c>
      <c r="R278" s="373"/>
      <c r="S278" s="373"/>
      <c r="T278" s="376"/>
      <c r="U278" s="376"/>
      <c r="V278" s="378"/>
      <c r="W278" s="381"/>
      <c r="X278" s="384"/>
      <c r="Y278" s="254"/>
      <c r="Z278" s="182"/>
      <c r="AA278" s="82"/>
      <c r="AB278" s="82"/>
      <c r="AC278" s="82"/>
      <c r="AD278" s="83"/>
      <c r="AE278" s="83"/>
      <c r="AF278" s="83"/>
    </row>
    <row r="279" spans="1:32" ht="30" x14ac:dyDescent="0.3">
      <c r="A279" s="221"/>
      <c r="B279" s="79"/>
      <c r="C279" s="79"/>
      <c r="D279" s="80" t="s">
        <v>188</v>
      </c>
      <c r="E279" s="85">
        <f t="shared" ref="E279:Q279" si="89">IF(((E277="")*AND(E278="")),"",(E277-E278))</f>
        <v>349.76000000000022</v>
      </c>
      <c r="F279" s="85">
        <f t="shared" si="89"/>
        <v>323.80999999999995</v>
      </c>
      <c r="G279" s="85">
        <f t="shared" si="89"/>
        <v>332.03999999999974</v>
      </c>
      <c r="H279" s="85">
        <f t="shared" si="89"/>
        <v>346.27</v>
      </c>
      <c r="I279" s="85">
        <f t="shared" si="89"/>
        <v>397.00999999999976</v>
      </c>
      <c r="J279" s="85">
        <f t="shared" si="89"/>
        <v>404.41000000000031</v>
      </c>
      <c r="K279" s="85">
        <f t="shared" si="89"/>
        <v>345.47000000000025</v>
      </c>
      <c r="L279" s="85">
        <f t="shared" si="89"/>
        <v>360.78999999999996</v>
      </c>
      <c r="M279" s="85">
        <f t="shared" si="89"/>
        <v>351.76</v>
      </c>
      <c r="N279" s="85">
        <f t="shared" si="89"/>
        <v>331.71000000000004</v>
      </c>
      <c r="O279" s="85">
        <f t="shared" si="89"/>
        <v>330.00000000000023</v>
      </c>
      <c r="P279" s="85">
        <f t="shared" si="89"/>
        <v>340.24999999999977</v>
      </c>
      <c r="Q279" s="85">
        <f t="shared" si="89"/>
        <v>306.08999999999992</v>
      </c>
      <c r="R279" s="374"/>
      <c r="S279" s="374"/>
      <c r="T279" s="377"/>
      <c r="U279" s="377"/>
      <c r="V279" s="379"/>
      <c r="W279" s="382"/>
      <c r="X279" s="385"/>
      <c r="Y279" s="255"/>
      <c r="Z279" s="182"/>
      <c r="AA279" s="82"/>
      <c r="AB279" s="82"/>
      <c r="AC279" s="82"/>
      <c r="AD279" s="82"/>
      <c r="AE279" s="86"/>
      <c r="AF279" s="82"/>
    </row>
    <row r="280" spans="1:32" ht="15" x14ac:dyDescent="0.25">
      <c r="A280" s="222">
        <v>43430</v>
      </c>
      <c r="B280" s="79" t="s">
        <v>235</v>
      </c>
      <c r="C280" s="79" t="s">
        <v>232</v>
      </c>
      <c r="D280" s="80" t="s">
        <v>186</v>
      </c>
      <c r="E280" s="3">
        <v>2901.55</v>
      </c>
      <c r="F280" s="3">
        <v>2850.62</v>
      </c>
      <c r="G280" s="3">
        <v>2848.22</v>
      </c>
      <c r="H280" s="3">
        <v>2866.25</v>
      </c>
      <c r="I280" s="3">
        <v>2969.03</v>
      </c>
      <c r="J280" s="3">
        <v>2901.39</v>
      </c>
      <c r="K280" s="3">
        <v>2849.89</v>
      </c>
      <c r="L280" s="3">
        <v>2864.58</v>
      </c>
      <c r="M280" s="3">
        <v>2964.78</v>
      </c>
      <c r="N280" s="3">
        <v>2852.2</v>
      </c>
      <c r="O280" s="3">
        <v>2885.96</v>
      </c>
      <c r="P280" s="3">
        <v>2864.27</v>
      </c>
      <c r="Q280" s="3">
        <v>2865.83</v>
      </c>
      <c r="R280" s="372">
        <f>IF((Q281=""),"",MAX(E282:Q282))</f>
        <v>381.40000000000009</v>
      </c>
      <c r="S280" s="372">
        <f>IF(Q281="","",MIN(E282:Q282))</f>
        <v>334.25</v>
      </c>
      <c r="T280" s="375">
        <f>IF((Q282=""),"",AVERAGE(E282:Q282))</f>
        <v>351.10846153846154</v>
      </c>
      <c r="U280" s="375">
        <f>IF((Q281=""),"",(R280-S280)/(R280+S280)*100)</f>
        <v>6.5884161252008786</v>
      </c>
      <c r="V280" s="375">
        <f>STDEV(E282:Q282)</f>
        <v>19.990716531327795</v>
      </c>
      <c r="W280" s="380" t="str">
        <f>IF(Q281="","",IF(T280&gt;300,IF(U280&lt;14,IF(T280&lt;390,"Pass","Fail"),"Fail"),"Fail"))</f>
        <v>Pass</v>
      </c>
      <c r="X280" s="383">
        <v>1340</v>
      </c>
      <c r="Y280" s="389"/>
      <c r="Z280" s="182"/>
      <c r="AA280" s="82">
        <v>270</v>
      </c>
      <c r="AB280" s="82">
        <v>370</v>
      </c>
      <c r="AC280" s="82">
        <v>300</v>
      </c>
      <c r="AD280" s="83">
        <v>390</v>
      </c>
      <c r="AE280" s="83">
        <v>20</v>
      </c>
      <c r="AF280" s="83">
        <v>14</v>
      </c>
    </row>
    <row r="281" spans="1:32" ht="15.6" x14ac:dyDescent="0.3">
      <c r="A281" s="221"/>
      <c r="B281" s="84"/>
      <c r="C281" s="84"/>
      <c r="D281" s="80" t="s">
        <v>187</v>
      </c>
      <c r="E281" s="3">
        <v>2520.37</v>
      </c>
      <c r="F281" s="3">
        <v>2511.02</v>
      </c>
      <c r="G281" s="3">
        <v>2513.9699999999998</v>
      </c>
      <c r="H281" s="3">
        <v>2528.5700000000002</v>
      </c>
      <c r="I281" s="3">
        <v>2587.63</v>
      </c>
      <c r="J281" s="3">
        <v>2522.83</v>
      </c>
      <c r="K281" s="3">
        <v>2514.35</v>
      </c>
      <c r="L281" s="3">
        <v>2528.77</v>
      </c>
      <c r="M281" s="3">
        <v>2587.1999999999998</v>
      </c>
      <c r="N281" s="3">
        <v>2512.13</v>
      </c>
      <c r="O281" s="3">
        <v>2545.88</v>
      </c>
      <c r="P281" s="3">
        <v>2525.31</v>
      </c>
      <c r="Q281" s="3">
        <v>2522.13</v>
      </c>
      <c r="R281" s="373"/>
      <c r="S281" s="373"/>
      <c r="T281" s="376"/>
      <c r="U281" s="376"/>
      <c r="V281" s="378"/>
      <c r="W281" s="381"/>
      <c r="X281" s="384"/>
      <c r="Y281" s="390"/>
      <c r="Z281" s="182"/>
      <c r="AA281" s="82"/>
      <c r="AB281" s="82"/>
      <c r="AC281" s="82"/>
      <c r="AD281" s="83"/>
      <c r="AE281" s="83"/>
      <c r="AF281" s="83"/>
    </row>
    <row r="282" spans="1:32" ht="30" x14ac:dyDescent="0.3">
      <c r="A282" s="221"/>
      <c r="B282" s="79"/>
      <c r="C282" s="79"/>
      <c r="D282" s="80" t="s">
        <v>188</v>
      </c>
      <c r="E282" s="85">
        <f t="shared" ref="E282:Q282" si="90">IF(((E280="")*AND(E281="")),"",(E280-E281))</f>
        <v>381.18000000000029</v>
      </c>
      <c r="F282" s="85">
        <f t="shared" si="90"/>
        <v>339.59999999999991</v>
      </c>
      <c r="G282" s="85">
        <f t="shared" si="90"/>
        <v>334.25</v>
      </c>
      <c r="H282" s="85">
        <f t="shared" si="90"/>
        <v>337.67999999999984</v>
      </c>
      <c r="I282" s="85">
        <f t="shared" si="90"/>
        <v>381.40000000000009</v>
      </c>
      <c r="J282" s="85">
        <f t="shared" si="90"/>
        <v>378.55999999999995</v>
      </c>
      <c r="K282" s="85">
        <f t="shared" si="90"/>
        <v>335.53999999999996</v>
      </c>
      <c r="L282" s="85">
        <f t="shared" si="90"/>
        <v>335.80999999999995</v>
      </c>
      <c r="M282" s="85">
        <f t="shared" si="90"/>
        <v>377.58000000000038</v>
      </c>
      <c r="N282" s="85">
        <f t="shared" si="90"/>
        <v>340.06999999999971</v>
      </c>
      <c r="O282" s="85">
        <f t="shared" si="90"/>
        <v>340.07999999999993</v>
      </c>
      <c r="P282" s="85">
        <f t="shared" si="90"/>
        <v>338.96000000000004</v>
      </c>
      <c r="Q282" s="85">
        <f t="shared" si="90"/>
        <v>343.69999999999982</v>
      </c>
      <c r="R282" s="374"/>
      <c r="S282" s="374"/>
      <c r="T282" s="377"/>
      <c r="U282" s="377"/>
      <c r="V282" s="379"/>
      <c r="W282" s="382"/>
      <c r="X282" s="385"/>
      <c r="Y282" s="391"/>
      <c r="Z282" s="182"/>
      <c r="AA282" s="82"/>
      <c r="AB282" s="82"/>
      <c r="AC282" s="82"/>
      <c r="AD282" s="82"/>
      <c r="AE282" s="86"/>
      <c r="AF282" s="82"/>
    </row>
    <row r="283" spans="1:32" ht="15" x14ac:dyDescent="0.25">
      <c r="A283" s="222">
        <v>43438</v>
      </c>
      <c r="B283" s="79" t="s">
        <v>235</v>
      </c>
      <c r="C283" s="79" t="s">
        <v>232</v>
      </c>
      <c r="D283" s="80" t="s">
        <v>186</v>
      </c>
      <c r="E283" s="3">
        <v>2520.73</v>
      </c>
      <c r="F283" s="3">
        <v>2512.75</v>
      </c>
      <c r="G283" s="3">
        <v>2513.67</v>
      </c>
      <c r="H283" s="3">
        <v>2530.17</v>
      </c>
      <c r="I283" s="3">
        <v>2590.42</v>
      </c>
      <c r="J283" s="3">
        <v>2524.0500000000002</v>
      </c>
      <c r="K283" s="3">
        <v>2516.15</v>
      </c>
      <c r="L283" s="3">
        <v>2524.9499999999998</v>
      </c>
      <c r="M283" s="3">
        <v>2590.4299999999998</v>
      </c>
      <c r="N283" s="3">
        <v>2511.33</v>
      </c>
      <c r="O283" s="3">
        <v>2540.13</v>
      </c>
      <c r="P283" s="3">
        <v>2527.0700000000002</v>
      </c>
      <c r="Q283" s="3">
        <v>2524.4</v>
      </c>
      <c r="R283" s="372">
        <f>IF((Q284=""),"",MAX(E285:Q285))</f>
        <v>415.61999999999989</v>
      </c>
      <c r="S283" s="372">
        <f>IF(Q284="","",MIN(E285:Q285))</f>
        <v>369.28999999999996</v>
      </c>
      <c r="T283" s="375">
        <f>IF((Q285=""),"",AVERAGE(E285:Q285))</f>
        <v>389.30615384615379</v>
      </c>
      <c r="U283" s="375">
        <f>IF((Q284=""),"",(R283-S283)/(R283+S283)*100)</f>
        <v>5.9025875578091673</v>
      </c>
      <c r="V283" s="375">
        <f>STDEV(E285:Q285)</f>
        <v>12.520960119243714</v>
      </c>
      <c r="W283" s="380" t="str">
        <f>IF(Q284="","",IF(T283&gt;300,IF(U283&lt;14,IF(T283&lt;390,"Pass","Fail"),"Fail"),"Fail"))</f>
        <v>Pass</v>
      </c>
      <c r="X283" s="383">
        <v>74</v>
      </c>
      <c r="Y283" s="389"/>
      <c r="Z283" s="182"/>
      <c r="AA283" s="82">
        <v>270</v>
      </c>
      <c r="AB283" s="82">
        <v>370</v>
      </c>
      <c r="AC283" s="82">
        <v>300</v>
      </c>
      <c r="AD283" s="83">
        <v>390</v>
      </c>
      <c r="AE283" s="83">
        <v>20</v>
      </c>
      <c r="AF283" s="83">
        <v>14</v>
      </c>
    </row>
    <row r="284" spans="1:32" ht="15.6" x14ac:dyDescent="0.3">
      <c r="A284" s="221"/>
      <c r="B284" s="84"/>
      <c r="C284" s="84"/>
      <c r="D284" s="80" t="s">
        <v>187</v>
      </c>
      <c r="E284" s="3">
        <v>2130.94</v>
      </c>
      <c r="F284" s="3">
        <v>2120.61</v>
      </c>
      <c r="G284" s="3">
        <v>2128.5500000000002</v>
      </c>
      <c r="H284" s="3">
        <v>2149.36</v>
      </c>
      <c r="I284" s="3">
        <v>2174.8000000000002</v>
      </c>
      <c r="J284" s="3">
        <v>2136.71</v>
      </c>
      <c r="K284" s="3">
        <v>2125.89</v>
      </c>
      <c r="L284" s="3">
        <v>2151.29</v>
      </c>
      <c r="M284" s="3">
        <v>2180.9</v>
      </c>
      <c r="N284" s="3">
        <v>2119.1999999999998</v>
      </c>
      <c r="O284" s="3">
        <v>2170.84</v>
      </c>
      <c r="P284" s="3">
        <v>2142.44</v>
      </c>
      <c r="Q284" s="3">
        <v>2133.7399999999998</v>
      </c>
      <c r="R284" s="373"/>
      <c r="S284" s="373"/>
      <c r="T284" s="376"/>
      <c r="U284" s="376"/>
      <c r="V284" s="378"/>
      <c r="W284" s="381"/>
      <c r="X284" s="384"/>
      <c r="Y284" s="390"/>
      <c r="Z284" s="182"/>
      <c r="AA284" s="82"/>
      <c r="AB284" s="82"/>
      <c r="AC284" s="82"/>
      <c r="AD284" s="83"/>
      <c r="AE284" s="83"/>
      <c r="AF284" s="83"/>
    </row>
    <row r="285" spans="1:32" ht="30" x14ac:dyDescent="0.3">
      <c r="A285" s="221"/>
      <c r="B285" s="79"/>
      <c r="C285" s="79"/>
      <c r="D285" s="80" t="s">
        <v>188</v>
      </c>
      <c r="E285" s="85">
        <f t="shared" ref="E285:Q285" si="91">IF(((E283="")*AND(E284="")),"",(E283-E284))</f>
        <v>389.78999999999996</v>
      </c>
      <c r="F285" s="85">
        <f t="shared" si="91"/>
        <v>392.13999999999987</v>
      </c>
      <c r="G285" s="85">
        <f t="shared" si="91"/>
        <v>385.11999999999989</v>
      </c>
      <c r="H285" s="85">
        <f t="shared" si="91"/>
        <v>380.80999999999995</v>
      </c>
      <c r="I285" s="85">
        <f t="shared" si="91"/>
        <v>415.61999999999989</v>
      </c>
      <c r="J285" s="85">
        <f t="shared" si="91"/>
        <v>387.34000000000015</v>
      </c>
      <c r="K285" s="85">
        <f t="shared" si="91"/>
        <v>390.26000000000022</v>
      </c>
      <c r="L285" s="85">
        <f t="shared" si="91"/>
        <v>373.65999999999985</v>
      </c>
      <c r="M285" s="85">
        <f t="shared" si="91"/>
        <v>409.52999999999975</v>
      </c>
      <c r="N285" s="85">
        <f t="shared" si="91"/>
        <v>392.13000000000011</v>
      </c>
      <c r="O285" s="85">
        <f t="shared" si="91"/>
        <v>369.28999999999996</v>
      </c>
      <c r="P285" s="85">
        <f t="shared" si="91"/>
        <v>384.63000000000011</v>
      </c>
      <c r="Q285" s="85">
        <f t="shared" si="91"/>
        <v>390.66000000000031</v>
      </c>
      <c r="R285" s="374"/>
      <c r="S285" s="374"/>
      <c r="T285" s="377"/>
      <c r="U285" s="377"/>
      <c r="V285" s="379"/>
      <c r="W285" s="382"/>
      <c r="X285" s="385"/>
      <c r="Y285" s="391"/>
      <c r="Z285" s="182"/>
      <c r="AA285" s="82"/>
      <c r="AB285" s="82"/>
      <c r="AC285" s="82"/>
      <c r="AD285" s="82"/>
      <c r="AE285" s="86"/>
      <c r="AF285" s="82"/>
    </row>
    <row r="286" spans="1:32" ht="15" x14ac:dyDescent="0.25">
      <c r="A286" s="222">
        <v>43445</v>
      </c>
      <c r="B286" s="79" t="s">
        <v>235</v>
      </c>
      <c r="C286" s="79" t="s">
        <v>232</v>
      </c>
      <c r="D286" s="80" t="s">
        <v>186</v>
      </c>
      <c r="E286" s="3">
        <v>2943</v>
      </c>
      <c r="F286" s="3">
        <v>2833.9</v>
      </c>
      <c r="G286" s="3">
        <v>2821.75</v>
      </c>
      <c r="H286" s="3">
        <v>2831.88</v>
      </c>
      <c r="I286" s="3">
        <v>2884.77</v>
      </c>
      <c r="J286" s="3">
        <v>2878.21</v>
      </c>
      <c r="K286" s="3">
        <v>2818.52</v>
      </c>
      <c r="L286" s="3">
        <v>2839.71</v>
      </c>
      <c r="M286" s="3">
        <v>2952.47</v>
      </c>
      <c r="N286" s="3">
        <v>2836.81</v>
      </c>
      <c r="O286" s="3">
        <v>2839.88</v>
      </c>
      <c r="P286" s="3">
        <v>2828.02</v>
      </c>
      <c r="Q286" s="3">
        <v>2859.78</v>
      </c>
      <c r="R286" s="372">
        <f>IF((Q287=""),"",MAX(E288:Q288))</f>
        <v>372.57999999999993</v>
      </c>
      <c r="S286" s="372">
        <f>IF(Q287="","",MIN(E288:Q288))</f>
        <v>313.19000000000005</v>
      </c>
      <c r="T286" s="375">
        <f>IF((Q288=""),"",AVERAGE(E288:Q288))</f>
        <v>332.80923076923079</v>
      </c>
      <c r="U286" s="375">
        <f>IF((Q287=""),"",(R286-S286)/(R286+S286)*100)</f>
        <v>8.6603380142029938</v>
      </c>
      <c r="V286" s="375">
        <f>STDEV(E288:Q288)</f>
        <v>22.905303411196531</v>
      </c>
      <c r="W286" s="380" t="str">
        <f>IF(Q287="","",IF(T286&gt;300,IF(U286&lt;14,IF(T286&lt;390,"Pass","Fail"),"Fail"),"Fail"))</f>
        <v>Pass</v>
      </c>
      <c r="X286" s="383" t="s">
        <v>217</v>
      </c>
      <c r="Y286" s="389"/>
      <c r="Z286" s="182"/>
      <c r="AA286" s="82">
        <v>270</v>
      </c>
      <c r="AB286" s="82">
        <v>370</v>
      </c>
      <c r="AC286" s="82">
        <v>300</v>
      </c>
      <c r="AD286" s="83">
        <v>390</v>
      </c>
      <c r="AE286" s="83">
        <v>20</v>
      </c>
      <c r="AF286" s="83">
        <v>14</v>
      </c>
    </row>
    <row r="287" spans="1:32" ht="15.6" x14ac:dyDescent="0.3">
      <c r="A287" s="221"/>
      <c r="B287" s="84"/>
      <c r="C287" s="84"/>
      <c r="D287" s="80" t="s">
        <v>187</v>
      </c>
      <c r="E287" s="3">
        <v>2570.42</v>
      </c>
      <c r="F287" s="3">
        <v>2519.31</v>
      </c>
      <c r="G287" s="3">
        <v>2507.86</v>
      </c>
      <c r="H287" s="3">
        <v>2509.92</v>
      </c>
      <c r="I287" s="3">
        <v>2531.58</v>
      </c>
      <c r="J287" s="3">
        <v>2513.02</v>
      </c>
      <c r="K287" s="3">
        <v>2505.33</v>
      </c>
      <c r="L287" s="3">
        <v>2523.17</v>
      </c>
      <c r="M287" s="3">
        <v>2584.0500000000002</v>
      </c>
      <c r="N287" s="3">
        <v>2512.13</v>
      </c>
      <c r="O287" s="3">
        <v>2523.0700000000002</v>
      </c>
      <c r="P287" s="3">
        <v>2505.08</v>
      </c>
      <c r="Q287" s="3">
        <v>2537.2399999999998</v>
      </c>
      <c r="R287" s="373"/>
      <c r="S287" s="373"/>
      <c r="T287" s="376"/>
      <c r="U287" s="376"/>
      <c r="V287" s="378"/>
      <c r="W287" s="381"/>
      <c r="X287" s="384"/>
      <c r="Y287" s="390"/>
      <c r="Z287" s="182"/>
      <c r="AA287" s="82"/>
      <c r="AB287" s="82"/>
      <c r="AC287" s="82"/>
      <c r="AD287" s="83"/>
      <c r="AE287" s="83"/>
      <c r="AF287" s="83"/>
    </row>
    <row r="288" spans="1:32" ht="30" x14ac:dyDescent="0.3">
      <c r="A288" s="221"/>
      <c r="B288" s="79"/>
      <c r="C288" s="79"/>
      <c r="D288" s="80" t="s">
        <v>188</v>
      </c>
      <c r="E288" s="85">
        <f t="shared" ref="E288:Q288" si="92">IF(((E286="")*AND(E287="")),"",(E286-E287))</f>
        <v>372.57999999999993</v>
      </c>
      <c r="F288" s="85">
        <f t="shared" si="92"/>
        <v>314.59000000000015</v>
      </c>
      <c r="G288" s="85">
        <f t="shared" si="92"/>
        <v>313.88999999999987</v>
      </c>
      <c r="H288" s="85">
        <f t="shared" si="92"/>
        <v>321.96000000000004</v>
      </c>
      <c r="I288" s="85">
        <f t="shared" si="92"/>
        <v>353.19000000000005</v>
      </c>
      <c r="J288" s="85">
        <f t="shared" si="92"/>
        <v>365.19000000000005</v>
      </c>
      <c r="K288" s="85">
        <f t="shared" si="92"/>
        <v>313.19000000000005</v>
      </c>
      <c r="L288" s="85">
        <f t="shared" si="92"/>
        <v>316.53999999999996</v>
      </c>
      <c r="M288" s="85">
        <f t="shared" si="92"/>
        <v>368.41999999999962</v>
      </c>
      <c r="N288" s="85">
        <f t="shared" si="92"/>
        <v>324.67999999999984</v>
      </c>
      <c r="O288" s="85">
        <f t="shared" si="92"/>
        <v>316.80999999999995</v>
      </c>
      <c r="P288" s="85">
        <f t="shared" si="92"/>
        <v>322.94000000000005</v>
      </c>
      <c r="Q288" s="85">
        <f t="shared" si="92"/>
        <v>322.54000000000042</v>
      </c>
      <c r="R288" s="374"/>
      <c r="S288" s="374"/>
      <c r="T288" s="377"/>
      <c r="U288" s="377"/>
      <c r="V288" s="379"/>
      <c r="W288" s="382"/>
      <c r="X288" s="385"/>
      <c r="Y288" s="391"/>
      <c r="Z288" s="182"/>
      <c r="AA288" s="82"/>
      <c r="AB288" s="82"/>
      <c r="AC288" s="82"/>
      <c r="AD288" s="82"/>
      <c r="AE288" s="86"/>
      <c r="AF288" s="82"/>
    </row>
    <row r="289" spans="1:32" ht="15" x14ac:dyDescent="0.25">
      <c r="A289" s="222">
        <v>43451</v>
      </c>
      <c r="B289" s="79" t="s">
        <v>235</v>
      </c>
      <c r="C289" s="79" t="s">
        <v>232</v>
      </c>
      <c r="D289" s="80" t="s">
        <v>186</v>
      </c>
      <c r="E289" s="56">
        <v>2924</v>
      </c>
      <c r="F289" s="56">
        <v>2823</v>
      </c>
      <c r="G289" s="56">
        <v>2805</v>
      </c>
      <c r="H289" s="56">
        <v>2810</v>
      </c>
      <c r="I289" s="56">
        <v>2881</v>
      </c>
      <c r="J289" s="56">
        <v>2871</v>
      </c>
      <c r="K289" s="56">
        <v>2807</v>
      </c>
      <c r="L289" s="56">
        <v>2830</v>
      </c>
      <c r="M289" s="56">
        <v>2947</v>
      </c>
      <c r="N289" s="56">
        <v>2820</v>
      </c>
      <c r="O289" s="56">
        <v>2830</v>
      </c>
      <c r="P289" s="56">
        <v>2819</v>
      </c>
      <c r="Q289" s="56">
        <v>2842</v>
      </c>
      <c r="R289" s="372">
        <f>IF((Q290=""),"",MAX(E291:Q291))</f>
        <v>364</v>
      </c>
      <c r="S289" s="372">
        <f>IF(Q290="","",MIN(E291:Q291))</f>
        <v>309</v>
      </c>
      <c r="T289" s="375">
        <f>IF((Q291=""),"",AVERAGE(E291:Q291))</f>
        <v>330.15384615384613</v>
      </c>
      <c r="U289" s="375">
        <f>IF((Q290=""),"",(R289-S289)/(R289+S289)*100)</f>
        <v>8.1723625557206532</v>
      </c>
      <c r="V289" s="375">
        <f>STDEV(E291:Q291)</f>
        <v>22.659972616363834</v>
      </c>
      <c r="W289" s="380" t="str">
        <f>IF(Q290="","",IF(T289&gt;300,IF(U289&lt;14,IF(T289&lt;390,"Pass","Fail"),"Fail"),"Fail"))</f>
        <v>Pass</v>
      </c>
      <c r="X289" s="383" t="s">
        <v>217</v>
      </c>
      <c r="Y289" s="389"/>
      <c r="Z289" s="182"/>
      <c r="AA289" s="82">
        <v>270</v>
      </c>
      <c r="AB289" s="82">
        <v>370</v>
      </c>
      <c r="AC289" s="82">
        <v>300</v>
      </c>
      <c r="AD289" s="83">
        <v>390</v>
      </c>
      <c r="AE289" s="83">
        <v>20</v>
      </c>
      <c r="AF289" s="83">
        <v>14</v>
      </c>
    </row>
    <row r="290" spans="1:32" ht="15.6" x14ac:dyDescent="0.3">
      <c r="A290" s="221"/>
      <c r="B290" s="84"/>
      <c r="C290" s="84"/>
      <c r="D290" s="80" t="s">
        <v>187</v>
      </c>
      <c r="E290" s="56">
        <v>2560</v>
      </c>
      <c r="F290" s="56">
        <v>2506</v>
      </c>
      <c r="G290" s="56">
        <v>2496</v>
      </c>
      <c r="H290" s="56">
        <v>2498</v>
      </c>
      <c r="I290" s="56">
        <v>2518</v>
      </c>
      <c r="J290" s="56">
        <v>2511</v>
      </c>
      <c r="K290" s="56">
        <v>2494</v>
      </c>
      <c r="L290" s="56">
        <v>2511</v>
      </c>
      <c r="M290" s="56">
        <v>2584</v>
      </c>
      <c r="N290" s="56">
        <v>2502</v>
      </c>
      <c r="O290" s="56">
        <v>2514</v>
      </c>
      <c r="P290" s="56">
        <v>2501</v>
      </c>
      <c r="Q290" s="56">
        <v>2522</v>
      </c>
      <c r="R290" s="373"/>
      <c r="S290" s="373"/>
      <c r="T290" s="376"/>
      <c r="U290" s="376"/>
      <c r="V290" s="378"/>
      <c r="W290" s="381"/>
      <c r="X290" s="384"/>
      <c r="Y290" s="390"/>
      <c r="Z290" s="182"/>
      <c r="AA290" s="82"/>
      <c r="AB290" s="82"/>
      <c r="AC290" s="82"/>
      <c r="AD290" s="83"/>
      <c r="AE290" s="83"/>
      <c r="AF290" s="83"/>
    </row>
    <row r="291" spans="1:32" ht="30" x14ac:dyDescent="0.3">
      <c r="A291" s="221"/>
      <c r="B291" s="79"/>
      <c r="C291" s="79"/>
      <c r="D291" s="80" t="s">
        <v>188</v>
      </c>
      <c r="E291" s="85">
        <f t="shared" ref="E291:Q291" si="93">IF(((E289="")*AND(E290="")),"",(E289-E290))</f>
        <v>364</v>
      </c>
      <c r="F291" s="85">
        <f t="shared" si="93"/>
        <v>317</v>
      </c>
      <c r="G291" s="85">
        <f t="shared" si="93"/>
        <v>309</v>
      </c>
      <c r="H291" s="85">
        <f t="shared" si="93"/>
        <v>312</v>
      </c>
      <c r="I291" s="85">
        <f t="shared" si="93"/>
        <v>363</v>
      </c>
      <c r="J291" s="85">
        <f t="shared" si="93"/>
        <v>360</v>
      </c>
      <c r="K291" s="85">
        <f t="shared" si="93"/>
        <v>313</v>
      </c>
      <c r="L291" s="85">
        <f t="shared" si="93"/>
        <v>319</v>
      </c>
      <c r="M291" s="85">
        <f t="shared" si="93"/>
        <v>363</v>
      </c>
      <c r="N291" s="85">
        <f t="shared" si="93"/>
        <v>318</v>
      </c>
      <c r="O291" s="85">
        <f t="shared" si="93"/>
        <v>316</v>
      </c>
      <c r="P291" s="85">
        <f t="shared" si="93"/>
        <v>318</v>
      </c>
      <c r="Q291" s="85">
        <f t="shared" si="93"/>
        <v>320</v>
      </c>
      <c r="R291" s="374"/>
      <c r="S291" s="374"/>
      <c r="T291" s="377"/>
      <c r="U291" s="377"/>
      <c r="V291" s="379"/>
      <c r="W291" s="382"/>
      <c r="X291" s="385"/>
      <c r="Y291" s="391"/>
      <c r="Z291" s="182"/>
      <c r="AA291" s="82"/>
      <c r="AB291" s="82"/>
      <c r="AC291" s="82"/>
      <c r="AD291" s="82"/>
      <c r="AE291" s="86"/>
      <c r="AF291" s="82"/>
    </row>
    <row r="292" spans="1:32" ht="15" x14ac:dyDescent="0.25">
      <c r="A292" s="222">
        <v>43460</v>
      </c>
      <c r="B292" s="79" t="s">
        <v>235</v>
      </c>
      <c r="C292" s="79" t="s">
        <v>232</v>
      </c>
      <c r="D292" s="80" t="s">
        <v>186</v>
      </c>
      <c r="E292" s="3">
        <v>2558.4499999999998</v>
      </c>
      <c r="F292" s="3">
        <v>2504.46</v>
      </c>
      <c r="G292" s="3">
        <v>2492.1799999999998</v>
      </c>
      <c r="H292" s="3">
        <v>2496.92</v>
      </c>
      <c r="I292" s="3">
        <v>2517.9</v>
      </c>
      <c r="J292" s="3">
        <v>2511.48</v>
      </c>
      <c r="K292" s="3">
        <v>2492.5300000000002</v>
      </c>
      <c r="L292" s="3">
        <v>2514.04</v>
      </c>
      <c r="M292" s="3">
        <v>2581.02</v>
      </c>
      <c r="N292" s="3">
        <v>2497.92</v>
      </c>
      <c r="O292" s="3">
        <v>2502.4299999999998</v>
      </c>
      <c r="P292" s="3">
        <v>2497.81</v>
      </c>
      <c r="Q292" s="3">
        <v>2522.98</v>
      </c>
      <c r="R292" s="372">
        <f>IF((Q293=""),"",MAX(E294:Q294))</f>
        <v>417.9699999999998</v>
      </c>
      <c r="S292" s="372">
        <f>IF(Q293="","",MIN(E294:Q294))</f>
        <v>328.5300000000002</v>
      </c>
      <c r="T292" s="375">
        <f>IF((Q294=""),"",AVERAGE(E294:Q294))</f>
        <v>361.55153846153848</v>
      </c>
      <c r="U292" s="375">
        <f>IF((Q293=""),"",(R292-S292)/(R292+S292)*100)</f>
        <v>11.981245813797671</v>
      </c>
      <c r="V292" s="375">
        <f>STDEV(E294:Q294)</f>
        <v>28.490204996967428</v>
      </c>
      <c r="W292" s="380" t="str">
        <f>IF(Q293="","",IF(T292&gt;300,IF(U292&lt;14,IF(T292&lt;390,"Pass","Fail"),"Fail"),"Fail"))</f>
        <v>Pass</v>
      </c>
      <c r="X292" s="383">
        <v>74</v>
      </c>
      <c r="Y292" s="389"/>
      <c r="Z292" s="182"/>
      <c r="AA292" s="82">
        <v>270</v>
      </c>
      <c r="AB292" s="82">
        <v>370</v>
      </c>
      <c r="AC292" s="82">
        <v>300</v>
      </c>
      <c r="AD292" s="83">
        <v>390</v>
      </c>
      <c r="AE292" s="83">
        <v>20</v>
      </c>
      <c r="AF292" s="83">
        <v>14</v>
      </c>
    </row>
    <row r="293" spans="1:32" ht="15.6" x14ac:dyDescent="0.3">
      <c r="A293" s="221"/>
      <c r="B293" s="84"/>
      <c r="C293" s="84"/>
      <c r="D293" s="80" t="s">
        <v>187</v>
      </c>
      <c r="E293" s="3">
        <v>2140.48</v>
      </c>
      <c r="F293" s="3">
        <v>2133.5300000000002</v>
      </c>
      <c r="G293" s="3">
        <v>2146.6799999999998</v>
      </c>
      <c r="H293" s="3">
        <v>2148.8000000000002</v>
      </c>
      <c r="I293" s="3">
        <v>2177.71</v>
      </c>
      <c r="J293" s="3">
        <v>2182.9499999999998</v>
      </c>
      <c r="K293" s="3">
        <v>2157</v>
      </c>
      <c r="L293" s="3">
        <v>2144.19</v>
      </c>
      <c r="M293" s="3">
        <v>2164.64</v>
      </c>
      <c r="N293" s="3">
        <v>2143.66</v>
      </c>
      <c r="O293" s="3">
        <v>2145.73</v>
      </c>
      <c r="P293" s="3">
        <v>2157.48</v>
      </c>
      <c r="Q293" s="3">
        <v>2147.1</v>
      </c>
      <c r="R293" s="373"/>
      <c r="S293" s="373"/>
      <c r="T293" s="376"/>
      <c r="U293" s="376"/>
      <c r="V293" s="378"/>
      <c r="W293" s="381"/>
      <c r="X293" s="384"/>
      <c r="Y293" s="390"/>
      <c r="Z293" s="182"/>
      <c r="AA293" s="82"/>
      <c r="AB293" s="82"/>
      <c r="AC293" s="82"/>
      <c r="AD293" s="83"/>
      <c r="AE293" s="83"/>
      <c r="AF293" s="83"/>
    </row>
    <row r="294" spans="1:32" ht="30" x14ac:dyDescent="0.3">
      <c r="A294" s="221"/>
      <c r="B294" s="79"/>
      <c r="C294" s="79"/>
      <c r="D294" s="80" t="s">
        <v>188</v>
      </c>
      <c r="E294" s="85">
        <f t="shared" ref="E294:Q294" si="94">IF(((E292="")*AND(E293="")),"",(E292-E293))</f>
        <v>417.9699999999998</v>
      </c>
      <c r="F294" s="85">
        <f t="shared" si="94"/>
        <v>370.92999999999984</v>
      </c>
      <c r="G294" s="85">
        <f t="shared" si="94"/>
        <v>345.5</v>
      </c>
      <c r="H294" s="85">
        <f t="shared" si="94"/>
        <v>348.11999999999989</v>
      </c>
      <c r="I294" s="85">
        <f t="shared" si="94"/>
        <v>340.19000000000005</v>
      </c>
      <c r="J294" s="85">
        <f t="shared" si="94"/>
        <v>328.5300000000002</v>
      </c>
      <c r="K294" s="85">
        <f t="shared" si="94"/>
        <v>335.5300000000002</v>
      </c>
      <c r="L294" s="85">
        <f t="shared" si="94"/>
        <v>369.84999999999991</v>
      </c>
      <c r="M294" s="85">
        <f t="shared" si="94"/>
        <v>416.38000000000011</v>
      </c>
      <c r="N294" s="85">
        <f t="shared" si="94"/>
        <v>354.26000000000022</v>
      </c>
      <c r="O294" s="85">
        <f t="shared" si="94"/>
        <v>356.69999999999982</v>
      </c>
      <c r="P294" s="85">
        <f t="shared" si="94"/>
        <v>340.32999999999993</v>
      </c>
      <c r="Q294" s="85">
        <f t="shared" si="94"/>
        <v>375.88000000000011</v>
      </c>
      <c r="R294" s="374"/>
      <c r="S294" s="374"/>
      <c r="T294" s="377"/>
      <c r="U294" s="377"/>
      <c r="V294" s="379"/>
      <c r="W294" s="382"/>
      <c r="X294" s="385"/>
      <c r="Y294" s="391"/>
      <c r="Z294" s="182"/>
      <c r="AA294" s="82"/>
      <c r="AB294" s="82"/>
      <c r="AC294" s="82"/>
      <c r="AD294" s="82"/>
      <c r="AE294" s="86"/>
      <c r="AF294" s="82"/>
    </row>
    <row r="295" spans="1:32" ht="15" x14ac:dyDescent="0.25">
      <c r="A295" s="222">
        <v>43465</v>
      </c>
      <c r="B295" s="79" t="s">
        <v>235</v>
      </c>
      <c r="C295" s="79" t="s">
        <v>232</v>
      </c>
      <c r="D295" s="80" t="s">
        <v>186</v>
      </c>
      <c r="E295" s="3">
        <v>2140.1799999999998</v>
      </c>
      <c r="F295" s="3">
        <v>2136.62</v>
      </c>
      <c r="G295" s="3">
        <v>2138.5</v>
      </c>
      <c r="H295" s="3">
        <v>2150.4299999999998</v>
      </c>
      <c r="I295" s="3">
        <v>2182.8000000000002</v>
      </c>
      <c r="J295" s="3">
        <v>2185.81</v>
      </c>
      <c r="K295" s="3">
        <v>2156.42</v>
      </c>
      <c r="L295" s="3">
        <v>2131.44</v>
      </c>
      <c r="M295" s="3">
        <v>2159.7199999999998</v>
      </c>
      <c r="N295" s="3">
        <v>2143.34</v>
      </c>
      <c r="O295" s="3">
        <v>2140.3000000000002</v>
      </c>
      <c r="P295" s="3">
        <v>2160.85</v>
      </c>
      <c r="Q295" s="3">
        <v>2143.5</v>
      </c>
      <c r="R295" s="372">
        <f>IF((Q296=""),"",MAX(E297:Q297))</f>
        <v>431.96000000000004</v>
      </c>
      <c r="S295" s="372">
        <f>IF(Q296="","",MIN(E297:Q297))</f>
        <v>298.91000000000008</v>
      </c>
      <c r="T295" s="375">
        <f>IF((Q297=""),"",AVERAGE(E297:Q297))</f>
        <v>339.74076923076922</v>
      </c>
      <c r="U295" s="375">
        <f>IF((Q296=""),"",(R295-S295)/(R295+S295)*100)</f>
        <v>18.204331823716931</v>
      </c>
      <c r="V295" s="375">
        <f>STDEV(E297:Q297)</f>
        <v>42.669916307538081</v>
      </c>
      <c r="W295" s="380" t="str">
        <f>IF(Q296="","",IF(T295&gt;300,IF(U295&lt;14,IF(T295&lt;390,"Pass","Fail"),"Fail"),"Fail"))</f>
        <v>Fail</v>
      </c>
      <c r="X295" s="383">
        <v>121</v>
      </c>
      <c r="Y295" s="389"/>
      <c r="Z295" s="182"/>
      <c r="AA295" s="82">
        <v>270</v>
      </c>
      <c r="AB295" s="82">
        <v>370</v>
      </c>
      <c r="AC295" s="82">
        <v>300</v>
      </c>
      <c r="AD295" s="83">
        <v>390</v>
      </c>
      <c r="AE295" s="83">
        <v>20</v>
      </c>
      <c r="AF295" s="83">
        <v>14</v>
      </c>
    </row>
    <row r="296" spans="1:32" ht="15.6" x14ac:dyDescent="0.3">
      <c r="A296" s="221"/>
      <c r="B296" s="84"/>
      <c r="C296" s="84"/>
      <c r="D296" s="80" t="s">
        <v>187</v>
      </c>
      <c r="E296" s="3">
        <v>1798.55</v>
      </c>
      <c r="F296" s="3">
        <v>1830.88</v>
      </c>
      <c r="G296" s="3">
        <v>1824.11</v>
      </c>
      <c r="H296" s="3">
        <v>1821.6</v>
      </c>
      <c r="I296" s="3">
        <v>1756.59</v>
      </c>
      <c r="J296" s="3">
        <v>1753.85</v>
      </c>
      <c r="K296" s="3">
        <v>1815.4</v>
      </c>
      <c r="L296" s="3">
        <v>1832.53</v>
      </c>
      <c r="M296" s="3">
        <v>1815.92</v>
      </c>
      <c r="N296" s="3">
        <v>1820.79</v>
      </c>
      <c r="O296" s="3">
        <v>1825.84</v>
      </c>
      <c r="P296" s="3">
        <v>1817.25</v>
      </c>
      <c r="Q296" s="3">
        <v>1839.97</v>
      </c>
      <c r="R296" s="373"/>
      <c r="S296" s="373"/>
      <c r="T296" s="376"/>
      <c r="U296" s="376"/>
      <c r="V296" s="378"/>
      <c r="W296" s="381"/>
      <c r="X296" s="384"/>
      <c r="Y296" s="390"/>
      <c r="Z296" s="182"/>
      <c r="AA296" s="82"/>
      <c r="AB296" s="82"/>
      <c r="AC296" s="82"/>
      <c r="AD296" s="83"/>
      <c r="AE296" s="83"/>
      <c r="AF296" s="83"/>
    </row>
    <row r="297" spans="1:32" ht="30" x14ac:dyDescent="0.3">
      <c r="A297" s="221"/>
      <c r="B297" s="79"/>
      <c r="C297" s="79"/>
      <c r="D297" s="80" t="s">
        <v>188</v>
      </c>
      <c r="E297" s="85">
        <f t="shared" ref="E297:Q297" si="95">IF(((E295="")*AND(E296="")),"",(E295-E296))</f>
        <v>341.62999999999988</v>
      </c>
      <c r="F297" s="85">
        <f t="shared" si="95"/>
        <v>305.73999999999978</v>
      </c>
      <c r="G297" s="85">
        <f t="shared" si="95"/>
        <v>314.3900000000001</v>
      </c>
      <c r="H297" s="85">
        <f t="shared" si="95"/>
        <v>328.82999999999993</v>
      </c>
      <c r="I297" s="85">
        <f t="shared" si="95"/>
        <v>426.21000000000026</v>
      </c>
      <c r="J297" s="85">
        <f t="shared" si="95"/>
        <v>431.96000000000004</v>
      </c>
      <c r="K297" s="85">
        <f t="shared" si="95"/>
        <v>341.02</v>
      </c>
      <c r="L297" s="85">
        <f t="shared" si="95"/>
        <v>298.91000000000008</v>
      </c>
      <c r="M297" s="85">
        <f t="shared" si="95"/>
        <v>343.79999999999973</v>
      </c>
      <c r="N297" s="85">
        <f t="shared" si="95"/>
        <v>322.55000000000018</v>
      </c>
      <c r="O297" s="85">
        <f t="shared" si="95"/>
        <v>314.46000000000026</v>
      </c>
      <c r="P297" s="85">
        <f t="shared" si="95"/>
        <v>343.59999999999991</v>
      </c>
      <c r="Q297" s="85">
        <f t="shared" si="95"/>
        <v>303.52999999999997</v>
      </c>
      <c r="R297" s="374"/>
      <c r="S297" s="374"/>
      <c r="T297" s="377"/>
      <c r="U297" s="377"/>
      <c r="V297" s="379"/>
      <c r="W297" s="382"/>
      <c r="X297" s="385"/>
      <c r="Y297" s="391"/>
      <c r="Z297" s="182"/>
      <c r="AA297" s="82"/>
      <c r="AB297" s="82"/>
      <c r="AC297" s="82"/>
      <c r="AD297" s="82"/>
      <c r="AE297" s="86"/>
      <c r="AF297" s="82"/>
    </row>
    <row r="298" spans="1:32" ht="15" x14ac:dyDescent="0.25">
      <c r="A298" s="222">
        <v>43466</v>
      </c>
      <c r="B298" s="79" t="s">
        <v>235</v>
      </c>
      <c r="C298" s="79" t="s">
        <v>232</v>
      </c>
      <c r="D298" s="80" t="s">
        <v>186</v>
      </c>
      <c r="E298" s="3">
        <v>2881.43</v>
      </c>
      <c r="F298" s="3">
        <v>2758.4</v>
      </c>
      <c r="G298" s="3">
        <v>2734.98</v>
      </c>
      <c r="H298" s="3">
        <v>2739.34</v>
      </c>
      <c r="I298" s="3">
        <v>2838.07</v>
      </c>
      <c r="J298" s="3">
        <v>2815.4</v>
      </c>
      <c r="K298" s="3">
        <v>2742.08</v>
      </c>
      <c r="L298" s="3">
        <v>2753.31</v>
      </c>
      <c r="M298" s="3">
        <v>2847.88</v>
      </c>
      <c r="N298" s="3">
        <v>2760.52</v>
      </c>
      <c r="O298" s="3">
        <v>2753.87</v>
      </c>
      <c r="P298" s="3">
        <v>2744.38</v>
      </c>
      <c r="Q298" s="3">
        <v>2775.65</v>
      </c>
      <c r="R298" s="372">
        <f>IF((Q299=""),"",MAX(E300:Q300))</f>
        <v>388.47000000000025</v>
      </c>
      <c r="S298" s="372">
        <f>IF(Q299="","",MIN(E300:Q300))</f>
        <v>316.13999999999987</v>
      </c>
      <c r="T298" s="375">
        <f>IF((Q300=""),"",AVERAGE(E300:Q300))</f>
        <v>341.78461538461545</v>
      </c>
      <c r="U298" s="375">
        <f>IF((Q299=""),"",(R298-S298)/(R298+S298)*100)</f>
        <v>10.265253118746594</v>
      </c>
      <c r="V298" s="375">
        <f>STDEV(E300:Q300)</f>
        <v>28.560371033824921</v>
      </c>
      <c r="W298" s="380" t="str">
        <f>IF(Q299="","",IF(T298&gt;300,IF(U298&lt;14,IF(T298&lt;390,"Pass","Fail"),"Fail"),"Fail"))</f>
        <v>Pass</v>
      </c>
      <c r="X298" s="383" t="s">
        <v>243</v>
      </c>
      <c r="Y298" s="253" t="s">
        <v>218</v>
      </c>
      <c r="Z298" s="182"/>
      <c r="AA298" s="82">
        <v>270</v>
      </c>
      <c r="AB298" s="82">
        <v>370</v>
      </c>
      <c r="AC298" s="82">
        <v>300</v>
      </c>
      <c r="AD298" s="83">
        <v>390</v>
      </c>
      <c r="AE298" s="83">
        <v>20</v>
      </c>
      <c r="AF298" s="83">
        <v>14</v>
      </c>
    </row>
    <row r="299" spans="1:32" ht="15.6" x14ac:dyDescent="0.3">
      <c r="A299" s="221"/>
      <c r="B299" s="84"/>
      <c r="C299" s="84"/>
      <c r="D299" s="80" t="s">
        <v>187</v>
      </c>
      <c r="E299" s="3">
        <v>2496.83</v>
      </c>
      <c r="F299" s="3">
        <v>2436.33</v>
      </c>
      <c r="G299" s="3">
        <v>2418.84</v>
      </c>
      <c r="H299" s="3">
        <v>2419.0300000000002</v>
      </c>
      <c r="I299" s="3">
        <v>2454.83</v>
      </c>
      <c r="J299" s="3">
        <v>2442.11</v>
      </c>
      <c r="K299" s="3">
        <v>2418.79</v>
      </c>
      <c r="L299" s="3">
        <v>2427.66</v>
      </c>
      <c r="M299" s="3">
        <v>2459.41</v>
      </c>
      <c r="N299" s="3">
        <v>2436.89</v>
      </c>
      <c r="O299" s="3">
        <v>2426.1</v>
      </c>
      <c r="P299" s="3">
        <v>2419.5700000000002</v>
      </c>
      <c r="Q299" s="3">
        <v>2445.7199999999998</v>
      </c>
      <c r="R299" s="373"/>
      <c r="S299" s="373"/>
      <c r="T299" s="376"/>
      <c r="U299" s="376"/>
      <c r="V299" s="378"/>
      <c r="W299" s="381"/>
      <c r="X299" s="384"/>
      <c r="Y299" s="254"/>
      <c r="Z299" s="182"/>
      <c r="AA299" s="82"/>
      <c r="AB299" s="82"/>
      <c r="AC299" s="82"/>
      <c r="AD299" s="83"/>
      <c r="AE299" s="83"/>
      <c r="AF299" s="83"/>
    </row>
    <row r="300" spans="1:32" ht="30" x14ac:dyDescent="0.3">
      <c r="A300" s="221"/>
      <c r="B300" s="79"/>
      <c r="C300" s="79"/>
      <c r="D300" s="80" t="s">
        <v>188</v>
      </c>
      <c r="E300" s="85">
        <f t="shared" ref="E300:Q300" si="96">IF(((E298="")*AND(E299="")),"",(E298-E299))</f>
        <v>384.59999999999991</v>
      </c>
      <c r="F300" s="85">
        <f t="shared" si="96"/>
        <v>322.07000000000016</v>
      </c>
      <c r="G300" s="85">
        <f t="shared" si="96"/>
        <v>316.13999999999987</v>
      </c>
      <c r="H300" s="85">
        <f t="shared" si="96"/>
        <v>320.30999999999995</v>
      </c>
      <c r="I300" s="85">
        <f t="shared" si="96"/>
        <v>383.24000000000024</v>
      </c>
      <c r="J300" s="85">
        <f t="shared" si="96"/>
        <v>373.28999999999996</v>
      </c>
      <c r="K300" s="85">
        <f t="shared" si="96"/>
        <v>323.28999999999996</v>
      </c>
      <c r="L300" s="85">
        <f t="shared" si="96"/>
        <v>325.65000000000009</v>
      </c>
      <c r="M300" s="85">
        <f t="shared" si="96"/>
        <v>388.47000000000025</v>
      </c>
      <c r="N300" s="85">
        <f t="shared" si="96"/>
        <v>323.63000000000011</v>
      </c>
      <c r="O300" s="85">
        <f t="shared" si="96"/>
        <v>327.77</v>
      </c>
      <c r="P300" s="85">
        <f t="shared" si="96"/>
        <v>324.80999999999995</v>
      </c>
      <c r="Q300" s="85">
        <f t="shared" si="96"/>
        <v>329.93000000000029</v>
      </c>
      <c r="R300" s="374"/>
      <c r="S300" s="374"/>
      <c r="T300" s="377"/>
      <c r="U300" s="377"/>
      <c r="V300" s="379"/>
      <c r="W300" s="382"/>
      <c r="X300" s="385"/>
      <c r="Y300" s="255"/>
      <c r="Z300" s="182"/>
      <c r="AA300" s="82"/>
      <c r="AB300" s="82"/>
      <c r="AC300" s="82"/>
      <c r="AD300" s="82"/>
      <c r="AE300" s="86"/>
      <c r="AF300" s="82"/>
    </row>
    <row r="301" spans="1:32" ht="15" x14ac:dyDescent="0.25">
      <c r="A301" s="222">
        <v>43476</v>
      </c>
      <c r="B301" s="79" t="s">
        <v>235</v>
      </c>
      <c r="C301" s="79" t="s">
        <v>232</v>
      </c>
      <c r="D301" s="80" t="s">
        <v>186</v>
      </c>
      <c r="E301" s="3">
        <v>2496.65</v>
      </c>
      <c r="F301" s="3">
        <v>2434.31</v>
      </c>
      <c r="G301" s="3">
        <v>2418.62</v>
      </c>
      <c r="H301" s="3">
        <v>2418.81</v>
      </c>
      <c r="I301" s="3">
        <v>2454.73</v>
      </c>
      <c r="J301" s="3">
        <v>2440.35</v>
      </c>
      <c r="K301" s="3">
        <v>2417.79</v>
      </c>
      <c r="L301" s="3">
        <v>2426.7199999999998</v>
      </c>
      <c r="M301" s="3">
        <v>2459.25</v>
      </c>
      <c r="N301" s="3">
        <v>2435.02</v>
      </c>
      <c r="O301" s="3">
        <v>2424.23</v>
      </c>
      <c r="P301" s="3">
        <v>2420.5</v>
      </c>
      <c r="Q301" s="3">
        <v>2445.11</v>
      </c>
      <c r="R301" s="372">
        <f>IF((Q302=""),"",MAX(E303:Q303))</f>
        <v>397.86000000000013</v>
      </c>
      <c r="S301" s="372">
        <f>IF(Q302="","",MIN(E303:Q303))</f>
        <v>240.28999999999996</v>
      </c>
      <c r="T301" s="375">
        <f>IF((Q303=""),"",AVERAGE(E303:Q303))</f>
        <v>279.86769230769227</v>
      </c>
      <c r="U301" s="375">
        <f>IF((Q302=""),"",(R301-S301)/(R301+S301)*100)</f>
        <v>24.69168690746692</v>
      </c>
      <c r="V301" s="375">
        <f>STDEV(E303:Q303)</f>
        <v>42.079464935176667</v>
      </c>
      <c r="W301" s="380" t="str">
        <f>IF(Q302="","",IF(T301&gt;300,IF(U301&lt;14,IF(T301&lt;390,"Pass","Fail"),"Fail"),"Fail"))</f>
        <v>Fail</v>
      </c>
      <c r="X301" s="383"/>
      <c r="Y301" s="389"/>
      <c r="Z301" s="182"/>
      <c r="AA301" s="82">
        <v>270</v>
      </c>
      <c r="AB301" s="82">
        <v>370</v>
      </c>
      <c r="AC301" s="82">
        <v>300</v>
      </c>
      <c r="AD301" s="83">
        <v>390</v>
      </c>
      <c r="AE301" s="83">
        <v>20</v>
      </c>
      <c r="AF301" s="83">
        <v>14</v>
      </c>
    </row>
    <row r="302" spans="1:32" ht="15.6" x14ac:dyDescent="0.3">
      <c r="A302" s="221"/>
      <c r="B302" s="84"/>
      <c r="C302" s="84"/>
      <c r="D302" s="80" t="s">
        <v>187</v>
      </c>
      <c r="E302" s="3">
        <v>2098.79</v>
      </c>
      <c r="F302" s="3">
        <v>2164.12</v>
      </c>
      <c r="G302" s="3">
        <v>2162.5500000000002</v>
      </c>
      <c r="H302" s="3">
        <v>2165.2800000000002</v>
      </c>
      <c r="I302" s="3">
        <v>2160.6</v>
      </c>
      <c r="J302" s="3">
        <v>2156.79</v>
      </c>
      <c r="K302" s="3">
        <v>2177.5</v>
      </c>
      <c r="L302" s="3">
        <v>2166.21</v>
      </c>
      <c r="M302" s="3">
        <v>2131.7800000000002</v>
      </c>
      <c r="N302" s="3">
        <v>2165.64</v>
      </c>
      <c r="O302" s="3">
        <v>2167.77</v>
      </c>
      <c r="P302" s="3">
        <v>2170.4499999999998</v>
      </c>
      <c r="Q302" s="3">
        <v>2166.33</v>
      </c>
      <c r="R302" s="373"/>
      <c r="S302" s="373"/>
      <c r="T302" s="376"/>
      <c r="U302" s="376"/>
      <c r="V302" s="378"/>
      <c r="W302" s="381"/>
      <c r="X302" s="384"/>
      <c r="Y302" s="390"/>
      <c r="Z302" s="182"/>
      <c r="AA302" s="82"/>
      <c r="AB302" s="82"/>
      <c r="AC302" s="82"/>
      <c r="AD302" s="83"/>
      <c r="AE302" s="83"/>
      <c r="AF302" s="83"/>
    </row>
    <row r="303" spans="1:32" ht="30" x14ac:dyDescent="0.3">
      <c r="A303" s="221"/>
      <c r="B303" s="79"/>
      <c r="C303" s="79"/>
      <c r="D303" s="80" t="s">
        <v>188</v>
      </c>
      <c r="E303" s="85">
        <f t="shared" ref="E303:Q303" si="97">IF(((E301="")*AND(E302="")),"",(E301-E302))</f>
        <v>397.86000000000013</v>
      </c>
      <c r="F303" s="85">
        <f t="shared" si="97"/>
        <v>270.19000000000005</v>
      </c>
      <c r="G303" s="85">
        <f t="shared" si="97"/>
        <v>256.06999999999971</v>
      </c>
      <c r="H303" s="85">
        <f t="shared" si="97"/>
        <v>253.52999999999975</v>
      </c>
      <c r="I303" s="85">
        <f t="shared" si="97"/>
        <v>294.13000000000011</v>
      </c>
      <c r="J303" s="85">
        <f t="shared" si="97"/>
        <v>283.55999999999995</v>
      </c>
      <c r="K303" s="85">
        <f t="shared" si="97"/>
        <v>240.28999999999996</v>
      </c>
      <c r="L303" s="85">
        <f t="shared" si="97"/>
        <v>260.50999999999976</v>
      </c>
      <c r="M303" s="85">
        <f t="shared" si="97"/>
        <v>327.4699999999998</v>
      </c>
      <c r="N303" s="85">
        <f t="shared" si="97"/>
        <v>269.38000000000011</v>
      </c>
      <c r="O303" s="85">
        <f t="shared" si="97"/>
        <v>256.46000000000004</v>
      </c>
      <c r="P303" s="85">
        <f t="shared" si="97"/>
        <v>250.05000000000018</v>
      </c>
      <c r="Q303" s="85">
        <f t="shared" si="97"/>
        <v>278.7800000000002</v>
      </c>
      <c r="R303" s="374"/>
      <c r="S303" s="374"/>
      <c r="T303" s="377"/>
      <c r="U303" s="377"/>
      <c r="V303" s="379"/>
      <c r="W303" s="382"/>
      <c r="X303" s="385"/>
      <c r="Y303" s="391"/>
      <c r="Z303" s="182"/>
      <c r="AA303" s="82"/>
      <c r="AB303" s="82"/>
      <c r="AC303" s="82"/>
      <c r="AD303" s="82"/>
      <c r="AE303" s="86"/>
      <c r="AF303" s="82"/>
    </row>
    <row r="304" spans="1:32" ht="15" x14ac:dyDescent="0.25">
      <c r="A304" s="222">
        <v>43476</v>
      </c>
      <c r="B304" s="79" t="s">
        <v>235</v>
      </c>
      <c r="C304" s="79" t="s">
        <v>232</v>
      </c>
      <c r="D304" s="80" t="s">
        <v>186</v>
      </c>
      <c r="E304" s="3">
        <v>2098.79</v>
      </c>
      <c r="F304" s="3">
        <v>2164.12</v>
      </c>
      <c r="G304" s="3">
        <v>2162.5500000000002</v>
      </c>
      <c r="H304" s="3">
        <v>2165.2800000000002</v>
      </c>
      <c r="I304" s="3">
        <v>2160.6</v>
      </c>
      <c r="J304" s="3">
        <v>2156.79</v>
      </c>
      <c r="K304" s="3">
        <v>2177.5</v>
      </c>
      <c r="L304" s="3">
        <v>2166.21</v>
      </c>
      <c r="M304" s="3">
        <v>2131.7800000000002</v>
      </c>
      <c r="N304" s="3">
        <v>2165.64</v>
      </c>
      <c r="O304" s="3">
        <v>2167.77</v>
      </c>
      <c r="P304" s="3">
        <v>2170.4499999999998</v>
      </c>
      <c r="Q304" s="3">
        <v>2166.33</v>
      </c>
      <c r="R304" s="372">
        <f>IF((Q305=""),"",MAX(E306:Q306))</f>
        <v>488.83999999999992</v>
      </c>
      <c r="S304" s="372">
        <f>IF(Q305="","",MIN(E306:Q306))</f>
        <v>379.07999999999993</v>
      </c>
      <c r="T304" s="375">
        <f>IF((Q306=""),"",AVERAGE(E306:Q306))</f>
        <v>426.39923076923071</v>
      </c>
      <c r="U304" s="375">
        <f>IF((Q305=""),"",(R304-S304)/(R304+S304)*100)</f>
        <v>12.64632685040096</v>
      </c>
      <c r="V304" s="375">
        <f>STDEV(E306:Q306)</f>
        <v>31.331002872963403</v>
      </c>
      <c r="W304" s="380" t="str">
        <f>IF(Q305="","",IF(T304&gt;300,IF(U304&lt;14,IF(T304&lt;390,"Pass","Fail"),"Fail"),"Fail"))</f>
        <v>Fail</v>
      </c>
      <c r="X304" s="383">
        <v>1340</v>
      </c>
      <c r="Y304" s="389"/>
      <c r="Z304" s="182"/>
      <c r="AA304" s="82">
        <v>270</v>
      </c>
      <c r="AB304" s="82">
        <v>370</v>
      </c>
      <c r="AC304" s="82">
        <v>300</v>
      </c>
      <c r="AD304" s="83">
        <v>390</v>
      </c>
      <c r="AE304" s="83">
        <v>20</v>
      </c>
      <c r="AF304" s="83">
        <v>14</v>
      </c>
    </row>
    <row r="305" spans="1:32" ht="15.6" x14ac:dyDescent="0.3">
      <c r="A305" s="221"/>
      <c r="B305" s="84"/>
      <c r="C305" s="84"/>
      <c r="D305" s="80" t="s">
        <v>187</v>
      </c>
      <c r="E305" s="3">
        <v>1719.71</v>
      </c>
      <c r="F305" s="3">
        <v>1761.95</v>
      </c>
      <c r="G305" s="3">
        <v>1753.31</v>
      </c>
      <c r="H305" s="3">
        <v>1745.82</v>
      </c>
      <c r="I305" s="3">
        <v>1678.71</v>
      </c>
      <c r="J305" s="3">
        <v>1667.95</v>
      </c>
      <c r="K305" s="3">
        <v>1746.02</v>
      </c>
      <c r="L305" s="3">
        <v>1753.41</v>
      </c>
      <c r="M305" s="3">
        <v>1682.11</v>
      </c>
      <c r="N305" s="3">
        <v>1756.98</v>
      </c>
      <c r="O305" s="3">
        <v>1741.72</v>
      </c>
      <c r="P305" s="3">
        <v>1739.63</v>
      </c>
      <c r="Q305" s="3">
        <v>1763.3</v>
      </c>
      <c r="R305" s="373"/>
      <c r="S305" s="373"/>
      <c r="T305" s="376"/>
      <c r="U305" s="376"/>
      <c r="V305" s="378"/>
      <c r="W305" s="381"/>
      <c r="X305" s="384"/>
      <c r="Y305" s="390"/>
      <c r="Z305" s="182"/>
      <c r="AA305" s="82"/>
      <c r="AB305" s="82"/>
      <c r="AC305" s="82"/>
      <c r="AD305" s="83"/>
      <c r="AE305" s="83"/>
      <c r="AF305" s="83"/>
    </row>
    <row r="306" spans="1:32" ht="30" x14ac:dyDescent="0.3">
      <c r="A306" s="221"/>
      <c r="B306" s="79"/>
      <c r="C306" s="79"/>
      <c r="D306" s="80" t="s">
        <v>188</v>
      </c>
      <c r="E306" s="85">
        <f t="shared" ref="E306:Q306" si="98">IF(((E304="")*AND(E305="")),"",(E304-E305))</f>
        <v>379.07999999999993</v>
      </c>
      <c r="F306" s="85">
        <f t="shared" si="98"/>
        <v>402.16999999999985</v>
      </c>
      <c r="G306" s="85">
        <f t="shared" si="98"/>
        <v>409.24000000000024</v>
      </c>
      <c r="H306" s="85">
        <f t="shared" si="98"/>
        <v>419.46000000000026</v>
      </c>
      <c r="I306" s="85">
        <f t="shared" si="98"/>
        <v>481.88999999999987</v>
      </c>
      <c r="J306" s="85">
        <f t="shared" si="98"/>
        <v>488.83999999999992</v>
      </c>
      <c r="K306" s="85">
        <f t="shared" si="98"/>
        <v>431.48</v>
      </c>
      <c r="L306" s="85">
        <f t="shared" si="98"/>
        <v>412.79999999999995</v>
      </c>
      <c r="M306" s="85">
        <f t="shared" si="98"/>
        <v>449.6700000000003</v>
      </c>
      <c r="N306" s="85">
        <f t="shared" si="98"/>
        <v>408.65999999999985</v>
      </c>
      <c r="O306" s="85">
        <f t="shared" si="98"/>
        <v>426.04999999999995</v>
      </c>
      <c r="P306" s="85">
        <f t="shared" si="98"/>
        <v>430.81999999999971</v>
      </c>
      <c r="Q306" s="85">
        <f t="shared" si="98"/>
        <v>403.03</v>
      </c>
      <c r="R306" s="374"/>
      <c r="S306" s="374"/>
      <c r="T306" s="377"/>
      <c r="U306" s="377"/>
      <c r="V306" s="379"/>
      <c r="W306" s="382"/>
      <c r="X306" s="385"/>
      <c r="Y306" s="391"/>
      <c r="Z306" s="182"/>
      <c r="AA306" s="82"/>
      <c r="AB306" s="82"/>
      <c r="AC306" s="82"/>
      <c r="AD306" s="82"/>
      <c r="AE306" s="86"/>
      <c r="AF306" s="82"/>
    </row>
    <row r="307" spans="1:32" ht="15" x14ac:dyDescent="0.25">
      <c r="A307" s="222">
        <v>43115</v>
      </c>
      <c r="B307" s="79" t="s">
        <v>235</v>
      </c>
      <c r="C307" s="79" t="s">
        <v>232</v>
      </c>
      <c r="D307" s="80" t="s">
        <v>186</v>
      </c>
      <c r="E307" s="3">
        <v>2881.6</v>
      </c>
      <c r="F307" s="3">
        <v>2760.23</v>
      </c>
      <c r="G307" s="3">
        <v>2740.67</v>
      </c>
      <c r="H307" s="3">
        <v>2747.87</v>
      </c>
      <c r="I307" s="3">
        <v>2838.99</v>
      </c>
      <c r="J307" s="3">
        <v>2817.5</v>
      </c>
      <c r="K307" s="3">
        <v>2746.5</v>
      </c>
      <c r="L307" s="3">
        <v>2753.84</v>
      </c>
      <c r="M307" s="3">
        <v>2850.01</v>
      </c>
      <c r="N307" s="3">
        <v>2763.04</v>
      </c>
      <c r="O307" s="3">
        <v>2759.88</v>
      </c>
      <c r="P307" s="3">
        <v>2748.01</v>
      </c>
      <c r="Q307" s="3">
        <v>2775.94</v>
      </c>
      <c r="R307" s="372">
        <f>IF((Q308=""),"",MAX(E309:Q309))</f>
        <v>369.84000000000015</v>
      </c>
      <c r="S307" s="372">
        <f>IF(Q308="","",MIN(E309:Q309))</f>
        <v>313.70000000000027</v>
      </c>
      <c r="T307" s="375">
        <f>IF((Q309=""),"",AVERAGE(E309:Q309))</f>
        <v>332.48538461538465</v>
      </c>
      <c r="U307" s="375">
        <f>IF((Q308=""),"",(R307-S307)/(R307+S307)*100)</f>
        <v>8.2131257863475184</v>
      </c>
      <c r="V307" s="375">
        <f>STDEV(E309:Q309)</f>
        <v>22.033252375816101</v>
      </c>
      <c r="W307" s="380" t="str">
        <f>IF(Q308="","",IF(T307&gt;300,IF(U307&lt;14,IF(T307&lt;390,"Pass","Fail"),"Fail"),"Fail"))</f>
        <v>Pass</v>
      </c>
      <c r="X307" s="383">
        <v>1159</v>
      </c>
      <c r="Y307" s="389"/>
      <c r="Z307" s="182"/>
      <c r="AA307" s="82">
        <v>270</v>
      </c>
      <c r="AB307" s="82">
        <v>370</v>
      </c>
      <c r="AC307" s="82">
        <v>300</v>
      </c>
      <c r="AD307" s="83">
        <v>390</v>
      </c>
      <c r="AE307" s="83">
        <v>20</v>
      </c>
      <c r="AF307" s="83">
        <v>14</v>
      </c>
    </row>
    <row r="308" spans="1:32" ht="15.6" x14ac:dyDescent="0.3">
      <c r="A308" s="221"/>
      <c r="B308" s="84"/>
      <c r="C308" s="84"/>
      <c r="D308" s="80" t="s">
        <v>187</v>
      </c>
      <c r="E308" s="3">
        <v>2513.7800000000002</v>
      </c>
      <c r="F308" s="3">
        <v>2442.44</v>
      </c>
      <c r="G308" s="3">
        <v>2426.9699999999998</v>
      </c>
      <c r="H308" s="3">
        <v>2426.66</v>
      </c>
      <c r="I308" s="3">
        <v>2477.5500000000002</v>
      </c>
      <c r="J308" s="3">
        <v>2461.85</v>
      </c>
      <c r="K308" s="3">
        <v>2429.02</v>
      </c>
      <c r="L308" s="3">
        <v>2436.88</v>
      </c>
      <c r="M308" s="3">
        <v>2480.17</v>
      </c>
      <c r="N308" s="3">
        <v>2444.41</v>
      </c>
      <c r="O308" s="3">
        <v>2436.02</v>
      </c>
      <c r="P308" s="3">
        <v>2431.5500000000002</v>
      </c>
      <c r="Q308" s="3">
        <v>2454.4699999999998</v>
      </c>
      <c r="R308" s="373"/>
      <c r="S308" s="373"/>
      <c r="T308" s="376"/>
      <c r="U308" s="376"/>
      <c r="V308" s="378"/>
      <c r="W308" s="381"/>
      <c r="X308" s="384"/>
      <c r="Y308" s="390"/>
      <c r="Z308" s="182"/>
      <c r="AA308" s="82"/>
      <c r="AB308" s="82"/>
      <c r="AC308" s="82"/>
      <c r="AD308" s="83"/>
      <c r="AE308" s="83"/>
      <c r="AF308" s="83"/>
    </row>
    <row r="309" spans="1:32" ht="30" x14ac:dyDescent="0.3">
      <c r="A309" s="221"/>
      <c r="B309" s="79"/>
      <c r="C309" s="79"/>
      <c r="D309" s="80" t="s">
        <v>188</v>
      </c>
      <c r="E309" s="85">
        <f t="shared" ref="E309:Q309" si="99">IF(((E307="")*AND(E308="")),"",(E307-E308))</f>
        <v>367.81999999999971</v>
      </c>
      <c r="F309" s="85">
        <f t="shared" si="99"/>
        <v>317.78999999999996</v>
      </c>
      <c r="G309" s="85">
        <f t="shared" si="99"/>
        <v>313.70000000000027</v>
      </c>
      <c r="H309" s="85">
        <f t="shared" si="99"/>
        <v>321.21000000000004</v>
      </c>
      <c r="I309" s="85">
        <f t="shared" si="99"/>
        <v>361.4399999999996</v>
      </c>
      <c r="J309" s="85">
        <f t="shared" si="99"/>
        <v>355.65000000000009</v>
      </c>
      <c r="K309" s="85">
        <f t="shared" si="99"/>
        <v>317.48</v>
      </c>
      <c r="L309" s="85">
        <f t="shared" si="99"/>
        <v>316.96000000000004</v>
      </c>
      <c r="M309" s="85">
        <f t="shared" si="99"/>
        <v>369.84000000000015</v>
      </c>
      <c r="N309" s="85">
        <f t="shared" si="99"/>
        <v>318.63000000000011</v>
      </c>
      <c r="O309" s="85">
        <f t="shared" si="99"/>
        <v>323.86000000000013</v>
      </c>
      <c r="P309" s="85">
        <f t="shared" si="99"/>
        <v>316.46000000000004</v>
      </c>
      <c r="Q309" s="85">
        <f t="shared" si="99"/>
        <v>321.47000000000025</v>
      </c>
      <c r="R309" s="374"/>
      <c r="S309" s="374"/>
      <c r="T309" s="377"/>
      <c r="U309" s="377"/>
      <c r="V309" s="379"/>
      <c r="W309" s="382"/>
      <c r="X309" s="385"/>
      <c r="Y309" s="391"/>
      <c r="Z309" s="182"/>
      <c r="AA309" s="82"/>
      <c r="AB309" s="82"/>
      <c r="AC309" s="82"/>
      <c r="AD309" s="82"/>
      <c r="AE309" s="86"/>
      <c r="AF309" s="82"/>
    </row>
    <row r="310" spans="1:32" ht="15" x14ac:dyDescent="0.25">
      <c r="A310" s="222">
        <v>43486</v>
      </c>
      <c r="B310" s="79" t="s">
        <v>235</v>
      </c>
      <c r="C310" s="79" t="s">
        <v>232</v>
      </c>
      <c r="D310" s="80" t="s">
        <v>186</v>
      </c>
      <c r="E310" s="3">
        <v>2514.8200000000002</v>
      </c>
      <c r="F310" s="3">
        <v>2442.5300000000002</v>
      </c>
      <c r="G310" s="3">
        <v>2426.73</v>
      </c>
      <c r="H310" s="3">
        <v>2427.91</v>
      </c>
      <c r="I310" s="3">
        <v>2477.41</v>
      </c>
      <c r="J310" s="3">
        <v>2462.19</v>
      </c>
      <c r="K310" s="3">
        <v>2428.34</v>
      </c>
      <c r="L310" s="3">
        <v>2436.5100000000002</v>
      </c>
      <c r="M310" s="3">
        <v>2484.33</v>
      </c>
      <c r="N310" s="3">
        <v>2443.66</v>
      </c>
      <c r="O310" s="3">
        <v>2436.1999999999998</v>
      </c>
      <c r="P310" s="3">
        <v>2430.6799999999998</v>
      </c>
      <c r="Q310" s="3">
        <v>2452.96</v>
      </c>
      <c r="R310" s="372">
        <f>IF((Q311=""),"",MAX(E312:Q312))</f>
        <v>355.70000000000027</v>
      </c>
      <c r="S310" s="372">
        <f>IF(Q311="","",MIN(E312:Q312))</f>
        <v>236.35000000000036</v>
      </c>
      <c r="T310" s="375">
        <f>IF((Q312=""),"",AVERAGE(E312:Q312))</f>
        <v>271.3630769230769</v>
      </c>
      <c r="U310" s="375">
        <f>IF((Q311=""),"",(R310-S310)/(R310+S310)*100)</f>
        <v>20.158770374123769</v>
      </c>
      <c r="V310" s="375">
        <f>STDEV(E312:Q312)</f>
        <v>37.647524572144974</v>
      </c>
      <c r="W310" s="380" t="str">
        <f>IF(Q311="","",IF(T310&gt;300,IF(U310&lt;14,IF(T310&lt;390,"Pass","Fail"),"Fail"),"Fail"))</f>
        <v>Fail</v>
      </c>
      <c r="X310" s="383">
        <v>1428</v>
      </c>
      <c r="Y310" s="389"/>
      <c r="Z310" s="182"/>
      <c r="AA310" s="82">
        <v>270</v>
      </c>
      <c r="AB310" s="82">
        <v>370</v>
      </c>
      <c r="AC310" s="82">
        <v>300</v>
      </c>
      <c r="AD310" s="83">
        <v>390</v>
      </c>
      <c r="AE310" s="83">
        <v>20</v>
      </c>
      <c r="AF310" s="83">
        <v>14</v>
      </c>
    </row>
    <row r="311" spans="1:32" ht="15.6" x14ac:dyDescent="0.3">
      <c r="A311" s="221"/>
      <c r="B311" s="84"/>
      <c r="C311" s="84"/>
      <c r="D311" s="80" t="s">
        <v>187</v>
      </c>
      <c r="E311" s="3">
        <v>2159.12</v>
      </c>
      <c r="F311" s="3">
        <v>2182.6799999999998</v>
      </c>
      <c r="G311" s="3">
        <v>2183.0300000000002</v>
      </c>
      <c r="H311" s="3">
        <v>2186.77</v>
      </c>
      <c r="I311" s="3">
        <v>2177.5500000000002</v>
      </c>
      <c r="J311" s="3">
        <v>2176.1</v>
      </c>
      <c r="K311" s="3">
        <v>2191.9899999999998</v>
      </c>
      <c r="L311" s="3">
        <v>2184.52</v>
      </c>
      <c r="M311" s="3">
        <v>2151.38</v>
      </c>
      <c r="N311" s="3">
        <v>2185.29</v>
      </c>
      <c r="O311" s="3">
        <v>2188.42</v>
      </c>
      <c r="P311" s="3">
        <v>2189.86</v>
      </c>
      <c r="Q311" s="3">
        <v>2179.84</v>
      </c>
      <c r="R311" s="373"/>
      <c r="S311" s="373"/>
      <c r="T311" s="376"/>
      <c r="U311" s="376"/>
      <c r="V311" s="378"/>
      <c r="W311" s="381"/>
      <c r="X311" s="384"/>
      <c r="Y311" s="390"/>
      <c r="Z311" s="182"/>
      <c r="AA311" s="82"/>
      <c r="AB311" s="82"/>
      <c r="AC311" s="82"/>
      <c r="AD311" s="83"/>
      <c r="AE311" s="83"/>
      <c r="AF311" s="83"/>
    </row>
    <row r="312" spans="1:32" ht="30" x14ac:dyDescent="0.3">
      <c r="A312" s="221"/>
      <c r="B312" s="79"/>
      <c r="C312" s="79"/>
      <c r="D312" s="80" t="s">
        <v>188</v>
      </c>
      <c r="E312" s="85">
        <f t="shared" ref="E312:Q312" si="100">IF(((E310="")*AND(E311="")),"",(E310-E311))</f>
        <v>355.70000000000027</v>
      </c>
      <c r="F312" s="85">
        <f t="shared" si="100"/>
        <v>259.85000000000036</v>
      </c>
      <c r="G312" s="85">
        <f t="shared" si="100"/>
        <v>243.69999999999982</v>
      </c>
      <c r="H312" s="85">
        <f t="shared" si="100"/>
        <v>241.13999999999987</v>
      </c>
      <c r="I312" s="85">
        <f t="shared" si="100"/>
        <v>299.85999999999967</v>
      </c>
      <c r="J312" s="85">
        <f t="shared" si="100"/>
        <v>286.09000000000015</v>
      </c>
      <c r="K312" s="85">
        <f t="shared" si="100"/>
        <v>236.35000000000036</v>
      </c>
      <c r="L312" s="85">
        <f t="shared" si="100"/>
        <v>251.99000000000024</v>
      </c>
      <c r="M312" s="85">
        <f t="shared" si="100"/>
        <v>332.94999999999982</v>
      </c>
      <c r="N312" s="85">
        <f t="shared" si="100"/>
        <v>258.36999999999989</v>
      </c>
      <c r="O312" s="85">
        <f t="shared" si="100"/>
        <v>247.77999999999975</v>
      </c>
      <c r="P312" s="85">
        <f t="shared" si="100"/>
        <v>240.81999999999971</v>
      </c>
      <c r="Q312" s="85">
        <f t="shared" si="100"/>
        <v>273.11999999999989</v>
      </c>
      <c r="R312" s="374"/>
      <c r="S312" s="374"/>
      <c r="T312" s="377"/>
      <c r="U312" s="377"/>
      <c r="V312" s="379"/>
      <c r="W312" s="382"/>
      <c r="X312" s="385"/>
      <c r="Y312" s="391"/>
      <c r="Z312" s="182"/>
      <c r="AA312" s="82"/>
      <c r="AB312" s="82"/>
      <c r="AC312" s="82"/>
      <c r="AD312" s="82"/>
      <c r="AE312" s="86"/>
      <c r="AF312" s="82"/>
    </row>
    <row r="313" spans="1:32" ht="15" x14ac:dyDescent="0.25">
      <c r="A313" s="222">
        <v>43486</v>
      </c>
      <c r="B313" s="79" t="s">
        <v>235</v>
      </c>
      <c r="C313" s="79" t="s">
        <v>232</v>
      </c>
      <c r="D313" s="80" t="s">
        <v>186</v>
      </c>
      <c r="E313" s="3">
        <v>2880.52</v>
      </c>
      <c r="F313" s="3">
        <v>2754.3</v>
      </c>
      <c r="G313" s="3">
        <v>2738.04</v>
      </c>
      <c r="H313" s="3">
        <v>2742.33</v>
      </c>
      <c r="I313" s="3">
        <v>2840.39</v>
      </c>
      <c r="J313" s="3">
        <v>2814.97</v>
      </c>
      <c r="K313" s="3">
        <v>2742.96</v>
      </c>
      <c r="L313" s="3">
        <v>2749.83</v>
      </c>
      <c r="M313" s="3">
        <v>2837.92</v>
      </c>
      <c r="N313" s="3">
        <v>2765.55</v>
      </c>
      <c r="O313" s="3">
        <v>2754.22</v>
      </c>
      <c r="P313" s="3">
        <v>2750.76</v>
      </c>
      <c r="Q313" s="3">
        <v>2768.24</v>
      </c>
      <c r="R313" s="372">
        <f>IF((Q314=""),"",MAX(E315:Q315))</f>
        <v>389.84999999999991</v>
      </c>
      <c r="S313" s="372">
        <f>IF(Q314="","",MIN(E315:Q315))</f>
        <v>311.57000000000016</v>
      </c>
      <c r="T313" s="375">
        <f>IF((Q315=""),"",AVERAGE(E315:Q315))</f>
        <v>337.61692307692306</v>
      </c>
      <c r="U313" s="375">
        <f>IF((Q314=""),"",(R313-S313)/(R313+S313)*100)</f>
        <v>11.160217843802535</v>
      </c>
      <c r="V313" s="375">
        <f>STDEV(E315:Q315)</f>
        <v>32.14500800658768</v>
      </c>
      <c r="W313" s="380" t="str">
        <f>IF(Q314="","",IF(T313&gt;300,IF(U313&lt;14,IF(T313&lt;390,"Pass","Fail"),"Fail"),"Fail"))</f>
        <v>Pass</v>
      </c>
      <c r="X313" s="383">
        <v>1428</v>
      </c>
      <c r="Y313" s="253" t="s">
        <v>244</v>
      </c>
      <c r="Z313" s="182"/>
      <c r="AA313" s="82">
        <v>270</v>
      </c>
      <c r="AB313" s="82">
        <v>370</v>
      </c>
      <c r="AC313" s="82">
        <v>300</v>
      </c>
      <c r="AD313" s="83">
        <v>390</v>
      </c>
      <c r="AE313" s="83">
        <v>20</v>
      </c>
      <c r="AF313" s="83">
        <v>14</v>
      </c>
    </row>
    <row r="314" spans="1:32" ht="15.6" x14ac:dyDescent="0.3">
      <c r="A314" s="221"/>
      <c r="B314" s="84"/>
      <c r="C314" s="84"/>
      <c r="D314" s="80" t="s">
        <v>187</v>
      </c>
      <c r="E314" s="3">
        <v>2493.15</v>
      </c>
      <c r="F314" s="3">
        <v>2440.1799999999998</v>
      </c>
      <c r="G314" s="3">
        <v>2426.46</v>
      </c>
      <c r="H314" s="3">
        <v>2427.54</v>
      </c>
      <c r="I314" s="3">
        <v>2459.83</v>
      </c>
      <c r="J314" s="3">
        <v>2439.21</v>
      </c>
      <c r="K314" s="3">
        <v>2431.39</v>
      </c>
      <c r="L314" s="3">
        <v>2433.0500000000002</v>
      </c>
      <c r="M314" s="3">
        <v>2448.0700000000002</v>
      </c>
      <c r="N314" s="3">
        <v>2445.36</v>
      </c>
      <c r="O314" s="3">
        <v>2430.12</v>
      </c>
      <c r="P314" s="3">
        <v>2427.83</v>
      </c>
      <c r="Q314" s="3">
        <v>2448.8200000000002</v>
      </c>
      <c r="R314" s="373"/>
      <c r="S314" s="373"/>
      <c r="T314" s="376"/>
      <c r="U314" s="376"/>
      <c r="V314" s="378"/>
      <c r="W314" s="381"/>
      <c r="X314" s="384"/>
      <c r="Y314" s="254"/>
      <c r="Z314" s="182"/>
      <c r="AA314" s="82"/>
      <c r="AB314" s="82"/>
      <c r="AC314" s="82"/>
      <c r="AD314" s="83"/>
      <c r="AE314" s="83"/>
      <c r="AF314" s="83"/>
    </row>
    <row r="315" spans="1:32" ht="30" x14ac:dyDescent="0.3">
      <c r="A315" s="221"/>
      <c r="B315" s="79"/>
      <c r="C315" s="79"/>
      <c r="D315" s="80" t="s">
        <v>188</v>
      </c>
      <c r="E315" s="85">
        <f t="shared" ref="E315:Q315" si="101">IF(((E313="")*AND(E314="")),"",(E313-E314))</f>
        <v>387.36999999999989</v>
      </c>
      <c r="F315" s="85">
        <f t="shared" si="101"/>
        <v>314.12000000000035</v>
      </c>
      <c r="G315" s="85">
        <f t="shared" si="101"/>
        <v>311.57999999999993</v>
      </c>
      <c r="H315" s="85">
        <f t="shared" si="101"/>
        <v>314.78999999999996</v>
      </c>
      <c r="I315" s="85">
        <f t="shared" si="101"/>
        <v>380.55999999999995</v>
      </c>
      <c r="J315" s="85">
        <f t="shared" si="101"/>
        <v>375.75999999999976</v>
      </c>
      <c r="K315" s="85">
        <f t="shared" si="101"/>
        <v>311.57000000000016</v>
      </c>
      <c r="L315" s="85">
        <f t="shared" si="101"/>
        <v>316.77999999999975</v>
      </c>
      <c r="M315" s="85">
        <f t="shared" si="101"/>
        <v>389.84999999999991</v>
      </c>
      <c r="N315" s="85">
        <f t="shared" si="101"/>
        <v>320.19000000000005</v>
      </c>
      <c r="O315" s="85">
        <f t="shared" si="101"/>
        <v>324.09999999999991</v>
      </c>
      <c r="P315" s="85">
        <f t="shared" si="101"/>
        <v>322.93000000000029</v>
      </c>
      <c r="Q315" s="85">
        <f t="shared" si="101"/>
        <v>319.41999999999962</v>
      </c>
      <c r="R315" s="374"/>
      <c r="S315" s="374"/>
      <c r="T315" s="377"/>
      <c r="U315" s="377"/>
      <c r="V315" s="379"/>
      <c r="W315" s="382"/>
      <c r="X315" s="385"/>
      <c r="Y315" s="255"/>
      <c r="Z315" s="182"/>
      <c r="AA315" s="82"/>
      <c r="AB315" s="82"/>
      <c r="AC315" s="82"/>
      <c r="AD315" s="82"/>
      <c r="AE315" s="86"/>
      <c r="AF315" s="82"/>
    </row>
    <row r="316" spans="1:32" ht="15" x14ac:dyDescent="0.25">
      <c r="A316" s="222">
        <v>43489</v>
      </c>
      <c r="B316" s="79" t="s">
        <v>235</v>
      </c>
      <c r="C316" s="79" t="s">
        <v>232</v>
      </c>
      <c r="D316" s="80" t="s">
        <v>186</v>
      </c>
      <c r="E316" s="3">
        <v>2886.13</v>
      </c>
      <c r="F316" s="3">
        <v>2764.83</v>
      </c>
      <c r="G316" s="3">
        <v>2744.24</v>
      </c>
      <c r="H316" s="3">
        <v>2749.48</v>
      </c>
      <c r="I316" s="3">
        <v>2844.91</v>
      </c>
      <c r="J316" s="3">
        <v>2827.59</v>
      </c>
      <c r="K316" s="3">
        <v>2752.72</v>
      </c>
      <c r="L316" s="3">
        <v>2757.31</v>
      </c>
      <c r="M316" s="3">
        <v>2845.54</v>
      </c>
      <c r="N316" s="3">
        <v>2768.65</v>
      </c>
      <c r="O316" s="3">
        <v>2759.82</v>
      </c>
      <c r="P316" s="3">
        <v>2755.65</v>
      </c>
      <c r="Q316" s="3">
        <v>2777.92</v>
      </c>
      <c r="R316" s="372">
        <f>IF((Q317=""),"",MAX(E318:Q318))</f>
        <v>372.59000000000015</v>
      </c>
      <c r="S316" s="372">
        <f>IF(Q317="","",MIN(E318:Q318))</f>
        <v>316.70999999999958</v>
      </c>
      <c r="T316" s="375">
        <f>IF((Q318=""),"",AVERAGE(E318:Q318))</f>
        <v>335.55923076923074</v>
      </c>
      <c r="U316" s="375">
        <f>IF((Q317=""),"",(R316-S316)/(R316+S316)*100)</f>
        <v>8.1067749891194829</v>
      </c>
      <c r="V316" s="375">
        <f>STDEV(E318:Q318)</f>
        <v>23.306301172836836</v>
      </c>
      <c r="W316" s="380" t="str">
        <f>IF(Q317="","",IF(T316&gt;300,IF(U316&lt;14,IF(T316&lt;390,"Pass","Fail"),"Fail"),"Fail"))</f>
        <v>Pass</v>
      </c>
      <c r="X316" s="383">
        <v>1340</v>
      </c>
      <c r="Y316" s="253" t="s">
        <v>219</v>
      </c>
      <c r="Z316" s="182"/>
      <c r="AA316" s="82">
        <v>270</v>
      </c>
      <c r="AB316" s="82">
        <v>370</v>
      </c>
      <c r="AC316" s="82">
        <v>300</v>
      </c>
      <c r="AD316" s="83">
        <v>390</v>
      </c>
      <c r="AE316" s="83">
        <v>20</v>
      </c>
      <c r="AF316" s="83">
        <v>14</v>
      </c>
    </row>
    <row r="317" spans="1:32" ht="15.6" x14ac:dyDescent="0.3">
      <c r="A317" s="221"/>
      <c r="B317" s="84"/>
      <c r="C317" s="84"/>
      <c r="D317" s="80" t="s">
        <v>187</v>
      </c>
      <c r="E317" s="3">
        <v>2513.54</v>
      </c>
      <c r="F317" s="3">
        <v>2445.94</v>
      </c>
      <c r="G317" s="3">
        <v>2427.5300000000002</v>
      </c>
      <c r="H317" s="3">
        <v>2428.56</v>
      </c>
      <c r="I317" s="3">
        <v>2478.27</v>
      </c>
      <c r="J317" s="3">
        <v>2463.44</v>
      </c>
      <c r="K317" s="3">
        <v>2431.17</v>
      </c>
      <c r="L317" s="3">
        <v>2440.44</v>
      </c>
      <c r="M317" s="3">
        <v>2473.61</v>
      </c>
      <c r="N317" s="3">
        <v>2448.86</v>
      </c>
      <c r="O317" s="3">
        <v>2437.1999999999998</v>
      </c>
      <c r="P317" s="3">
        <v>2430.5</v>
      </c>
      <c r="Q317" s="3">
        <v>2453.46</v>
      </c>
      <c r="R317" s="373"/>
      <c r="S317" s="373"/>
      <c r="T317" s="376"/>
      <c r="U317" s="376"/>
      <c r="V317" s="378"/>
      <c r="W317" s="381"/>
      <c r="X317" s="384"/>
      <c r="Y317" s="254"/>
      <c r="Z317" s="182"/>
      <c r="AA317" s="82"/>
      <c r="AB317" s="82"/>
      <c r="AC317" s="82"/>
      <c r="AD317" s="83"/>
      <c r="AE317" s="83"/>
      <c r="AF317" s="83"/>
    </row>
    <row r="318" spans="1:32" ht="30" x14ac:dyDescent="0.3">
      <c r="A318" s="221"/>
      <c r="B318" s="79"/>
      <c r="C318" s="79"/>
      <c r="D318" s="80" t="s">
        <v>188</v>
      </c>
      <c r="E318" s="85">
        <f t="shared" ref="E318:Q318" si="102">IF(((E316="")*AND(E317="")),"",(E316-E317))</f>
        <v>372.59000000000015</v>
      </c>
      <c r="F318" s="85">
        <f t="shared" si="102"/>
        <v>318.88999999999987</v>
      </c>
      <c r="G318" s="85">
        <f t="shared" si="102"/>
        <v>316.70999999999958</v>
      </c>
      <c r="H318" s="85">
        <f t="shared" si="102"/>
        <v>320.92000000000007</v>
      </c>
      <c r="I318" s="85">
        <f t="shared" si="102"/>
        <v>366.63999999999987</v>
      </c>
      <c r="J318" s="85">
        <f t="shared" si="102"/>
        <v>364.15000000000009</v>
      </c>
      <c r="K318" s="85">
        <f t="shared" si="102"/>
        <v>321.54999999999973</v>
      </c>
      <c r="L318" s="85">
        <f t="shared" si="102"/>
        <v>316.86999999999989</v>
      </c>
      <c r="M318" s="85">
        <f t="shared" si="102"/>
        <v>371.92999999999984</v>
      </c>
      <c r="N318" s="85">
        <f t="shared" si="102"/>
        <v>319.78999999999996</v>
      </c>
      <c r="O318" s="85">
        <f t="shared" si="102"/>
        <v>322.62000000000035</v>
      </c>
      <c r="P318" s="85">
        <f t="shared" si="102"/>
        <v>325.15000000000009</v>
      </c>
      <c r="Q318" s="85">
        <f t="shared" si="102"/>
        <v>324.46000000000004</v>
      </c>
      <c r="R318" s="374"/>
      <c r="S318" s="374"/>
      <c r="T318" s="377"/>
      <c r="U318" s="377"/>
      <c r="V318" s="379"/>
      <c r="W318" s="382"/>
      <c r="X318" s="385"/>
      <c r="Y318" s="255"/>
      <c r="Z318" s="182"/>
      <c r="AA318" s="82"/>
      <c r="AB318" s="82"/>
      <c r="AC318" s="82"/>
      <c r="AD318" s="82"/>
      <c r="AE318" s="86"/>
      <c r="AF318" s="82"/>
    </row>
    <row r="319" spans="1:32" ht="15" x14ac:dyDescent="0.25">
      <c r="A319" s="222">
        <v>43493</v>
      </c>
      <c r="B319" s="79" t="s">
        <v>235</v>
      </c>
      <c r="C319" s="79" t="s">
        <v>232</v>
      </c>
      <c r="D319" s="80" t="s">
        <v>186</v>
      </c>
      <c r="E319" s="3">
        <v>2513.54</v>
      </c>
      <c r="F319" s="3">
        <v>2445.94</v>
      </c>
      <c r="G319" s="3">
        <v>2427.5300000000002</v>
      </c>
      <c r="H319" s="3">
        <v>2428.56</v>
      </c>
      <c r="I319" s="3">
        <v>2478.27</v>
      </c>
      <c r="J319" s="3">
        <v>2463.44</v>
      </c>
      <c r="K319" s="3">
        <v>2431.17</v>
      </c>
      <c r="L319" s="3">
        <v>2440.44</v>
      </c>
      <c r="M319" s="3">
        <v>2473.61</v>
      </c>
      <c r="N319" s="3">
        <v>2448.86</v>
      </c>
      <c r="O319" s="3">
        <v>2437.1999999999998</v>
      </c>
      <c r="P319" s="3">
        <v>2430.5</v>
      </c>
      <c r="Q319" s="3">
        <v>2453.46</v>
      </c>
      <c r="R319" s="372">
        <f>IF((Q320=""),"",MAX(E321:Q321))</f>
        <v>371.65999999999985</v>
      </c>
      <c r="S319" s="372">
        <f>IF(Q320="","",MIN(E321:Q321))</f>
        <v>232.67000000000007</v>
      </c>
      <c r="T319" s="375">
        <f>IF((Q321=""),"",AVERAGE(E321:Q321))</f>
        <v>274.73615384615391</v>
      </c>
      <c r="U319" s="375">
        <f>IF((Q320=""),"",(R319-S319)/(R319+S319)*100)</f>
        <v>22.999023712210185</v>
      </c>
      <c r="V319" s="375">
        <f>STDEV(E321:Q321)</f>
        <v>42.759912016291892</v>
      </c>
      <c r="W319" s="380" t="str">
        <f>IF(Q320="","",IF(T319&gt;300,IF(U319&lt;14,IF(T319&lt;390,"Pass","Fail"),"Fail"),"Fail"))</f>
        <v>Fail</v>
      </c>
      <c r="X319" s="383">
        <v>1340</v>
      </c>
      <c r="Y319" s="389"/>
      <c r="Z319" s="182"/>
      <c r="AA319" s="82">
        <v>270</v>
      </c>
      <c r="AB319" s="82">
        <v>370</v>
      </c>
      <c r="AC319" s="82">
        <v>300</v>
      </c>
      <c r="AD319" s="83">
        <v>390</v>
      </c>
      <c r="AE319" s="83">
        <v>20</v>
      </c>
      <c r="AF319" s="83">
        <v>14</v>
      </c>
    </row>
    <row r="320" spans="1:32" ht="15.6" x14ac:dyDescent="0.3">
      <c r="A320" s="221"/>
      <c r="B320" s="84"/>
      <c r="C320" s="84"/>
      <c r="D320" s="80" t="s">
        <v>187</v>
      </c>
      <c r="E320" s="3">
        <v>2141.88</v>
      </c>
      <c r="F320" s="3">
        <v>2182.94</v>
      </c>
      <c r="G320" s="3">
        <v>2191.58</v>
      </c>
      <c r="H320" s="3">
        <v>2189.06</v>
      </c>
      <c r="I320" s="3">
        <v>2165.21</v>
      </c>
      <c r="J320" s="3">
        <v>2167.91</v>
      </c>
      <c r="K320" s="3">
        <v>2198.5</v>
      </c>
      <c r="L320" s="3">
        <v>2182.83</v>
      </c>
      <c r="M320" s="3">
        <v>2138.46</v>
      </c>
      <c r="N320" s="3">
        <v>2185.4899999999998</v>
      </c>
      <c r="O320" s="3">
        <v>2184.92</v>
      </c>
      <c r="P320" s="3">
        <v>2193.39</v>
      </c>
      <c r="Q320" s="3">
        <v>2178.7800000000002</v>
      </c>
      <c r="R320" s="373"/>
      <c r="S320" s="373"/>
      <c r="T320" s="376"/>
      <c r="U320" s="376"/>
      <c r="V320" s="378"/>
      <c r="W320" s="381"/>
      <c r="X320" s="384"/>
      <c r="Y320" s="390"/>
      <c r="Z320" s="182"/>
      <c r="AA320" s="82"/>
      <c r="AB320" s="82"/>
      <c r="AC320" s="82"/>
      <c r="AD320" s="83"/>
      <c r="AE320" s="83"/>
      <c r="AF320" s="83"/>
    </row>
    <row r="321" spans="1:32" ht="30" x14ac:dyDescent="0.3">
      <c r="A321" s="221"/>
      <c r="B321" s="79"/>
      <c r="C321" s="79"/>
      <c r="D321" s="80" t="s">
        <v>188</v>
      </c>
      <c r="E321" s="85">
        <f t="shared" ref="E321:Q321" si="103">IF(((E319="")*AND(E320="")),"",(E319-E320))</f>
        <v>371.65999999999985</v>
      </c>
      <c r="F321" s="85">
        <f t="shared" si="103"/>
        <v>263</v>
      </c>
      <c r="G321" s="85">
        <f t="shared" si="103"/>
        <v>235.95000000000027</v>
      </c>
      <c r="H321" s="85">
        <f t="shared" si="103"/>
        <v>239.5</v>
      </c>
      <c r="I321" s="85">
        <f t="shared" si="103"/>
        <v>313.05999999999995</v>
      </c>
      <c r="J321" s="85">
        <f t="shared" si="103"/>
        <v>295.5300000000002</v>
      </c>
      <c r="K321" s="85">
        <f t="shared" si="103"/>
        <v>232.67000000000007</v>
      </c>
      <c r="L321" s="85">
        <f t="shared" si="103"/>
        <v>257.61000000000013</v>
      </c>
      <c r="M321" s="85">
        <f t="shared" si="103"/>
        <v>335.15000000000009</v>
      </c>
      <c r="N321" s="85">
        <f t="shared" si="103"/>
        <v>263.37000000000035</v>
      </c>
      <c r="O321" s="85">
        <f t="shared" si="103"/>
        <v>252.27999999999975</v>
      </c>
      <c r="P321" s="85">
        <f t="shared" si="103"/>
        <v>237.11000000000013</v>
      </c>
      <c r="Q321" s="85">
        <f t="shared" si="103"/>
        <v>274.67999999999984</v>
      </c>
      <c r="R321" s="374"/>
      <c r="S321" s="374"/>
      <c r="T321" s="377"/>
      <c r="U321" s="377"/>
      <c r="V321" s="379"/>
      <c r="W321" s="382"/>
      <c r="X321" s="385"/>
      <c r="Y321" s="391"/>
      <c r="Z321" s="182"/>
      <c r="AA321" s="82"/>
      <c r="AB321" s="82"/>
      <c r="AC321" s="82"/>
      <c r="AD321" s="82"/>
      <c r="AE321" s="86"/>
      <c r="AF321" s="82"/>
    </row>
    <row r="322" spans="1:32" ht="15" x14ac:dyDescent="0.25">
      <c r="A322" s="222">
        <v>43493</v>
      </c>
      <c r="B322" s="79" t="s">
        <v>235</v>
      </c>
      <c r="C322" s="79" t="s">
        <v>232</v>
      </c>
      <c r="D322" s="80" t="s">
        <v>186</v>
      </c>
      <c r="E322" s="3">
        <v>2881.63</v>
      </c>
      <c r="F322" s="3">
        <v>2758.92</v>
      </c>
      <c r="G322" s="3">
        <v>2740.67</v>
      </c>
      <c r="H322" s="3">
        <v>2743.19</v>
      </c>
      <c r="I322" s="3">
        <v>2843.4</v>
      </c>
      <c r="J322" s="3">
        <v>2823.04</v>
      </c>
      <c r="K322" s="3">
        <v>2745.31</v>
      </c>
      <c r="L322" s="3">
        <v>2752.13</v>
      </c>
      <c r="M322" s="3">
        <v>2842.53</v>
      </c>
      <c r="N322" s="3">
        <v>2765.93</v>
      </c>
      <c r="O322" s="3">
        <v>2756.93</v>
      </c>
      <c r="P322" s="3">
        <v>2750.3</v>
      </c>
      <c r="Q322" s="3">
        <v>2773</v>
      </c>
      <c r="R322" s="372">
        <f>IF((Q323=""),"",MAX(E324:Q324))</f>
        <v>389.39000000000033</v>
      </c>
      <c r="S322" s="372">
        <f>IF(Q323="","",MIN(E324:Q324))</f>
        <v>313.57000000000016</v>
      </c>
      <c r="T322" s="375">
        <f>IF((Q324=""),"",AVERAGE(E324:Q324))</f>
        <v>339.87692307692311</v>
      </c>
      <c r="U322" s="375">
        <f>IF((Q323=""),"",(R322-S322)/(R322+S322)*100)</f>
        <v>10.78581996130649</v>
      </c>
      <c r="V322" s="375">
        <f>STDEV(E324:Q324)</f>
        <v>30.788273033904602</v>
      </c>
      <c r="W322" s="380" t="str">
        <f>IF(Q323="","",IF(T322&gt;300,IF(U322&lt;14,IF(T322&lt;390,"Pass","Fail"),"Fail"),"Fail"))</f>
        <v>Pass</v>
      </c>
      <c r="X322" s="383">
        <v>121</v>
      </c>
      <c r="Y322" s="253" t="s">
        <v>220</v>
      </c>
      <c r="Z322" s="182"/>
      <c r="AA322" s="82">
        <v>270</v>
      </c>
      <c r="AB322" s="82">
        <v>370</v>
      </c>
      <c r="AC322" s="82">
        <v>300</v>
      </c>
      <c r="AD322" s="83">
        <v>390</v>
      </c>
      <c r="AE322" s="83">
        <v>20</v>
      </c>
      <c r="AF322" s="83">
        <v>14</v>
      </c>
    </row>
    <row r="323" spans="1:32" ht="15.6" x14ac:dyDescent="0.3">
      <c r="A323" s="221"/>
      <c r="B323" s="84"/>
      <c r="C323" s="84"/>
      <c r="D323" s="80" t="s">
        <v>187</v>
      </c>
      <c r="E323" s="3">
        <v>2498.15</v>
      </c>
      <c r="F323" s="3">
        <v>2441.0700000000002</v>
      </c>
      <c r="G323" s="3">
        <v>2427.1</v>
      </c>
      <c r="H323" s="3">
        <v>2424.9499999999998</v>
      </c>
      <c r="I323" s="3">
        <v>2458.84</v>
      </c>
      <c r="J323" s="3">
        <v>2444.98</v>
      </c>
      <c r="K323" s="3">
        <v>2428.1</v>
      </c>
      <c r="L323" s="3">
        <v>2431.3200000000002</v>
      </c>
      <c r="M323" s="3">
        <v>2453.14</v>
      </c>
      <c r="N323" s="3">
        <v>2441</v>
      </c>
      <c r="O323" s="3">
        <v>2431.2199999999998</v>
      </c>
      <c r="P323" s="3">
        <v>2429.15</v>
      </c>
      <c r="Q323" s="3">
        <v>2449.56</v>
      </c>
      <c r="R323" s="373"/>
      <c r="S323" s="373"/>
      <c r="T323" s="376"/>
      <c r="U323" s="376"/>
      <c r="V323" s="378"/>
      <c r="W323" s="381"/>
      <c r="X323" s="384"/>
      <c r="Y323" s="254"/>
      <c r="Z323" s="182"/>
      <c r="AA323" s="82"/>
      <c r="AB323" s="82"/>
      <c r="AC323" s="82"/>
      <c r="AD323" s="83"/>
      <c r="AE323" s="83"/>
      <c r="AF323" s="83"/>
    </row>
    <row r="324" spans="1:32" ht="30" x14ac:dyDescent="0.3">
      <c r="A324" s="221"/>
      <c r="B324" s="79"/>
      <c r="C324" s="79"/>
      <c r="D324" s="80" t="s">
        <v>188</v>
      </c>
      <c r="E324" s="85">
        <f t="shared" ref="E324:Q324" si="104">IF(((E322="")*AND(E323="")),"",(E322-E323))</f>
        <v>383.48</v>
      </c>
      <c r="F324" s="85">
        <f t="shared" si="104"/>
        <v>317.84999999999991</v>
      </c>
      <c r="G324" s="85">
        <f t="shared" si="104"/>
        <v>313.57000000000016</v>
      </c>
      <c r="H324" s="85">
        <f t="shared" si="104"/>
        <v>318.24000000000024</v>
      </c>
      <c r="I324" s="85">
        <f t="shared" si="104"/>
        <v>384.55999999999995</v>
      </c>
      <c r="J324" s="85">
        <f t="shared" si="104"/>
        <v>378.05999999999995</v>
      </c>
      <c r="K324" s="85">
        <f t="shared" si="104"/>
        <v>317.21000000000004</v>
      </c>
      <c r="L324" s="85">
        <f t="shared" si="104"/>
        <v>320.80999999999995</v>
      </c>
      <c r="M324" s="85">
        <f t="shared" si="104"/>
        <v>389.39000000000033</v>
      </c>
      <c r="N324" s="85">
        <f t="shared" si="104"/>
        <v>324.92999999999984</v>
      </c>
      <c r="O324" s="85">
        <f t="shared" si="104"/>
        <v>325.71000000000004</v>
      </c>
      <c r="P324" s="85">
        <f t="shared" si="104"/>
        <v>321.15000000000009</v>
      </c>
      <c r="Q324" s="85">
        <f t="shared" si="104"/>
        <v>323.44000000000005</v>
      </c>
      <c r="R324" s="374"/>
      <c r="S324" s="374"/>
      <c r="T324" s="377"/>
      <c r="U324" s="377"/>
      <c r="V324" s="379"/>
      <c r="W324" s="382"/>
      <c r="X324" s="385"/>
      <c r="Y324" s="255"/>
      <c r="Z324" s="182"/>
      <c r="AA324" s="82"/>
      <c r="AB324" s="82"/>
      <c r="AC324" s="82"/>
      <c r="AD324" s="82"/>
      <c r="AE324" s="86"/>
      <c r="AF324" s="82"/>
    </row>
    <row r="325" spans="1:32" ht="15" x14ac:dyDescent="0.25">
      <c r="A325" s="222">
        <v>43497</v>
      </c>
      <c r="B325" s="79" t="s">
        <v>235</v>
      </c>
      <c r="C325" s="79" t="s">
        <v>232</v>
      </c>
      <c r="D325" s="80" t="s">
        <v>186</v>
      </c>
      <c r="E325" s="3">
        <v>2886.16</v>
      </c>
      <c r="F325" s="3">
        <v>2765.74</v>
      </c>
      <c r="G325" s="3">
        <v>2747.14</v>
      </c>
      <c r="H325" s="3">
        <v>2753.39</v>
      </c>
      <c r="I325" s="3">
        <v>2847.27</v>
      </c>
      <c r="J325" s="3">
        <v>2830.6</v>
      </c>
      <c r="K325" s="3">
        <v>2753.05</v>
      </c>
      <c r="L325" s="3">
        <v>2757.49</v>
      </c>
      <c r="M325" s="3">
        <v>2845.34</v>
      </c>
      <c r="N325" s="3">
        <v>2771.57</v>
      </c>
      <c r="O325" s="3">
        <v>2763.73</v>
      </c>
      <c r="P325" s="3">
        <v>2758.67</v>
      </c>
      <c r="Q325" s="3">
        <v>2778.96</v>
      </c>
      <c r="R325" s="372">
        <f>IF((Q326=""),"",MAX(E327:Q327))</f>
        <v>369.55999999999995</v>
      </c>
      <c r="S325" s="372">
        <f>IF(Q326="","",MIN(E327:Q327))</f>
        <v>313.77</v>
      </c>
      <c r="T325" s="375">
        <f>IF((Q327=""),"",AVERAGE(E327:Q327))</f>
        <v>333.0661538461539</v>
      </c>
      <c r="U325" s="375">
        <f>IF((Q326=""),"",(R325-S325)/(R325+S325)*100)</f>
        <v>8.1644300703905834</v>
      </c>
      <c r="V325" s="375">
        <f>STDEV(E327:Q327)</f>
        <v>23.089464241821659</v>
      </c>
      <c r="W325" s="380" t="str">
        <f>IF(Q326="","",IF(T325&gt;300,IF(U325&lt;14,IF(T325&lt;390,"Pass","Fail"),"Fail"),"Fail"))</f>
        <v>Pass</v>
      </c>
      <c r="X325" s="383">
        <v>1159</v>
      </c>
      <c r="Y325" s="253" t="s">
        <v>221</v>
      </c>
      <c r="Z325" s="182"/>
      <c r="AA325" s="82">
        <v>270</v>
      </c>
      <c r="AB325" s="82">
        <v>370</v>
      </c>
      <c r="AC325" s="82">
        <v>300</v>
      </c>
      <c r="AD325" s="83">
        <v>390</v>
      </c>
      <c r="AE325" s="83">
        <v>20</v>
      </c>
      <c r="AF325" s="83">
        <v>14</v>
      </c>
    </row>
    <row r="326" spans="1:32" ht="15.6" x14ac:dyDescent="0.3">
      <c r="A326" s="221"/>
      <c r="B326" s="84"/>
      <c r="C326" s="84"/>
      <c r="D326" s="80" t="s">
        <v>187</v>
      </c>
      <c r="E326" s="3">
        <v>2516.6</v>
      </c>
      <c r="F326" s="3">
        <v>2451.21</v>
      </c>
      <c r="G326" s="3">
        <v>2433.37</v>
      </c>
      <c r="H326" s="3">
        <v>2436.42</v>
      </c>
      <c r="I326" s="3">
        <v>2484.7199999999998</v>
      </c>
      <c r="J326" s="3">
        <v>2467.2199999999998</v>
      </c>
      <c r="K326" s="3">
        <v>2435.87</v>
      </c>
      <c r="L326" s="3">
        <v>2439.9</v>
      </c>
      <c r="M326" s="3">
        <v>2476.75</v>
      </c>
      <c r="N326" s="3">
        <v>2451.67</v>
      </c>
      <c r="O326" s="3">
        <v>2441.2399999999998</v>
      </c>
      <c r="P326" s="3">
        <v>2435.6</v>
      </c>
      <c r="Q326" s="3">
        <v>2458.6799999999998</v>
      </c>
      <c r="R326" s="373"/>
      <c r="S326" s="373"/>
      <c r="T326" s="376"/>
      <c r="U326" s="376"/>
      <c r="V326" s="378"/>
      <c r="W326" s="381"/>
      <c r="X326" s="384"/>
      <c r="Y326" s="254"/>
      <c r="Z326" s="182"/>
      <c r="AA326" s="82"/>
      <c r="AB326" s="82"/>
      <c r="AC326" s="82"/>
      <c r="AD326" s="83"/>
      <c r="AE326" s="83"/>
      <c r="AF326" s="83"/>
    </row>
    <row r="327" spans="1:32" ht="30" x14ac:dyDescent="0.3">
      <c r="A327" s="221"/>
      <c r="B327" s="79"/>
      <c r="C327" s="79"/>
      <c r="D327" s="80" t="s">
        <v>188</v>
      </c>
      <c r="E327" s="85">
        <f t="shared" ref="E327:Q327" si="105">IF(((E325="")*AND(E326="")),"",(E325-E326))</f>
        <v>369.55999999999995</v>
      </c>
      <c r="F327" s="85">
        <f t="shared" si="105"/>
        <v>314.52999999999975</v>
      </c>
      <c r="G327" s="85">
        <f t="shared" si="105"/>
        <v>313.77</v>
      </c>
      <c r="H327" s="85">
        <f t="shared" si="105"/>
        <v>316.9699999999998</v>
      </c>
      <c r="I327" s="85">
        <f t="shared" si="105"/>
        <v>362.55000000000018</v>
      </c>
      <c r="J327" s="85">
        <f t="shared" si="105"/>
        <v>363.38000000000011</v>
      </c>
      <c r="K327" s="85">
        <f t="shared" si="105"/>
        <v>317.18000000000029</v>
      </c>
      <c r="L327" s="85">
        <f t="shared" si="105"/>
        <v>317.58999999999969</v>
      </c>
      <c r="M327" s="85">
        <f t="shared" si="105"/>
        <v>368.59000000000015</v>
      </c>
      <c r="N327" s="85">
        <f t="shared" si="105"/>
        <v>319.90000000000009</v>
      </c>
      <c r="O327" s="85">
        <f t="shared" si="105"/>
        <v>322.49000000000024</v>
      </c>
      <c r="P327" s="85">
        <f t="shared" si="105"/>
        <v>323.07000000000016</v>
      </c>
      <c r="Q327" s="85">
        <f t="shared" si="105"/>
        <v>320.2800000000002</v>
      </c>
      <c r="R327" s="374"/>
      <c r="S327" s="374"/>
      <c r="T327" s="377"/>
      <c r="U327" s="377"/>
      <c r="V327" s="379"/>
      <c r="W327" s="382"/>
      <c r="X327" s="385"/>
      <c r="Y327" s="255"/>
      <c r="Z327" s="182"/>
      <c r="AA327" s="82"/>
      <c r="AB327" s="82"/>
      <c r="AC327" s="82"/>
      <c r="AD327" s="82"/>
      <c r="AE327" s="86"/>
      <c r="AF327" s="82"/>
    </row>
    <row r="328" spans="1:32" ht="15" x14ac:dyDescent="0.25">
      <c r="A328" s="222">
        <v>43503</v>
      </c>
      <c r="B328" s="79" t="s">
        <v>235</v>
      </c>
      <c r="C328" s="79" t="s">
        <v>232</v>
      </c>
      <c r="D328" s="80" t="s">
        <v>186</v>
      </c>
      <c r="E328" s="3">
        <v>2844.9</v>
      </c>
      <c r="F328" s="3">
        <v>2751.2</v>
      </c>
      <c r="G328" s="3">
        <v>2747.68</v>
      </c>
      <c r="H328" s="3">
        <v>2768.58</v>
      </c>
      <c r="I328" s="3">
        <v>2885.23</v>
      </c>
      <c r="J328" s="3">
        <v>2831.46</v>
      </c>
      <c r="K328" s="3">
        <v>2753.58</v>
      </c>
      <c r="L328" s="3">
        <v>2757.56</v>
      </c>
      <c r="M328" s="3">
        <v>2831.25</v>
      </c>
      <c r="N328" s="3">
        <v>2757.33</v>
      </c>
      <c r="O328" s="3">
        <v>2783.74</v>
      </c>
      <c r="P328" s="3">
        <v>2776.8</v>
      </c>
      <c r="Q328" s="3">
        <v>2759.87</v>
      </c>
      <c r="R328" s="372">
        <f>IF((Q329=""),"",MAX(E330:Q330))</f>
        <v>367.23</v>
      </c>
      <c r="S328" s="372">
        <f>IF(Q329="","",MIN(E330:Q330))</f>
        <v>306.21000000000004</v>
      </c>
      <c r="T328" s="375">
        <f>IF((Q330=""),"",AVERAGE(E330:Q330))</f>
        <v>328.39923076923066</v>
      </c>
      <c r="U328" s="375">
        <f>IF((Q329=""),"",(R328-S328)/(R328+S328)*100)</f>
        <v>9.0609408410548795</v>
      </c>
      <c r="V328" s="375">
        <f>STDEV(E330:Q330)</f>
        <v>22.686261430484947</v>
      </c>
      <c r="W328" s="380" t="str">
        <f>IF(Q329="","",IF(T328&gt;300,IF(U328&lt;14,IF(T328&lt;390,"Pass","Fail"),"Fail"),"Fail"))</f>
        <v>Pass</v>
      </c>
      <c r="X328" s="383">
        <v>1340</v>
      </c>
      <c r="Y328" s="253" t="s">
        <v>222</v>
      </c>
      <c r="Z328" s="182"/>
      <c r="AA328" s="82">
        <v>270</v>
      </c>
      <c r="AB328" s="82">
        <v>370</v>
      </c>
      <c r="AC328" s="82">
        <v>300</v>
      </c>
      <c r="AD328" s="83">
        <v>390</v>
      </c>
      <c r="AE328" s="83">
        <v>20</v>
      </c>
      <c r="AF328" s="83">
        <v>14</v>
      </c>
    </row>
    <row r="329" spans="1:32" ht="15.6" x14ac:dyDescent="0.3">
      <c r="A329" s="221"/>
      <c r="B329" s="84"/>
      <c r="C329" s="84"/>
      <c r="D329" s="80" t="s">
        <v>187</v>
      </c>
      <c r="E329" s="3">
        <v>2477.67</v>
      </c>
      <c r="F329" s="3">
        <v>2438.73</v>
      </c>
      <c r="G329" s="3">
        <v>2441.4699999999998</v>
      </c>
      <c r="H329" s="3">
        <v>2455.58</v>
      </c>
      <c r="I329" s="3">
        <v>2528.48</v>
      </c>
      <c r="J329" s="3">
        <v>2474.23</v>
      </c>
      <c r="K329" s="3">
        <v>2442.6</v>
      </c>
      <c r="L329" s="3">
        <v>2442.8200000000002</v>
      </c>
      <c r="M329" s="3">
        <v>2471.17</v>
      </c>
      <c r="N329" s="3">
        <v>2445.9499999999998</v>
      </c>
      <c r="O329" s="3">
        <v>2458.92</v>
      </c>
      <c r="P329" s="3">
        <v>2459.0500000000002</v>
      </c>
      <c r="Q329" s="3">
        <v>2443.3200000000002</v>
      </c>
      <c r="R329" s="373"/>
      <c r="S329" s="373"/>
      <c r="T329" s="376"/>
      <c r="U329" s="376"/>
      <c r="V329" s="378"/>
      <c r="W329" s="381"/>
      <c r="X329" s="384"/>
      <c r="Y329" s="254"/>
      <c r="Z329" s="182"/>
      <c r="AA329" s="82"/>
      <c r="AB329" s="82"/>
      <c r="AC329" s="82"/>
      <c r="AD329" s="83"/>
      <c r="AE329" s="83"/>
      <c r="AF329" s="83"/>
    </row>
    <row r="330" spans="1:32" ht="30" x14ac:dyDescent="0.3">
      <c r="A330" s="221"/>
      <c r="B330" s="79"/>
      <c r="C330" s="79"/>
      <c r="D330" s="80" t="s">
        <v>188</v>
      </c>
      <c r="E330" s="85">
        <f t="shared" ref="E330:Q330" si="106">IF(((E328="")*AND(E329="")),"",(E328-E329))</f>
        <v>367.23</v>
      </c>
      <c r="F330" s="85">
        <f t="shared" si="106"/>
        <v>312.4699999999998</v>
      </c>
      <c r="G330" s="85">
        <f t="shared" si="106"/>
        <v>306.21000000000004</v>
      </c>
      <c r="H330" s="85">
        <f t="shared" si="106"/>
        <v>313</v>
      </c>
      <c r="I330" s="85">
        <f t="shared" si="106"/>
        <v>356.75</v>
      </c>
      <c r="J330" s="85">
        <f t="shared" si="106"/>
        <v>357.23</v>
      </c>
      <c r="K330" s="85">
        <f t="shared" si="106"/>
        <v>310.98</v>
      </c>
      <c r="L330" s="85">
        <f t="shared" si="106"/>
        <v>314.73999999999978</v>
      </c>
      <c r="M330" s="85">
        <f t="shared" si="106"/>
        <v>360.07999999999993</v>
      </c>
      <c r="N330" s="85">
        <f t="shared" si="106"/>
        <v>311.38000000000011</v>
      </c>
      <c r="O330" s="85">
        <f t="shared" si="106"/>
        <v>324.81999999999971</v>
      </c>
      <c r="P330" s="85">
        <f t="shared" si="106"/>
        <v>317.75</v>
      </c>
      <c r="Q330" s="85">
        <f t="shared" si="106"/>
        <v>316.54999999999973</v>
      </c>
      <c r="R330" s="374"/>
      <c r="S330" s="374"/>
      <c r="T330" s="377"/>
      <c r="U330" s="377"/>
      <c r="V330" s="379"/>
      <c r="W330" s="382"/>
      <c r="X330" s="385"/>
      <c r="Y330" s="255"/>
      <c r="Z330" s="182"/>
      <c r="AA330" s="82"/>
      <c r="AB330" s="82"/>
      <c r="AC330" s="82"/>
      <c r="AD330" s="82"/>
      <c r="AE330" s="86"/>
      <c r="AF330" s="82"/>
    </row>
    <row r="331" spans="1:32" ht="15" x14ac:dyDescent="0.25">
      <c r="A331" s="222">
        <v>43507</v>
      </c>
      <c r="B331" s="79" t="s">
        <v>235</v>
      </c>
      <c r="C331" s="79" t="s">
        <v>232</v>
      </c>
      <c r="D331" s="80" t="s">
        <v>186</v>
      </c>
      <c r="E331" s="3">
        <v>2483.5</v>
      </c>
      <c r="F331" s="3">
        <v>2445.89</v>
      </c>
      <c r="G331" s="3">
        <v>2433.29</v>
      </c>
      <c r="H331" s="3">
        <v>2457.41</v>
      </c>
      <c r="I331" s="3">
        <v>2530.19</v>
      </c>
      <c r="J331" s="3">
        <v>2473.25</v>
      </c>
      <c r="K331" s="3">
        <v>2445.66</v>
      </c>
      <c r="L331" s="3">
        <v>2449.37</v>
      </c>
      <c r="M331" s="3">
        <v>2472.88</v>
      </c>
      <c r="N331" s="3">
        <v>2444.9</v>
      </c>
      <c r="O331" s="3">
        <v>2460.67</v>
      </c>
      <c r="P331" s="3">
        <v>2461.58</v>
      </c>
      <c r="Q331" s="3">
        <v>2435.83</v>
      </c>
      <c r="R331" s="372">
        <f>IF((Q332=""),"",MAX(E333:Q333))</f>
        <v>314.38999999999987</v>
      </c>
      <c r="S331" s="372">
        <f>IF(Q332="","",MIN(E333:Q333))</f>
        <v>235.44000000000005</v>
      </c>
      <c r="T331" s="375">
        <f>IF((Q333=""),"",AVERAGE(E333:Q333))</f>
        <v>265.0884615384615</v>
      </c>
      <c r="U331" s="375">
        <f>IF((Q332=""),"",(R331-S331)/(R331+S331)*100)</f>
        <v>14.358983685866509</v>
      </c>
      <c r="V331" s="375">
        <f>STDEV(E333:Q333)</f>
        <v>24.989597784596281</v>
      </c>
      <c r="W331" s="380" t="str">
        <f>IF(Q332="","",IF(T331&gt;300,IF(U331&lt;14,IF(T331&lt;390,"Pass","Fail"),"Fail"),"Fail"))</f>
        <v>Fail</v>
      </c>
      <c r="X331" s="383">
        <v>1159</v>
      </c>
      <c r="Y331" s="389"/>
      <c r="Z331" s="182"/>
      <c r="AA331" s="82">
        <v>270</v>
      </c>
      <c r="AB331" s="82">
        <v>370</v>
      </c>
      <c r="AC331" s="82">
        <v>300</v>
      </c>
      <c r="AD331" s="83">
        <v>390</v>
      </c>
      <c r="AE331" s="83">
        <v>20</v>
      </c>
      <c r="AF331" s="83">
        <v>14</v>
      </c>
    </row>
    <row r="332" spans="1:32" ht="15.6" x14ac:dyDescent="0.3">
      <c r="A332" s="221"/>
      <c r="B332" s="84"/>
      <c r="C332" s="84"/>
      <c r="D332" s="80" t="s">
        <v>187</v>
      </c>
      <c r="E332" s="3">
        <v>2185.7199999999998</v>
      </c>
      <c r="F332" s="3">
        <v>2189.09</v>
      </c>
      <c r="G332" s="3">
        <v>2197.85</v>
      </c>
      <c r="H332" s="3">
        <v>2206.0700000000002</v>
      </c>
      <c r="I332" s="3">
        <v>2215.8000000000002</v>
      </c>
      <c r="J332" s="3">
        <v>2192.8200000000002</v>
      </c>
      <c r="K332" s="3">
        <v>2204.02</v>
      </c>
      <c r="L332" s="3">
        <v>2191.2199999999998</v>
      </c>
      <c r="M332" s="3">
        <v>2171.81</v>
      </c>
      <c r="N332" s="3">
        <v>2194.41</v>
      </c>
      <c r="O332" s="3">
        <v>2201.4299999999998</v>
      </c>
      <c r="P332" s="3">
        <v>2209.88</v>
      </c>
      <c r="Q332" s="3">
        <v>2188.15</v>
      </c>
      <c r="R332" s="373"/>
      <c r="S332" s="373"/>
      <c r="T332" s="376"/>
      <c r="U332" s="376"/>
      <c r="V332" s="378"/>
      <c r="W332" s="381"/>
      <c r="X332" s="384"/>
      <c r="Y332" s="390"/>
      <c r="Z332" s="182"/>
      <c r="AA332" s="82"/>
      <c r="AB332" s="82"/>
      <c r="AC332" s="82"/>
      <c r="AD332" s="83"/>
      <c r="AE332" s="83"/>
      <c r="AF332" s="83"/>
    </row>
    <row r="333" spans="1:32" ht="30" x14ac:dyDescent="0.3">
      <c r="A333" s="221"/>
      <c r="B333" s="79"/>
      <c r="C333" s="79"/>
      <c r="D333" s="80" t="s">
        <v>188</v>
      </c>
      <c r="E333" s="85">
        <f t="shared" ref="E333:Q333" si="107">IF(((E331="")*AND(E332="")),"",(E331-E332))</f>
        <v>297.7800000000002</v>
      </c>
      <c r="F333" s="85">
        <f t="shared" si="107"/>
        <v>256.79999999999973</v>
      </c>
      <c r="G333" s="85">
        <f t="shared" si="107"/>
        <v>235.44000000000005</v>
      </c>
      <c r="H333" s="85">
        <f t="shared" si="107"/>
        <v>251.33999999999969</v>
      </c>
      <c r="I333" s="85">
        <f t="shared" si="107"/>
        <v>314.38999999999987</v>
      </c>
      <c r="J333" s="85">
        <f t="shared" si="107"/>
        <v>280.42999999999984</v>
      </c>
      <c r="K333" s="85">
        <f t="shared" si="107"/>
        <v>241.63999999999987</v>
      </c>
      <c r="L333" s="85">
        <f t="shared" si="107"/>
        <v>258.15000000000009</v>
      </c>
      <c r="M333" s="85">
        <f t="shared" si="107"/>
        <v>301.07000000000016</v>
      </c>
      <c r="N333" s="85">
        <f t="shared" si="107"/>
        <v>250.49000000000024</v>
      </c>
      <c r="O333" s="85">
        <f t="shared" si="107"/>
        <v>259.24000000000024</v>
      </c>
      <c r="P333" s="85">
        <f t="shared" si="107"/>
        <v>251.69999999999982</v>
      </c>
      <c r="Q333" s="85">
        <f t="shared" si="107"/>
        <v>247.67999999999984</v>
      </c>
      <c r="R333" s="374"/>
      <c r="S333" s="374"/>
      <c r="T333" s="377"/>
      <c r="U333" s="377"/>
      <c r="V333" s="379"/>
      <c r="W333" s="382"/>
      <c r="X333" s="385"/>
      <c r="Y333" s="391"/>
      <c r="Z333" s="182"/>
      <c r="AA333" s="82"/>
      <c r="AB333" s="82"/>
      <c r="AC333" s="82"/>
      <c r="AD333" s="82"/>
      <c r="AE333" s="86"/>
      <c r="AF333" s="82"/>
    </row>
    <row r="334" spans="1:32" ht="15" x14ac:dyDescent="0.25">
      <c r="A334" s="222">
        <v>43507</v>
      </c>
      <c r="B334" s="79" t="s">
        <v>235</v>
      </c>
      <c r="C334" s="79" t="s">
        <v>232</v>
      </c>
      <c r="D334" s="80" t="s">
        <v>186</v>
      </c>
      <c r="E334" s="3">
        <v>2849.96</v>
      </c>
      <c r="F334" s="3">
        <v>2755.01</v>
      </c>
      <c r="G334" s="3">
        <v>2753.85</v>
      </c>
      <c r="H334" s="3">
        <v>2771.65</v>
      </c>
      <c r="I334" s="3">
        <v>2885.12</v>
      </c>
      <c r="J334" s="3">
        <v>2834.1</v>
      </c>
      <c r="K334" s="3">
        <v>2762.27</v>
      </c>
      <c r="L334" s="3">
        <v>2762.72</v>
      </c>
      <c r="M334" s="3">
        <v>2841.26</v>
      </c>
      <c r="N334" s="3">
        <v>2763.81</v>
      </c>
      <c r="O334" s="3">
        <v>2782.77</v>
      </c>
      <c r="P334" s="3">
        <v>2780.46</v>
      </c>
      <c r="Q334" s="3">
        <v>2763.88</v>
      </c>
      <c r="R334" s="372">
        <f>IF((Q335=""),"",MAX(E336:Q336))</f>
        <v>379.95000000000027</v>
      </c>
      <c r="S334" s="372">
        <f>IF(Q335="","",MIN(E336:Q336))</f>
        <v>311.88000000000011</v>
      </c>
      <c r="T334" s="375">
        <f>IF((Q336=""),"",AVERAGE(E336:Q336))</f>
        <v>335.15999999999997</v>
      </c>
      <c r="U334" s="375">
        <f>IF((Q335=""),"",(R334-S334)/(R334+S334)*100)</f>
        <v>9.8391223277394921</v>
      </c>
      <c r="V334" s="375">
        <f>STDEV(E336:Q336)</f>
        <v>27.721439055960566</v>
      </c>
      <c r="W334" s="380" t="str">
        <f>IF(Q335="","",IF(T334&gt;300,IF(U334&lt;14,IF(T334&lt;390,"Pass","Fail"),"Fail"),"Fail"))</f>
        <v>Pass</v>
      </c>
      <c r="X334" s="383">
        <v>1159</v>
      </c>
      <c r="Y334" s="253" t="s">
        <v>223</v>
      </c>
      <c r="Z334" s="182"/>
      <c r="AA334" s="82">
        <v>270</v>
      </c>
      <c r="AB334" s="82">
        <v>370</v>
      </c>
      <c r="AC334" s="82">
        <v>300</v>
      </c>
      <c r="AD334" s="83">
        <v>390</v>
      </c>
      <c r="AE334" s="83">
        <v>20</v>
      </c>
      <c r="AF334" s="83">
        <v>14</v>
      </c>
    </row>
    <row r="335" spans="1:32" ht="15.6" x14ac:dyDescent="0.3">
      <c r="A335" s="221"/>
      <c r="B335" s="84"/>
      <c r="C335" s="84"/>
      <c r="D335" s="80" t="s">
        <v>187</v>
      </c>
      <c r="E335" s="3">
        <v>2471.85</v>
      </c>
      <c r="F335" s="3">
        <v>2442.09</v>
      </c>
      <c r="G335" s="3">
        <v>2441.9699999999998</v>
      </c>
      <c r="H335" s="3">
        <v>2453.15</v>
      </c>
      <c r="I335" s="3">
        <v>2513.2199999999998</v>
      </c>
      <c r="J335" s="3">
        <v>2465.42</v>
      </c>
      <c r="K335" s="3">
        <v>2448.17</v>
      </c>
      <c r="L335" s="3">
        <v>2445.3000000000002</v>
      </c>
      <c r="M335" s="3">
        <v>2461.31</v>
      </c>
      <c r="N335" s="3">
        <v>2441.4299999999998</v>
      </c>
      <c r="O335" s="3">
        <v>2460.9299999999998</v>
      </c>
      <c r="P335" s="3">
        <v>2462.54</v>
      </c>
      <c r="Q335" s="3">
        <v>2442.4</v>
      </c>
      <c r="R335" s="373"/>
      <c r="S335" s="373"/>
      <c r="T335" s="376"/>
      <c r="U335" s="376"/>
      <c r="V335" s="378"/>
      <c r="W335" s="381"/>
      <c r="X335" s="384"/>
      <c r="Y335" s="254"/>
      <c r="Z335" s="182"/>
      <c r="AA335" s="82"/>
      <c r="AB335" s="82"/>
      <c r="AC335" s="82"/>
      <c r="AD335" s="83"/>
      <c r="AE335" s="83"/>
      <c r="AF335" s="83"/>
    </row>
    <row r="336" spans="1:32" ht="30" x14ac:dyDescent="0.3">
      <c r="A336" s="221"/>
      <c r="B336" s="79"/>
      <c r="C336" s="79"/>
      <c r="D336" s="80" t="s">
        <v>188</v>
      </c>
      <c r="E336" s="85">
        <f t="shared" ref="E336:Q336" si="108">IF(((E334="")*AND(E335="")),"",(E334-E335))</f>
        <v>378.11000000000013</v>
      </c>
      <c r="F336" s="85">
        <f t="shared" si="108"/>
        <v>312.92000000000007</v>
      </c>
      <c r="G336" s="85">
        <f t="shared" si="108"/>
        <v>311.88000000000011</v>
      </c>
      <c r="H336" s="85">
        <f t="shared" si="108"/>
        <v>318.5</v>
      </c>
      <c r="I336" s="85">
        <f t="shared" si="108"/>
        <v>371.90000000000009</v>
      </c>
      <c r="J336" s="85">
        <f t="shared" si="108"/>
        <v>368.67999999999984</v>
      </c>
      <c r="K336" s="85">
        <f t="shared" si="108"/>
        <v>314.09999999999991</v>
      </c>
      <c r="L336" s="85">
        <f t="shared" si="108"/>
        <v>317.41999999999962</v>
      </c>
      <c r="M336" s="85">
        <f t="shared" si="108"/>
        <v>379.95000000000027</v>
      </c>
      <c r="N336" s="85">
        <f t="shared" si="108"/>
        <v>322.38000000000011</v>
      </c>
      <c r="O336" s="85">
        <f t="shared" si="108"/>
        <v>321.84000000000015</v>
      </c>
      <c r="P336" s="85">
        <f t="shared" si="108"/>
        <v>317.92000000000007</v>
      </c>
      <c r="Q336" s="85">
        <f t="shared" si="108"/>
        <v>321.48</v>
      </c>
      <c r="R336" s="374"/>
      <c r="S336" s="374"/>
      <c r="T336" s="377"/>
      <c r="U336" s="377"/>
      <c r="V336" s="379"/>
      <c r="W336" s="382"/>
      <c r="X336" s="385"/>
      <c r="Y336" s="255"/>
      <c r="Z336" s="182"/>
      <c r="AA336" s="82"/>
      <c r="AB336" s="82"/>
      <c r="AC336" s="82"/>
      <c r="AD336" s="82"/>
      <c r="AE336" s="86"/>
      <c r="AF336" s="82"/>
    </row>
    <row r="337" spans="1:32" ht="15" x14ac:dyDescent="0.25">
      <c r="A337" s="222">
        <v>43514</v>
      </c>
      <c r="B337" s="79" t="s">
        <v>235</v>
      </c>
      <c r="C337" s="79" t="s">
        <v>232</v>
      </c>
      <c r="D337" s="80" t="s">
        <v>186</v>
      </c>
      <c r="E337" s="3">
        <v>2865.7</v>
      </c>
      <c r="F337" s="3">
        <v>2776.84</v>
      </c>
      <c r="G337" s="3">
        <v>2774.41</v>
      </c>
      <c r="H337" s="3">
        <v>2794.03</v>
      </c>
      <c r="I337" s="3">
        <v>2902.48</v>
      </c>
      <c r="J337" s="3">
        <v>2853.69</v>
      </c>
      <c r="K337" s="3">
        <v>2786.07</v>
      </c>
      <c r="L337" s="3">
        <v>2783.87</v>
      </c>
      <c r="M337" s="3">
        <v>2858.26</v>
      </c>
      <c r="N337" s="3">
        <v>2784.71</v>
      </c>
      <c r="O337" s="3">
        <v>2801.67</v>
      </c>
      <c r="P337" s="3">
        <v>2803.93</v>
      </c>
      <c r="Q337" s="3">
        <v>2784.52</v>
      </c>
      <c r="R337" s="372">
        <f>IF((Q338=""),"",MAX(E339:Q339))</f>
        <v>356.27000000000044</v>
      </c>
      <c r="S337" s="372">
        <f>IF(Q338="","",MIN(E339:Q339))</f>
        <v>299.75</v>
      </c>
      <c r="T337" s="375">
        <f>IF((Q339=""),"",AVERAGE(E339:Q339))</f>
        <v>325.31846153846158</v>
      </c>
      <c r="U337" s="375">
        <f>IF((Q338=""),"",(R337-S337)/(R337+S337)*100)</f>
        <v>8.6155909880796919</v>
      </c>
      <c r="V337" s="375">
        <f>STDEV(E339:Q339)</f>
        <v>19.74067790382497</v>
      </c>
      <c r="W337" s="380" t="str">
        <f>IF(Q338="","",IF(T337&gt;300,IF(U337&lt;14,IF(T337&lt;390,"Pass","Fail"),"Fail"),"Fail"))</f>
        <v>Pass</v>
      </c>
      <c r="X337" s="383">
        <v>1428</v>
      </c>
      <c r="Y337" s="389"/>
      <c r="Z337" s="182"/>
      <c r="AA337" s="82">
        <v>270</v>
      </c>
      <c r="AB337" s="82">
        <v>370</v>
      </c>
      <c r="AC337" s="82">
        <v>300</v>
      </c>
      <c r="AD337" s="83">
        <v>390</v>
      </c>
      <c r="AE337" s="83">
        <v>20</v>
      </c>
      <c r="AF337" s="83">
        <v>14</v>
      </c>
    </row>
    <row r="338" spans="1:32" ht="15.6" x14ac:dyDescent="0.3">
      <c r="A338" s="221"/>
      <c r="B338" s="84"/>
      <c r="C338" s="84"/>
      <c r="D338" s="80" t="s">
        <v>187</v>
      </c>
      <c r="E338" s="3">
        <v>2509.5100000000002</v>
      </c>
      <c r="F338" s="3">
        <v>2467.7399999999998</v>
      </c>
      <c r="G338" s="3">
        <v>2474.66</v>
      </c>
      <c r="H338" s="3">
        <v>2477.3000000000002</v>
      </c>
      <c r="I338" s="3">
        <v>2552.41</v>
      </c>
      <c r="J338" s="3">
        <v>2504.7800000000002</v>
      </c>
      <c r="K338" s="3">
        <v>2472.6999999999998</v>
      </c>
      <c r="L338" s="3">
        <v>2468.36</v>
      </c>
      <c r="M338" s="3">
        <v>2501.9899999999998</v>
      </c>
      <c r="N338" s="3">
        <v>2469.77</v>
      </c>
      <c r="O338" s="3">
        <v>2487.15</v>
      </c>
      <c r="P338" s="3">
        <v>2487.33</v>
      </c>
      <c r="Q338" s="3">
        <v>2467.34</v>
      </c>
      <c r="R338" s="373"/>
      <c r="S338" s="373"/>
      <c r="T338" s="376"/>
      <c r="U338" s="376"/>
      <c r="V338" s="378"/>
      <c r="W338" s="381"/>
      <c r="X338" s="384"/>
      <c r="Y338" s="390"/>
      <c r="Z338" s="182"/>
      <c r="AA338" s="82"/>
      <c r="AB338" s="82"/>
      <c r="AC338" s="82"/>
      <c r="AD338" s="83"/>
      <c r="AE338" s="83"/>
      <c r="AF338" s="83"/>
    </row>
    <row r="339" spans="1:32" ht="30" x14ac:dyDescent="0.3">
      <c r="A339" s="221"/>
      <c r="B339" s="79"/>
      <c r="C339" s="79"/>
      <c r="D339" s="80" t="s">
        <v>188</v>
      </c>
      <c r="E339" s="88">
        <f t="shared" ref="E339:Q339" si="109">IF(((E337="")*AND(E338="")),"",(E337-E338))</f>
        <v>356.1899999999996</v>
      </c>
      <c r="F339" s="88">
        <f t="shared" si="109"/>
        <v>309.10000000000036</v>
      </c>
      <c r="G339" s="88">
        <f t="shared" si="109"/>
        <v>299.75</v>
      </c>
      <c r="H339" s="88">
        <f t="shared" si="109"/>
        <v>316.73</v>
      </c>
      <c r="I339" s="88">
        <f t="shared" si="109"/>
        <v>350.07000000000016</v>
      </c>
      <c r="J339" s="88">
        <f t="shared" si="109"/>
        <v>348.90999999999985</v>
      </c>
      <c r="K339" s="88">
        <f t="shared" si="109"/>
        <v>313.37000000000035</v>
      </c>
      <c r="L339" s="88">
        <f t="shared" si="109"/>
        <v>315.50999999999976</v>
      </c>
      <c r="M339" s="88">
        <f t="shared" si="109"/>
        <v>356.27000000000044</v>
      </c>
      <c r="N339" s="88">
        <f t="shared" si="109"/>
        <v>314.94000000000005</v>
      </c>
      <c r="O339" s="88">
        <f t="shared" si="109"/>
        <v>314.52</v>
      </c>
      <c r="P339" s="88">
        <f t="shared" si="109"/>
        <v>316.59999999999991</v>
      </c>
      <c r="Q339" s="88">
        <f t="shared" si="109"/>
        <v>317.17999999999984</v>
      </c>
      <c r="R339" s="374"/>
      <c r="S339" s="374"/>
      <c r="T339" s="377"/>
      <c r="U339" s="377"/>
      <c r="V339" s="379"/>
      <c r="W339" s="382"/>
      <c r="X339" s="385"/>
      <c r="Y339" s="391"/>
      <c r="Z339" s="182"/>
      <c r="AA339" s="82"/>
      <c r="AB339" s="82"/>
      <c r="AC339" s="82"/>
      <c r="AD339" s="82"/>
      <c r="AE339" s="86"/>
      <c r="AF339" s="82"/>
    </row>
    <row r="340" spans="1:32" ht="15" x14ac:dyDescent="0.25">
      <c r="A340" s="222">
        <v>43517</v>
      </c>
      <c r="B340" s="79" t="s">
        <v>235</v>
      </c>
      <c r="C340" s="79" t="s">
        <v>232</v>
      </c>
      <c r="D340" s="80" t="s">
        <v>186</v>
      </c>
      <c r="E340" s="3">
        <v>2509.2600000000002</v>
      </c>
      <c r="F340" s="3">
        <v>2464.9699999999998</v>
      </c>
      <c r="G340" s="3">
        <v>2464.36</v>
      </c>
      <c r="H340" s="3">
        <v>2479.5500000000002</v>
      </c>
      <c r="I340" s="3">
        <v>2553.2199999999998</v>
      </c>
      <c r="J340" s="3">
        <v>2502.77</v>
      </c>
      <c r="K340" s="3">
        <v>2472.21</v>
      </c>
      <c r="L340" s="3">
        <v>2521.14</v>
      </c>
      <c r="M340" s="3">
        <v>2500.04</v>
      </c>
      <c r="N340" s="3">
        <v>2469.91</v>
      </c>
      <c r="O340" s="3">
        <v>2498.75</v>
      </c>
      <c r="P340" s="3">
        <v>2485.67</v>
      </c>
      <c r="Q340" s="3">
        <v>2470.04</v>
      </c>
      <c r="R340" s="372">
        <f>IF((Q341=""),"",MAX(E342:Q342))</f>
        <v>336.25</v>
      </c>
      <c r="S340" s="372">
        <f>IF(Q341="","",MIN(E342:Q342))</f>
        <v>258.59999999999991</v>
      </c>
      <c r="T340" s="375">
        <f>IF((Q342=""),"",AVERAGE(E342:Q342))</f>
        <v>281.53769230769234</v>
      </c>
      <c r="U340" s="375">
        <f>IF((Q341=""),"",(R340-S340)/(R340+S340)*100)</f>
        <v>13.053711019584787</v>
      </c>
      <c r="V340" s="375">
        <f>STDEV(E342:Q342)</f>
        <v>24.639860035399984</v>
      </c>
      <c r="W340" s="380" t="str">
        <f>IF(Q341="","",IF(T340&gt;300,IF(U340&lt;14,IF(T340&lt;390,"Pass","Fail"),"Fail"),"Fail"))</f>
        <v>Fail</v>
      </c>
      <c r="X340" s="383">
        <v>1428</v>
      </c>
      <c r="Y340" s="389"/>
      <c r="Z340" s="182"/>
      <c r="AA340" s="82">
        <v>270</v>
      </c>
      <c r="AB340" s="82">
        <v>370</v>
      </c>
      <c r="AC340" s="82">
        <v>300</v>
      </c>
      <c r="AD340" s="83">
        <v>390</v>
      </c>
      <c r="AE340" s="83">
        <v>20</v>
      </c>
      <c r="AF340" s="83">
        <v>14</v>
      </c>
    </row>
    <row r="341" spans="1:32" ht="15.6" x14ac:dyDescent="0.3">
      <c r="A341" s="221"/>
      <c r="B341" s="84"/>
      <c r="C341" s="84"/>
      <c r="D341" s="80" t="s">
        <v>187</v>
      </c>
      <c r="E341" s="3">
        <v>2209.5</v>
      </c>
      <c r="F341" s="3">
        <v>2206.1</v>
      </c>
      <c r="G341" s="3">
        <v>2205.7600000000002</v>
      </c>
      <c r="H341" s="3">
        <v>2211.3000000000002</v>
      </c>
      <c r="I341" s="3">
        <v>2216.9699999999998</v>
      </c>
      <c r="J341" s="3">
        <v>2214.09</v>
      </c>
      <c r="K341" s="3">
        <v>2213.4699999999998</v>
      </c>
      <c r="L341" s="3">
        <v>2208.38</v>
      </c>
      <c r="M341" s="3">
        <v>2202.1999999999998</v>
      </c>
      <c r="N341" s="3">
        <v>2211.1999999999998</v>
      </c>
      <c r="O341" s="3">
        <v>2212.92</v>
      </c>
      <c r="P341" s="3">
        <v>2214.83</v>
      </c>
      <c r="Q341" s="3">
        <v>2205.1799999999998</v>
      </c>
      <c r="R341" s="373"/>
      <c r="S341" s="373"/>
      <c r="T341" s="376"/>
      <c r="U341" s="376"/>
      <c r="V341" s="378"/>
      <c r="W341" s="381"/>
      <c r="X341" s="384"/>
      <c r="Y341" s="390"/>
      <c r="Z341" s="182"/>
      <c r="AA341" s="82"/>
      <c r="AB341" s="82"/>
      <c r="AC341" s="82"/>
      <c r="AD341" s="83"/>
      <c r="AE341" s="83"/>
      <c r="AF341" s="83"/>
    </row>
    <row r="342" spans="1:32" ht="30" x14ac:dyDescent="0.3">
      <c r="A342" s="221"/>
      <c r="B342" s="79"/>
      <c r="C342" s="79"/>
      <c r="D342" s="80" t="s">
        <v>188</v>
      </c>
      <c r="E342" s="88">
        <f t="shared" ref="E342:Q342" si="110">IF(((E340="")*AND(E341="")),"",(E340-E341))</f>
        <v>299.76000000000022</v>
      </c>
      <c r="F342" s="88">
        <f t="shared" si="110"/>
        <v>258.86999999999989</v>
      </c>
      <c r="G342" s="88">
        <f t="shared" si="110"/>
        <v>258.59999999999991</v>
      </c>
      <c r="H342" s="88">
        <f t="shared" si="110"/>
        <v>268.25</v>
      </c>
      <c r="I342" s="88">
        <f t="shared" si="110"/>
        <v>336.25</v>
      </c>
      <c r="J342" s="88">
        <f t="shared" si="110"/>
        <v>288.67999999999984</v>
      </c>
      <c r="K342" s="88">
        <f t="shared" si="110"/>
        <v>258.74000000000024</v>
      </c>
      <c r="L342" s="88">
        <f t="shared" si="110"/>
        <v>312.75999999999976</v>
      </c>
      <c r="M342" s="88">
        <f t="shared" si="110"/>
        <v>297.84000000000015</v>
      </c>
      <c r="N342" s="88">
        <f t="shared" si="110"/>
        <v>258.71000000000004</v>
      </c>
      <c r="O342" s="88">
        <f t="shared" si="110"/>
        <v>285.82999999999993</v>
      </c>
      <c r="P342" s="88">
        <f t="shared" si="110"/>
        <v>270.84000000000015</v>
      </c>
      <c r="Q342" s="88">
        <f t="shared" si="110"/>
        <v>264.86000000000013</v>
      </c>
      <c r="R342" s="374"/>
      <c r="S342" s="374"/>
      <c r="T342" s="377"/>
      <c r="U342" s="377"/>
      <c r="V342" s="379"/>
      <c r="W342" s="382"/>
      <c r="X342" s="385"/>
      <c r="Y342" s="391"/>
      <c r="Z342" s="182"/>
      <c r="AA342" s="82"/>
      <c r="AB342" s="82"/>
      <c r="AC342" s="82"/>
      <c r="AD342" s="82"/>
      <c r="AE342" s="86"/>
      <c r="AF342" s="82"/>
    </row>
    <row r="343" spans="1:32" ht="15" x14ac:dyDescent="0.25">
      <c r="A343" s="222">
        <v>43517</v>
      </c>
      <c r="B343" s="79" t="s">
        <v>235</v>
      </c>
      <c r="C343" s="79" t="s">
        <v>232</v>
      </c>
      <c r="D343" s="80" t="s">
        <v>186</v>
      </c>
      <c r="E343" s="3">
        <v>2874.82</v>
      </c>
      <c r="F343" s="3">
        <v>2785.29</v>
      </c>
      <c r="G343" s="3">
        <v>2783.36</v>
      </c>
      <c r="H343" s="3">
        <v>2802.65</v>
      </c>
      <c r="I343" s="3">
        <v>2906.51</v>
      </c>
      <c r="J343" s="3">
        <v>2861.7</v>
      </c>
      <c r="K343" s="3">
        <v>2793.16</v>
      </c>
      <c r="L343" s="3">
        <v>2788.1</v>
      </c>
      <c r="M343" s="3">
        <v>2864.04</v>
      </c>
      <c r="N343" s="3">
        <v>2794.07</v>
      </c>
      <c r="O343" s="3">
        <v>2808.44</v>
      </c>
      <c r="P343" s="3">
        <v>2811.81</v>
      </c>
      <c r="Q343" s="3">
        <v>2792.13</v>
      </c>
      <c r="R343" s="372">
        <f>IF((Q344=""),"",MAX(E345:Q345))</f>
        <v>378.26000000000022</v>
      </c>
      <c r="S343" s="372">
        <f>IF(Q344="","",MIN(E345:Q345))</f>
        <v>313.40000000000009</v>
      </c>
      <c r="T343" s="375">
        <f>IF((Q345=""),"",AVERAGE(E345:Q345))</f>
        <v>336.07615384615389</v>
      </c>
      <c r="U343" s="375">
        <f>IF((Q344=""),"",(R343-S343)/(R343+S343)*100)</f>
        <v>9.3774397825521358</v>
      </c>
      <c r="V343" s="375">
        <f>STDEV(E345:Q345)</f>
        <v>26.634633949822348</v>
      </c>
      <c r="W343" s="380" t="str">
        <f>IF(Q344="","",IF(T343&gt;300,IF(U343&lt;14,IF(T343&lt;390,"Pass","Fail"),"Fail"),"Fail"))</f>
        <v>Pass</v>
      </c>
      <c r="X343" s="383">
        <v>1428</v>
      </c>
      <c r="Y343" s="253" t="s">
        <v>245</v>
      </c>
      <c r="Z343" s="182"/>
      <c r="AA343" s="82">
        <v>270</v>
      </c>
      <c r="AB343" s="82">
        <v>370</v>
      </c>
      <c r="AC343" s="82">
        <v>300</v>
      </c>
      <c r="AD343" s="83">
        <v>390</v>
      </c>
      <c r="AE343" s="83">
        <v>20</v>
      </c>
      <c r="AF343" s="83">
        <v>14</v>
      </c>
    </row>
    <row r="344" spans="1:32" ht="15.6" x14ac:dyDescent="0.3">
      <c r="A344" s="221"/>
      <c r="B344" s="84"/>
      <c r="C344" s="84"/>
      <c r="D344" s="80" t="s">
        <v>187</v>
      </c>
      <c r="E344" s="3">
        <v>2496.56</v>
      </c>
      <c r="F344" s="3">
        <v>2466.3000000000002</v>
      </c>
      <c r="G344" s="3">
        <v>2469.96</v>
      </c>
      <c r="H344" s="3">
        <v>2483.04</v>
      </c>
      <c r="I344" s="3">
        <v>2531.7199999999998</v>
      </c>
      <c r="J344" s="3">
        <v>2492.4499999999998</v>
      </c>
      <c r="K344" s="3">
        <v>2472.39</v>
      </c>
      <c r="L344" s="3">
        <v>2472.4299999999998</v>
      </c>
      <c r="M344" s="3">
        <v>2489.48</v>
      </c>
      <c r="N344" s="3">
        <v>2472.7600000000002</v>
      </c>
      <c r="O344" s="3">
        <v>2489.1</v>
      </c>
      <c r="P344" s="3">
        <v>2489.02</v>
      </c>
      <c r="Q344" s="3">
        <v>2471.88</v>
      </c>
      <c r="R344" s="373"/>
      <c r="S344" s="373"/>
      <c r="T344" s="376"/>
      <c r="U344" s="376"/>
      <c r="V344" s="378"/>
      <c r="W344" s="381"/>
      <c r="X344" s="384"/>
      <c r="Y344" s="254"/>
      <c r="Z344" s="182"/>
      <c r="AA344" s="82"/>
      <c r="AB344" s="82"/>
      <c r="AC344" s="82"/>
      <c r="AD344" s="83"/>
      <c r="AE344" s="83"/>
      <c r="AF344" s="83"/>
    </row>
    <row r="345" spans="1:32" ht="30" x14ac:dyDescent="0.3">
      <c r="A345" s="221"/>
      <c r="B345" s="79"/>
      <c r="C345" s="79"/>
      <c r="D345" s="80" t="s">
        <v>188</v>
      </c>
      <c r="E345" s="88">
        <f t="shared" ref="E345:Q345" si="111">IF(((E343="")*AND(E344="")),"",(E343-E344))</f>
        <v>378.26000000000022</v>
      </c>
      <c r="F345" s="88">
        <f t="shared" si="111"/>
        <v>318.98999999999978</v>
      </c>
      <c r="G345" s="88">
        <f t="shared" si="111"/>
        <v>313.40000000000009</v>
      </c>
      <c r="H345" s="88">
        <f t="shared" si="111"/>
        <v>319.61000000000013</v>
      </c>
      <c r="I345" s="88">
        <f t="shared" si="111"/>
        <v>374.79000000000042</v>
      </c>
      <c r="J345" s="88">
        <f t="shared" si="111"/>
        <v>369.25</v>
      </c>
      <c r="K345" s="88">
        <f t="shared" si="111"/>
        <v>320.77</v>
      </c>
      <c r="L345" s="88">
        <f t="shared" si="111"/>
        <v>315.67000000000007</v>
      </c>
      <c r="M345" s="88">
        <f t="shared" si="111"/>
        <v>374.55999999999995</v>
      </c>
      <c r="N345" s="88">
        <f t="shared" si="111"/>
        <v>321.30999999999995</v>
      </c>
      <c r="O345" s="88">
        <f t="shared" si="111"/>
        <v>319.34000000000015</v>
      </c>
      <c r="P345" s="88">
        <f t="shared" si="111"/>
        <v>322.78999999999996</v>
      </c>
      <c r="Q345" s="88">
        <f t="shared" si="111"/>
        <v>320.25</v>
      </c>
      <c r="R345" s="374"/>
      <c r="S345" s="374"/>
      <c r="T345" s="377"/>
      <c r="U345" s="377"/>
      <c r="V345" s="379"/>
      <c r="W345" s="382"/>
      <c r="X345" s="385"/>
      <c r="Y345" s="255"/>
      <c r="Z345" s="182"/>
      <c r="AA345" s="82"/>
      <c r="AB345" s="82"/>
      <c r="AC345" s="82"/>
      <c r="AD345" s="82"/>
      <c r="AE345" s="86"/>
      <c r="AF345" s="82"/>
    </row>
    <row r="346" spans="1:32" ht="15" x14ac:dyDescent="0.25">
      <c r="A346" s="222">
        <v>43521</v>
      </c>
      <c r="B346" s="79" t="s">
        <v>235</v>
      </c>
      <c r="C346" s="79" t="s">
        <v>232</v>
      </c>
      <c r="D346" s="80" t="s">
        <v>186</v>
      </c>
      <c r="E346" s="3">
        <v>2498.13</v>
      </c>
      <c r="F346" s="3">
        <v>2467.84</v>
      </c>
      <c r="G346" s="3">
        <v>2470.7399999999998</v>
      </c>
      <c r="H346" s="3">
        <v>2483.67</v>
      </c>
      <c r="I346" s="3">
        <v>2537.8200000000002</v>
      </c>
      <c r="J346" s="3">
        <v>2490.69</v>
      </c>
      <c r="K346" s="3">
        <v>2473.23</v>
      </c>
      <c r="L346" s="3">
        <v>2472.91</v>
      </c>
      <c r="M346" s="3">
        <v>2489.1999999999998</v>
      </c>
      <c r="N346" s="3">
        <v>2471.1</v>
      </c>
      <c r="O346" s="3">
        <v>2487.77</v>
      </c>
      <c r="P346" s="3">
        <v>2489.58</v>
      </c>
      <c r="Q346" s="3">
        <v>2472.94</v>
      </c>
      <c r="R346" s="372">
        <f>IF((Q347=""),"",MAX(E348:Q348))</f>
        <v>320.86000000000013</v>
      </c>
      <c r="S346" s="372">
        <f>IF(Q347="","",MIN(E348:Q348))</f>
        <v>265.53999999999996</v>
      </c>
      <c r="T346" s="375">
        <f>IF((Q348=""),"",AVERAGE(E348:Q348))</f>
        <v>283.18999999999994</v>
      </c>
      <c r="U346" s="375">
        <f>IF((Q347=""),"",(R346-S346)/(R346+S346)*100)</f>
        <v>9.4338335607094397</v>
      </c>
      <c r="V346" s="375">
        <f>STDEV(E348:Q348)</f>
        <v>14.642079770305905</v>
      </c>
      <c r="W346" s="380" t="str">
        <f>IF(Q347="","",IF(T346&gt;300,IF(U346&lt;14,IF(T346&lt;390,"Pass","Fail"),"Fail"),"Fail"))</f>
        <v>Fail</v>
      </c>
      <c r="X346" s="383">
        <v>121</v>
      </c>
      <c r="Y346" s="389"/>
      <c r="Z346" s="182"/>
      <c r="AA346" s="82">
        <v>270</v>
      </c>
      <c r="AB346" s="82">
        <v>370</v>
      </c>
      <c r="AC346" s="82">
        <v>300</v>
      </c>
      <c r="AD346" s="83">
        <v>390</v>
      </c>
      <c r="AE346" s="83">
        <v>20</v>
      </c>
      <c r="AF346" s="83">
        <v>14</v>
      </c>
    </row>
    <row r="347" spans="1:32" ht="15.6" x14ac:dyDescent="0.3">
      <c r="A347" s="221"/>
      <c r="B347" s="84"/>
      <c r="C347" s="84"/>
      <c r="D347" s="80" t="s">
        <v>187</v>
      </c>
      <c r="E347" s="3">
        <v>2203.5500000000002</v>
      </c>
      <c r="F347" s="3">
        <v>2196.4</v>
      </c>
      <c r="G347" s="3">
        <v>2195.98</v>
      </c>
      <c r="H347" s="3">
        <v>2198.12</v>
      </c>
      <c r="I347" s="3">
        <v>2216.96</v>
      </c>
      <c r="J347" s="3">
        <v>2210.39</v>
      </c>
      <c r="K347" s="3">
        <v>2207.69</v>
      </c>
      <c r="L347" s="3">
        <v>2195.5100000000002</v>
      </c>
      <c r="M347" s="3">
        <v>2194.5100000000002</v>
      </c>
      <c r="N347" s="3">
        <v>2204.5100000000002</v>
      </c>
      <c r="O347" s="3">
        <v>2202.39</v>
      </c>
      <c r="P347" s="3">
        <v>2202.85</v>
      </c>
      <c r="Q347" s="3">
        <v>2195.29</v>
      </c>
      <c r="R347" s="373"/>
      <c r="S347" s="373"/>
      <c r="T347" s="376"/>
      <c r="U347" s="376"/>
      <c r="V347" s="378"/>
      <c r="W347" s="381"/>
      <c r="X347" s="384"/>
      <c r="Y347" s="390"/>
      <c r="Z347" s="182"/>
      <c r="AA347" s="82"/>
      <c r="AB347" s="82"/>
      <c r="AC347" s="82"/>
      <c r="AD347" s="83"/>
      <c r="AE347" s="83"/>
      <c r="AF347" s="83"/>
    </row>
    <row r="348" spans="1:32" ht="30" x14ac:dyDescent="0.3">
      <c r="A348" s="221"/>
      <c r="B348" s="79"/>
      <c r="C348" s="79"/>
      <c r="D348" s="80" t="s">
        <v>188</v>
      </c>
      <c r="E348" s="88">
        <f t="shared" ref="E348:Q348" si="112">IF(((E346="")*AND(E347="")),"",(E346-E347))</f>
        <v>294.57999999999993</v>
      </c>
      <c r="F348" s="88">
        <f t="shared" si="112"/>
        <v>271.44000000000005</v>
      </c>
      <c r="G348" s="88">
        <f t="shared" si="112"/>
        <v>274.75999999999976</v>
      </c>
      <c r="H348" s="88">
        <f t="shared" si="112"/>
        <v>285.55000000000018</v>
      </c>
      <c r="I348" s="88">
        <f t="shared" si="112"/>
        <v>320.86000000000013</v>
      </c>
      <c r="J348" s="88">
        <f t="shared" si="112"/>
        <v>280.30000000000018</v>
      </c>
      <c r="K348" s="88">
        <f t="shared" si="112"/>
        <v>265.53999999999996</v>
      </c>
      <c r="L348" s="88">
        <f t="shared" si="112"/>
        <v>277.39999999999964</v>
      </c>
      <c r="M348" s="88">
        <f t="shared" si="112"/>
        <v>294.6899999999996</v>
      </c>
      <c r="N348" s="88">
        <f t="shared" si="112"/>
        <v>266.58999999999969</v>
      </c>
      <c r="O348" s="88">
        <f t="shared" si="112"/>
        <v>285.38000000000011</v>
      </c>
      <c r="P348" s="88">
        <f t="shared" si="112"/>
        <v>286.73</v>
      </c>
      <c r="Q348" s="88">
        <f t="shared" si="112"/>
        <v>277.65000000000009</v>
      </c>
      <c r="R348" s="374"/>
      <c r="S348" s="374"/>
      <c r="T348" s="377"/>
      <c r="U348" s="377"/>
      <c r="V348" s="379"/>
      <c r="W348" s="382"/>
      <c r="X348" s="385"/>
      <c r="Y348" s="391"/>
      <c r="Z348" s="182"/>
      <c r="AA348" s="82"/>
      <c r="AB348" s="82"/>
      <c r="AC348" s="82"/>
      <c r="AD348" s="82"/>
      <c r="AE348" s="86"/>
      <c r="AF348" s="82"/>
    </row>
    <row r="349" spans="1:32" ht="15" x14ac:dyDescent="0.25">
      <c r="A349" s="222">
        <v>43521</v>
      </c>
      <c r="B349" s="79" t="s">
        <v>235</v>
      </c>
      <c r="C349" s="79" t="s">
        <v>232</v>
      </c>
      <c r="D349" s="80" t="s">
        <v>186</v>
      </c>
      <c r="E349" s="3">
        <v>2875.42</v>
      </c>
      <c r="F349" s="3">
        <v>2793.37</v>
      </c>
      <c r="G349" s="3">
        <v>2791.22</v>
      </c>
      <c r="H349" s="3">
        <v>2805.69</v>
      </c>
      <c r="I349" s="3">
        <v>2911.96</v>
      </c>
      <c r="J349" s="3">
        <v>2865.66</v>
      </c>
      <c r="K349" s="3">
        <v>2798.54</v>
      </c>
      <c r="L349" s="3">
        <v>2798.8</v>
      </c>
      <c r="M349" s="3">
        <v>2876.61</v>
      </c>
      <c r="N349" s="3">
        <v>2802.08</v>
      </c>
      <c r="O349" s="3">
        <v>2821.55</v>
      </c>
      <c r="P349" s="3">
        <v>2814.7</v>
      </c>
      <c r="Q349" s="3">
        <v>2796.65</v>
      </c>
      <c r="R349" s="372">
        <f>IF((Q350=""),"",MAX(E351:Q351))</f>
        <v>381.74000000000024</v>
      </c>
      <c r="S349" s="372">
        <f>IF(Q350="","",MIN(E351:Q351))</f>
        <v>313.26000000000022</v>
      </c>
      <c r="T349" s="375">
        <f>IF((Q351=""),"",AVERAGE(E351:Q351))</f>
        <v>336.78769230769228</v>
      </c>
      <c r="U349" s="375">
        <f>IF((Q350=""),"",(R349-S349)/(R349+S349)*100)</f>
        <v>9.8532374100719391</v>
      </c>
      <c r="V349" s="375">
        <f>STDEV(E351:Q351)</f>
        <v>28.313722866555434</v>
      </c>
      <c r="W349" s="380" t="str">
        <f>IF(Q350="","",IF(T349&gt;300,IF(U349&lt;14,IF(T349&lt;390,"Pass","Fail"),"Fail"),"Fail"))</f>
        <v>Pass</v>
      </c>
      <c r="X349" s="383">
        <v>121</v>
      </c>
      <c r="Y349" s="253" t="s">
        <v>224</v>
      </c>
      <c r="Z349" s="182"/>
      <c r="AA349" s="82">
        <v>270</v>
      </c>
      <c r="AB349" s="82">
        <v>370</v>
      </c>
      <c r="AC349" s="82">
        <v>300</v>
      </c>
      <c r="AD349" s="83">
        <v>390</v>
      </c>
      <c r="AE349" s="83">
        <v>20</v>
      </c>
      <c r="AF349" s="83">
        <v>14</v>
      </c>
    </row>
    <row r="350" spans="1:32" ht="15.6" x14ac:dyDescent="0.3">
      <c r="A350" s="221"/>
      <c r="B350" s="84"/>
      <c r="C350" s="84"/>
      <c r="D350" s="80" t="s">
        <v>187</v>
      </c>
      <c r="E350" s="3">
        <v>2499.6</v>
      </c>
      <c r="F350" s="3">
        <v>2476.63</v>
      </c>
      <c r="G350" s="3">
        <v>2476.3200000000002</v>
      </c>
      <c r="H350" s="3">
        <v>2492.4299999999998</v>
      </c>
      <c r="I350" s="3">
        <v>2535.46</v>
      </c>
      <c r="J350" s="3">
        <v>2490.8000000000002</v>
      </c>
      <c r="K350" s="3">
        <v>2477.25</v>
      </c>
      <c r="L350" s="3">
        <v>2481.16</v>
      </c>
      <c r="M350" s="3">
        <v>2494.87</v>
      </c>
      <c r="N350" s="3">
        <v>2476.0500000000002</v>
      </c>
      <c r="O350" s="3">
        <v>2497.48</v>
      </c>
      <c r="P350" s="3">
        <v>2496.19</v>
      </c>
      <c r="Q350" s="3">
        <v>2479.77</v>
      </c>
      <c r="R350" s="373"/>
      <c r="S350" s="373"/>
      <c r="T350" s="376"/>
      <c r="U350" s="376"/>
      <c r="V350" s="378"/>
      <c r="W350" s="381"/>
      <c r="X350" s="384"/>
      <c r="Y350" s="254"/>
      <c r="Z350" s="182"/>
      <c r="AA350" s="82"/>
      <c r="AB350" s="82"/>
      <c r="AC350" s="82"/>
      <c r="AD350" s="83"/>
      <c r="AE350" s="83"/>
      <c r="AF350" s="83"/>
    </row>
    <row r="351" spans="1:32" ht="30" x14ac:dyDescent="0.3">
      <c r="A351" s="221"/>
      <c r="B351" s="79"/>
      <c r="C351" s="79"/>
      <c r="D351" s="80" t="s">
        <v>188</v>
      </c>
      <c r="E351" s="88">
        <f t="shared" ref="E351:Q351" si="113">IF(((E349="")*AND(E350="")),"",(E349-E350))</f>
        <v>375.82000000000016</v>
      </c>
      <c r="F351" s="88">
        <f t="shared" si="113"/>
        <v>316.73999999999978</v>
      </c>
      <c r="G351" s="88">
        <f t="shared" si="113"/>
        <v>314.89999999999964</v>
      </c>
      <c r="H351" s="88">
        <f t="shared" si="113"/>
        <v>313.26000000000022</v>
      </c>
      <c r="I351" s="88">
        <f t="shared" si="113"/>
        <v>376.5</v>
      </c>
      <c r="J351" s="88">
        <f t="shared" si="113"/>
        <v>374.85999999999967</v>
      </c>
      <c r="K351" s="88">
        <f t="shared" si="113"/>
        <v>321.28999999999996</v>
      </c>
      <c r="L351" s="88">
        <f t="shared" si="113"/>
        <v>317.64000000000033</v>
      </c>
      <c r="M351" s="88">
        <f t="shared" si="113"/>
        <v>381.74000000000024</v>
      </c>
      <c r="N351" s="88">
        <f t="shared" si="113"/>
        <v>326.02999999999975</v>
      </c>
      <c r="O351" s="88">
        <f t="shared" si="113"/>
        <v>324.07000000000016</v>
      </c>
      <c r="P351" s="88">
        <f t="shared" si="113"/>
        <v>318.50999999999976</v>
      </c>
      <c r="Q351" s="88">
        <f t="shared" si="113"/>
        <v>316.88000000000011</v>
      </c>
      <c r="R351" s="374"/>
      <c r="S351" s="374"/>
      <c r="T351" s="377"/>
      <c r="U351" s="377"/>
      <c r="V351" s="379"/>
      <c r="W351" s="382"/>
      <c r="X351" s="385"/>
      <c r="Y351" s="255"/>
      <c r="Z351" s="182"/>
      <c r="AA351" s="82"/>
      <c r="AB351" s="82"/>
      <c r="AC351" s="82"/>
      <c r="AD351" s="82"/>
      <c r="AE351" s="86"/>
      <c r="AF351" s="82"/>
    </row>
    <row r="352" spans="1:32" ht="15" x14ac:dyDescent="0.25">
      <c r="A352" s="222">
        <v>43524</v>
      </c>
      <c r="B352" s="79" t="s">
        <v>235</v>
      </c>
      <c r="C352" s="79" t="s">
        <v>232</v>
      </c>
      <c r="D352" s="80" t="s">
        <v>186</v>
      </c>
      <c r="E352" s="3">
        <v>2878.46</v>
      </c>
      <c r="F352" s="3">
        <v>2788.89</v>
      </c>
      <c r="G352" s="3">
        <v>2786.74</v>
      </c>
      <c r="H352" s="3">
        <v>2802.45</v>
      </c>
      <c r="I352" s="3">
        <v>2907.56</v>
      </c>
      <c r="J352" s="3">
        <v>2861.27</v>
      </c>
      <c r="K352" s="3">
        <v>2791.39</v>
      </c>
      <c r="L352" s="3">
        <v>2792.67</v>
      </c>
      <c r="M352" s="3">
        <v>2868.27</v>
      </c>
      <c r="N352" s="3">
        <v>2798.63</v>
      </c>
      <c r="O352" s="3">
        <v>2811.25</v>
      </c>
      <c r="P352" s="3">
        <v>2811.48</v>
      </c>
      <c r="Q352" s="3">
        <v>2799.22</v>
      </c>
      <c r="R352" s="372">
        <f>IF((Q353=""),"",MAX(E354:Q354))</f>
        <v>373.17000000000007</v>
      </c>
      <c r="S352" s="372">
        <f>IF(Q353="","",MIN(E354:Q354))</f>
        <v>319.69999999999982</v>
      </c>
      <c r="T352" s="375">
        <f>IF((Q354=""),"",AVERAGE(E354:Q354))</f>
        <v>337.88538461538457</v>
      </c>
      <c r="U352" s="375">
        <f>IF((Q353=""),"",(R352-S352)/(R352+S352)*100)</f>
        <v>7.7171763822939745</v>
      </c>
      <c r="V352" s="375">
        <f>STDEV(E354:Q354)</f>
        <v>20.498719315843715</v>
      </c>
      <c r="W352" s="380" t="str">
        <f>IF(Q353="","",IF(T352&gt;300,IF(U352&lt;14,IF(T352&lt;390,"Pass","Fail"),"Fail"),"Fail"))</f>
        <v>Pass</v>
      </c>
      <c r="X352" s="383" t="s">
        <v>99</v>
      </c>
      <c r="Y352" s="253" t="s">
        <v>225</v>
      </c>
      <c r="Z352" s="182"/>
      <c r="AA352" s="82">
        <v>270</v>
      </c>
      <c r="AB352" s="82">
        <v>370</v>
      </c>
      <c r="AC352" s="82">
        <v>300</v>
      </c>
      <c r="AD352" s="83">
        <v>390</v>
      </c>
      <c r="AE352" s="83">
        <v>20</v>
      </c>
      <c r="AF352" s="83">
        <v>14</v>
      </c>
    </row>
    <row r="353" spans="1:32" ht="15.6" x14ac:dyDescent="0.3">
      <c r="A353" s="221"/>
      <c r="B353" s="84"/>
      <c r="C353" s="84"/>
      <c r="D353" s="80" t="s">
        <v>187</v>
      </c>
      <c r="E353" s="3">
        <v>2505.29</v>
      </c>
      <c r="F353" s="3">
        <v>2465.83</v>
      </c>
      <c r="G353" s="3">
        <v>2465.5700000000002</v>
      </c>
      <c r="H353" s="3">
        <v>2477.1</v>
      </c>
      <c r="I353" s="3">
        <v>2545.7800000000002</v>
      </c>
      <c r="J353" s="3">
        <v>2498.65</v>
      </c>
      <c r="K353" s="3">
        <v>2471.69</v>
      </c>
      <c r="L353" s="3">
        <v>2465.21</v>
      </c>
      <c r="M353" s="3">
        <v>2498.31</v>
      </c>
      <c r="N353" s="3">
        <v>2471.35</v>
      </c>
      <c r="O353" s="3">
        <v>2484.79</v>
      </c>
      <c r="P353" s="3">
        <v>2487.46</v>
      </c>
      <c r="Q353" s="3">
        <v>2468.7399999999998</v>
      </c>
      <c r="R353" s="373"/>
      <c r="S353" s="373"/>
      <c r="T353" s="376"/>
      <c r="U353" s="376"/>
      <c r="V353" s="378"/>
      <c r="W353" s="381"/>
      <c r="X353" s="384"/>
      <c r="Y353" s="254"/>
      <c r="Z353" s="182"/>
      <c r="AA353" s="82"/>
      <c r="AB353" s="82"/>
      <c r="AC353" s="82"/>
      <c r="AD353" s="83"/>
      <c r="AE353" s="83"/>
      <c r="AF353" s="83"/>
    </row>
    <row r="354" spans="1:32" ht="30" x14ac:dyDescent="0.3">
      <c r="A354" s="221"/>
      <c r="B354" s="79"/>
      <c r="C354" s="79"/>
      <c r="D354" s="80" t="s">
        <v>188</v>
      </c>
      <c r="E354" s="88">
        <f t="shared" ref="E354:Q354" si="114">IF(((E352="")*AND(E353="")),"",(E352-E353))</f>
        <v>373.17000000000007</v>
      </c>
      <c r="F354" s="88">
        <f t="shared" si="114"/>
        <v>323.05999999999995</v>
      </c>
      <c r="G354" s="88">
        <f t="shared" si="114"/>
        <v>321.16999999999962</v>
      </c>
      <c r="H354" s="88">
        <f t="shared" si="114"/>
        <v>325.34999999999991</v>
      </c>
      <c r="I354" s="88">
        <f t="shared" si="114"/>
        <v>361.77999999999975</v>
      </c>
      <c r="J354" s="88">
        <f t="shared" si="114"/>
        <v>362.61999999999989</v>
      </c>
      <c r="K354" s="88">
        <f t="shared" si="114"/>
        <v>319.69999999999982</v>
      </c>
      <c r="L354" s="88">
        <f t="shared" si="114"/>
        <v>327.46000000000004</v>
      </c>
      <c r="M354" s="88">
        <f t="shared" si="114"/>
        <v>369.96000000000004</v>
      </c>
      <c r="N354" s="88">
        <f t="shared" si="114"/>
        <v>327.2800000000002</v>
      </c>
      <c r="O354" s="88">
        <f t="shared" si="114"/>
        <v>326.46000000000004</v>
      </c>
      <c r="P354" s="88">
        <f t="shared" si="114"/>
        <v>324.02</v>
      </c>
      <c r="Q354" s="88">
        <f t="shared" si="114"/>
        <v>330.48</v>
      </c>
      <c r="R354" s="374"/>
      <c r="S354" s="374"/>
      <c r="T354" s="377"/>
      <c r="U354" s="377"/>
      <c r="V354" s="379"/>
      <c r="W354" s="382"/>
      <c r="X354" s="385"/>
      <c r="Y354" s="255"/>
      <c r="Z354" s="182"/>
      <c r="AA354" s="82"/>
      <c r="AB354" s="82"/>
      <c r="AC354" s="82"/>
      <c r="AD354" s="82"/>
      <c r="AE354" s="86"/>
      <c r="AF354" s="82"/>
    </row>
    <row r="355" spans="1:32" ht="15" x14ac:dyDescent="0.25">
      <c r="A355" s="222">
        <v>43528</v>
      </c>
      <c r="B355" s="79" t="s">
        <v>235</v>
      </c>
      <c r="C355" s="79" t="s">
        <v>232</v>
      </c>
      <c r="D355" s="80" t="s">
        <v>186</v>
      </c>
      <c r="E355" s="3">
        <v>2504.58</v>
      </c>
      <c r="F355" s="3">
        <v>2461.31</v>
      </c>
      <c r="G355" s="3">
        <v>2463.25</v>
      </c>
      <c r="H355" s="3">
        <v>2474.88</v>
      </c>
      <c r="I355" s="3">
        <v>2544.9899999999998</v>
      </c>
      <c r="J355" s="3">
        <v>2499.89</v>
      </c>
      <c r="K355" s="3">
        <v>2472.29</v>
      </c>
      <c r="L355" s="3">
        <v>2457.3200000000002</v>
      </c>
      <c r="M355" s="3">
        <v>2498.12</v>
      </c>
      <c r="N355" s="3">
        <v>2469.38</v>
      </c>
      <c r="O355" s="3">
        <v>2480.23</v>
      </c>
      <c r="P355" s="3">
        <v>2489.9699999999998</v>
      </c>
      <c r="Q355" s="3">
        <v>2471.4</v>
      </c>
      <c r="R355" s="372">
        <f>IF((Q356=""),"",MAX(E357:Q357))</f>
        <v>338.52</v>
      </c>
      <c r="S355" s="372">
        <f>IF(Q356="","",MIN(E357:Q357))</f>
        <v>252.43000000000029</v>
      </c>
      <c r="T355" s="375">
        <f>IF((Q357=""),"",AVERAGE(E357:Q357))</f>
        <v>276.28307692307692</v>
      </c>
      <c r="U355" s="375">
        <f>IF((Q356=""),"",(R355-S355)/(R355+S355)*100)</f>
        <v>14.568068364497783</v>
      </c>
      <c r="V355" s="375">
        <f>STDEV(E357:Q357)</f>
        <v>23.696987988847578</v>
      </c>
      <c r="W355" s="380" t="str">
        <f>IF(Q356="","",IF(T355&gt;300,IF(U355&lt;14,IF(T355&lt;390,"Pass","Fail"),"Fail"),"Fail"))</f>
        <v>Fail</v>
      </c>
      <c r="X355" s="383">
        <v>74</v>
      </c>
      <c r="Y355" s="389"/>
      <c r="Z355" s="182"/>
      <c r="AA355" s="82">
        <v>270</v>
      </c>
      <c r="AB355" s="82">
        <v>370</v>
      </c>
      <c r="AC355" s="82">
        <v>300</v>
      </c>
      <c r="AD355" s="83">
        <v>390</v>
      </c>
      <c r="AE355" s="83">
        <v>20</v>
      </c>
      <c r="AF355" s="83">
        <v>14</v>
      </c>
    </row>
    <row r="356" spans="1:32" ht="15.6" x14ac:dyDescent="0.3">
      <c r="A356" s="221"/>
      <c r="B356" s="84"/>
      <c r="C356" s="84"/>
      <c r="D356" s="80" t="s">
        <v>187</v>
      </c>
      <c r="E356" s="3">
        <v>2206.25</v>
      </c>
      <c r="F356" s="3">
        <v>2203.42</v>
      </c>
      <c r="G356" s="3">
        <v>2207.64</v>
      </c>
      <c r="H356" s="3">
        <v>2209.9299999999998</v>
      </c>
      <c r="I356" s="3">
        <v>2206.4699999999998</v>
      </c>
      <c r="J356" s="3">
        <v>2211.13</v>
      </c>
      <c r="K356" s="3">
        <v>2213.21</v>
      </c>
      <c r="L356" s="3">
        <v>2204.89</v>
      </c>
      <c r="M356" s="3">
        <v>2206.6</v>
      </c>
      <c r="N356" s="3">
        <v>2206.08</v>
      </c>
      <c r="O356" s="3">
        <v>2207.23</v>
      </c>
      <c r="P356" s="3">
        <v>2211.15</v>
      </c>
      <c r="Q356" s="3">
        <v>2201.9299999999998</v>
      </c>
      <c r="R356" s="373"/>
      <c r="S356" s="373"/>
      <c r="T356" s="376"/>
      <c r="U356" s="376"/>
      <c r="V356" s="378"/>
      <c r="W356" s="381"/>
      <c r="X356" s="384"/>
      <c r="Y356" s="390"/>
      <c r="Z356" s="182"/>
      <c r="AA356" s="82"/>
      <c r="AB356" s="82"/>
      <c r="AC356" s="82"/>
      <c r="AD356" s="83"/>
      <c r="AE356" s="83"/>
      <c r="AF356" s="83"/>
    </row>
    <row r="357" spans="1:32" ht="30" x14ac:dyDescent="0.3">
      <c r="A357" s="221"/>
      <c r="B357" s="79"/>
      <c r="C357" s="79"/>
      <c r="D357" s="80" t="s">
        <v>188</v>
      </c>
      <c r="E357" s="88">
        <f t="shared" ref="E357:Q357" si="115">IF(((E355="")*AND(E356="")),"",(E355-E356))</f>
        <v>298.32999999999993</v>
      </c>
      <c r="F357" s="88">
        <f t="shared" si="115"/>
        <v>257.88999999999987</v>
      </c>
      <c r="G357" s="88">
        <f t="shared" si="115"/>
        <v>255.61000000000013</v>
      </c>
      <c r="H357" s="88">
        <f t="shared" si="115"/>
        <v>264.95000000000027</v>
      </c>
      <c r="I357" s="88">
        <f t="shared" si="115"/>
        <v>338.52</v>
      </c>
      <c r="J357" s="88">
        <f t="shared" si="115"/>
        <v>288.75999999999976</v>
      </c>
      <c r="K357" s="88">
        <f t="shared" si="115"/>
        <v>259.07999999999993</v>
      </c>
      <c r="L357" s="88">
        <f t="shared" si="115"/>
        <v>252.43000000000029</v>
      </c>
      <c r="M357" s="88">
        <f t="shared" si="115"/>
        <v>291.52</v>
      </c>
      <c r="N357" s="88">
        <f t="shared" si="115"/>
        <v>263.30000000000018</v>
      </c>
      <c r="O357" s="88">
        <f t="shared" si="115"/>
        <v>273</v>
      </c>
      <c r="P357" s="88">
        <f t="shared" si="115"/>
        <v>278.81999999999971</v>
      </c>
      <c r="Q357" s="88">
        <f t="shared" si="115"/>
        <v>269.47000000000025</v>
      </c>
      <c r="R357" s="374"/>
      <c r="S357" s="374"/>
      <c r="T357" s="377"/>
      <c r="U357" s="377"/>
      <c r="V357" s="379"/>
      <c r="W357" s="382"/>
      <c r="X357" s="385"/>
      <c r="Y357" s="391"/>
      <c r="Z357" s="182"/>
      <c r="AA357" s="82"/>
      <c r="AB357" s="82"/>
      <c r="AC357" s="82"/>
      <c r="AD357" s="82"/>
      <c r="AE357" s="86"/>
      <c r="AF357" s="82"/>
    </row>
    <row r="358" spans="1:32" ht="15" x14ac:dyDescent="0.25">
      <c r="A358" s="222">
        <v>43529</v>
      </c>
      <c r="B358" s="79" t="s">
        <v>235</v>
      </c>
      <c r="C358" s="79" t="s">
        <v>232</v>
      </c>
      <c r="D358" s="80" t="s">
        <v>186</v>
      </c>
      <c r="E358" s="3">
        <v>2880.36</v>
      </c>
      <c r="F358" s="3">
        <v>2797.64</v>
      </c>
      <c r="G358" s="3">
        <v>2795.71</v>
      </c>
      <c r="H358" s="3">
        <v>2811.92</v>
      </c>
      <c r="I358" s="3">
        <v>2915.07</v>
      </c>
      <c r="J358" s="3">
        <v>2878.49</v>
      </c>
      <c r="K358" s="3">
        <v>2805.31</v>
      </c>
      <c r="L358" s="3">
        <v>2798.34</v>
      </c>
      <c r="M358" s="3">
        <v>2870.47</v>
      </c>
      <c r="N358" s="3">
        <v>2806.53</v>
      </c>
      <c r="O358" s="3">
        <v>2819.35</v>
      </c>
      <c r="P358" s="3">
        <v>2821.44</v>
      </c>
      <c r="Q358" s="3">
        <v>2806.55</v>
      </c>
      <c r="R358" s="372">
        <f>IF((Q359=""),"",MAX(E360:Q360))</f>
        <v>372.95000000000027</v>
      </c>
      <c r="S358" s="372">
        <f>IF(Q359="","",MIN(E360:Q360))</f>
        <v>315.92999999999984</v>
      </c>
      <c r="T358" s="375">
        <f>IF((Q360=""),"",AVERAGE(E360:Q360))</f>
        <v>335.38076923076926</v>
      </c>
      <c r="U358" s="375">
        <f>IF((Q359=""),"",(R358-S358)/(R358+S358)*100)</f>
        <v>8.2772035768204084</v>
      </c>
      <c r="V358" s="375">
        <f>STDEV(E360:Q360)</f>
        <v>24.232359721915394</v>
      </c>
      <c r="W358" s="380" t="str">
        <f>IF(Q359="","",IF(T358&gt;300,IF(U358&lt;14,IF(T358&lt;390,"Pass","Fail"),"Fail"),"Fail"))</f>
        <v>Pass</v>
      </c>
      <c r="X358" s="383" t="s">
        <v>217</v>
      </c>
      <c r="Y358" s="389"/>
      <c r="Z358" s="182"/>
      <c r="AA358" s="82">
        <v>270</v>
      </c>
      <c r="AB358" s="82">
        <v>370</v>
      </c>
      <c r="AC358" s="82">
        <v>300</v>
      </c>
      <c r="AD358" s="83">
        <v>390</v>
      </c>
      <c r="AE358" s="83">
        <v>20</v>
      </c>
      <c r="AF358" s="83">
        <v>14</v>
      </c>
    </row>
    <row r="359" spans="1:32" ht="15.6" x14ac:dyDescent="0.3">
      <c r="A359" s="221"/>
      <c r="B359" s="84"/>
      <c r="C359" s="84"/>
      <c r="D359" s="80" t="s">
        <v>187</v>
      </c>
      <c r="E359" s="3">
        <v>2513.86</v>
      </c>
      <c r="F359" s="3">
        <v>2477.39</v>
      </c>
      <c r="G359" s="3">
        <v>2479.11</v>
      </c>
      <c r="H359" s="3">
        <v>2491.87</v>
      </c>
      <c r="I359" s="3">
        <v>2542.12</v>
      </c>
      <c r="J359" s="3">
        <v>2509.37</v>
      </c>
      <c r="K359" s="3">
        <v>2489.38</v>
      </c>
      <c r="L359" s="3">
        <v>2481.4899999999998</v>
      </c>
      <c r="M359" s="3">
        <v>2498.9899999999998</v>
      </c>
      <c r="N359" s="3">
        <v>2487.23</v>
      </c>
      <c r="O359" s="3">
        <v>2492.6799999999998</v>
      </c>
      <c r="P359" s="3">
        <v>2499.96</v>
      </c>
      <c r="Q359" s="3">
        <v>2483.7800000000002</v>
      </c>
      <c r="R359" s="373"/>
      <c r="S359" s="373"/>
      <c r="T359" s="376"/>
      <c r="U359" s="376"/>
      <c r="V359" s="378"/>
      <c r="W359" s="381"/>
      <c r="X359" s="384"/>
      <c r="Y359" s="390"/>
      <c r="Z359" s="182"/>
      <c r="AA359" s="82"/>
      <c r="AB359" s="82"/>
      <c r="AC359" s="82"/>
      <c r="AD359" s="83"/>
      <c r="AE359" s="83"/>
      <c r="AF359" s="83"/>
    </row>
    <row r="360" spans="1:32" ht="30" x14ac:dyDescent="0.3">
      <c r="A360" s="221"/>
      <c r="B360" s="79"/>
      <c r="C360" s="79"/>
      <c r="D360" s="80" t="s">
        <v>188</v>
      </c>
      <c r="E360" s="88">
        <f t="shared" ref="E360:Q360" si="116">IF(((E358="")*AND(E359="")),"",(E358-E359))</f>
        <v>366.5</v>
      </c>
      <c r="F360" s="88">
        <f t="shared" si="116"/>
        <v>320.25</v>
      </c>
      <c r="G360" s="88">
        <f t="shared" si="116"/>
        <v>316.59999999999991</v>
      </c>
      <c r="H360" s="88">
        <f t="shared" si="116"/>
        <v>320.05000000000018</v>
      </c>
      <c r="I360" s="88">
        <f t="shared" si="116"/>
        <v>372.95000000000027</v>
      </c>
      <c r="J360" s="88">
        <f t="shared" si="116"/>
        <v>369.11999999999989</v>
      </c>
      <c r="K360" s="88">
        <f t="shared" si="116"/>
        <v>315.92999999999984</v>
      </c>
      <c r="L360" s="88">
        <f t="shared" si="116"/>
        <v>316.85000000000036</v>
      </c>
      <c r="M360" s="88">
        <f t="shared" si="116"/>
        <v>371.48</v>
      </c>
      <c r="N360" s="88">
        <f t="shared" si="116"/>
        <v>319.30000000000018</v>
      </c>
      <c r="O360" s="88">
        <f t="shared" si="116"/>
        <v>326.67000000000007</v>
      </c>
      <c r="P360" s="88">
        <f t="shared" si="116"/>
        <v>321.48</v>
      </c>
      <c r="Q360" s="88">
        <f t="shared" si="116"/>
        <v>322.77</v>
      </c>
      <c r="R360" s="374"/>
      <c r="S360" s="374"/>
      <c r="T360" s="377"/>
      <c r="U360" s="377"/>
      <c r="V360" s="379"/>
      <c r="W360" s="382"/>
      <c r="X360" s="385"/>
      <c r="Y360" s="391"/>
      <c r="Z360" s="182"/>
      <c r="AA360" s="82"/>
      <c r="AB360" s="82"/>
      <c r="AC360" s="82"/>
      <c r="AD360" s="82"/>
      <c r="AE360" s="86"/>
      <c r="AF360" s="82"/>
    </row>
    <row r="361" spans="1:32" ht="15" x14ac:dyDescent="0.25">
      <c r="A361" s="222">
        <v>43531</v>
      </c>
      <c r="B361" s="79" t="s">
        <v>235</v>
      </c>
      <c r="C361" s="79" t="s">
        <v>232</v>
      </c>
      <c r="D361" s="80" t="s">
        <v>186</v>
      </c>
      <c r="E361" s="3">
        <v>2883.59</v>
      </c>
      <c r="F361" s="3">
        <v>2800.27</v>
      </c>
      <c r="G361" s="3">
        <v>2801.02</v>
      </c>
      <c r="H361" s="3">
        <v>2814.63</v>
      </c>
      <c r="I361" s="3">
        <v>2918.37</v>
      </c>
      <c r="J361" s="3">
        <v>2872.09</v>
      </c>
      <c r="K361" s="3">
        <v>2807.22</v>
      </c>
      <c r="L361" s="3">
        <v>2803.17</v>
      </c>
      <c r="M361" s="3">
        <v>2830</v>
      </c>
      <c r="N361" s="3">
        <v>2807.93</v>
      </c>
      <c r="O361" s="3">
        <v>2824.01</v>
      </c>
      <c r="P361" s="3">
        <v>2821.66</v>
      </c>
      <c r="Q361" s="3">
        <v>2808.39</v>
      </c>
      <c r="R361" s="372">
        <f>IF((Q362=""),"",MAX(E363:Q363))</f>
        <v>370.5300000000002</v>
      </c>
      <c r="S361" s="372">
        <f>IF(Q362="","",MIN(E363:Q363))</f>
        <v>323.48999999999978</v>
      </c>
      <c r="T361" s="375">
        <f>IF((Q363=""),"",AVERAGE(E363:Q363))</f>
        <v>337.09769230769234</v>
      </c>
      <c r="U361" s="375">
        <f>IF((Q362=""),"",(R361-S361)/(R361+S361)*100)</f>
        <v>6.777902654102248</v>
      </c>
      <c r="V361" s="375">
        <f>STDEV(E363:Q363)</f>
        <v>18.453248654300346</v>
      </c>
      <c r="W361" s="380" t="str">
        <f>IF(Q362="","",IF(T361&gt;300,IF(U361&lt;14,IF(T361&lt;390,"Pass","Fail"),"Fail"),"Fail"))</f>
        <v>Pass</v>
      </c>
      <c r="X361" s="383" t="s">
        <v>217</v>
      </c>
      <c r="Y361" s="253" t="s">
        <v>227</v>
      </c>
      <c r="Z361" s="182"/>
      <c r="AA361" s="82">
        <v>270</v>
      </c>
      <c r="AB361" s="82">
        <v>370</v>
      </c>
      <c r="AC361" s="82">
        <v>300</v>
      </c>
      <c r="AD361" s="83">
        <v>390</v>
      </c>
      <c r="AE361" s="83">
        <v>20</v>
      </c>
      <c r="AF361" s="83">
        <v>14</v>
      </c>
    </row>
    <row r="362" spans="1:32" ht="15.6" x14ac:dyDescent="0.3">
      <c r="A362" s="221"/>
      <c r="B362" s="84"/>
      <c r="C362" s="84"/>
      <c r="D362" s="80" t="s">
        <v>187</v>
      </c>
      <c r="E362" s="3">
        <v>2513.06</v>
      </c>
      <c r="F362" s="3">
        <v>2475.81</v>
      </c>
      <c r="G362" s="3">
        <v>2472.9899999999998</v>
      </c>
      <c r="H362" s="3">
        <v>2488.27</v>
      </c>
      <c r="I362" s="3">
        <v>2549.4899999999998</v>
      </c>
      <c r="J362" s="3">
        <v>2504.73</v>
      </c>
      <c r="K362" s="3">
        <v>2483.73</v>
      </c>
      <c r="L362" s="3">
        <v>2478.56</v>
      </c>
      <c r="M362" s="3">
        <v>2493</v>
      </c>
      <c r="N362" s="3">
        <v>2480.6999999999998</v>
      </c>
      <c r="O362" s="3">
        <v>2496.19</v>
      </c>
      <c r="P362" s="3">
        <v>2491.9499999999998</v>
      </c>
      <c r="Q362" s="3">
        <v>2481.6</v>
      </c>
      <c r="R362" s="373"/>
      <c r="S362" s="373"/>
      <c r="T362" s="376"/>
      <c r="U362" s="376"/>
      <c r="V362" s="378"/>
      <c r="W362" s="381"/>
      <c r="X362" s="384"/>
      <c r="Y362" s="254"/>
      <c r="Z362" s="182"/>
      <c r="AA362" s="82"/>
      <c r="AB362" s="82"/>
      <c r="AC362" s="82"/>
      <c r="AD362" s="83"/>
      <c r="AE362" s="83"/>
      <c r="AF362" s="83"/>
    </row>
    <row r="363" spans="1:32" ht="30" x14ac:dyDescent="0.3">
      <c r="A363" s="221"/>
      <c r="B363" s="79"/>
      <c r="C363" s="79"/>
      <c r="D363" s="80" t="s">
        <v>188</v>
      </c>
      <c r="E363" s="88">
        <f t="shared" ref="E363:Q363" si="117">IF(((E361="")*AND(E362="")),"",(E361-E362))</f>
        <v>370.5300000000002</v>
      </c>
      <c r="F363" s="88">
        <f t="shared" si="117"/>
        <v>324.46000000000004</v>
      </c>
      <c r="G363" s="88">
        <f t="shared" si="117"/>
        <v>328.0300000000002</v>
      </c>
      <c r="H363" s="88">
        <f t="shared" si="117"/>
        <v>326.36000000000013</v>
      </c>
      <c r="I363" s="88">
        <f t="shared" si="117"/>
        <v>368.88000000000011</v>
      </c>
      <c r="J363" s="88">
        <f t="shared" si="117"/>
        <v>367.36000000000013</v>
      </c>
      <c r="K363" s="88">
        <f t="shared" si="117"/>
        <v>323.48999999999978</v>
      </c>
      <c r="L363" s="88">
        <f t="shared" si="117"/>
        <v>324.61000000000013</v>
      </c>
      <c r="M363" s="88">
        <f t="shared" si="117"/>
        <v>337</v>
      </c>
      <c r="N363" s="88">
        <f t="shared" si="117"/>
        <v>327.23</v>
      </c>
      <c r="O363" s="88">
        <f t="shared" si="117"/>
        <v>327.82000000000016</v>
      </c>
      <c r="P363" s="88">
        <f t="shared" si="117"/>
        <v>329.71000000000004</v>
      </c>
      <c r="Q363" s="88">
        <f t="shared" si="117"/>
        <v>326.78999999999996</v>
      </c>
      <c r="R363" s="374"/>
      <c r="S363" s="374"/>
      <c r="T363" s="377"/>
      <c r="U363" s="377"/>
      <c r="V363" s="379"/>
      <c r="W363" s="382"/>
      <c r="X363" s="385"/>
      <c r="Y363" s="255"/>
      <c r="Z363" s="182"/>
      <c r="AA363" s="82"/>
      <c r="AB363" s="82"/>
      <c r="AC363" s="82"/>
      <c r="AD363" s="82"/>
      <c r="AE363" s="86"/>
      <c r="AF363" s="82"/>
    </row>
    <row r="364" spans="1:32" ht="15" x14ac:dyDescent="0.25">
      <c r="A364" s="222">
        <v>43535</v>
      </c>
      <c r="B364" s="79" t="s">
        <v>235</v>
      </c>
      <c r="C364" s="79" t="s">
        <v>232</v>
      </c>
      <c r="D364" s="80" t="s">
        <v>186</v>
      </c>
      <c r="E364" s="3">
        <v>2507.5700000000002</v>
      </c>
      <c r="F364" s="3">
        <v>2476.4299999999998</v>
      </c>
      <c r="G364" s="3">
        <v>2507.37</v>
      </c>
      <c r="H364" s="3">
        <v>2486.52</v>
      </c>
      <c r="I364" s="3">
        <v>2540.64</v>
      </c>
      <c r="J364" s="3">
        <v>2505.27</v>
      </c>
      <c r="K364" s="3">
        <v>2478.0300000000002</v>
      </c>
      <c r="L364" s="3">
        <v>2476.69</v>
      </c>
      <c r="M364" s="3">
        <v>2497</v>
      </c>
      <c r="N364" s="3">
        <v>2482.5100000000002</v>
      </c>
      <c r="O364" s="3">
        <v>2490.71</v>
      </c>
      <c r="P364" s="3">
        <v>2488.16</v>
      </c>
      <c r="Q364" s="3">
        <v>2482.04</v>
      </c>
      <c r="R364" s="372">
        <f>IF((Q365=""),"",MAX(E366:Q366))</f>
        <v>323.9699999999998</v>
      </c>
      <c r="S364" s="372">
        <f>IF(Q365="","",MIN(E366:Q366))</f>
        <v>253.40000000000009</v>
      </c>
      <c r="T364" s="375">
        <f>IF((Q366=""),"",AVERAGE(E366:Q366))</f>
        <v>277.46538461538455</v>
      </c>
      <c r="U364" s="375">
        <f>IF((Q365=""),"",(R364-S364)/(R364+S364)*100)</f>
        <v>12.222664842302116</v>
      </c>
      <c r="V364" s="375">
        <f>STDEV(E366:Q366)</f>
        <v>20.611611862970378</v>
      </c>
      <c r="W364" s="380" t="str">
        <f>IF(Q365="","",IF(T364&gt;300,IF(U364&lt;14,IF(T364&lt;390,"Pass","Fail"),"Fail"),"Fail"))</f>
        <v>Fail</v>
      </c>
      <c r="X364" s="383">
        <v>74</v>
      </c>
      <c r="Y364" s="389"/>
      <c r="Z364" s="182"/>
      <c r="AA364" s="82">
        <v>270</v>
      </c>
      <c r="AB364" s="82">
        <v>370</v>
      </c>
      <c r="AC364" s="82">
        <v>300</v>
      </c>
      <c r="AD364" s="83">
        <v>390</v>
      </c>
      <c r="AE364" s="83">
        <v>20</v>
      </c>
      <c r="AF364" s="83">
        <v>14</v>
      </c>
    </row>
    <row r="365" spans="1:32" ht="15.6" x14ac:dyDescent="0.3">
      <c r="A365" s="221"/>
      <c r="B365" s="84"/>
      <c r="C365" s="84"/>
      <c r="D365" s="80" t="s">
        <v>187</v>
      </c>
      <c r="E365" s="3">
        <v>2216.5500000000002</v>
      </c>
      <c r="F365" s="3">
        <v>2217.0500000000002</v>
      </c>
      <c r="G365" s="3">
        <v>2217.86</v>
      </c>
      <c r="H365" s="3">
        <v>2217.7800000000002</v>
      </c>
      <c r="I365" s="3">
        <v>2216.67</v>
      </c>
      <c r="J365" s="3">
        <v>2224.2600000000002</v>
      </c>
      <c r="K365" s="3">
        <v>2224.63</v>
      </c>
      <c r="L365" s="3">
        <v>2218.08</v>
      </c>
      <c r="M365" s="3">
        <v>2190</v>
      </c>
      <c r="N365" s="3">
        <v>2219.9299999999998</v>
      </c>
      <c r="O365" s="3">
        <v>2216.35</v>
      </c>
      <c r="P365" s="3">
        <v>2219.73</v>
      </c>
      <c r="Q365" s="3">
        <v>2213</v>
      </c>
      <c r="R365" s="373"/>
      <c r="S365" s="373"/>
      <c r="T365" s="376"/>
      <c r="U365" s="376"/>
      <c r="V365" s="378"/>
      <c r="W365" s="381"/>
      <c r="X365" s="384"/>
      <c r="Y365" s="390"/>
      <c r="Z365" s="182"/>
      <c r="AA365" s="82"/>
      <c r="AB365" s="82"/>
      <c r="AC365" s="82"/>
      <c r="AD365" s="83"/>
      <c r="AE365" s="83"/>
      <c r="AF365" s="83"/>
    </row>
    <row r="366" spans="1:32" ht="30" x14ac:dyDescent="0.3">
      <c r="A366" s="221"/>
      <c r="B366" s="79"/>
      <c r="C366" s="79"/>
      <c r="D366" s="80" t="s">
        <v>188</v>
      </c>
      <c r="E366" s="88">
        <f t="shared" ref="E366:Q366" si="118">IF(((E364="")*AND(E365="")),"",(E364-E365))</f>
        <v>291.02</v>
      </c>
      <c r="F366" s="88">
        <f t="shared" si="118"/>
        <v>259.37999999999965</v>
      </c>
      <c r="G366" s="88">
        <f t="shared" si="118"/>
        <v>289.50999999999976</v>
      </c>
      <c r="H366" s="88">
        <f t="shared" si="118"/>
        <v>268.73999999999978</v>
      </c>
      <c r="I366" s="88">
        <f t="shared" si="118"/>
        <v>323.9699999999998</v>
      </c>
      <c r="J366" s="88">
        <f t="shared" si="118"/>
        <v>281.00999999999976</v>
      </c>
      <c r="K366" s="88">
        <f t="shared" si="118"/>
        <v>253.40000000000009</v>
      </c>
      <c r="L366" s="88">
        <f t="shared" si="118"/>
        <v>258.61000000000013</v>
      </c>
      <c r="M366" s="88">
        <f t="shared" si="118"/>
        <v>307</v>
      </c>
      <c r="N366" s="88">
        <f t="shared" si="118"/>
        <v>262.58000000000038</v>
      </c>
      <c r="O366" s="88">
        <f t="shared" si="118"/>
        <v>274.36000000000013</v>
      </c>
      <c r="P366" s="88">
        <f t="shared" si="118"/>
        <v>268.42999999999984</v>
      </c>
      <c r="Q366" s="88">
        <f t="shared" si="118"/>
        <v>269.03999999999996</v>
      </c>
      <c r="R366" s="374"/>
      <c r="S366" s="374"/>
      <c r="T366" s="377"/>
      <c r="U366" s="377"/>
      <c r="V366" s="379"/>
      <c r="W366" s="382"/>
      <c r="X366" s="385"/>
      <c r="Y366" s="391"/>
      <c r="Z366" s="182"/>
      <c r="AA366" s="82"/>
      <c r="AB366" s="82"/>
      <c r="AC366" s="82"/>
      <c r="AD366" s="82"/>
      <c r="AE366" s="86"/>
      <c r="AF366" s="82"/>
    </row>
    <row r="367" spans="1:32" ht="15" x14ac:dyDescent="0.25">
      <c r="A367" s="222">
        <v>43535</v>
      </c>
      <c r="B367" s="79" t="s">
        <v>235</v>
      </c>
      <c r="C367" s="79" t="s">
        <v>232</v>
      </c>
      <c r="D367" s="80" t="s">
        <v>186</v>
      </c>
      <c r="E367" s="3">
        <v>2866.58</v>
      </c>
      <c r="F367" s="3">
        <v>2797.06</v>
      </c>
      <c r="G367" s="3">
        <v>2795.67</v>
      </c>
      <c r="H367" s="3">
        <v>2811.88</v>
      </c>
      <c r="I367" s="3">
        <v>2897.33</v>
      </c>
      <c r="J367" s="3">
        <v>2855.67</v>
      </c>
      <c r="K367" s="3">
        <v>2801.19</v>
      </c>
      <c r="L367" s="3">
        <v>2799.7</v>
      </c>
      <c r="M367" s="3">
        <v>2859.93</v>
      </c>
      <c r="N367" s="3">
        <v>2804.01</v>
      </c>
      <c r="O367" s="3">
        <v>2815.21</v>
      </c>
      <c r="P367" s="3">
        <v>2813.27</v>
      </c>
      <c r="Q367" s="3">
        <v>2804.71</v>
      </c>
      <c r="R367" s="372">
        <f>IF((Q368=""),"",MAX(E369:Q369))</f>
        <v>369.42000000000007</v>
      </c>
      <c r="S367" s="372">
        <f>IF(Q368="","",MIN(E369:Q369))</f>
        <v>316.55000000000018</v>
      </c>
      <c r="T367" s="375">
        <f>IF((Q369=""),"",AVERAGE(E369:Q369))</f>
        <v>334.15923076923076</v>
      </c>
      <c r="U367" s="375">
        <f>IF((Q368=""),"",(R367-S367)/(R367+S367)*100)</f>
        <v>7.7073341399769486</v>
      </c>
      <c r="V367" s="375">
        <f>STDEV(E369:Q369)</f>
        <v>22.468399461443049</v>
      </c>
      <c r="W367" s="380" t="str">
        <f>IF(Q368="","",IF(T367&gt;300,IF(U367&lt;14,IF(T367&lt;390,"Pass","Fail"),"Fail"),"Fail"))</f>
        <v>Pass</v>
      </c>
      <c r="X367" s="383">
        <v>74</v>
      </c>
      <c r="Y367" s="389"/>
      <c r="Z367" s="182"/>
      <c r="AA367" s="82">
        <v>270</v>
      </c>
      <c r="AB367" s="82">
        <v>370</v>
      </c>
      <c r="AC367" s="82">
        <v>300</v>
      </c>
      <c r="AD367" s="83">
        <v>390</v>
      </c>
      <c r="AE367" s="83">
        <v>20</v>
      </c>
      <c r="AF367" s="83">
        <v>14</v>
      </c>
    </row>
    <row r="368" spans="1:32" ht="15.6" x14ac:dyDescent="0.3">
      <c r="A368" s="221"/>
      <c r="B368" s="84"/>
      <c r="C368" s="84"/>
      <c r="D368" s="80" t="s">
        <v>187</v>
      </c>
      <c r="E368" s="3">
        <v>2500.15</v>
      </c>
      <c r="F368" s="3">
        <v>2477.42</v>
      </c>
      <c r="G368" s="3">
        <v>2479.12</v>
      </c>
      <c r="H368" s="3">
        <v>2489.21</v>
      </c>
      <c r="I368" s="3">
        <v>2527.91</v>
      </c>
      <c r="J368" s="3">
        <v>2495.9299999999998</v>
      </c>
      <c r="K368" s="3">
        <v>2482.23</v>
      </c>
      <c r="L368" s="3">
        <v>2482.2800000000002</v>
      </c>
      <c r="M368" s="3">
        <v>2490.81</v>
      </c>
      <c r="N368" s="3">
        <v>2482.39</v>
      </c>
      <c r="O368" s="3">
        <v>2495.12</v>
      </c>
      <c r="P368" s="3">
        <v>2496.63</v>
      </c>
      <c r="Q368" s="3">
        <v>2478.94</v>
      </c>
      <c r="R368" s="373"/>
      <c r="S368" s="373"/>
      <c r="T368" s="376"/>
      <c r="U368" s="376"/>
      <c r="V368" s="378"/>
      <c r="W368" s="381"/>
      <c r="X368" s="384"/>
      <c r="Y368" s="390"/>
      <c r="Z368" s="182"/>
      <c r="AA368" s="82"/>
      <c r="AB368" s="82"/>
      <c r="AC368" s="82"/>
      <c r="AD368" s="82"/>
      <c r="AE368" s="86"/>
      <c r="AF368" s="82"/>
    </row>
    <row r="369" spans="1:32" ht="30" x14ac:dyDescent="0.3">
      <c r="A369" s="221"/>
      <c r="B369" s="79"/>
      <c r="C369" s="79"/>
      <c r="D369" s="80" t="s">
        <v>188</v>
      </c>
      <c r="E369" s="88">
        <f t="shared" ref="E369:Q369" si="119">IF(((E367="")*AND(E368="")),"",(E367-E368))</f>
        <v>366.42999999999984</v>
      </c>
      <c r="F369" s="88">
        <f t="shared" si="119"/>
        <v>319.63999999999987</v>
      </c>
      <c r="G369" s="88">
        <f t="shared" si="119"/>
        <v>316.55000000000018</v>
      </c>
      <c r="H369" s="88">
        <f t="shared" si="119"/>
        <v>322.67000000000007</v>
      </c>
      <c r="I369" s="88">
        <f t="shared" si="119"/>
        <v>369.42000000000007</v>
      </c>
      <c r="J369" s="88">
        <f t="shared" si="119"/>
        <v>359.74000000000024</v>
      </c>
      <c r="K369" s="88">
        <f t="shared" si="119"/>
        <v>318.96000000000004</v>
      </c>
      <c r="L369" s="88">
        <f t="shared" si="119"/>
        <v>317.41999999999962</v>
      </c>
      <c r="M369" s="88">
        <f t="shared" si="119"/>
        <v>369.11999999999989</v>
      </c>
      <c r="N369" s="88">
        <f t="shared" si="119"/>
        <v>321.62000000000035</v>
      </c>
      <c r="O369" s="88">
        <f t="shared" si="119"/>
        <v>320.09000000000015</v>
      </c>
      <c r="P369" s="88">
        <f t="shared" si="119"/>
        <v>316.63999999999987</v>
      </c>
      <c r="Q369" s="88">
        <f t="shared" si="119"/>
        <v>325.77</v>
      </c>
      <c r="R369" s="374"/>
      <c r="S369" s="374"/>
      <c r="T369" s="377"/>
      <c r="U369" s="377"/>
      <c r="V369" s="379"/>
      <c r="W369" s="382"/>
      <c r="X369" s="385"/>
      <c r="Y369" s="391"/>
      <c r="Z369" s="182"/>
      <c r="AA369" s="82"/>
      <c r="AB369" s="82"/>
      <c r="AC369" s="82"/>
      <c r="AD369" s="82"/>
      <c r="AE369" s="86"/>
      <c r="AF369" s="82"/>
    </row>
    <row r="370" spans="1:32" ht="15" x14ac:dyDescent="0.25">
      <c r="A370" s="222">
        <v>43538</v>
      </c>
      <c r="B370" s="79" t="s">
        <v>235</v>
      </c>
      <c r="C370" s="79" t="s">
        <v>232</v>
      </c>
      <c r="D370" s="80" t="s">
        <v>186</v>
      </c>
      <c r="E370" s="3">
        <v>2861.35</v>
      </c>
      <c r="F370" s="3">
        <v>2790.28</v>
      </c>
      <c r="G370" s="3">
        <v>2793.05</v>
      </c>
      <c r="H370" s="3">
        <v>2807.07</v>
      </c>
      <c r="I370" s="3">
        <v>2896.18</v>
      </c>
      <c r="J370" s="3">
        <v>2860.29</v>
      </c>
      <c r="K370" s="3">
        <v>2801.84</v>
      </c>
      <c r="L370" s="3">
        <v>2796.3</v>
      </c>
      <c r="M370" s="3">
        <v>2853.23</v>
      </c>
      <c r="N370" s="3">
        <v>2801.05</v>
      </c>
      <c r="O370" s="3">
        <v>2811.57</v>
      </c>
      <c r="P370" s="3">
        <v>2815.63</v>
      </c>
      <c r="Q370" s="3">
        <v>2796.4</v>
      </c>
      <c r="R370" s="372">
        <f>IF((Q371=""),"",MAX(E372:Q372))</f>
        <v>361.25</v>
      </c>
      <c r="S370" s="372">
        <f>IF(Q371="","",MIN(E372:Q372))</f>
        <v>321.17000000000007</v>
      </c>
      <c r="T370" s="375">
        <f>IF((Q372=""),"",AVERAGE(E372:Q372))</f>
        <v>336.07230769230773</v>
      </c>
      <c r="U370" s="375">
        <f>IF((Q371=""),"",(R370-S370)/(R370+S370)*100)</f>
        <v>5.8732159080917796</v>
      </c>
      <c r="V370" s="375">
        <f>STDEV(E372:Q372)</f>
        <v>16.646124250530477</v>
      </c>
      <c r="W370" s="380" t="str">
        <f>IF(Q371="","",IF(T370&gt;300,IF(U370&lt;14,IF(T370&lt;390,"Pass","Fail"),"Fail"),"Fail"))</f>
        <v>Pass</v>
      </c>
      <c r="X370" s="383">
        <v>121</v>
      </c>
      <c r="Y370" s="261" t="s">
        <v>228</v>
      </c>
      <c r="Z370" s="187"/>
      <c r="AA370" s="82">
        <v>270</v>
      </c>
      <c r="AB370" s="82">
        <v>370</v>
      </c>
      <c r="AC370" s="82">
        <v>300</v>
      </c>
      <c r="AD370" s="83">
        <v>390</v>
      </c>
      <c r="AE370" s="83">
        <v>20</v>
      </c>
      <c r="AF370" s="83">
        <v>14</v>
      </c>
    </row>
    <row r="371" spans="1:32" ht="15.6" x14ac:dyDescent="0.3">
      <c r="A371" s="221"/>
      <c r="B371" s="84"/>
      <c r="C371" s="84"/>
      <c r="D371" s="80" t="s">
        <v>187</v>
      </c>
      <c r="E371" s="3">
        <v>2500.4</v>
      </c>
      <c r="F371" s="3">
        <v>2469.11</v>
      </c>
      <c r="G371" s="3">
        <v>2469.36</v>
      </c>
      <c r="H371" s="3">
        <v>2482.87</v>
      </c>
      <c r="I371" s="3">
        <v>2537.23</v>
      </c>
      <c r="J371" s="3">
        <v>2502.13</v>
      </c>
      <c r="K371" s="3">
        <v>2473.09</v>
      </c>
      <c r="L371" s="3">
        <v>2469.61</v>
      </c>
      <c r="M371" s="3">
        <v>2491.98</v>
      </c>
      <c r="N371" s="3">
        <v>2476.08</v>
      </c>
      <c r="O371" s="3">
        <v>2482.7399999999998</v>
      </c>
      <c r="P371" s="3">
        <v>2487.65</v>
      </c>
      <c r="Q371" s="3">
        <v>2473.0500000000002</v>
      </c>
      <c r="R371" s="373"/>
      <c r="S371" s="373"/>
      <c r="T371" s="376"/>
      <c r="U371" s="376"/>
      <c r="V371" s="378"/>
      <c r="W371" s="381"/>
      <c r="X371" s="384"/>
      <c r="Y371" s="254"/>
      <c r="Z371" s="182"/>
      <c r="AA371" s="82"/>
      <c r="AB371" s="82"/>
      <c r="AC371" s="82"/>
      <c r="AD371" s="82"/>
      <c r="AE371" s="86"/>
      <c r="AF371" s="82"/>
    </row>
    <row r="372" spans="1:32" ht="30" x14ac:dyDescent="0.3">
      <c r="A372" s="221"/>
      <c r="B372" s="79"/>
      <c r="C372" s="79"/>
      <c r="D372" s="80" t="s">
        <v>188</v>
      </c>
      <c r="E372" s="88">
        <f t="shared" ref="E372:Q372" si="120">IF(((E370="")*AND(E371="")),"",(E370-E371))</f>
        <v>360.94999999999982</v>
      </c>
      <c r="F372" s="88">
        <f t="shared" si="120"/>
        <v>321.17000000000007</v>
      </c>
      <c r="G372" s="88">
        <f t="shared" si="120"/>
        <v>323.69000000000005</v>
      </c>
      <c r="H372" s="88">
        <f t="shared" si="120"/>
        <v>324.20000000000027</v>
      </c>
      <c r="I372" s="88">
        <f t="shared" si="120"/>
        <v>358.94999999999982</v>
      </c>
      <c r="J372" s="88">
        <f t="shared" si="120"/>
        <v>358.15999999999985</v>
      </c>
      <c r="K372" s="88">
        <f t="shared" si="120"/>
        <v>328.75</v>
      </c>
      <c r="L372" s="88">
        <f t="shared" si="120"/>
        <v>326.69000000000005</v>
      </c>
      <c r="M372" s="88">
        <f t="shared" si="120"/>
        <v>361.25</v>
      </c>
      <c r="N372" s="88">
        <f t="shared" si="120"/>
        <v>324.97000000000025</v>
      </c>
      <c r="O372" s="88">
        <f t="shared" si="120"/>
        <v>328.83000000000038</v>
      </c>
      <c r="P372" s="88">
        <f t="shared" si="120"/>
        <v>327.98</v>
      </c>
      <c r="Q372" s="88">
        <f t="shared" si="120"/>
        <v>323.34999999999991</v>
      </c>
      <c r="R372" s="374"/>
      <c r="S372" s="374"/>
      <c r="T372" s="377"/>
      <c r="U372" s="377"/>
      <c r="V372" s="379"/>
      <c r="W372" s="382"/>
      <c r="X372" s="385"/>
      <c r="Y372" s="255"/>
      <c r="Z372" s="182"/>
      <c r="AA372" s="82"/>
      <c r="AB372" s="82"/>
      <c r="AC372" s="82"/>
      <c r="AD372" s="82"/>
      <c r="AE372" s="86"/>
      <c r="AF372" s="82"/>
    </row>
    <row r="373" spans="1:32" ht="15" x14ac:dyDescent="0.25">
      <c r="A373" s="222">
        <v>43542</v>
      </c>
      <c r="B373" s="79" t="s">
        <v>235</v>
      </c>
      <c r="C373" s="79" t="s">
        <v>232</v>
      </c>
      <c r="D373" s="80" t="s">
        <v>186</v>
      </c>
      <c r="E373" s="3">
        <v>2862.96</v>
      </c>
      <c r="F373" s="3">
        <v>2796.97</v>
      </c>
      <c r="G373" s="3">
        <v>2788.17</v>
      </c>
      <c r="H373" s="3">
        <v>2802.91</v>
      </c>
      <c r="I373" s="3">
        <v>2895.05</v>
      </c>
      <c r="J373" s="3">
        <v>2858.05</v>
      </c>
      <c r="K373" s="3">
        <v>2801.18</v>
      </c>
      <c r="L373" s="3">
        <v>2800.8</v>
      </c>
      <c r="M373" s="3">
        <v>2855.18</v>
      </c>
      <c r="N373" s="3">
        <v>2802.2</v>
      </c>
      <c r="O373" s="3">
        <v>2807.82</v>
      </c>
      <c r="P373" s="3">
        <v>2819.56</v>
      </c>
      <c r="Q373" s="3">
        <v>2805.13</v>
      </c>
      <c r="R373" s="372">
        <f>IF((Q374=""),"",MAX(E375:Q375))</f>
        <v>359.84000000000015</v>
      </c>
      <c r="S373" s="372">
        <f>IF(Q374="","",MIN(E375:Q375))</f>
        <v>312.63999999999987</v>
      </c>
      <c r="T373" s="375">
        <f>IF((Q375=""),"",AVERAGE(E375:Q375))</f>
        <v>333.82230769230773</v>
      </c>
      <c r="U373" s="375">
        <f>IF((Q374=""),"",(R373-S373)/(R373+S373)*100)</f>
        <v>7.0187960980252608</v>
      </c>
      <c r="V373" s="375">
        <f>STDEV(E375:Q375)</f>
        <v>17.340223544236757</v>
      </c>
      <c r="W373" s="380" t="str">
        <f>IF(Q374="","",IF(T373&gt;300,IF(U373&lt;14,IF(T373&lt;390,"Pass","Fail"),"Fail"),"Fail"))</f>
        <v>Pass</v>
      </c>
      <c r="X373" s="383">
        <v>1428</v>
      </c>
      <c r="Y373" s="253" t="s">
        <v>246</v>
      </c>
      <c r="Z373" s="182"/>
      <c r="AA373" s="82">
        <v>270</v>
      </c>
      <c r="AB373" s="82">
        <v>370</v>
      </c>
      <c r="AC373" s="82">
        <v>300</v>
      </c>
      <c r="AD373" s="83">
        <v>390</v>
      </c>
      <c r="AE373" s="83">
        <v>20</v>
      </c>
      <c r="AF373" s="83">
        <v>14</v>
      </c>
    </row>
    <row r="374" spans="1:32" ht="15.6" x14ac:dyDescent="0.3">
      <c r="A374" s="221"/>
      <c r="B374" s="84"/>
      <c r="C374" s="84"/>
      <c r="D374" s="80" t="s">
        <v>187</v>
      </c>
      <c r="E374" s="3">
        <v>2503.12</v>
      </c>
      <c r="F374" s="3">
        <v>2469.64</v>
      </c>
      <c r="G374" s="3">
        <v>2475.5300000000002</v>
      </c>
      <c r="H374" s="3">
        <v>2485.4899999999998</v>
      </c>
      <c r="I374" s="3">
        <v>2535.59</v>
      </c>
      <c r="J374" s="3">
        <v>2501.5</v>
      </c>
      <c r="K374" s="3">
        <v>2480.17</v>
      </c>
      <c r="L374" s="3">
        <v>2473.66</v>
      </c>
      <c r="M374" s="3">
        <v>2499.8000000000002</v>
      </c>
      <c r="N374" s="3">
        <v>2476.1999999999998</v>
      </c>
      <c r="O374" s="3">
        <v>2488.08</v>
      </c>
      <c r="P374" s="3">
        <v>2488.7600000000002</v>
      </c>
      <c r="Q374" s="3">
        <v>2478.75</v>
      </c>
      <c r="R374" s="373"/>
      <c r="S374" s="373"/>
      <c r="T374" s="376"/>
      <c r="U374" s="376"/>
      <c r="V374" s="378"/>
      <c r="W374" s="381"/>
      <c r="X374" s="384"/>
      <c r="Y374" s="254"/>
      <c r="Z374" s="182"/>
      <c r="AA374" s="82"/>
      <c r="AB374" s="82"/>
      <c r="AC374" s="82"/>
      <c r="AD374" s="82"/>
      <c r="AE374" s="86"/>
      <c r="AF374" s="82"/>
    </row>
    <row r="375" spans="1:32" ht="30" x14ac:dyDescent="0.3">
      <c r="A375" s="221"/>
      <c r="B375" s="79"/>
      <c r="C375" s="79"/>
      <c r="D375" s="80" t="s">
        <v>188</v>
      </c>
      <c r="E375" s="88">
        <f t="shared" ref="E375:Q375" si="121">IF(((E373="")*AND(E374="")),"",(E373-E374))</f>
        <v>359.84000000000015</v>
      </c>
      <c r="F375" s="88">
        <f t="shared" si="121"/>
        <v>327.32999999999993</v>
      </c>
      <c r="G375" s="88">
        <f t="shared" si="121"/>
        <v>312.63999999999987</v>
      </c>
      <c r="H375" s="88">
        <f t="shared" si="121"/>
        <v>317.42000000000007</v>
      </c>
      <c r="I375" s="88">
        <f t="shared" si="121"/>
        <v>359.46000000000004</v>
      </c>
      <c r="J375" s="88">
        <f t="shared" si="121"/>
        <v>356.55000000000018</v>
      </c>
      <c r="K375" s="88">
        <f t="shared" si="121"/>
        <v>321.00999999999976</v>
      </c>
      <c r="L375" s="88">
        <f t="shared" si="121"/>
        <v>327.14000000000033</v>
      </c>
      <c r="M375" s="88">
        <f t="shared" si="121"/>
        <v>355.37999999999965</v>
      </c>
      <c r="N375" s="88">
        <f t="shared" si="121"/>
        <v>326</v>
      </c>
      <c r="O375" s="88">
        <f t="shared" si="121"/>
        <v>319.74000000000024</v>
      </c>
      <c r="P375" s="88">
        <f t="shared" si="121"/>
        <v>330.79999999999973</v>
      </c>
      <c r="Q375" s="88">
        <f t="shared" si="121"/>
        <v>326.38000000000011</v>
      </c>
      <c r="R375" s="374"/>
      <c r="S375" s="374"/>
      <c r="T375" s="377"/>
      <c r="U375" s="377"/>
      <c r="V375" s="379"/>
      <c r="W375" s="382"/>
      <c r="X375" s="385"/>
      <c r="Y375" s="255"/>
      <c r="Z375" s="182"/>
      <c r="AA375" s="82"/>
      <c r="AB375" s="82"/>
      <c r="AC375" s="82"/>
      <c r="AD375" s="82"/>
      <c r="AE375" s="86"/>
      <c r="AF375" s="82"/>
    </row>
    <row r="376" spans="1:32" ht="15" x14ac:dyDescent="0.25">
      <c r="A376" s="222">
        <v>43546</v>
      </c>
      <c r="B376" s="79" t="s">
        <v>235</v>
      </c>
      <c r="C376" s="79" t="s">
        <v>232</v>
      </c>
      <c r="D376" s="80" t="s">
        <v>186</v>
      </c>
      <c r="E376" s="3">
        <v>2505.27</v>
      </c>
      <c r="F376" s="3">
        <v>2476.62</v>
      </c>
      <c r="G376" s="3">
        <v>2483.41</v>
      </c>
      <c r="H376" s="3">
        <v>2479.3000000000002</v>
      </c>
      <c r="I376" s="3">
        <v>2537.34</v>
      </c>
      <c r="J376" s="3">
        <v>2501.9899999999998</v>
      </c>
      <c r="K376" s="3">
        <v>2481.42</v>
      </c>
      <c r="L376" s="3">
        <v>2476.64</v>
      </c>
      <c r="M376" s="3">
        <v>2495.62</v>
      </c>
      <c r="N376" s="3">
        <v>2479.91</v>
      </c>
      <c r="O376" s="3">
        <v>2491.88</v>
      </c>
      <c r="P376" s="3">
        <v>2494.7199999999998</v>
      </c>
      <c r="Q376" s="3">
        <v>2474.85</v>
      </c>
      <c r="R376" s="372">
        <f>IF((Q377=""),"",MAX(E378:Q378))</f>
        <v>316.91000000000031</v>
      </c>
      <c r="S376" s="372">
        <f>IF(Q377="","",MIN(E378:Q378))</f>
        <v>255.78999999999996</v>
      </c>
      <c r="T376" s="375">
        <f>IF((Q378=""),"",AVERAGE(E378:Q378))</f>
        <v>275.25538461538451</v>
      </c>
      <c r="U376" s="375">
        <f>IF((Q377=""),"",(R376-S376)/(R376+S376)*100)</f>
        <v>10.672254234328674</v>
      </c>
      <c r="V376" s="375">
        <f>STDEV(E378:Q378)</f>
        <v>17.023748909187979</v>
      </c>
      <c r="W376" s="380" t="str">
        <f>IF(Q377="","",IF(T376&gt;300,IF(U376&lt;14,IF(T376&lt;390,"Pass","Fail"),"Fail"),"Fail"))</f>
        <v>Fail</v>
      </c>
      <c r="X376" s="383">
        <v>1428</v>
      </c>
      <c r="Y376" s="389"/>
      <c r="Z376" s="182"/>
      <c r="AA376" s="82">
        <v>270</v>
      </c>
      <c r="AB376" s="82">
        <v>370</v>
      </c>
      <c r="AC376" s="82">
        <v>300</v>
      </c>
      <c r="AD376" s="83">
        <v>390</v>
      </c>
      <c r="AE376" s="83">
        <v>20</v>
      </c>
      <c r="AF376" s="83">
        <v>14</v>
      </c>
    </row>
    <row r="377" spans="1:32" ht="15.6" x14ac:dyDescent="0.3">
      <c r="A377" s="221"/>
      <c r="B377" s="84"/>
      <c r="C377" s="84"/>
      <c r="D377" s="80" t="s">
        <v>187</v>
      </c>
      <c r="E377" s="3">
        <v>2211.5700000000002</v>
      </c>
      <c r="F377" s="3">
        <v>2206.0100000000002</v>
      </c>
      <c r="G377" s="3">
        <v>2213.0500000000002</v>
      </c>
      <c r="H377" s="3">
        <v>2216.87</v>
      </c>
      <c r="I377" s="3">
        <v>2220.4299999999998</v>
      </c>
      <c r="J377" s="3">
        <v>2219.27</v>
      </c>
      <c r="K377" s="3">
        <v>2225.63</v>
      </c>
      <c r="L377" s="3">
        <v>2217.42</v>
      </c>
      <c r="M377" s="3">
        <v>2206.36</v>
      </c>
      <c r="N377" s="3">
        <v>2215.48</v>
      </c>
      <c r="O377" s="3">
        <v>2213.1799999999998</v>
      </c>
      <c r="P377" s="3">
        <v>2223.0300000000002</v>
      </c>
      <c r="Q377" s="3">
        <v>2212.35</v>
      </c>
      <c r="R377" s="373"/>
      <c r="S377" s="373"/>
      <c r="T377" s="376"/>
      <c r="U377" s="376"/>
      <c r="V377" s="378"/>
      <c r="W377" s="381"/>
      <c r="X377" s="384"/>
      <c r="Y377" s="390"/>
      <c r="Z377" s="182"/>
      <c r="AA377" s="82"/>
      <c r="AB377" s="82"/>
      <c r="AC377" s="82"/>
      <c r="AD377" s="82"/>
      <c r="AE377" s="86"/>
      <c r="AF377" s="82"/>
    </row>
    <row r="378" spans="1:32" ht="30" x14ac:dyDescent="0.3">
      <c r="A378" s="221"/>
      <c r="B378" s="79"/>
      <c r="C378" s="79"/>
      <c r="D378" s="80" t="s">
        <v>188</v>
      </c>
      <c r="E378" s="88">
        <f t="shared" ref="E378:Q378" si="122">IF(((E376="")*AND(E377="")),"",(E376-E377))</f>
        <v>293.69999999999982</v>
      </c>
      <c r="F378" s="88">
        <f t="shared" si="122"/>
        <v>270.60999999999967</v>
      </c>
      <c r="G378" s="88">
        <f t="shared" si="122"/>
        <v>270.35999999999967</v>
      </c>
      <c r="H378" s="88">
        <f t="shared" si="122"/>
        <v>262.43000000000029</v>
      </c>
      <c r="I378" s="88">
        <f t="shared" si="122"/>
        <v>316.91000000000031</v>
      </c>
      <c r="J378" s="88">
        <f t="shared" si="122"/>
        <v>282.7199999999998</v>
      </c>
      <c r="K378" s="88">
        <f t="shared" si="122"/>
        <v>255.78999999999996</v>
      </c>
      <c r="L378" s="88">
        <f t="shared" si="122"/>
        <v>259.2199999999998</v>
      </c>
      <c r="M378" s="88">
        <f t="shared" si="122"/>
        <v>289.25999999999976</v>
      </c>
      <c r="N378" s="88">
        <f t="shared" si="122"/>
        <v>264.42999999999984</v>
      </c>
      <c r="O378" s="88">
        <f t="shared" si="122"/>
        <v>278.70000000000027</v>
      </c>
      <c r="P378" s="88">
        <f t="shared" si="122"/>
        <v>271.6899999999996</v>
      </c>
      <c r="Q378" s="88">
        <f t="shared" si="122"/>
        <v>262.5</v>
      </c>
      <c r="R378" s="374"/>
      <c r="S378" s="374"/>
      <c r="T378" s="377"/>
      <c r="U378" s="377"/>
      <c r="V378" s="379"/>
      <c r="W378" s="382"/>
      <c r="X378" s="385"/>
      <c r="Y378" s="391"/>
      <c r="Z378" s="182"/>
      <c r="AA378" s="82"/>
      <c r="AB378" s="82"/>
      <c r="AC378" s="82"/>
      <c r="AD378" s="82"/>
      <c r="AE378" s="86"/>
      <c r="AF378" s="82"/>
    </row>
    <row r="379" spans="1:32" ht="15" x14ac:dyDescent="0.25">
      <c r="A379" s="222">
        <v>43546</v>
      </c>
      <c r="B379" s="79" t="s">
        <v>235</v>
      </c>
      <c r="C379" s="79" t="s">
        <v>232</v>
      </c>
      <c r="D379" s="80" t="s">
        <v>186</v>
      </c>
      <c r="E379" s="3">
        <v>2860.47</v>
      </c>
      <c r="F379" s="3">
        <v>2795.97</v>
      </c>
      <c r="G379" s="3">
        <v>2791.68</v>
      </c>
      <c r="H379" s="3">
        <v>2810.66</v>
      </c>
      <c r="I379" s="3">
        <v>2895.76</v>
      </c>
      <c r="J379" s="3">
        <v>2856.49</v>
      </c>
      <c r="K379" s="3">
        <v>2803.62</v>
      </c>
      <c r="L379" s="3">
        <v>2800.58</v>
      </c>
      <c r="M379" s="3">
        <v>2857.49</v>
      </c>
      <c r="N379" s="3">
        <v>2803.11</v>
      </c>
      <c r="O379" s="3">
        <v>2817.08</v>
      </c>
      <c r="P379" s="3">
        <v>2816.11</v>
      </c>
      <c r="Q379" s="3">
        <v>2800.38</v>
      </c>
      <c r="R379" s="372">
        <f>IF((Q380=""),"",MAX(E381:Q381))</f>
        <v>376.90999999999985</v>
      </c>
      <c r="S379" s="372">
        <f>IF(Q380="","",MIN(E381:Q381))</f>
        <v>317.78999999999996</v>
      </c>
      <c r="T379" s="375">
        <f>IF((Q381=""),"",AVERAGE(E381:Q381))</f>
        <v>340.89538461538456</v>
      </c>
      <c r="U379" s="375">
        <f>IF((Q380=""),"",(R379-S379)/(R379+S379)*100)</f>
        <v>8.5101482654383052</v>
      </c>
      <c r="V379" s="375">
        <f>STDEV(E381:Q381)</f>
        <v>19.889377657175295</v>
      </c>
      <c r="W379" s="380" t="str">
        <f>IF(Q380="","",IF(T379&gt;300,IF(U379&lt;14,IF(T379&lt;390,"Pass","Fail"),"Fail"),"Fail"))</f>
        <v>Pass</v>
      </c>
      <c r="X379" s="383">
        <v>1340</v>
      </c>
      <c r="Y379" s="389"/>
      <c r="Z379" s="182"/>
      <c r="AA379" s="82">
        <v>270</v>
      </c>
      <c r="AB379" s="82">
        <v>370</v>
      </c>
      <c r="AC379" s="82">
        <v>300</v>
      </c>
      <c r="AD379" s="83">
        <v>390</v>
      </c>
      <c r="AE379" s="83">
        <v>20</v>
      </c>
      <c r="AF379" s="83">
        <v>14</v>
      </c>
    </row>
    <row r="380" spans="1:32" ht="15.6" x14ac:dyDescent="0.3">
      <c r="A380" s="221"/>
      <c r="B380" s="84"/>
      <c r="C380" s="84"/>
      <c r="D380" s="80" t="s">
        <v>187</v>
      </c>
      <c r="E380" s="3">
        <v>2495.92</v>
      </c>
      <c r="F380" s="3">
        <v>2469.19</v>
      </c>
      <c r="G380" s="3">
        <v>2473.89</v>
      </c>
      <c r="H380" s="3">
        <v>2479.79</v>
      </c>
      <c r="I380" s="3">
        <v>2524.64</v>
      </c>
      <c r="J380" s="3">
        <v>2495.21</v>
      </c>
      <c r="K380" s="3">
        <v>2475.42</v>
      </c>
      <c r="L380" s="3">
        <v>2474.08</v>
      </c>
      <c r="M380" s="3">
        <v>2480.58</v>
      </c>
      <c r="N380" s="3">
        <v>2473.96</v>
      </c>
      <c r="O380" s="3">
        <v>2480.09</v>
      </c>
      <c r="P380" s="3">
        <v>2484.96</v>
      </c>
      <c r="Q380" s="3">
        <v>2470.0300000000002</v>
      </c>
      <c r="R380" s="373"/>
      <c r="S380" s="373"/>
      <c r="T380" s="376"/>
      <c r="U380" s="376"/>
      <c r="V380" s="378"/>
      <c r="W380" s="381"/>
      <c r="X380" s="384"/>
      <c r="Y380" s="390"/>
      <c r="Z380" s="182"/>
      <c r="AA380" s="82"/>
      <c r="AB380" s="82"/>
      <c r="AC380" s="82"/>
      <c r="AD380" s="82"/>
      <c r="AE380" s="86"/>
      <c r="AF380" s="82"/>
    </row>
    <row r="381" spans="1:32" ht="30" x14ac:dyDescent="0.3">
      <c r="A381" s="221"/>
      <c r="B381" s="79"/>
      <c r="C381" s="79"/>
      <c r="D381" s="80" t="s">
        <v>188</v>
      </c>
      <c r="E381" s="88">
        <f t="shared" ref="E381:Q381" si="123">IF(((E379="")*AND(E380="")),"",(E379-E380))</f>
        <v>364.54999999999973</v>
      </c>
      <c r="F381" s="88">
        <f t="shared" si="123"/>
        <v>326.77999999999975</v>
      </c>
      <c r="G381" s="88">
        <f t="shared" si="123"/>
        <v>317.78999999999996</v>
      </c>
      <c r="H381" s="88">
        <f t="shared" si="123"/>
        <v>330.86999999999989</v>
      </c>
      <c r="I381" s="88">
        <f t="shared" si="123"/>
        <v>371.12000000000035</v>
      </c>
      <c r="J381" s="88">
        <f t="shared" si="123"/>
        <v>361.27999999999975</v>
      </c>
      <c r="K381" s="88">
        <f t="shared" si="123"/>
        <v>328.19999999999982</v>
      </c>
      <c r="L381" s="88">
        <f t="shared" si="123"/>
        <v>326.5</v>
      </c>
      <c r="M381" s="88">
        <f t="shared" si="123"/>
        <v>376.90999999999985</v>
      </c>
      <c r="N381" s="88">
        <f t="shared" si="123"/>
        <v>329.15000000000009</v>
      </c>
      <c r="O381" s="88">
        <f t="shared" si="123"/>
        <v>336.98999999999978</v>
      </c>
      <c r="P381" s="88">
        <f t="shared" si="123"/>
        <v>331.15000000000009</v>
      </c>
      <c r="Q381" s="88">
        <f t="shared" si="123"/>
        <v>330.34999999999991</v>
      </c>
      <c r="R381" s="374"/>
      <c r="S381" s="374"/>
      <c r="T381" s="377"/>
      <c r="U381" s="377"/>
      <c r="V381" s="379"/>
      <c r="W381" s="382"/>
      <c r="X381" s="385"/>
      <c r="Y381" s="391"/>
      <c r="Z381" s="182"/>
      <c r="AA381" s="82"/>
      <c r="AB381" s="82"/>
      <c r="AC381" s="82"/>
      <c r="AD381" s="82"/>
      <c r="AE381" s="86"/>
      <c r="AF381" s="82"/>
    </row>
    <row r="382" spans="1:32" ht="15" x14ac:dyDescent="0.25">
      <c r="A382" s="222">
        <v>43549</v>
      </c>
      <c r="B382" s="79" t="s">
        <v>235</v>
      </c>
      <c r="C382" s="79" t="s">
        <v>232</v>
      </c>
      <c r="D382" s="80" t="s">
        <v>186</v>
      </c>
      <c r="E382" s="3">
        <v>2850.41</v>
      </c>
      <c r="F382" s="3">
        <v>2787.73</v>
      </c>
      <c r="G382" s="3">
        <v>2786.29</v>
      </c>
      <c r="H382" s="3">
        <v>2801.42</v>
      </c>
      <c r="I382" s="3">
        <v>2880.37</v>
      </c>
      <c r="J382" s="3">
        <v>2860.85</v>
      </c>
      <c r="K382" s="3">
        <v>2800.31</v>
      </c>
      <c r="L382" s="3">
        <v>2790.83</v>
      </c>
      <c r="M382" s="3">
        <v>2849.02</v>
      </c>
      <c r="N382" s="3">
        <v>2797.47</v>
      </c>
      <c r="O382" s="3">
        <v>2806.71</v>
      </c>
      <c r="P382" s="3">
        <v>2812.44</v>
      </c>
      <c r="Q382" s="3">
        <v>2793.6</v>
      </c>
      <c r="R382" s="372">
        <f>IF((Q383=""),"",MAX(E384:Q384))</f>
        <v>360.38999999999987</v>
      </c>
      <c r="S382" s="372">
        <f>IF(Q383="","",MIN(E384:Q384))</f>
        <v>319.15000000000009</v>
      </c>
      <c r="T382" s="375">
        <f>IF((Q384=""),"",AVERAGE(E384:Q384))</f>
        <v>334.39692307692309</v>
      </c>
      <c r="U382" s="375">
        <f>IF((Q383=""),"",(R382-S382)/(R382+S382)*100)</f>
        <v>6.068811254672247</v>
      </c>
      <c r="V382" s="375">
        <f>STDEV(E384:Q384)</f>
        <v>16.38198776330027</v>
      </c>
      <c r="W382" s="380" t="str">
        <f>IF(Q383="","",IF(T382&gt;300,IF(U382&lt;14,IF(T382&lt;390,"Pass","Fail"),"Fail"),"Fail"))</f>
        <v>Pass</v>
      </c>
      <c r="X382" s="383">
        <v>102</v>
      </c>
      <c r="Y382" s="392"/>
      <c r="Z382" s="183" t="s">
        <v>247</v>
      </c>
      <c r="AA382" s="82">
        <v>270</v>
      </c>
      <c r="AB382" s="82">
        <v>370</v>
      </c>
      <c r="AC382" s="82">
        <v>300</v>
      </c>
      <c r="AD382" s="83">
        <v>390</v>
      </c>
      <c r="AE382" s="83">
        <v>20</v>
      </c>
      <c r="AF382" s="83">
        <v>14</v>
      </c>
    </row>
    <row r="383" spans="1:32" ht="15.6" x14ac:dyDescent="0.3">
      <c r="A383" s="221"/>
      <c r="B383" s="84"/>
      <c r="C383" s="84"/>
      <c r="D383" s="80" t="s">
        <v>187</v>
      </c>
      <c r="E383" s="3">
        <v>2493.59</v>
      </c>
      <c r="F383" s="3">
        <v>2467.4499999999998</v>
      </c>
      <c r="G383" s="3">
        <v>2463.52</v>
      </c>
      <c r="H383" s="3">
        <v>2482.27</v>
      </c>
      <c r="I383" s="3">
        <v>2522.27</v>
      </c>
      <c r="J383" s="3">
        <v>2506.69</v>
      </c>
      <c r="K383" s="3">
        <v>2471.2199999999998</v>
      </c>
      <c r="L383" s="3">
        <v>2470.9899999999998</v>
      </c>
      <c r="M383" s="3">
        <v>2488.63</v>
      </c>
      <c r="N383" s="3">
        <v>2470.44</v>
      </c>
      <c r="O383" s="3">
        <v>2478.46</v>
      </c>
      <c r="P383" s="3">
        <v>2482.4899999999998</v>
      </c>
      <c r="Q383" s="3">
        <v>2472.27</v>
      </c>
      <c r="R383" s="373"/>
      <c r="S383" s="373"/>
      <c r="T383" s="376"/>
      <c r="U383" s="376"/>
      <c r="V383" s="378"/>
      <c r="W383" s="381"/>
      <c r="X383" s="384"/>
      <c r="Y383" s="393"/>
      <c r="Z383" s="183"/>
      <c r="AA383" s="82"/>
      <c r="AB383" s="82"/>
      <c r="AC383" s="82"/>
      <c r="AD383" s="82"/>
      <c r="AE383" s="86"/>
      <c r="AF383" s="82"/>
    </row>
    <row r="384" spans="1:32" ht="30" x14ac:dyDescent="0.3">
      <c r="A384" s="221"/>
      <c r="B384" s="79"/>
      <c r="C384" s="79"/>
      <c r="D384" s="80" t="s">
        <v>188</v>
      </c>
      <c r="E384" s="88">
        <f t="shared" ref="E384:Q384" si="124">IF(((E382="")*AND(E383="")),"",(E382-E383))</f>
        <v>356.81999999999971</v>
      </c>
      <c r="F384" s="88">
        <f t="shared" si="124"/>
        <v>320.2800000000002</v>
      </c>
      <c r="G384" s="88">
        <f t="shared" si="124"/>
        <v>322.77</v>
      </c>
      <c r="H384" s="88">
        <f t="shared" si="124"/>
        <v>319.15000000000009</v>
      </c>
      <c r="I384" s="88">
        <f t="shared" si="124"/>
        <v>358.09999999999991</v>
      </c>
      <c r="J384" s="88">
        <f t="shared" si="124"/>
        <v>354.15999999999985</v>
      </c>
      <c r="K384" s="88">
        <f t="shared" si="124"/>
        <v>329.09000000000015</v>
      </c>
      <c r="L384" s="88">
        <f t="shared" si="124"/>
        <v>319.84000000000015</v>
      </c>
      <c r="M384" s="88">
        <f t="shared" si="124"/>
        <v>360.38999999999987</v>
      </c>
      <c r="N384" s="88">
        <f t="shared" si="124"/>
        <v>327.02999999999975</v>
      </c>
      <c r="O384" s="88">
        <f t="shared" si="124"/>
        <v>328.25</v>
      </c>
      <c r="P384" s="88">
        <f t="shared" si="124"/>
        <v>329.95000000000027</v>
      </c>
      <c r="Q384" s="88">
        <f t="shared" si="124"/>
        <v>321.32999999999993</v>
      </c>
      <c r="R384" s="374"/>
      <c r="S384" s="374"/>
      <c r="T384" s="377"/>
      <c r="U384" s="377"/>
      <c r="V384" s="379"/>
      <c r="W384" s="382"/>
      <c r="X384" s="385"/>
      <c r="Y384" s="394"/>
      <c r="Z384" s="183"/>
      <c r="AA384" s="82"/>
      <c r="AB384" s="82"/>
      <c r="AC384" s="82"/>
      <c r="AD384" s="82"/>
      <c r="AE384" s="86"/>
      <c r="AF384" s="82"/>
    </row>
    <row r="385" spans="1:32" ht="15" x14ac:dyDescent="0.25">
      <c r="A385" s="222">
        <v>43552</v>
      </c>
      <c r="B385" s="79" t="s">
        <v>235</v>
      </c>
      <c r="C385" s="79" t="s">
        <v>232</v>
      </c>
      <c r="D385" s="80" t="s">
        <v>186</v>
      </c>
      <c r="E385" s="3">
        <v>2854.03</v>
      </c>
      <c r="F385" s="3">
        <v>2791.52</v>
      </c>
      <c r="G385" s="3">
        <v>2786.93</v>
      </c>
      <c r="H385" s="3">
        <v>2805.12</v>
      </c>
      <c r="I385" s="3">
        <v>2885.11</v>
      </c>
      <c r="J385" s="3">
        <v>2861.36</v>
      </c>
      <c r="K385" s="3">
        <v>2800.09</v>
      </c>
      <c r="L385" s="3">
        <v>2792.93</v>
      </c>
      <c r="M385" s="3">
        <v>2852.3</v>
      </c>
      <c r="N385" s="3">
        <v>2795.48</v>
      </c>
      <c r="O385" s="3">
        <v>2811.37</v>
      </c>
      <c r="P385" s="3">
        <v>2815.2</v>
      </c>
      <c r="Q385" s="3">
        <v>2800.54</v>
      </c>
      <c r="R385" s="372">
        <f>IF((Q386=""),"",MAX(E387:Q387))</f>
        <v>352.53999999999996</v>
      </c>
      <c r="S385" s="372">
        <f>IF(Q386="","",MIN(E387:Q387))</f>
        <v>309.91999999999962</v>
      </c>
      <c r="T385" s="375">
        <f>IF((Q387=""),"",AVERAGE(E387:Q387))</f>
        <v>327.65615384615381</v>
      </c>
      <c r="U385" s="375">
        <f>IF((Q386=""),"",(R385-S385)/(R385+S385)*100)</f>
        <v>6.4335959907013809</v>
      </c>
      <c r="V385" s="375">
        <f>STDEV(E387:Q387)</f>
        <v>17.209168359947824</v>
      </c>
      <c r="W385" s="380" t="str">
        <f>IF(Q386="","",IF(T385&gt;300,IF(U385&lt;14,IF(T385&lt;390,"Pass","Fail"),"Fail"),"Fail"))</f>
        <v>Pass</v>
      </c>
      <c r="X385" s="383">
        <v>121</v>
      </c>
      <c r="Y385" s="389"/>
      <c r="Z385" s="182"/>
      <c r="AA385" s="82">
        <v>270</v>
      </c>
      <c r="AB385" s="82">
        <v>370</v>
      </c>
      <c r="AC385" s="82">
        <v>300</v>
      </c>
      <c r="AD385" s="83">
        <v>390</v>
      </c>
      <c r="AE385" s="83">
        <v>20</v>
      </c>
      <c r="AF385" s="83">
        <v>14</v>
      </c>
    </row>
    <row r="386" spans="1:32" ht="15.6" x14ac:dyDescent="0.3">
      <c r="A386" s="221"/>
      <c r="B386" s="84"/>
      <c r="C386" s="84"/>
      <c r="D386" s="80" t="s">
        <v>187</v>
      </c>
      <c r="E386" s="3">
        <v>2502.5</v>
      </c>
      <c r="F386" s="3">
        <v>2475.37</v>
      </c>
      <c r="G386" s="3">
        <v>2477.0100000000002</v>
      </c>
      <c r="H386" s="3">
        <v>2488.89</v>
      </c>
      <c r="I386" s="3">
        <v>2532.5700000000002</v>
      </c>
      <c r="J386" s="3">
        <v>2509.15</v>
      </c>
      <c r="K386" s="3">
        <v>2484.46</v>
      </c>
      <c r="L386" s="3">
        <v>2478.0300000000002</v>
      </c>
      <c r="M386" s="3">
        <v>2500.89</v>
      </c>
      <c r="N386" s="3">
        <v>2482.5</v>
      </c>
      <c r="O386" s="3">
        <v>2490.17</v>
      </c>
      <c r="P386" s="3">
        <v>2493.37</v>
      </c>
      <c r="Q386" s="3">
        <v>2477.54</v>
      </c>
      <c r="R386" s="373"/>
      <c r="S386" s="373"/>
      <c r="T386" s="376"/>
      <c r="U386" s="376"/>
      <c r="V386" s="378"/>
      <c r="W386" s="381"/>
      <c r="X386" s="384"/>
      <c r="Y386" s="390"/>
      <c r="Z386" s="182"/>
      <c r="AA386" s="82"/>
      <c r="AB386" s="82"/>
      <c r="AC386" s="82"/>
      <c r="AD386" s="82"/>
      <c r="AE386" s="86"/>
      <c r="AF386" s="82"/>
    </row>
    <row r="387" spans="1:32" ht="30" x14ac:dyDescent="0.3">
      <c r="A387" s="221"/>
      <c r="B387" s="79"/>
      <c r="C387" s="79"/>
      <c r="D387" s="80" t="s">
        <v>188</v>
      </c>
      <c r="E387" s="88">
        <f t="shared" ref="E387:Q387" si="125">IF(((E385="")*AND(E386="")),"",(E385-E386))</f>
        <v>351.5300000000002</v>
      </c>
      <c r="F387" s="88">
        <f t="shared" si="125"/>
        <v>316.15000000000009</v>
      </c>
      <c r="G387" s="88">
        <f t="shared" si="125"/>
        <v>309.91999999999962</v>
      </c>
      <c r="H387" s="88">
        <f t="shared" si="125"/>
        <v>316.23</v>
      </c>
      <c r="I387" s="88">
        <f t="shared" si="125"/>
        <v>352.53999999999996</v>
      </c>
      <c r="J387" s="88">
        <f t="shared" si="125"/>
        <v>352.21000000000004</v>
      </c>
      <c r="K387" s="88">
        <f t="shared" si="125"/>
        <v>315.63000000000011</v>
      </c>
      <c r="L387" s="88">
        <f t="shared" si="125"/>
        <v>314.89999999999964</v>
      </c>
      <c r="M387" s="88">
        <f t="shared" si="125"/>
        <v>351.41000000000031</v>
      </c>
      <c r="N387" s="88">
        <f t="shared" si="125"/>
        <v>312.98</v>
      </c>
      <c r="O387" s="88">
        <f t="shared" si="125"/>
        <v>321.19999999999982</v>
      </c>
      <c r="P387" s="88">
        <f t="shared" si="125"/>
        <v>321.82999999999993</v>
      </c>
      <c r="Q387" s="88">
        <f t="shared" si="125"/>
        <v>323</v>
      </c>
      <c r="R387" s="374"/>
      <c r="S387" s="374"/>
      <c r="T387" s="377"/>
      <c r="U387" s="377"/>
      <c r="V387" s="379"/>
      <c r="W387" s="382"/>
      <c r="X387" s="385"/>
      <c r="Y387" s="391"/>
      <c r="Z387" s="182"/>
      <c r="AA387" s="82"/>
      <c r="AB387" s="82"/>
      <c r="AC387" s="82"/>
      <c r="AD387" s="82"/>
      <c r="AE387" s="86"/>
      <c r="AF387" s="82"/>
    </row>
    <row r="388" spans="1:32" ht="15" x14ac:dyDescent="0.25">
      <c r="A388" s="222">
        <v>43556</v>
      </c>
      <c r="B388" s="79" t="s">
        <v>235</v>
      </c>
      <c r="C388" s="79" t="s">
        <v>232</v>
      </c>
      <c r="D388" s="80" t="s">
        <v>186</v>
      </c>
      <c r="E388" s="3">
        <v>2852.65</v>
      </c>
      <c r="F388" s="3">
        <v>2793.66</v>
      </c>
      <c r="G388" s="3">
        <v>2787.22</v>
      </c>
      <c r="H388" s="3">
        <v>2802.25</v>
      </c>
      <c r="I388" s="3">
        <v>2883.24</v>
      </c>
      <c r="J388" s="3">
        <v>2860.68</v>
      </c>
      <c r="K388" s="3">
        <v>2799.38</v>
      </c>
      <c r="L388" s="3">
        <v>2795.06</v>
      </c>
      <c r="M388" s="3">
        <v>2853.85</v>
      </c>
      <c r="N388" s="3">
        <v>2796.53</v>
      </c>
      <c r="O388" s="3">
        <v>2806.54</v>
      </c>
      <c r="P388" s="3">
        <v>2813.44</v>
      </c>
      <c r="Q388" s="3">
        <v>2797.88</v>
      </c>
      <c r="R388" s="372">
        <f>IF((Q389=""),"",MAX(E390:Q390))</f>
        <v>362.07999999999993</v>
      </c>
      <c r="S388" s="372">
        <f>IF(Q389="","",MIN(E390:Q390))</f>
        <v>323.30999999999995</v>
      </c>
      <c r="T388" s="375">
        <f>IF((Q390=""),"",AVERAGE(E390:Q390))</f>
        <v>336.78769230769228</v>
      </c>
      <c r="U388" s="375">
        <f>IF((Q389=""),"",(R388-S388)/(R388+S388)*100)</f>
        <v>5.6566334495688571</v>
      </c>
      <c r="V388" s="375">
        <f>STDEV(E390:Q390)</f>
        <v>16.80762880056065</v>
      </c>
      <c r="W388" s="380" t="str">
        <f>IF(Q389="","",IF(T388&gt;300,IF(U388&lt;14,IF(T388&lt;390,"Pass","Fail"),"Fail"),"Fail"))</f>
        <v>Pass</v>
      </c>
      <c r="X388" s="383"/>
      <c r="Y388" s="389"/>
      <c r="Z388" s="182"/>
      <c r="AA388" s="82">
        <v>270</v>
      </c>
      <c r="AB388" s="82">
        <v>370</v>
      </c>
      <c r="AC388" s="82">
        <v>300</v>
      </c>
      <c r="AD388" s="83">
        <v>390</v>
      </c>
      <c r="AE388" s="83">
        <v>20</v>
      </c>
      <c r="AF388" s="83">
        <v>14</v>
      </c>
    </row>
    <row r="389" spans="1:32" ht="15.6" x14ac:dyDescent="0.3">
      <c r="A389" s="221"/>
      <c r="B389" s="84"/>
      <c r="C389" s="84"/>
      <c r="D389" s="80" t="s">
        <v>187</v>
      </c>
      <c r="E389" s="3">
        <v>2494.4499999999998</v>
      </c>
      <c r="F389" s="3">
        <v>2467.5</v>
      </c>
      <c r="G389" s="3">
        <v>2462.66</v>
      </c>
      <c r="H389" s="3">
        <v>2478.14</v>
      </c>
      <c r="I389" s="3">
        <v>2521.77</v>
      </c>
      <c r="J389" s="3">
        <v>2499.14</v>
      </c>
      <c r="K389" s="3">
        <v>2476.0700000000002</v>
      </c>
      <c r="L389" s="3">
        <v>2468.15</v>
      </c>
      <c r="M389" s="3">
        <v>2491.77</v>
      </c>
      <c r="N389" s="3">
        <v>2472.48</v>
      </c>
      <c r="O389" s="3">
        <v>2477.14</v>
      </c>
      <c r="P389" s="3">
        <v>2483.8000000000002</v>
      </c>
      <c r="Q389" s="3">
        <v>2471.0700000000002</v>
      </c>
      <c r="R389" s="373"/>
      <c r="S389" s="373"/>
      <c r="T389" s="376"/>
      <c r="U389" s="376"/>
      <c r="V389" s="378"/>
      <c r="W389" s="381"/>
      <c r="X389" s="384"/>
      <c r="Y389" s="390"/>
      <c r="Z389" s="182"/>
      <c r="AA389" s="82"/>
      <c r="AB389" s="82"/>
      <c r="AC389" s="82"/>
      <c r="AD389" s="82"/>
      <c r="AE389" s="86"/>
      <c r="AF389" s="82"/>
    </row>
    <row r="390" spans="1:32" ht="30" x14ac:dyDescent="0.3">
      <c r="A390" s="221"/>
      <c r="B390" s="79"/>
      <c r="C390" s="79"/>
      <c r="D390" s="80" t="s">
        <v>188</v>
      </c>
      <c r="E390" s="88">
        <f t="shared" ref="E390:Q390" si="126">IF(((E388="")*AND(E389="")),"",(E388-E389))</f>
        <v>358.20000000000027</v>
      </c>
      <c r="F390" s="88">
        <f t="shared" si="126"/>
        <v>326.15999999999985</v>
      </c>
      <c r="G390" s="88">
        <f t="shared" si="126"/>
        <v>324.55999999999995</v>
      </c>
      <c r="H390" s="88">
        <f t="shared" si="126"/>
        <v>324.11000000000013</v>
      </c>
      <c r="I390" s="88">
        <f t="shared" si="126"/>
        <v>361.4699999999998</v>
      </c>
      <c r="J390" s="88">
        <f t="shared" si="126"/>
        <v>361.53999999999996</v>
      </c>
      <c r="K390" s="88">
        <f t="shared" si="126"/>
        <v>323.30999999999995</v>
      </c>
      <c r="L390" s="88">
        <f t="shared" si="126"/>
        <v>326.90999999999985</v>
      </c>
      <c r="M390" s="88">
        <f t="shared" si="126"/>
        <v>362.07999999999993</v>
      </c>
      <c r="N390" s="88">
        <f t="shared" si="126"/>
        <v>324.05000000000018</v>
      </c>
      <c r="O390" s="88">
        <f t="shared" si="126"/>
        <v>329.40000000000009</v>
      </c>
      <c r="P390" s="88">
        <f t="shared" si="126"/>
        <v>329.63999999999987</v>
      </c>
      <c r="Q390" s="88">
        <f t="shared" si="126"/>
        <v>326.80999999999995</v>
      </c>
      <c r="R390" s="374"/>
      <c r="S390" s="374"/>
      <c r="T390" s="377"/>
      <c r="U390" s="377"/>
      <c r="V390" s="379"/>
      <c r="W390" s="382"/>
      <c r="X390" s="385"/>
      <c r="Y390" s="391"/>
      <c r="Z390" s="182"/>
      <c r="AA390" s="82"/>
      <c r="AB390" s="82"/>
      <c r="AC390" s="82"/>
      <c r="AD390" s="82"/>
      <c r="AE390" s="86"/>
      <c r="AF390" s="82"/>
    </row>
    <row r="391" spans="1:32" ht="15" x14ac:dyDescent="0.25">
      <c r="A391" s="222">
        <v>43559</v>
      </c>
      <c r="B391" s="79" t="s">
        <v>235</v>
      </c>
      <c r="C391" s="79" t="s">
        <v>232</v>
      </c>
      <c r="D391" s="80" t="s">
        <v>186</v>
      </c>
      <c r="E391" s="3">
        <v>2848.48</v>
      </c>
      <c r="F391" s="3">
        <v>2801.06</v>
      </c>
      <c r="G391" s="3">
        <v>2798.21</v>
      </c>
      <c r="H391" s="3">
        <v>2808.33</v>
      </c>
      <c r="I391" s="3">
        <v>2881.93</v>
      </c>
      <c r="J391" s="3">
        <v>2882.11</v>
      </c>
      <c r="K391" s="3">
        <v>2806.97</v>
      </c>
      <c r="L391" s="3">
        <v>2805.37</v>
      </c>
      <c r="M391" s="3">
        <v>2853.71</v>
      </c>
      <c r="N391" s="3">
        <v>2813.04</v>
      </c>
      <c r="O391" s="3">
        <v>2812.43</v>
      </c>
      <c r="P391" s="3">
        <v>2822.02</v>
      </c>
      <c r="Q391" s="3">
        <v>2807.09</v>
      </c>
      <c r="R391" s="372">
        <f>IF((Q392=""),"",MAX(E393:Q393))</f>
        <v>365.59000000000015</v>
      </c>
      <c r="S391" s="372">
        <f>IF(Q392="","",MIN(E393:Q393))</f>
        <v>321.65000000000009</v>
      </c>
      <c r="T391" s="375">
        <f>IF((Q393=""),"",AVERAGE(E393:Q393))</f>
        <v>336.8915384615384</v>
      </c>
      <c r="U391" s="375">
        <f>IF((Q392=""),"",(R391-S391)/(R391+S391)*100)</f>
        <v>6.3936907048483844</v>
      </c>
      <c r="V391" s="375">
        <f>STDEV(E393:Q393)</f>
        <v>19.286235958213801</v>
      </c>
      <c r="W391" s="380" t="str">
        <f>IF(Q392="","",IF(T391&gt;300,IF(U391&lt;14,IF(T391&lt;390,"Pass","Fail"),"Fail"),"Fail"))</f>
        <v>Pass</v>
      </c>
      <c r="X391" s="383"/>
      <c r="Y391" s="389"/>
      <c r="Z391" s="182"/>
      <c r="AA391" s="82">
        <v>270</v>
      </c>
      <c r="AB391" s="82">
        <v>370</v>
      </c>
      <c r="AC391" s="82">
        <v>300</v>
      </c>
      <c r="AD391" s="83">
        <v>390</v>
      </c>
      <c r="AE391" s="83">
        <v>20</v>
      </c>
      <c r="AF391" s="83">
        <v>14</v>
      </c>
    </row>
    <row r="392" spans="1:32" ht="15.6" x14ac:dyDescent="0.3">
      <c r="A392" s="221"/>
      <c r="B392" s="84"/>
      <c r="C392" s="84"/>
      <c r="D392" s="80" t="s">
        <v>187</v>
      </c>
      <c r="E392" s="3">
        <v>2483.67</v>
      </c>
      <c r="F392" s="3">
        <v>2478.4499999999998</v>
      </c>
      <c r="G392" s="3">
        <v>2475.19</v>
      </c>
      <c r="H392" s="3">
        <v>2486.6799999999998</v>
      </c>
      <c r="I392" s="3">
        <v>2516.42</v>
      </c>
      <c r="J392" s="3">
        <v>2520.06</v>
      </c>
      <c r="K392" s="3">
        <v>2485.2800000000002</v>
      </c>
      <c r="L392" s="3">
        <v>2481.13</v>
      </c>
      <c r="M392" s="3">
        <v>2488.12</v>
      </c>
      <c r="N392" s="3">
        <v>2486.23</v>
      </c>
      <c r="O392" s="3">
        <v>2484.59</v>
      </c>
      <c r="P392" s="3">
        <v>2493.58</v>
      </c>
      <c r="Q392" s="3">
        <v>2481.7600000000002</v>
      </c>
      <c r="R392" s="373"/>
      <c r="S392" s="373"/>
      <c r="T392" s="376"/>
      <c r="U392" s="376"/>
      <c r="V392" s="378"/>
      <c r="W392" s="381"/>
      <c r="X392" s="384"/>
      <c r="Y392" s="390"/>
      <c r="Z392" s="182"/>
      <c r="AA392" s="82"/>
      <c r="AB392" s="82"/>
      <c r="AC392" s="82"/>
      <c r="AD392" s="82"/>
      <c r="AE392" s="86"/>
      <c r="AF392" s="82"/>
    </row>
    <row r="393" spans="1:32" ht="30" x14ac:dyDescent="0.3">
      <c r="A393" s="221"/>
      <c r="B393" s="79"/>
      <c r="C393" s="79"/>
      <c r="D393" s="80" t="s">
        <v>188</v>
      </c>
      <c r="E393" s="88">
        <f t="shared" ref="E393:Q393" si="127">IF(((E391="")*AND(E392="")),"",(E391-E392))</f>
        <v>364.80999999999995</v>
      </c>
      <c r="F393" s="88">
        <f t="shared" si="127"/>
        <v>322.61000000000013</v>
      </c>
      <c r="G393" s="88">
        <f t="shared" si="127"/>
        <v>323.02</v>
      </c>
      <c r="H393" s="88">
        <f t="shared" si="127"/>
        <v>321.65000000000009</v>
      </c>
      <c r="I393" s="88">
        <f t="shared" si="127"/>
        <v>365.50999999999976</v>
      </c>
      <c r="J393" s="88">
        <f t="shared" si="127"/>
        <v>362.05000000000018</v>
      </c>
      <c r="K393" s="88">
        <f t="shared" si="127"/>
        <v>321.6899999999996</v>
      </c>
      <c r="L393" s="88">
        <f t="shared" si="127"/>
        <v>324.23999999999978</v>
      </c>
      <c r="M393" s="88">
        <f t="shared" si="127"/>
        <v>365.59000000000015</v>
      </c>
      <c r="N393" s="88">
        <f t="shared" si="127"/>
        <v>326.80999999999995</v>
      </c>
      <c r="O393" s="88">
        <f t="shared" si="127"/>
        <v>327.83999999999969</v>
      </c>
      <c r="P393" s="88">
        <f t="shared" si="127"/>
        <v>328.44000000000005</v>
      </c>
      <c r="Q393" s="88">
        <f t="shared" si="127"/>
        <v>325.32999999999993</v>
      </c>
      <c r="R393" s="374"/>
      <c r="S393" s="374"/>
      <c r="T393" s="377"/>
      <c r="U393" s="377"/>
      <c r="V393" s="379"/>
      <c r="W393" s="382"/>
      <c r="X393" s="385"/>
      <c r="Y393" s="391"/>
      <c r="Z393" s="182"/>
      <c r="AA393" s="82"/>
      <c r="AB393" s="82"/>
      <c r="AC393" s="82"/>
      <c r="AD393" s="82"/>
      <c r="AE393" s="86"/>
      <c r="AF393" s="82"/>
    </row>
    <row r="394" spans="1:32" ht="15" x14ac:dyDescent="0.3">
      <c r="A394" s="222">
        <v>43565</v>
      </c>
      <c r="B394" s="79" t="s">
        <v>235</v>
      </c>
      <c r="C394" s="79" t="s">
        <v>232</v>
      </c>
      <c r="D394" s="80" t="s">
        <v>186</v>
      </c>
      <c r="E394" s="89">
        <v>2850.53</v>
      </c>
      <c r="F394" s="89">
        <v>2799.07</v>
      </c>
      <c r="G394" s="89">
        <v>2796.19</v>
      </c>
      <c r="H394" s="89">
        <v>2809.67</v>
      </c>
      <c r="I394" s="89">
        <v>2885.98</v>
      </c>
      <c r="J394" s="89">
        <v>2875.47</v>
      </c>
      <c r="K394" s="89">
        <v>2808.11</v>
      </c>
      <c r="L394" s="89">
        <v>2800.28</v>
      </c>
      <c r="M394" s="89">
        <v>2854.28</v>
      </c>
      <c r="N394" s="89">
        <v>2805.34</v>
      </c>
      <c r="O394" s="89">
        <v>2811.04</v>
      </c>
      <c r="P394" s="89">
        <v>2821.99</v>
      </c>
      <c r="Q394" s="89">
        <v>2807.8</v>
      </c>
      <c r="R394" s="372">
        <f>IF((Q395=""),"",MAX(E396:Q396))</f>
        <v>361.82000000000016</v>
      </c>
      <c r="S394" s="372">
        <f>IF(Q395="","",MIN(E396:Q396))</f>
        <v>318.86000000000013</v>
      </c>
      <c r="T394" s="375">
        <f>IF((Q396=""),"",AVERAGE(E396:Q396))</f>
        <v>336.14769230769241</v>
      </c>
      <c r="U394" s="375">
        <f>IF((Q395=""),"",(R394-S394)/(R394+S394)*100)</f>
        <v>6.3113357231004326</v>
      </c>
      <c r="V394" s="375">
        <f>STDEV(E396:Q396)</f>
        <v>16.379790980476606</v>
      </c>
      <c r="W394" s="380" t="str">
        <f>IF(Q395="","",IF(T394&gt;300,IF(U394&lt;14,IF(T394&lt;390,"Pass","Fail"),"Fail"),"Fail"))</f>
        <v>Pass</v>
      </c>
      <c r="X394" s="383">
        <v>1159</v>
      </c>
      <c r="Y394" s="253" t="s">
        <v>229</v>
      </c>
      <c r="Z394" s="182"/>
      <c r="AA394" s="82">
        <v>270</v>
      </c>
      <c r="AB394" s="82">
        <v>370</v>
      </c>
      <c r="AC394" s="82">
        <v>300</v>
      </c>
      <c r="AD394" s="83">
        <v>390</v>
      </c>
      <c r="AE394" s="83">
        <v>20</v>
      </c>
      <c r="AF394" s="83">
        <v>14</v>
      </c>
    </row>
    <row r="395" spans="1:32" ht="15.6" x14ac:dyDescent="0.3">
      <c r="A395" s="221"/>
      <c r="B395" s="84"/>
      <c r="C395" s="84"/>
      <c r="D395" s="80" t="s">
        <v>187</v>
      </c>
      <c r="E395" s="90">
        <v>2494.14</v>
      </c>
      <c r="F395" s="90">
        <v>2473.23</v>
      </c>
      <c r="G395" s="90">
        <v>2477.33</v>
      </c>
      <c r="H395" s="90">
        <v>2483.09</v>
      </c>
      <c r="I395" s="90">
        <v>2524.16</v>
      </c>
      <c r="J395" s="90">
        <v>2518.0500000000002</v>
      </c>
      <c r="K395" s="90">
        <v>2482.0100000000002</v>
      </c>
      <c r="L395" s="90">
        <v>2475.9699999999998</v>
      </c>
      <c r="M395" s="90">
        <v>2492.54</v>
      </c>
      <c r="N395" s="90">
        <v>2481.23</v>
      </c>
      <c r="O395" s="90">
        <v>2483.17</v>
      </c>
      <c r="P395" s="90">
        <v>2493.58</v>
      </c>
      <c r="Q395" s="90">
        <v>2477.33</v>
      </c>
      <c r="R395" s="373"/>
      <c r="S395" s="373"/>
      <c r="T395" s="376"/>
      <c r="U395" s="376"/>
      <c r="V395" s="378"/>
      <c r="W395" s="381"/>
      <c r="X395" s="384"/>
      <c r="Y395" s="254"/>
      <c r="Z395" s="182"/>
      <c r="AA395" s="82"/>
      <c r="AB395" s="82"/>
      <c r="AC395" s="82"/>
      <c r="AD395" s="82"/>
      <c r="AE395" s="86"/>
      <c r="AF395" s="82"/>
    </row>
    <row r="396" spans="1:32" ht="30" x14ac:dyDescent="0.3">
      <c r="A396" s="221"/>
      <c r="B396" s="79"/>
      <c r="C396" s="79"/>
      <c r="D396" s="80" t="s">
        <v>188</v>
      </c>
      <c r="E396" s="88">
        <f t="shared" ref="E396:Q396" si="128">IF(((E394="")*AND(E395="")),"",(E394-E395))</f>
        <v>356.39000000000033</v>
      </c>
      <c r="F396" s="88">
        <f t="shared" si="128"/>
        <v>325.84000000000015</v>
      </c>
      <c r="G396" s="88">
        <f t="shared" si="128"/>
        <v>318.86000000000013</v>
      </c>
      <c r="H396" s="88">
        <f t="shared" si="128"/>
        <v>326.57999999999993</v>
      </c>
      <c r="I396" s="88">
        <f t="shared" si="128"/>
        <v>361.82000000000016</v>
      </c>
      <c r="J396" s="88">
        <f t="shared" si="128"/>
        <v>357.41999999999962</v>
      </c>
      <c r="K396" s="88">
        <f t="shared" si="128"/>
        <v>326.09999999999991</v>
      </c>
      <c r="L396" s="88">
        <f t="shared" si="128"/>
        <v>324.3100000000004</v>
      </c>
      <c r="M396" s="88">
        <f t="shared" si="128"/>
        <v>361.74000000000024</v>
      </c>
      <c r="N396" s="88">
        <f t="shared" si="128"/>
        <v>324.11000000000013</v>
      </c>
      <c r="O396" s="88">
        <f t="shared" si="128"/>
        <v>327.86999999999989</v>
      </c>
      <c r="P396" s="88">
        <f t="shared" si="128"/>
        <v>328.40999999999985</v>
      </c>
      <c r="Q396" s="88">
        <f t="shared" si="128"/>
        <v>330.47000000000025</v>
      </c>
      <c r="R396" s="374"/>
      <c r="S396" s="374"/>
      <c r="T396" s="377"/>
      <c r="U396" s="377"/>
      <c r="V396" s="379"/>
      <c r="W396" s="382"/>
      <c r="X396" s="385"/>
      <c r="Y396" s="255"/>
      <c r="Z396" s="182"/>
      <c r="AA396" s="82"/>
      <c r="AB396" s="82"/>
      <c r="AC396" s="82"/>
      <c r="AD396" s="82"/>
      <c r="AE396" s="86"/>
      <c r="AF396" s="82"/>
    </row>
    <row r="397" spans="1:32" ht="15" x14ac:dyDescent="0.25">
      <c r="A397" s="222">
        <v>43568</v>
      </c>
      <c r="B397" s="79" t="s">
        <v>235</v>
      </c>
      <c r="C397" s="79" t="s">
        <v>232</v>
      </c>
      <c r="D397" s="80" t="s">
        <v>186</v>
      </c>
      <c r="E397" s="3">
        <v>2496.44</v>
      </c>
      <c r="F397" s="3">
        <v>2475.29</v>
      </c>
      <c r="G397" s="3">
        <v>2478</v>
      </c>
      <c r="H397" s="3">
        <v>2486.14</v>
      </c>
      <c r="I397" s="3">
        <v>2527.4899999999998</v>
      </c>
      <c r="J397" s="3">
        <v>2519.4499999999998</v>
      </c>
      <c r="K397" s="3">
        <v>2474.96</v>
      </c>
      <c r="L397" s="3">
        <v>2473.02</v>
      </c>
      <c r="M397" s="3">
        <v>2493.81</v>
      </c>
      <c r="N397" s="3">
        <v>2481.52</v>
      </c>
      <c r="O397" s="3">
        <v>2483.54</v>
      </c>
      <c r="P397" s="3">
        <v>2496.48</v>
      </c>
      <c r="Q397" s="3">
        <v>2475.6999999999998</v>
      </c>
      <c r="R397" s="372">
        <f>IF((Q398=""),"",MAX(E399:Q399))</f>
        <v>318.75999999999976</v>
      </c>
      <c r="S397" s="372">
        <f>IF(Q398="","",MIN(E399:Q399))</f>
        <v>264.53999999999996</v>
      </c>
      <c r="T397" s="375">
        <f>IF((Q399=""),"",AVERAGE(E399:Q399))</f>
        <v>286.15769230769223</v>
      </c>
      <c r="U397" s="375">
        <f>IF((Q398=""),"",(R397-S397)/(R397+S397)*100)</f>
        <v>9.2953883079032789</v>
      </c>
      <c r="V397" s="375">
        <f>STDEV(E399:Q399)</f>
        <v>14.988103701406047</v>
      </c>
      <c r="W397" s="380" t="str">
        <f>IF(Q398="","",IF(T397&gt;300,IF(U397&lt;14,IF(T397&lt;390,"Pass","Fail"),"Fail"),"Fail"))</f>
        <v>Fail</v>
      </c>
      <c r="X397" s="383">
        <v>1428</v>
      </c>
      <c r="Y397" s="253"/>
      <c r="Z397" s="182"/>
      <c r="AA397" s="82">
        <v>270</v>
      </c>
      <c r="AB397" s="82">
        <v>370</v>
      </c>
      <c r="AC397" s="82">
        <v>300</v>
      </c>
      <c r="AD397" s="83">
        <v>390</v>
      </c>
      <c r="AE397" s="83">
        <v>20</v>
      </c>
      <c r="AF397" s="83">
        <v>14</v>
      </c>
    </row>
    <row r="398" spans="1:32" ht="15.6" x14ac:dyDescent="0.3">
      <c r="A398" s="221"/>
      <c r="B398" s="84"/>
      <c r="C398" s="84"/>
      <c r="D398" s="80" t="s">
        <v>187</v>
      </c>
      <c r="E398" s="3">
        <v>2200.5</v>
      </c>
      <c r="F398" s="3">
        <v>2201.3000000000002</v>
      </c>
      <c r="G398" s="3">
        <v>2202.56</v>
      </c>
      <c r="H398" s="3">
        <v>2206.02</v>
      </c>
      <c r="I398" s="3">
        <v>2208.73</v>
      </c>
      <c r="J398" s="3">
        <v>2213.9299999999998</v>
      </c>
      <c r="K398" s="3">
        <v>2210.42</v>
      </c>
      <c r="L398" s="3">
        <v>2200.42</v>
      </c>
      <c r="M398" s="3">
        <v>2195.5300000000002</v>
      </c>
      <c r="N398" s="3">
        <v>2199.64</v>
      </c>
      <c r="O398" s="3">
        <v>2203.25</v>
      </c>
      <c r="P398" s="3">
        <v>2207.69</v>
      </c>
      <c r="Q398" s="3">
        <v>2191.8000000000002</v>
      </c>
      <c r="R398" s="373"/>
      <c r="S398" s="373"/>
      <c r="T398" s="376"/>
      <c r="U398" s="376"/>
      <c r="V398" s="378"/>
      <c r="W398" s="381"/>
      <c r="X398" s="384"/>
      <c r="Y398" s="254"/>
      <c r="Z398" s="182"/>
      <c r="AA398" s="82"/>
      <c r="AB398" s="82"/>
      <c r="AC398" s="82"/>
      <c r="AD398" s="82"/>
      <c r="AE398" s="86"/>
      <c r="AF398" s="82"/>
    </row>
    <row r="399" spans="1:32" ht="30" x14ac:dyDescent="0.3">
      <c r="A399" s="221"/>
      <c r="B399" s="79"/>
      <c r="C399" s="79"/>
      <c r="D399" s="80" t="s">
        <v>188</v>
      </c>
      <c r="E399" s="88">
        <f t="shared" ref="E399:Q399" si="129">IF(((E397="")*AND(E398="")),"",(E397-E398))</f>
        <v>295.94000000000005</v>
      </c>
      <c r="F399" s="88">
        <f t="shared" si="129"/>
        <v>273.98999999999978</v>
      </c>
      <c r="G399" s="88">
        <f t="shared" si="129"/>
        <v>275.44000000000005</v>
      </c>
      <c r="H399" s="88">
        <f t="shared" si="129"/>
        <v>280.11999999999989</v>
      </c>
      <c r="I399" s="88">
        <f t="shared" si="129"/>
        <v>318.75999999999976</v>
      </c>
      <c r="J399" s="88">
        <f t="shared" si="129"/>
        <v>305.52</v>
      </c>
      <c r="K399" s="88">
        <f t="shared" si="129"/>
        <v>264.53999999999996</v>
      </c>
      <c r="L399" s="88">
        <f t="shared" si="129"/>
        <v>272.59999999999991</v>
      </c>
      <c r="M399" s="88">
        <f t="shared" si="129"/>
        <v>298.27999999999975</v>
      </c>
      <c r="N399" s="88">
        <f t="shared" si="129"/>
        <v>281.88000000000011</v>
      </c>
      <c r="O399" s="88">
        <f t="shared" si="129"/>
        <v>280.28999999999996</v>
      </c>
      <c r="P399" s="88">
        <f t="shared" si="129"/>
        <v>288.78999999999996</v>
      </c>
      <c r="Q399" s="88">
        <f t="shared" si="129"/>
        <v>283.89999999999964</v>
      </c>
      <c r="R399" s="374"/>
      <c r="S399" s="374"/>
      <c r="T399" s="377"/>
      <c r="U399" s="377"/>
      <c r="V399" s="379"/>
      <c r="W399" s="382"/>
      <c r="X399" s="385"/>
      <c r="Y399" s="255"/>
      <c r="Z399" s="182"/>
      <c r="AA399" s="82"/>
      <c r="AB399" s="82"/>
      <c r="AC399" s="82"/>
      <c r="AD399" s="82"/>
      <c r="AE399" s="86"/>
      <c r="AF399" s="82"/>
    </row>
    <row r="400" spans="1:32" ht="15" x14ac:dyDescent="0.25">
      <c r="A400" s="222">
        <v>43568</v>
      </c>
      <c r="B400" s="79" t="s">
        <v>235</v>
      </c>
      <c r="C400" s="79" t="s">
        <v>232</v>
      </c>
      <c r="D400" s="80" t="s">
        <v>186</v>
      </c>
      <c r="E400" s="3">
        <v>2928.53</v>
      </c>
      <c r="F400" s="3">
        <v>2835.56</v>
      </c>
      <c r="G400" s="3">
        <v>2818.81</v>
      </c>
      <c r="H400" s="3">
        <v>2819.86</v>
      </c>
      <c r="I400" s="3">
        <v>2892.91</v>
      </c>
      <c r="J400" s="3">
        <v>2876.39</v>
      </c>
      <c r="K400" s="3">
        <v>2822.87</v>
      </c>
      <c r="L400" s="3">
        <v>2827.69</v>
      </c>
      <c r="M400" s="3">
        <v>2898.41</v>
      </c>
      <c r="N400" s="3">
        <v>2840.97</v>
      </c>
      <c r="O400" s="3">
        <v>2827.48</v>
      </c>
      <c r="P400" s="3">
        <v>2823.24</v>
      </c>
      <c r="Q400" s="3">
        <v>2846.91</v>
      </c>
      <c r="R400" s="372">
        <f>IF((Q401=""),"",MAX(E402:Q402))</f>
        <v>379.60999999999967</v>
      </c>
      <c r="S400" s="372">
        <f>IF(Q401="","",MIN(E402:Q402))</f>
        <v>320.27999999999975</v>
      </c>
      <c r="T400" s="375">
        <f>IF((Q402=""),"",AVERAGE(E402:Q402))</f>
        <v>340.1946153846153</v>
      </c>
      <c r="U400" s="375">
        <f>IF((Q401=""),"",(R400-S400)/(R400+S400)*100)</f>
        <v>8.4770463930046116</v>
      </c>
      <c r="V400" s="375">
        <f>STDEV(E402:Q402)</f>
        <v>22.33206499460081</v>
      </c>
      <c r="W400" s="380" t="str">
        <f>IF(Q401="","",IF(T400&gt;300,IF(U400&lt;14,IF(T400&lt;390,"Pass","Fail"),"Fail"),"Fail"))</f>
        <v>Pass</v>
      </c>
      <c r="X400" s="383">
        <v>1428</v>
      </c>
      <c r="Y400" s="253" t="s">
        <v>248</v>
      </c>
      <c r="Z400" s="182"/>
      <c r="AA400" s="82">
        <v>270</v>
      </c>
      <c r="AB400" s="82">
        <v>370</v>
      </c>
      <c r="AC400" s="82">
        <v>300</v>
      </c>
      <c r="AD400" s="83">
        <v>390</v>
      </c>
      <c r="AE400" s="83">
        <v>20</v>
      </c>
      <c r="AF400" s="83">
        <v>14</v>
      </c>
    </row>
    <row r="401" spans="1:32" ht="15.6" x14ac:dyDescent="0.3">
      <c r="A401" s="221"/>
      <c r="B401" s="84"/>
      <c r="C401" s="84"/>
      <c r="D401" s="80" t="s">
        <v>187</v>
      </c>
      <c r="E401" s="3">
        <v>2561.8000000000002</v>
      </c>
      <c r="F401" s="3">
        <v>2509.9899999999998</v>
      </c>
      <c r="G401" s="3">
        <v>2498.5300000000002</v>
      </c>
      <c r="H401" s="3">
        <v>2493.91</v>
      </c>
      <c r="I401" s="3">
        <v>2518.35</v>
      </c>
      <c r="J401" s="3">
        <v>2509.79</v>
      </c>
      <c r="K401" s="3">
        <v>2497.84</v>
      </c>
      <c r="L401" s="3">
        <v>2499.77</v>
      </c>
      <c r="M401" s="3">
        <v>2518.8000000000002</v>
      </c>
      <c r="N401" s="3">
        <v>2510.41</v>
      </c>
      <c r="O401" s="3">
        <v>2502.62</v>
      </c>
      <c r="P401" s="3">
        <v>2495.15</v>
      </c>
      <c r="Q401" s="3">
        <v>2520.14</v>
      </c>
      <c r="R401" s="373"/>
      <c r="S401" s="373"/>
      <c r="T401" s="376"/>
      <c r="U401" s="376"/>
      <c r="V401" s="378"/>
      <c r="W401" s="381"/>
      <c r="X401" s="384"/>
      <c r="Y401" s="254"/>
      <c r="Z401" s="182"/>
      <c r="AA401" s="82"/>
      <c r="AB401" s="82"/>
      <c r="AC401" s="82"/>
      <c r="AD401" s="82"/>
      <c r="AE401" s="86"/>
      <c r="AF401" s="82"/>
    </row>
    <row r="402" spans="1:32" ht="30" x14ac:dyDescent="0.3">
      <c r="A402" s="221"/>
      <c r="B402" s="79"/>
      <c r="C402" s="79"/>
      <c r="D402" s="80" t="s">
        <v>188</v>
      </c>
      <c r="E402" s="88">
        <f t="shared" ref="E402:Q402" si="130">IF(((E400="")*AND(E401="")),"",(E400-E401))</f>
        <v>366.73</v>
      </c>
      <c r="F402" s="88">
        <f t="shared" si="130"/>
        <v>325.57000000000016</v>
      </c>
      <c r="G402" s="88">
        <f t="shared" si="130"/>
        <v>320.27999999999975</v>
      </c>
      <c r="H402" s="88">
        <f t="shared" si="130"/>
        <v>325.95000000000027</v>
      </c>
      <c r="I402" s="88">
        <f t="shared" si="130"/>
        <v>374.55999999999995</v>
      </c>
      <c r="J402" s="88">
        <f t="shared" si="130"/>
        <v>366.59999999999991</v>
      </c>
      <c r="K402" s="88">
        <f t="shared" si="130"/>
        <v>325.02999999999975</v>
      </c>
      <c r="L402" s="88">
        <f t="shared" si="130"/>
        <v>327.92000000000007</v>
      </c>
      <c r="M402" s="88">
        <f t="shared" si="130"/>
        <v>379.60999999999967</v>
      </c>
      <c r="N402" s="88">
        <f t="shared" si="130"/>
        <v>330.55999999999995</v>
      </c>
      <c r="O402" s="88">
        <f t="shared" si="130"/>
        <v>324.86000000000013</v>
      </c>
      <c r="P402" s="88">
        <f t="shared" si="130"/>
        <v>328.08999999999969</v>
      </c>
      <c r="Q402" s="88">
        <f t="shared" si="130"/>
        <v>326.77</v>
      </c>
      <c r="R402" s="374"/>
      <c r="S402" s="374"/>
      <c r="T402" s="377"/>
      <c r="U402" s="377"/>
      <c r="V402" s="379"/>
      <c r="W402" s="382"/>
      <c r="X402" s="385"/>
      <c r="Y402" s="255"/>
      <c r="Z402" s="182"/>
      <c r="AA402" s="82"/>
      <c r="AB402" s="82"/>
      <c r="AC402" s="82"/>
      <c r="AD402" s="82"/>
      <c r="AE402" s="86"/>
      <c r="AF402" s="82"/>
    </row>
    <row r="403" spans="1:32" ht="15" x14ac:dyDescent="0.25">
      <c r="A403" s="222">
        <v>43577</v>
      </c>
      <c r="B403" s="79" t="s">
        <v>235</v>
      </c>
      <c r="C403" s="79" t="s">
        <v>232</v>
      </c>
      <c r="D403" s="80" t="s">
        <v>186</v>
      </c>
      <c r="E403" s="3">
        <v>2568.3000000000002</v>
      </c>
      <c r="F403" s="3">
        <v>2538.1</v>
      </c>
      <c r="G403" s="3">
        <v>2503.3000000000002</v>
      </c>
      <c r="H403" s="3">
        <v>2488</v>
      </c>
      <c r="I403" s="3">
        <v>2481.6999999999998</v>
      </c>
      <c r="J403" s="3">
        <v>2501.1999999999998</v>
      </c>
      <c r="K403" s="3">
        <v>2519.6</v>
      </c>
      <c r="L403" s="3">
        <v>2491.3000000000002</v>
      </c>
      <c r="M403" s="3">
        <v>2495.6999999999998</v>
      </c>
      <c r="N403" s="3">
        <v>2568.3000000000002</v>
      </c>
      <c r="O403" s="3">
        <v>2538.1</v>
      </c>
      <c r="P403" s="3">
        <v>2503.3000000000002</v>
      </c>
      <c r="Q403" s="3">
        <v>2488</v>
      </c>
      <c r="R403" s="372">
        <f>IF((Q404=""),"",MAX(E405:Q405))</f>
        <v>394.90000000000009</v>
      </c>
      <c r="S403" s="372">
        <f>IF(Q404="","",MIN(E405:Q405))</f>
        <v>333.09999999999991</v>
      </c>
      <c r="T403" s="375">
        <f>IF((Q405=""),"",AVERAGE(E405:Q405))</f>
        <v>358.58846153846156</v>
      </c>
      <c r="U403" s="375">
        <f>IF((Q404=""),"",(R403-S403)/(R403+S403)*100)</f>
        <v>8.4890109890110139</v>
      </c>
      <c r="V403" s="375">
        <f>STDEV(E405:Q405)</f>
        <v>23.843367647403159</v>
      </c>
      <c r="W403" s="380" t="str">
        <f>IF(Q404="","",IF(T403&gt;300,IF(U403&lt;14,IF(T403&lt;390,"Pass","Fail"),"Fail"),"Fail"))</f>
        <v>Pass</v>
      </c>
      <c r="X403" s="383">
        <v>1428</v>
      </c>
      <c r="Y403" s="253" t="s">
        <v>249</v>
      </c>
      <c r="Z403" s="182"/>
      <c r="AA403" s="82">
        <v>270</v>
      </c>
      <c r="AB403" s="82">
        <v>370</v>
      </c>
      <c r="AC403" s="82">
        <v>300</v>
      </c>
      <c r="AD403" s="83">
        <v>390</v>
      </c>
      <c r="AE403" s="83">
        <v>20</v>
      </c>
      <c r="AF403" s="83">
        <v>14</v>
      </c>
    </row>
    <row r="404" spans="1:32" ht="15.6" x14ac:dyDescent="0.3">
      <c r="A404" s="221"/>
      <c r="B404" s="84"/>
      <c r="C404" s="84"/>
      <c r="D404" s="80" t="s">
        <v>187</v>
      </c>
      <c r="E404" s="3">
        <v>2173.4</v>
      </c>
      <c r="F404" s="3">
        <v>2180.5</v>
      </c>
      <c r="G404" s="3">
        <v>2165.0700000000002</v>
      </c>
      <c r="H404" s="3">
        <v>2152.1999999999998</v>
      </c>
      <c r="I404" s="3">
        <v>2148.6</v>
      </c>
      <c r="J404" s="3">
        <v>2148.1</v>
      </c>
      <c r="K404" s="3">
        <v>2133.6</v>
      </c>
      <c r="L404" s="3">
        <v>2104.4</v>
      </c>
      <c r="M404" s="3">
        <v>2146.21</v>
      </c>
      <c r="N404" s="3">
        <v>2173.4</v>
      </c>
      <c r="O404" s="3">
        <v>2180.5</v>
      </c>
      <c r="P404" s="3">
        <v>2165.0700000000002</v>
      </c>
      <c r="Q404" s="3">
        <v>2152.1999999999998</v>
      </c>
      <c r="R404" s="373"/>
      <c r="S404" s="373"/>
      <c r="T404" s="376"/>
      <c r="U404" s="376"/>
      <c r="V404" s="378"/>
      <c r="W404" s="381"/>
      <c r="X404" s="384"/>
      <c r="Y404" s="254"/>
      <c r="Z404" s="182"/>
      <c r="AA404" s="82"/>
      <c r="AB404" s="82"/>
      <c r="AC404" s="82"/>
      <c r="AD404" s="82"/>
      <c r="AE404" s="86"/>
      <c r="AF404" s="82"/>
    </row>
    <row r="405" spans="1:32" ht="30" x14ac:dyDescent="0.3">
      <c r="A405" s="221"/>
      <c r="B405" s="79"/>
      <c r="C405" s="79"/>
      <c r="D405" s="80" t="s">
        <v>188</v>
      </c>
      <c r="E405" s="88">
        <f t="shared" ref="E405:Q405" si="131">IF(((E403="")*AND(E404="")),"",(E403-E404))</f>
        <v>394.90000000000009</v>
      </c>
      <c r="F405" s="88">
        <f t="shared" si="131"/>
        <v>357.59999999999991</v>
      </c>
      <c r="G405" s="88">
        <f t="shared" si="131"/>
        <v>338.23</v>
      </c>
      <c r="H405" s="88">
        <f t="shared" si="131"/>
        <v>335.80000000000018</v>
      </c>
      <c r="I405" s="88">
        <f t="shared" si="131"/>
        <v>333.09999999999991</v>
      </c>
      <c r="J405" s="88">
        <f t="shared" si="131"/>
        <v>353.09999999999991</v>
      </c>
      <c r="K405" s="88">
        <f t="shared" si="131"/>
        <v>386</v>
      </c>
      <c r="L405" s="88">
        <f t="shared" si="131"/>
        <v>386.90000000000009</v>
      </c>
      <c r="M405" s="88">
        <f t="shared" si="131"/>
        <v>349.48999999999978</v>
      </c>
      <c r="N405" s="88">
        <f t="shared" si="131"/>
        <v>394.90000000000009</v>
      </c>
      <c r="O405" s="88">
        <f t="shared" si="131"/>
        <v>357.59999999999991</v>
      </c>
      <c r="P405" s="88">
        <f t="shared" si="131"/>
        <v>338.23</v>
      </c>
      <c r="Q405" s="88">
        <f t="shared" si="131"/>
        <v>335.80000000000018</v>
      </c>
      <c r="R405" s="374"/>
      <c r="S405" s="374"/>
      <c r="T405" s="377"/>
      <c r="U405" s="377"/>
      <c r="V405" s="379"/>
      <c r="W405" s="382"/>
      <c r="X405" s="385"/>
      <c r="Y405" s="255"/>
      <c r="Z405" s="182"/>
      <c r="AA405" s="82"/>
      <c r="AB405" s="82"/>
      <c r="AC405" s="82"/>
      <c r="AD405" s="82"/>
      <c r="AE405" s="86"/>
      <c r="AF405" s="82"/>
    </row>
    <row r="406" spans="1:32" ht="15" x14ac:dyDescent="0.25">
      <c r="A406" s="222">
        <v>43581</v>
      </c>
      <c r="B406" s="79" t="s">
        <v>235</v>
      </c>
      <c r="C406" s="79" t="s">
        <v>232</v>
      </c>
      <c r="D406" s="80" t="s">
        <v>186</v>
      </c>
      <c r="E406" s="3">
        <v>2778.6</v>
      </c>
      <c r="F406" s="3">
        <v>2706.18</v>
      </c>
      <c r="G406" s="3">
        <v>2699.52</v>
      </c>
      <c r="H406" s="3">
        <v>2716.15</v>
      </c>
      <c r="I406" s="3">
        <v>2817.97</v>
      </c>
      <c r="J406" s="3">
        <v>2771.54</v>
      </c>
      <c r="K406" s="3">
        <v>2710.03</v>
      </c>
      <c r="L406" s="3">
        <v>2708.39</v>
      </c>
      <c r="M406" s="3">
        <v>2774.19</v>
      </c>
      <c r="N406" s="3">
        <v>2711.09</v>
      </c>
      <c r="O406" s="3">
        <v>2725.19</v>
      </c>
      <c r="P406" s="3">
        <v>2725.57</v>
      </c>
      <c r="Q406" s="3">
        <v>2713.06</v>
      </c>
      <c r="R406" s="372">
        <f>IF((Q407=""),"",MAX(E408:Q408))</f>
        <v>358.05000000000018</v>
      </c>
      <c r="S406" s="372">
        <f>IF(Q407="","",MIN(E408:Q408))</f>
        <v>315.84999999999991</v>
      </c>
      <c r="T406" s="375">
        <f>IF((Q408=""),"",AVERAGE(E408:Q408))</f>
        <v>332.22923076923081</v>
      </c>
      <c r="U406" s="375">
        <f>IF((Q407=""),"",(R406-S406)/(R406+S406)*100)</f>
        <v>6.2620566849681358</v>
      </c>
      <c r="V406" s="375">
        <f>STDEV(E408:Q408)</f>
        <v>16.030154117339002</v>
      </c>
      <c r="W406" s="380" t="str">
        <f>IF(Q407="","",IF(T406&gt;300,IF(U406&lt;14,IF(T406&lt;390,"Pass","Fail"),"Fail"),"Fail"))</f>
        <v>Pass</v>
      </c>
      <c r="X406" s="383">
        <v>74</v>
      </c>
      <c r="Y406" s="253"/>
      <c r="Z406" s="182"/>
      <c r="AA406" s="82">
        <v>270</v>
      </c>
      <c r="AB406" s="82">
        <v>370</v>
      </c>
      <c r="AC406" s="82">
        <v>300</v>
      </c>
      <c r="AD406" s="83">
        <v>390</v>
      </c>
      <c r="AE406" s="83">
        <v>20</v>
      </c>
      <c r="AF406" s="83">
        <v>14</v>
      </c>
    </row>
    <row r="407" spans="1:32" ht="15.6" x14ac:dyDescent="0.3">
      <c r="A407" s="221"/>
      <c r="B407" s="84"/>
      <c r="C407" s="84"/>
      <c r="D407" s="80" t="s">
        <v>187</v>
      </c>
      <c r="E407" s="3">
        <v>2423.19</v>
      </c>
      <c r="F407" s="3">
        <v>2380.42</v>
      </c>
      <c r="G407" s="3">
        <v>2383.67</v>
      </c>
      <c r="H407" s="3">
        <v>2396.66</v>
      </c>
      <c r="I407" s="3">
        <v>2462.16</v>
      </c>
      <c r="J407" s="3">
        <v>2422.2199999999998</v>
      </c>
      <c r="K407" s="3">
        <v>2389.52</v>
      </c>
      <c r="L407" s="3">
        <v>2388.7199999999998</v>
      </c>
      <c r="M407" s="3">
        <v>2416.14</v>
      </c>
      <c r="N407" s="3">
        <v>2388.71</v>
      </c>
      <c r="O407" s="3">
        <v>2403.14</v>
      </c>
      <c r="P407" s="3">
        <v>2401.0100000000002</v>
      </c>
      <c r="Q407" s="3">
        <v>2382.94</v>
      </c>
      <c r="R407" s="373"/>
      <c r="S407" s="373"/>
      <c r="T407" s="376"/>
      <c r="U407" s="376"/>
      <c r="V407" s="378"/>
      <c r="W407" s="381"/>
      <c r="X407" s="384"/>
      <c r="Y407" s="254"/>
      <c r="Z407" s="182"/>
      <c r="AA407" s="82"/>
      <c r="AB407" s="82"/>
      <c r="AC407" s="82"/>
      <c r="AD407" s="82"/>
      <c r="AE407" s="86"/>
      <c r="AF407" s="82"/>
    </row>
    <row r="408" spans="1:32" ht="30" x14ac:dyDescent="0.3">
      <c r="A408" s="221"/>
      <c r="B408" s="79"/>
      <c r="C408" s="79"/>
      <c r="D408" s="80" t="s">
        <v>188</v>
      </c>
      <c r="E408" s="88">
        <f t="shared" ref="E408:Q408" si="132">IF(((E406="")*AND(E407="")),"",(E406-E407))</f>
        <v>355.40999999999985</v>
      </c>
      <c r="F408" s="88">
        <f t="shared" si="132"/>
        <v>325.75999999999976</v>
      </c>
      <c r="G408" s="88">
        <f t="shared" si="132"/>
        <v>315.84999999999991</v>
      </c>
      <c r="H408" s="88">
        <f t="shared" si="132"/>
        <v>319.49000000000024</v>
      </c>
      <c r="I408" s="88">
        <f t="shared" si="132"/>
        <v>355.80999999999995</v>
      </c>
      <c r="J408" s="88">
        <f t="shared" si="132"/>
        <v>349.32000000000016</v>
      </c>
      <c r="K408" s="88">
        <f t="shared" si="132"/>
        <v>320.51000000000022</v>
      </c>
      <c r="L408" s="88">
        <f t="shared" si="132"/>
        <v>319.67000000000007</v>
      </c>
      <c r="M408" s="88">
        <f t="shared" si="132"/>
        <v>358.05000000000018</v>
      </c>
      <c r="N408" s="88">
        <f t="shared" si="132"/>
        <v>322.38000000000011</v>
      </c>
      <c r="O408" s="88">
        <f t="shared" si="132"/>
        <v>322.05000000000018</v>
      </c>
      <c r="P408" s="88">
        <f t="shared" si="132"/>
        <v>324.55999999999995</v>
      </c>
      <c r="Q408" s="88">
        <f t="shared" si="132"/>
        <v>330.11999999999989</v>
      </c>
      <c r="R408" s="374"/>
      <c r="S408" s="374"/>
      <c r="T408" s="377"/>
      <c r="U408" s="377"/>
      <c r="V408" s="379"/>
      <c r="W408" s="382"/>
      <c r="X408" s="385"/>
      <c r="Y408" s="255"/>
      <c r="Z408" s="182"/>
      <c r="AA408" s="82"/>
      <c r="AB408" s="82"/>
      <c r="AC408" s="82"/>
      <c r="AD408" s="82"/>
      <c r="AE408" s="86"/>
      <c r="AF408" s="82"/>
    </row>
    <row r="409" spans="1:32" ht="15" x14ac:dyDescent="0.25">
      <c r="A409" s="222">
        <v>43585</v>
      </c>
      <c r="B409" s="79" t="s">
        <v>235</v>
      </c>
      <c r="C409" s="79" t="s">
        <v>232</v>
      </c>
      <c r="D409" s="80" t="s">
        <v>186</v>
      </c>
      <c r="E409" s="56">
        <v>2838</v>
      </c>
      <c r="F409" s="56">
        <v>2762</v>
      </c>
      <c r="G409" s="56">
        <v>2728</v>
      </c>
      <c r="H409" s="56">
        <v>2722</v>
      </c>
      <c r="I409" s="56">
        <v>2744</v>
      </c>
      <c r="J409" s="56">
        <v>2796</v>
      </c>
      <c r="K409" s="56">
        <v>2876</v>
      </c>
      <c r="L409" s="56">
        <v>2822</v>
      </c>
      <c r="M409" s="56">
        <v>2770</v>
      </c>
      <c r="N409" s="56">
        <v>2733</v>
      </c>
      <c r="O409" s="56">
        <v>2731</v>
      </c>
      <c r="P409" s="56">
        <v>2760</v>
      </c>
      <c r="Q409" s="56">
        <v>2820</v>
      </c>
      <c r="R409" s="372">
        <f>IF((Q410=""),"",MAX(E411:Q411))</f>
        <v>421</v>
      </c>
      <c r="S409" s="372">
        <f>IF(Q410="","",MIN(E411:Q411))</f>
        <v>360</v>
      </c>
      <c r="T409" s="375">
        <f>IF((Q411=""),"",AVERAGE(E411:Q411))</f>
        <v>385.30769230769232</v>
      </c>
      <c r="U409" s="375">
        <f>IF((Q410=""),"",(R409-S409)/(R409+S409)*100)</f>
        <v>7.8104993597951342</v>
      </c>
      <c r="V409" s="375">
        <f>STDEV(E411:Q411)</f>
        <v>23.792101684468786</v>
      </c>
      <c r="W409" s="380" t="str">
        <f>IF(Q410="","",IF(T409&gt;300,IF(U409&lt;14,IF(T409&lt;390,"Pass","Fail"),"Fail"),"Fail"))</f>
        <v>Pass</v>
      </c>
      <c r="X409" s="383">
        <v>1340</v>
      </c>
      <c r="AA409" s="82">
        <v>270</v>
      </c>
      <c r="AB409" s="82">
        <v>370</v>
      </c>
      <c r="AC409" s="82">
        <v>300</v>
      </c>
      <c r="AD409" s="83">
        <v>390</v>
      </c>
      <c r="AE409" s="83">
        <v>20</v>
      </c>
      <c r="AF409" s="83">
        <v>14</v>
      </c>
    </row>
    <row r="410" spans="1:32" ht="15.6" x14ac:dyDescent="0.3">
      <c r="A410" s="221"/>
      <c r="B410" s="84"/>
      <c r="C410" s="84"/>
      <c r="D410" s="80" t="s">
        <v>187</v>
      </c>
      <c r="E410" s="56">
        <v>2418</v>
      </c>
      <c r="F410" s="56">
        <v>2383</v>
      </c>
      <c r="G410" s="56">
        <v>2362</v>
      </c>
      <c r="H410" s="56">
        <v>2362</v>
      </c>
      <c r="I410" s="56">
        <v>2379</v>
      </c>
      <c r="J410" s="56">
        <v>2415</v>
      </c>
      <c r="K410" s="56">
        <v>2464</v>
      </c>
      <c r="L410" s="56">
        <v>2401</v>
      </c>
      <c r="M410" s="56">
        <v>2389</v>
      </c>
      <c r="N410" s="56">
        <v>2372</v>
      </c>
      <c r="O410" s="56">
        <v>2366</v>
      </c>
      <c r="P410" s="56">
        <v>2380</v>
      </c>
      <c r="Q410" s="56">
        <v>2402</v>
      </c>
      <c r="R410" s="373"/>
      <c r="S410" s="373"/>
      <c r="T410" s="376"/>
      <c r="U410" s="376"/>
      <c r="V410" s="378"/>
      <c r="W410" s="381"/>
      <c r="X410" s="384"/>
      <c r="AA410" s="82"/>
      <c r="AB410" s="82"/>
      <c r="AC410" s="82"/>
      <c r="AD410" s="82"/>
      <c r="AE410" s="86"/>
      <c r="AF410" s="82"/>
    </row>
    <row r="411" spans="1:32" ht="30" x14ac:dyDescent="0.3">
      <c r="A411" s="221"/>
      <c r="B411" s="79"/>
      <c r="C411" s="79"/>
      <c r="D411" s="80" t="s">
        <v>188</v>
      </c>
      <c r="E411" s="88">
        <f t="shared" ref="E411:Q411" si="133">IF(((E409="")*AND(E410="")),"",(E409-E410))</f>
        <v>420</v>
      </c>
      <c r="F411" s="88">
        <f t="shared" si="133"/>
        <v>379</v>
      </c>
      <c r="G411" s="88">
        <f t="shared" si="133"/>
        <v>366</v>
      </c>
      <c r="H411" s="88">
        <f t="shared" si="133"/>
        <v>360</v>
      </c>
      <c r="I411" s="88">
        <f t="shared" si="133"/>
        <v>365</v>
      </c>
      <c r="J411" s="88">
        <f t="shared" si="133"/>
        <v>381</v>
      </c>
      <c r="K411" s="88">
        <f t="shared" si="133"/>
        <v>412</v>
      </c>
      <c r="L411" s="88">
        <f t="shared" si="133"/>
        <v>421</v>
      </c>
      <c r="M411" s="88">
        <f t="shared" si="133"/>
        <v>381</v>
      </c>
      <c r="N411" s="88">
        <f t="shared" si="133"/>
        <v>361</v>
      </c>
      <c r="O411" s="88">
        <f t="shared" si="133"/>
        <v>365</v>
      </c>
      <c r="P411" s="88">
        <f t="shared" si="133"/>
        <v>380</v>
      </c>
      <c r="Q411" s="88">
        <f t="shared" si="133"/>
        <v>418</v>
      </c>
      <c r="R411" s="374"/>
      <c r="S411" s="374"/>
      <c r="T411" s="377"/>
      <c r="U411" s="377"/>
      <c r="V411" s="379"/>
      <c r="W411" s="382"/>
      <c r="X411" s="385"/>
      <c r="AA411" s="82"/>
      <c r="AB411" s="82"/>
      <c r="AC411" s="82"/>
      <c r="AD411" s="82"/>
      <c r="AE411" s="86"/>
      <c r="AF411" s="82"/>
    </row>
    <row r="412" spans="1:32" ht="15" x14ac:dyDescent="0.25">
      <c r="A412" s="222">
        <v>43588</v>
      </c>
      <c r="B412" s="79" t="s">
        <v>235</v>
      </c>
      <c r="C412" s="79" t="s">
        <v>232</v>
      </c>
      <c r="D412" s="80" t="s">
        <v>186</v>
      </c>
      <c r="E412" s="3">
        <v>2763.41</v>
      </c>
      <c r="F412" s="3">
        <v>2708.19</v>
      </c>
      <c r="G412" s="3">
        <v>2707.32</v>
      </c>
      <c r="H412" s="3">
        <v>2719.83</v>
      </c>
      <c r="I412" s="3">
        <v>2803.67</v>
      </c>
      <c r="J412" s="3">
        <v>2800.12</v>
      </c>
      <c r="K412" s="3">
        <v>2717.67</v>
      </c>
      <c r="L412" s="3">
        <v>2708.05</v>
      </c>
      <c r="M412" s="3">
        <v>2766.54</v>
      </c>
      <c r="N412" s="3">
        <v>2719.22</v>
      </c>
      <c r="O412" s="3">
        <v>2716.68</v>
      </c>
      <c r="P412" s="3">
        <v>2730.95</v>
      </c>
      <c r="Q412" s="3">
        <v>2715.97</v>
      </c>
      <c r="R412" s="372">
        <f>IF((Q413=""),"",MAX(E414:Q414))</f>
        <v>368.40999999999985</v>
      </c>
      <c r="S412" s="372">
        <f>IF(Q413="","",MIN(E414:Q414))</f>
        <v>326.47000000000025</v>
      </c>
      <c r="T412" s="375">
        <f>IF((Q414=""),"",AVERAGE(E414:Q414))</f>
        <v>344.43846153846147</v>
      </c>
      <c r="U412" s="375">
        <f>IF((Q413=""),"",(R412-S412)/(R412+S412)*100)</f>
        <v>6.0355744876812674</v>
      </c>
      <c r="V412" s="375">
        <f>STDEV(E414:Q414)</f>
        <v>14.91570025518633</v>
      </c>
      <c r="W412" s="380" t="str">
        <f>IF(Q413="","",IF(T412&gt;300,IF(U412&lt;14,IF(T412&lt;390,"Pass","Fail"),"Fail"),"Fail"))</f>
        <v>Pass</v>
      </c>
      <c r="X412" s="383">
        <v>1340</v>
      </c>
      <c r="AA412" s="82">
        <v>270</v>
      </c>
      <c r="AB412" s="82">
        <v>370</v>
      </c>
      <c r="AC412" s="82">
        <v>300</v>
      </c>
      <c r="AD412" s="83">
        <v>390</v>
      </c>
      <c r="AE412" s="83">
        <v>20</v>
      </c>
      <c r="AF412" s="83">
        <v>14</v>
      </c>
    </row>
    <row r="413" spans="1:32" ht="15.6" x14ac:dyDescent="0.3">
      <c r="A413" s="221"/>
      <c r="B413" s="84"/>
      <c r="C413" s="84"/>
      <c r="D413" s="80" t="s">
        <v>187</v>
      </c>
      <c r="E413" s="3">
        <v>2397.4699999999998</v>
      </c>
      <c r="F413" s="3">
        <v>2375.7600000000002</v>
      </c>
      <c r="G413" s="3">
        <v>2369.96</v>
      </c>
      <c r="H413" s="3">
        <v>2384.0500000000002</v>
      </c>
      <c r="I413" s="3">
        <v>2437.2199999999998</v>
      </c>
      <c r="J413" s="3">
        <v>2439.8000000000002</v>
      </c>
      <c r="K413" s="3">
        <v>2378.0300000000002</v>
      </c>
      <c r="L413" s="3">
        <v>2381.58</v>
      </c>
      <c r="M413" s="3">
        <v>2398.13</v>
      </c>
      <c r="N413" s="3">
        <v>2382.21</v>
      </c>
      <c r="O413" s="3">
        <v>2381.0700000000002</v>
      </c>
      <c r="P413" s="3">
        <v>2397.0500000000002</v>
      </c>
      <c r="Q413" s="3">
        <v>2377.59</v>
      </c>
      <c r="R413" s="373"/>
      <c r="S413" s="373"/>
      <c r="T413" s="376"/>
      <c r="U413" s="376"/>
      <c r="V413" s="378"/>
      <c r="W413" s="381"/>
      <c r="X413" s="384"/>
      <c r="AA413" s="82"/>
      <c r="AB413" s="82"/>
      <c r="AC413" s="82"/>
      <c r="AD413" s="82"/>
      <c r="AE413" s="86"/>
      <c r="AF413" s="82"/>
    </row>
    <row r="414" spans="1:32" ht="30" x14ac:dyDescent="0.3">
      <c r="A414" s="221"/>
      <c r="B414" s="79"/>
      <c r="C414" s="79"/>
      <c r="D414" s="80" t="s">
        <v>188</v>
      </c>
      <c r="E414" s="88">
        <f t="shared" ref="E414:Q414" si="134">IF(((E412="")*AND(E413="")),"",(E412-E413))</f>
        <v>365.94000000000005</v>
      </c>
      <c r="F414" s="88">
        <f t="shared" si="134"/>
        <v>332.42999999999984</v>
      </c>
      <c r="G414" s="88">
        <f t="shared" si="134"/>
        <v>337.36000000000013</v>
      </c>
      <c r="H414" s="88">
        <f t="shared" si="134"/>
        <v>335.77999999999975</v>
      </c>
      <c r="I414" s="88">
        <f t="shared" si="134"/>
        <v>366.45000000000027</v>
      </c>
      <c r="J414" s="88">
        <f t="shared" si="134"/>
        <v>360.31999999999971</v>
      </c>
      <c r="K414" s="88">
        <f t="shared" si="134"/>
        <v>339.63999999999987</v>
      </c>
      <c r="L414" s="88">
        <f t="shared" si="134"/>
        <v>326.47000000000025</v>
      </c>
      <c r="M414" s="88">
        <f t="shared" si="134"/>
        <v>368.40999999999985</v>
      </c>
      <c r="N414" s="88">
        <f t="shared" si="134"/>
        <v>337.00999999999976</v>
      </c>
      <c r="O414" s="88">
        <f t="shared" si="134"/>
        <v>335.60999999999967</v>
      </c>
      <c r="P414" s="88">
        <f t="shared" si="134"/>
        <v>333.89999999999964</v>
      </c>
      <c r="Q414" s="88">
        <f t="shared" si="134"/>
        <v>338.37999999999965</v>
      </c>
      <c r="R414" s="374"/>
      <c r="S414" s="374"/>
      <c r="T414" s="377"/>
      <c r="U414" s="377"/>
      <c r="V414" s="379"/>
      <c r="W414" s="382"/>
      <c r="X414" s="385"/>
      <c r="AA414" s="82"/>
      <c r="AB414" s="82"/>
      <c r="AC414" s="82"/>
      <c r="AD414" s="82"/>
      <c r="AE414" s="86"/>
      <c r="AF414" s="82"/>
    </row>
    <row r="415" spans="1:32" ht="15" x14ac:dyDescent="0.25">
      <c r="A415" s="222">
        <v>43595</v>
      </c>
      <c r="B415" s="257" t="s">
        <v>235</v>
      </c>
      <c r="C415" s="257" t="s">
        <v>232</v>
      </c>
      <c r="D415" s="258" t="s">
        <v>186</v>
      </c>
      <c r="E415" s="3">
        <v>2389.25</v>
      </c>
      <c r="F415" s="3">
        <v>2353.3200000000002</v>
      </c>
      <c r="G415" s="3">
        <v>2359.4899999999998</v>
      </c>
      <c r="H415" s="3">
        <v>2396.98</v>
      </c>
      <c r="I415" s="3">
        <v>2426.7199999999998</v>
      </c>
      <c r="J415" s="3">
        <v>2420.3200000000002</v>
      </c>
      <c r="K415" s="3">
        <v>2365.4899999999998</v>
      </c>
      <c r="L415" s="3">
        <v>2354.37</v>
      </c>
      <c r="M415" s="3">
        <v>2382.27</v>
      </c>
      <c r="N415" s="3">
        <v>2379.2199999999998</v>
      </c>
      <c r="O415" s="3">
        <v>2368.0100000000002</v>
      </c>
      <c r="P415" s="3">
        <v>2386.9299999999998</v>
      </c>
      <c r="Q415" s="3">
        <v>2362.12</v>
      </c>
      <c r="R415" s="360">
        <f>IF((Q416=""),"",MAX(E417:Q417))</f>
        <v>413.00000000000023</v>
      </c>
      <c r="S415" s="360">
        <f>IF(Q416="","",MIN(E417:Q417))</f>
        <v>372.36000000000013</v>
      </c>
      <c r="T415" s="363">
        <f>IF((Q417=""),"",AVERAGE(E417:Q417))</f>
        <v>389.39076923076914</v>
      </c>
      <c r="U415" s="363">
        <f>IF((Q416=""),"",(R415-S415)/(R415+S415)*100)</f>
        <v>5.1746969542630232</v>
      </c>
      <c r="V415" s="363">
        <f>STDEV(E417:Q417)</f>
        <v>13.12410089716534</v>
      </c>
      <c r="W415" s="366" t="str">
        <f>IF(Q416="","",IF(T415&gt;300,IF(U415&lt;14,IF(T415&lt;390,"Pass","Fail"),"Fail"),"Fail"))</f>
        <v>Pass</v>
      </c>
      <c r="X415" s="369">
        <v>1340</v>
      </c>
      <c r="Y415" s="253" t="s">
        <v>269</v>
      </c>
      <c r="AA415" s="82">
        <v>270</v>
      </c>
      <c r="AB415" s="82">
        <v>370</v>
      </c>
      <c r="AC415" s="82">
        <v>300</v>
      </c>
      <c r="AD415" s="83">
        <v>390</v>
      </c>
      <c r="AE415" s="83">
        <v>20</v>
      </c>
      <c r="AF415" s="83">
        <v>14</v>
      </c>
    </row>
    <row r="416" spans="1:32" ht="15.75" customHeight="1" x14ac:dyDescent="0.3">
      <c r="A416" s="222"/>
      <c r="B416" s="259"/>
      <c r="C416" s="259"/>
      <c r="D416" s="258" t="s">
        <v>187</v>
      </c>
      <c r="E416">
        <v>1990.99</v>
      </c>
      <c r="F416">
        <v>1960.21</v>
      </c>
      <c r="G416">
        <v>1955.54</v>
      </c>
      <c r="H416">
        <v>1995.57</v>
      </c>
      <c r="I416">
        <v>2050.59</v>
      </c>
      <c r="J416">
        <v>2007.32</v>
      </c>
      <c r="K416">
        <v>1986.43</v>
      </c>
      <c r="L416">
        <v>1980</v>
      </c>
      <c r="M416">
        <v>1997.33</v>
      </c>
      <c r="N416">
        <v>1981.51</v>
      </c>
      <c r="O416">
        <v>1995.65</v>
      </c>
      <c r="P416">
        <v>1995.53</v>
      </c>
      <c r="Q416">
        <v>1985.74</v>
      </c>
      <c r="R416" s="361"/>
      <c r="S416" s="361"/>
      <c r="T416" s="364"/>
      <c r="U416" s="364"/>
      <c r="V416" s="364"/>
      <c r="W416" s="367"/>
      <c r="X416" s="370"/>
      <c r="Y416" s="256"/>
    </row>
    <row r="417" spans="1:32" ht="30" customHeight="1" x14ac:dyDescent="0.25">
      <c r="A417" s="222"/>
      <c r="B417" s="257"/>
      <c r="C417" s="257"/>
      <c r="D417" s="258" t="s">
        <v>188</v>
      </c>
      <c r="E417" s="260">
        <f t="shared" ref="E417:Q417" si="135">IF(((E415="")*AND(E416="")),"",(E415-E416))</f>
        <v>398.26</v>
      </c>
      <c r="F417" s="260">
        <f t="shared" si="135"/>
        <v>393.11000000000013</v>
      </c>
      <c r="G417" s="260">
        <f t="shared" si="135"/>
        <v>403.94999999999982</v>
      </c>
      <c r="H417" s="260">
        <f t="shared" si="135"/>
        <v>401.41000000000008</v>
      </c>
      <c r="I417" s="260">
        <f t="shared" si="135"/>
        <v>376.12999999999965</v>
      </c>
      <c r="J417" s="260">
        <f t="shared" si="135"/>
        <v>413.00000000000023</v>
      </c>
      <c r="K417" s="260">
        <f t="shared" si="135"/>
        <v>379.05999999999972</v>
      </c>
      <c r="L417" s="260">
        <f t="shared" si="135"/>
        <v>374.36999999999989</v>
      </c>
      <c r="M417" s="260">
        <f t="shared" si="135"/>
        <v>384.94000000000005</v>
      </c>
      <c r="N417" s="260">
        <f t="shared" si="135"/>
        <v>397.70999999999981</v>
      </c>
      <c r="O417" s="260">
        <f t="shared" si="135"/>
        <v>372.36000000000013</v>
      </c>
      <c r="P417" s="260">
        <f t="shared" si="135"/>
        <v>391.39999999999986</v>
      </c>
      <c r="Q417" s="260">
        <f t="shared" si="135"/>
        <v>376.37999999999988</v>
      </c>
      <c r="R417" s="362"/>
      <c r="S417" s="362"/>
      <c r="T417" s="365"/>
      <c r="U417" s="365"/>
      <c r="V417" s="365"/>
      <c r="W417" s="368"/>
      <c r="X417" s="371"/>
      <c r="Y417" s="256"/>
    </row>
    <row r="418" spans="1:32" ht="15.6" x14ac:dyDescent="0.25">
      <c r="A418" s="222">
        <v>43599</v>
      </c>
      <c r="B418" s="257" t="s">
        <v>235</v>
      </c>
      <c r="C418" s="257" t="s">
        <v>232</v>
      </c>
      <c r="D418" s="258" t="s">
        <v>186</v>
      </c>
      <c r="E418" s="3">
        <v>2776.05</v>
      </c>
      <c r="F418" s="3">
        <v>2705.1</v>
      </c>
      <c r="G418" s="3">
        <v>2702.54</v>
      </c>
      <c r="H418" s="3">
        <v>2714.77</v>
      </c>
      <c r="I418" s="3">
        <v>2807.24</v>
      </c>
      <c r="J418" s="3">
        <v>2795.72</v>
      </c>
      <c r="K418" s="3">
        <v>2711.95</v>
      </c>
      <c r="L418" s="3">
        <v>2705.57</v>
      </c>
      <c r="M418" s="3">
        <v>2768.48</v>
      </c>
      <c r="N418" s="3">
        <v>2710.53</v>
      </c>
      <c r="O418" s="3">
        <v>2721.23</v>
      </c>
      <c r="P418" s="3">
        <v>2733.08</v>
      </c>
      <c r="Q418" s="3">
        <v>2707.48</v>
      </c>
      <c r="R418" s="360">
        <f>IF((Q419=""),"",MAX(E420:Q420))</f>
        <v>377.33999999999969</v>
      </c>
      <c r="S418" s="360">
        <f>IF(Q419="","",MIN(E420:Q420))</f>
        <v>323.05999999999995</v>
      </c>
      <c r="T418" s="363">
        <f>IF((Q420=""),"",AVERAGE(E420:Q420))</f>
        <v>341.97153846153839</v>
      </c>
      <c r="U418" s="363">
        <f>IF((Q419=""),"",(R418-S418)/(R418+S418)*100)</f>
        <v>7.7498572244431436</v>
      </c>
      <c r="V418" s="363">
        <f>STDEV(E420:Q420)</f>
        <v>22.393042389007679</v>
      </c>
      <c r="W418" s="366" t="str">
        <f>IF(Q419="","",IF(T418&gt;300,IF(U418&lt;14,IF(T418&lt;390,"Pass","Fail"),"Fail"),"Fail"))</f>
        <v>Pass</v>
      </c>
      <c r="X418" s="369">
        <v>121</v>
      </c>
      <c r="Y418" s="256"/>
      <c r="AA418" s="82">
        <v>270</v>
      </c>
      <c r="AB418" s="82">
        <v>370</v>
      </c>
      <c r="AC418" s="82">
        <v>300</v>
      </c>
      <c r="AD418" s="83">
        <v>390</v>
      </c>
      <c r="AE418" s="83">
        <v>20</v>
      </c>
      <c r="AF418" s="83">
        <v>14</v>
      </c>
    </row>
    <row r="419" spans="1:32" ht="15.75" customHeight="1" x14ac:dyDescent="0.3">
      <c r="A419" s="222"/>
      <c r="B419" s="259"/>
      <c r="C419" s="259"/>
      <c r="D419" s="258" t="s">
        <v>187</v>
      </c>
      <c r="E419">
        <v>2404.75</v>
      </c>
      <c r="F419">
        <v>2377.5300000000002</v>
      </c>
      <c r="G419">
        <v>2379.48</v>
      </c>
      <c r="H419">
        <v>2390.64</v>
      </c>
      <c r="I419">
        <v>2431.9</v>
      </c>
      <c r="J419">
        <v>2418.38</v>
      </c>
      <c r="K419">
        <v>2383.14</v>
      </c>
      <c r="L419">
        <v>2379.44</v>
      </c>
      <c r="M419">
        <v>2397.42</v>
      </c>
      <c r="N419">
        <v>2386.5700000000002</v>
      </c>
      <c r="O419">
        <v>2385.7600000000002</v>
      </c>
      <c r="P419">
        <v>2399.21</v>
      </c>
      <c r="Q419">
        <v>2379.89</v>
      </c>
      <c r="R419" s="361"/>
      <c r="S419" s="361"/>
      <c r="T419" s="364"/>
      <c r="U419" s="364"/>
      <c r="V419" s="364"/>
      <c r="W419" s="367"/>
      <c r="X419" s="370"/>
      <c r="Y419" s="256"/>
    </row>
    <row r="420" spans="1:32" ht="30" customHeight="1" x14ac:dyDescent="0.25">
      <c r="A420" s="222"/>
      <c r="B420" s="257"/>
      <c r="C420" s="257"/>
      <c r="D420" s="258" t="s">
        <v>188</v>
      </c>
      <c r="E420" s="260">
        <f t="shared" ref="E420:Q420" si="136">IF(((E418="")*AND(E419="")),"",(E418-E419))</f>
        <v>371.30000000000018</v>
      </c>
      <c r="F420" s="260">
        <f t="shared" si="136"/>
        <v>327.56999999999971</v>
      </c>
      <c r="G420" s="260">
        <f t="shared" si="136"/>
        <v>323.05999999999995</v>
      </c>
      <c r="H420" s="260">
        <f t="shared" si="136"/>
        <v>324.13000000000011</v>
      </c>
      <c r="I420" s="260">
        <f t="shared" si="136"/>
        <v>375.33999999999969</v>
      </c>
      <c r="J420" s="260">
        <f t="shared" si="136"/>
        <v>377.33999999999969</v>
      </c>
      <c r="K420" s="260">
        <f t="shared" si="136"/>
        <v>328.80999999999995</v>
      </c>
      <c r="L420" s="260">
        <f t="shared" si="136"/>
        <v>326.13000000000011</v>
      </c>
      <c r="M420" s="260">
        <f t="shared" si="136"/>
        <v>371.05999999999995</v>
      </c>
      <c r="N420" s="260">
        <f t="shared" si="136"/>
        <v>323.96000000000004</v>
      </c>
      <c r="O420" s="260">
        <f t="shared" si="136"/>
        <v>335.4699999999998</v>
      </c>
      <c r="P420" s="260">
        <f t="shared" si="136"/>
        <v>333.86999999999989</v>
      </c>
      <c r="Q420" s="260">
        <f t="shared" si="136"/>
        <v>327.59000000000015</v>
      </c>
      <c r="R420" s="362"/>
      <c r="S420" s="362"/>
      <c r="T420" s="365"/>
      <c r="U420" s="365"/>
      <c r="V420" s="365"/>
      <c r="W420" s="368"/>
      <c r="X420" s="371"/>
      <c r="Y420" s="256"/>
    </row>
    <row r="421" spans="1:32" ht="15.6" x14ac:dyDescent="0.25">
      <c r="A421" s="222">
        <v>43602</v>
      </c>
      <c r="B421" s="257" t="s">
        <v>235</v>
      </c>
      <c r="C421" s="257" t="s">
        <v>232</v>
      </c>
      <c r="D421" s="258" t="s">
        <v>186</v>
      </c>
      <c r="E421" s="3">
        <v>2782.83</v>
      </c>
      <c r="F421" s="3">
        <v>2717.15</v>
      </c>
      <c r="G421" s="3">
        <v>2716.06</v>
      </c>
      <c r="H421" s="3">
        <v>2728.12</v>
      </c>
      <c r="I421" s="3">
        <v>2821.51</v>
      </c>
      <c r="J421" s="3">
        <v>2802.47</v>
      </c>
      <c r="K421" s="3">
        <v>2724.72</v>
      </c>
      <c r="L421" s="3">
        <v>2717.95</v>
      </c>
      <c r="M421" s="3">
        <v>2773.47</v>
      </c>
      <c r="N421" s="3">
        <v>2728.85</v>
      </c>
      <c r="O421" s="3">
        <v>2729.44</v>
      </c>
      <c r="P421" s="3">
        <v>2742.24</v>
      </c>
      <c r="Q421" s="3">
        <v>2721.71</v>
      </c>
      <c r="R421" s="360">
        <f>IF((Q422=""),"",MAX(E423:Q423))</f>
        <v>369.93000000000029</v>
      </c>
      <c r="S421" s="360">
        <f>IF(Q422="","",MIN(E423:Q423))</f>
        <v>323.73999999999978</v>
      </c>
      <c r="T421" s="363">
        <f>IF((Q423=""),"",AVERAGE(E423:Q423))</f>
        <v>339.07230769230762</v>
      </c>
      <c r="U421" s="363">
        <f>IF((Q422=""),"",(R421-S421)/(R421+S421)*100)</f>
        <v>6.6587858780112308</v>
      </c>
      <c r="V421" s="363">
        <f>STDEV(E423:Q423)</f>
        <v>19.052745713696194</v>
      </c>
      <c r="W421" s="366" t="str">
        <f>IF(Q422="","",IF(T421&gt;300,IF(U421&lt;14,IF(T421&lt;390,"Pass","Fail"),"Fail"),"Fail"))</f>
        <v>Pass</v>
      </c>
      <c r="X421" s="369">
        <v>1428</v>
      </c>
      <c r="Y421" s="256"/>
      <c r="AA421" s="82">
        <v>270</v>
      </c>
      <c r="AB421" s="82">
        <v>370</v>
      </c>
      <c r="AC421" s="82">
        <v>300</v>
      </c>
      <c r="AD421" s="83">
        <v>390</v>
      </c>
      <c r="AE421" s="83">
        <v>20</v>
      </c>
      <c r="AF421" s="83">
        <v>14</v>
      </c>
    </row>
    <row r="422" spans="1:32" ht="15.75" customHeight="1" x14ac:dyDescent="0.3">
      <c r="A422" s="222"/>
      <c r="B422" s="259"/>
      <c r="C422" s="259"/>
      <c r="D422" s="258" t="s">
        <v>187</v>
      </c>
      <c r="E422">
        <v>2413.7600000000002</v>
      </c>
      <c r="F422">
        <v>2392.1999999999998</v>
      </c>
      <c r="G422">
        <v>2389.91</v>
      </c>
      <c r="H422">
        <v>2400.8200000000002</v>
      </c>
      <c r="I422">
        <v>2451.58</v>
      </c>
      <c r="J422">
        <v>2438.46</v>
      </c>
      <c r="K422">
        <v>2399.9</v>
      </c>
      <c r="L422">
        <v>2394.21</v>
      </c>
      <c r="M422">
        <v>2411.52</v>
      </c>
      <c r="N422">
        <v>2398.4699999999998</v>
      </c>
      <c r="O422">
        <v>2402.84</v>
      </c>
      <c r="P422">
        <v>2411.7399999999998</v>
      </c>
      <c r="Q422">
        <v>2393.17</v>
      </c>
      <c r="R422" s="361"/>
      <c r="S422" s="361"/>
      <c r="T422" s="364"/>
      <c r="U422" s="364"/>
      <c r="V422" s="364"/>
      <c r="W422" s="367"/>
      <c r="X422" s="370"/>
      <c r="Y422" s="256"/>
    </row>
    <row r="423" spans="1:32" ht="30" customHeight="1" x14ac:dyDescent="0.25">
      <c r="A423" s="222"/>
      <c r="B423" s="257"/>
      <c r="C423" s="257"/>
      <c r="D423" s="258" t="s">
        <v>188</v>
      </c>
      <c r="E423" s="260">
        <f t="shared" ref="E423:Q423" si="137">IF(((E421="")*AND(E422="")),"",(E421-E422))</f>
        <v>369.06999999999971</v>
      </c>
      <c r="F423" s="260">
        <f t="shared" si="137"/>
        <v>324.95000000000027</v>
      </c>
      <c r="G423" s="260">
        <f t="shared" si="137"/>
        <v>326.15000000000009</v>
      </c>
      <c r="H423" s="260">
        <f t="shared" si="137"/>
        <v>327.29999999999973</v>
      </c>
      <c r="I423" s="260">
        <f t="shared" si="137"/>
        <v>369.93000000000029</v>
      </c>
      <c r="J423" s="260">
        <f t="shared" si="137"/>
        <v>364.00999999999976</v>
      </c>
      <c r="K423" s="260">
        <f t="shared" si="137"/>
        <v>324.81999999999971</v>
      </c>
      <c r="L423" s="260">
        <f t="shared" si="137"/>
        <v>323.73999999999978</v>
      </c>
      <c r="M423" s="260">
        <f t="shared" si="137"/>
        <v>361.94999999999982</v>
      </c>
      <c r="N423" s="260">
        <f t="shared" si="137"/>
        <v>330.38000000000011</v>
      </c>
      <c r="O423" s="260">
        <f t="shared" si="137"/>
        <v>326.59999999999991</v>
      </c>
      <c r="P423" s="260">
        <f t="shared" si="137"/>
        <v>330.5</v>
      </c>
      <c r="Q423" s="260">
        <f t="shared" si="137"/>
        <v>328.53999999999996</v>
      </c>
      <c r="R423" s="362"/>
      <c r="S423" s="362"/>
      <c r="T423" s="365"/>
      <c r="U423" s="365"/>
      <c r="V423" s="365"/>
      <c r="W423" s="368"/>
      <c r="X423" s="371"/>
      <c r="Y423" s="256"/>
    </row>
    <row r="424" spans="1:32" ht="15.6" x14ac:dyDescent="0.25">
      <c r="A424" s="222">
        <v>43605</v>
      </c>
      <c r="B424" s="257" t="s">
        <v>235</v>
      </c>
      <c r="C424" s="257" t="s">
        <v>232</v>
      </c>
      <c r="D424" s="258" t="s">
        <v>186</v>
      </c>
      <c r="E424" s="3">
        <v>2794.53</v>
      </c>
      <c r="F424" s="3">
        <v>2737.05</v>
      </c>
      <c r="G424" s="3">
        <v>2732.85</v>
      </c>
      <c r="H424" s="3">
        <v>2744.86</v>
      </c>
      <c r="I424" s="3">
        <v>2824.64</v>
      </c>
      <c r="J424" s="3">
        <v>2835.28</v>
      </c>
      <c r="K424" s="3">
        <v>2745.51</v>
      </c>
      <c r="L424" s="3">
        <v>2734.97</v>
      </c>
      <c r="M424" s="3">
        <v>2792.5</v>
      </c>
      <c r="N424" s="3">
        <v>2747.52</v>
      </c>
      <c r="O424" s="3">
        <v>2743.19</v>
      </c>
      <c r="P424" s="3">
        <v>2759.41</v>
      </c>
      <c r="Q424" s="3">
        <v>2744.27</v>
      </c>
      <c r="R424" s="360">
        <f>IF((Q425=""),"",MAX(E426:Q426))</f>
        <v>372.19999999999982</v>
      </c>
      <c r="S424" s="360">
        <f>IF(Q425="","",MIN(E426:Q426))</f>
        <v>329.04000000000042</v>
      </c>
      <c r="T424" s="363">
        <f>IF((Q426=""),"",AVERAGE(E426:Q426))</f>
        <v>344.6546153846154</v>
      </c>
      <c r="U424" s="363">
        <f>IF((Q425=""),"",(R424-S424)/(R424+S424)*100)</f>
        <v>6.1548114768124158</v>
      </c>
      <c r="V424" s="363">
        <f>STDEV(E426:Q426)</f>
        <v>17.008882784878704</v>
      </c>
      <c r="W424" s="366" t="str">
        <f>IF(Q425="","",IF(T424&gt;300,IF(U424&lt;14,IF(T424&lt;390,"Pass","Fail"),"Fail"),"Fail"))</f>
        <v>Pass</v>
      </c>
      <c r="X424" s="369">
        <v>74</v>
      </c>
      <c r="Y424" s="256"/>
      <c r="AA424" s="82">
        <v>270</v>
      </c>
      <c r="AB424" s="82">
        <v>370</v>
      </c>
      <c r="AC424" s="82">
        <v>300</v>
      </c>
      <c r="AD424" s="83">
        <v>390</v>
      </c>
      <c r="AE424" s="83">
        <v>20</v>
      </c>
      <c r="AF424" s="83">
        <v>14</v>
      </c>
    </row>
    <row r="425" spans="1:32" ht="15.75" customHeight="1" x14ac:dyDescent="0.3">
      <c r="A425" s="222"/>
      <c r="B425" s="259"/>
      <c r="C425" s="259"/>
      <c r="D425" s="258" t="s">
        <v>187</v>
      </c>
      <c r="E425">
        <v>2425.58</v>
      </c>
      <c r="F425">
        <v>2402.58</v>
      </c>
      <c r="G425">
        <v>2403.0100000000002</v>
      </c>
      <c r="H425">
        <v>2413.12</v>
      </c>
      <c r="I425">
        <v>2452.44</v>
      </c>
      <c r="J425">
        <v>2469.34</v>
      </c>
      <c r="K425">
        <v>2416.4699999999998</v>
      </c>
      <c r="L425">
        <v>2398.4699999999998</v>
      </c>
      <c r="M425">
        <v>2425.02</v>
      </c>
      <c r="N425">
        <v>2414.81</v>
      </c>
      <c r="O425">
        <v>2402.79</v>
      </c>
      <c r="P425">
        <v>2427.27</v>
      </c>
      <c r="Q425">
        <v>2405.17</v>
      </c>
      <c r="R425" s="361"/>
      <c r="S425" s="361"/>
      <c r="T425" s="364"/>
      <c r="U425" s="364"/>
      <c r="V425" s="364"/>
      <c r="W425" s="367"/>
      <c r="X425" s="370"/>
      <c r="Y425" s="256"/>
    </row>
    <row r="426" spans="1:32" ht="30" customHeight="1" x14ac:dyDescent="0.25">
      <c r="A426" s="222"/>
      <c r="B426" s="257"/>
      <c r="C426" s="257"/>
      <c r="D426" s="258" t="s">
        <v>188</v>
      </c>
      <c r="E426" s="260">
        <f t="shared" ref="E426:Q426" si="138">IF(((E424="")*AND(E425="")),"",(E424-E425))</f>
        <v>368.95000000000027</v>
      </c>
      <c r="F426" s="260">
        <f t="shared" si="138"/>
        <v>334.47000000000025</v>
      </c>
      <c r="G426" s="260">
        <f t="shared" si="138"/>
        <v>329.83999999999969</v>
      </c>
      <c r="H426" s="260">
        <f t="shared" si="138"/>
        <v>331.74000000000024</v>
      </c>
      <c r="I426" s="260">
        <f t="shared" si="138"/>
        <v>372.19999999999982</v>
      </c>
      <c r="J426" s="260">
        <f t="shared" si="138"/>
        <v>365.94000000000005</v>
      </c>
      <c r="K426" s="260">
        <f t="shared" si="138"/>
        <v>329.04000000000042</v>
      </c>
      <c r="L426" s="260">
        <f t="shared" si="138"/>
        <v>336.5</v>
      </c>
      <c r="M426" s="260">
        <f t="shared" si="138"/>
        <v>367.48</v>
      </c>
      <c r="N426" s="260">
        <f t="shared" si="138"/>
        <v>332.71000000000004</v>
      </c>
      <c r="O426" s="260">
        <f t="shared" si="138"/>
        <v>340.40000000000009</v>
      </c>
      <c r="P426" s="260">
        <f t="shared" si="138"/>
        <v>332.13999999999987</v>
      </c>
      <c r="Q426" s="260">
        <f t="shared" si="138"/>
        <v>339.09999999999991</v>
      </c>
      <c r="R426" s="362"/>
      <c r="S426" s="362"/>
      <c r="T426" s="365"/>
      <c r="U426" s="365"/>
      <c r="V426" s="365"/>
      <c r="W426" s="368"/>
      <c r="X426" s="371"/>
      <c r="Y426" s="256"/>
    </row>
    <row r="427" spans="1:32" ht="15" x14ac:dyDescent="0.25">
      <c r="A427" s="222">
        <v>43608</v>
      </c>
      <c r="B427" s="257" t="s">
        <v>235</v>
      </c>
      <c r="C427" s="257" t="s">
        <v>232</v>
      </c>
      <c r="D427" s="258" t="s">
        <v>186</v>
      </c>
      <c r="E427" s="3">
        <v>2813.53</v>
      </c>
      <c r="F427" s="3">
        <v>2746.08</v>
      </c>
      <c r="G427" s="3">
        <v>2742.7</v>
      </c>
      <c r="H427" s="3">
        <v>2746.66</v>
      </c>
      <c r="I427" s="3">
        <v>2798.5</v>
      </c>
      <c r="J427" s="3">
        <v>2847.01</v>
      </c>
      <c r="K427" s="3">
        <v>2752.46</v>
      </c>
      <c r="L427" s="3">
        <v>2740.84</v>
      </c>
      <c r="M427" s="3">
        <v>2811.19</v>
      </c>
      <c r="N427" s="3">
        <v>2764.69</v>
      </c>
      <c r="O427" s="3">
        <v>2745.5</v>
      </c>
      <c r="P427" s="3">
        <v>2762.13</v>
      </c>
      <c r="Q427" s="3">
        <v>2752.4</v>
      </c>
      <c r="R427" s="360">
        <f>IF((Q428=""),"",MAX(E429:Q429))</f>
        <v>369.99000000000024</v>
      </c>
      <c r="S427" s="360">
        <f>IF(Q428="","",MIN(E429:Q429))</f>
        <v>323.51000000000022</v>
      </c>
      <c r="T427" s="363">
        <f>IF((Q429=""),"",AVERAGE(E429:Q429))</f>
        <v>339.16076923076923</v>
      </c>
      <c r="U427" s="363">
        <f>IF((Q428=""),"",(R427-S427)/(R427+S427)*100)</f>
        <v>6.7022350396539281</v>
      </c>
      <c r="V427" s="363">
        <f>STDEV(E429:Q429)</f>
        <v>17.271450653963818</v>
      </c>
      <c r="W427" s="366" t="str">
        <f>IF(Q428="","",IF(T427&gt;300,IF(U427&lt;14,IF(T427&lt;390,"Pass","Fail"),"Fail"),"Fail"))</f>
        <v>Pass</v>
      </c>
      <c r="X427" s="369">
        <v>1340</v>
      </c>
      <c r="Y427" s="253" t="s">
        <v>273</v>
      </c>
      <c r="AA427" s="82">
        <v>270</v>
      </c>
      <c r="AB427" s="82">
        <v>370</v>
      </c>
      <c r="AC427" s="82">
        <v>300</v>
      </c>
      <c r="AD427" s="83">
        <v>390</v>
      </c>
      <c r="AE427" s="83">
        <v>20</v>
      </c>
      <c r="AF427" s="83">
        <v>14</v>
      </c>
    </row>
    <row r="428" spans="1:32" ht="15.75" customHeight="1" x14ac:dyDescent="0.3">
      <c r="A428" s="222"/>
      <c r="B428" s="259"/>
      <c r="C428" s="259"/>
      <c r="D428" s="258" t="s">
        <v>187</v>
      </c>
      <c r="E428">
        <v>2447.13</v>
      </c>
      <c r="F428">
        <v>2418.61</v>
      </c>
      <c r="G428">
        <v>2413.9899999999998</v>
      </c>
      <c r="H428">
        <v>2416.66</v>
      </c>
      <c r="I428">
        <v>2441.2600000000002</v>
      </c>
      <c r="J428">
        <v>2477.02</v>
      </c>
      <c r="K428">
        <v>2428.9499999999998</v>
      </c>
      <c r="L428">
        <v>2416.7600000000002</v>
      </c>
      <c r="M428">
        <v>2451.3000000000002</v>
      </c>
      <c r="N428">
        <v>2434.08</v>
      </c>
      <c r="O428">
        <v>2418.87</v>
      </c>
      <c r="P428">
        <v>2431.1999999999998</v>
      </c>
      <c r="Q428">
        <v>2418.77</v>
      </c>
      <c r="R428" s="361"/>
      <c r="S428" s="361"/>
      <c r="T428" s="364"/>
      <c r="U428" s="364"/>
      <c r="V428" s="364"/>
      <c r="W428" s="367"/>
      <c r="X428" s="370"/>
      <c r="Y428" s="256"/>
    </row>
    <row r="429" spans="1:32" ht="30" customHeight="1" x14ac:dyDescent="0.25">
      <c r="A429" s="222"/>
      <c r="B429" s="257"/>
      <c r="C429" s="257"/>
      <c r="D429" s="258" t="s">
        <v>188</v>
      </c>
      <c r="E429" s="260">
        <f t="shared" ref="E429:Q429" si="139">IF(((E427="")*AND(E428="")),"",(E427-E428))</f>
        <v>366.40000000000009</v>
      </c>
      <c r="F429" s="260">
        <f t="shared" si="139"/>
        <v>327.4699999999998</v>
      </c>
      <c r="G429" s="260">
        <f t="shared" si="139"/>
        <v>328.71000000000004</v>
      </c>
      <c r="H429" s="260">
        <f t="shared" si="139"/>
        <v>330</v>
      </c>
      <c r="I429" s="260">
        <f t="shared" si="139"/>
        <v>357.23999999999978</v>
      </c>
      <c r="J429" s="260">
        <f t="shared" si="139"/>
        <v>369.99000000000024</v>
      </c>
      <c r="K429" s="260">
        <f t="shared" si="139"/>
        <v>323.51000000000022</v>
      </c>
      <c r="L429" s="260">
        <f t="shared" si="139"/>
        <v>324.07999999999993</v>
      </c>
      <c r="M429" s="260">
        <f t="shared" si="139"/>
        <v>359.88999999999987</v>
      </c>
      <c r="N429" s="260">
        <f t="shared" si="139"/>
        <v>330.61000000000013</v>
      </c>
      <c r="O429" s="260">
        <f t="shared" si="139"/>
        <v>326.63000000000011</v>
      </c>
      <c r="P429" s="260">
        <f t="shared" si="139"/>
        <v>330.93000000000029</v>
      </c>
      <c r="Q429" s="260">
        <f t="shared" si="139"/>
        <v>333.63000000000011</v>
      </c>
      <c r="R429" s="362"/>
      <c r="S429" s="362"/>
      <c r="T429" s="365"/>
      <c r="U429" s="365"/>
      <c r="V429" s="365"/>
      <c r="W429" s="368"/>
      <c r="X429" s="371"/>
      <c r="Y429" s="256"/>
    </row>
    <row r="430" spans="1:32" ht="15.6" x14ac:dyDescent="0.3">
      <c r="A430" s="222">
        <v>43612</v>
      </c>
      <c r="B430" s="257" t="s">
        <v>235</v>
      </c>
      <c r="C430" s="257" t="s">
        <v>232</v>
      </c>
      <c r="D430" s="258" t="s">
        <v>186</v>
      </c>
      <c r="E430">
        <v>2816.59</v>
      </c>
      <c r="F430">
        <v>2760.96</v>
      </c>
      <c r="G430">
        <v>2763.3</v>
      </c>
      <c r="H430">
        <v>2774.4</v>
      </c>
      <c r="I430">
        <v>2858.8</v>
      </c>
      <c r="J430">
        <v>2817.17</v>
      </c>
      <c r="K430">
        <v>2764.05</v>
      </c>
      <c r="L430">
        <v>2772.51</v>
      </c>
      <c r="M430">
        <v>2850.51</v>
      </c>
      <c r="N430">
        <v>2765.86</v>
      </c>
      <c r="O430">
        <v>2789.08</v>
      </c>
      <c r="P430">
        <v>2777.77</v>
      </c>
      <c r="Q430">
        <v>2771.81</v>
      </c>
      <c r="R430" s="360">
        <f>IF((Q431=""),"",MAX(E432:Q432))</f>
        <v>369.97000000000025</v>
      </c>
      <c r="S430" s="360">
        <f>IF(Q431="","",MIN(E432:Q432))</f>
        <v>334.09999999999991</v>
      </c>
      <c r="T430" s="363">
        <f>IF((Q432=""),"",AVERAGE(E432:Q432))</f>
        <v>346.13076923076926</v>
      </c>
      <c r="U430" s="363">
        <f>IF((Q431=""),"",(R430-S430)/(R430+S430)*100)</f>
        <v>5.094663882852605</v>
      </c>
      <c r="V430" s="363">
        <f>STDEV(E432:Q432)</f>
        <v>14.791113583014651</v>
      </c>
      <c r="W430" s="366" t="str">
        <f>IF(Q431="","",IF(T430&gt;300,IF(U430&lt;14,IF(T430&lt;390,"Pass","Fail"),"Fail"),"Fail"))</f>
        <v>Pass</v>
      </c>
      <c r="X430" s="369">
        <v>1340</v>
      </c>
      <c r="Y430" s="10" t="s">
        <v>275</v>
      </c>
      <c r="AA430" s="82">
        <v>270</v>
      </c>
      <c r="AB430" s="82">
        <v>370</v>
      </c>
      <c r="AC430" s="82">
        <v>300</v>
      </c>
      <c r="AD430" s="83">
        <v>390</v>
      </c>
      <c r="AE430" s="83">
        <v>20</v>
      </c>
      <c r="AF430" s="83">
        <v>14</v>
      </c>
    </row>
    <row r="431" spans="1:32" ht="15.6" x14ac:dyDescent="0.3">
      <c r="A431" s="222"/>
      <c r="B431" s="259"/>
      <c r="C431" s="259"/>
      <c r="D431" s="258" t="s">
        <v>187</v>
      </c>
      <c r="E431">
        <v>2452.3200000000002</v>
      </c>
      <c r="F431">
        <v>2425.91</v>
      </c>
      <c r="G431">
        <v>2427.2399999999998</v>
      </c>
      <c r="H431">
        <v>2440.3000000000002</v>
      </c>
      <c r="I431">
        <v>2488.83</v>
      </c>
      <c r="J431">
        <v>2450.21</v>
      </c>
      <c r="K431">
        <v>2429.39</v>
      </c>
      <c r="L431">
        <v>2435.67</v>
      </c>
      <c r="M431">
        <v>2483.2800000000002</v>
      </c>
      <c r="N431">
        <v>2430.25</v>
      </c>
      <c r="O431">
        <v>2446.0700000000002</v>
      </c>
      <c r="P431">
        <v>2437.7399999999998</v>
      </c>
      <c r="Q431">
        <v>2435.9</v>
      </c>
      <c r="R431" s="361"/>
      <c r="S431" s="361"/>
      <c r="T431" s="364"/>
      <c r="U431" s="364"/>
      <c r="V431" s="364"/>
      <c r="W431" s="367"/>
      <c r="X431" s="370"/>
    </row>
    <row r="432" spans="1:32" ht="30" x14ac:dyDescent="0.25">
      <c r="A432" s="222"/>
      <c r="B432" s="257"/>
      <c r="C432" s="257"/>
      <c r="D432" s="258" t="s">
        <v>188</v>
      </c>
      <c r="E432" s="260">
        <f t="shared" ref="E432:Q432" si="140">IF(((E430="")*AND(E431="")),"",(E430-E431))</f>
        <v>364.27</v>
      </c>
      <c r="F432" s="260">
        <f t="shared" si="140"/>
        <v>335.05000000000018</v>
      </c>
      <c r="G432" s="260">
        <f t="shared" si="140"/>
        <v>336.0600000000004</v>
      </c>
      <c r="H432" s="260">
        <f t="shared" si="140"/>
        <v>334.09999999999991</v>
      </c>
      <c r="I432" s="260">
        <f t="shared" si="140"/>
        <v>369.97000000000025</v>
      </c>
      <c r="J432" s="260">
        <f t="shared" si="140"/>
        <v>366.96000000000004</v>
      </c>
      <c r="K432" s="260">
        <f t="shared" si="140"/>
        <v>334.66000000000031</v>
      </c>
      <c r="L432" s="260">
        <f t="shared" si="140"/>
        <v>336.84000000000015</v>
      </c>
      <c r="M432" s="260">
        <f t="shared" si="140"/>
        <v>367.23</v>
      </c>
      <c r="N432" s="260">
        <f t="shared" si="140"/>
        <v>335.61000000000013</v>
      </c>
      <c r="O432" s="260">
        <f t="shared" si="140"/>
        <v>343.00999999999976</v>
      </c>
      <c r="P432" s="260">
        <f t="shared" si="140"/>
        <v>340.0300000000002</v>
      </c>
      <c r="Q432" s="260">
        <f t="shared" si="140"/>
        <v>335.90999999999985</v>
      </c>
      <c r="R432" s="362"/>
      <c r="S432" s="362"/>
      <c r="T432" s="365"/>
      <c r="U432" s="365"/>
      <c r="V432" s="365"/>
      <c r="W432" s="368"/>
      <c r="X432" s="371"/>
    </row>
    <row r="433" spans="1:32" ht="15.6" x14ac:dyDescent="0.3">
      <c r="A433" s="222">
        <v>43615</v>
      </c>
      <c r="B433" s="257" t="s">
        <v>235</v>
      </c>
      <c r="C433" s="257" t="s">
        <v>232</v>
      </c>
      <c r="D433" s="258" t="s">
        <v>186</v>
      </c>
      <c r="E433">
        <v>2804.15</v>
      </c>
      <c r="F433">
        <v>2744.77</v>
      </c>
      <c r="G433">
        <v>2742.64</v>
      </c>
      <c r="H433">
        <v>2757.46</v>
      </c>
      <c r="I433">
        <v>2832.83</v>
      </c>
      <c r="J433">
        <v>2848.5</v>
      </c>
      <c r="K433">
        <v>2758.77</v>
      </c>
      <c r="L433">
        <v>2744.44</v>
      </c>
      <c r="M433">
        <v>2808.65</v>
      </c>
      <c r="N433">
        <v>2759.54</v>
      </c>
      <c r="O433">
        <v>2746.18</v>
      </c>
      <c r="P433">
        <v>2771.05</v>
      </c>
      <c r="Q433">
        <v>2751.46</v>
      </c>
      <c r="R433" s="360">
        <f>IF((Q434=""),"",MAX(E435:Q435))</f>
        <v>373.13999999999987</v>
      </c>
      <c r="S433" s="360">
        <f>IF(Q434="","",MIN(E435:Q435))</f>
        <v>326.38999999999987</v>
      </c>
      <c r="T433" s="363">
        <f>IF((Q435=""),"",AVERAGE(E435:Q435))</f>
        <v>344.05923076923079</v>
      </c>
      <c r="U433" s="363">
        <f>IF((Q434=""),"",(R433-S433)/(R433+S433)*100)</f>
        <v>6.68305862507684</v>
      </c>
      <c r="V433" s="363">
        <f>STDEV(E435:Q435)</f>
        <v>18.998776478823835</v>
      </c>
      <c r="W433" s="366" t="str">
        <f>IF(Q434="","",IF(T433&gt;300,IF(U433&lt;14,IF(T433&lt;390,"Pass","Fail"),"Fail"),"Fail"))</f>
        <v>Pass</v>
      </c>
      <c r="X433" s="369">
        <v>1340</v>
      </c>
      <c r="Y433" s="10" t="s">
        <v>277</v>
      </c>
      <c r="AA433" s="82">
        <v>270</v>
      </c>
      <c r="AB433" s="82">
        <v>370</v>
      </c>
      <c r="AC433" s="82">
        <v>300</v>
      </c>
      <c r="AD433" s="83">
        <v>390</v>
      </c>
      <c r="AE433" s="83">
        <v>20</v>
      </c>
      <c r="AF433" s="83">
        <v>14</v>
      </c>
    </row>
    <row r="434" spans="1:32" ht="15.6" x14ac:dyDescent="0.3">
      <c r="A434" s="222"/>
      <c r="B434" s="259"/>
      <c r="C434" s="259"/>
      <c r="D434" s="258" t="s">
        <v>187</v>
      </c>
      <c r="E434">
        <v>2438.2399999999998</v>
      </c>
      <c r="F434">
        <v>2418.38</v>
      </c>
      <c r="G434">
        <v>2414.44</v>
      </c>
      <c r="H434">
        <v>2422.56</v>
      </c>
      <c r="I434">
        <v>2460.91</v>
      </c>
      <c r="J434">
        <v>2475.36</v>
      </c>
      <c r="K434">
        <v>2423.67</v>
      </c>
      <c r="L434">
        <v>2410.5</v>
      </c>
      <c r="M434">
        <v>2435.92</v>
      </c>
      <c r="N434">
        <v>2428.85</v>
      </c>
      <c r="O434">
        <v>2418.8000000000002</v>
      </c>
      <c r="P434">
        <v>2435.27</v>
      </c>
      <c r="Q434">
        <v>2414.77</v>
      </c>
      <c r="R434" s="361"/>
      <c r="S434" s="361"/>
      <c r="T434" s="364"/>
      <c r="U434" s="364"/>
      <c r="V434" s="364"/>
      <c r="W434" s="367"/>
      <c r="X434" s="370"/>
    </row>
    <row r="435" spans="1:32" ht="30" x14ac:dyDescent="0.25">
      <c r="A435" s="222"/>
      <c r="B435" s="257"/>
      <c r="C435" s="257"/>
      <c r="D435" s="258" t="s">
        <v>188</v>
      </c>
      <c r="E435" s="260">
        <f t="shared" ref="E435:Q435" si="141">IF(((E433="")*AND(E434="")),"",(E433-E434))</f>
        <v>365.91000000000031</v>
      </c>
      <c r="F435" s="260">
        <f t="shared" si="141"/>
        <v>326.38999999999987</v>
      </c>
      <c r="G435" s="260">
        <f t="shared" si="141"/>
        <v>328.19999999999982</v>
      </c>
      <c r="H435" s="260">
        <f t="shared" si="141"/>
        <v>334.90000000000009</v>
      </c>
      <c r="I435" s="260">
        <f t="shared" si="141"/>
        <v>371.92000000000007</v>
      </c>
      <c r="J435" s="260">
        <f t="shared" si="141"/>
        <v>373.13999999999987</v>
      </c>
      <c r="K435" s="260">
        <f t="shared" si="141"/>
        <v>335.09999999999991</v>
      </c>
      <c r="L435" s="260">
        <f t="shared" si="141"/>
        <v>333.94000000000005</v>
      </c>
      <c r="M435" s="260">
        <f t="shared" si="141"/>
        <v>372.73</v>
      </c>
      <c r="N435" s="260">
        <f t="shared" si="141"/>
        <v>330.69000000000005</v>
      </c>
      <c r="O435" s="260">
        <f t="shared" si="141"/>
        <v>327.37999999999965</v>
      </c>
      <c r="P435" s="260">
        <f t="shared" si="141"/>
        <v>335.7800000000002</v>
      </c>
      <c r="Q435" s="260">
        <f t="shared" si="141"/>
        <v>336.69000000000005</v>
      </c>
      <c r="R435" s="362"/>
      <c r="S435" s="362"/>
      <c r="T435" s="365"/>
      <c r="U435" s="365"/>
      <c r="V435" s="365"/>
      <c r="W435" s="368"/>
      <c r="X435" s="371"/>
    </row>
    <row r="436" spans="1:32" ht="15.6" x14ac:dyDescent="0.3">
      <c r="A436" s="222">
        <v>43619</v>
      </c>
      <c r="B436" s="257" t="s">
        <v>235</v>
      </c>
      <c r="C436" s="257" t="s">
        <v>232</v>
      </c>
      <c r="D436" s="258" t="s">
        <v>186</v>
      </c>
      <c r="E436">
        <v>2826.97</v>
      </c>
      <c r="F436">
        <v>2757.27</v>
      </c>
      <c r="G436">
        <v>2760.07</v>
      </c>
      <c r="H436">
        <v>2772.41</v>
      </c>
      <c r="I436">
        <v>2856.77</v>
      </c>
      <c r="J436">
        <v>2824.61</v>
      </c>
      <c r="K436">
        <v>2761.87</v>
      </c>
      <c r="L436">
        <v>2761.59</v>
      </c>
      <c r="M436">
        <v>2823.27</v>
      </c>
      <c r="N436">
        <v>2765.41</v>
      </c>
      <c r="O436">
        <v>2778.62</v>
      </c>
      <c r="P436">
        <v>2775.21</v>
      </c>
      <c r="Q436">
        <v>2763.28</v>
      </c>
      <c r="R436" s="360">
        <f>IF((Q437=""),"",MAX(E438:Q438))</f>
        <v>373.38000000000011</v>
      </c>
      <c r="S436" s="360">
        <f>IF(Q437="","",MIN(E438:Q438))</f>
        <v>325.94000000000005</v>
      </c>
      <c r="T436" s="363">
        <f>IF((Q438=""),"",AVERAGE(E438:Q438))</f>
        <v>345.76</v>
      </c>
      <c r="U436" s="363">
        <f>IF((Q437=""),"",(R436-S436)/(R436+S436)*100)</f>
        <v>6.7837327689755824</v>
      </c>
      <c r="V436" s="363">
        <f>STDEV(E438:Q438)</f>
        <v>17.654431927045049</v>
      </c>
      <c r="W436" s="366" t="str">
        <f>IF(Q437="","",IF(T436&gt;300,IF(U436&lt;14,IF(T436&lt;390,"Pass","Fail"),"Fail"),"Fail"))</f>
        <v>Pass</v>
      </c>
      <c r="X436" s="369">
        <v>1159</v>
      </c>
      <c r="Y436" s="10" t="s">
        <v>279</v>
      </c>
      <c r="AA436" s="82">
        <v>270</v>
      </c>
      <c r="AB436" s="82">
        <v>370</v>
      </c>
      <c r="AC436" s="82">
        <v>300</v>
      </c>
      <c r="AD436" s="83">
        <v>390</v>
      </c>
      <c r="AE436" s="83">
        <v>20</v>
      </c>
      <c r="AF436" s="83">
        <v>14</v>
      </c>
    </row>
    <row r="437" spans="1:32" ht="15.6" x14ac:dyDescent="0.3">
      <c r="A437" s="222"/>
      <c r="B437" s="259"/>
      <c r="C437" s="259"/>
      <c r="D437" s="258" t="s">
        <v>187</v>
      </c>
      <c r="E437">
        <v>2458.81</v>
      </c>
      <c r="F437">
        <v>2421.02</v>
      </c>
      <c r="G437">
        <v>2422.2199999999998</v>
      </c>
      <c r="H437">
        <v>2446.4699999999998</v>
      </c>
      <c r="I437">
        <v>2488.85</v>
      </c>
      <c r="J437">
        <v>2451.39</v>
      </c>
      <c r="K437">
        <v>2428.23</v>
      </c>
      <c r="L437">
        <v>2430.06</v>
      </c>
      <c r="M437">
        <v>2449.89</v>
      </c>
      <c r="N437">
        <v>2428.11</v>
      </c>
      <c r="O437">
        <v>2444.56</v>
      </c>
      <c r="P437">
        <v>2437.88</v>
      </c>
      <c r="Q437">
        <v>2424.98</v>
      </c>
      <c r="R437" s="361"/>
      <c r="S437" s="361"/>
      <c r="T437" s="364"/>
      <c r="U437" s="364"/>
      <c r="V437" s="364"/>
      <c r="W437" s="367"/>
      <c r="X437" s="370"/>
    </row>
    <row r="438" spans="1:32" ht="30" x14ac:dyDescent="0.25">
      <c r="A438" s="222"/>
      <c r="B438" s="259"/>
      <c r="C438" s="259"/>
      <c r="D438" s="293" t="s">
        <v>188</v>
      </c>
      <c r="E438" s="294">
        <f t="shared" ref="E438:Q438" si="142">IF(((E436="")*AND(E437="")),"",(E436-E437))</f>
        <v>368.15999999999985</v>
      </c>
      <c r="F438" s="294">
        <f t="shared" si="142"/>
        <v>336.25</v>
      </c>
      <c r="G438" s="294">
        <f t="shared" si="142"/>
        <v>337.85000000000036</v>
      </c>
      <c r="H438" s="294">
        <f t="shared" si="142"/>
        <v>325.94000000000005</v>
      </c>
      <c r="I438" s="294">
        <f t="shared" si="142"/>
        <v>367.92000000000007</v>
      </c>
      <c r="J438" s="294">
        <f t="shared" si="142"/>
        <v>373.22000000000025</v>
      </c>
      <c r="K438" s="294">
        <f t="shared" si="142"/>
        <v>333.63999999999987</v>
      </c>
      <c r="L438" s="294">
        <f t="shared" si="142"/>
        <v>331.5300000000002</v>
      </c>
      <c r="M438" s="294">
        <f t="shared" si="142"/>
        <v>373.38000000000011</v>
      </c>
      <c r="N438" s="294">
        <f t="shared" si="142"/>
        <v>337.29999999999973</v>
      </c>
      <c r="O438" s="294">
        <f t="shared" si="142"/>
        <v>334.05999999999995</v>
      </c>
      <c r="P438" s="294">
        <f t="shared" si="142"/>
        <v>337.32999999999993</v>
      </c>
      <c r="Q438" s="294">
        <f t="shared" si="142"/>
        <v>338.30000000000018</v>
      </c>
      <c r="R438" s="361"/>
      <c r="S438" s="361"/>
      <c r="T438" s="364"/>
      <c r="U438" s="364"/>
      <c r="V438" s="364"/>
      <c r="W438" s="367"/>
      <c r="X438" s="370"/>
    </row>
    <row r="439" spans="1:32" ht="15.6" x14ac:dyDescent="0.3">
      <c r="A439" s="222">
        <v>43622</v>
      </c>
      <c r="B439" s="295" t="s">
        <v>235</v>
      </c>
      <c r="C439" s="295" t="s">
        <v>232</v>
      </c>
      <c r="D439" s="258" t="s">
        <v>186</v>
      </c>
      <c r="E439">
        <v>2831.41</v>
      </c>
      <c r="F439">
        <v>2767.74</v>
      </c>
      <c r="G439">
        <v>2766.35</v>
      </c>
      <c r="H439">
        <v>2775.86</v>
      </c>
      <c r="I439">
        <v>2862.84</v>
      </c>
      <c r="J439">
        <v>2824.29</v>
      </c>
      <c r="K439">
        <v>2767.68</v>
      </c>
      <c r="L439">
        <v>2773.71</v>
      </c>
      <c r="M439">
        <v>2828.57</v>
      </c>
      <c r="N439">
        <v>2773.1</v>
      </c>
      <c r="O439">
        <v>2785.97</v>
      </c>
      <c r="P439">
        <v>2785.41</v>
      </c>
      <c r="Q439">
        <v>2775.24</v>
      </c>
      <c r="R439" s="360">
        <f>IF((Q440=""),"",MAX(E441:Q441))</f>
        <v>370.35000000000036</v>
      </c>
      <c r="S439" s="360">
        <f>IF(Q440="","",MIN(E441:Q441))</f>
        <v>330.88999999999987</v>
      </c>
      <c r="T439" s="363">
        <f>IF((Q441=""),"",AVERAGE(E441:Q441))</f>
        <v>344.95846153846145</v>
      </c>
      <c r="U439" s="363">
        <f>IF((Q440=""),"",(R439-S439)/(R439+S439)*100)</f>
        <v>5.6271747190691457</v>
      </c>
      <c r="V439" s="363">
        <f>STDEV(E441:Q441)</f>
        <v>16.537102651388668</v>
      </c>
      <c r="W439" s="366" t="str">
        <f>IF(Q440="","",IF(T439&gt;300,IF(U439&lt;14,IF(T439&lt;390,"Pass","Fail"),"Fail"),"Fail"))</f>
        <v>Pass</v>
      </c>
      <c r="X439" s="369">
        <v>121</v>
      </c>
      <c r="Y439" s="296" t="s">
        <v>281</v>
      </c>
      <c r="AA439" s="82">
        <v>270</v>
      </c>
      <c r="AB439" s="82">
        <v>370</v>
      </c>
      <c r="AC439" s="82">
        <v>300</v>
      </c>
      <c r="AD439" s="83">
        <v>390</v>
      </c>
      <c r="AE439" s="83">
        <v>20</v>
      </c>
      <c r="AF439" s="83">
        <v>14</v>
      </c>
    </row>
    <row r="440" spans="1:32" ht="15.6" x14ac:dyDescent="0.3">
      <c r="A440" s="222"/>
      <c r="B440" s="259"/>
      <c r="C440" s="259"/>
      <c r="D440" s="258" t="s">
        <v>187</v>
      </c>
      <c r="E440">
        <v>2462.5700000000002</v>
      </c>
      <c r="F440">
        <v>2434.9299999999998</v>
      </c>
      <c r="G440">
        <v>2432.17</v>
      </c>
      <c r="H440">
        <v>2444.0300000000002</v>
      </c>
      <c r="I440">
        <v>2492.4899999999998</v>
      </c>
      <c r="J440">
        <v>2456.1799999999998</v>
      </c>
      <c r="K440">
        <v>2436.79</v>
      </c>
      <c r="L440">
        <v>2434.83</v>
      </c>
      <c r="M440">
        <v>2461.5500000000002</v>
      </c>
      <c r="N440">
        <v>2439.77</v>
      </c>
      <c r="O440">
        <v>2449.9499999999998</v>
      </c>
      <c r="P440">
        <v>2449.98</v>
      </c>
      <c r="Q440">
        <v>2438.4699999999998</v>
      </c>
      <c r="R440" s="361"/>
      <c r="S440" s="361"/>
      <c r="T440" s="364"/>
      <c r="U440" s="364"/>
      <c r="V440" s="364"/>
      <c r="W440" s="367"/>
      <c r="X440" s="370"/>
      <c r="Y440" s="297"/>
    </row>
    <row r="441" spans="1:32" ht="30" x14ac:dyDescent="0.25">
      <c r="A441" s="292"/>
      <c r="B441" s="257"/>
      <c r="C441" s="257"/>
      <c r="D441" s="258" t="s">
        <v>188</v>
      </c>
      <c r="E441" s="260">
        <f t="shared" ref="E441:Q441" si="143">IF(((E439="")*AND(E440="")),"",(E439-E440))</f>
        <v>368.83999999999969</v>
      </c>
      <c r="F441" s="260">
        <f t="shared" si="143"/>
        <v>332.80999999999995</v>
      </c>
      <c r="G441" s="260">
        <f t="shared" si="143"/>
        <v>334.17999999999984</v>
      </c>
      <c r="H441" s="260">
        <f t="shared" si="143"/>
        <v>331.82999999999993</v>
      </c>
      <c r="I441" s="260">
        <f t="shared" si="143"/>
        <v>370.35000000000036</v>
      </c>
      <c r="J441" s="260">
        <f t="shared" si="143"/>
        <v>368.11000000000013</v>
      </c>
      <c r="K441" s="260">
        <f t="shared" si="143"/>
        <v>330.88999999999987</v>
      </c>
      <c r="L441" s="260">
        <f t="shared" si="143"/>
        <v>338.88000000000011</v>
      </c>
      <c r="M441" s="260">
        <f t="shared" si="143"/>
        <v>367.02</v>
      </c>
      <c r="N441" s="260">
        <f t="shared" si="143"/>
        <v>333.32999999999993</v>
      </c>
      <c r="O441" s="260">
        <f t="shared" si="143"/>
        <v>336.02</v>
      </c>
      <c r="P441" s="260">
        <f t="shared" si="143"/>
        <v>335.42999999999984</v>
      </c>
      <c r="Q441" s="260">
        <f t="shared" si="143"/>
        <v>336.77</v>
      </c>
      <c r="R441" s="362"/>
      <c r="S441" s="362"/>
      <c r="T441" s="365"/>
      <c r="U441" s="365"/>
      <c r="V441" s="365"/>
      <c r="W441" s="368"/>
      <c r="X441" s="371"/>
      <c r="Y441" s="298"/>
    </row>
    <row r="442" spans="1:32" ht="15.6" x14ac:dyDescent="0.3">
      <c r="A442" s="222">
        <v>43626</v>
      </c>
      <c r="B442" s="295" t="s">
        <v>235</v>
      </c>
      <c r="C442" s="295" t="s">
        <v>232</v>
      </c>
      <c r="D442" s="258" t="s">
        <v>186</v>
      </c>
      <c r="E442">
        <v>2463.87</v>
      </c>
      <c r="F442">
        <v>2433.5300000000002</v>
      </c>
      <c r="G442">
        <v>2433.9899999999998</v>
      </c>
      <c r="H442">
        <v>2448.5700000000002</v>
      </c>
      <c r="I442">
        <v>2500</v>
      </c>
      <c r="J442">
        <v>2456.1</v>
      </c>
      <c r="K442">
        <v>2441.88</v>
      </c>
      <c r="L442">
        <v>2440.0700000000002</v>
      </c>
      <c r="M442">
        <v>2459.4699999999998</v>
      </c>
      <c r="N442">
        <v>2435.21</v>
      </c>
      <c r="O442">
        <v>2453.7399999999998</v>
      </c>
      <c r="P442">
        <v>2450.6999999999998</v>
      </c>
      <c r="Q442">
        <v>2434.8200000000002</v>
      </c>
      <c r="R442" s="360">
        <f>IF((Q443=""),"",MAX(E444:Q444))</f>
        <v>436.6099999999999</v>
      </c>
      <c r="S442" s="360">
        <f>IF(Q443="","",MIN(E444:Q444))</f>
        <v>388.14000000000033</v>
      </c>
      <c r="T442" s="363">
        <f>IF((Q444=""),"",AVERAGE(E444:Q444))</f>
        <v>411.26692307692304</v>
      </c>
      <c r="U442" s="363">
        <f>IF((Q443=""),"",(R442-S442)/(R442+S442)*100)</f>
        <v>5.8769324037586612</v>
      </c>
      <c r="V442" s="363">
        <f>STDEV(E444:Q444)</f>
        <v>16.716803115735168</v>
      </c>
      <c r="W442" s="366" t="str">
        <f>IF(Q443="","",IF(T442&gt;300,IF(U442&lt;14,IF(T442&lt;390,"Pass","Fail"),"Fail"),"Fail"))</f>
        <v>Fail</v>
      </c>
      <c r="X442" s="369">
        <v>1428</v>
      </c>
      <c r="AA442" s="82">
        <v>270</v>
      </c>
      <c r="AB442" s="82">
        <v>370</v>
      </c>
      <c r="AC442" s="82">
        <v>300</v>
      </c>
      <c r="AD442" s="83">
        <v>390</v>
      </c>
      <c r="AE442" s="83">
        <v>20</v>
      </c>
      <c r="AF442" s="83">
        <v>14</v>
      </c>
    </row>
    <row r="443" spans="1:32" ht="15.6" x14ac:dyDescent="0.3">
      <c r="A443" s="222"/>
      <c r="B443" s="259"/>
      <c r="C443" s="259"/>
      <c r="D443" s="258" t="s">
        <v>187</v>
      </c>
      <c r="E443">
        <v>2027.26</v>
      </c>
      <c r="F443">
        <v>2032.39</v>
      </c>
      <c r="G443">
        <v>2029.3</v>
      </c>
      <c r="H443">
        <v>2060.4299999999998</v>
      </c>
      <c r="I443">
        <v>2073.11</v>
      </c>
      <c r="J443">
        <v>2026.12</v>
      </c>
      <c r="K443">
        <v>2038.53</v>
      </c>
      <c r="L443">
        <v>2046.07</v>
      </c>
      <c r="M443">
        <v>2026.01</v>
      </c>
      <c r="N443">
        <v>2030.51</v>
      </c>
      <c r="O443">
        <v>2057.63</v>
      </c>
      <c r="P443">
        <v>2024.79</v>
      </c>
      <c r="Q443">
        <v>2033.33</v>
      </c>
      <c r="R443" s="361"/>
      <c r="S443" s="361"/>
      <c r="T443" s="364"/>
      <c r="U443" s="364"/>
      <c r="V443" s="364"/>
      <c r="W443" s="367"/>
      <c r="X443" s="370"/>
    </row>
    <row r="444" spans="1:32" ht="30" x14ac:dyDescent="0.25">
      <c r="A444" s="292"/>
      <c r="B444" s="257"/>
      <c r="C444" s="257"/>
      <c r="D444" s="258" t="s">
        <v>188</v>
      </c>
      <c r="E444" s="260">
        <f t="shared" ref="E444:Q444" si="144">IF(((E442="")*AND(E443="")),"",(E442-E443))</f>
        <v>436.6099999999999</v>
      </c>
      <c r="F444" s="260">
        <f t="shared" si="144"/>
        <v>401.1400000000001</v>
      </c>
      <c r="G444" s="260">
        <f t="shared" si="144"/>
        <v>404.68999999999983</v>
      </c>
      <c r="H444" s="260">
        <f t="shared" si="144"/>
        <v>388.14000000000033</v>
      </c>
      <c r="I444" s="260">
        <f t="shared" si="144"/>
        <v>426.88999999999987</v>
      </c>
      <c r="J444" s="260">
        <f t="shared" si="144"/>
        <v>429.98</v>
      </c>
      <c r="K444" s="260">
        <f t="shared" si="144"/>
        <v>403.35000000000014</v>
      </c>
      <c r="L444" s="260">
        <f t="shared" si="144"/>
        <v>394.00000000000023</v>
      </c>
      <c r="M444" s="260">
        <f t="shared" si="144"/>
        <v>433.45999999999981</v>
      </c>
      <c r="N444" s="260">
        <f t="shared" si="144"/>
        <v>404.70000000000005</v>
      </c>
      <c r="O444" s="260">
        <f t="shared" si="144"/>
        <v>396.10999999999967</v>
      </c>
      <c r="P444" s="260">
        <f t="shared" si="144"/>
        <v>425.90999999999985</v>
      </c>
      <c r="Q444" s="260">
        <f t="shared" si="144"/>
        <v>401.49000000000024</v>
      </c>
      <c r="R444" s="362"/>
      <c r="S444" s="362"/>
      <c r="T444" s="365"/>
      <c r="U444" s="365"/>
      <c r="V444" s="365"/>
      <c r="W444" s="368"/>
      <c r="X444" s="371"/>
    </row>
    <row r="445" spans="1:32" ht="15.6" x14ac:dyDescent="0.3">
      <c r="A445" s="222">
        <v>43626</v>
      </c>
      <c r="B445" s="295" t="s">
        <v>235</v>
      </c>
      <c r="C445" s="295" t="s">
        <v>232</v>
      </c>
      <c r="D445" s="258" t="s">
        <v>186</v>
      </c>
      <c r="E445">
        <v>2833.59</v>
      </c>
      <c r="F445">
        <v>2769.74</v>
      </c>
      <c r="G445">
        <v>2764.54</v>
      </c>
      <c r="H445">
        <v>2782.38</v>
      </c>
      <c r="I445">
        <v>2861.12</v>
      </c>
      <c r="J445">
        <v>2823.07</v>
      </c>
      <c r="K445">
        <v>2768.33</v>
      </c>
      <c r="L445">
        <v>2772.61</v>
      </c>
      <c r="M445">
        <v>2828.97</v>
      </c>
      <c r="N445">
        <v>2776.9</v>
      </c>
      <c r="O445">
        <v>2790.79</v>
      </c>
      <c r="P445">
        <v>2783.28</v>
      </c>
      <c r="Q445">
        <v>2775.27</v>
      </c>
      <c r="R445" s="360">
        <f>IF((Q446=""),"",MAX(E447:Q447))</f>
        <v>382.12000000000035</v>
      </c>
      <c r="S445" s="360">
        <f>IF(Q446="","",MIN(E447:Q447))</f>
        <v>326.77999999999975</v>
      </c>
      <c r="T445" s="363">
        <f>IF((Q447=""),"",AVERAGE(E447:Q447))</f>
        <v>348.33692307692303</v>
      </c>
      <c r="U445" s="363">
        <f>IF((Q446=""),"",(R445-S445)/(R445+S445)*100)</f>
        <v>7.8064607137820001</v>
      </c>
      <c r="V445" s="363">
        <f>STDEV(E447:Q447)</f>
        <v>21.999512261493294</v>
      </c>
      <c r="W445" s="366" t="str">
        <f>IF(Q446="","",IF(T445&gt;300,IF(U445&lt;14,IF(T445&lt;390,"Pass","Fail"),"Fail"),"Fail"))</f>
        <v>Pass</v>
      </c>
      <c r="X445" s="369">
        <v>1428</v>
      </c>
      <c r="Y445" s="10" t="s">
        <v>282</v>
      </c>
      <c r="AA445" s="82">
        <v>270</v>
      </c>
      <c r="AB445" s="82">
        <v>370</v>
      </c>
      <c r="AC445" s="82">
        <v>300</v>
      </c>
      <c r="AD445" s="83">
        <v>390</v>
      </c>
      <c r="AE445" s="83">
        <v>20</v>
      </c>
      <c r="AF445" s="83">
        <v>14</v>
      </c>
    </row>
    <row r="446" spans="1:32" ht="15.6" x14ac:dyDescent="0.3">
      <c r="A446" s="222"/>
      <c r="B446" s="259"/>
      <c r="C446" s="259"/>
      <c r="D446" s="258" t="s">
        <v>187</v>
      </c>
      <c r="E446">
        <v>2451.4699999999998</v>
      </c>
      <c r="F446">
        <v>2435.67</v>
      </c>
      <c r="G446">
        <v>2437.7600000000002</v>
      </c>
      <c r="H446">
        <v>2446.5500000000002</v>
      </c>
      <c r="I446">
        <v>2482.4499999999998</v>
      </c>
      <c r="J446">
        <v>2444.54</v>
      </c>
      <c r="K446">
        <v>2440.8000000000002</v>
      </c>
      <c r="L446">
        <v>2439.89</v>
      </c>
      <c r="M446">
        <v>2450.31</v>
      </c>
      <c r="N446">
        <v>2438.1</v>
      </c>
      <c r="O446">
        <v>2449.88</v>
      </c>
      <c r="P446">
        <v>2448</v>
      </c>
      <c r="Q446">
        <v>2436.79</v>
      </c>
      <c r="R446" s="361"/>
      <c r="S446" s="361"/>
      <c r="T446" s="364"/>
      <c r="U446" s="364"/>
      <c r="V446" s="364"/>
      <c r="W446" s="367"/>
      <c r="X446" s="370"/>
    </row>
    <row r="447" spans="1:32" ht="30" x14ac:dyDescent="0.25">
      <c r="A447" s="292"/>
      <c r="B447" s="257"/>
      <c r="C447" s="257"/>
      <c r="D447" s="258" t="s">
        <v>188</v>
      </c>
      <c r="E447" s="260">
        <f t="shared" ref="E447:Q447" si="145">IF(((E445="")*AND(E446="")),"",(E445-E446))</f>
        <v>382.12000000000035</v>
      </c>
      <c r="F447" s="260">
        <f t="shared" si="145"/>
        <v>334.06999999999971</v>
      </c>
      <c r="G447" s="260">
        <f t="shared" si="145"/>
        <v>326.77999999999975</v>
      </c>
      <c r="H447" s="260">
        <f t="shared" si="145"/>
        <v>335.82999999999993</v>
      </c>
      <c r="I447" s="260">
        <f t="shared" si="145"/>
        <v>378.67000000000007</v>
      </c>
      <c r="J447" s="260">
        <f t="shared" si="145"/>
        <v>378.5300000000002</v>
      </c>
      <c r="K447" s="260">
        <f t="shared" si="145"/>
        <v>327.52999999999975</v>
      </c>
      <c r="L447" s="260">
        <f t="shared" si="145"/>
        <v>332.72000000000025</v>
      </c>
      <c r="M447" s="260">
        <f t="shared" si="145"/>
        <v>378.65999999999985</v>
      </c>
      <c r="N447" s="260">
        <f t="shared" si="145"/>
        <v>338.80000000000018</v>
      </c>
      <c r="O447" s="260">
        <f t="shared" si="145"/>
        <v>340.90999999999985</v>
      </c>
      <c r="P447" s="260">
        <f t="shared" si="145"/>
        <v>335.2800000000002</v>
      </c>
      <c r="Q447" s="260">
        <f t="shared" si="145"/>
        <v>338.48</v>
      </c>
      <c r="R447" s="362"/>
      <c r="S447" s="362"/>
      <c r="T447" s="365"/>
      <c r="U447" s="365"/>
      <c r="V447" s="365"/>
      <c r="W447" s="368"/>
      <c r="X447" s="371"/>
    </row>
    <row r="448" spans="1:32" ht="15.6" x14ac:dyDescent="0.3">
      <c r="A448" s="222">
        <v>43629</v>
      </c>
      <c r="B448" s="295" t="s">
        <v>235</v>
      </c>
      <c r="C448" s="295" t="s">
        <v>232</v>
      </c>
      <c r="D448" s="258" t="s">
        <v>186</v>
      </c>
      <c r="E448">
        <v>2834.46</v>
      </c>
      <c r="F448">
        <v>2767.67</v>
      </c>
      <c r="G448">
        <v>2766.21</v>
      </c>
      <c r="H448">
        <v>2780.12</v>
      </c>
      <c r="I448">
        <v>2863.48</v>
      </c>
      <c r="J448">
        <v>2835.03</v>
      </c>
      <c r="K448">
        <v>2772.59</v>
      </c>
      <c r="L448">
        <v>2768.75</v>
      </c>
      <c r="M448">
        <v>2827.62</v>
      </c>
      <c r="N448">
        <v>2777.01</v>
      </c>
      <c r="O448">
        <v>2783.96</v>
      </c>
      <c r="P448">
        <v>2790.82</v>
      </c>
      <c r="Q448">
        <v>2772.8</v>
      </c>
      <c r="R448" s="360">
        <f>IF((Q449=""),"",MAX(E450:Q450))</f>
        <v>369.67999999999984</v>
      </c>
      <c r="S448" s="360">
        <f>IF(Q449="","",MIN(E450:Q450))</f>
        <v>330.21000000000004</v>
      </c>
      <c r="T448" s="363">
        <f>IF((Q450=""),"",AVERAGE(E450:Q450))</f>
        <v>344.00461538461548</v>
      </c>
      <c r="U448" s="363">
        <f>IF((Q449=""),"",(R448-S448)/(R448+S448)*100)</f>
        <v>5.6394576290559666</v>
      </c>
      <c r="V448" s="363">
        <f>STDEV(E450:Q450)</f>
        <v>17.121382155745369</v>
      </c>
      <c r="W448" s="366" t="str">
        <f>IF(Q449="","",IF(T448&gt;300,IF(U448&lt;14,IF(T448&lt;390,"Pass","Fail"),"Fail"),"Fail"))</f>
        <v>Pass</v>
      </c>
      <c r="X448" s="369">
        <v>1428</v>
      </c>
      <c r="Y448" s="10" t="s">
        <v>285</v>
      </c>
      <c r="AA448" s="82">
        <v>270</v>
      </c>
      <c r="AB448" s="82">
        <v>370</v>
      </c>
      <c r="AC448" s="82">
        <v>300</v>
      </c>
      <c r="AD448" s="83">
        <v>390</v>
      </c>
      <c r="AE448" s="83">
        <v>20</v>
      </c>
      <c r="AF448" s="83">
        <v>14</v>
      </c>
    </row>
    <row r="449" spans="1:32" ht="15.6" x14ac:dyDescent="0.3">
      <c r="A449" s="222"/>
      <c r="B449" s="259"/>
      <c r="C449" s="259"/>
      <c r="D449" s="258" t="s">
        <v>187</v>
      </c>
      <c r="E449">
        <v>2466.79</v>
      </c>
      <c r="F449">
        <v>2435.71</v>
      </c>
      <c r="G449">
        <v>2436</v>
      </c>
      <c r="H449">
        <v>2447.92</v>
      </c>
      <c r="I449">
        <v>2493.8000000000002</v>
      </c>
      <c r="J449">
        <v>2467.6</v>
      </c>
      <c r="K449">
        <v>2438.63</v>
      </c>
      <c r="L449">
        <v>2437.58</v>
      </c>
      <c r="M449">
        <v>2458.25</v>
      </c>
      <c r="N449">
        <v>2441.83</v>
      </c>
      <c r="O449">
        <v>2448.6999999999998</v>
      </c>
      <c r="P449">
        <v>2454.5100000000002</v>
      </c>
      <c r="Q449">
        <v>2441.14</v>
      </c>
      <c r="R449" s="361"/>
      <c r="S449" s="361"/>
      <c r="T449" s="364"/>
      <c r="U449" s="364"/>
      <c r="V449" s="364"/>
      <c r="W449" s="367"/>
      <c r="X449" s="370"/>
    </row>
    <row r="450" spans="1:32" ht="30" x14ac:dyDescent="0.25">
      <c r="A450" s="292"/>
      <c r="B450" s="257"/>
      <c r="C450" s="257"/>
      <c r="D450" s="258" t="s">
        <v>188</v>
      </c>
      <c r="E450" s="260">
        <f t="shared" ref="E450:Q450" si="146">IF(((E448="")*AND(E449="")),"",(E448-E449))</f>
        <v>367.67000000000007</v>
      </c>
      <c r="F450" s="260">
        <f t="shared" si="146"/>
        <v>331.96000000000004</v>
      </c>
      <c r="G450" s="260">
        <f t="shared" si="146"/>
        <v>330.21000000000004</v>
      </c>
      <c r="H450" s="260">
        <f t="shared" si="146"/>
        <v>332.19999999999982</v>
      </c>
      <c r="I450" s="260">
        <f t="shared" si="146"/>
        <v>369.67999999999984</v>
      </c>
      <c r="J450" s="260">
        <f t="shared" si="146"/>
        <v>367.43000000000029</v>
      </c>
      <c r="K450" s="260">
        <f t="shared" si="146"/>
        <v>333.96000000000004</v>
      </c>
      <c r="L450" s="260">
        <f t="shared" si="146"/>
        <v>331.17000000000007</v>
      </c>
      <c r="M450" s="260">
        <f t="shared" si="146"/>
        <v>369.36999999999989</v>
      </c>
      <c r="N450" s="260">
        <f t="shared" si="146"/>
        <v>335.18000000000029</v>
      </c>
      <c r="O450" s="260">
        <f t="shared" si="146"/>
        <v>335.26000000000022</v>
      </c>
      <c r="P450" s="260">
        <f t="shared" si="146"/>
        <v>336.30999999999995</v>
      </c>
      <c r="Q450" s="260">
        <f t="shared" si="146"/>
        <v>331.66000000000031</v>
      </c>
      <c r="R450" s="362"/>
      <c r="S450" s="362"/>
      <c r="T450" s="365"/>
      <c r="U450" s="365"/>
      <c r="V450" s="365"/>
      <c r="W450" s="368"/>
      <c r="X450" s="371"/>
    </row>
    <row r="451" spans="1:32" ht="15.6" x14ac:dyDescent="0.3">
      <c r="A451" s="222">
        <v>43633</v>
      </c>
      <c r="B451" s="295" t="s">
        <v>235</v>
      </c>
      <c r="C451" s="295" t="s">
        <v>232</v>
      </c>
      <c r="D451" s="258" t="s">
        <v>186</v>
      </c>
      <c r="E451">
        <v>2835.07</v>
      </c>
      <c r="F451">
        <v>2771.38</v>
      </c>
      <c r="G451">
        <v>2769.59</v>
      </c>
      <c r="H451">
        <v>2779.75</v>
      </c>
      <c r="I451">
        <v>2859.29</v>
      </c>
      <c r="J451">
        <v>2828.09</v>
      </c>
      <c r="K451">
        <v>2768.68</v>
      </c>
      <c r="L451">
        <v>2771.76</v>
      </c>
      <c r="M451">
        <v>2825.79</v>
      </c>
      <c r="N451">
        <v>2774.66</v>
      </c>
      <c r="O451">
        <v>2782.67</v>
      </c>
      <c r="P451">
        <v>2785.33</v>
      </c>
      <c r="Q451">
        <v>2775.72</v>
      </c>
      <c r="R451" s="360">
        <f>IF((Q452=""),"",MAX(E453:Q453))</f>
        <v>378.60000000000036</v>
      </c>
      <c r="S451" s="360">
        <f>IF(Q452="","",MIN(E453:Q453))</f>
        <v>329.09999999999991</v>
      </c>
      <c r="T451" s="363">
        <f>IF((Q453=""),"",AVERAGE(E453:Q453))</f>
        <v>346.59076923076924</v>
      </c>
      <c r="U451" s="363">
        <f>IF((Q452=""),"",(R451-S451)/(R451+S451)*100)</f>
        <v>6.9944891903349484</v>
      </c>
      <c r="V451" s="363">
        <f>STDEV(E453:Q453)</f>
        <v>20.480884771553306</v>
      </c>
      <c r="W451" s="366" t="str">
        <f>IF(Q452="","",IF(T451&gt;300,IF(U451&lt;14,IF(T451&lt;390,"Pass","Fail"),"Fail"),"Fail"))</f>
        <v>Pass</v>
      </c>
      <c r="X451" s="369"/>
      <c r="AA451" s="82">
        <v>270</v>
      </c>
      <c r="AB451" s="82">
        <v>370</v>
      </c>
      <c r="AC451" s="82">
        <v>300</v>
      </c>
      <c r="AD451" s="83">
        <v>390</v>
      </c>
      <c r="AE451" s="83">
        <v>20</v>
      </c>
      <c r="AF451" s="83">
        <v>14</v>
      </c>
    </row>
    <row r="452" spans="1:32" ht="15.6" x14ac:dyDescent="0.3">
      <c r="A452" s="222"/>
      <c r="B452" s="259"/>
      <c r="C452" s="259"/>
      <c r="D452" s="258" t="s">
        <v>187</v>
      </c>
      <c r="E452">
        <v>2456.4699999999998</v>
      </c>
      <c r="F452">
        <v>2436.52</v>
      </c>
      <c r="G452">
        <v>2437.86</v>
      </c>
      <c r="H452">
        <v>2447.56</v>
      </c>
      <c r="I452">
        <v>2488.4299999999998</v>
      </c>
      <c r="J452">
        <v>2451.96</v>
      </c>
      <c r="K452">
        <v>2439.58</v>
      </c>
      <c r="L452">
        <v>2436.6799999999998</v>
      </c>
      <c r="M452">
        <v>2447.83</v>
      </c>
      <c r="N452">
        <v>2440.5700000000002</v>
      </c>
      <c r="O452">
        <v>2448.0300000000002</v>
      </c>
      <c r="P452">
        <v>2450.9699999999998</v>
      </c>
      <c r="Q452">
        <v>2439.64</v>
      </c>
      <c r="R452" s="361"/>
      <c r="S452" s="361"/>
      <c r="T452" s="364"/>
      <c r="U452" s="364"/>
      <c r="V452" s="364"/>
      <c r="W452" s="367"/>
      <c r="X452" s="370"/>
    </row>
    <row r="453" spans="1:32" ht="30" x14ac:dyDescent="0.25">
      <c r="A453" s="292"/>
      <c r="B453" s="257"/>
      <c r="C453" s="257"/>
      <c r="D453" s="258" t="s">
        <v>188</v>
      </c>
      <c r="E453" s="260">
        <f t="shared" ref="E453:Q453" si="147">IF(((E451="")*AND(E452="")),"",(E451-E452))</f>
        <v>378.60000000000036</v>
      </c>
      <c r="F453" s="260">
        <f t="shared" si="147"/>
        <v>334.86000000000013</v>
      </c>
      <c r="G453" s="260">
        <f t="shared" si="147"/>
        <v>331.73</v>
      </c>
      <c r="H453" s="260">
        <f t="shared" si="147"/>
        <v>332.19000000000005</v>
      </c>
      <c r="I453" s="260">
        <f t="shared" si="147"/>
        <v>370.86000000000013</v>
      </c>
      <c r="J453" s="260">
        <f t="shared" si="147"/>
        <v>376.13000000000011</v>
      </c>
      <c r="K453" s="260">
        <f t="shared" si="147"/>
        <v>329.09999999999991</v>
      </c>
      <c r="L453" s="260">
        <f t="shared" si="147"/>
        <v>335.08000000000038</v>
      </c>
      <c r="M453" s="260">
        <f t="shared" si="147"/>
        <v>377.96000000000004</v>
      </c>
      <c r="N453" s="260">
        <f t="shared" si="147"/>
        <v>334.08999999999969</v>
      </c>
      <c r="O453" s="260">
        <f t="shared" si="147"/>
        <v>334.63999999999987</v>
      </c>
      <c r="P453" s="260">
        <f t="shared" si="147"/>
        <v>334.36000000000013</v>
      </c>
      <c r="Q453" s="260">
        <f t="shared" si="147"/>
        <v>336.07999999999993</v>
      </c>
      <c r="R453" s="362"/>
      <c r="S453" s="362"/>
      <c r="T453" s="365"/>
      <c r="U453" s="365"/>
      <c r="V453" s="365"/>
      <c r="W453" s="368"/>
      <c r="X453" s="371"/>
    </row>
    <row r="454" spans="1:32" ht="15.6" x14ac:dyDescent="0.3">
      <c r="A454" s="222">
        <v>43636</v>
      </c>
      <c r="B454" s="295" t="s">
        <v>235</v>
      </c>
      <c r="C454" s="295" t="s">
        <v>232</v>
      </c>
      <c r="D454" s="258" t="s">
        <v>186</v>
      </c>
      <c r="E454">
        <v>2835.75</v>
      </c>
      <c r="F454">
        <v>2768.96</v>
      </c>
      <c r="G454">
        <v>2772.68</v>
      </c>
      <c r="H454">
        <v>2784.9</v>
      </c>
      <c r="I454">
        <v>2867.69</v>
      </c>
      <c r="J454">
        <v>2830.04</v>
      </c>
      <c r="K454">
        <v>2773.94</v>
      </c>
      <c r="L454">
        <v>2775.68</v>
      </c>
      <c r="M454">
        <v>2827</v>
      </c>
      <c r="N454">
        <v>2778.36</v>
      </c>
      <c r="O454">
        <v>2790.94</v>
      </c>
      <c r="P454">
        <v>2788</v>
      </c>
      <c r="Q454">
        <v>2775.36</v>
      </c>
      <c r="R454" s="360">
        <f>IF((Q455=""),"",MAX(E456:Q456))</f>
        <v>366.50999999999976</v>
      </c>
      <c r="S454" s="360">
        <f>IF(Q455="","",MIN(E456:Q456))</f>
        <v>323.75</v>
      </c>
      <c r="T454" s="363">
        <f>IF((Q456=""),"",AVERAGE(E456:Q456))</f>
        <v>338.53769230769228</v>
      </c>
      <c r="U454" s="363">
        <f>IF((Q455=""),"",(R454-S454)/(R454+S454)*100)</f>
        <v>6.1947671891750611</v>
      </c>
      <c r="V454" s="363">
        <f>STDEV(E456:Q456)</f>
        <v>17.592738631722494</v>
      </c>
      <c r="W454" s="366" t="str">
        <f>IF(Q455="","",IF(T454&gt;300,IF(U454&lt;14,IF(T454&lt;390,"Pass","Fail"),"Fail"),"Fail"))</f>
        <v>Pass</v>
      </c>
      <c r="X454" s="369">
        <v>1159</v>
      </c>
      <c r="Y454" s="10" t="s">
        <v>288</v>
      </c>
      <c r="AA454" s="82">
        <v>270</v>
      </c>
      <c r="AB454" s="82">
        <v>370</v>
      </c>
      <c r="AC454" s="82">
        <v>300</v>
      </c>
      <c r="AD454" s="83">
        <v>390</v>
      </c>
      <c r="AE454" s="83">
        <v>20</v>
      </c>
      <c r="AF454" s="83">
        <v>14</v>
      </c>
    </row>
    <row r="455" spans="1:32" ht="15.6" x14ac:dyDescent="0.3">
      <c r="A455" s="222"/>
      <c r="B455" s="259"/>
      <c r="C455" s="259"/>
      <c r="D455" s="258" t="s">
        <v>187</v>
      </c>
      <c r="E455">
        <v>2470.37</v>
      </c>
      <c r="F455">
        <v>2443.6999999999998</v>
      </c>
      <c r="G455">
        <v>2446.25</v>
      </c>
      <c r="H455">
        <v>2454.29</v>
      </c>
      <c r="I455">
        <v>2503.36</v>
      </c>
      <c r="J455">
        <v>2463.5300000000002</v>
      </c>
      <c r="K455">
        <v>2450.19</v>
      </c>
      <c r="L455">
        <v>2448.12</v>
      </c>
      <c r="M455">
        <v>2469</v>
      </c>
      <c r="N455">
        <v>2450.27</v>
      </c>
      <c r="O455">
        <v>2458.87</v>
      </c>
      <c r="P455">
        <v>2462.3200000000002</v>
      </c>
      <c r="Q455">
        <v>2448.04</v>
      </c>
      <c r="R455" s="361"/>
      <c r="S455" s="361"/>
      <c r="T455" s="364"/>
      <c r="U455" s="364"/>
      <c r="V455" s="364"/>
      <c r="W455" s="367"/>
      <c r="X455" s="370"/>
    </row>
    <row r="456" spans="1:32" ht="30" x14ac:dyDescent="0.25">
      <c r="A456" s="292"/>
      <c r="B456" s="257"/>
      <c r="C456" s="257"/>
      <c r="D456" s="258" t="s">
        <v>188</v>
      </c>
      <c r="E456" s="260">
        <f t="shared" ref="E456:Q456" si="148">IF(((E454="")*AND(E455="")),"",(E454-E455))</f>
        <v>365.38000000000011</v>
      </c>
      <c r="F456" s="260">
        <f t="shared" si="148"/>
        <v>325.26000000000022</v>
      </c>
      <c r="G456" s="260">
        <f t="shared" si="148"/>
        <v>326.42999999999984</v>
      </c>
      <c r="H456" s="260">
        <f t="shared" si="148"/>
        <v>330.61000000000013</v>
      </c>
      <c r="I456" s="260">
        <f t="shared" si="148"/>
        <v>364.32999999999993</v>
      </c>
      <c r="J456" s="260">
        <f t="shared" si="148"/>
        <v>366.50999999999976</v>
      </c>
      <c r="K456" s="260">
        <f t="shared" si="148"/>
        <v>323.75</v>
      </c>
      <c r="L456" s="260">
        <f t="shared" si="148"/>
        <v>327.55999999999995</v>
      </c>
      <c r="M456" s="260">
        <f t="shared" si="148"/>
        <v>358</v>
      </c>
      <c r="N456" s="260">
        <f t="shared" si="148"/>
        <v>328.09000000000015</v>
      </c>
      <c r="O456" s="260">
        <f t="shared" si="148"/>
        <v>332.07000000000016</v>
      </c>
      <c r="P456" s="260">
        <f t="shared" si="148"/>
        <v>325.67999999999984</v>
      </c>
      <c r="Q456" s="260">
        <f t="shared" si="148"/>
        <v>327.32000000000016</v>
      </c>
      <c r="R456" s="362"/>
      <c r="S456" s="362"/>
      <c r="T456" s="365"/>
      <c r="U456" s="365"/>
      <c r="V456" s="365"/>
      <c r="W456" s="368"/>
      <c r="X456" s="371"/>
    </row>
    <row r="457" spans="1:32" ht="15.6" x14ac:dyDescent="0.3">
      <c r="A457" s="278">
        <v>43642</v>
      </c>
      <c r="B457" s="295" t="s">
        <v>235</v>
      </c>
      <c r="C457" s="295" t="s">
        <v>232</v>
      </c>
      <c r="D457" s="258" t="s">
        <v>186</v>
      </c>
      <c r="E457">
        <v>2832.47</v>
      </c>
      <c r="F457">
        <v>2764.31</v>
      </c>
      <c r="G457">
        <v>2761.53</v>
      </c>
      <c r="H457">
        <v>2776.47</v>
      </c>
      <c r="I457">
        <v>2858.96</v>
      </c>
      <c r="J457">
        <v>2821.08</v>
      </c>
      <c r="K457">
        <v>2772.56</v>
      </c>
      <c r="L457">
        <v>2770.95</v>
      </c>
      <c r="M457">
        <v>2827.04</v>
      </c>
      <c r="N457">
        <v>2773.48</v>
      </c>
      <c r="O457">
        <v>2784.24</v>
      </c>
      <c r="P457">
        <v>2786.23</v>
      </c>
      <c r="Q457">
        <v>2777.18</v>
      </c>
      <c r="R457" s="360">
        <f>IF((Q458=""),"",MAX(E459:Q459))</f>
        <v>377.59000000000015</v>
      </c>
      <c r="S457" s="360">
        <f>IF(Q458="","",MIN(E459:Q459))</f>
        <v>329.10000000000036</v>
      </c>
      <c r="T457" s="363">
        <f>IF((Q459=""),"",AVERAGE(E459:Q459))</f>
        <v>347.06923076923067</v>
      </c>
      <c r="U457" s="363">
        <f>IF((Q458=""),"",(R457-S457)/(R457+S457)*100)</f>
        <v>6.8615658916922202</v>
      </c>
      <c r="V457" s="363">
        <f>STDEV(E459:Q459)</f>
        <v>19.249047795297276</v>
      </c>
      <c r="W457" s="366" t="str">
        <f>IF(Q458="","",IF(T457&gt;300,IF(U457&lt;14,IF(T457&lt;390,"Pass","Fail"),"Fail"),"Fail"))</f>
        <v>Pass</v>
      </c>
      <c r="X457" s="369">
        <v>1340</v>
      </c>
      <c r="Y457" s="10" t="s">
        <v>290</v>
      </c>
      <c r="AA457" s="82">
        <v>270</v>
      </c>
      <c r="AB457" s="82">
        <v>370</v>
      </c>
      <c r="AC457" s="82">
        <v>300</v>
      </c>
      <c r="AD457" s="83">
        <v>390</v>
      </c>
      <c r="AE457" s="83">
        <v>20</v>
      </c>
      <c r="AF457" s="83">
        <v>14</v>
      </c>
    </row>
    <row r="458" spans="1:32" ht="15.6" x14ac:dyDescent="0.3">
      <c r="A458" s="222"/>
      <c r="B458" s="259"/>
      <c r="C458" s="259"/>
      <c r="D458" s="258" t="s">
        <v>187</v>
      </c>
      <c r="E458">
        <v>2460.11</v>
      </c>
      <c r="F458">
        <v>2433.2399999999998</v>
      </c>
      <c r="G458">
        <v>2432.4299999999998</v>
      </c>
      <c r="H458">
        <v>2445.6</v>
      </c>
      <c r="I458">
        <v>2481.37</v>
      </c>
      <c r="J458">
        <v>2450.3000000000002</v>
      </c>
      <c r="K458">
        <v>2436.98</v>
      </c>
      <c r="L458">
        <v>2436.9</v>
      </c>
      <c r="M458">
        <v>2450.42</v>
      </c>
      <c r="N458">
        <v>2434.2199999999998</v>
      </c>
      <c r="O458">
        <v>2446.38</v>
      </c>
      <c r="P458">
        <v>2447.59</v>
      </c>
      <c r="Q458">
        <v>2439.06</v>
      </c>
      <c r="R458" s="361"/>
      <c r="S458" s="361"/>
      <c r="T458" s="364"/>
      <c r="U458" s="364"/>
      <c r="V458" s="364"/>
      <c r="W458" s="367"/>
      <c r="X458" s="370"/>
    </row>
    <row r="459" spans="1:32" ht="30" x14ac:dyDescent="0.25">
      <c r="A459" s="292"/>
      <c r="B459" s="257"/>
      <c r="C459" s="257"/>
      <c r="D459" s="258" t="s">
        <v>188</v>
      </c>
      <c r="E459" s="260">
        <f t="shared" ref="E459:Q459" si="149">IF(((E457="")*AND(E458="")),"",(E457-E458))</f>
        <v>372.35999999999967</v>
      </c>
      <c r="F459" s="260">
        <f t="shared" si="149"/>
        <v>331.07000000000016</v>
      </c>
      <c r="G459" s="260">
        <f t="shared" si="149"/>
        <v>329.10000000000036</v>
      </c>
      <c r="H459" s="260">
        <f t="shared" si="149"/>
        <v>330.86999999999989</v>
      </c>
      <c r="I459" s="260">
        <f t="shared" si="149"/>
        <v>377.59000000000015</v>
      </c>
      <c r="J459" s="260">
        <f t="shared" si="149"/>
        <v>370.77999999999975</v>
      </c>
      <c r="K459" s="260">
        <f t="shared" si="149"/>
        <v>335.57999999999993</v>
      </c>
      <c r="L459" s="260">
        <f t="shared" si="149"/>
        <v>334.04999999999973</v>
      </c>
      <c r="M459" s="260">
        <f t="shared" si="149"/>
        <v>376.61999999999989</v>
      </c>
      <c r="N459" s="260">
        <f t="shared" si="149"/>
        <v>339.26000000000022</v>
      </c>
      <c r="O459" s="260">
        <f t="shared" si="149"/>
        <v>337.85999999999967</v>
      </c>
      <c r="P459" s="260">
        <f t="shared" si="149"/>
        <v>338.63999999999987</v>
      </c>
      <c r="Q459" s="260">
        <f t="shared" si="149"/>
        <v>338.11999999999989</v>
      </c>
      <c r="R459" s="362"/>
      <c r="S459" s="362"/>
      <c r="T459" s="365"/>
      <c r="U459" s="365"/>
      <c r="V459" s="365"/>
      <c r="W459" s="368"/>
      <c r="X459" s="371"/>
    </row>
    <row r="460" spans="1:32" ht="15.6" x14ac:dyDescent="0.3">
      <c r="A460" s="278">
        <v>43644</v>
      </c>
      <c r="B460" s="295" t="s">
        <v>235</v>
      </c>
      <c r="C460" s="295" t="s">
        <v>232</v>
      </c>
      <c r="D460" s="258" t="s">
        <v>186</v>
      </c>
      <c r="E460">
        <v>2846.75</v>
      </c>
      <c r="F460">
        <v>2776.65</v>
      </c>
      <c r="G460">
        <v>2770.03</v>
      </c>
      <c r="H460">
        <v>2778.52</v>
      </c>
      <c r="I460">
        <v>2837.8</v>
      </c>
      <c r="J460">
        <v>2868.03</v>
      </c>
      <c r="K460">
        <v>2782.8</v>
      </c>
      <c r="L460">
        <v>2774.98</v>
      </c>
      <c r="M460">
        <v>2835.67</v>
      </c>
      <c r="N460">
        <v>2790.8</v>
      </c>
      <c r="O460">
        <v>2782.34</v>
      </c>
      <c r="P460">
        <v>2788.02</v>
      </c>
      <c r="Q460">
        <v>2783.16</v>
      </c>
      <c r="R460" s="360">
        <f>IF((Q461=""),"",MAX(E462:Q462))</f>
        <v>389.32999999999993</v>
      </c>
      <c r="S460" s="360">
        <f>IF(Q461="","",MIN(E462:Q462))</f>
        <v>335.19000000000005</v>
      </c>
      <c r="T460" s="363">
        <f>IF((Q462=""),"",AVERAGE(E462:Q462))</f>
        <v>356.45384615384626</v>
      </c>
      <c r="U460" s="363">
        <f>IF((Q461=""),"",(R460-S460)/(R460+S460)*100)</f>
        <v>7.4725335394467889</v>
      </c>
      <c r="V460" s="363">
        <f>STDEV(E462:Q462)</f>
        <v>21.007927288867855</v>
      </c>
      <c r="W460" s="366" t="str">
        <f>IF(Q461="","",IF(T460&gt;300,IF(U460&lt;14,IF(T460&lt;390,"Pass","Fail"),"Fail"),"Fail"))</f>
        <v>Pass</v>
      </c>
      <c r="X460" s="369">
        <v>1159</v>
      </c>
      <c r="Z460" s="10" t="s">
        <v>292</v>
      </c>
      <c r="AA460" s="82">
        <v>270</v>
      </c>
      <c r="AB460" s="82">
        <v>370</v>
      </c>
      <c r="AC460" s="82">
        <v>300</v>
      </c>
      <c r="AD460" s="83">
        <v>390</v>
      </c>
      <c r="AE460" s="83">
        <v>20</v>
      </c>
      <c r="AF460" s="83">
        <v>14</v>
      </c>
    </row>
    <row r="461" spans="1:32" ht="15.6" x14ac:dyDescent="0.3">
      <c r="A461" s="222"/>
      <c r="B461" s="259"/>
      <c r="C461" s="259"/>
      <c r="D461" s="258" t="s">
        <v>187</v>
      </c>
      <c r="E461">
        <v>2457.42</v>
      </c>
      <c r="F461">
        <v>2436.41</v>
      </c>
      <c r="G461">
        <v>2434.84</v>
      </c>
      <c r="H461">
        <v>2433.1799999999998</v>
      </c>
      <c r="I461">
        <v>2451.4</v>
      </c>
      <c r="J461">
        <v>2484.1</v>
      </c>
      <c r="K461">
        <v>2442.75</v>
      </c>
      <c r="L461">
        <v>2433.5</v>
      </c>
      <c r="M461">
        <v>2450.1999999999998</v>
      </c>
      <c r="N461">
        <v>2445.25</v>
      </c>
      <c r="O461">
        <v>2436.2199999999998</v>
      </c>
      <c r="P461">
        <v>2440.7199999999998</v>
      </c>
      <c r="Q461">
        <v>2435.66</v>
      </c>
      <c r="R461" s="361"/>
      <c r="S461" s="361"/>
      <c r="T461" s="364"/>
      <c r="U461" s="364"/>
      <c r="V461" s="364"/>
      <c r="W461" s="367"/>
      <c r="X461" s="370"/>
    </row>
    <row r="462" spans="1:32" ht="30" x14ac:dyDescent="0.25">
      <c r="A462" s="292"/>
      <c r="B462" s="257"/>
      <c r="C462" s="257"/>
      <c r="D462" s="258" t="s">
        <v>188</v>
      </c>
      <c r="E462" s="260">
        <f t="shared" ref="E462:Q462" si="150">IF(((E460="")*AND(E461="")),"",(E460-E461))</f>
        <v>389.32999999999993</v>
      </c>
      <c r="F462" s="260">
        <f t="shared" si="150"/>
        <v>340.24000000000024</v>
      </c>
      <c r="G462" s="260">
        <f t="shared" si="150"/>
        <v>335.19000000000005</v>
      </c>
      <c r="H462" s="260">
        <f t="shared" si="150"/>
        <v>345.34000000000015</v>
      </c>
      <c r="I462" s="260">
        <f t="shared" si="150"/>
        <v>386.40000000000009</v>
      </c>
      <c r="J462" s="260">
        <f t="shared" si="150"/>
        <v>383.93000000000029</v>
      </c>
      <c r="K462" s="260">
        <f t="shared" si="150"/>
        <v>340.05000000000018</v>
      </c>
      <c r="L462" s="260">
        <f t="shared" si="150"/>
        <v>341.48</v>
      </c>
      <c r="M462" s="260">
        <f t="shared" si="150"/>
        <v>385.47000000000025</v>
      </c>
      <c r="N462" s="260">
        <f t="shared" si="150"/>
        <v>345.55000000000018</v>
      </c>
      <c r="O462" s="260">
        <f t="shared" si="150"/>
        <v>346.12000000000035</v>
      </c>
      <c r="P462" s="260">
        <f t="shared" si="150"/>
        <v>347.30000000000018</v>
      </c>
      <c r="Q462" s="260">
        <f t="shared" si="150"/>
        <v>347.5</v>
      </c>
      <c r="R462" s="362"/>
      <c r="S462" s="362"/>
      <c r="T462" s="365"/>
      <c r="U462" s="365"/>
      <c r="V462" s="365"/>
      <c r="W462" s="368"/>
      <c r="X462" s="371"/>
    </row>
    <row r="463" spans="1:32" ht="15.6" x14ac:dyDescent="0.3">
      <c r="A463" s="222">
        <v>43647</v>
      </c>
      <c r="B463" s="295" t="s">
        <v>235</v>
      </c>
      <c r="C463" s="295" t="s">
        <v>232</v>
      </c>
      <c r="D463" s="258" t="s">
        <v>186</v>
      </c>
      <c r="E463">
        <v>2833.94</v>
      </c>
      <c r="F463">
        <v>2741.7</v>
      </c>
      <c r="G463">
        <v>2730.66</v>
      </c>
      <c r="H463">
        <v>2732.41</v>
      </c>
      <c r="I463">
        <v>2806.96</v>
      </c>
      <c r="J463">
        <v>2808.02</v>
      </c>
      <c r="K463">
        <v>2735.4</v>
      </c>
      <c r="L463">
        <v>2732.17</v>
      </c>
      <c r="M463">
        <v>2794.17</v>
      </c>
      <c r="N463">
        <v>2753.32</v>
      </c>
      <c r="O463">
        <v>2739.38</v>
      </c>
      <c r="P463">
        <v>2742.13</v>
      </c>
      <c r="Q463">
        <v>2747.28</v>
      </c>
      <c r="R463" s="360">
        <f>IF((Q464=""),"",MAX(E465:Q465))</f>
        <v>378.69000000000005</v>
      </c>
      <c r="S463" s="360">
        <f>IF(Q464="","",MIN(E465:Q465))</f>
        <v>336.07999999999993</v>
      </c>
      <c r="T463" s="363">
        <f>IF((Q465=""),"",AVERAGE(E465:Q465))</f>
        <v>351.28769230769228</v>
      </c>
      <c r="U463" s="363">
        <f>IF((Q464=""),"",(R463-S463)/(R463+S463)*100)</f>
        <v>5.9613581991410003</v>
      </c>
      <c r="V463" s="363">
        <f>STDEV(E465:Q465)</f>
        <v>18.519043421051006</v>
      </c>
      <c r="W463" s="366" t="str">
        <f>IF(Q464="","",IF(T463&gt;300,IF(U463&lt;14,IF(T463&lt;390,"Pass","Fail"),"Fail"),"Fail"))</f>
        <v>Pass</v>
      </c>
      <c r="X463" s="369">
        <v>1428</v>
      </c>
      <c r="Y463" s="10" t="s">
        <v>300</v>
      </c>
      <c r="AA463" s="82">
        <v>270</v>
      </c>
      <c r="AB463" s="82">
        <v>370</v>
      </c>
      <c r="AC463" s="82">
        <v>300</v>
      </c>
      <c r="AD463" s="83">
        <v>390</v>
      </c>
      <c r="AE463" s="83">
        <v>20</v>
      </c>
      <c r="AF463" s="83">
        <v>14</v>
      </c>
    </row>
    <row r="464" spans="1:32" ht="15.6" x14ac:dyDescent="0.3">
      <c r="A464" s="222"/>
      <c r="B464" s="259"/>
      <c r="C464" s="259"/>
      <c r="D464" s="258" t="s">
        <v>187</v>
      </c>
      <c r="E464">
        <v>2456.9499999999998</v>
      </c>
      <c r="F464">
        <v>2404.5700000000002</v>
      </c>
      <c r="G464">
        <v>2393.48</v>
      </c>
      <c r="H464">
        <v>2392.84</v>
      </c>
      <c r="I464">
        <v>2429.79</v>
      </c>
      <c r="J464">
        <v>2429.33</v>
      </c>
      <c r="K464">
        <v>2398.94</v>
      </c>
      <c r="L464">
        <v>2396.09</v>
      </c>
      <c r="M464">
        <v>2416.08</v>
      </c>
      <c r="N464">
        <v>2412.39</v>
      </c>
      <c r="O464">
        <v>2397.36</v>
      </c>
      <c r="P464">
        <v>2397.4499999999998</v>
      </c>
      <c r="Q464">
        <v>2405.5300000000002</v>
      </c>
      <c r="R464" s="361"/>
      <c r="S464" s="361"/>
      <c r="T464" s="364"/>
      <c r="U464" s="364"/>
      <c r="V464" s="364"/>
      <c r="W464" s="367"/>
      <c r="X464" s="370"/>
    </row>
    <row r="465" spans="1:32" ht="30" x14ac:dyDescent="0.25">
      <c r="A465" s="292"/>
      <c r="B465" s="257"/>
      <c r="C465" s="257"/>
      <c r="D465" s="258" t="s">
        <v>188</v>
      </c>
      <c r="E465" s="260">
        <f t="shared" ref="E465:Q465" si="151">IF(((E463="")*AND(E464="")),"",(E463-E464))</f>
        <v>376.99000000000024</v>
      </c>
      <c r="F465" s="260">
        <f t="shared" si="151"/>
        <v>337.12999999999965</v>
      </c>
      <c r="G465" s="260">
        <f t="shared" si="151"/>
        <v>337.17999999999984</v>
      </c>
      <c r="H465" s="260">
        <f t="shared" si="151"/>
        <v>339.56999999999971</v>
      </c>
      <c r="I465" s="260">
        <f t="shared" si="151"/>
        <v>377.17000000000007</v>
      </c>
      <c r="J465" s="260">
        <f t="shared" si="151"/>
        <v>378.69000000000005</v>
      </c>
      <c r="K465" s="260">
        <f t="shared" si="151"/>
        <v>336.46000000000004</v>
      </c>
      <c r="L465" s="260">
        <f t="shared" si="151"/>
        <v>336.07999999999993</v>
      </c>
      <c r="M465" s="260">
        <f t="shared" si="151"/>
        <v>378.09000000000015</v>
      </c>
      <c r="N465" s="260">
        <f t="shared" si="151"/>
        <v>340.93000000000029</v>
      </c>
      <c r="O465" s="260">
        <f t="shared" si="151"/>
        <v>342.02</v>
      </c>
      <c r="P465" s="260">
        <f t="shared" si="151"/>
        <v>344.68000000000029</v>
      </c>
      <c r="Q465" s="260">
        <f t="shared" si="151"/>
        <v>341.75</v>
      </c>
      <c r="R465" s="362"/>
      <c r="S465" s="362"/>
      <c r="T465" s="365"/>
      <c r="U465" s="365"/>
      <c r="V465" s="365"/>
      <c r="W465" s="368"/>
      <c r="X465" s="371"/>
    </row>
    <row r="466" spans="1:32" ht="15.6" x14ac:dyDescent="0.3">
      <c r="A466" s="222">
        <v>43650</v>
      </c>
      <c r="B466" s="295" t="s">
        <v>235</v>
      </c>
      <c r="C466" s="295" t="s">
        <v>232</v>
      </c>
      <c r="D466" s="258" t="s">
        <v>186</v>
      </c>
      <c r="E466">
        <v>2452.73</v>
      </c>
      <c r="F466">
        <v>2404.08</v>
      </c>
      <c r="G466">
        <v>2416.27</v>
      </c>
      <c r="H466">
        <v>2395.35</v>
      </c>
      <c r="I466">
        <v>2433.5</v>
      </c>
      <c r="J466">
        <v>2433.17</v>
      </c>
      <c r="K466">
        <v>2401.81</v>
      </c>
      <c r="L466">
        <v>2391.6799999999998</v>
      </c>
      <c r="M466">
        <v>2417.1999999999998</v>
      </c>
      <c r="N466">
        <v>2412.38</v>
      </c>
      <c r="O466">
        <v>2439.6</v>
      </c>
      <c r="P466">
        <v>2400.5700000000002</v>
      </c>
      <c r="Q466">
        <v>2400.89</v>
      </c>
      <c r="R466" s="360">
        <f>IF((Q467=""),"",MAX(E468:Q468))</f>
        <v>444.61000000000013</v>
      </c>
      <c r="S466" s="360">
        <f>IF(Q467="","",MIN(E468:Q468))</f>
        <v>387.04999999999995</v>
      </c>
      <c r="T466" s="363">
        <f>IF((Q468=""),"",AVERAGE(E468:Q468))</f>
        <v>411.58923076923071</v>
      </c>
      <c r="U466" s="363">
        <f>IF((Q467=""),"",(R466-S466)/(R466+S466)*100)</f>
        <v>6.9210975639083472</v>
      </c>
      <c r="V466" s="363">
        <f>STDEV(E468:Q468)</f>
        <v>19.51661662171432</v>
      </c>
      <c r="W466" s="366" t="str">
        <f>IF(Q467="","",IF(T466&gt;300,IF(U466&lt;14,IF(T466&lt;390,"Pass","Fail"),"Fail"),"Fail"))</f>
        <v>Fail</v>
      </c>
      <c r="X466" s="369" t="s">
        <v>302</v>
      </c>
      <c r="AA466" s="82">
        <v>270</v>
      </c>
      <c r="AB466" s="82">
        <v>370</v>
      </c>
      <c r="AC466" s="82">
        <v>300</v>
      </c>
      <c r="AD466" s="83">
        <v>390</v>
      </c>
      <c r="AE466" s="83">
        <v>20</v>
      </c>
      <c r="AF466" s="83">
        <v>14</v>
      </c>
    </row>
    <row r="467" spans="1:32" ht="15.6" x14ac:dyDescent="0.3">
      <c r="A467" s="222"/>
      <c r="B467" s="259"/>
      <c r="C467" s="259"/>
      <c r="D467" s="258" t="s">
        <v>187</v>
      </c>
      <c r="E467">
        <v>2036.38</v>
      </c>
      <c r="F467">
        <v>2017.03</v>
      </c>
      <c r="G467">
        <v>1988.02</v>
      </c>
      <c r="H467">
        <v>2003.25</v>
      </c>
      <c r="I467">
        <v>2010.86</v>
      </c>
      <c r="J467">
        <v>1988.56</v>
      </c>
      <c r="K467">
        <v>2005.94</v>
      </c>
      <c r="L467">
        <v>1993.66</v>
      </c>
      <c r="M467">
        <v>1993.54</v>
      </c>
      <c r="N467">
        <v>2022.36</v>
      </c>
      <c r="O467">
        <v>2000.86</v>
      </c>
      <c r="P467">
        <v>1982.75</v>
      </c>
      <c r="Q467">
        <v>2005.36</v>
      </c>
      <c r="R467" s="361"/>
      <c r="S467" s="361"/>
      <c r="T467" s="364"/>
      <c r="U467" s="364"/>
      <c r="V467" s="364"/>
      <c r="W467" s="367"/>
      <c r="X467" s="370"/>
    </row>
    <row r="468" spans="1:32" ht="30" x14ac:dyDescent="0.25">
      <c r="A468" s="292"/>
      <c r="B468" s="257"/>
      <c r="C468" s="257"/>
      <c r="D468" s="258" t="s">
        <v>188</v>
      </c>
      <c r="E468" s="260">
        <f t="shared" ref="E468:Q468" si="152">IF(((E466="")*AND(E467="")),"",(E466-E467))</f>
        <v>416.34999999999991</v>
      </c>
      <c r="F468" s="260">
        <f t="shared" si="152"/>
        <v>387.04999999999995</v>
      </c>
      <c r="G468" s="260">
        <f t="shared" si="152"/>
        <v>428.25</v>
      </c>
      <c r="H468" s="260">
        <f t="shared" si="152"/>
        <v>392.09999999999991</v>
      </c>
      <c r="I468" s="260">
        <f t="shared" si="152"/>
        <v>422.6400000000001</v>
      </c>
      <c r="J468" s="260">
        <f t="shared" si="152"/>
        <v>444.61000000000013</v>
      </c>
      <c r="K468" s="260">
        <f t="shared" si="152"/>
        <v>395.86999999999989</v>
      </c>
      <c r="L468" s="260">
        <f t="shared" si="152"/>
        <v>398.01999999999975</v>
      </c>
      <c r="M468" s="260">
        <f t="shared" si="152"/>
        <v>423.65999999999985</v>
      </c>
      <c r="N468" s="260">
        <f t="shared" si="152"/>
        <v>390.02000000000021</v>
      </c>
      <c r="O468" s="260">
        <f t="shared" si="152"/>
        <v>438.74</v>
      </c>
      <c r="P468" s="260">
        <f t="shared" si="152"/>
        <v>417.82000000000016</v>
      </c>
      <c r="Q468" s="260">
        <f t="shared" si="152"/>
        <v>395.53</v>
      </c>
      <c r="R468" s="362"/>
      <c r="S468" s="362"/>
      <c r="T468" s="365"/>
      <c r="U468" s="365"/>
      <c r="V468" s="365"/>
      <c r="W468" s="368"/>
      <c r="X468" s="371"/>
    </row>
    <row r="469" spans="1:32" ht="15.6" x14ac:dyDescent="0.3">
      <c r="A469" s="222">
        <v>43650</v>
      </c>
      <c r="B469" s="295" t="s">
        <v>235</v>
      </c>
      <c r="C469" s="295" t="s">
        <v>232</v>
      </c>
      <c r="D469" s="258" t="s">
        <v>186</v>
      </c>
      <c r="E469">
        <v>2873.81</v>
      </c>
      <c r="F469">
        <v>2744.68</v>
      </c>
      <c r="G469">
        <v>2727.78</v>
      </c>
      <c r="H469">
        <v>2731.85</v>
      </c>
      <c r="I469">
        <v>2836.34</v>
      </c>
      <c r="J469">
        <v>2845.77</v>
      </c>
      <c r="K469">
        <v>2741.03</v>
      </c>
      <c r="L469">
        <v>2734.69</v>
      </c>
      <c r="M469">
        <v>2822.87</v>
      </c>
      <c r="N469">
        <v>2763.39</v>
      </c>
      <c r="O469">
        <v>2739.11</v>
      </c>
      <c r="P469">
        <v>2746.89</v>
      </c>
      <c r="Q469">
        <v>2752.21</v>
      </c>
      <c r="R469" s="360">
        <f>IF((Q470=""),"",MAX(E471:Q471))</f>
        <v>408.29999999999973</v>
      </c>
      <c r="S469" s="360">
        <f>IF(Q470="","",MIN(E471:Q471))</f>
        <v>343.5600000000004</v>
      </c>
      <c r="T469" s="363">
        <f>IF((Q471=""),"",AVERAGE(E471:Q471))</f>
        <v>364.44076923076921</v>
      </c>
      <c r="U469" s="363">
        <f>IF((Q470=""),"",(R469-S469)/(R469+S469)*100)</f>
        <v>8.6106455989145996</v>
      </c>
      <c r="V469" s="363">
        <f>STDEV(E471:Q471)</f>
        <v>25.630786651192956</v>
      </c>
      <c r="W469" s="366" t="str">
        <f>IF(Q470="","",IF(T469&gt;300,IF(U469&lt;14,IF(T469&lt;390,"Pass","Fail"),"Fail"),"Fail"))</f>
        <v>Pass</v>
      </c>
      <c r="X469" s="369" t="s">
        <v>302</v>
      </c>
      <c r="AA469" s="82">
        <v>270</v>
      </c>
      <c r="AB469" s="82">
        <v>370</v>
      </c>
      <c r="AC469" s="82">
        <v>300</v>
      </c>
      <c r="AD469" s="83">
        <v>390</v>
      </c>
      <c r="AE469" s="83">
        <v>20</v>
      </c>
      <c r="AF469" s="83">
        <v>14</v>
      </c>
    </row>
    <row r="470" spans="1:32" ht="15.6" x14ac:dyDescent="0.3">
      <c r="A470" s="222"/>
      <c r="B470" s="259"/>
      <c r="C470" s="259"/>
      <c r="D470" s="258" t="s">
        <v>187</v>
      </c>
      <c r="E470">
        <v>2465.5100000000002</v>
      </c>
      <c r="F470">
        <v>2397.69</v>
      </c>
      <c r="G470">
        <v>2384.2199999999998</v>
      </c>
      <c r="H470">
        <v>2387.5300000000002</v>
      </c>
      <c r="I470">
        <v>2439.4899999999998</v>
      </c>
      <c r="J470">
        <v>2444.5100000000002</v>
      </c>
      <c r="K470">
        <v>2393.23</v>
      </c>
      <c r="L470">
        <v>2389.41</v>
      </c>
      <c r="M470">
        <v>2425.61</v>
      </c>
      <c r="N470">
        <v>2409.61</v>
      </c>
      <c r="O470">
        <v>2391.19</v>
      </c>
      <c r="P470">
        <v>2395.41</v>
      </c>
      <c r="Q470">
        <v>2399.2800000000002</v>
      </c>
      <c r="R470" s="361"/>
      <c r="S470" s="361"/>
      <c r="T470" s="364"/>
      <c r="U470" s="364"/>
      <c r="V470" s="364"/>
      <c r="W470" s="367"/>
      <c r="X470" s="370"/>
    </row>
    <row r="471" spans="1:32" ht="30" x14ac:dyDescent="0.25">
      <c r="A471" s="292"/>
      <c r="B471" s="257"/>
      <c r="C471" s="257"/>
      <c r="D471" s="258" t="s">
        <v>188</v>
      </c>
      <c r="E471" s="260">
        <f t="shared" ref="E471:Q471" si="153">IF(((E469="")*AND(E470="")),"",(E469-E470))</f>
        <v>408.29999999999973</v>
      </c>
      <c r="F471" s="260">
        <f t="shared" si="153"/>
        <v>346.98999999999978</v>
      </c>
      <c r="G471" s="260">
        <f t="shared" si="153"/>
        <v>343.5600000000004</v>
      </c>
      <c r="H471" s="260">
        <f t="shared" si="153"/>
        <v>344.31999999999971</v>
      </c>
      <c r="I471" s="260">
        <f t="shared" si="153"/>
        <v>396.85000000000036</v>
      </c>
      <c r="J471" s="260">
        <f t="shared" si="153"/>
        <v>401.25999999999976</v>
      </c>
      <c r="K471" s="260">
        <f t="shared" si="153"/>
        <v>347.80000000000018</v>
      </c>
      <c r="L471" s="260">
        <f t="shared" si="153"/>
        <v>345.2800000000002</v>
      </c>
      <c r="M471" s="260">
        <f t="shared" si="153"/>
        <v>397.25999999999976</v>
      </c>
      <c r="N471" s="260">
        <f t="shared" si="153"/>
        <v>353.77999999999975</v>
      </c>
      <c r="O471" s="260">
        <f t="shared" si="153"/>
        <v>347.92000000000007</v>
      </c>
      <c r="P471" s="260">
        <f t="shared" si="153"/>
        <v>351.48</v>
      </c>
      <c r="Q471" s="260">
        <f t="shared" si="153"/>
        <v>352.92999999999984</v>
      </c>
      <c r="R471" s="362"/>
      <c r="S471" s="362"/>
      <c r="T471" s="365"/>
      <c r="U471" s="365"/>
      <c r="V471" s="365"/>
      <c r="W471" s="368"/>
      <c r="X471" s="371"/>
    </row>
    <row r="472" spans="1:32" ht="15.6" x14ac:dyDescent="0.3">
      <c r="A472" s="222">
        <v>43654</v>
      </c>
      <c r="B472" s="295" t="s">
        <v>235</v>
      </c>
      <c r="C472" s="295" t="s">
        <v>232</v>
      </c>
      <c r="D472" s="258" t="s">
        <v>186</v>
      </c>
      <c r="E472">
        <v>2880.73</v>
      </c>
      <c r="F472">
        <v>2752.72</v>
      </c>
      <c r="G472">
        <v>2736.25</v>
      </c>
      <c r="H472">
        <v>2740.13</v>
      </c>
      <c r="I472">
        <v>2846.08</v>
      </c>
      <c r="J472">
        <v>2831.65</v>
      </c>
      <c r="K472">
        <v>2744.45</v>
      </c>
      <c r="L472">
        <v>2742.92</v>
      </c>
      <c r="M472">
        <v>2823.39</v>
      </c>
      <c r="N472">
        <v>2762.7</v>
      </c>
      <c r="O472">
        <v>2747.11</v>
      </c>
      <c r="P472">
        <v>2750.53</v>
      </c>
      <c r="Q472">
        <v>2764.51</v>
      </c>
      <c r="R472" s="360">
        <f>IF((Q473=""),"",MAX(E474:Q474))</f>
        <v>389.84000000000015</v>
      </c>
      <c r="S472" s="360">
        <f>IF(Q473="","",MIN(E474:Q474))</f>
        <v>337.80999999999995</v>
      </c>
      <c r="T472" s="363">
        <f>IF((Q474=""),"",AVERAGE(E474:Q474))</f>
        <v>354.28307692307692</v>
      </c>
      <c r="U472" s="363">
        <f>IF((Q473=""),"",(R472-S472)/(R472+S472)*100)</f>
        <v>7.1504157218443192</v>
      </c>
      <c r="V472" s="363">
        <f>STDEV(E474:Q474)</f>
        <v>21.222572646679581</v>
      </c>
      <c r="W472" s="366" t="str">
        <f>IF(Q473="","",IF(T472&gt;300,IF(U472&lt;14,IF(T472&lt;390,"Pass","Fail"),"Fail"),"Fail"))</f>
        <v>Pass</v>
      </c>
      <c r="X472" s="369">
        <v>1335</v>
      </c>
      <c r="AA472" s="82">
        <v>270</v>
      </c>
      <c r="AB472" s="82">
        <v>370</v>
      </c>
      <c r="AC472" s="82">
        <v>300</v>
      </c>
      <c r="AD472" s="83">
        <v>390</v>
      </c>
      <c r="AE472" s="83">
        <v>20</v>
      </c>
      <c r="AF472" s="83">
        <v>14</v>
      </c>
    </row>
    <row r="473" spans="1:32" ht="15.6" x14ac:dyDescent="0.3">
      <c r="A473" s="222"/>
      <c r="B473" s="259"/>
      <c r="C473" s="259"/>
      <c r="D473" s="258" t="s">
        <v>187</v>
      </c>
      <c r="E473">
        <v>2490.89</v>
      </c>
      <c r="F473">
        <v>2413.1999999999998</v>
      </c>
      <c r="G473">
        <v>2398.37</v>
      </c>
      <c r="H473">
        <v>2402.3200000000002</v>
      </c>
      <c r="I473">
        <v>2462.52</v>
      </c>
      <c r="J473">
        <v>2446.66</v>
      </c>
      <c r="K473">
        <v>2405.61</v>
      </c>
      <c r="L473">
        <v>2402.9</v>
      </c>
      <c r="M473">
        <v>2443.6999999999998</v>
      </c>
      <c r="N473">
        <v>2418.2399999999998</v>
      </c>
      <c r="O473">
        <v>2407.5100000000002</v>
      </c>
      <c r="P473">
        <v>2405.48</v>
      </c>
      <c r="Q473">
        <v>2420.09</v>
      </c>
      <c r="R473" s="361"/>
      <c r="S473" s="361"/>
      <c r="T473" s="364"/>
      <c r="U473" s="364"/>
      <c r="V473" s="364"/>
      <c r="W473" s="367"/>
      <c r="X473" s="370"/>
      <c r="Y473" s="11" t="s">
        <v>305</v>
      </c>
    </row>
    <row r="474" spans="1:32" ht="30" x14ac:dyDescent="0.25">
      <c r="A474" s="292"/>
      <c r="B474" s="257"/>
      <c r="C474" s="257"/>
      <c r="D474" s="258" t="s">
        <v>188</v>
      </c>
      <c r="E474" s="260">
        <f t="shared" ref="E474:Q474" si="154">IF(((E472="")*AND(E473="")),"",(E472-E473))</f>
        <v>389.84000000000015</v>
      </c>
      <c r="F474" s="260">
        <f t="shared" si="154"/>
        <v>339.52</v>
      </c>
      <c r="G474" s="260">
        <f t="shared" si="154"/>
        <v>337.88000000000011</v>
      </c>
      <c r="H474" s="260">
        <f t="shared" si="154"/>
        <v>337.80999999999995</v>
      </c>
      <c r="I474" s="260">
        <f t="shared" si="154"/>
        <v>383.55999999999995</v>
      </c>
      <c r="J474" s="260">
        <f t="shared" si="154"/>
        <v>384.99000000000024</v>
      </c>
      <c r="K474" s="260">
        <f t="shared" si="154"/>
        <v>338.83999999999969</v>
      </c>
      <c r="L474" s="260">
        <f t="shared" si="154"/>
        <v>340.02</v>
      </c>
      <c r="M474" s="260">
        <f t="shared" si="154"/>
        <v>379.69000000000005</v>
      </c>
      <c r="N474" s="260">
        <f t="shared" si="154"/>
        <v>344.46000000000004</v>
      </c>
      <c r="O474" s="260">
        <f t="shared" si="154"/>
        <v>339.59999999999991</v>
      </c>
      <c r="P474" s="260">
        <f t="shared" si="154"/>
        <v>345.05000000000018</v>
      </c>
      <c r="Q474" s="260">
        <f t="shared" si="154"/>
        <v>344.42000000000007</v>
      </c>
      <c r="R474" s="362"/>
      <c r="S474" s="362"/>
      <c r="T474" s="365"/>
      <c r="U474" s="365"/>
      <c r="V474" s="365"/>
      <c r="W474" s="368"/>
      <c r="X474" s="371"/>
    </row>
    <row r="475" spans="1:32" ht="15.6" x14ac:dyDescent="0.3">
      <c r="A475" s="222">
        <v>43657</v>
      </c>
      <c r="B475" s="295" t="s">
        <v>235</v>
      </c>
      <c r="C475" s="295" t="s">
        <v>232</v>
      </c>
      <c r="D475" s="258" t="s">
        <v>186</v>
      </c>
      <c r="E475" s="304">
        <v>2870.32</v>
      </c>
      <c r="F475" s="304">
        <v>2748.54</v>
      </c>
      <c r="G475" s="304">
        <v>2729.39</v>
      </c>
      <c r="H475" s="304">
        <v>2735.1</v>
      </c>
      <c r="I475" s="304">
        <v>2837.4</v>
      </c>
      <c r="J475" s="304">
        <v>2848.69</v>
      </c>
      <c r="K475" s="304">
        <v>2741.01</v>
      </c>
      <c r="L475" s="304">
        <v>2733.39</v>
      </c>
      <c r="M475" s="304">
        <v>2823.49</v>
      </c>
      <c r="N475" s="304">
        <v>2761.73</v>
      </c>
      <c r="O475" s="304">
        <v>2742.55</v>
      </c>
      <c r="P475" s="304">
        <v>2745.53</v>
      </c>
      <c r="Q475" s="304">
        <v>2750.25</v>
      </c>
      <c r="R475" s="360">
        <f>IF((Q476=""),"",MAX(E477:Q477))</f>
        <v>403.63000000000011</v>
      </c>
      <c r="S475" s="360">
        <f>IF(Q476="","",MIN(E477:Q477))</f>
        <v>327.86999999999989</v>
      </c>
      <c r="T475" s="363">
        <f>IF((Q477=""),"",AVERAGE(E477:Q477))</f>
        <v>353.42307692307691</v>
      </c>
      <c r="U475" s="363">
        <f>IF((Q476=""),"",(R475-S475)/(R475+S475)*100)</f>
        <v>10.356801093643227</v>
      </c>
      <c r="V475" s="363">
        <f>STDEV(E477:Q477)</f>
        <v>31.330681550363028</v>
      </c>
      <c r="W475" s="366" t="str">
        <f>IF(Q476="","",IF(T475&gt;300,IF(U475&lt;14,IF(T475&lt;390,"Pass","Fail"),"Fail"),"Fail"))</f>
        <v>Pass</v>
      </c>
      <c r="X475" s="369">
        <v>64</v>
      </c>
      <c r="AA475" s="82">
        <v>270</v>
      </c>
      <c r="AB475" s="82">
        <v>370</v>
      </c>
      <c r="AC475" s="82">
        <v>300</v>
      </c>
      <c r="AD475" s="83">
        <v>390</v>
      </c>
      <c r="AE475" s="83">
        <v>20</v>
      </c>
      <c r="AF475" s="83">
        <v>14</v>
      </c>
    </row>
    <row r="476" spans="1:32" ht="15.6" x14ac:dyDescent="0.3">
      <c r="A476" s="222"/>
      <c r="B476" s="259"/>
      <c r="C476" s="259"/>
      <c r="D476" s="258" t="s">
        <v>187</v>
      </c>
      <c r="E476" s="304">
        <v>2470.08</v>
      </c>
      <c r="F476" s="304">
        <v>2414.27</v>
      </c>
      <c r="G476" s="304">
        <v>2401.52</v>
      </c>
      <c r="H476" s="304">
        <v>2402.41</v>
      </c>
      <c r="I476" s="304">
        <v>2442.16</v>
      </c>
      <c r="J476" s="304">
        <v>2445.06</v>
      </c>
      <c r="K476" s="304">
        <v>2408.5</v>
      </c>
      <c r="L476" s="304">
        <v>2403.29</v>
      </c>
      <c r="M476" s="304">
        <v>2429.2800000000002</v>
      </c>
      <c r="N476" s="304">
        <v>2425.5500000000002</v>
      </c>
      <c r="O476" s="304">
        <v>2407.0100000000002</v>
      </c>
      <c r="P476" s="304">
        <v>2409.59</v>
      </c>
      <c r="Q476" s="304">
        <v>2414.17</v>
      </c>
      <c r="R476" s="361"/>
      <c r="S476" s="361"/>
      <c r="T476" s="364"/>
      <c r="U476" s="364"/>
      <c r="V476" s="364"/>
      <c r="W476" s="367"/>
      <c r="X476" s="370"/>
      <c r="Y476" s="11" t="s">
        <v>305</v>
      </c>
    </row>
    <row r="477" spans="1:32" ht="30" x14ac:dyDescent="0.25">
      <c r="A477" s="292"/>
      <c r="B477" s="257"/>
      <c r="C477" s="257"/>
      <c r="D477" s="258" t="s">
        <v>188</v>
      </c>
      <c r="E477" s="260">
        <f t="shared" ref="E477:Q477" si="155">IF(((E475="")*AND(E476="")),"",(E475-E476))</f>
        <v>400.24000000000024</v>
      </c>
      <c r="F477" s="260">
        <f t="shared" si="155"/>
        <v>334.27</v>
      </c>
      <c r="G477" s="260">
        <f t="shared" si="155"/>
        <v>327.86999999999989</v>
      </c>
      <c r="H477" s="260">
        <f t="shared" si="155"/>
        <v>332.69000000000005</v>
      </c>
      <c r="I477" s="260">
        <f t="shared" si="155"/>
        <v>395.24000000000024</v>
      </c>
      <c r="J477" s="260">
        <f t="shared" si="155"/>
        <v>403.63000000000011</v>
      </c>
      <c r="K477" s="260">
        <f t="shared" si="155"/>
        <v>332.51000000000022</v>
      </c>
      <c r="L477" s="260">
        <f t="shared" si="155"/>
        <v>330.09999999999991</v>
      </c>
      <c r="M477" s="260">
        <f t="shared" si="155"/>
        <v>394.20999999999958</v>
      </c>
      <c r="N477" s="260">
        <f t="shared" si="155"/>
        <v>336.17999999999984</v>
      </c>
      <c r="O477" s="260">
        <f t="shared" si="155"/>
        <v>335.53999999999996</v>
      </c>
      <c r="P477" s="260">
        <f t="shared" si="155"/>
        <v>335.94000000000005</v>
      </c>
      <c r="Q477" s="260">
        <f t="shared" si="155"/>
        <v>336.07999999999993</v>
      </c>
      <c r="R477" s="362"/>
      <c r="S477" s="362"/>
      <c r="T477" s="365"/>
      <c r="U477" s="365"/>
      <c r="V477" s="365"/>
      <c r="W477" s="368"/>
      <c r="X477" s="371"/>
    </row>
    <row r="478" spans="1:32" ht="15.6" x14ac:dyDescent="0.3">
      <c r="A478" s="222">
        <v>43660</v>
      </c>
      <c r="B478" s="295" t="s">
        <v>235</v>
      </c>
      <c r="C478" s="295" t="s">
        <v>232</v>
      </c>
      <c r="D478" s="258" t="s">
        <v>186</v>
      </c>
      <c r="E478">
        <v>2885.59</v>
      </c>
      <c r="F478">
        <v>2764.05</v>
      </c>
      <c r="G478">
        <v>2747.37</v>
      </c>
      <c r="H478">
        <v>2753.29</v>
      </c>
      <c r="I478">
        <v>2858.03</v>
      </c>
      <c r="J478">
        <v>2839.99</v>
      </c>
      <c r="K478">
        <v>2755.07</v>
      </c>
      <c r="L478">
        <v>2753.16</v>
      </c>
      <c r="M478">
        <v>2833.77</v>
      </c>
      <c r="N478">
        <v>2774.52</v>
      </c>
      <c r="O478">
        <v>2760.24</v>
      </c>
      <c r="P478">
        <v>2760.84</v>
      </c>
      <c r="Q478">
        <v>2772.1</v>
      </c>
      <c r="R478" s="360">
        <f>IF((Q479=""),"",MAX(E480:Q480))</f>
        <v>384.02</v>
      </c>
      <c r="S478" s="360">
        <f>IF(Q479="","",MIN(E480:Q480))</f>
        <v>330.75</v>
      </c>
      <c r="T478" s="363">
        <f>IF((Q480=""),"",AVERAGE(E480:Q480))</f>
        <v>348.59153846153851</v>
      </c>
      <c r="U478" s="363">
        <f>IF((Q479=""),"",(R478-S478)/(R478+S478)*100)</f>
        <v>7.4527470375085674</v>
      </c>
      <c r="V478" s="363">
        <f>STDEV(E480:Q480)</f>
        <v>22.250055747553329</v>
      </c>
      <c r="W478" s="366" t="str">
        <f>IF(Q479="","",IF(T478&gt;300,IF(U478&lt;14,IF(T478&lt;390,"Pass","Fail"),"Fail"),"Fail"))</f>
        <v>Pass</v>
      </c>
      <c r="X478" s="369">
        <v>74</v>
      </c>
      <c r="Y478" s="10" t="s">
        <v>307</v>
      </c>
      <c r="AA478" s="82">
        <v>270</v>
      </c>
      <c r="AB478" s="82">
        <v>370</v>
      </c>
      <c r="AC478" s="82">
        <v>300</v>
      </c>
      <c r="AD478" s="83">
        <v>390</v>
      </c>
      <c r="AE478" s="83">
        <v>20</v>
      </c>
      <c r="AF478" s="83">
        <v>14</v>
      </c>
    </row>
    <row r="479" spans="1:32" ht="15.6" x14ac:dyDescent="0.3">
      <c r="A479" s="222"/>
      <c r="B479" s="259"/>
      <c r="C479" s="259"/>
      <c r="D479" s="258" t="s">
        <v>187</v>
      </c>
      <c r="E479">
        <v>2504.09</v>
      </c>
      <c r="F479">
        <v>2430.6799999999998</v>
      </c>
      <c r="G479">
        <v>2416.62</v>
      </c>
      <c r="H479">
        <v>2418.48</v>
      </c>
      <c r="I479">
        <v>2481.5100000000002</v>
      </c>
      <c r="J479">
        <v>2455.9699999999998</v>
      </c>
      <c r="K479">
        <v>2423.5500000000002</v>
      </c>
      <c r="L479">
        <v>2422.31</v>
      </c>
      <c r="M479">
        <v>2454.25</v>
      </c>
      <c r="N479">
        <v>2436.87</v>
      </c>
      <c r="O479">
        <v>2423.0100000000002</v>
      </c>
      <c r="P479">
        <v>2424.65</v>
      </c>
      <c r="Q479">
        <v>2434.34</v>
      </c>
      <c r="R479" s="361"/>
      <c r="S479" s="361"/>
      <c r="T479" s="364"/>
      <c r="U479" s="364"/>
      <c r="V479" s="364"/>
      <c r="W479" s="367"/>
      <c r="X479" s="370"/>
    </row>
    <row r="480" spans="1:32" ht="30" x14ac:dyDescent="0.25">
      <c r="A480" s="292"/>
      <c r="B480" s="257"/>
      <c r="C480" s="257"/>
      <c r="D480" s="258" t="s">
        <v>188</v>
      </c>
      <c r="E480" s="260">
        <f t="shared" ref="E480:Q480" si="156">IF(((E478="")*AND(E479="")),"",(E478-E479))</f>
        <v>381.5</v>
      </c>
      <c r="F480" s="260">
        <f t="shared" si="156"/>
        <v>333.37000000000035</v>
      </c>
      <c r="G480" s="260">
        <f t="shared" si="156"/>
        <v>330.75</v>
      </c>
      <c r="H480" s="260">
        <f t="shared" si="156"/>
        <v>334.80999999999995</v>
      </c>
      <c r="I480" s="260">
        <f t="shared" si="156"/>
        <v>376.52</v>
      </c>
      <c r="J480" s="260">
        <f t="shared" si="156"/>
        <v>384.02</v>
      </c>
      <c r="K480" s="260">
        <f t="shared" si="156"/>
        <v>331.52</v>
      </c>
      <c r="L480" s="260">
        <f t="shared" si="156"/>
        <v>330.84999999999991</v>
      </c>
      <c r="M480" s="260">
        <f t="shared" si="156"/>
        <v>379.52</v>
      </c>
      <c r="N480" s="260">
        <f t="shared" si="156"/>
        <v>337.65000000000009</v>
      </c>
      <c r="O480" s="260">
        <f t="shared" si="156"/>
        <v>337.22999999999956</v>
      </c>
      <c r="P480" s="260">
        <f t="shared" si="156"/>
        <v>336.19000000000005</v>
      </c>
      <c r="Q480" s="260">
        <f t="shared" si="156"/>
        <v>337.75999999999976</v>
      </c>
      <c r="R480" s="362"/>
      <c r="S480" s="362"/>
      <c r="T480" s="365"/>
      <c r="U480" s="365"/>
      <c r="V480" s="365"/>
      <c r="W480" s="368"/>
      <c r="X480" s="371"/>
    </row>
    <row r="481" spans="1:32" ht="15.6" x14ac:dyDescent="0.3">
      <c r="A481" s="222">
        <v>43663</v>
      </c>
      <c r="B481" s="295" t="s">
        <v>235</v>
      </c>
      <c r="C481" s="295" t="s">
        <v>232</v>
      </c>
      <c r="D481" s="258" t="s">
        <v>186</v>
      </c>
      <c r="E481">
        <v>2894.56</v>
      </c>
      <c r="F481">
        <v>2773.17</v>
      </c>
      <c r="G481">
        <v>2760.59</v>
      </c>
      <c r="H481">
        <v>2761.12</v>
      </c>
      <c r="I481">
        <v>2867.86</v>
      </c>
      <c r="J481">
        <v>2859.09</v>
      </c>
      <c r="K481">
        <v>2762.04</v>
      </c>
      <c r="L481">
        <v>2770.76</v>
      </c>
      <c r="M481">
        <v>2852.98</v>
      </c>
      <c r="N481">
        <v>2781.98</v>
      </c>
      <c r="O481">
        <v>2770.28</v>
      </c>
      <c r="P481">
        <v>2772.88</v>
      </c>
      <c r="Q481">
        <v>2784.01</v>
      </c>
      <c r="R481" s="360">
        <f>IF((Q482=""),"",MAX(E483:Q483))</f>
        <v>385.30999999999995</v>
      </c>
      <c r="S481" s="360">
        <f>IF(Q482="","",MIN(E483:Q483))</f>
        <v>332.48999999999978</v>
      </c>
      <c r="T481" s="363">
        <f>IF((Q483=""),"",AVERAGE(E483:Q483))</f>
        <v>351.323076923077</v>
      </c>
      <c r="U481" s="363">
        <f>IF((Q482=""),"",(R481-S481)/(R481+S481)*100)</f>
        <v>7.3585957091111984</v>
      </c>
      <c r="V481" s="363">
        <f>STDEV(E483:Q483)</f>
        <v>21.568687714916518</v>
      </c>
      <c r="W481" s="366" t="str">
        <f>IF(Q482="","",IF(T481&gt;300,IF(U481&lt;14,IF(T481&lt;390,"Pass","Fail"),"Fail"),"Fail"))</f>
        <v>Pass</v>
      </c>
      <c r="X481" s="369">
        <v>1335</v>
      </c>
      <c r="Y481" s="10" t="s">
        <v>309</v>
      </c>
      <c r="AA481" s="82">
        <v>270</v>
      </c>
      <c r="AB481" s="82">
        <v>370</v>
      </c>
      <c r="AC481" s="82">
        <v>300</v>
      </c>
      <c r="AD481" s="83">
        <v>390</v>
      </c>
      <c r="AE481" s="83">
        <v>20</v>
      </c>
      <c r="AF481" s="83">
        <v>14</v>
      </c>
    </row>
    <row r="482" spans="1:32" ht="15.6" x14ac:dyDescent="0.3">
      <c r="A482" s="222"/>
      <c r="B482" s="259"/>
      <c r="C482" s="259"/>
      <c r="D482" s="258" t="s">
        <v>187</v>
      </c>
      <c r="E482">
        <v>2512.31</v>
      </c>
      <c r="F482">
        <v>2438.19</v>
      </c>
      <c r="G482">
        <v>2423.96</v>
      </c>
      <c r="H482">
        <v>2424.8000000000002</v>
      </c>
      <c r="I482">
        <v>2487.15</v>
      </c>
      <c r="J482">
        <v>2473.7800000000002</v>
      </c>
      <c r="K482">
        <v>2429.5500000000002</v>
      </c>
      <c r="L482">
        <v>2424.8200000000002</v>
      </c>
      <c r="M482">
        <v>2473.4899999999998</v>
      </c>
      <c r="N482">
        <v>2444.8000000000002</v>
      </c>
      <c r="O482">
        <v>2427.71</v>
      </c>
      <c r="P482">
        <v>2433.4</v>
      </c>
      <c r="Q482">
        <v>2450.16</v>
      </c>
      <c r="R482" s="361"/>
      <c r="S482" s="361"/>
      <c r="T482" s="364"/>
      <c r="U482" s="364"/>
      <c r="V482" s="364"/>
      <c r="W482" s="367"/>
      <c r="X482" s="370"/>
    </row>
    <row r="483" spans="1:32" ht="30" x14ac:dyDescent="0.25">
      <c r="A483" s="292"/>
      <c r="B483" s="257"/>
      <c r="C483" s="257"/>
      <c r="D483" s="258" t="s">
        <v>188</v>
      </c>
      <c r="E483" s="260">
        <f t="shared" ref="E483:Q483" si="157">IF(((E481="")*AND(E482="")),"",(E481-E482))</f>
        <v>382.25</v>
      </c>
      <c r="F483" s="260">
        <f t="shared" si="157"/>
        <v>334.98</v>
      </c>
      <c r="G483" s="260">
        <f t="shared" si="157"/>
        <v>336.63000000000011</v>
      </c>
      <c r="H483" s="260">
        <f t="shared" si="157"/>
        <v>336.31999999999971</v>
      </c>
      <c r="I483" s="260">
        <f t="shared" si="157"/>
        <v>380.71000000000004</v>
      </c>
      <c r="J483" s="260">
        <f t="shared" si="157"/>
        <v>385.30999999999995</v>
      </c>
      <c r="K483" s="260">
        <f t="shared" si="157"/>
        <v>332.48999999999978</v>
      </c>
      <c r="L483" s="260">
        <f t="shared" si="157"/>
        <v>345.94000000000005</v>
      </c>
      <c r="M483" s="260">
        <f t="shared" si="157"/>
        <v>379.49000000000024</v>
      </c>
      <c r="N483" s="260">
        <f t="shared" si="157"/>
        <v>337.17999999999984</v>
      </c>
      <c r="O483" s="260">
        <f t="shared" si="157"/>
        <v>342.57000000000016</v>
      </c>
      <c r="P483" s="260">
        <f t="shared" si="157"/>
        <v>339.48</v>
      </c>
      <c r="Q483" s="260">
        <f t="shared" si="157"/>
        <v>333.85000000000036</v>
      </c>
      <c r="R483" s="362"/>
      <c r="S483" s="362"/>
      <c r="T483" s="365"/>
      <c r="U483" s="365"/>
      <c r="V483" s="365"/>
      <c r="W483" s="368"/>
      <c r="X483" s="371"/>
    </row>
    <row r="484" spans="1:32" ht="15.6" x14ac:dyDescent="0.3">
      <c r="A484" s="222">
        <v>43668</v>
      </c>
      <c r="B484" s="295" t="s">
        <v>235</v>
      </c>
      <c r="C484" s="295" t="s">
        <v>232</v>
      </c>
      <c r="D484" s="258" t="s">
        <v>186</v>
      </c>
      <c r="E484">
        <v>2888.93</v>
      </c>
      <c r="F484">
        <v>2767.08</v>
      </c>
      <c r="G484">
        <v>2752.26</v>
      </c>
      <c r="H484">
        <v>2760.07</v>
      </c>
      <c r="I484">
        <v>2866.07</v>
      </c>
      <c r="J484">
        <v>2847.66</v>
      </c>
      <c r="K484">
        <v>2755.74</v>
      </c>
      <c r="L484">
        <v>2762.72</v>
      </c>
      <c r="M484">
        <v>2843.1</v>
      </c>
      <c r="N484">
        <v>2779.74</v>
      </c>
      <c r="O484">
        <v>2765.24</v>
      </c>
      <c r="P484">
        <v>2766.54</v>
      </c>
      <c r="Q484">
        <v>2777.36</v>
      </c>
      <c r="R484" s="360">
        <f>IF((Q485=""),"",MAX(E486:Q486))</f>
        <v>378.0300000000002</v>
      </c>
      <c r="S484" s="360">
        <f>IF(Q485="","",MIN(E486:Q486))</f>
        <v>326.40999999999985</v>
      </c>
      <c r="T484" s="363">
        <f>IF((Q486=""),"",AVERAGE(E486:Q486))</f>
        <v>344.88307692307689</v>
      </c>
      <c r="U484" s="363">
        <f>IF((Q485=""),"",(R484-S484)/(R484+S484)*100)</f>
        <v>7.3278064845835473</v>
      </c>
      <c r="V484" s="363">
        <f>STDEV(E486:Q486)</f>
        <v>22.263256494582951</v>
      </c>
      <c r="W484" s="366" t="str">
        <f>IF(Q485="","",IF(T484&gt;300,IF(U484&lt;14,IF(T484&lt;390,"Pass","Fail"),"Fail"),"Fail"))</f>
        <v>Pass</v>
      </c>
      <c r="X484" s="369">
        <v>1340</v>
      </c>
      <c r="AA484" s="82">
        <v>270</v>
      </c>
      <c r="AB484" s="82">
        <v>370</v>
      </c>
      <c r="AC484" s="82">
        <v>300</v>
      </c>
      <c r="AD484" s="83">
        <v>390</v>
      </c>
      <c r="AE484" s="83">
        <v>20</v>
      </c>
      <c r="AF484" s="83">
        <v>14</v>
      </c>
    </row>
    <row r="485" spans="1:32" ht="15.6" x14ac:dyDescent="0.3">
      <c r="A485" s="222"/>
      <c r="B485" s="259"/>
      <c r="C485" s="259"/>
      <c r="D485" s="258" t="s">
        <v>187</v>
      </c>
      <c r="E485">
        <v>2513.6799999999998</v>
      </c>
      <c r="F485">
        <v>2438.4899999999998</v>
      </c>
      <c r="G485">
        <v>2420.58</v>
      </c>
      <c r="H485">
        <v>2427.61</v>
      </c>
      <c r="I485">
        <v>2488.04</v>
      </c>
      <c r="J485">
        <v>2470.4899999999998</v>
      </c>
      <c r="K485">
        <v>2429.33</v>
      </c>
      <c r="L485">
        <v>2434.34</v>
      </c>
      <c r="M485">
        <v>2466.5500000000002</v>
      </c>
      <c r="N485">
        <v>2444.66</v>
      </c>
      <c r="O485">
        <v>2431.79</v>
      </c>
      <c r="P485">
        <v>2439.23</v>
      </c>
      <c r="Q485">
        <v>2444.2399999999998</v>
      </c>
      <c r="R485" s="361"/>
      <c r="S485" s="361"/>
      <c r="T485" s="364"/>
      <c r="U485" s="364"/>
      <c r="V485" s="364"/>
      <c r="W485" s="367"/>
      <c r="X485" s="370"/>
    </row>
    <row r="486" spans="1:32" ht="30" x14ac:dyDescent="0.25">
      <c r="A486" s="292"/>
      <c r="B486" s="257"/>
      <c r="C486" s="257"/>
      <c r="D486" s="258" t="s">
        <v>188</v>
      </c>
      <c r="E486" s="260">
        <f t="shared" ref="E486:Q486" si="158">IF(((E484="")*AND(E485="")),"",(E484-E485))</f>
        <v>375.25</v>
      </c>
      <c r="F486" s="260">
        <f t="shared" si="158"/>
        <v>328.59000000000015</v>
      </c>
      <c r="G486" s="260">
        <f t="shared" si="158"/>
        <v>331.68000000000029</v>
      </c>
      <c r="H486" s="260">
        <f t="shared" si="158"/>
        <v>332.46000000000004</v>
      </c>
      <c r="I486" s="260">
        <f t="shared" si="158"/>
        <v>378.0300000000002</v>
      </c>
      <c r="J486" s="260">
        <f t="shared" si="158"/>
        <v>377.17000000000007</v>
      </c>
      <c r="K486" s="260">
        <f t="shared" si="158"/>
        <v>326.40999999999985</v>
      </c>
      <c r="L486" s="260">
        <f t="shared" si="158"/>
        <v>328.37999999999965</v>
      </c>
      <c r="M486" s="260">
        <f t="shared" si="158"/>
        <v>376.54999999999973</v>
      </c>
      <c r="N486" s="260">
        <f t="shared" si="158"/>
        <v>335.07999999999993</v>
      </c>
      <c r="O486" s="260">
        <f t="shared" si="158"/>
        <v>333.44999999999982</v>
      </c>
      <c r="P486" s="260">
        <f t="shared" si="158"/>
        <v>327.30999999999995</v>
      </c>
      <c r="Q486" s="260">
        <f t="shared" si="158"/>
        <v>333.12000000000035</v>
      </c>
      <c r="R486" s="362"/>
      <c r="S486" s="362"/>
      <c r="T486" s="365"/>
      <c r="U486" s="365"/>
      <c r="V486" s="365"/>
      <c r="W486" s="368"/>
      <c r="X486" s="371"/>
    </row>
    <row r="487" spans="1:32" ht="15.6" x14ac:dyDescent="0.3">
      <c r="A487" s="278">
        <v>43671</v>
      </c>
      <c r="B487" s="295" t="s">
        <v>235</v>
      </c>
      <c r="C487" s="295" t="s">
        <v>232</v>
      </c>
      <c r="D487" s="258" t="s">
        <v>186</v>
      </c>
      <c r="E487">
        <v>2880.15</v>
      </c>
      <c r="F487">
        <v>2780.78</v>
      </c>
      <c r="G487">
        <v>2771.97</v>
      </c>
      <c r="H487">
        <v>2788.67</v>
      </c>
      <c r="I487">
        <v>2902.5</v>
      </c>
      <c r="J487">
        <v>2859.68</v>
      </c>
      <c r="K487">
        <v>2783.19</v>
      </c>
      <c r="L487">
        <v>2784.33</v>
      </c>
      <c r="M487">
        <v>2861.84</v>
      </c>
      <c r="N487">
        <v>2789.06</v>
      </c>
      <c r="O487">
        <v>2799.08</v>
      </c>
      <c r="P487">
        <v>2801.11</v>
      </c>
      <c r="Q487">
        <v>2789.43</v>
      </c>
      <c r="R487" s="360">
        <f>IF((Q488=""),"",MAX(E489:Q489))</f>
        <v>393.04999999999973</v>
      </c>
      <c r="S487" s="360">
        <f>IF(Q488="","",MIN(E489:Q489))</f>
        <v>341.4699999999998</v>
      </c>
      <c r="T487" s="363">
        <f>IF((Q489=""),"",AVERAGE(E489:Q489))</f>
        <v>358.63692307692298</v>
      </c>
      <c r="U487" s="363">
        <f>IF((Q488=""),"",(R487-S487)/(R487+S487)*100)</f>
        <v>7.022273049066051</v>
      </c>
      <c r="V487" s="363">
        <f>STDEV(E489:Q489)</f>
        <v>19.381734263912648</v>
      </c>
      <c r="W487" s="366" t="str">
        <f>IF(Q488="","",IF(T487&gt;300,IF(U487&lt;14,IF(T487&lt;390,"Pass","Fail"),"Fail"),"Fail"))</f>
        <v>Pass</v>
      </c>
      <c r="X487" s="369">
        <v>1340</v>
      </c>
      <c r="Y487" s="10" t="s">
        <v>311</v>
      </c>
      <c r="AA487" s="82">
        <v>270</v>
      </c>
      <c r="AB487" s="82">
        <v>370</v>
      </c>
      <c r="AC487" s="82">
        <v>300</v>
      </c>
      <c r="AD487" s="83">
        <v>390</v>
      </c>
      <c r="AE487" s="83">
        <v>20</v>
      </c>
      <c r="AF487" s="83">
        <v>14</v>
      </c>
    </row>
    <row r="488" spans="1:32" ht="15.6" x14ac:dyDescent="0.3">
      <c r="A488" s="222"/>
      <c r="B488" s="259"/>
      <c r="C488" s="259"/>
      <c r="D488" s="258" t="s">
        <v>187</v>
      </c>
      <c r="E488">
        <v>2492.79</v>
      </c>
      <c r="F488">
        <v>2434.63</v>
      </c>
      <c r="G488">
        <v>2430.5</v>
      </c>
      <c r="H488">
        <v>2443.5500000000002</v>
      </c>
      <c r="I488">
        <v>2519.37</v>
      </c>
      <c r="J488">
        <v>2466.63</v>
      </c>
      <c r="K488">
        <v>2437.5300000000002</v>
      </c>
      <c r="L488">
        <v>2436.5300000000002</v>
      </c>
      <c r="M488">
        <v>2480.6</v>
      </c>
      <c r="N488">
        <v>2441.9</v>
      </c>
      <c r="O488">
        <v>2450.56</v>
      </c>
      <c r="P488">
        <v>2453.15</v>
      </c>
      <c r="Q488">
        <v>2441.77</v>
      </c>
      <c r="R488" s="361"/>
      <c r="S488" s="361"/>
      <c r="T488" s="364"/>
      <c r="U488" s="364"/>
      <c r="V488" s="364"/>
      <c r="W488" s="367"/>
      <c r="X488" s="370"/>
    </row>
    <row r="489" spans="1:32" ht="30" x14ac:dyDescent="0.25">
      <c r="A489" s="292"/>
      <c r="B489" s="257"/>
      <c r="C489" s="257"/>
      <c r="D489" s="258" t="s">
        <v>188</v>
      </c>
      <c r="E489" s="260">
        <f t="shared" ref="E489:Q489" si="159">IF(((E487="")*AND(E488="")),"",(E487-E488))</f>
        <v>387.36000000000013</v>
      </c>
      <c r="F489" s="260">
        <f t="shared" si="159"/>
        <v>346.15000000000009</v>
      </c>
      <c r="G489" s="260">
        <f t="shared" si="159"/>
        <v>341.4699999999998</v>
      </c>
      <c r="H489" s="260">
        <f t="shared" si="159"/>
        <v>345.11999999999989</v>
      </c>
      <c r="I489" s="260">
        <f t="shared" si="159"/>
        <v>383.13000000000011</v>
      </c>
      <c r="J489" s="260">
        <f t="shared" si="159"/>
        <v>393.04999999999973</v>
      </c>
      <c r="K489" s="260">
        <f t="shared" si="159"/>
        <v>345.65999999999985</v>
      </c>
      <c r="L489" s="260">
        <f t="shared" si="159"/>
        <v>347.79999999999973</v>
      </c>
      <c r="M489" s="260">
        <f t="shared" si="159"/>
        <v>381.24000000000024</v>
      </c>
      <c r="N489" s="260">
        <f t="shared" si="159"/>
        <v>347.15999999999985</v>
      </c>
      <c r="O489" s="260">
        <f t="shared" si="159"/>
        <v>348.52</v>
      </c>
      <c r="P489" s="260">
        <f t="shared" si="159"/>
        <v>347.96000000000004</v>
      </c>
      <c r="Q489" s="260">
        <f t="shared" si="159"/>
        <v>347.65999999999985</v>
      </c>
      <c r="R489" s="362"/>
      <c r="S489" s="362"/>
      <c r="T489" s="365"/>
      <c r="U489" s="365"/>
      <c r="V489" s="365"/>
      <c r="W489" s="368"/>
      <c r="X489" s="371"/>
    </row>
    <row r="490" spans="1:32" ht="15.6" x14ac:dyDescent="0.3">
      <c r="A490" s="278">
        <v>43675</v>
      </c>
      <c r="B490" s="295" t="s">
        <v>235</v>
      </c>
      <c r="C490" s="295" t="s">
        <v>232</v>
      </c>
      <c r="D490" s="258" t="s">
        <v>186</v>
      </c>
      <c r="E490">
        <v>2875.84</v>
      </c>
      <c r="F490">
        <v>2786.27</v>
      </c>
      <c r="G490">
        <v>2776.41</v>
      </c>
      <c r="H490">
        <v>2789.46</v>
      </c>
      <c r="I490">
        <v>2900.66</v>
      </c>
      <c r="J490">
        <v>2859.16</v>
      </c>
      <c r="K490">
        <v>2787.49</v>
      </c>
      <c r="L490">
        <v>2785.77</v>
      </c>
      <c r="M490">
        <v>2867.07</v>
      </c>
      <c r="N490">
        <v>2790.84</v>
      </c>
      <c r="O490">
        <v>2800.95</v>
      </c>
      <c r="P490">
        <v>2804.72</v>
      </c>
      <c r="Q490">
        <v>2792.52</v>
      </c>
      <c r="R490" s="360">
        <f>IF((Q491=""),"",MAX(E492:Q492))</f>
        <v>386.83999999999969</v>
      </c>
      <c r="S490" s="360">
        <f>IF(Q491="","",MIN(E492:Q492))</f>
        <v>336.96000000000004</v>
      </c>
      <c r="T490" s="363">
        <f>IF((Q492=""),"",AVERAGE(E492:Q492))</f>
        <v>354.02846153846144</v>
      </c>
      <c r="U490" s="363">
        <f>IF((Q491=""),"",(R490-S490)/(R490+S490)*100)</f>
        <v>6.8914064658745051</v>
      </c>
      <c r="V490" s="363">
        <f>STDEV(E492:Q492)</f>
        <v>20.599751958924926</v>
      </c>
      <c r="W490" s="366" t="str">
        <f>IF(Q491="","",IF(T490&gt;300,IF(U490&lt;14,IF(T490&lt;390,"Pass","Fail"),"Fail"),"Fail"))</f>
        <v>Pass</v>
      </c>
      <c r="X490" s="369">
        <v>1159</v>
      </c>
      <c r="Y490" s="10" t="s">
        <v>314</v>
      </c>
      <c r="AA490" s="82">
        <v>270</v>
      </c>
      <c r="AB490" s="82">
        <v>370</v>
      </c>
      <c r="AC490" s="82">
        <v>300</v>
      </c>
      <c r="AD490" s="83">
        <v>390</v>
      </c>
      <c r="AE490" s="83">
        <v>20</v>
      </c>
      <c r="AF490" s="83">
        <v>14</v>
      </c>
    </row>
    <row r="491" spans="1:32" ht="15.6" x14ac:dyDescent="0.3">
      <c r="A491" s="222"/>
      <c r="B491" s="259"/>
      <c r="C491" s="259"/>
      <c r="D491" s="258" t="s">
        <v>187</v>
      </c>
      <c r="E491">
        <v>2495.64</v>
      </c>
      <c r="F491">
        <v>2445.9</v>
      </c>
      <c r="G491">
        <v>2438.81</v>
      </c>
      <c r="H491">
        <v>2452.5</v>
      </c>
      <c r="I491">
        <v>2518.77</v>
      </c>
      <c r="J491">
        <v>2472.3200000000002</v>
      </c>
      <c r="K491">
        <v>2449.0300000000002</v>
      </c>
      <c r="L491">
        <v>2445.5</v>
      </c>
      <c r="M491">
        <v>2482.44</v>
      </c>
      <c r="N491">
        <v>2450.7399999999998</v>
      </c>
      <c r="O491">
        <v>2456.6799999999998</v>
      </c>
      <c r="P491">
        <v>2459.37</v>
      </c>
      <c r="Q491">
        <v>2447.09</v>
      </c>
      <c r="R491" s="361"/>
      <c r="S491" s="361"/>
      <c r="T491" s="364"/>
      <c r="U491" s="364"/>
      <c r="V491" s="364"/>
      <c r="W491" s="367"/>
      <c r="X491" s="370"/>
    </row>
    <row r="492" spans="1:32" ht="30" x14ac:dyDescent="0.25">
      <c r="A492" s="292"/>
      <c r="B492" s="257"/>
      <c r="C492" s="257"/>
      <c r="D492" s="258" t="s">
        <v>188</v>
      </c>
      <c r="E492" s="260">
        <f t="shared" ref="E492:Q492" si="160">IF(((E490="")*AND(E491="")),"",(E490-E491))</f>
        <v>380.20000000000027</v>
      </c>
      <c r="F492" s="260">
        <f t="shared" si="160"/>
        <v>340.36999999999989</v>
      </c>
      <c r="G492" s="260">
        <f t="shared" si="160"/>
        <v>337.59999999999991</v>
      </c>
      <c r="H492" s="260">
        <f t="shared" si="160"/>
        <v>336.96000000000004</v>
      </c>
      <c r="I492" s="260">
        <f t="shared" si="160"/>
        <v>381.88999999999987</v>
      </c>
      <c r="J492" s="260">
        <f t="shared" si="160"/>
        <v>386.83999999999969</v>
      </c>
      <c r="K492" s="260">
        <f t="shared" si="160"/>
        <v>338.45999999999958</v>
      </c>
      <c r="L492" s="260">
        <f t="shared" si="160"/>
        <v>340.27</v>
      </c>
      <c r="M492" s="260">
        <f t="shared" si="160"/>
        <v>384.63000000000011</v>
      </c>
      <c r="N492" s="260">
        <f t="shared" si="160"/>
        <v>340.10000000000036</v>
      </c>
      <c r="O492" s="260">
        <f t="shared" si="160"/>
        <v>344.27</v>
      </c>
      <c r="P492" s="260">
        <f t="shared" si="160"/>
        <v>345.34999999999991</v>
      </c>
      <c r="Q492" s="260">
        <f t="shared" si="160"/>
        <v>345.42999999999984</v>
      </c>
      <c r="R492" s="362"/>
      <c r="S492" s="362"/>
      <c r="T492" s="365"/>
      <c r="U492" s="365"/>
      <c r="V492" s="365"/>
      <c r="W492" s="368"/>
      <c r="X492" s="371"/>
    </row>
    <row r="493" spans="1:32" ht="15.6" x14ac:dyDescent="0.3">
      <c r="A493" s="278">
        <v>43678</v>
      </c>
      <c r="B493" s="295" t="s">
        <v>235</v>
      </c>
      <c r="C493" s="295" t="s">
        <v>232</v>
      </c>
      <c r="D493" s="258" t="s">
        <v>186</v>
      </c>
      <c r="E493">
        <v>2878.51</v>
      </c>
      <c r="F493">
        <v>2779.23</v>
      </c>
      <c r="G493">
        <v>2770.8</v>
      </c>
      <c r="H493">
        <v>2790.45</v>
      </c>
      <c r="I493">
        <v>2891.2</v>
      </c>
      <c r="J493">
        <v>2851.56</v>
      </c>
      <c r="K493">
        <v>2781.63</v>
      </c>
      <c r="L493">
        <v>2779.72</v>
      </c>
      <c r="M493">
        <v>2857.58</v>
      </c>
      <c r="N493">
        <v>2790.11</v>
      </c>
      <c r="O493">
        <v>2798.43</v>
      </c>
      <c r="P493">
        <v>2799.41</v>
      </c>
      <c r="Q493">
        <v>2790.26</v>
      </c>
      <c r="R493" s="360">
        <f>IF((Q494=""),"",MAX(E495:Q495))</f>
        <v>387.46000000000004</v>
      </c>
      <c r="S493" s="360">
        <f>IF(Q494="","",MIN(E495:Q495))</f>
        <v>333.5</v>
      </c>
      <c r="T493" s="363">
        <f>IF((Q495=""),"",AVERAGE(E495:Q495))</f>
        <v>353.48384615384606</v>
      </c>
      <c r="U493" s="363">
        <f>IF((Q494=""),"",(R493-S493)/(R493+S493)*100)</f>
        <v>7.4844651575676924</v>
      </c>
      <c r="V493" s="363">
        <f>STDEV(E495:Q495)</f>
        <v>20.10649875805564</v>
      </c>
      <c r="W493" s="366" t="str">
        <f>IF(Q494="","",IF(T493&gt;300,IF(U493&lt;14,IF(T493&lt;390,"Pass","Fail"),"Fail"),"Fail"))</f>
        <v>Pass</v>
      </c>
      <c r="X493" s="369">
        <v>1159</v>
      </c>
      <c r="Y493" s="10" t="s">
        <v>316</v>
      </c>
      <c r="AA493" s="82">
        <v>270</v>
      </c>
      <c r="AB493" s="82">
        <v>370</v>
      </c>
      <c r="AC493" s="82">
        <v>300</v>
      </c>
      <c r="AD493" s="83">
        <v>390</v>
      </c>
      <c r="AE493" s="83">
        <v>20</v>
      </c>
      <c r="AF493" s="83">
        <v>14</v>
      </c>
    </row>
    <row r="494" spans="1:32" ht="15.6" x14ac:dyDescent="0.3">
      <c r="A494" s="222"/>
      <c r="B494" s="259"/>
      <c r="C494" s="259"/>
      <c r="D494" s="258" t="s">
        <v>187</v>
      </c>
      <c r="E494">
        <v>2491.0500000000002</v>
      </c>
      <c r="F494">
        <v>2441.75</v>
      </c>
      <c r="G494">
        <v>2437.3000000000002</v>
      </c>
      <c r="H494">
        <v>2450.9299999999998</v>
      </c>
      <c r="I494">
        <v>2516.34</v>
      </c>
      <c r="J494">
        <v>2467.4499999999998</v>
      </c>
      <c r="K494">
        <v>2443.3000000000002</v>
      </c>
      <c r="L494">
        <v>2440.73</v>
      </c>
      <c r="M494">
        <v>2477.1</v>
      </c>
      <c r="N494">
        <v>2443.58</v>
      </c>
      <c r="O494">
        <v>2453.67</v>
      </c>
      <c r="P494">
        <v>2455.7600000000002</v>
      </c>
      <c r="Q494">
        <v>2444.64</v>
      </c>
      <c r="R494" s="361"/>
      <c r="S494" s="361"/>
      <c r="T494" s="364"/>
      <c r="U494" s="364"/>
      <c r="V494" s="364"/>
      <c r="W494" s="367"/>
      <c r="X494" s="370"/>
    </row>
    <row r="495" spans="1:32" ht="30" x14ac:dyDescent="0.25">
      <c r="A495" s="292"/>
      <c r="B495" s="257"/>
      <c r="C495" s="257"/>
      <c r="D495" s="258" t="s">
        <v>188</v>
      </c>
      <c r="E495" s="260">
        <f t="shared" ref="E495:Q495" si="161">IF(((E493="")*AND(E494="")),"",(E493-E494))</f>
        <v>387.46000000000004</v>
      </c>
      <c r="F495" s="260">
        <f t="shared" si="161"/>
        <v>337.48</v>
      </c>
      <c r="G495" s="260">
        <f t="shared" si="161"/>
        <v>333.5</v>
      </c>
      <c r="H495" s="260">
        <f t="shared" si="161"/>
        <v>339.52</v>
      </c>
      <c r="I495" s="260">
        <f t="shared" si="161"/>
        <v>374.85999999999967</v>
      </c>
      <c r="J495" s="260">
        <f t="shared" si="161"/>
        <v>384.11000000000013</v>
      </c>
      <c r="K495" s="260">
        <f t="shared" si="161"/>
        <v>338.32999999999993</v>
      </c>
      <c r="L495" s="260">
        <f t="shared" si="161"/>
        <v>338.98999999999978</v>
      </c>
      <c r="M495" s="260">
        <f t="shared" si="161"/>
        <v>380.48</v>
      </c>
      <c r="N495" s="260">
        <f t="shared" si="161"/>
        <v>346.5300000000002</v>
      </c>
      <c r="O495" s="260">
        <f t="shared" si="161"/>
        <v>344.75999999999976</v>
      </c>
      <c r="P495" s="260">
        <f t="shared" si="161"/>
        <v>343.64999999999964</v>
      </c>
      <c r="Q495" s="260">
        <f t="shared" si="161"/>
        <v>345.62000000000035</v>
      </c>
      <c r="R495" s="362"/>
      <c r="S495" s="362"/>
      <c r="T495" s="365"/>
      <c r="U495" s="365"/>
      <c r="V495" s="365"/>
      <c r="W495" s="368"/>
      <c r="X495" s="371"/>
    </row>
    <row r="496" spans="1:32" ht="15.6" x14ac:dyDescent="0.3">
      <c r="A496" s="278">
        <v>43681</v>
      </c>
      <c r="B496" s="295" t="s">
        <v>235</v>
      </c>
      <c r="C496" s="295" t="s">
        <v>232</v>
      </c>
      <c r="D496" s="258" t="s">
        <v>186</v>
      </c>
      <c r="E496">
        <v>2868.3</v>
      </c>
      <c r="F496">
        <v>2777.4</v>
      </c>
      <c r="G496">
        <v>2770.62</v>
      </c>
      <c r="H496">
        <v>2786.19</v>
      </c>
      <c r="I496">
        <v>2891.15</v>
      </c>
      <c r="J496">
        <v>2850.29</v>
      </c>
      <c r="K496">
        <v>2780.01</v>
      </c>
      <c r="L496">
        <v>2779.32</v>
      </c>
      <c r="M496">
        <v>2857.34</v>
      </c>
      <c r="N496">
        <v>2781.14</v>
      </c>
      <c r="O496">
        <v>2793.87</v>
      </c>
      <c r="P496">
        <v>2799.16</v>
      </c>
      <c r="Q496">
        <v>2789.43</v>
      </c>
      <c r="R496" s="360">
        <f>IF((Q497=""),"",MAX(E498:Q498))</f>
        <v>387.75</v>
      </c>
      <c r="S496" s="360">
        <f>IF(Q497="","",MIN(E498:Q498))</f>
        <v>336.52</v>
      </c>
      <c r="T496" s="363">
        <f>IF((Q498=""),"",AVERAGE(E498:Q498))</f>
        <v>354.46153846153845</v>
      </c>
      <c r="U496" s="363">
        <f>IF((Q497=""),"",(R496-S496)/(R496+S496)*100)</f>
        <v>7.0733290071382253</v>
      </c>
      <c r="V496" s="363">
        <f>STDEV(E498:Q498)</f>
        <v>19.906819118982774</v>
      </c>
      <c r="W496" s="366" t="str">
        <f>IF(Q497="","",IF(T496&gt;300,IF(U496&lt;14,IF(T496&lt;390,"Pass","Fail"),"Fail"),"Fail"))</f>
        <v>Pass</v>
      </c>
      <c r="X496" s="369">
        <v>1335</v>
      </c>
      <c r="Y496" s="10" t="s">
        <v>318</v>
      </c>
      <c r="AA496" s="82">
        <v>270</v>
      </c>
      <c r="AB496" s="82">
        <v>370</v>
      </c>
      <c r="AC496" s="82">
        <v>300</v>
      </c>
      <c r="AD496" s="83">
        <v>390</v>
      </c>
      <c r="AE496" s="83">
        <v>20</v>
      </c>
      <c r="AF496" s="83">
        <v>14</v>
      </c>
    </row>
    <row r="497" spans="1:32" ht="15.6" x14ac:dyDescent="0.3">
      <c r="A497" s="222"/>
      <c r="B497" s="259"/>
      <c r="C497" s="259"/>
      <c r="D497" s="258" t="s">
        <v>187</v>
      </c>
      <c r="E497">
        <v>2487.54</v>
      </c>
      <c r="F497">
        <v>2438.33</v>
      </c>
      <c r="G497">
        <v>2434.1</v>
      </c>
      <c r="H497">
        <v>2445.42</v>
      </c>
      <c r="I497">
        <v>2507.63</v>
      </c>
      <c r="J497">
        <v>2462.54</v>
      </c>
      <c r="K497">
        <v>2440.19</v>
      </c>
      <c r="L497">
        <v>2438.77</v>
      </c>
      <c r="M497">
        <v>2478.7800000000002</v>
      </c>
      <c r="N497">
        <v>2439.5700000000002</v>
      </c>
      <c r="O497">
        <v>2450.17</v>
      </c>
      <c r="P497">
        <v>2450.2199999999998</v>
      </c>
      <c r="Q497">
        <v>2442.96</v>
      </c>
      <c r="R497" s="361"/>
      <c r="S497" s="361"/>
      <c r="T497" s="364"/>
      <c r="U497" s="364"/>
      <c r="V497" s="364"/>
      <c r="W497" s="367"/>
      <c r="X497" s="370"/>
    </row>
    <row r="498" spans="1:32" ht="30" x14ac:dyDescent="0.25">
      <c r="A498" s="292"/>
      <c r="B498" s="257"/>
      <c r="C498" s="257"/>
      <c r="D498" s="258" t="s">
        <v>188</v>
      </c>
      <c r="E498" s="260">
        <f t="shared" ref="E498:Q498" si="162">IF(((E496="")*AND(E497="")),"",(E496-E497))</f>
        <v>380.76000000000022</v>
      </c>
      <c r="F498" s="260">
        <f t="shared" si="162"/>
        <v>339.07000000000016</v>
      </c>
      <c r="G498" s="260">
        <f t="shared" si="162"/>
        <v>336.52</v>
      </c>
      <c r="H498" s="260">
        <f t="shared" si="162"/>
        <v>340.77</v>
      </c>
      <c r="I498" s="260">
        <f t="shared" si="162"/>
        <v>383.52</v>
      </c>
      <c r="J498" s="260">
        <f t="shared" si="162"/>
        <v>387.75</v>
      </c>
      <c r="K498" s="260">
        <f t="shared" si="162"/>
        <v>339.82000000000016</v>
      </c>
      <c r="L498" s="260">
        <f t="shared" si="162"/>
        <v>340.55000000000018</v>
      </c>
      <c r="M498" s="260">
        <f t="shared" si="162"/>
        <v>378.55999999999995</v>
      </c>
      <c r="N498" s="260">
        <f t="shared" si="162"/>
        <v>341.56999999999971</v>
      </c>
      <c r="O498" s="260">
        <f t="shared" si="162"/>
        <v>343.69999999999982</v>
      </c>
      <c r="P498" s="260">
        <f t="shared" si="162"/>
        <v>348.94000000000005</v>
      </c>
      <c r="Q498" s="260">
        <f t="shared" si="162"/>
        <v>346.4699999999998</v>
      </c>
      <c r="R498" s="362"/>
      <c r="S498" s="362"/>
      <c r="T498" s="365"/>
      <c r="U498" s="365"/>
      <c r="V498" s="365"/>
      <c r="W498" s="368"/>
      <c r="X498" s="371"/>
    </row>
    <row r="499" spans="1:32" ht="15.6" x14ac:dyDescent="0.3">
      <c r="A499" s="278">
        <v>43685</v>
      </c>
      <c r="B499" s="295" t="s">
        <v>235</v>
      </c>
      <c r="C499" s="295" t="s">
        <v>232</v>
      </c>
      <c r="D499" s="258" t="s">
        <v>186</v>
      </c>
      <c r="E499">
        <v>2873.93</v>
      </c>
      <c r="F499">
        <v>2780.88</v>
      </c>
      <c r="G499">
        <v>2776.16</v>
      </c>
      <c r="H499">
        <v>2786.25</v>
      </c>
      <c r="I499">
        <v>2892.77</v>
      </c>
      <c r="J499">
        <v>2846.52</v>
      </c>
      <c r="K499">
        <v>2773.82</v>
      </c>
      <c r="L499">
        <v>2786.79</v>
      </c>
      <c r="M499">
        <v>2860.56</v>
      </c>
      <c r="N499">
        <v>2790.95</v>
      </c>
      <c r="O499">
        <v>2798.63</v>
      </c>
      <c r="P499">
        <v>2794.69</v>
      </c>
      <c r="Q499">
        <v>2788.45</v>
      </c>
      <c r="R499" s="360">
        <f>IF((Q500=""),"",MAX(E501:Q501))</f>
        <v>370.92999999999984</v>
      </c>
      <c r="S499" s="360">
        <f>IF(Q500="","",MIN(E501:Q501))</f>
        <v>323.75</v>
      </c>
      <c r="T499" s="363">
        <f>IF((Q501=""),"",AVERAGE(E501:Q501))</f>
        <v>343.46307692307676</v>
      </c>
      <c r="U499" s="363">
        <f>IF((Q500=""),"",(R499-S499)/(R499+S499)*100)</f>
        <v>6.7916162837565279</v>
      </c>
      <c r="V499" s="363">
        <f>STDEV(E501:Q501)</f>
        <v>18.705001285135506</v>
      </c>
      <c r="W499" s="366" t="str">
        <f>IF(Q500="","",IF(T499&gt;300,IF(U499&lt;14,IF(T499&lt;390,"Pass","Fail"),"Fail"),"Fail"))</f>
        <v>Pass</v>
      </c>
      <c r="X499" s="369">
        <v>74</v>
      </c>
      <c r="Y499" s="10" t="s">
        <v>320</v>
      </c>
      <c r="AA499" s="82">
        <v>270</v>
      </c>
      <c r="AB499" s="82">
        <v>370</v>
      </c>
      <c r="AC499" s="82">
        <v>300</v>
      </c>
      <c r="AD499" s="83">
        <v>390</v>
      </c>
      <c r="AE499" s="83">
        <v>20</v>
      </c>
      <c r="AF499" s="83">
        <v>14</v>
      </c>
    </row>
    <row r="500" spans="1:32" ht="15.6" x14ac:dyDescent="0.3">
      <c r="A500" s="222"/>
      <c r="B500" s="259"/>
      <c r="C500" s="259"/>
      <c r="D500" s="258" t="s">
        <v>187</v>
      </c>
      <c r="E500">
        <v>2505.13</v>
      </c>
      <c r="F500">
        <v>2448.61</v>
      </c>
      <c r="G500">
        <v>2444.84</v>
      </c>
      <c r="H500">
        <v>2459.44</v>
      </c>
      <c r="I500">
        <v>2523.0300000000002</v>
      </c>
      <c r="J500">
        <v>2475.59</v>
      </c>
      <c r="K500">
        <v>2450.0700000000002</v>
      </c>
      <c r="L500">
        <v>2452.46</v>
      </c>
      <c r="M500">
        <v>2490.5700000000002</v>
      </c>
      <c r="N500">
        <v>2451</v>
      </c>
      <c r="O500">
        <v>2464.46</v>
      </c>
      <c r="P500">
        <v>2463.2600000000002</v>
      </c>
      <c r="Q500">
        <v>2456.92</v>
      </c>
      <c r="R500" s="361"/>
      <c r="S500" s="361"/>
      <c r="T500" s="364"/>
      <c r="U500" s="364"/>
      <c r="V500" s="364"/>
      <c r="W500" s="367"/>
      <c r="X500" s="370"/>
    </row>
    <row r="501" spans="1:32" ht="30" x14ac:dyDescent="0.25">
      <c r="A501" s="292"/>
      <c r="B501" s="257"/>
      <c r="C501" s="257"/>
      <c r="D501" s="258" t="s">
        <v>188</v>
      </c>
      <c r="E501" s="260">
        <f t="shared" ref="E501:Q501" si="163">IF(((E499="")*AND(E500="")),"",(E499-E500))</f>
        <v>368.79999999999973</v>
      </c>
      <c r="F501" s="260">
        <f t="shared" si="163"/>
        <v>332.27</v>
      </c>
      <c r="G501" s="260">
        <f t="shared" si="163"/>
        <v>331.31999999999971</v>
      </c>
      <c r="H501" s="260">
        <f t="shared" si="163"/>
        <v>326.80999999999995</v>
      </c>
      <c r="I501" s="260">
        <f t="shared" si="163"/>
        <v>369.73999999999978</v>
      </c>
      <c r="J501" s="260">
        <f t="shared" si="163"/>
        <v>370.92999999999984</v>
      </c>
      <c r="K501" s="260">
        <f t="shared" si="163"/>
        <v>323.75</v>
      </c>
      <c r="L501" s="260">
        <f t="shared" si="163"/>
        <v>334.32999999999993</v>
      </c>
      <c r="M501" s="260">
        <f t="shared" si="163"/>
        <v>369.98999999999978</v>
      </c>
      <c r="N501" s="260">
        <f t="shared" si="163"/>
        <v>339.94999999999982</v>
      </c>
      <c r="O501" s="260">
        <f t="shared" si="163"/>
        <v>334.17000000000007</v>
      </c>
      <c r="P501" s="260">
        <f t="shared" si="163"/>
        <v>331.42999999999984</v>
      </c>
      <c r="Q501" s="260">
        <f t="shared" si="163"/>
        <v>331.52999999999975</v>
      </c>
      <c r="R501" s="362"/>
      <c r="S501" s="362"/>
      <c r="T501" s="365"/>
      <c r="U501" s="365"/>
      <c r="V501" s="365"/>
      <c r="W501" s="368"/>
      <c r="X501" s="371"/>
    </row>
    <row r="502" spans="1:32" ht="15.6" x14ac:dyDescent="0.3">
      <c r="A502" s="278">
        <v>43690</v>
      </c>
      <c r="B502" s="295" t="s">
        <v>235</v>
      </c>
      <c r="C502" s="295" t="s">
        <v>232</v>
      </c>
      <c r="D502" s="258" t="s">
        <v>186</v>
      </c>
      <c r="E502">
        <v>2898.68</v>
      </c>
      <c r="F502">
        <v>2787.1</v>
      </c>
      <c r="G502">
        <v>2775.56</v>
      </c>
      <c r="H502">
        <v>2783.16</v>
      </c>
      <c r="I502">
        <v>2872.69</v>
      </c>
      <c r="J502">
        <v>2856.67</v>
      </c>
      <c r="K502">
        <v>2780.75</v>
      </c>
      <c r="L502">
        <v>2779.28</v>
      </c>
      <c r="M502">
        <v>2843.76</v>
      </c>
      <c r="N502">
        <v>2795.5</v>
      </c>
      <c r="O502">
        <v>2783.32</v>
      </c>
      <c r="P502">
        <v>2790.31</v>
      </c>
      <c r="Q502">
        <v>2793.28</v>
      </c>
      <c r="R502" s="360">
        <f>IF((Q503=""),"",MAX(E504:Q504))</f>
        <v>392.19000000000005</v>
      </c>
      <c r="S502" s="360">
        <f>IF(Q503="","",MIN(E504:Q504))</f>
        <v>333.92000000000007</v>
      </c>
      <c r="T502" s="363">
        <f>IF((Q504=""),"",AVERAGE(E504:Q504))</f>
        <v>352.34615384615398</v>
      </c>
      <c r="U502" s="363">
        <f>IF((Q503=""),"",(R502-S502)/(R502+S502)*100)</f>
        <v>8.0249548966410007</v>
      </c>
      <c r="V502" s="363">
        <f>STDEV(E504:Q504)</f>
        <v>21.644596915651451</v>
      </c>
      <c r="W502" s="366" t="str">
        <f>IF(Q503="","",IF(T502&gt;300,IF(U502&lt;14,IF(T502&lt;390,"Pass","Fail"),"Fail"),"Fail"))</f>
        <v>Pass</v>
      </c>
      <c r="X502" s="369">
        <v>1335</v>
      </c>
      <c r="Y502" s="11" t="s">
        <v>322</v>
      </c>
      <c r="AA502" s="82">
        <v>270</v>
      </c>
      <c r="AB502" s="82">
        <v>370</v>
      </c>
      <c r="AC502" s="82">
        <v>300</v>
      </c>
      <c r="AD502" s="83">
        <v>390</v>
      </c>
      <c r="AE502" s="83">
        <v>20</v>
      </c>
      <c r="AF502" s="83">
        <v>14</v>
      </c>
    </row>
    <row r="503" spans="1:32" ht="15.6" x14ac:dyDescent="0.3">
      <c r="A503" s="222"/>
      <c r="B503" s="259"/>
      <c r="C503" s="259"/>
      <c r="D503" s="258" t="s">
        <v>187</v>
      </c>
      <c r="E503">
        <v>2506.4899999999998</v>
      </c>
      <c r="F503">
        <v>2446.36</v>
      </c>
      <c r="G503">
        <v>2436.06</v>
      </c>
      <c r="H503">
        <v>2447.19</v>
      </c>
      <c r="I503">
        <v>2485.69</v>
      </c>
      <c r="J503">
        <v>2475.2399999999998</v>
      </c>
      <c r="K503">
        <v>2439.69</v>
      </c>
      <c r="L503">
        <v>2445.36</v>
      </c>
      <c r="M503">
        <v>2474.1799999999998</v>
      </c>
      <c r="N503">
        <v>2453.9899999999998</v>
      </c>
      <c r="O503">
        <v>2447.63</v>
      </c>
      <c r="P503">
        <v>2450.19</v>
      </c>
      <c r="Q503">
        <v>2451.4899999999998</v>
      </c>
      <c r="R503" s="361"/>
      <c r="S503" s="361"/>
      <c r="T503" s="364"/>
      <c r="U503" s="364"/>
      <c r="V503" s="364"/>
      <c r="W503" s="367"/>
      <c r="X503" s="370"/>
    </row>
    <row r="504" spans="1:32" ht="30" x14ac:dyDescent="0.25">
      <c r="A504" s="292"/>
      <c r="B504" s="257"/>
      <c r="C504" s="257"/>
      <c r="D504" s="258" t="s">
        <v>188</v>
      </c>
      <c r="E504" s="260">
        <f t="shared" ref="E504:Q504" si="164">IF(((E502="")*AND(E503="")),"",(E502-E503))</f>
        <v>392.19000000000005</v>
      </c>
      <c r="F504" s="260">
        <f t="shared" si="164"/>
        <v>340.73999999999978</v>
      </c>
      <c r="G504" s="260">
        <f t="shared" si="164"/>
        <v>339.5</v>
      </c>
      <c r="H504" s="260">
        <f t="shared" si="164"/>
        <v>335.9699999999998</v>
      </c>
      <c r="I504" s="260">
        <f t="shared" si="164"/>
        <v>387</v>
      </c>
      <c r="J504" s="260">
        <f t="shared" si="164"/>
        <v>381.43000000000029</v>
      </c>
      <c r="K504" s="260">
        <f t="shared" si="164"/>
        <v>341.05999999999995</v>
      </c>
      <c r="L504" s="260">
        <f t="shared" si="164"/>
        <v>333.92000000000007</v>
      </c>
      <c r="M504" s="260">
        <f t="shared" si="164"/>
        <v>369.58000000000038</v>
      </c>
      <c r="N504" s="260">
        <f t="shared" si="164"/>
        <v>341.51000000000022</v>
      </c>
      <c r="O504" s="260">
        <f t="shared" si="164"/>
        <v>335.69000000000005</v>
      </c>
      <c r="P504" s="260">
        <f t="shared" si="164"/>
        <v>340.11999999999989</v>
      </c>
      <c r="Q504" s="260">
        <f t="shared" si="164"/>
        <v>341.79000000000042</v>
      </c>
      <c r="R504" s="362"/>
      <c r="S504" s="362"/>
      <c r="T504" s="365"/>
      <c r="U504" s="365"/>
      <c r="V504" s="365"/>
      <c r="W504" s="368"/>
      <c r="X504" s="371"/>
    </row>
    <row r="505" spans="1:32" ht="15.6" x14ac:dyDescent="0.3">
      <c r="A505" s="278">
        <v>43693</v>
      </c>
      <c r="B505" s="295" t="s">
        <v>235</v>
      </c>
      <c r="C505" s="295" t="s">
        <v>232</v>
      </c>
      <c r="D505" s="258" t="s">
        <v>186</v>
      </c>
      <c r="E505">
        <v>2896.17</v>
      </c>
      <c r="F505">
        <v>2778.74</v>
      </c>
      <c r="G505">
        <v>2757.83</v>
      </c>
      <c r="H505">
        <v>2764.9</v>
      </c>
      <c r="I505">
        <v>2872.81</v>
      </c>
      <c r="J505">
        <v>2854.91</v>
      </c>
      <c r="K505">
        <v>2770.27</v>
      </c>
      <c r="L505">
        <v>2765.25</v>
      </c>
      <c r="M505">
        <v>2850.85</v>
      </c>
      <c r="N505">
        <v>2788.18</v>
      </c>
      <c r="O505">
        <v>2775.78</v>
      </c>
      <c r="P505">
        <v>2772.17</v>
      </c>
      <c r="Q505">
        <v>2780.59</v>
      </c>
      <c r="R505" s="360">
        <f>IF((Q506=""),"",MAX(E507:Q507))</f>
        <v>378.77</v>
      </c>
      <c r="S505" s="360">
        <f>IF(Q506="","",MIN(E507:Q507))</f>
        <v>329.5</v>
      </c>
      <c r="T505" s="363">
        <f>IF((Q507=""),"",AVERAGE(E507:Q507))</f>
        <v>346.18769230769237</v>
      </c>
      <c r="U505" s="363">
        <f>IF((Q506=""),"",(R505-S505)/(R505+S505)*100)</f>
        <v>6.9563866886921639</v>
      </c>
      <c r="V505" s="363">
        <f>STDEV(E507:Q507)</f>
        <v>20.979036422838142</v>
      </c>
      <c r="W505" s="366" t="str">
        <f>IF(Q506="","",IF(T505&gt;300,IF(U505&lt;14,IF(T505&lt;390,"Pass","Fail"),"Fail"),"Fail"))</f>
        <v>Pass</v>
      </c>
      <c r="X505" s="369">
        <v>1159</v>
      </c>
      <c r="Y505" s="10" t="s">
        <v>324</v>
      </c>
      <c r="AA505" s="82">
        <v>270</v>
      </c>
      <c r="AB505" s="82">
        <v>370</v>
      </c>
      <c r="AC505" s="82">
        <v>300</v>
      </c>
      <c r="AD505" s="83">
        <v>390</v>
      </c>
      <c r="AE505" s="83">
        <v>20</v>
      </c>
      <c r="AF505" s="83">
        <v>14</v>
      </c>
    </row>
    <row r="506" spans="1:32" ht="15.6" x14ac:dyDescent="0.3">
      <c r="A506" s="222"/>
      <c r="B506" s="259"/>
      <c r="C506" s="259"/>
      <c r="D506" s="258" t="s">
        <v>187</v>
      </c>
      <c r="E506">
        <v>2517.4499999999998</v>
      </c>
      <c r="F506">
        <v>2443.5700000000002</v>
      </c>
      <c r="G506">
        <v>2428.33</v>
      </c>
      <c r="H506">
        <v>2433.36</v>
      </c>
      <c r="I506">
        <v>2499.06</v>
      </c>
      <c r="J506">
        <v>2476.14</v>
      </c>
      <c r="K506">
        <v>2439.41</v>
      </c>
      <c r="L506">
        <v>2433.4499999999998</v>
      </c>
      <c r="M506">
        <v>2477.13</v>
      </c>
      <c r="N506">
        <v>2453.84</v>
      </c>
      <c r="O506">
        <v>2439.5</v>
      </c>
      <c r="P506">
        <v>2438.5500000000002</v>
      </c>
      <c r="Q506">
        <v>2448.2199999999998</v>
      </c>
      <c r="R506" s="361"/>
      <c r="S506" s="361"/>
      <c r="T506" s="364"/>
      <c r="U506" s="364"/>
      <c r="V506" s="364"/>
      <c r="W506" s="367"/>
      <c r="X506" s="370"/>
    </row>
    <row r="507" spans="1:32" ht="30" x14ac:dyDescent="0.25">
      <c r="A507" s="292"/>
      <c r="B507" s="257"/>
      <c r="C507" s="257"/>
      <c r="D507" s="258" t="s">
        <v>188</v>
      </c>
      <c r="E507" s="260">
        <f t="shared" ref="E507:Q507" si="165">IF(((E505="")*AND(E506="")),"",(E505-E506))</f>
        <v>378.72000000000025</v>
      </c>
      <c r="F507" s="260">
        <f t="shared" si="165"/>
        <v>335.16999999999962</v>
      </c>
      <c r="G507" s="260">
        <f t="shared" si="165"/>
        <v>329.5</v>
      </c>
      <c r="H507" s="260">
        <f t="shared" si="165"/>
        <v>331.53999999999996</v>
      </c>
      <c r="I507" s="260">
        <f t="shared" si="165"/>
        <v>373.75</v>
      </c>
      <c r="J507" s="260">
        <f t="shared" si="165"/>
        <v>378.77</v>
      </c>
      <c r="K507" s="260">
        <f t="shared" si="165"/>
        <v>330.86000000000013</v>
      </c>
      <c r="L507" s="260">
        <f t="shared" si="165"/>
        <v>331.80000000000018</v>
      </c>
      <c r="M507" s="260">
        <f t="shared" si="165"/>
        <v>373.7199999999998</v>
      </c>
      <c r="N507" s="260">
        <f t="shared" si="165"/>
        <v>334.33999999999969</v>
      </c>
      <c r="O507" s="260">
        <f t="shared" si="165"/>
        <v>336.2800000000002</v>
      </c>
      <c r="P507" s="260">
        <f t="shared" si="165"/>
        <v>333.61999999999989</v>
      </c>
      <c r="Q507" s="260">
        <f t="shared" si="165"/>
        <v>332.37000000000035</v>
      </c>
      <c r="R507" s="362"/>
      <c r="S507" s="362"/>
      <c r="T507" s="365"/>
      <c r="U507" s="365"/>
      <c r="V507" s="365"/>
      <c r="W507" s="368"/>
      <c r="X507" s="371"/>
    </row>
    <row r="508" spans="1:32" ht="15.6" x14ac:dyDescent="0.3">
      <c r="A508" s="222">
        <v>43696</v>
      </c>
      <c r="B508" s="295" t="s">
        <v>235</v>
      </c>
      <c r="C508" s="295" t="s">
        <v>232</v>
      </c>
      <c r="D508" s="258" t="s">
        <v>186</v>
      </c>
      <c r="E508">
        <v>3101.01</v>
      </c>
      <c r="F508">
        <v>2985.15</v>
      </c>
      <c r="G508">
        <v>2969.04</v>
      </c>
      <c r="H508">
        <v>2975.03</v>
      </c>
      <c r="I508">
        <v>3061.14</v>
      </c>
      <c r="J508">
        <v>3127.11</v>
      </c>
      <c r="K508">
        <v>2989.79</v>
      </c>
      <c r="L508">
        <v>2972.64</v>
      </c>
      <c r="M508">
        <v>3057.97</v>
      </c>
      <c r="N508">
        <v>3009.83</v>
      </c>
      <c r="O508">
        <v>2982.22</v>
      </c>
      <c r="P508">
        <v>2991.85</v>
      </c>
      <c r="Q508">
        <v>2983.76</v>
      </c>
      <c r="R508" s="360">
        <f>IF((Q509=""),"",MAX(E510:Q510))</f>
        <v>375.75</v>
      </c>
      <c r="S508" s="360">
        <f>IF(Q509="","",MIN(E510:Q510))</f>
        <v>332.40000000000009</v>
      </c>
      <c r="T508" s="363">
        <f>IF((Q510=""),"",AVERAGE(E510:Q510))</f>
        <v>346.15230769230777</v>
      </c>
      <c r="U508" s="363">
        <f>IF((Q509=""),"",(R508-S508)/(R508+S508)*100)</f>
        <v>6.1215844100825958</v>
      </c>
      <c r="V508" s="363">
        <f>STDEV(E510:Q510)</f>
        <v>19.436998719729534</v>
      </c>
      <c r="W508" s="366" t="str">
        <f>IF(Q509="","",IF(T508&gt;300,IF(U508&lt;14,IF(T508&lt;390,"Pass","Fail"),"Fail"),"Fail"))</f>
        <v>Pass</v>
      </c>
      <c r="X508" s="369">
        <v>1340</v>
      </c>
      <c r="Y508" s="11" t="s">
        <v>326</v>
      </c>
      <c r="AA508" s="82">
        <v>270</v>
      </c>
      <c r="AB508" s="82">
        <v>370</v>
      </c>
      <c r="AC508" s="82">
        <v>300</v>
      </c>
      <c r="AD508" s="83">
        <v>390</v>
      </c>
      <c r="AE508" s="83">
        <v>20</v>
      </c>
      <c r="AF508" s="83">
        <v>14</v>
      </c>
    </row>
    <row r="509" spans="1:32" ht="15.6" x14ac:dyDescent="0.3">
      <c r="A509" s="222"/>
      <c r="B509" s="259"/>
      <c r="C509" s="259"/>
      <c r="D509" s="258" t="s">
        <v>187</v>
      </c>
      <c r="E509">
        <v>2725.86</v>
      </c>
      <c r="F509">
        <v>2651.63</v>
      </c>
      <c r="G509">
        <v>2634.74</v>
      </c>
      <c r="H509">
        <v>2641.14</v>
      </c>
      <c r="I509">
        <v>2689.58</v>
      </c>
      <c r="J509">
        <v>2751.36</v>
      </c>
      <c r="K509">
        <v>2657.35</v>
      </c>
      <c r="L509">
        <v>2639.75</v>
      </c>
      <c r="M509">
        <v>2684.04</v>
      </c>
      <c r="N509">
        <v>2675.7</v>
      </c>
      <c r="O509">
        <v>2648.48</v>
      </c>
      <c r="P509">
        <v>2659.45</v>
      </c>
      <c r="Q509">
        <v>2647.48</v>
      </c>
      <c r="R509" s="361"/>
      <c r="S509" s="361"/>
      <c r="T509" s="364"/>
      <c r="U509" s="364"/>
      <c r="V509" s="364"/>
      <c r="W509" s="367"/>
      <c r="X509" s="370"/>
    </row>
    <row r="510" spans="1:32" ht="30" x14ac:dyDescent="0.25">
      <c r="A510" s="292"/>
      <c r="B510" s="257"/>
      <c r="C510" s="257"/>
      <c r="D510" s="258" t="s">
        <v>188</v>
      </c>
      <c r="E510" s="260">
        <f t="shared" ref="E510:Q510" si="166">IF(((E508="")*AND(E509="")),"",(E508-E509))</f>
        <v>375.15000000000009</v>
      </c>
      <c r="F510" s="260">
        <f t="shared" si="166"/>
        <v>333.52</v>
      </c>
      <c r="G510" s="260">
        <f t="shared" si="166"/>
        <v>334.30000000000018</v>
      </c>
      <c r="H510" s="260">
        <f t="shared" si="166"/>
        <v>333.89000000000033</v>
      </c>
      <c r="I510" s="260">
        <f t="shared" si="166"/>
        <v>371.55999999999995</v>
      </c>
      <c r="J510" s="260">
        <f t="shared" si="166"/>
        <v>375.75</v>
      </c>
      <c r="K510" s="260">
        <f t="shared" si="166"/>
        <v>332.44000000000005</v>
      </c>
      <c r="L510" s="260">
        <f t="shared" si="166"/>
        <v>332.88999999999987</v>
      </c>
      <c r="M510" s="260">
        <f t="shared" si="166"/>
        <v>373.92999999999984</v>
      </c>
      <c r="N510" s="260">
        <f t="shared" si="166"/>
        <v>334.13000000000011</v>
      </c>
      <c r="O510" s="260">
        <f t="shared" si="166"/>
        <v>333.73999999999978</v>
      </c>
      <c r="P510" s="260">
        <f t="shared" si="166"/>
        <v>332.40000000000009</v>
      </c>
      <c r="Q510" s="260">
        <f t="shared" si="166"/>
        <v>336.2800000000002</v>
      </c>
      <c r="R510" s="362"/>
      <c r="S510" s="362"/>
      <c r="T510" s="365"/>
      <c r="U510" s="365"/>
      <c r="V510" s="365"/>
      <c r="W510" s="368"/>
      <c r="X510" s="371"/>
    </row>
    <row r="511" spans="1:32" ht="15.6" x14ac:dyDescent="0.3">
      <c r="A511" s="222">
        <v>43699</v>
      </c>
      <c r="B511" s="295" t="s">
        <v>235</v>
      </c>
      <c r="C511" s="295" t="s">
        <v>232</v>
      </c>
      <c r="D511" s="258" t="s">
        <v>186</v>
      </c>
      <c r="E511">
        <v>3093.33</v>
      </c>
      <c r="F511">
        <v>2981.88</v>
      </c>
      <c r="G511">
        <v>2969.07</v>
      </c>
      <c r="H511">
        <v>2980.39</v>
      </c>
      <c r="I511">
        <v>3069.46</v>
      </c>
      <c r="J511">
        <v>3126.21</v>
      </c>
      <c r="K511">
        <v>2994.69</v>
      </c>
      <c r="L511">
        <v>2973.39</v>
      </c>
      <c r="M511">
        <v>3065.28</v>
      </c>
      <c r="N511">
        <v>3008.81</v>
      </c>
      <c r="O511">
        <v>2981.38</v>
      </c>
      <c r="P511">
        <v>2995.54</v>
      </c>
      <c r="Q511">
        <v>2984.16</v>
      </c>
      <c r="R511" s="360">
        <f>IF((Q512=""),"",MAX(E513:Q513))</f>
        <v>392.13000000000011</v>
      </c>
      <c r="S511" s="360">
        <f>IF(Q512="","",MIN(E513:Q513))</f>
        <v>342.77</v>
      </c>
      <c r="T511" s="363">
        <f>IF((Q513=""),"",AVERAGE(E513:Q513))</f>
        <v>359.84999999999997</v>
      </c>
      <c r="U511" s="363">
        <f>IF((Q512=""),"",(R511-S511)/(R511+S511)*100)</f>
        <v>6.7165600762008602</v>
      </c>
      <c r="V511" s="363">
        <f>STDEV(E513:Q513)</f>
        <v>18.721947459243349</v>
      </c>
      <c r="W511" s="366" t="str">
        <f>IF(Q512="","",IF(T511&gt;300,IF(U511&lt;14,IF(T511&lt;390,"Pass","Fail"),"Fail"),"Fail"))</f>
        <v>Pass</v>
      </c>
      <c r="X511" s="369" t="s">
        <v>217</v>
      </c>
      <c r="Y511" s="10" t="s">
        <v>328</v>
      </c>
      <c r="AA511" s="82">
        <v>270</v>
      </c>
      <c r="AB511" s="82">
        <v>370</v>
      </c>
      <c r="AC511" s="82">
        <v>300</v>
      </c>
      <c r="AD511" s="83">
        <v>390</v>
      </c>
      <c r="AE511" s="83">
        <v>20</v>
      </c>
      <c r="AF511" s="83">
        <v>14</v>
      </c>
    </row>
    <row r="512" spans="1:32" ht="15.6" x14ac:dyDescent="0.3">
      <c r="A512" s="222"/>
      <c r="B512" s="259"/>
      <c r="C512" s="259"/>
      <c r="D512" s="258" t="s">
        <v>187</v>
      </c>
      <c r="E512">
        <v>2701.2</v>
      </c>
      <c r="F512">
        <v>2639.11</v>
      </c>
      <c r="G512">
        <v>2621.84</v>
      </c>
      <c r="H512">
        <v>2630.95</v>
      </c>
      <c r="I512">
        <v>2688.04</v>
      </c>
      <c r="J512">
        <v>2739.81</v>
      </c>
      <c r="K512">
        <v>2643.5</v>
      </c>
      <c r="L512">
        <v>2624.83</v>
      </c>
      <c r="M512">
        <v>2679.59</v>
      </c>
      <c r="N512">
        <v>2659.44</v>
      </c>
      <c r="O512">
        <v>2632</v>
      </c>
      <c r="P512">
        <v>2651.96</v>
      </c>
      <c r="Q512">
        <v>2633.27</v>
      </c>
      <c r="R512" s="361"/>
      <c r="S512" s="361"/>
      <c r="T512" s="364"/>
      <c r="U512" s="364"/>
      <c r="V512" s="364"/>
      <c r="W512" s="367"/>
      <c r="X512" s="370"/>
    </row>
    <row r="513" spans="1:32" ht="30" x14ac:dyDescent="0.25">
      <c r="A513" s="292"/>
      <c r="B513" s="257"/>
      <c r="C513" s="257"/>
      <c r="D513" s="258" t="s">
        <v>188</v>
      </c>
      <c r="E513" s="260">
        <f t="shared" ref="E513:Q513" si="167">IF(((E511="")*AND(E512="")),"",(E511-E512))</f>
        <v>392.13000000000011</v>
      </c>
      <c r="F513" s="260">
        <f t="shared" si="167"/>
        <v>342.77</v>
      </c>
      <c r="G513" s="260">
        <f t="shared" si="167"/>
        <v>347.23</v>
      </c>
      <c r="H513" s="260">
        <f t="shared" si="167"/>
        <v>349.44000000000005</v>
      </c>
      <c r="I513" s="260">
        <f t="shared" si="167"/>
        <v>381.42000000000007</v>
      </c>
      <c r="J513" s="260">
        <f t="shared" si="167"/>
        <v>386.40000000000009</v>
      </c>
      <c r="K513" s="260">
        <f t="shared" si="167"/>
        <v>351.19000000000005</v>
      </c>
      <c r="L513" s="260">
        <f t="shared" si="167"/>
        <v>348.55999999999995</v>
      </c>
      <c r="M513" s="260">
        <f t="shared" si="167"/>
        <v>385.69000000000005</v>
      </c>
      <c r="N513" s="260">
        <f t="shared" si="167"/>
        <v>349.36999999999989</v>
      </c>
      <c r="O513" s="260">
        <f t="shared" si="167"/>
        <v>349.38000000000011</v>
      </c>
      <c r="P513" s="260">
        <f t="shared" si="167"/>
        <v>343.57999999999993</v>
      </c>
      <c r="Q513" s="260">
        <f t="shared" si="167"/>
        <v>350.88999999999987</v>
      </c>
      <c r="R513" s="362"/>
      <c r="S513" s="362"/>
      <c r="T513" s="365"/>
      <c r="U513" s="365"/>
      <c r="V513" s="365"/>
      <c r="W513" s="368"/>
      <c r="X513" s="371"/>
    </row>
    <row r="514" spans="1:32" ht="15.6" x14ac:dyDescent="0.3">
      <c r="A514" s="222">
        <v>43703</v>
      </c>
      <c r="B514" s="295" t="s">
        <v>235</v>
      </c>
      <c r="C514" s="295" t="s">
        <v>232</v>
      </c>
      <c r="D514" s="258" t="s">
        <v>186</v>
      </c>
      <c r="E514">
        <v>2701.2</v>
      </c>
      <c r="F514">
        <v>2639.11</v>
      </c>
      <c r="G514">
        <v>2621.84</v>
      </c>
      <c r="H514">
        <v>2630.95</v>
      </c>
      <c r="I514">
        <v>2688.04</v>
      </c>
      <c r="J514">
        <v>2739.81</v>
      </c>
      <c r="K514">
        <v>2643.5</v>
      </c>
      <c r="L514">
        <v>2624.83</v>
      </c>
      <c r="M514">
        <v>2679.59</v>
      </c>
      <c r="N514">
        <v>2659.44</v>
      </c>
      <c r="O514">
        <v>2632</v>
      </c>
      <c r="P514">
        <v>2651.96</v>
      </c>
      <c r="Q514">
        <v>2633.27</v>
      </c>
      <c r="R514" s="360">
        <f>IF((Q515=""),"",MAX(E516:Q516))</f>
        <v>396.80999999999995</v>
      </c>
      <c r="S514" s="360">
        <f>IF(Q515="","",MIN(E516:Q516))</f>
        <v>342.76000000000022</v>
      </c>
      <c r="T514" s="363">
        <f>IF((Q516=""),"",AVERAGE(E516:Q516))</f>
        <v>363.15538461538466</v>
      </c>
      <c r="U514" s="363">
        <f>IF((Q515=""),"",(R514-S514)/(R514+S514)*100)</f>
        <v>7.3083007693659443</v>
      </c>
      <c r="V514" s="363">
        <f>STDEV(E516:Q516)</f>
        <v>19.258096831975408</v>
      </c>
      <c r="W514" s="366" t="str">
        <f>IF(Q515="","",IF(T514&gt;300,IF(U514&lt;14,IF(T514&lt;390,"Pass","Fail"),"Fail"),"Fail"))</f>
        <v>Pass</v>
      </c>
      <c r="X514" s="369">
        <v>121</v>
      </c>
      <c r="Y514" s="10" t="s">
        <v>330</v>
      </c>
      <c r="AA514" s="82">
        <v>270</v>
      </c>
      <c r="AB514" s="82">
        <v>370</v>
      </c>
      <c r="AC514" s="82">
        <v>300</v>
      </c>
      <c r="AD514" s="83">
        <v>390</v>
      </c>
      <c r="AE514" s="83">
        <v>20</v>
      </c>
      <c r="AF514" s="83">
        <v>14</v>
      </c>
    </row>
    <row r="515" spans="1:32" ht="15.6" x14ac:dyDescent="0.3">
      <c r="A515" s="222"/>
      <c r="B515" s="259"/>
      <c r="C515" s="259"/>
      <c r="D515" s="258" t="s">
        <v>187</v>
      </c>
      <c r="E515">
        <v>2304.39</v>
      </c>
      <c r="F515">
        <v>2284.67</v>
      </c>
      <c r="G515">
        <v>2279.08</v>
      </c>
      <c r="H515">
        <v>2274.3200000000002</v>
      </c>
      <c r="I515">
        <v>2301.3200000000002</v>
      </c>
      <c r="J515">
        <v>2348.15</v>
      </c>
      <c r="K515">
        <v>2297.11</v>
      </c>
      <c r="L515">
        <v>2274.48</v>
      </c>
      <c r="M515">
        <v>2294.46</v>
      </c>
      <c r="N515">
        <v>2306.1999999999998</v>
      </c>
      <c r="O515">
        <v>2284.4899999999998</v>
      </c>
      <c r="P515">
        <v>2296.5</v>
      </c>
      <c r="Q515">
        <v>2279.35</v>
      </c>
      <c r="R515" s="361"/>
      <c r="S515" s="361"/>
      <c r="T515" s="364"/>
      <c r="U515" s="364"/>
      <c r="V515" s="364"/>
      <c r="W515" s="367"/>
      <c r="X515" s="370"/>
    </row>
    <row r="516" spans="1:32" ht="30" x14ac:dyDescent="0.25">
      <c r="A516" s="292"/>
      <c r="B516" s="257"/>
      <c r="C516" s="257"/>
      <c r="D516" s="258" t="s">
        <v>188</v>
      </c>
      <c r="E516" s="260">
        <f t="shared" ref="E516:Q516" si="168">IF(((E514="")*AND(E515="")),"",(E514-E515))</f>
        <v>396.80999999999995</v>
      </c>
      <c r="F516" s="260">
        <f t="shared" si="168"/>
        <v>354.44000000000005</v>
      </c>
      <c r="G516" s="260">
        <f t="shared" si="168"/>
        <v>342.76000000000022</v>
      </c>
      <c r="H516" s="260">
        <f t="shared" si="168"/>
        <v>356.62999999999965</v>
      </c>
      <c r="I516" s="260">
        <f t="shared" si="168"/>
        <v>386.7199999999998</v>
      </c>
      <c r="J516" s="260">
        <f t="shared" si="168"/>
        <v>391.65999999999985</v>
      </c>
      <c r="K516" s="260">
        <f t="shared" si="168"/>
        <v>346.38999999999987</v>
      </c>
      <c r="L516" s="260">
        <f t="shared" si="168"/>
        <v>350.34999999999991</v>
      </c>
      <c r="M516" s="260">
        <f t="shared" si="168"/>
        <v>385.13000000000011</v>
      </c>
      <c r="N516" s="260">
        <f t="shared" si="168"/>
        <v>353.24000000000024</v>
      </c>
      <c r="O516" s="260">
        <f t="shared" si="168"/>
        <v>347.51000000000022</v>
      </c>
      <c r="P516" s="260">
        <f t="shared" si="168"/>
        <v>355.46000000000004</v>
      </c>
      <c r="Q516" s="260">
        <f t="shared" si="168"/>
        <v>353.92000000000007</v>
      </c>
      <c r="R516" s="362"/>
      <c r="S516" s="362"/>
      <c r="T516" s="365"/>
      <c r="U516" s="365"/>
      <c r="V516" s="365"/>
      <c r="W516" s="368"/>
      <c r="X516" s="371"/>
    </row>
    <row r="517" spans="1:32" ht="15.6" x14ac:dyDescent="0.3">
      <c r="A517" s="278">
        <v>43706</v>
      </c>
      <c r="B517" s="295" t="s">
        <v>235</v>
      </c>
      <c r="C517" s="295" t="s">
        <v>232</v>
      </c>
      <c r="D517" s="258" t="s">
        <v>186</v>
      </c>
      <c r="E517">
        <v>3054.76</v>
      </c>
      <c r="F517">
        <v>2977.98</v>
      </c>
      <c r="G517">
        <v>2967.82</v>
      </c>
      <c r="H517">
        <v>2981.66</v>
      </c>
      <c r="I517">
        <v>3070.52</v>
      </c>
      <c r="J517">
        <v>3127.92</v>
      </c>
      <c r="K517">
        <v>2996.67</v>
      </c>
      <c r="L517">
        <v>2972.08</v>
      </c>
      <c r="M517">
        <v>3072.91</v>
      </c>
      <c r="N517">
        <v>3004.66</v>
      </c>
      <c r="O517">
        <v>2984.29</v>
      </c>
      <c r="P517">
        <v>3002.23</v>
      </c>
      <c r="Q517">
        <v>2979.1</v>
      </c>
      <c r="R517" s="360">
        <f>IF((Q518=""),"",MAX(E519:Q519))</f>
        <v>382.34999999999991</v>
      </c>
      <c r="S517" s="360">
        <f>IF(Q518="","",MIN(E519:Q519))</f>
        <v>334.87000000000035</v>
      </c>
      <c r="T517" s="363">
        <f>IF((Q519=""),"",AVERAGE(E519:Q519))</f>
        <v>351.43923076923079</v>
      </c>
      <c r="U517" s="363">
        <f>IF((Q518=""),"",(R517-S517)/(R517+S517)*100)</f>
        <v>6.6200050193803222</v>
      </c>
      <c r="V517" s="363">
        <f>STDEV(E519:Q519)</f>
        <v>19.533686484949715</v>
      </c>
      <c r="W517" s="366" t="str">
        <f>IF(Q518="","",IF(T517&gt;300,IF(U517&lt;14,IF(T517&lt;390,"Pass","Fail"),"Fail"),"Fail"))</f>
        <v>Pass</v>
      </c>
      <c r="X517" s="369">
        <v>121</v>
      </c>
      <c r="Y517" s="10" t="s">
        <v>332</v>
      </c>
      <c r="AA517" s="82">
        <v>270</v>
      </c>
      <c r="AB517" s="82">
        <v>370</v>
      </c>
      <c r="AC517" s="82">
        <v>300</v>
      </c>
      <c r="AD517" s="83">
        <v>390</v>
      </c>
      <c r="AE517" s="83">
        <v>20</v>
      </c>
      <c r="AF517" s="83">
        <v>14</v>
      </c>
    </row>
    <row r="518" spans="1:32" ht="15.6" x14ac:dyDescent="0.3">
      <c r="A518" s="222"/>
      <c r="B518" s="259"/>
      <c r="C518" s="259"/>
      <c r="D518" s="258" t="s">
        <v>187</v>
      </c>
      <c r="E518">
        <v>2676.3</v>
      </c>
      <c r="F518">
        <v>2640.67</v>
      </c>
      <c r="G518">
        <v>2632.95</v>
      </c>
      <c r="H518">
        <v>2644.41</v>
      </c>
      <c r="I518">
        <v>2692.79</v>
      </c>
      <c r="J518">
        <v>2745.57</v>
      </c>
      <c r="K518">
        <v>2656.29</v>
      </c>
      <c r="L518">
        <v>2630.9</v>
      </c>
      <c r="M518">
        <v>2693.79</v>
      </c>
      <c r="N518">
        <v>2664.96</v>
      </c>
      <c r="O518">
        <v>2641.67</v>
      </c>
      <c r="P518">
        <v>2664.11</v>
      </c>
      <c r="Q518">
        <v>2639.48</v>
      </c>
      <c r="R518" s="361"/>
      <c r="S518" s="361"/>
      <c r="T518" s="364"/>
      <c r="U518" s="364"/>
      <c r="V518" s="364"/>
      <c r="W518" s="367"/>
      <c r="X518" s="370"/>
    </row>
    <row r="519" spans="1:32" ht="30" x14ac:dyDescent="0.25">
      <c r="A519" s="292"/>
      <c r="B519" s="257"/>
      <c r="C519" s="257"/>
      <c r="D519" s="258" t="s">
        <v>188</v>
      </c>
      <c r="E519" s="260">
        <f t="shared" ref="E519:Q519" si="169">IF(((E517="")*AND(E518="")),"",(E517-E518))</f>
        <v>378.46000000000004</v>
      </c>
      <c r="F519" s="260">
        <f t="shared" si="169"/>
        <v>337.30999999999995</v>
      </c>
      <c r="G519" s="260">
        <f t="shared" si="169"/>
        <v>334.87000000000035</v>
      </c>
      <c r="H519" s="260">
        <f t="shared" si="169"/>
        <v>337.25</v>
      </c>
      <c r="I519" s="260">
        <f t="shared" si="169"/>
        <v>377.73</v>
      </c>
      <c r="J519" s="260">
        <f t="shared" si="169"/>
        <v>382.34999999999991</v>
      </c>
      <c r="K519" s="260">
        <f t="shared" si="169"/>
        <v>340.38000000000011</v>
      </c>
      <c r="L519" s="260">
        <f t="shared" si="169"/>
        <v>341.17999999999984</v>
      </c>
      <c r="M519" s="260">
        <f t="shared" si="169"/>
        <v>379.11999999999989</v>
      </c>
      <c r="N519" s="260">
        <f t="shared" si="169"/>
        <v>339.69999999999982</v>
      </c>
      <c r="O519" s="260">
        <f t="shared" si="169"/>
        <v>342.61999999999989</v>
      </c>
      <c r="P519" s="260">
        <f t="shared" si="169"/>
        <v>338.11999999999989</v>
      </c>
      <c r="Q519" s="260">
        <f t="shared" si="169"/>
        <v>339.61999999999989</v>
      </c>
      <c r="R519" s="362"/>
      <c r="S519" s="362"/>
      <c r="T519" s="365"/>
      <c r="U519" s="365"/>
      <c r="V519" s="365"/>
      <c r="W519" s="368"/>
      <c r="X519" s="371"/>
    </row>
    <row r="520" spans="1:32" ht="15.6" x14ac:dyDescent="0.3">
      <c r="A520" s="278">
        <v>43709</v>
      </c>
      <c r="B520" s="295" t="s">
        <v>235</v>
      </c>
      <c r="C520" s="295" t="s">
        <v>232</v>
      </c>
      <c r="D520" s="258" t="s">
        <v>186</v>
      </c>
      <c r="E520">
        <v>2677.37</v>
      </c>
      <c r="F520">
        <v>2646.03</v>
      </c>
      <c r="G520">
        <v>2638.58</v>
      </c>
      <c r="H520">
        <v>2648.08</v>
      </c>
      <c r="I520">
        <v>2697.24</v>
      </c>
      <c r="J520">
        <v>2752.86</v>
      </c>
      <c r="K520">
        <v>2664.96</v>
      </c>
      <c r="L520">
        <v>2632.61</v>
      </c>
      <c r="M520">
        <v>2700.21</v>
      </c>
      <c r="N520">
        <v>2666.96</v>
      </c>
      <c r="O520">
        <v>2642.68</v>
      </c>
      <c r="P520">
        <v>2668.59</v>
      </c>
      <c r="Q520">
        <v>2641.04</v>
      </c>
      <c r="R520" s="360">
        <f>IF((Q521=""),"",MAX(E522:Q522))</f>
        <v>400.21000000000004</v>
      </c>
      <c r="S520" s="360">
        <f>IF(Q521="","",MIN(E522:Q522))</f>
        <v>347.76000000000022</v>
      </c>
      <c r="T520" s="363">
        <f>IF((Q522=""),"",AVERAGE(E522:Q522))</f>
        <v>366.22769230769234</v>
      </c>
      <c r="U520" s="363">
        <f>IF((Q521=""),"",(R520-S520)/(R520+S520)*100)</f>
        <v>7.0123133280746295</v>
      </c>
      <c r="V520" s="363">
        <f>STDEV(E522:Q522)</f>
        <v>19.582407986866677</v>
      </c>
      <c r="W520" s="366" t="str">
        <f>IF(Q521="","",IF(T520&gt;300,IF(U520&lt;14,IF(T520&lt;390,"Pass","Fail"),"Fail"),"Fail"))</f>
        <v>Pass</v>
      </c>
      <c r="X520" s="369">
        <v>121</v>
      </c>
      <c r="Y520" s="10" t="s">
        <v>333</v>
      </c>
      <c r="AA520" s="82">
        <v>270</v>
      </c>
      <c r="AB520" s="82">
        <v>370</v>
      </c>
      <c r="AC520" s="82">
        <v>300</v>
      </c>
      <c r="AD520" s="83">
        <v>390</v>
      </c>
      <c r="AE520" s="83">
        <v>20</v>
      </c>
      <c r="AF520" s="83">
        <v>14</v>
      </c>
    </row>
    <row r="521" spans="1:32" ht="15.6" x14ac:dyDescent="0.3">
      <c r="A521" s="222"/>
      <c r="B521" s="259"/>
      <c r="C521" s="259"/>
      <c r="D521" s="258" t="s">
        <v>187</v>
      </c>
      <c r="E521">
        <v>2284.09</v>
      </c>
      <c r="F521">
        <v>2292.5700000000002</v>
      </c>
      <c r="G521">
        <v>2289.02</v>
      </c>
      <c r="H521">
        <v>2293.56</v>
      </c>
      <c r="I521">
        <v>2308.64</v>
      </c>
      <c r="J521">
        <v>2352.65</v>
      </c>
      <c r="K521">
        <v>2308.3200000000002</v>
      </c>
      <c r="L521">
        <v>2284.85</v>
      </c>
      <c r="M521">
        <v>2306.59</v>
      </c>
      <c r="N521">
        <v>2312.9699999999998</v>
      </c>
      <c r="O521">
        <v>2287.66</v>
      </c>
      <c r="P521">
        <v>2308.88</v>
      </c>
      <c r="Q521">
        <v>2286.4499999999998</v>
      </c>
      <c r="R521" s="361"/>
      <c r="S521" s="361"/>
      <c r="T521" s="364"/>
      <c r="U521" s="364"/>
      <c r="V521" s="364"/>
      <c r="W521" s="367"/>
      <c r="X521" s="370"/>
    </row>
    <row r="522" spans="1:32" ht="30" x14ac:dyDescent="0.25">
      <c r="A522" s="292"/>
      <c r="B522" s="257"/>
      <c r="C522" s="257"/>
      <c r="D522" s="258" t="s">
        <v>188</v>
      </c>
      <c r="E522" s="260">
        <f t="shared" ref="E522:Q522" si="170">IF(((E520="")*AND(E521="")),"",(E520-E521))</f>
        <v>393.27999999999975</v>
      </c>
      <c r="F522" s="260">
        <f t="shared" si="170"/>
        <v>353.46000000000004</v>
      </c>
      <c r="G522" s="260">
        <f t="shared" si="170"/>
        <v>349.55999999999995</v>
      </c>
      <c r="H522" s="260">
        <f t="shared" si="170"/>
        <v>354.52</v>
      </c>
      <c r="I522" s="260">
        <f t="shared" si="170"/>
        <v>388.59999999999991</v>
      </c>
      <c r="J522" s="260">
        <f t="shared" si="170"/>
        <v>400.21000000000004</v>
      </c>
      <c r="K522" s="260">
        <f t="shared" si="170"/>
        <v>356.63999999999987</v>
      </c>
      <c r="L522" s="260">
        <f t="shared" si="170"/>
        <v>347.76000000000022</v>
      </c>
      <c r="M522" s="260">
        <f t="shared" si="170"/>
        <v>393.61999999999989</v>
      </c>
      <c r="N522" s="260">
        <f t="shared" si="170"/>
        <v>353.99000000000024</v>
      </c>
      <c r="O522" s="260">
        <f t="shared" si="170"/>
        <v>355.02</v>
      </c>
      <c r="P522" s="260">
        <f t="shared" si="170"/>
        <v>359.71000000000004</v>
      </c>
      <c r="Q522" s="260">
        <f t="shared" si="170"/>
        <v>354.59000000000015</v>
      </c>
      <c r="R522" s="362"/>
      <c r="S522" s="362"/>
      <c r="T522" s="365"/>
      <c r="U522" s="365"/>
      <c r="V522" s="365"/>
      <c r="W522" s="368"/>
      <c r="X522" s="371"/>
    </row>
    <row r="523" spans="1:32" ht="15.6" x14ac:dyDescent="0.3">
      <c r="A523" s="278">
        <v>43710</v>
      </c>
      <c r="B523" s="295" t="s">
        <v>235</v>
      </c>
      <c r="C523" s="295" t="s">
        <v>232</v>
      </c>
      <c r="D523" s="258" t="s">
        <v>186</v>
      </c>
      <c r="E523">
        <v>3078.5</v>
      </c>
      <c r="F523">
        <v>2981.46</v>
      </c>
      <c r="G523">
        <v>2968.24</v>
      </c>
      <c r="H523">
        <v>2983.82</v>
      </c>
      <c r="I523">
        <v>3068.25</v>
      </c>
      <c r="J523">
        <v>3126.64</v>
      </c>
      <c r="K523">
        <v>2966.16</v>
      </c>
      <c r="L523">
        <v>2958.98</v>
      </c>
      <c r="M523">
        <v>3053.92</v>
      </c>
      <c r="N523">
        <v>2988.6</v>
      </c>
      <c r="O523">
        <v>2989.64</v>
      </c>
      <c r="P523">
        <v>2988.24</v>
      </c>
      <c r="Q523">
        <v>2974.82</v>
      </c>
      <c r="R523" s="360">
        <f>IF((Q524=""),"",MAX(E525:Q525))</f>
        <v>383.13999999999987</v>
      </c>
      <c r="S523" s="360">
        <f>IF(Q524="","",MIN(E525:Q525))</f>
        <v>307.75999999999976</v>
      </c>
      <c r="T523" s="363">
        <f>IF((Q525=""),"",AVERAGE(E525:Q525))</f>
        <v>342.95461538461529</v>
      </c>
      <c r="U523" s="363">
        <f>IF((Q524=""),"",(R523-S523)/(R523+S523)*100)</f>
        <v>10.910406715877862</v>
      </c>
      <c r="V523" s="363">
        <f>STDEV(E525:Q525)</f>
        <v>24.941626723005538</v>
      </c>
      <c r="W523" s="366" t="str">
        <f>IF(Q524="","",IF(T523&gt;300,IF(U523&lt;14,IF(T523&lt;390,"Pass","Fail"),"Fail"),"Fail"))</f>
        <v>Pass</v>
      </c>
      <c r="X523" s="369">
        <v>1335</v>
      </c>
      <c r="AA523" s="82">
        <v>270</v>
      </c>
      <c r="AB523" s="82">
        <v>370</v>
      </c>
      <c r="AC523" s="82">
        <v>300</v>
      </c>
      <c r="AD523" s="83">
        <v>390</v>
      </c>
      <c r="AE523" s="83">
        <v>20</v>
      </c>
      <c r="AF523" s="83">
        <v>14</v>
      </c>
    </row>
    <row r="524" spans="1:32" ht="15.6" x14ac:dyDescent="0.3">
      <c r="A524" s="222"/>
      <c r="B524" s="259"/>
      <c r="C524" s="259"/>
      <c r="D524" s="258" t="s">
        <v>187</v>
      </c>
      <c r="E524">
        <v>2706.57</v>
      </c>
      <c r="F524">
        <v>2647.87</v>
      </c>
      <c r="G524">
        <v>2636.84</v>
      </c>
      <c r="H524">
        <v>2649.06</v>
      </c>
      <c r="I524">
        <v>2685.11</v>
      </c>
      <c r="J524">
        <v>2750.36</v>
      </c>
      <c r="K524">
        <v>2658.4</v>
      </c>
      <c r="L524">
        <v>2634.59</v>
      </c>
      <c r="M524">
        <v>2685.29</v>
      </c>
      <c r="N524">
        <v>2672.25</v>
      </c>
      <c r="O524">
        <v>2638.62</v>
      </c>
      <c r="P524">
        <v>2669.58</v>
      </c>
      <c r="Q524">
        <v>2634.32</v>
      </c>
      <c r="R524" s="361"/>
      <c r="S524" s="361"/>
      <c r="T524" s="364"/>
      <c r="U524" s="364"/>
      <c r="V524" s="364"/>
      <c r="W524" s="367"/>
      <c r="X524" s="370"/>
    </row>
    <row r="525" spans="1:32" ht="30" x14ac:dyDescent="0.25">
      <c r="A525" s="292"/>
      <c r="B525" s="257"/>
      <c r="C525" s="257"/>
      <c r="D525" s="258" t="s">
        <v>188</v>
      </c>
      <c r="E525" s="260">
        <f t="shared" ref="E525:Q525" si="171">IF(((E523="")*AND(E524="")),"",(E523-E524))</f>
        <v>371.92999999999984</v>
      </c>
      <c r="F525" s="260">
        <f t="shared" si="171"/>
        <v>333.59000000000015</v>
      </c>
      <c r="G525" s="260">
        <f t="shared" si="171"/>
        <v>331.39999999999964</v>
      </c>
      <c r="H525" s="260">
        <f t="shared" si="171"/>
        <v>334.76000000000022</v>
      </c>
      <c r="I525" s="260">
        <f t="shared" si="171"/>
        <v>383.13999999999987</v>
      </c>
      <c r="J525" s="260">
        <f t="shared" si="171"/>
        <v>376.27999999999975</v>
      </c>
      <c r="K525" s="260">
        <f t="shared" si="171"/>
        <v>307.75999999999976</v>
      </c>
      <c r="L525" s="260">
        <f t="shared" si="171"/>
        <v>324.38999999999987</v>
      </c>
      <c r="M525" s="260">
        <f t="shared" si="171"/>
        <v>368.63000000000011</v>
      </c>
      <c r="N525" s="260">
        <f t="shared" si="171"/>
        <v>316.34999999999991</v>
      </c>
      <c r="O525" s="260">
        <f t="shared" si="171"/>
        <v>351.02</v>
      </c>
      <c r="P525" s="260">
        <f t="shared" si="171"/>
        <v>318.65999999999985</v>
      </c>
      <c r="Q525" s="260">
        <f t="shared" si="171"/>
        <v>340.5</v>
      </c>
      <c r="R525" s="362"/>
      <c r="S525" s="362"/>
      <c r="T525" s="365"/>
      <c r="U525" s="365"/>
      <c r="V525" s="365"/>
      <c r="W525" s="368"/>
      <c r="X525" s="371"/>
    </row>
    <row r="526" spans="1:32" ht="15.6" x14ac:dyDescent="0.3">
      <c r="A526" s="222">
        <v>43713</v>
      </c>
      <c r="B526" s="295" t="s">
        <v>235</v>
      </c>
      <c r="C526" s="295" t="s">
        <v>232</v>
      </c>
      <c r="D526" s="258" t="s">
        <v>186</v>
      </c>
      <c r="E526">
        <v>3066.56</v>
      </c>
      <c r="F526">
        <v>2975.87</v>
      </c>
      <c r="G526">
        <v>2969.94</v>
      </c>
      <c r="H526">
        <v>2978.29</v>
      </c>
      <c r="I526">
        <v>3072.58</v>
      </c>
      <c r="J526">
        <v>3129.75</v>
      </c>
      <c r="K526">
        <v>2994.46</v>
      </c>
      <c r="L526">
        <v>2972.06</v>
      </c>
      <c r="M526">
        <v>3071.84</v>
      </c>
      <c r="N526">
        <v>3004.31</v>
      </c>
      <c r="O526">
        <v>2984.44</v>
      </c>
      <c r="P526">
        <v>3003.85</v>
      </c>
      <c r="Q526">
        <v>2981.33</v>
      </c>
      <c r="R526" s="360">
        <f>IF((Q527=""),"",MAX(E528:Q528))</f>
        <v>383.53999999999996</v>
      </c>
      <c r="S526" s="360">
        <f>IF(Q527="","",MIN(E528:Q528))</f>
        <v>323.09000000000015</v>
      </c>
      <c r="T526" s="363">
        <f>IF((Q528=""),"",AVERAGE(E528:Q528))</f>
        <v>351.45692307692303</v>
      </c>
      <c r="U526" s="363">
        <f>IF((Q527=""),"",(R526-S526)/(R526+S526)*100)</f>
        <v>8.554689158399702</v>
      </c>
      <c r="V526" s="363">
        <f>STDEV(E528:Q528)</f>
        <v>22.161218522686351</v>
      </c>
      <c r="W526" s="366" t="str">
        <f>IF(Q527="","",IF(T526&gt;300,IF(U526&lt;14,IF(T526&lt;390,"Pass","Fail"),"Fail"),"Fail"))</f>
        <v>Pass</v>
      </c>
      <c r="X526" s="369"/>
      <c r="Y526" s="10" t="s">
        <v>335</v>
      </c>
      <c r="AA526" s="82">
        <v>270</v>
      </c>
      <c r="AB526" s="82">
        <v>370</v>
      </c>
      <c r="AC526" s="82">
        <v>300</v>
      </c>
      <c r="AD526" s="83">
        <v>390</v>
      </c>
      <c r="AE526" s="83">
        <v>20</v>
      </c>
      <c r="AF526" s="83">
        <v>14</v>
      </c>
    </row>
    <row r="527" spans="1:32" ht="15.6" x14ac:dyDescent="0.3">
      <c r="A527" s="222"/>
      <c r="B527" s="259"/>
      <c r="C527" s="259"/>
      <c r="D527" s="258" t="s">
        <v>187</v>
      </c>
      <c r="E527">
        <v>2684.57</v>
      </c>
      <c r="F527">
        <v>2641.47</v>
      </c>
      <c r="G527">
        <v>2642.27</v>
      </c>
      <c r="H527">
        <v>2655.2</v>
      </c>
      <c r="I527">
        <v>2693.74</v>
      </c>
      <c r="J527">
        <v>2748.45</v>
      </c>
      <c r="K527">
        <v>2652.59</v>
      </c>
      <c r="L527">
        <v>2639.32</v>
      </c>
      <c r="M527">
        <v>2688.3</v>
      </c>
      <c r="N527">
        <v>2663.1</v>
      </c>
      <c r="O527">
        <v>2637.84</v>
      </c>
      <c r="P527">
        <v>2651.94</v>
      </c>
      <c r="Q527">
        <v>2637.55</v>
      </c>
      <c r="R527" s="361"/>
      <c r="S527" s="361"/>
      <c r="T527" s="364"/>
      <c r="U527" s="364"/>
      <c r="V527" s="364"/>
      <c r="W527" s="367"/>
      <c r="X527" s="370"/>
    </row>
    <row r="528" spans="1:32" ht="30" x14ac:dyDescent="0.25">
      <c r="A528" s="292"/>
      <c r="B528" s="257"/>
      <c r="C528" s="257"/>
      <c r="D528" s="258" t="s">
        <v>188</v>
      </c>
      <c r="E528" s="260">
        <f t="shared" ref="E528:Q528" si="172">IF(((E526="")*AND(E527="")),"",(E526-E527))</f>
        <v>381.98999999999978</v>
      </c>
      <c r="F528" s="260">
        <f t="shared" si="172"/>
        <v>334.40000000000009</v>
      </c>
      <c r="G528" s="260">
        <f t="shared" si="172"/>
        <v>327.67000000000007</v>
      </c>
      <c r="H528" s="260">
        <f t="shared" si="172"/>
        <v>323.09000000000015</v>
      </c>
      <c r="I528" s="260">
        <f t="shared" si="172"/>
        <v>378.84000000000015</v>
      </c>
      <c r="J528" s="260">
        <f t="shared" si="172"/>
        <v>381.30000000000018</v>
      </c>
      <c r="K528" s="260">
        <f t="shared" si="172"/>
        <v>341.86999999999989</v>
      </c>
      <c r="L528" s="260">
        <f t="shared" si="172"/>
        <v>332.73999999999978</v>
      </c>
      <c r="M528" s="260">
        <f t="shared" si="172"/>
        <v>383.53999999999996</v>
      </c>
      <c r="N528" s="260">
        <f t="shared" si="172"/>
        <v>341.21000000000004</v>
      </c>
      <c r="O528" s="260">
        <f t="shared" si="172"/>
        <v>346.59999999999991</v>
      </c>
      <c r="P528" s="260">
        <f t="shared" si="172"/>
        <v>351.90999999999985</v>
      </c>
      <c r="Q528" s="260">
        <f t="shared" si="172"/>
        <v>343.77999999999975</v>
      </c>
      <c r="R528" s="362"/>
      <c r="S528" s="362"/>
      <c r="T528" s="365"/>
      <c r="U528" s="365"/>
      <c r="V528" s="365"/>
      <c r="W528" s="368"/>
      <c r="X528" s="371"/>
    </row>
    <row r="529" spans="1:32" ht="15.6" x14ac:dyDescent="0.3">
      <c r="A529" s="278">
        <v>43716</v>
      </c>
      <c r="B529" s="295" t="s">
        <v>235</v>
      </c>
      <c r="C529" s="295" t="s">
        <v>232</v>
      </c>
      <c r="D529" s="258" t="s">
        <v>186</v>
      </c>
      <c r="E529">
        <v>2688.62</v>
      </c>
      <c r="F529">
        <v>2642.97</v>
      </c>
      <c r="G529">
        <v>2629.16</v>
      </c>
      <c r="H529">
        <v>2640.73</v>
      </c>
      <c r="I529">
        <v>2693.69</v>
      </c>
      <c r="J529">
        <v>2752.14</v>
      </c>
      <c r="K529">
        <v>2656.08</v>
      </c>
      <c r="L529">
        <v>2629.7</v>
      </c>
      <c r="M529">
        <v>2690.59</v>
      </c>
      <c r="N529">
        <v>2662.69</v>
      </c>
      <c r="O529">
        <v>2636.15</v>
      </c>
      <c r="P529">
        <v>2655.1</v>
      </c>
      <c r="Q529">
        <v>2641.37</v>
      </c>
      <c r="R529" s="360">
        <f>IF((Q530=""),"",MAX(E531:Q531))</f>
        <v>404.17999999999984</v>
      </c>
      <c r="S529" s="360">
        <f>IF(Q530="","",MIN(E531:Q531))</f>
        <v>350.71000000000004</v>
      </c>
      <c r="T529" s="363">
        <f>IF((Q531=""),"",AVERAGE(E531:Q531))</f>
        <v>369.22153846153844</v>
      </c>
      <c r="U529" s="363">
        <f>IF((Q530=""),"",(R529-S529)/(R529+S529)*100)</f>
        <v>7.0831511875902198</v>
      </c>
      <c r="V529" s="363">
        <f>STDEV(E531:Q531)</f>
        <v>20.359394983706217</v>
      </c>
      <c r="W529" s="366" t="str">
        <f>IF(Q530="","",IF(T529&gt;300,IF(U529&lt;14,IF(T529&lt;390,"Pass","Fail"),"Fail"),"Fail"))</f>
        <v>Pass</v>
      </c>
      <c r="X529" s="369">
        <v>64</v>
      </c>
      <c r="Y529" s="10" t="s">
        <v>336</v>
      </c>
      <c r="AA529" s="82">
        <v>270</v>
      </c>
      <c r="AB529" s="82">
        <v>370</v>
      </c>
      <c r="AC529" s="82">
        <v>300</v>
      </c>
      <c r="AD529" s="83">
        <v>390</v>
      </c>
      <c r="AE529" s="83">
        <v>20</v>
      </c>
      <c r="AF529" s="83">
        <v>14</v>
      </c>
    </row>
    <row r="530" spans="1:32" ht="15.6" x14ac:dyDescent="0.3">
      <c r="A530" s="222"/>
      <c r="B530" s="259"/>
      <c r="C530" s="259"/>
      <c r="D530" s="258" t="s">
        <v>187</v>
      </c>
      <c r="E530">
        <v>2284.44</v>
      </c>
      <c r="F530">
        <v>2285.12</v>
      </c>
      <c r="G530">
        <v>2278.4499999999998</v>
      </c>
      <c r="H530">
        <v>2285.1999999999998</v>
      </c>
      <c r="I530">
        <v>2298.79</v>
      </c>
      <c r="J530">
        <v>2355.5500000000002</v>
      </c>
      <c r="K530">
        <v>2298.7399999999998</v>
      </c>
      <c r="L530">
        <v>2274.33</v>
      </c>
      <c r="M530">
        <v>2293.94</v>
      </c>
      <c r="N530">
        <v>2304.6999999999998</v>
      </c>
      <c r="O530">
        <v>2280.17</v>
      </c>
      <c r="P530">
        <v>2302.31</v>
      </c>
      <c r="Q530">
        <v>2277.37</v>
      </c>
      <c r="R530" s="361"/>
      <c r="S530" s="361"/>
      <c r="T530" s="364"/>
      <c r="U530" s="364"/>
      <c r="V530" s="364"/>
      <c r="W530" s="367"/>
      <c r="X530" s="370"/>
    </row>
    <row r="531" spans="1:32" ht="30" x14ac:dyDescent="0.25">
      <c r="A531" s="292"/>
      <c r="B531" s="257"/>
      <c r="C531" s="257"/>
      <c r="D531" s="258" t="s">
        <v>188</v>
      </c>
      <c r="E531" s="260">
        <f t="shared" ref="E531:Q531" si="173">IF(((E529="")*AND(E530="")),"",(E529-E530))</f>
        <v>404.17999999999984</v>
      </c>
      <c r="F531" s="260">
        <f t="shared" si="173"/>
        <v>357.84999999999991</v>
      </c>
      <c r="G531" s="260">
        <f t="shared" si="173"/>
        <v>350.71000000000004</v>
      </c>
      <c r="H531" s="260">
        <f t="shared" si="173"/>
        <v>355.5300000000002</v>
      </c>
      <c r="I531" s="260">
        <f t="shared" si="173"/>
        <v>394.90000000000009</v>
      </c>
      <c r="J531" s="260">
        <f t="shared" si="173"/>
        <v>396.58999999999969</v>
      </c>
      <c r="K531" s="260">
        <f t="shared" si="173"/>
        <v>357.34000000000015</v>
      </c>
      <c r="L531" s="260">
        <f t="shared" si="173"/>
        <v>355.36999999999989</v>
      </c>
      <c r="M531" s="260">
        <f t="shared" si="173"/>
        <v>396.65000000000009</v>
      </c>
      <c r="N531" s="260">
        <f t="shared" si="173"/>
        <v>357.99000000000024</v>
      </c>
      <c r="O531" s="260">
        <f t="shared" si="173"/>
        <v>355.98</v>
      </c>
      <c r="P531" s="260">
        <f t="shared" si="173"/>
        <v>352.78999999999996</v>
      </c>
      <c r="Q531" s="260">
        <f t="shared" si="173"/>
        <v>364</v>
      </c>
      <c r="R531" s="362"/>
      <c r="S531" s="362"/>
      <c r="T531" s="365"/>
      <c r="U531" s="365"/>
      <c r="V531" s="365"/>
      <c r="W531" s="368"/>
      <c r="X531" s="371"/>
    </row>
    <row r="532" spans="1:32" ht="15.6" x14ac:dyDescent="0.3">
      <c r="A532" s="278">
        <v>43719</v>
      </c>
      <c r="B532" s="295" t="s">
        <v>235</v>
      </c>
      <c r="C532" s="295" t="s">
        <v>232</v>
      </c>
      <c r="D532" s="258" t="s">
        <v>186</v>
      </c>
      <c r="E532">
        <v>3101.98</v>
      </c>
      <c r="F532">
        <v>2988.79</v>
      </c>
      <c r="G532">
        <v>2956.87</v>
      </c>
      <c r="H532">
        <v>2969.46</v>
      </c>
      <c r="I532">
        <v>3052.46</v>
      </c>
      <c r="J532">
        <v>3117.37</v>
      </c>
      <c r="K532">
        <v>2995.79</v>
      </c>
      <c r="L532">
        <v>2957.26</v>
      </c>
      <c r="M532">
        <v>3037.92</v>
      </c>
      <c r="N532">
        <v>3004</v>
      </c>
      <c r="O532">
        <v>2982.38</v>
      </c>
      <c r="P532">
        <v>2979.75</v>
      </c>
      <c r="Q532">
        <v>2984.05</v>
      </c>
      <c r="R532" s="360">
        <f>IF((Q533=""),"",MAX(E534:Q534))</f>
        <v>388.5</v>
      </c>
      <c r="S532" s="360">
        <f>IF(Q533="","",MIN(E534:Q534))</f>
        <v>328.75</v>
      </c>
      <c r="T532" s="363">
        <f>IF((Q534=""),"",AVERAGE(E534:Q534))</f>
        <v>356.97230769230771</v>
      </c>
      <c r="U532" s="363">
        <f>IF((Q533=""),"",(R532-S532)/(R532+S532)*100)</f>
        <v>8.3304287208086443</v>
      </c>
      <c r="V532" s="363">
        <f>STDEV(E534:Q534)</f>
        <v>22.739726308029834</v>
      </c>
      <c r="W532" s="366" t="str">
        <f>IF(Q533="","",IF(T532&gt;300,IF(U532&lt;14,IF(T532&lt;390,"Pass","Fail"),"Fail"),"Fail"))</f>
        <v>Pass</v>
      </c>
      <c r="X532" s="369" t="s">
        <v>338</v>
      </c>
      <c r="AA532" s="82">
        <v>270</v>
      </c>
      <c r="AB532" s="82">
        <v>370</v>
      </c>
      <c r="AC532" s="82">
        <v>300</v>
      </c>
      <c r="AD532" s="83">
        <v>390</v>
      </c>
      <c r="AE532" s="83">
        <v>20</v>
      </c>
      <c r="AF532" s="83">
        <v>14</v>
      </c>
    </row>
    <row r="533" spans="1:32" ht="15.6" x14ac:dyDescent="0.3">
      <c r="A533" s="222"/>
      <c r="B533" s="259"/>
      <c r="C533" s="259"/>
      <c r="D533" s="258" t="s">
        <v>187</v>
      </c>
      <c r="E533">
        <v>2713.48</v>
      </c>
      <c r="F533">
        <v>2639.48</v>
      </c>
      <c r="G533">
        <v>2625.69</v>
      </c>
      <c r="H533">
        <v>2628.36</v>
      </c>
      <c r="I533">
        <v>2665.43</v>
      </c>
      <c r="J533">
        <v>2732.38</v>
      </c>
      <c r="K533">
        <v>2641.57</v>
      </c>
      <c r="L533">
        <v>2628.51</v>
      </c>
      <c r="M533">
        <v>2650.04</v>
      </c>
      <c r="N533">
        <v>2664.31</v>
      </c>
      <c r="O533">
        <v>2620.31</v>
      </c>
      <c r="P533">
        <v>2642.71</v>
      </c>
      <c r="Q533">
        <v>2635.17</v>
      </c>
      <c r="R533" s="361"/>
      <c r="S533" s="361"/>
      <c r="T533" s="364"/>
      <c r="U533" s="364"/>
      <c r="V533" s="364"/>
      <c r="W533" s="367"/>
      <c r="X533" s="370"/>
    </row>
    <row r="534" spans="1:32" ht="30" x14ac:dyDescent="0.25">
      <c r="A534" s="292"/>
      <c r="B534" s="257"/>
      <c r="C534" s="257"/>
      <c r="D534" s="258" t="s">
        <v>188</v>
      </c>
      <c r="E534" s="260">
        <f t="shared" ref="E534:Q534" si="174">IF(((E532="")*AND(E533="")),"",(E532-E533))</f>
        <v>388.5</v>
      </c>
      <c r="F534" s="260">
        <f t="shared" si="174"/>
        <v>349.30999999999995</v>
      </c>
      <c r="G534" s="260">
        <f t="shared" si="174"/>
        <v>331.17999999999984</v>
      </c>
      <c r="H534" s="260">
        <f t="shared" si="174"/>
        <v>341.09999999999991</v>
      </c>
      <c r="I534" s="260">
        <f t="shared" si="174"/>
        <v>387.0300000000002</v>
      </c>
      <c r="J534" s="260">
        <f t="shared" si="174"/>
        <v>384.98999999999978</v>
      </c>
      <c r="K534" s="260">
        <f t="shared" si="174"/>
        <v>354.2199999999998</v>
      </c>
      <c r="L534" s="260">
        <f t="shared" si="174"/>
        <v>328.75</v>
      </c>
      <c r="M534" s="260">
        <f t="shared" si="174"/>
        <v>387.88000000000011</v>
      </c>
      <c r="N534" s="260">
        <f t="shared" si="174"/>
        <v>339.69000000000005</v>
      </c>
      <c r="O534" s="260">
        <f t="shared" si="174"/>
        <v>362.07000000000016</v>
      </c>
      <c r="P534" s="260">
        <f t="shared" si="174"/>
        <v>337.03999999999996</v>
      </c>
      <c r="Q534" s="260">
        <f t="shared" si="174"/>
        <v>348.88000000000011</v>
      </c>
      <c r="R534" s="362"/>
      <c r="S534" s="362"/>
      <c r="T534" s="365"/>
      <c r="U534" s="365"/>
      <c r="V534" s="365"/>
      <c r="W534" s="368"/>
      <c r="X534" s="371"/>
    </row>
    <row r="535" spans="1:32" ht="15.6" x14ac:dyDescent="0.3">
      <c r="A535" s="278">
        <v>43720</v>
      </c>
      <c r="B535" s="295" t="s">
        <v>235</v>
      </c>
      <c r="C535" s="295" t="s">
        <v>232</v>
      </c>
      <c r="D535" s="258" t="s">
        <v>186</v>
      </c>
      <c r="E535">
        <v>3065.8</v>
      </c>
      <c r="F535">
        <v>2973.97</v>
      </c>
      <c r="G535">
        <v>2970.89</v>
      </c>
      <c r="H535">
        <v>2991.76</v>
      </c>
      <c r="I535">
        <v>3133.81</v>
      </c>
      <c r="J535">
        <v>3106.31</v>
      </c>
      <c r="K535">
        <v>2984.33</v>
      </c>
      <c r="L535">
        <v>2977.6</v>
      </c>
      <c r="M535">
        <v>3072.51</v>
      </c>
      <c r="N535">
        <v>2984.66</v>
      </c>
      <c r="O535">
        <v>2996.58</v>
      </c>
      <c r="P535">
        <v>3009.5</v>
      </c>
      <c r="Q535">
        <v>2985.02</v>
      </c>
      <c r="R535" s="360">
        <f>IF((Q536=""),"",MAX(E537:Q537))</f>
        <v>410.41000000000031</v>
      </c>
      <c r="S535" s="360">
        <f>IF(Q536="","",MIN(E537:Q537))</f>
        <v>346.05999999999995</v>
      </c>
      <c r="T535" s="363">
        <f>IF((Q537=""),"",AVERAGE(E537:Q537))</f>
        <v>366.79307692307691</v>
      </c>
      <c r="U535" s="363">
        <f>IF((Q536=""),"",(R535-S535)/(R535+S535)*100)</f>
        <v>8.5066162570888917</v>
      </c>
      <c r="V535" s="363">
        <f>STDEV(E537:Q537)</f>
        <v>27.364734722088215</v>
      </c>
      <c r="W535" s="366" t="str">
        <f>IF(Q536="","",IF(T535&gt;300,IF(U535&lt;14,IF(T535&lt;390,"Pass","Fail"),"Fail"),"Fail"))</f>
        <v>Pass</v>
      </c>
      <c r="X535" s="369">
        <v>74</v>
      </c>
      <c r="AA535" s="82">
        <v>270</v>
      </c>
      <c r="AB535" s="82">
        <v>370</v>
      </c>
      <c r="AC535" s="82">
        <v>300</v>
      </c>
      <c r="AD535" s="83">
        <v>390</v>
      </c>
      <c r="AE535" s="83">
        <v>20</v>
      </c>
      <c r="AF535" s="83">
        <v>14</v>
      </c>
    </row>
    <row r="536" spans="1:32" ht="15.6" x14ac:dyDescent="0.3">
      <c r="A536" s="222"/>
      <c r="B536" s="259"/>
      <c r="C536" s="259"/>
      <c r="D536" s="258" t="s">
        <v>187</v>
      </c>
      <c r="E536">
        <v>2655.39</v>
      </c>
      <c r="F536">
        <v>2627.08</v>
      </c>
      <c r="G536">
        <v>2623.48</v>
      </c>
      <c r="H536">
        <v>2644.28</v>
      </c>
      <c r="I536">
        <v>2733.53</v>
      </c>
      <c r="J536">
        <v>2695.91</v>
      </c>
      <c r="K536">
        <v>2638.27</v>
      </c>
      <c r="L536">
        <v>2626.96</v>
      </c>
      <c r="M536">
        <v>2669.82</v>
      </c>
      <c r="N536">
        <v>2634.46</v>
      </c>
      <c r="O536">
        <v>2644.39</v>
      </c>
      <c r="P536">
        <v>2657.69</v>
      </c>
      <c r="Q536">
        <v>2633.17</v>
      </c>
      <c r="R536" s="361"/>
      <c r="S536" s="361"/>
      <c r="T536" s="364"/>
      <c r="U536" s="364"/>
      <c r="V536" s="364"/>
      <c r="W536" s="367"/>
      <c r="X536" s="370"/>
    </row>
    <row r="537" spans="1:32" ht="30" x14ac:dyDescent="0.25">
      <c r="A537" s="292"/>
      <c r="B537" s="257"/>
      <c r="C537" s="257"/>
      <c r="D537" s="258" t="s">
        <v>188</v>
      </c>
      <c r="E537" s="260">
        <f t="shared" ref="E537:Q537" si="175">IF(((E535="")*AND(E536="")),"",(E535-E536))</f>
        <v>410.41000000000031</v>
      </c>
      <c r="F537" s="260">
        <f t="shared" si="175"/>
        <v>346.88999999999987</v>
      </c>
      <c r="G537" s="260">
        <f t="shared" si="175"/>
        <v>347.40999999999985</v>
      </c>
      <c r="H537" s="260">
        <f t="shared" si="175"/>
        <v>347.48</v>
      </c>
      <c r="I537" s="260">
        <f t="shared" si="175"/>
        <v>400.27999999999975</v>
      </c>
      <c r="J537" s="260">
        <f t="shared" si="175"/>
        <v>410.40000000000009</v>
      </c>
      <c r="K537" s="260">
        <f t="shared" si="175"/>
        <v>346.05999999999995</v>
      </c>
      <c r="L537" s="260">
        <f t="shared" si="175"/>
        <v>350.63999999999987</v>
      </c>
      <c r="M537" s="260">
        <f t="shared" si="175"/>
        <v>402.69000000000005</v>
      </c>
      <c r="N537" s="260">
        <f t="shared" si="175"/>
        <v>350.19999999999982</v>
      </c>
      <c r="O537" s="260">
        <f t="shared" si="175"/>
        <v>352.19000000000005</v>
      </c>
      <c r="P537" s="260">
        <f t="shared" si="175"/>
        <v>351.80999999999995</v>
      </c>
      <c r="Q537" s="260">
        <f t="shared" si="175"/>
        <v>351.84999999999991</v>
      </c>
      <c r="R537" s="362"/>
      <c r="S537" s="362"/>
      <c r="T537" s="365"/>
      <c r="U537" s="365"/>
      <c r="V537" s="365"/>
      <c r="W537" s="368"/>
      <c r="X537" s="371"/>
    </row>
    <row r="538" spans="1:32" ht="15.6" x14ac:dyDescent="0.3">
      <c r="A538" s="278">
        <v>43724</v>
      </c>
      <c r="B538" s="295" t="s">
        <v>235</v>
      </c>
      <c r="C538" s="295" t="s">
        <v>232</v>
      </c>
      <c r="D538" s="258" t="s">
        <v>186</v>
      </c>
      <c r="E538">
        <v>2945.49</v>
      </c>
      <c r="F538">
        <v>2819.57</v>
      </c>
      <c r="G538">
        <v>2798.7</v>
      </c>
      <c r="H538">
        <v>2804.97</v>
      </c>
      <c r="I538">
        <v>2899.49</v>
      </c>
      <c r="J538">
        <v>2961.52</v>
      </c>
      <c r="K538">
        <v>2824.22</v>
      </c>
      <c r="L538">
        <v>2809.08</v>
      </c>
      <c r="M538">
        <v>2923.89</v>
      </c>
      <c r="N538">
        <v>2846.06</v>
      </c>
      <c r="O538">
        <v>2814.47</v>
      </c>
      <c r="P538">
        <v>2825.93</v>
      </c>
      <c r="Q538">
        <v>2822.46</v>
      </c>
      <c r="R538" s="360">
        <f>IF((Q539=""),"",MAX(E540:Q540))</f>
        <v>396.48999999999978</v>
      </c>
      <c r="S538" s="360">
        <f>IF(Q539="","",MIN(E540:Q540))</f>
        <v>320.07999999999993</v>
      </c>
      <c r="T538" s="363">
        <f>IF((Q540=""),"",AVERAGE(E540:Q540))</f>
        <v>348.94384615384604</v>
      </c>
      <c r="U538" s="363">
        <f>IF((Q539=""),"",(R538-S538)/(R538+S538)*100)</f>
        <v>10.663298770531823</v>
      </c>
      <c r="V538" s="363">
        <f>STDEV(E540:Q540)</f>
        <v>31.393163942293103</v>
      </c>
      <c r="W538" s="366" t="str">
        <f>IF(Q539="","",IF(T538&gt;300,IF(U538&lt;14,IF(T538&lt;390,"Pass","Fail"),"Fail"),"Fail"))</f>
        <v>Pass</v>
      </c>
      <c r="X538" s="369">
        <v>1340</v>
      </c>
      <c r="AA538" s="82">
        <v>270</v>
      </c>
      <c r="AB538" s="82">
        <v>370</v>
      </c>
      <c r="AC538" s="82">
        <v>300</v>
      </c>
      <c r="AD538" s="83">
        <v>390</v>
      </c>
      <c r="AE538" s="83">
        <v>20</v>
      </c>
      <c r="AF538" s="83">
        <v>14</v>
      </c>
    </row>
    <row r="539" spans="1:32" ht="15.6" x14ac:dyDescent="0.3">
      <c r="A539" s="222"/>
      <c r="B539" s="259"/>
      <c r="C539" s="259"/>
      <c r="D539" s="258" t="s">
        <v>187</v>
      </c>
      <c r="E539">
        <v>2549</v>
      </c>
      <c r="F539">
        <v>2494.65</v>
      </c>
      <c r="G539">
        <v>2478.62</v>
      </c>
      <c r="H539">
        <v>2478.5100000000002</v>
      </c>
      <c r="I539">
        <v>2509.71</v>
      </c>
      <c r="J539">
        <v>2565.7199999999998</v>
      </c>
      <c r="K539">
        <v>2495.17</v>
      </c>
      <c r="L539">
        <v>2480.91</v>
      </c>
      <c r="M539">
        <v>2531.11</v>
      </c>
      <c r="N539">
        <v>2509.7199999999998</v>
      </c>
      <c r="O539">
        <v>2486.71</v>
      </c>
      <c r="P539">
        <v>2490.4699999999998</v>
      </c>
      <c r="Q539">
        <v>2489.2800000000002</v>
      </c>
      <c r="R539" s="361"/>
      <c r="S539" s="361"/>
      <c r="T539" s="364"/>
      <c r="U539" s="364"/>
      <c r="V539" s="364"/>
      <c r="W539" s="367"/>
      <c r="X539" s="370"/>
    </row>
    <row r="540" spans="1:32" ht="30" x14ac:dyDescent="0.25">
      <c r="A540" s="292"/>
      <c r="B540" s="257"/>
      <c r="C540" s="257"/>
      <c r="D540" s="258" t="s">
        <v>188</v>
      </c>
      <c r="E540" s="260">
        <f t="shared" ref="E540:Q540" si="176">IF(((E538="")*AND(E539="")),"",(E538-E539))</f>
        <v>396.48999999999978</v>
      </c>
      <c r="F540" s="260">
        <f t="shared" si="176"/>
        <v>324.92000000000007</v>
      </c>
      <c r="G540" s="260">
        <f t="shared" si="176"/>
        <v>320.07999999999993</v>
      </c>
      <c r="H540" s="260">
        <f t="shared" si="176"/>
        <v>326.45999999999958</v>
      </c>
      <c r="I540" s="260">
        <f t="shared" si="176"/>
        <v>389.77999999999975</v>
      </c>
      <c r="J540" s="260">
        <f t="shared" si="176"/>
        <v>395.80000000000018</v>
      </c>
      <c r="K540" s="260">
        <f t="shared" si="176"/>
        <v>329.04999999999973</v>
      </c>
      <c r="L540" s="260">
        <f t="shared" si="176"/>
        <v>328.17000000000007</v>
      </c>
      <c r="M540" s="260">
        <f t="shared" si="176"/>
        <v>392.77999999999975</v>
      </c>
      <c r="N540" s="260">
        <f t="shared" si="176"/>
        <v>336.34000000000015</v>
      </c>
      <c r="O540" s="260">
        <f t="shared" si="176"/>
        <v>327.75999999999976</v>
      </c>
      <c r="P540" s="260">
        <f t="shared" si="176"/>
        <v>335.46000000000004</v>
      </c>
      <c r="Q540" s="260">
        <f t="shared" si="176"/>
        <v>333.17999999999984</v>
      </c>
      <c r="R540" s="362"/>
      <c r="S540" s="362"/>
      <c r="T540" s="365"/>
      <c r="U540" s="365"/>
      <c r="V540" s="365"/>
      <c r="W540" s="368"/>
      <c r="X540" s="371"/>
    </row>
    <row r="541" spans="1:32" ht="15.6" x14ac:dyDescent="0.3">
      <c r="A541" s="278">
        <v>43725</v>
      </c>
      <c r="B541" s="295" t="s">
        <v>235</v>
      </c>
      <c r="C541" s="295" t="s">
        <v>232</v>
      </c>
      <c r="D541" s="258" t="s">
        <v>186</v>
      </c>
      <c r="E541">
        <v>3079.08</v>
      </c>
      <c r="F541">
        <v>2973.57</v>
      </c>
      <c r="G541">
        <v>2972.16</v>
      </c>
      <c r="H541">
        <v>2998.57</v>
      </c>
      <c r="I541">
        <v>3134.47</v>
      </c>
      <c r="J541">
        <v>3067.83</v>
      </c>
      <c r="K541">
        <v>2985.59</v>
      </c>
      <c r="L541">
        <v>2982.48</v>
      </c>
      <c r="M541">
        <v>3073.86</v>
      </c>
      <c r="N541">
        <v>2982.32</v>
      </c>
      <c r="O541">
        <v>3006.52</v>
      </c>
      <c r="P541">
        <v>3009.07</v>
      </c>
      <c r="Q541">
        <v>2983.12</v>
      </c>
      <c r="R541" s="360">
        <f>IF((Q542=""),"",MAX(E543:Q543))</f>
        <v>410.71000000000004</v>
      </c>
      <c r="S541" s="360">
        <f>IF(Q542="","",MIN(E543:Q543))</f>
        <v>331.34000000000015</v>
      </c>
      <c r="T541" s="363">
        <f>IF((Q543=""),"",AVERAGE(E543:Q543))</f>
        <v>356.9961538461539</v>
      </c>
      <c r="U541" s="363">
        <f>IF((Q542=""),"",(R541-S541)/(R541+S541)*100)</f>
        <v>10.696044740920406</v>
      </c>
      <c r="V541" s="363">
        <f>STDEV(E543:Q543)</f>
        <v>32.483901022522204</v>
      </c>
      <c r="W541" s="366" t="str">
        <f>IF(Q542="","",IF(T541&gt;300,IF(U541&lt;14,IF(T541&lt;390,"Pass","Fail"),"Fail"),"Fail"))</f>
        <v>Pass</v>
      </c>
      <c r="X541" s="369">
        <v>1159</v>
      </c>
      <c r="AA541" s="82">
        <v>270</v>
      </c>
      <c r="AB541" s="82">
        <v>370</v>
      </c>
      <c r="AC541" s="82">
        <v>300</v>
      </c>
      <c r="AD541" s="83">
        <v>390</v>
      </c>
      <c r="AE541" s="83">
        <v>20</v>
      </c>
      <c r="AF541" s="83">
        <v>14</v>
      </c>
    </row>
    <row r="542" spans="1:32" ht="15.6" x14ac:dyDescent="0.3">
      <c r="A542" s="222"/>
      <c r="B542" s="259"/>
      <c r="C542" s="259"/>
      <c r="D542" s="258" t="s">
        <v>187</v>
      </c>
      <c r="E542">
        <v>2674.78</v>
      </c>
      <c r="F542">
        <v>2641.6</v>
      </c>
      <c r="G542">
        <v>2639.18</v>
      </c>
      <c r="H542">
        <v>2660.56</v>
      </c>
      <c r="I542">
        <v>2736.43</v>
      </c>
      <c r="J542">
        <v>2657.12</v>
      </c>
      <c r="K542">
        <v>2652.23</v>
      </c>
      <c r="L542">
        <v>2642.94</v>
      </c>
      <c r="M542">
        <v>2673.26</v>
      </c>
      <c r="N542">
        <v>2650.98</v>
      </c>
      <c r="O542">
        <v>2666.96</v>
      </c>
      <c r="P542">
        <v>2667.22</v>
      </c>
      <c r="Q542">
        <v>2644.43</v>
      </c>
      <c r="R542" s="361"/>
      <c r="S542" s="361"/>
      <c r="T542" s="364"/>
      <c r="U542" s="364"/>
      <c r="V542" s="364"/>
      <c r="W542" s="367"/>
      <c r="X542" s="370"/>
    </row>
    <row r="543" spans="1:32" ht="30" x14ac:dyDescent="0.25">
      <c r="A543" s="292"/>
      <c r="B543" s="257"/>
      <c r="C543" s="257"/>
      <c r="D543" s="258" t="s">
        <v>188</v>
      </c>
      <c r="E543" s="260">
        <f t="shared" ref="E543:Q543" si="177">IF(((E541="")*AND(E542="")),"",(E541-E542))</f>
        <v>404.29999999999973</v>
      </c>
      <c r="F543" s="260">
        <f t="shared" si="177"/>
        <v>331.97000000000025</v>
      </c>
      <c r="G543" s="260">
        <f t="shared" si="177"/>
        <v>332.98</v>
      </c>
      <c r="H543" s="260">
        <f t="shared" si="177"/>
        <v>338.01000000000022</v>
      </c>
      <c r="I543" s="260">
        <f t="shared" si="177"/>
        <v>398.03999999999996</v>
      </c>
      <c r="J543" s="260">
        <f t="shared" si="177"/>
        <v>410.71000000000004</v>
      </c>
      <c r="K543" s="260">
        <f t="shared" si="177"/>
        <v>333.36000000000013</v>
      </c>
      <c r="L543" s="260">
        <f t="shared" si="177"/>
        <v>339.53999999999996</v>
      </c>
      <c r="M543" s="260">
        <f t="shared" si="177"/>
        <v>400.59999999999991</v>
      </c>
      <c r="N543" s="260">
        <f t="shared" si="177"/>
        <v>331.34000000000015</v>
      </c>
      <c r="O543" s="260">
        <f t="shared" si="177"/>
        <v>339.55999999999995</v>
      </c>
      <c r="P543" s="260">
        <f t="shared" si="177"/>
        <v>341.85000000000036</v>
      </c>
      <c r="Q543" s="260">
        <f t="shared" si="177"/>
        <v>338.69000000000005</v>
      </c>
      <c r="R543" s="362"/>
      <c r="S543" s="362"/>
      <c r="T543" s="365"/>
      <c r="U543" s="365"/>
      <c r="V543" s="365"/>
      <c r="W543" s="368"/>
      <c r="X543" s="371"/>
    </row>
    <row r="544" spans="1:32" ht="15.6" x14ac:dyDescent="0.3">
      <c r="A544" s="278">
        <v>43726</v>
      </c>
      <c r="B544" s="295" t="s">
        <v>235</v>
      </c>
      <c r="C544" s="295" t="s">
        <v>232</v>
      </c>
      <c r="D544" s="258" t="s">
        <v>186</v>
      </c>
      <c r="E544">
        <v>3134.23</v>
      </c>
      <c r="F544">
        <v>2988.74</v>
      </c>
      <c r="G544">
        <v>2961.4</v>
      </c>
      <c r="H544">
        <v>2968.43</v>
      </c>
      <c r="I544">
        <v>3084.28</v>
      </c>
      <c r="J544">
        <v>3072.83</v>
      </c>
      <c r="K544">
        <v>2976.35</v>
      </c>
      <c r="L544">
        <v>2972.69</v>
      </c>
      <c r="M544">
        <v>3060.07</v>
      </c>
      <c r="N544">
        <v>3000.27</v>
      </c>
      <c r="O544">
        <v>2975.44</v>
      </c>
      <c r="P544">
        <v>2977.54</v>
      </c>
      <c r="Q544">
        <v>3002.55</v>
      </c>
      <c r="R544" s="360">
        <f>IF((Q545=""),"",MAX(E546:Q546))</f>
        <v>403.81999999999971</v>
      </c>
      <c r="S544" s="360">
        <f>IF(Q545="","",MIN(E546:Q546))</f>
        <v>328.42000000000007</v>
      </c>
      <c r="T544" s="363">
        <f>IF((Q546=""),"",AVERAGE(E546:Q546))</f>
        <v>353.48307692307691</v>
      </c>
      <c r="U544" s="363">
        <f>IF((Q545=""),"",(R544-S544)/(R544+S544)*100)</f>
        <v>10.297170326668805</v>
      </c>
      <c r="V544" s="363">
        <f>STDEV(E546:Q546)</f>
        <v>30.777604516004672</v>
      </c>
      <c r="W544" s="366" t="str">
        <f>IF(Q545="","",IF(T544&gt;300,IF(U544&lt;14,IF(T544&lt;390,"Pass","Fail"),"Fail"),"Fail"))</f>
        <v>Pass</v>
      </c>
      <c r="X544" s="369"/>
      <c r="AA544" s="82">
        <v>270</v>
      </c>
      <c r="AB544" s="82">
        <v>370</v>
      </c>
      <c r="AC544" s="82">
        <v>300</v>
      </c>
      <c r="AD544" s="83">
        <v>390</v>
      </c>
      <c r="AE544" s="83">
        <v>20</v>
      </c>
      <c r="AF544" s="83">
        <v>14</v>
      </c>
    </row>
    <row r="545" spans="1:32" ht="15.6" x14ac:dyDescent="0.3">
      <c r="A545" s="222"/>
      <c r="B545" s="259"/>
      <c r="C545" s="259"/>
      <c r="D545" s="258" t="s">
        <v>187</v>
      </c>
      <c r="E545">
        <v>2737.3</v>
      </c>
      <c r="F545">
        <v>2654.1</v>
      </c>
      <c r="G545">
        <v>2632.98</v>
      </c>
      <c r="H545">
        <v>2634.45</v>
      </c>
      <c r="I545">
        <v>2689.48</v>
      </c>
      <c r="J545">
        <v>2669.01</v>
      </c>
      <c r="K545">
        <v>2643.52</v>
      </c>
      <c r="L545">
        <v>2641.48</v>
      </c>
      <c r="M545">
        <v>2665.24</v>
      </c>
      <c r="N545">
        <v>2663.61</v>
      </c>
      <c r="O545">
        <v>2640.33</v>
      </c>
      <c r="P545">
        <v>2644.03</v>
      </c>
      <c r="Q545">
        <v>2664.01</v>
      </c>
      <c r="R545" s="361"/>
      <c r="S545" s="361"/>
      <c r="T545" s="364"/>
      <c r="U545" s="364"/>
      <c r="V545" s="364"/>
      <c r="W545" s="367"/>
      <c r="X545" s="370"/>
    </row>
    <row r="546" spans="1:32" ht="30" x14ac:dyDescent="0.25">
      <c r="A546" s="292"/>
      <c r="B546" s="257"/>
      <c r="C546" s="257"/>
      <c r="D546" s="258" t="s">
        <v>188</v>
      </c>
      <c r="E546" s="260">
        <f t="shared" ref="E546:Q546" si="178">IF(((E544="")*AND(E545="")),"",(E544-E545))</f>
        <v>396.92999999999984</v>
      </c>
      <c r="F546" s="260">
        <f t="shared" si="178"/>
        <v>334.63999999999987</v>
      </c>
      <c r="G546" s="260">
        <f t="shared" si="178"/>
        <v>328.42000000000007</v>
      </c>
      <c r="H546" s="260">
        <f t="shared" si="178"/>
        <v>333.98</v>
      </c>
      <c r="I546" s="260">
        <f t="shared" si="178"/>
        <v>394.80000000000018</v>
      </c>
      <c r="J546" s="260">
        <f t="shared" si="178"/>
        <v>403.81999999999971</v>
      </c>
      <c r="K546" s="260">
        <f t="shared" si="178"/>
        <v>332.82999999999993</v>
      </c>
      <c r="L546" s="260">
        <f t="shared" si="178"/>
        <v>331.21000000000004</v>
      </c>
      <c r="M546" s="260">
        <f t="shared" si="178"/>
        <v>394.83000000000038</v>
      </c>
      <c r="N546" s="260">
        <f t="shared" si="178"/>
        <v>336.65999999999985</v>
      </c>
      <c r="O546" s="260">
        <f t="shared" si="178"/>
        <v>335.11000000000013</v>
      </c>
      <c r="P546" s="260">
        <f t="shared" si="178"/>
        <v>333.50999999999976</v>
      </c>
      <c r="Q546" s="260">
        <f t="shared" si="178"/>
        <v>338.53999999999996</v>
      </c>
      <c r="R546" s="362"/>
      <c r="S546" s="362"/>
      <c r="T546" s="365"/>
      <c r="U546" s="365"/>
      <c r="V546" s="365"/>
      <c r="W546" s="368"/>
      <c r="X546" s="371"/>
    </row>
    <row r="547" spans="1:32" ht="15.6" x14ac:dyDescent="0.3">
      <c r="A547" s="278">
        <v>43726</v>
      </c>
      <c r="B547" s="295" t="s">
        <v>235</v>
      </c>
      <c r="C547" s="295" t="s">
        <v>232</v>
      </c>
      <c r="D547" s="258" t="s">
        <v>186</v>
      </c>
      <c r="E547">
        <v>2735.11</v>
      </c>
      <c r="F547">
        <v>2656.35</v>
      </c>
      <c r="G547">
        <v>2636.02</v>
      </c>
      <c r="H547">
        <v>2633.87</v>
      </c>
      <c r="I547">
        <v>2687.73</v>
      </c>
      <c r="J547">
        <v>2670.63</v>
      </c>
      <c r="K547">
        <v>2645</v>
      </c>
      <c r="L547">
        <v>2648.05</v>
      </c>
      <c r="M547">
        <v>2664.61</v>
      </c>
      <c r="N547">
        <v>2665.7</v>
      </c>
      <c r="O547">
        <v>2641.98</v>
      </c>
      <c r="P547">
        <v>2641.1</v>
      </c>
      <c r="Q547">
        <v>2663.43</v>
      </c>
      <c r="R547" s="360">
        <f>IF((Q548=""),"",MAX(E549:Q549))</f>
        <v>404.59999999999991</v>
      </c>
      <c r="S547" s="360">
        <f>IF(Q548="","",MIN(E549:Q549))</f>
        <v>327.2800000000002</v>
      </c>
      <c r="T547" s="363">
        <f>IF((Q549=""),"",AVERAGE(E549:Q549))</f>
        <v>356.82692307692309</v>
      </c>
      <c r="U547" s="363">
        <f>IF((Q548=""),"",(R547-S547)/(R547+S547)*100)</f>
        <v>10.564573427337773</v>
      </c>
      <c r="V547" s="363">
        <f>STDEV(E549:Q549)</f>
        <v>31.722733799967308</v>
      </c>
      <c r="W547" s="366" t="str">
        <f>IF(Q548="","",IF(T547&gt;300,IF(U547&lt;14,IF(T547&lt;390,"Pass","Fail"),"Fail"),"Fail"))</f>
        <v>Pass</v>
      </c>
      <c r="X547" s="369">
        <v>1159</v>
      </c>
      <c r="AA547" s="82">
        <v>270</v>
      </c>
      <c r="AB547" s="82">
        <v>370</v>
      </c>
      <c r="AC547" s="82">
        <v>300</v>
      </c>
      <c r="AD547" s="83">
        <v>390</v>
      </c>
      <c r="AE547" s="83">
        <v>20</v>
      </c>
      <c r="AF547" s="83">
        <v>14</v>
      </c>
    </row>
    <row r="548" spans="1:32" ht="15.6" x14ac:dyDescent="0.3">
      <c r="A548" s="222"/>
      <c r="B548" s="259"/>
      <c r="C548" s="259"/>
      <c r="D548" s="258" t="s">
        <v>187</v>
      </c>
      <c r="E548">
        <v>2331.0300000000002</v>
      </c>
      <c r="F548">
        <v>2322.36</v>
      </c>
      <c r="G548">
        <v>2308.7399999999998</v>
      </c>
      <c r="H548">
        <v>2301.54</v>
      </c>
      <c r="I548">
        <v>2284.3000000000002</v>
      </c>
      <c r="J548">
        <v>2266.0300000000002</v>
      </c>
      <c r="K548">
        <v>2309.34</v>
      </c>
      <c r="L548">
        <v>2307.2399999999998</v>
      </c>
      <c r="M548">
        <v>2268.3000000000002</v>
      </c>
      <c r="N548">
        <v>2323.65</v>
      </c>
      <c r="O548">
        <v>2301.54</v>
      </c>
      <c r="P548">
        <v>2302.5</v>
      </c>
      <c r="Q548">
        <v>2324.2600000000002</v>
      </c>
      <c r="R548" s="361"/>
      <c r="S548" s="361"/>
      <c r="T548" s="364"/>
      <c r="U548" s="364"/>
      <c r="V548" s="364"/>
      <c r="W548" s="367"/>
      <c r="X548" s="370"/>
    </row>
    <row r="549" spans="1:32" ht="30" x14ac:dyDescent="0.25">
      <c r="A549" s="292"/>
      <c r="B549" s="257"/>
      <c r="C549" s="257"/>
      <c r="D549" s="258" t="s">
        <v>188</v>
      </c>
      <c r="E549" s="260">
        <f t="shared" ref="E549:Q549" si="179">IF(((E547="")*AND(E548="")),"",(E547-E548))</f>
        <v>404.07999999999993</v>
      </c>
      <c r="F549" s="260">
        <f t="shared" si="179"/>
        <v>333.98999999999978</v>
      </c>
      <c r="G549" s="260">
        <f t="shared" si="179"/>
        <v>327.2800000000002</v>
      </c>
      <c r="H549" s="260">
        <f t="shared" si="179"/>
        <v>332.32999999999993</v>
      </c>
      <c r="I549" s="260">
        <f t="shared" si="179"/>
        <v>403.42999999999984</v>
      </c>
      <c r="J549" s="260">
        <f t="shared" si="179"/>
        <v>404.59999999999991</v>
      </c>
      <c r="K549" s="260">
        <f t="shared" si="179"/>
        <v>335.65999999999985</v>
      </c>
      <c r="L549" s="260">
        <f t="shared" si="179"/>
        <v>340.8100000000004</v>
      </c>
      <c r="M549" s="260">
        <f t="shared" si="179"/>
        <v>396.30999999999995</v>
      </c>
      <c r="N549" s="260">
        <f t="shared" si="179"/>
        <v>342.04999999999973</v>
      </c>
      <c r="O549" s="260">
        <f t="shared" si="179"/>
        <v>340.44000000000005</v>
      </c>
      <c r="P549" s="260">
        <f t="shared" si="179"/>
        <v>338.59999999999991</v>
      </c>
      <c r="Q549" s="260">
        <f t="shared" si="179"/>
        <v>339.16999999999962</v>
      </c>
      <c r="R549" s="362"/>
      <c r="S549" s="362"/>
      <c r="T549" s="365"/>
      <c r="U549" s="365"/>
      <c r="V549" s="365"/>
      <c r="W549" s="368"/>
      <c r="X549" s="371"/>
    </row>
    <row r="550" spans="1:32" ht="15.6" x14ac:dyDescent="0.3">
      <c r="A550" s="278">
        <v>43728</v>
      </c>
      <c r="B550" s="295" t="s">
        <v>235</v>
      </c>
      <c r="C550" s="295" t="s">
        <v>232</v>
      </c>
      <c r="D550" s="258" t="s">
        <v>186</v>
      </c>
      <c r="E550">
        <v>3054.07</v>
      </c>
      <c r="F550">
        <v>2909.26</v>
      </c>
      <c r="G550">
        <v>2906.86</v>
      </c>
      <c r="H550">
        <v>2936.93</v>
      </c>
      <c r="I550">
        <v>3106.72</v>
      </c>
      <c r="J550">
        <v>3013.46</v>
      </c>
      <c r="K550">
        <v>2914.93</v>
      </c>
      <c r="L550">
        <v>2923.11</v>
      </c>
      <c r="M550">
        <v>3043.76</v>
      </c>
      <c r="N550">
        <v>2919.17</v>
      </c>
      <c r="O550">
        <v>2951.33</v>
      </c>
      <c r="P550">
        <v>2947.05</v>
      </c>
      <c r="Q550">
        <v>2927.28</v>
      </c>
      <c r="R550" s="360">
        <f>IF((Q551=""),"",MAX(E552:Q552))</f>
        <v>405.35000000000036</v>
      </c>
      <c r="S550" s="360">
        <f>IF(Q551="","",MIN(E552:Q552))</f>
        <v>334.78999999999996</v>
      </c>
      <c r="T550" s="363">
        <f>IF((Q552=""),"",AVERAGE(E552:Q552))</f>
        <v>360.37692307692316</v>
      </c>
      <c r="U550" s="363">
        <f>IF((Q551=""),"",(R550-S550)/(R550+S550)*100)</f>
        <v>9.5333315318723972</v>
      </c>
      <c r="V550" s="363">
        <f>STDEV(E552:Q552)</f>
        <v>27.15695073230658</v>
      </c>
      <c r="W550" s="366" t="str">
        <f>IF(Q551="","",IF(T550&gt;300,IF(U550&lt;14,IF(T550&lt;390,"Pass","Fail"),"Fail"),"Fail"))</f>
        <v>Pass</v>
      </c>
      <c r="X550" s="369">
        <v>121</v>
      </c>
      <c r="Y550" s="10" t="s">
        <v>380</v>
      </c>
      <c r="AA550" s="82">
        <v>270</v>
      </c>
      <c r="AB550" s="82">
        <v>370</v>
      </c>
      <c r="AC550" s="82">
        <v>300</v>
      </c>
      <c r="AD550" s="83">
        <v>390</v>
      </c>
      <c r="AE550" s="83">
        <v>20</v>
      </c>
      <c r="AF550" s="83">
        <v>14</v>
      </c>
    </row>
    <row r="551" spans="1:32" ht="15.6" x14ac:dyDescent="0.3">
      <c r="A551" s="222"/>
      <c r="B551" s="259"/>
      <c r="C551" s="259"/>
      <c r="D551" s="258" t="s">
        <v>187</v>
      </c>
      <c r="E551">
        <v>2651.21</v>
      </c>
      <c r="F551">
        <v>2569.6</v>
      </c>
      <c r="G551">
        <v>2572.0700000000002</v>
      </c>
      <c r="H551">
        <v>2596.4299999999998</v>
      </c>
      <c r="I551">
        <v>2714.43</v>
      </c>
      <c r="J551">
        <v>2618.6799999999998</v>
      </c>
      <c r="K551">
        <v>2575.79</v>
      </c>
      <c r="L551">
        <v>2574.29</v>
      </c>
      <c r="M551">
        <v>2638.41</v>
      </c>
      <c r="N551">
        <v>2574.1799999999998</v>
      </c>
      <c r="O551">
        <v>2605.3000000000002</v>
      </c>
      <c r="P551">
        <v>2599.63</v>
      </c>
      <c r="Q551">
        <v>2579.0100000000002</v>
      </c>
      <c r="R551" s="361"/>
      <c r="S551" s="361"/>
      <c r="T551" s="364"/>
      <c r="U551" s="364"/>
      <c r="V551" s="364"/>
      <c r="W551" s="367"/>
      <c r="X551" s="370"/>
    </row>
    <row r="552" spans="1:32" ht="30" x14ac:dyDescent="0.25">
      <c r="A552" s="292"/>
      <c r="B552" s="257"/>
      <c r="C552" s="257"/>
      <c r="D552" s="258" t="s">
        <v>188</v>
      </c>
      <c r="E552" s="260">
        <f t="shared" ref="E552:Q552" si="180">IF(((E550="")*AND(E551="")),"",(E550-E551))</f>
        <v>402.86000000000013</v>
      </c>
      <c r="F552" s="260">
        <f t="shared" si="180"/>
        <v>339.66000000000031</v>
      </c>
      <c r="G552" s="260">
        <f t="shared" si="180"/>
        <v>334.78999999999996</v>
      </c>
      <c r="H552" s="260">
        <f t="shared" si="180"/>
        <v>340.5</v>
      </c>
      <c r="I552" s="260">
        <f t="shared" si="180"/>
        <v>392.28999999999996</v>
      </c>
      <c r="J552" s="260">
        <f t="shared" si="180"/>
        <v>394.7800000000002</v>
      </c>
      <c r="K552" s="260">
        <f t="shared" si="180"/>
        <v>339.13999999999987</v>
      </c>
      <c r="L552" s="260">
        <f t="shared" si="180"/>
        <v>348.82000000000016</v>
      </c>
      <c r="M552" s="260">
        <f t="shared" si="180"/>
        <v>405.35000000000036</v>
      </c>
      <c r="N552" s="260">
        <f t="shared" si="180"/>
        <v>344.99000000000024</v>
      </c>
      <c r="O552" s="260">
        <f t="shared" si="180"/>
        <v>346.02999999999975</v>
      </c>
      <c r="P552" s="260">
        <f t="shared" si="180"/>
        <v>347.42000000000007</v>
      </c>
      <c r="Q552" s="260">
        <f t="shared" si="180"/>
        <v>348.27</v>
      </c>
      <c r="R552" s="362"/>
      <c r="S552" s="362"/>
      <c r="T552" s="365"/>
      <c r="U552" s="365"/>
      <c r="V552" s="365"/>
      <c r="W552" s="368"/>
      <c r="X552" s="371"/>
    </row>
    <row r="553" spans="1:32" ht="15.6" x14ac:dyDescent="0.3">
      <c r="A553" s="309">
        <v>43731</v>
      </c>
      <c r="B553" s="295" t="s">
        <v>235</v>
      </c>
      <c r="C553" s="295" t="s">
        <v>232</v>
      </c>
      <c r="D553" s="258" t="s">
        <v>186</v>
      </c>
      <c r="E553" s="304">
        <v>3129.95</v>
      </c>
      <c r="F553" s="304">
        <v>2988.4</v>
      </c>
      <c r="G553" s="304">
        <v>2962.87</v>
      </c>
      <c r="H553" s="304">
        <v>2966.71</v>
      </c>
      <c r="I553" s="304">
        <v>3077.28</v>
      </c>
      <c r="J553" s="304">
        <v>3066.52</v>
      </c>
      <c r="K553" s="304">
        <v>2975.69</v>
      </c>
      <c r="L553" s="304">
        <v>2974.78</v>
      </c>
      <c r="M553" s="304">
        <v>3060.68</v>
      </c>
      <c r="N553" s="304">
        <v>3000.81</v>
      </c>
      <c r="O553" s="304">
        <v>2975.33</v>
      </c>
      <c r="P553" s="304">
        <v>2978.26</v>
      </c>
      <c r="Q553" s="304">
        <v>3000.97</v>
      </c>
      <c r="R553" s="360">
        <f>IF((Q554=""),"",MAX(E555:Q555))</f>
        <v>388.52</v>
      </c>
      <c r="S553" s="360">
        <f>IF(Q554="","",MIN(E555:Q555))</f>
        <v>328.2199999999998</v>
      </c>
      <c r="T553" s="363">
        <f>IF((Q555=""),"",AVERAGE(E555:Q555))</f>
        <v>353.68000000000018</v>
      </c>
      <c r="U553" s="363">
        <f>IF((Q554=""),"",(R553-S553)/(R553+S553)*100)</f>
        <v>8.4130926137790834</v>
      </c>
      <c r="V553" s="363">
        <f>STDEV(E555:Q555)</f>
        <v>24.002313082978773</v>
      </c>
      <c r="W553" s="366" t="str">
        <f>IF(Q554="","",IF(T553&gt;300,IF(U553&lt;14,IF(T553&lt;390,"Pass","Fail"),"Fail"),"Fail"))</f>
        <v>Pass</v>
      </c>
      <c r="X553" s="369">
        <v>1428</v>
      </c>
      <c r="Y553" s="10" t="s">
        <v>382</v>
      </c>
      <c r="AA553" s="82">
        <v>270</v>
      </c>
      <c r="AB553" s="82">
        <v>370</v>
      </c>
      <c r="AC553" s="82">
        <v>300</v>
      </c>
      <c r="AD553" s="83">
        <v>390</v>
      </c>
      <c r="AE553" s="83">
        <v>20</v>
      </c>
      <c r="AF553" s="83">
        <v>14</v>
      </c>
    </row>
    <row r="554" spans="1:32" ht="15.6" x14ac:dyDescent="0.3">
      <c r="A554" s="222"/>
      <c r="B554" s="259"/>
      <c r="C554" s="259"/>
      <c r="D554" s="258" t="s">
        <v>187</v>
      </c>
      <c r="E554" s="304">
        <v>2741.43</v>
      </c>
      <c r="F554" s="304">
        <v>2650.54</v>
      </c>
      <c r="G554" s="304">
        <v>2634.65</v>
      </c>
      <c r="H554" s="304">
        <v>2628.89</v>
      </c>
      <c r="I554" s="304">
        <v>2690.89</v>
      </c>
      <c r="J554" s="304">
        <v>2678.62</v>
      </c>
      <c r="K554" s="304">
        <v>2639.12</v>
      </c>
      <c r="L554" s="304">
        <v>2637.14</v>
      </c>
      <c r="M554" s="304">
        <v>2672.16</v>
      </c>
      <c r="N554" s="304">
        <v>2658.33</v>
      </c>
      <c r="O554" s="304">
        <v>2635.53</v>
      </c>
      <c r="P554" s="304">
        <v>2635.91</v>
      </c>
      <c r="Q554" s="304">
        <v>2657.2</v>
      </c>
      <c r="R554" s="361"/>
      <c r="S554" s="361"/>
      <c r="T554" s="364"/>
      <c r="U554" s="364"/>
      <c r="V554" s="364"/>
      <c r="W554" s="367"/>
      <c r="X554" s="370"/>
    </row>
    <row r="555" spans="1:32" ht="30" x14ac:dyDescent="0.25">
      <c r="A555" s="292"/>
      <c r="B555" s="257"/>
      <c r="C555" s="257"/>
      <c r="D555" s="258" t="s">
        <v>188</v>
      </c>
      <c r="E555" s="260">
        <f t="shared" ref="E555:Q555" si="181">IF(((E553="")*AND(E554="")),"",(E553-E554))</f>
        <v>388.52</v>
      </c>
      <c r="F555" s="260">
        <f t="shared" si="181"/>
        <v>337.86000000000013</v>
      </c>
      <c r="G555" s="260">
        <f t="shared" si="181"/>
        <v>328.2199999999998</v>
      </c>
      <c r="H555" s="260">
        <f t="shared" si="181"/>
        <v>337.82000000000016</v>
      </c>
      <c r="I555" s="260">
        <f t="shared" si="181"/>
        <v>386.39000000000033</v>
      </c>
      <c r="J555" s="260">
        <f t="shared" si="181"/>
        <v>387.90000000000009</v>
      </c>
      <c r="K555" s="260">
        <f t="shared" si="181"/>
        <v>336.57000000000016</v>
      </c>
      <c r="L555" s="260">
        <f t="shared" si="181"/>
        <v>337.64000000000033</v>
      </c>
      <c r="M555" s="260">
        <f t="shared" si="181"/>
        <v>388.52</v>
      </c>
      <c r="N555" s="260">
        <f t="shared" si="181"/>
        <v>342.48</v>
      </c>
      <c r="O555" s="260">
        <f t="shared" si="181"/>
        <v>339.79999999999973</v>
      </c>
      <c r="P555" s="260">
        <f t="shared" si="181"/>
        <v>342.35000000000036</v>
      </c>
      <c r="Q555" s="260">
        <f t="shared" si="181"/>
        <v>343.77</v>
      </c>
      <c r="R555" s="362"/>
      <c r="S555" s="362"/>
      <c r="T555" s="365"/>
      <c r="U555" s="365"/>
      <c r="V555" s="365"/>
      <c r="W555" s="368"/>
      <c r="X555" s="371"/>
    </row>
    <row r="556" spans="1:32" ht="15.6" x14ac:dyDescent="0.3">
      <c r="A556" s="278">
        <v>43735</v>
      </c>
      <c r="B556" s="295" t="s">
        <v>235</v>
      </c>
      <c r="C556" s="295" t="s">
        <v>232</v>
      </c>
      <c r="D556" s="258" t="s">
        <v>186</v>
      </c>
      <c r="E556">
        <v>2738.15</v>
      </c>
      <c r="F556">
        <v>2662.11</v>
      </c>
      <c r="G556">
        <v>2635.21</v>
      </c>
      <c r="H556">
        <v>2641</v>
      </c>
      <c r="I556">
        <v>2695.8</v>
      </c>
      <c r="J556">
        <v>2706.94</v>
      </c>
      <c r="K556">
        <v>2641.93</v>
      </c>
      <c r="L556">
        <v>2637.4</v>
      </c>
      <c r="M556">
        <v>2676.98</v>
      </c>
      <c r="N556">
        <v>2661.63</v>
      </c>
      <c r="O556">
        <v>2637.04</v>
      </c>
      <c r="P556">
        <v>2641.66</v>
      </c>
      <c r="Q556">
        <v>2658.65</v>
      </c>
      <c r="R556" s="360">
        <f>IF((Q557=""),"",MAX(E558:Q558))</f>
        <v>405.53999999999996</v>
      </c>
      <c r="S556" s="360">
        <f>IF(Q557="","",MIN(E558:Q558))</f>
        <v>329.88000000000011</v>
      </c>
      <c r="T556" s="363">
        <f>IF((Q558=""),"",AVERAGE(E558:Q558))</f>
        <v>351.91076923076923</v>
      </c>
      <c r="U556" s="363">
        <f>IF((Q557=""),"",(R556-S556)/(R556+S556)*100)</f>
        <v>10.287998694623459</v>
      </c>
      <c r="V556" s="363">
        <f>STDEV(E558:Q558)</f>
        <v>24.795718199432006</v>
      </c>
      <c r="W556" s="366" t="str">
        <f>IF(Q557="","",IF(T556&gt;300,IF(U556&lt;14,IF(T556&lt;390,"Pass","Fail"),"Fail"),"Fail"))</f>
        <v>Pass</v>
      </c>
      <c r="X556" s="369">
        <v>1428</v>
      </c>
      <c r="Y556" s="10" t="s">
        <v>384</v>
      </c>
      <c r="AA556" s="82">
        <v>270</v>
      </c>
      <c r="AB556" s="82">
        <v>370</v>
      </c>
      <c r="AC556" s="82">
        <v>300</v>
      </c>
      <c r="AD556" s="83">
        <v>390</v>
      </c>
      <c r="AE556" s="83">
        <v>20</v>
      </c>
      <c r="AF556" s="83">
        <v>14</v>
      </c>
    </row>
    <row r="557" spans="1:32" ht="15.6" x14ac:dyDescent="0.3">
      <c r="A557" s="222"/>
      <c r="B557" s="259"/>
      <c r="C557" s="259"/>
      <c r="D557" s="258" t="s">
        <v>187</v>
      </c>
      <c r="E557">
        <v>2358.81</v>
      </c>
      <c r="F557">
        <v>2320.35</v>
      </c>
      <c r="G557">
        <v>2305.33</v>
      </c>
      <c r="H557">
        <v>2299.59</v>
      </c>
      <c r="I557">
        <v>2318.73</v>
      </c>
      <c r="J557">
        <v>2301.4</v>
      </c>
      <c r="K557">
        <v>2306.65</v>
      </c>
      <c r="L557">
        <v>2306.71</v>
      </c>
      <c r="M557">
        <v>2295.02</v>
      </c>
      <c r="N557">
        <v>2323.63</v>
      </c>
      <c r="O557">
        <v>2299.0700000000002</v>
      </c>
      <c r="P557">
        <v>2301.3000000000002</v>
      </c>
      <c r="Q557">
        <v>2323.0700000000002</v>
      </c>
      <c r="R557" s="361"/>
      <c r="S557" s="361"/>
      <c r="T557" s="364"/>
      <c r="U557" s="364"/>
      <c r="V557" s="364"/>
      <c r="W557" s="367"/>
      <c r="X557" s="370"/>
    </row>
    <row r="558" spans="1:32" ht="30" x14ac:dyDescent="0.25">
      <c r="A558" s="292"/>
      <c r="B558" s="257"/>
      <c r="C558" s="257"/>
      <c r="D558" s="258" t="s">
        <v>188</v>
      </c>
      <c r="E558" s="260">
        <f t="shared" ref="E558:Q558" si="182">IF(((E556="")*AND(E557="")),"",(E556-E557))</f>
        <v>379.34000000000015</v>
      </c>
      <c r="F558" s="260">
        <f t="shared" si="182"/>
        <v>341.76000000000022</v>
      </c>
      <c r="G558" s="260">
        <f t="shared" si="182"/>
        <v>329.88000000000011</v>
      </c>
      <c r="H558" s="260">
        <f t="shared" si="182"/>
        <v>341.40999999999985</v>
      </c>
      <c r="I558" s="260">
        <f t="shared" si="182"/>
        <v>377.07000000000016</v>
      </c>
      <c r="J558" s="260">
        <f t="shared" si="182"/>
        <v>405.53999999999996</v>
      </c>
      <c r="K558" s="260">
        <f t="shared" si="182"/>
        <v>335.27999999999975</v>
      </c>
      <c r="L558" s="260">
        <f t="shared" si="182"/>
        <v>330.69000000000005</v>
      </c>
      <c r="M558" s="260">
        <f t="shared" si="182"/>
        <v>381.96000000000004</v>
      </c>
      <c r="N558" s="260">
        <f t="shared" si="182"/>
        <v>338</v>
      </c>
      <c r="O558" s="260">
        <f t="shared" si="182"/>
        <v>337.9699999999998</v>
      </c>
      <c r="P558" s="260">
        <f t="shared" si="182"/>
        <v>340.35999999999967</v>
      </c>
      <c r="Q558" s="260">
        <f t="shared" si="182"/>
        <v>335.57999999999993</v>
      </c>
      <c r="R558" s="362"/>
      <c r="S558" s="362"/>
      <c r="T558" s="365"/>
      <c r="U558" s="365"/>
      <c r="V558" s="365"/>
      <c r="W558" s="368"/>
      <c r="X558" s="371"/>
    </row>
    <row r="559" spans="1:32" ht="15.6" x14ac:dyDescent="0.3">
      <c r="A559" s="278">
        <v>43739</v>
      </c>
      <c r="B559" s="295" t="s">
        <v>235</v>
      </c>
      <c r="C559" s="295" t="s">
        <v>232</v>
      </c>
      <c r="D559" s="258" t="s">
        <v>186</v>
      </c>
      <c r="E559">
        <v>3134</v>
      </c>
      <c r="F559">
        <v>2994</v>
      </c>
      <c r="G559">
        <v>2968</v>
      </c>
      <c r="H559">
        <v>2970</v>
      </c>
      <c r="I559">
        <v>3076</v>
      </c>
      <c r="J559">
        <v>3068</v>
      </c>
      <c r="K559">
        <v>2977</v>
      </c>
      <c r="L559">
        <v>2980</v>
      </c>
      <c r="M559">
        <v>3070</v>
      </c>
      <c r="N559">
        <v>3002</v>
      </c>
      <c r="O559">
        <v>2980</v>
      </c>
      <c r="P559">
        <v>2980</v>
      </c>
      <c r="Q559">
        <v>3005</v>
      </c>
      <c r="R559" s="360">
        <f>IF((Q560=""),"",MAX(E561:Q561))</f>
        <v>381.28999999999996</v>
      </c>
      <c r="S559" s="360">
        <f>IF(Q560="","",MIN(E561:Q561))</f>
        <v>312.82999999999993</v>
      </c>
      <c r="T559" s="363">
        <f>IF((Q561=""),"",AVERAGE(E561:Q561))</f>
        <v>343.69461538461542</v>
      </c>
      <c r="U559" s="363">
        <f>IF((Q560=""),"",(R559-S559)/(R559+S559)*100)</f>
        <v>9.8628479225494221</v>
      </c>
      <c r="V559" s="363">
        <f>STDEV(E561:Q561)</f>
        <v>23.805231783295241</v>
      </c>
      <c r="W559" s="366" t="str">
        <f>IF(Q560="","",IF(T559&gt;300,IF(U559&lt;14,IF(T559&lt;390,"Pass","Fail"),"Fail"),"Fail"))</f>
        <v>Pass</v>
      </c>
      <c r="X559" s="369">
        <v>121</v>
      </c>
      <c r="Y559" s="10" t="s">
        <v>387</v>
      </c>
      <c r="AA559" s="82">
        <v>270</v>
      </c>
      <c r="AB559" s="82">
        <v>370</v>
      </c>
      <c r="AC559" s="82">
        <v>300</v>
      </c>
      <c r="AD559" s="83">
        <v>390</v>
      </c>
      <c r="AE559" s="83">
        <v>20</v>
      </c>
      <c r="AF559" s="83">
        <v>14</v>
      </c>
    </row>
    <row r="560" spans="1:32" ht="15.6" x14ac:dyDescent="0.3">
      <c r="A560" s="222"/>
      <c r="B560" s="259"/>
      <c r="C560" s="259"/>
      <c r="D560" s="258" t="s">
        <v>187</v>
      </c>
      <c r="E560">
        <v>2752.71</v>
      </c>
      <c r="F560">
        <v>2663.83</v>
      </c>
      <c r="G560">
        <v>2643.4</v>
      </c>
      <c r="H560">
        <v>2640.46</v>
      </c>
      <c r="I560">
        <v>2702.66</v>
      </c>
      <c r="J560">
        <v>2695.21</v>
      </c>
      <c r="K560">
        <v>2643.6</v>
      </c>
      <c r="L560">
        <v>2667.17</v>
      </c>
      <c r="M560">
        <v>2689.84</v>
      </c>
      <c r="N560">
        <v>2668.89</v>
      </c>
      <c r="O560">
        <v>2645.7</v>
      </c>
      <c r="P560">
        <v>2651.51</v>
      </c>
      <c r="Q560">
        <v>2670.99</v>
      </c>
      <c r="R560" s="361"/>
      <c r="S560" s="361"/>
      <c r="T560" s="364"/>
      <c r="U560" s="364"/>
      <c r="V560" s="364"/>
      <c r="W560" s="367"/>
      <c r="X560" s="370"/>
    </row>
    <row r="561" spans="1:32" ht="30" x14ac:dyDescent="0.25">
      <c r="A561" s="292"/>
      <c r="B561" s="257"/>
      <c r="C561" s="257"/>
      <c r="D561" s="258" t="s">
        <v>188</v>
      </c>
      <c r="E561" s="260">
        <f t="shared" ref="E561:Q561" si="183">IF(((E559="")*AND(E560="")),"",(E559-E560))</f>
        <v>381.28999999999996</v>
      </c>
      <c r="F561" s="260">
        <f t="shared" si="183"/>
        <v>330.17000000000007</v>
      </c>
      <c r="G561" s="260">
        <f t="shared" si="183"/>
        <v>324.59999999999991</v>
      </c>
      <c r="H561" s="260">
        <f t="shared" si="183"/>
        <v>329.53999999999996</v>
      </c>
      <c r="I561" s="260">
        <f t="shared" si="183"/>
        <v>373.34000000000015</v>
      </c>
      <c r="J561" s="260">
        <f t="shared" si="183"/>
        <v>372.78999999999996</v>
      </c>
      <c r="K561" s="260">
        <f t="shared" si="183"/>
        <v>333.40000000000009</v>
      </c>
      <c r="L561" s="260">
        <f t="shared" si="183"/>
        <v>312.82999999999993</v>
      </c>
      <c r="M561" s="260">
        <f t="shared" si="183"/>
        <v>380.15999999999985</v>
      </c>
      <c r="N561" s="260">
        <f t="shared" si="183"/>
        <v>333.11000000000013</v>
      </c>
      <c r="O561" s="260">
        <f t="shared" si="183"/>
        <v>334.30000000000018</v>
      </c>
      <c r="P561" s="260">
        <f t="shared" si="183"/>
        <v>328.48999999999978</v>
      </c>
      <c r="Q561" s="260">
        <f t="shared" si="183"/>
        <v>334.01000000000022</v>
      </c>
      <c r="R561" s="362"/>
      <c r="S561" s="362"/>
      <c r="T561" s="365"/>
      <c r="U561" s="365"/>
      <c r="V561" s="365"/>
      <c r="W561" s="368"/>
      <c r="X561" s="371"/>
    </row>
    <row r="562" spans="1:32" ht="15.6" x14ac:dyDescent="0.3">
      <c r="A562" s="278">
        <v>43745</v>
      </c>
      <c r="B562" s="295" t="s">
        <v>235</v>
      </c>
      <c r="C562" s="295" t="s">
        <v>232</v>
      </c>
      <c r="D562" s="258" t="s">
        <v>186</v>
      </c>
      <c r="E562">
        <v>2753.16</v>
      </c>
      <c r="F562">
        <v>2659.04</v>
      </c>
      <c r="G562">
        <v>2632.8</v>
      </c>
      <c r="H562">
        <v>2644.52</v>
      </c>
      <c r="I562">
        <v>2703.59</v>
      </c>
      <c r="J562">
        <v>2690.48</v>
      </c>
      <c r="K562">
        <v>2664.62</v>
      </c>
      <c r="L562">
        <v>2652.64</v>
      </c>
      <c r="M562">
        <v>2687.62</v>
      </c>
      <c r="N562">
        <v>2659.67</v>
      </c>
      <c r="O562">
        <v>2646.85</v>
      </c>
      <c r="P562">
        <v>2643.96</v>
      </c>
      <c r="Q562">
        <v>2668.48</v>
      </c>
      <c r="R562" s="360">
        <f>IF((Q563=""),"",MAX(E564:Q564))</f>
        <v>396.14999999999964</v>
      </c>
      <c r="S562" s="360">
        <f>IF(Q563="","",MIN(E564:Q564))</f>
        <v>318.71000000000004</v>
      </c>
      <c r="T562" s="363">
        <f>IF((Q564=""),"",AVERAGE(E564:Q564))</f>
        <v>351.21230769230755</v>
      </c>
      <c r="U562" s="363">
        <f>IF((Q563=""),"",(R562-S562)/(R562+S562)*100)</f>
        <v>10.832890356153602</v>
      </c>
      <c r="V562" s="363">
        <f>STDEV(E564:Q564)</f>
        <v>29.227967244246837</v>
      </c>
      <c r="W562" s="366" t="str">
        <f>IF(Q563="","",IF(T562&gt;300,IF(U562&lt;14,IF(T562&lt;390,"Pass","Fail"),"Fail"),"Fail"))</f>
        <v>Pass</v>
      </c>
      <c r="X562" s="369">
        <v>1159</v>
      </c>
      <c r="Y562" s="10" t="s">
        <v>394</v>
      </c>
      <c r="AA562" s="82">
        <v>270</v>
      </c>
      <c r="AB562" s="82">
        <v>370</v>
      </c>
      <c r="AC562" s="82">
        <v>300</v>
      </c>
      <c r="AD562" s="83">
        <v>390</v>
      </c>
      <c r="AE562" s="83">
        <v>20</v>
      </c>
      <c r="AF562" s="83">
        <v>14</v>
      </c>
    </row>
    <row r="563" spans="1:32" ht="15.6" x14ac:dyDescent="0.3">
      <c r="A563" s="222"/>
      <c r="B563" s="259"/>
      <c r="C563" s="259"/>
      <c r="D563" s="258" t="s">
        <v>187</v>
      </c>
      <c r="E563">
        <v>2357.0100000000002</v>
      </c>
      <c r="F563">
        <v>2331.9</v>
      </c>
      <c r="G563">
        <v>2314.09</v>
      </c>
      <c r="H563">
        <v>2308.5700000000002</v>
      </c>
      <c r="I563">
        <v>2313.77</v>
      </c>
      <c r="J563">
        <v>2295.0500000000002</v>
      </c>
      <c r="K563">
        <v>2317.4299999999998</v>
      </c>
      <c r="L563">
        <v>2316.54</v>
      </c>
      <c r="M563">
        <v>2300.25</v>
      </c>
      <c r="N563">
        <v>2330.29</v>
      </c>
      <c r="O563">
        <v>2309.34</v>
      </c>
      <c r="P563">
        <v>2312.1799999999998</v>
      </c>
      <c r="Q563">
        <v>2335.25</v>
      </c>
      <c r="R563" s="361"/>
      <c r="S563" s="361"/>
      <c r="T563" s="364"/>
      <c r="U563" s="364"/>
      <c r="V563" s="364"/>
      <c r="W563" s="367"/>
      <c r="X563" s="370"/>
    </row>
    <row r="564" spans="1:32" ht="30" x14ac:dyDescent="0.25">
      <c r="A564" s="292"/>
      <c r="B564" s="257"/>
      <c r="C564" s="257"/>
      <c r="D564" s="258" t="s">
        <v>188</v>
      </c>
      <c r="E564" s="260">
        <f t="shared" ref="E564:Q564" si="184">IF(((E562="")*AND(E563="")),"",(E562-E563))</f>
        <v>396.14999999999964</v>
      </c>
      <c r="F564" s="260">
        <f t="shared" si="184"/>
        <v>327.13999999999987</v>
      </c>
      <c r="G564" s="260">
        <f t="shared" si="184"/>
        <v>318.71000000000004</v>
      </c>
      <c r="H564" s="260">
        <f t="shared" si="184"/>
        <v>335.94999999999982</v>
      </c>
      <c r="I564" s="260">
        <f t="shared" si="184"/>
        <v>389.82000000000016</v>
      </c>
      <c r="J564" s="260">
        <f t="shared" si="184"/>
        <v>395.42999999999984</v>
      </c>
      <c r="K564" s="260">
        <f t="shared" si="184"/>
        <v>347.19000000000005</v>
      </c>
      <c r="L564" s="260">
        <f t="shared" si="184"/>
        <v>336.09999999999991</v>
      </c>
      <c r="M564" s="260">
        <f t="shared" si="184"/>
        <v>387.36999999999989</v>
      </c>
      <c r="N564" s="260">
        <f t="shared" si="184"/>
        <v>329.38000000000011</v>
      </c>
      <c r="O564" s="260">
        <f t="shared" si="184"/>
        <v>337.50999999999976</v>
      </c>
      <c r="P564" s="260">
        <f t="shared" si="184"/>
        <v>331.7800000000002</v>
      </c>
      <c r="Q564" s="260">
        <f t="shared" si="184"/>
        <v>333.23</v>
      </c>
      <c r="R564" s="362"/>
      <c r="S564" s="362"/>
      <c r="T564" s="365"/>
      <c r="U564" s="365"/>
      <c r="V564" s="365"/>
      <c r="W564" s="368"/>
      <c r="X564" s="371"/>
    </row>
    <row r="565" spans="1:32" ht="15.6" x14ac:dyDescent="0.3">
      <c r="A565" s="278">
        <v>43749</v>
      </c>
      <c r="B565" s="295" t="s">
        <v>235</v>
      </c>
      <c r="C565" s="295" t="s">
        <v>232</v>
      </c>
      <c r="D565" s="258" t="s">
        <v>186</v>
      </c>
      <c r="E565">
        <v>2944.81</v>
      </c>
      <c r="F565">
        <v>2812.63</v>
      </c>
      <c r="G565">
        <v>2794</v>
      </c>
      <c r="H565">
        <v>2806.81</v>
      </c>
      <c r="I565">
        <v>2887.16</v>
      </c>
      <c r="J565">
        <v>2879.06</v>
      </c>
      <c r="K565">
        <v>2801.64</v>
      </c>
      <c r="L565">
        <v>2821.13</v>
      </c>
      <c r="M565">
        <v>2959.3</v>
      </c>
      <c r="N565">
        <v>2818.04</v>
      </c>
      <c r="O565">
        <v>2824.21</v>
      </c>
      <c r="P565">
        <v>2811.97</v>
      </c>
      <c r="Q565">
        <v>2842.36</v>
      </c>
      <c r="R565" s="360">
        <f>IF((Q566=""),"",MAX(E567:Q567))</f>
        <v>391.03999999999996</v>
      </c>
      <c r="S565" s="360">
        <f>IF(Q566="","",MIN(E567:Q567))</f>
        <v>311.96000000000004</v>
      </c>
      <c r="T565" s="363">
        <f>IF((Q567=""),"",AVERAGE(E567:Q567))</f>
        <v>343.22076923076929</v>
      </c>
      <c r="U565" s="363">
        <f>IF((Q566=""),"",(R565-S565)/(R565+S565)*100)</f>
        <v>11.248933143669976</v>
      </c>
      <c r="V565" s="363">
        <f>STDEV(E567:Q567)</f>
        <v>30.800889451859035</v>
      </c>
      <c r="W565" s="366" t="str">
        <f>IF(Q566="","",IF(T565&gt;300,IF(U565&lt;14,IF(T565&lt;390,"Pass","Fail"),"Fail"),"Fail"))</f>
        <v>Pass</v>
      </c>
      <c r="X565" s="369" t="s">
        <v>396</v>
      </c>
      <c r="Y565" s="10" t="s">
        <v>397</v>
      </c>
      <c r="AA565" s="82">
        <v>270</v>
      </c>
      <c r="AB565" s="82">
        <v>370</v>
      </c>
      <c r="AC565" s="82">
        <v>300</v>
      </c>
      <c r="AD565" s="83">
        <v>390</v>
      </c>
      <c r="AE565" s="83">
        <v>20</v>
      </c>
      <c r="AF565" s="83">
        <v>14</v>
      </c>
    </row>
    <row r="566" spans="1:32" ht="15.6" x14ac:dyDescent="0.3">
      <c r="A566" s="222"/>
      <c r="B566" s="259"/>
      <c r="C566" s="259"/>
      <c r="D566" s="258" t="s">
        <v>187</v>
      </c>
      <c r="E566">
        <v>2553.77</v>
      </c>
      <c r="F566">
        <v>2494.4899999999998</v>
      </c>
      <c r="G566">
        <v>2482.04</v>
      </c>
      <c r="H566">
        <v>2483.02</v>
      </c>
      <c r="I566">
        <v>2504.34</v>
      </c>
      <c r="J566">
        <v>2491.87</v>
      </c>
      <c r="K566">
        <v>2477.5300000000002</v>
      </c>
      <c r="L566">
        <v>2498.11</v>
      </c>
      <c r="M566">
        <v>2572.35</v>
      </c>
      <c r="N566">
        <v>2487.8200000000002</v>
      </c>
      <c r="O566">
        <v>2497.6</v>
      </c>
      <c r="P566">
        <v>2487.06</v>
      </c>
      <c r="Q566">
        <v>2511.25</v>
      </c>
      <c r="R566" s="361"/>
      <c r="S566" s="361"/>
      <c r="T566" s="364"/>
      <c r="U566" s="364"/>
      <c r="V566" s="364"/>
      <c r="W566" s="367"/>
      <c r="X566" s="370"/>
    </row>
    <row r="567" spans="1:32" ht="30" x14ac:dyDescent="0.25">
      <c r="A567" s="292"/>
      <c r="B567" s="257"/>
      <c r="C567" s="257"/>
      <c r="D567" s="258" t="s">
        <v>188</v>
      </c>
      <c r="E567" s="260">
        <f t="shared" ref="E567:Q567" si="185">IF(((E565="")*AND(E566="")),"",(E565-E566))</f>
        <v>391.03999999999996</v>
      </c>
      <c r="F567" s="260">
        <f t="shared" si="185"/>
        <v>318.14000000000033</v>
      </c>
      <c r="G567" s="260">
        <f t="shared" si="185"/>
        <v>311.96000000000004</v>
      </c>
      <c r="H567" s="260">
        <f t="shared" si="185"/>
        <v>323.78999999999996</v>
      </c>
      <c r="I567" s="260">
        <f t="shared" si="185"/>
        <v>382.81999999999971</v>
      </c>
      <c r="J567" s="260">
        <f t="shared" si="185"/>
        <v>387.19000000000005</v>
      </c>
      <c r="K567" s="260">
        <f t="shared" si="185"/>
        <v>324.10999999999967</v>
      </c>
      <c r="L567" s="260">
        <f t="shared" si="185"/>
        <v>323.02</v>
      </c>
      <c r="M567" s="260">
        <f t="shared" si="185"/>
        <v>386.95000000000027</v>
      </c>
      <c r="N567" s="260">
        <f t="shared" si="185"/>
        <v>330.2199999999998</v>
      </c>
      <c r="O567" s="260">
        <f t="shared" si="185"/>
        <v>326.61000000000013</v>
      </c>
      <c r="P567" s="260">
        <f t="shared" si="185"/>
        <v>324.90999999999985</v>
      </c>
      <c r="Q567" s="260">
        <f t="shared" si="185"/>
        <v>331.11000000000013</v>
      </c>
      <c r="R567" s="362"/>
      <c r="S567" s="362"/>
      <c r="T567" s="365"/>
      <c r="U567" s="365"/>
      <c r="V567" s="365"/>
      <c r="W567" s="368"/>
      <c r="X567" s="371"/>
    </row>
    <row r="568" spans="1:32" ht="15.6" x14ac:dyDescent="0.3">
      <c r="A568" s="278">
        <v>43752</v>
      </c>
      <c r="B568" s="295" t="s">
        <v>235</v>
      </c>
      <c r="C568" s="295" t="s">
        <v>232</v>
      </c>
      <c r="D568" s="258" t="s">
        <v>186</v>
      </c>
      <c r="E568">
        <v>2962.86</v>
      </c>
      <c r="F568">
        <v>2821.5</v>
      </c>
      <c r="G568">
        <v>2797.44</v>
      </c>
      <c r="H568">
        <v>2805.76</v>
      </c>
      <c r="I568">
        <v>2915.89</v>
      </c>
      <c r="J568">
        <v>2900.75</v>
      </c>
      <c r="K568">
        <v>2806.94</v>
      </c>
      <c r="L568">
        <v>2817.18</v>
      </c>
      <c r="M568">
        <v>2932.05</v>
      </c>
      <c r="N568">
        <v>2828.64</v>
      </c>
      <c r="O568">
        <v>2820.49</v>
      </c>
      <c r="P568">
        <v>2809.56</v>
      </c>
      <c r="Q568">
        <v>2840.88</v>
      </c>
      <c r="R568" s="360">
        <f>IF((Q569=""),"",MAX(E570:Q570))</f>
        <v>393.03999999999996</v>
      </c>
      <c r="S568" s="360">
        <f>IF(Q569="","",MIN(E570:Q570))</f>
        <v>318.5300000000002</v>
      </c>
      <c r="T568" s="363">
        <f>IF((Q570=""),"",AVERAGE(E570:Q570))</f>
        <v>348.92461538461532</v>
      </c>
      <c r="U568" s="363">
        <f>IF((Q569=""),"",(R568-S568)/(R568+S568)*100)</f>
        <v>10.471211546298994</v>
      </c>
      <c r="V568" s="363">
        <f>STDEV(E570:Q570)</f>
        <v>27.300590535549631</v>
      </c>
      <c r="W568" s="366" t="str">
        <f>IF(Q569="","",IF(T568&gt;300,IF(U568&lt;14,IF(T568&lt;390,"Pass","Fail"),"Fail"),"Fail"))</f>
        <v>Pass</v>
      </c>
      <c r="X568" s="369">
        <v>1340</v>
      </c>
      <c r="Y568" s="10" t="s">
        <v>399</v>
      </c>
      <c r="AA568" s="82">
        <v>270</v>
      </c>
      <c r="AB568" s="82">
        <v>370</v>
      </c>
      <c r="AC568" s="82">
        <v>300</v>
      </c>
      <c r="AD568" s="83">
        <v>390</v>
      </c>
      <c r="AE568" s="83">
        <v>20</v>
      </c>
      <c r="AF568" s="83">
        <v>14</v>
      </c>
    </row>
    <row r="569" spans="1:32" ht="15.6" x14ac:dyDescent="0.3">
      <c r="A569" s="222"/>
      <c r="B569" s="259"/>
      <c r="C569" s="259"/>
      <c r="D569" s="258" t="s">
        <v>187</v>
      </c>
      <c r="E569">
        <v>2569.8200000000002</v>
      </c>
      <c r="F569">
        <v>2493.0100000000002</v>
      </c>
      <c r="G569">
        <v>2478.91</v>
      </c>
      <c r="H569">
        <v>2473.98</v>
      </c>
      <c r="I569">
        <v>2534.96</v>
      </c>
      <c r="J569">
        <v>2509.09</v>
      </c>
      <c r="K569">
        <v>2472.2600000000002</v>
      </c>
      <c r="L569">
        <v>2485.9499999999998</v>
      </c>
      <c r="M569">
        <v>2548.42</v>
      </c>
      <c r="N569">
        <v>2487.21</v>
      </c>
      <c r="O569">
        <v>2487.33</v>
      </c>
      <c r="P569">
        <v>2479.35</v>
      </c>
      <c r="Q569">
        <v>2503.63</v>
      </c>
      <c r="R569" s="361"/>
      <c r="S569" s="361"/>
      <c r="T569" s="364"/>
      <c r="U569" s="364"/>
      <c r="V569" s="364"/>
      <c r="W569" s="367"/>
      <c r="X569" s="370"/>
    </row>
    <row r="570" spans="1:32" ht="30" x14ac:dyDescent="0.25">
      <c r="A570" s="292"/>
      <c r="B570" s="257"/>
      <c r="C570" s="257"/>
      <c r="D570" s="258" t="s">
        <v>188</v>
      </c>
      <c r="E570" s="260">
        <f t="shared" ref="E570:Q570" si="186">IF(((E568="")*AND(E569="")),"",(E568-E569))</f>
        <v>393.03999999999996</v>
      </c>
      <c r="F570" s="260">
        <f t="shared" si="186"/>
        <v>328.48999999999978</v>
      </c>
      <c r="G570" s="260">
        <f t="shared" si="186"/>
        <v>318.5300000000002</v>
      </c>
      <c r="H570" s="260">
        <f t="shared" si="186"/>
        <v>331.7800000000002</v>
      </c>
      <c r="I570" s="260">
        <f t="shared" si="186"/>
        <v>380.92999999999984</v>
      </c>
      <c r="J570" s="260">
        <f t="shared" si="186"/>
        <v>391.65999999999985</v>
      </c>
      <c r="K570" s="260">
        <f t="shared" si="186"/>
        <v>334.67999999999984</v>
      </c>
      <c r="L570" s="260">
        <f t="shared" si="186"/>
        <v>331.23</v>
      </c>
      <c r="M570" s="260">
        <f t="shared" si="186"/>
        <v>383.63000000000011</v>
      </c>
      <c r="N570" s="260">
        <f t="shared" si="186"/>
        <v>341.42999999999984</v>
      </c>
      <c r="O570" s="260">
        <f t="shared" si="186"/>
        <v>333.15999999999985</v>
      </c>
      <c r="P570" s="260">
        <f t="shared" si="186"/>
        <v>330.21000000000004</v>
      </c>
      <c r="Q570" s="260">
        <f t="shared" si="186"/>
        <v>337.25</v>
      </c>
      <c r="R570" s="362"/>
      <c r="S570" s="362"/>
      <c r="T570" s="365"/>
      <c r="U570" s="365"/>
      <c r="V570" s="365"/>
      <c r="W570" s="368"/>
      <c r="X570" s="371"/>
    </row>
    <row r="571" spans="1:32" ht="15.6" x14ac:dyDescent="0.3">
      <c r="A571" s="278">
        <v>43755</v>
      </c>
      <c r="B571" s="295" t="s">
        <v>235</v>
      </c>
      <c r="C571" s="295" t="s">
        <v>232</v>
      </c>
      <c r="D571" s="258" t="s">
        <v>186</v>
      </c>
      <c r="E571">
        <v>3109.55</v>
      </c>
      <c r="F571">
        <v>3018.26</v>
      </c>
      <c r="G571">
        <v>3002.45</v>
      </c>
      <c r="H571">
        <v>3005.93</v>
      </c>
      <c r="I571">
        <v>3085.18</v>
      </c>
      <c r="J571">
        <v>3158.56</v>
      </c>
      <c r="K571">
        <v>3032.58</v>
      </c>
      <c r="L571">
        <v>2997.17</v>
      </c>
      <c r="M571">
        <v>3065.98</v>
      </c>
      <c r="N571">
        <v>3048.63</v>
      </c>
      <c r="O571">
        <v>3004.42</v>
      </c>
      <c r="P571">
        <v>3034.33</v>
      </c>
      <c r="Q571">
        <v>3012.01</v>
      </c>
      <c r="R571" s="360">
        <f>IF((Q572=""),"",MAX(E573:Q573))</f>
        <v>378.25</v>
      </c>
      <c r="S571" s="360">
        <f>IF(Q572="","",MIN(E573:Q573))</f>
        <v>311.60999999999967</v>
      </c>
      <c r="T571" s="363">
        <f>IF((Q573=""),"",AVERAGE(E573:Q573))</f>
        <v>337.38000000000005</v>
      </c>
      <c r="U571" s="363">
        <f>IF((Q572=""),"",(R571-S571)/(R571+S571)*100)</f>
        <v>9.6599310004929055</v>
      </c>
      <c r="V571" s="363">
        <f>STDEV(E573:Q573)</f>
        <v>25.943749086565489</v>
      </c>
      <c r="W571" s="366" t="str">
        <f>IF(Q572="","",IF(T571&gt;300,IF(U571&lt;14,IF(T571&lt;390,"Pass","Fail"),"Fail"),"Fail"))</f>
        <v>Pass</v>
      </c>
      <c r="X571" s="369">
        <v>1340</v>
      </c>
      <c r="Y571" s="10" t="s">
        <v>401</v>
      </c>
      <c r="AA571" s="82">
        <v>270</v>
      </c>
      <c r="AB571" s="82">
        <v>370</v>
      </c>
      <c r="AC571" s="82">
        <v>300</v>
      </c>
      <c r="AD571" s="83">
        <v>390</v>
      </c>
      <c r="AE571" s="83">
        <v>20</v>
      </c>
      <c r="AF571" s="83">
        <v>14</v>
      </c>
    </row>
    <row r="572" spans="1:32" ht="15.6" x14ac:dyDescent="0.3">
      <c r="A572" s="222"/>
      <c r="B572" s="259"/>
      <c r="C572" s="259"/>
      <c r="D572" s="258" t="s">
        <v>187</v>
      </c>
      <c r="E572">
        <v>2731.3</v>
      </c>
      <c r="F572">
        <v>2699.15</v>
      </c>
      <c r="G572">
        <v>2690.84</v>
      </c>
      <c r="H572">
        <v>2686.62</v>
      </c>
      <c r="I572">
        <v>2712.2</v>
      </c>
      <c r="J572">
        <v>2785.48</v>
      </c>
      <c r="K572">
        <v>2711.12</v>
      </c>
      <c r="L572">
        <v>2676.44</v>
      </c>
      <c r="M572">
        <v>2692.62</v>
      </c>
      <c r="N572">
        <v>2724.25</v>
      </c>
      <c r="O572">
        <v>2680.84</v>
      </c>
      <c r="P572">
        <v>2710.34</v>
      </c>
      <c r="Q572">
        <v>2687.91</v>
      </c>
      <c r="R572" s="361"/>
      <c r="S572" s="361"/>
      <c r="T572" s="364"/>
      <c r="U572" s="364"/>
      <c r="V572" s="364"/>
      <c r="W572" s="367"/>
      <c r="X572" s="370"/>
    </row>
    <row r="573" spans="1:32" ht="30" x14ac:dyDescent="0.25">
      <c r="A573" s="292"/>
      <c r="B573" s="257"/>
      <c r="C573" s="257"/>
      <c r="D573" s="258" t="s">
        <v>188</v>
      </c>
      <c r="E573" s="260">
        <f t="shared" ref="E573:Q573" si="187">IF(((E571="")*AND(E572="")),"",(E571-E572))</f>
        <v>378.25</v>
      </c>
      <c r="F573" s="260">
        <f t="shared" si="187"/>
        <v>319.11000000000013</v>
      </c>
      <c r="G573" s="260">
        <f t="shared" si="187"/>
        <v>311.60999999999967</v>
      </c>
      <c r="H573" s="260">
        <f t="shared" si="187"/>
        <v>319.30999999999995</v>
      </c>
      <c r="I573" s="260">
        <f t="shared" si="187"/>
        <v>372.98</v>
      </c>
      <c r="J573" s="260">
        <f t="shared" si="187"/>
        <v>373.07999999999993</v>
      </c>
      <c r="K573" s="260">
        <f t="shared" si="187"/>
        <v>321.46000000000004</v>
      </c>
      <c r="L573" s="260">
        <f t="shared" si="187"/>
        <v>320.73</v>
      </c>
      <c r="M573" s="260">
        <f t="shared" si="187"/>
        <v>373.36000000000013</v>
      </c>
      <c r="N573" s="260">
        <f t="shared" si="187"/>
        <v>324.38000000000011</v>
      </c>
      <c r="O573" s="260">
        <f t="shared" si="187"/>
        <v>323.57999999999993</v>
      </c>
      <c r="P573" s="260">
        <f t="shared" si="187"/>
        <v>323.98999999999978</v>
      </c>
      <c r="Q573" s="260">
        <f t="shared" si="187"/>
        <v>324.10000000000036</v>
      </c>
      <c r="R573" s="362"/>
      <c r="S573" s="362"/>
      <c r="T573" s="365"/>
      <c r="U573" s="365"/>
      <c r="V573" s="365"/>
      <c r="W573" s="368"/>
      <c r="X573" s="371"/>
    </row>
    <row r="574" spans="1:32" ht="15.6" x14ac:dyDescent="0.3">
      <c r="A574" s="278">
        <v>43760</v>
      </c>
      <c r="B574" s="295" t="s">
        <v>235</v>
      </c>
      <c r="C574" s="295" t="s">
        <v>232</v>
      </c>
      <c r="D574" s="258" t="s">
        <v>186</v>
      </c>
      <c r="E574">
        <v>3125</v>
      </c>
      <c r="F574">
        <v>3017.46</v>
      </c>
      <c r="G574">
        <v>3001.36</v>
      </c>
      <c r="H574">
        <v>3002.89</v>
      </c>
      <c r="I574">
        <v>3074.95</v>
      </c>
      <c r="J574">
        <v>3152.82</v>
      </c>
      <c r="K574">
        <v>3027</v>
      </c>
      <c r="L574">
        <v>3000.24</v>
      </c>
      <c r="M574">
        <v>3061.63</v>
      </c>
      <c r="N574">
        <v>3047.51</v>
      </c>
      <c r="O574">
        <v>2998.42</v>
      </c>
      <c r="P574">
        <v>3030.06</v>
      </c>
      <c r="Q574">
        <v>3014.45</v>
      </c>
      <c r="R574" s="360">
        <f>IF((Q575=""),"",MAX(E576:Q576))</f>
        <v>376.21000000000004</v>
      </c>
      <c r="S574" s="360">
        <f>IF(Q575="","",MIN(E576:Q576))</f>
        <v>317.17999999999984</v>
      </c>
      <c r="T574" s="363">
        <f>IF((Q576=""),"",AVERAGE(E576:Q576))</f>
        <v>337.25076923076927</v>
      </c>
      <c r="U574" s="363">
        <f>IF((Q575=""),"",(R574-S574)/(R574+S574)*100)</f>
        <v>8.5132465135061377</v>
      </c>
      <c r="V574" s="363">
        <f>STDEV(E576:Q576)</f>
        <v>24.156684879324363</v>
      </c>
      <c r="W574" s="366" t="str">
        <f>IF(Q575="","",IF(T574&gt;300,IF(U574&lt;14,IF(T574&lt;390,"Pass","Fail"),"Fail"),"Fail"))</f>
        <v>Pass</v>
      </c>
      <c r="X574" s="369">
        <v>74</v>
      </c>
      <c r="AA574" s="82">
        <v>270</v>
      </c>
      <c r="AB574" s="82">
        <v>370</v>
      </c>
      <c r="AC574" s="82">
        <v>300</v>
      </c>
      <c r="AD574" s="83">
        <v>390</v>
      </c>
      <c r="AE574" s="83">
        <v>20</v>
      </c>
      <c r="AF574" s="83">
        <v>14</v>
      </c>
    </row>
    <row r="575" spans="1:32" ht="15.6" x14ac:dyDescent="0.3">
      <c r="A575" s="222"/>
      <c r="B575" s="259"/>
      <c r="C575" s="259"/>
      <c r="D575" s="258" t="s">
        <v>187</v>
      </c>
      <c r="E575">
        <v>2748.79</v>
      </c>
      <c r="F575">
        <v>2700.28</v>
      </c>
      <c r="G575">
        <v>2683.56</v>
      </c>
      <c r="H575">
        <v>2680.66</v>
      </c>
      <c r="I575">
        <v>2708.14</v>
      </c>
      <c r="J575">
        <v>2778.6</v>
      </c>
      <c r="K575">
        <v>2708.67</v>
      </c>
      <c r="L575">
        <v>2676.51</v>
      </c>
      <c r="M575">
        <v>2692.33</v>
      </c>
      <c r="N575">
        <v>2721.82</v>
      </c>
      <c r="O575">
        <v>2678.38</v>
      </c>
      <c r="P575">
        <v>2704.8</v>
      </c>
      <c r="Q575">
        <v>2686.99</v>
      </c>
      <c r="R575" s="361"/>
      <c r="S575" s="361"/>
      <c r="T575" s="364"/>
      <c r="U575" s="364"/>
      <c r="V575" s="364"/>
      <c r="W575" s="367"/>
      <c r="X575" s="370"/>
    </row>
    <row r="576" spans="1:32" ht="30" x14ac:dyDescent="0.25">
      <c r="A576" s="292"/>
      <c r="B576" s="257"/>
      <c r="C576" s="257"/>
      <c r="D576" s="258" t="s">
        <v>188</v>
      </c>
      <c r="E576" s="260">
        <f t="shared" ref="E576:Q576" si="188">IF(((E574="")*AND(E575="")),"",(E574-E575))</f>
        <v>376.21000000000004</v>
      </c>
      <c r="F576" s="260">
        <f t="shared" si="188"/>
        <v>317.17999999999984</v>
      </c>
      <c r="G576" s="260">
        <f t="shared" si="188"/>
        <v>317.80000000000018</v>
      </c>
      <c r="H576" s="260">
        <f t="shared" si="188"/>
        <v>322.23</v>
      </c>
      <c r="I576" s="260">
        <f t="shared" si="188"/>
        <v>366.80999999999995</v>
      </c>
      <c r="J576" s="260">
        <f t="shared" si="188"/>
        <v>374.22000000000025</v>
      </c>
      <c r="K576" s="260">
        <f t="shared" si="188"/>
        <v>318.32999999999993</v>
      </c>
      <c r="L576" s="260">
        <f t="shared" si="188"/>
        <v>323.72999999999956</v>
      </c>
      <c r="M576" s="260">
        <f t="shared" si="188"/>
        <v>369.30000000000018</v>
      </c>
      <c r="N576" s="260">
        <f t="shared" si="188"/>
        <v>325.69000000000005</v>
      </c>
      <c r="O576" s="260">
        <f t="shared" si="188"/>
        <v>320.03999999999996</v>
      </c>
      <c r="P576" s="260">
        <f t="shared" si="188"/>
        <v>325.25999999999976</v>
      </c>
      <c r="Q576" s="260">
        <f t="shared" si="188"/>
        <v>327.46000000000004</v>
      </c>
      <c r="R576" s="362"/>
      <c r="S576" s="362"/>
      <c r="T576" s="365"/>
      <c r="U576" s="365"/>
      <c r="V576" s="365"/>
      <c r="W576" s="368"/>
      <c r="X576" s="371"/>
    </row>
    <row r="577" spans="1:32" ht="15.6" x14ac:dyDescent="0.3">
      <c r="A577" s="278">
        <v>43766</v>
      </c>
      <c r="B577" s="295" t="s">
        <v>235</v>
      </c>
      <c r="C577" s="295" t="s">
        <v>232</v>
      </c>
      <c r="D577" s="258" t="s">
        <v>186</v>
      </c>
      <c r="E577">
        <v>2752.27</v>
      </c>
      <c r="F577">
        <v>2702.94</v>
      </c>
      <c r="G577">
        <v>2786.6</v>
      </c>
      <c r="H577">
        <v>2687.72</v>
      </c>
      <c r="I577">
        <v>2712.99</v>
      </c>
      <c r="J577">
        <v>2784.17</v>
      </c>
      <c r="K577">
        <v>2725.21</v>
      </c>
      <c r="L577">
        <v>2686.24</v>
      </c>
      <c r="M577">
        <v>2696.85</v>
      </c>
      <c r="N577">
        <v>2725.06</v>
      </c>
      <c r="O577">
        <v>2689.83</v>
      </c>
      <c r="P577">
        <v>2718.84</v>
      </c>
      <c r="Q577">
        <v>2691.37</v>
      </c>
      <c r="R577" s="360">
        <f>IF((Q578=""),"",MAX(E579:Q579))</f>
        <v>428.53999999999996</v>
      </c>
      <c r="S577" s="360">
        <f>IF(Q578="","",MIN(E579:Q579))</f>
        <v>330.09999999999991</v>
      </c>
      <c r="T577" s="363">
        <f>IF((Q579=""),"",AVERAGE(E579:Q579))</f>
        <v>357.62846153846147</v>
      </c>
      <c r="U577" s="363">
        <f>IF((Q578=""),"",(R577-S577)/(R577+S577)*100)</f>
        <v>12.975851523779406</v>
      </c>
      <c r="V577" s="363">
        <f>STDEV(E579:Q579)</f>
        <v>31.37255218768837</v>
      </c>
      <c r="W577" s="366" t="str">
        <f>IF(Q578="","",IF(T577&gt;300,IF(U577&lt;14,IF(T577&lt;390,"Pass","Fail"),"Fail"),"Fail"))</f>
        <v>Pass</v>
      </c>
      <c r="X577" s="369">
        <v>1159</v>
      </c>
      <c r="Y577" s="10" t="s">
        <v>403</v>
      </c>
      <c r="AA577" s="82">
        <v>270</v>
      </c>
      <c r="AB577" s="82">
        <v>370</v>
      </c>
      <c r="AC577" s="82">
        <v>300</v>
      </c>
      <c r="AD577" s="83">
        <v>390</v>
      </c>
      <c r="AE577" s="83">
        <v>20</v>
      </c>
      <c r="AF577" s="83">
        <v>14</v>
      </c>
    </row>
    <row r="578" spans="1:32" ht="15.6" x14ac:dyDescent="0.3">
      <c r="A578" s="222"/>
      <c r="B578" s="259"/>
      <c r="C578" s="259"/>
      <c r="D578" s="258" t="s">
        <v>187</v>
      </c>
      <c r="E578">
        <v>2363.79</v>
      </c>
      <c r="F578">
        <v>2372.06</v>
      </c>
      <c r="G578">
        <v>2358.06</v>
      </c>
      <c r="H578">
        <v>2356.58</v>
      </c>
      <c r="I578">
        <v>2335.96</v>
      </c>
      <c r="J578">
        <v>2399.0100000000002</v>
      </c>
      <c r="K578">
        <v>2380.19</v>
      </c>
      <c r="L578">
        <v>2353.39</v>
      </c>
      <c r="M578">
        <v>2313.81</v>
      </c>
      <c r="N578">
        <v>2394.96</v>
      </c>
      <c r="O578">
        <v>2346.2600000000002</v>
      </c>
      <c r="P578">
        <v>2378.4699999999998</v>
      </c>
      <c r="Q578">
        <v>2358.38</v>
      </c>
      <c r="R578" s="361"/>
      <c r="S578" s="361"/>
      <c r="T578" s="364"/>
      <c r="U578" s="364"/>
      <c r="V578" s="364"/>
      <c r="W578" s="367"/>
      <c r="X578" s="370"/>
    </row>
    <row r="579" spans="1:32" ht="30" x14ac:dyDescent="0.25">
      <c r="A579" s="292"/>
      <c r="B579" s="257"/>
      <c r="C579" s="257"/>
      <c r="D579" s="258" t="s">
        <v>188</v>
      </c>
      <c r="E579" s="260">
        <f t="shared" ref="E579:Q579" si="189">IF(((E577="")*AND(E578="")),"",(E577-E578))</f>
        <v>388.48</v>
      </c>
      <c r="F579" s="260">
        <f t="shared" si="189"/>
        <v>330.88000000000011</v>
      </c>
      <c r="G579" s="260">
        <f t="shared" si="189"/>
        <v>428.53999999999996</v>
      </c>
      <c r="H579" s="260">
        <f t="shared" si="189"/>
        <v>331.13999999999987</v>
      </c>
      <c r="I579" s="260">
        <f t="shared" si="189"/>
        <v>377.02999999999975</v>
      </c>
      <c r="J579" s="260">
        <f t="shared" si="189"/>
        <v>385.15999999999985</v>
      </c>
      <c r="K579" s="260">
        <f t="shared" si="189"/>
        <v>345.02</v>
      </c>
      <c r="L579" s="260">
        <f t="shared" si="189"/>
        <v>332.84999999999991</v>
      </c>
      <c r="M579" s="260">
        <f t="shared" si="189"/>
        <v>383.03999999999996</v>
      </c>
      <c r="N579" s="260">
        <f t="shared" si="189"/>
        <v>330.09999999999991</v>
      </c>
      <c r="O579" s="260">
        <f t="shared" si="189"/>
        <v>343.56999999999971</v>
      </c>
      <c r="P579" s="260">
        <f t="shared" si="189"/>
        <v>340.37000000000035</v>
      </c>
      <c r="Q579" s="260">
        <f t="shared" si="189"/>
        <v>332.98999999999978</v>
      </c>
      <c r="R579" s="362"/>
      <c r="S579" s="362"/>
      <c r="T579" s="365"/>
      <c r="U579" s="365"/>
      <c r="V579" s="365"/>
      <c r="W579" s="368"/>
      <c r="X579" s="371"/>
    </row>
    <row r="580" spans="1:32" ht="15.6" x14ac:dyDescent="0.3">
      <c r="A580" s="278">
        <v>43769</v>
      </c>
      <c r="B580" s="295" t="s">
        <v>235</v>
      </c>
      <c r="C580" s="295" t="s">
        <v>232</v>
      </c>
      <c r="D580" s="258" t="s">
        <v>186</v>
      </c>
      <c r="E580">
        <v>2354.81</v>
      </c>
      <c r="F580">
        <v>2364.96</v>
      </c>
      <c r="G580">
        <v>2346.42</v>
      </c>
      <c r="H580">
        <v>2344.52</v>
      </c>
      <c r="I580">
        <v>2323.5</v>
      </c>
      <c r="J580">
        <v>2395.15</v>
      </c>
      <c r="K580">
        <v>2376.15</v>
      </c>
      <c r="L580">
        <v>2339.66</v>
      </c>
      <c r="M580">
        <v>2304.12</v>
      </c>
      <c r="N580">
        <v>2394.21</v>
      </c>
      <c r="O580">
        <v>2336.6</v>
      </c>
      <c r="P580">
        <v>2364.83</v>
      </c>
      <c r="Q580">
        <v>2350.84</v>
      </c>
      <c r="R580" s="360">
        <f>IF((Q581=""),"",MAX(E582:Q582))</f>
        <v>406.81999999999994</v>
      </c>
      <c r="S580" s="360">
        <f>IF(Q581="","",MIN(E582:Q582))</f>
        <v>341.37000000000012</v>
      </c>
      <c r="T580" s="363">
        <f>IF((Q582=""),"",AVERAGE(E582:Q582))</f>
        <v>365.84538461538466</v>
      </c>
      <c r="U580" s="363">
        <f>IF((Q581=""),"",(R580-S580)/(R580+S580)*100)</f>
        <v>8.7477779708362604</v>
      </c>
      <c r="V580" s="363">
        <f>STDEV(E582:Q582)</f>
        <v>24.977196471776896</v>
      </c>
      <c r="W580" s="366" t="str">
        <f>IF(Q581="","",IF(T580&gt;300,IF(U580&lt;14,IF(T580&lt;390,"Pass","Fail"),"Fail"),"Fail"))</f>
        <v>Pass</v>
      </c>
      <c r="X580" s="369">
        <v>1428</v>
      </c>
      <c r="Y580" s="10" t="s">
        <v>404</v>
      </c>
      <c r="AA580" s="82">
        <v>270</v>
      </c>
      <c r="AB580" s="82">
        <v>370</v>
      </c>
      <c r="AC580" s="82">
        <v>300</v>
      </c>
      <c r="AD580" s="83">
        <v>390</v>
      </c>
      <c r="AE580" s="83">
        <v>20</v>
      </c>
      <c r="AF580" s="83">
        <v>14</v>
      </c>
    </row>
    <row r="581" spans="1:32" ht="15.6" x14ac:dyDescent="0.3">
      <c r="A581" s="222"/>
      <c r="B581" s="259"/>
      <c r="C581" s="259"/>
      <c r="D581" s="258" t="s">
        <v>187</v>
      </c>
      <c r="E581">
        <v>1947.99</v>
      </c>
      <c r="F581">
        <v>2015.43</v>
      </c>
      <c r="G581">
        <v>2005.05</v>
      </c>
      <c r="H581">
        <v>1991.17</v>
      </c>
      <c r="I581">
        <v>1924.83</v>
      </c>
      <c r="J581">
        <v>1989.76</v>
      </c>
      <c r="K581">
        <v>2034.21</v>
      </c>
      <c r="L581">
        <v>1989.45</v>
      </c>
      <c r="M581">
        <v>1911.35</v>
      </c>
      <c r="N581">
        <v>2042.89</v>
      </c>
      <c r="O581">
        <v>1979.47</v>
      </c>
      <c r="P581">
        <v>2014.56</v>
      </c>
      <c r="Q581">
        <v>1993.62</v>
      </c>
      <c r="R581" s="361"/>
      <c r="S581" s="361"/>
      <c r="T581" s="364"/>
      <c r="U581" s="364"/>
      <c r="V581" s="364"/>
      <c r="W581" s="367"/>
      <c r="X581" s="370"/>
    </row>
    <row r="582" spans="1:32" ht="30" x14ac:dyDescent="0.25">
      <c r="A582" s="292"/>
      <c r="B582" s="257"/>
      <c r="C582" s="257"/>
      <c r="D582" s="258" t="s">
        <v>188</v>
      </c>
      <c r="E582" s="260">
        <f t="shared" ref="E582:Q582" si="190">IF(((E580="")*AND(E581="")),"",(E580-E581))</f>
        <v>406.81999999999994</v>
      </c>
      <c r="F582" s="260">
        <f t="shared" si="190"/>
        <v>349.53</v>
      </c>
      <c r="G582" s="260">
        <f t="shared" si="190"/>
        <v>341.37000000000012</v>
      </c>
      <c r="H582" s="260">
        <f t="shared" si="190"/>
        <v>353.34999999999991</v>
      </c>
      <c r="I582" s="260">
        <f t="shared" si="190"/>
        <v>398.67000000000007</v>
      </c>
      <c r="J582" s="260">
        <f t="shared" si="190"/>
        <v>405.3900000000001</v>
      </c>
      <c r="K582" s="260">
        <f t="shared" si="190"/>
        <v>341.94000000000005</v>
      </c>
      <c r="L582" s="260">
        <f t="shared" si="190"/>
        <v>350.20999999999981</v>
      </c>
      <c r="M582" s="260">
        <f t="shared" si="190"/>
        <v>392.77</v>
      </c>
      <c r="N582" s="260">
        <f t="shared" si="190"/>
        <v>351.31999999999994</v>
      </c>
      <c r="O582" s="260">
        <f t="shared" si="190"/>
        <v>357.12999999999988</v>
      </c>
      <c r="P582" s="260">
        <f t="shared" si="190"/>
        <v>350.27</v>
      </c>
      <c r="Q582" s="260">
        <f t="shared" si="190"/>
        <v>357.22000000000025</v>
      </c>
      <c r="R582" s="362"/>
      <c r="S582" s="362"/>
      <c r="T582" s="365"/>
      <c r="U582" s="365"/>
      <c r="V582" s="365"/>
      <c r="W582" s="368"/>
      <c r="X582" s="371"/>
    </row>
    <row r="583" spans="1:32" ht="15.6" x14ac:dyDescent="0.3">
      <c r="A583" s="278">
        <v>43773</v>
      </c>
      <c r="B583" s="295" t="s">
        <v>235</v>
      </c>
      <c r="C583" s="295" t="s">
        <v>232</v>
      </c>
      <c r="D583" s="258" t="s">
        <v>186</v>
      </c>
      <c r="E583">
        <v>3135.67</v>
      </c>
      <c r="F583">
        <v>3052.55</v>
      </c>
      <c r="G583">
        <v>3041.63</v>
      </c>
      <c r="H583">
        <v>3053.25</v>
      </c>
      <c r="I583">
        <v>3126.6</v>
      </c>
      <c r="J583">
        <v>3203.07</v>
      </c>
      <c r="K583">
        <v>3072.96</v>
      </c>
      <c r="L583">
        <v>3034.05</v>
      </c>
      <c r="M583">
        <v>3084.81</v>
      </c>
      <c r="N583">
        <v>3082.05</v>
      </c>
      <c r="O583">
        <v>3044.63</v>
      </c>
      <c r="P583">
        <v>3079.66</v>
      </c>
      <c r="Q583">
        <v>3041.82</v>
      </c>
      <c r="R583" s="360">
        <f>IF((Q584=""),"",MAX(E585:Q585))</f>
        <v>380.20000000000027</v>
      </c>
      <c r="S583" s="360">
        <f>IF(Q584="","",MIN(E585:Q585))</f>
        <v>323.37999999999965</v>
      </c>
      <c r="T583" s="363">
        <f>IF((Q585=""),"",AVERAGE(E585:Q585))</f>
        <v>340.85615384615392</v>
      </c>
      <c r="U583" s="363">
        <f>IF((Q584=""),"",(R583-S583)/(R583+S583)*100)</f>
        <v>8.0758407004179524</v>
      </c>
      <c r="V583" s="363">
        <f>STDEV(E585:Q585)</f>
        <v>23.1073958356993</v>
      </c>
      <c r="W583" s="366" t="str">
        <f>IF(Q584="","",IF(T583&gt;300,IF(U583&lt;14,IF(T583&lt;390,"Pass","Fail"),"Fail"),"Fail"))</f>
        <v>Pass</v>
      </c>
      <c r="X583" s="369">
        <v>121</v>
      </c>
      <c r="Y583" s="10" t="s">
        <v>407</v>
      </c>
      <c r="AA583" s="82">
        <v>270</v>
      </c>
      <c r="AB583" s="82">
        <v>370</v>
      </c>
      <c r="AC583" s="82">
        <v>300</v>
      </c>
      <c r="AD583" s="83">
        <v>390</v>
      </c>
      <c r="AE583" s="83">
        <v>20</v>
      </c>
      <c r="AF583" s="83">
        <v>14</v>
      </c>
    </row>
    <row r="584" spans="1:32" ht="15.6" x14ac:dyDescent="0.3">
      <c r="A584" s="222"/>
      <c r="B584" s="259"/>
      <c r="C584" s="259"/>
      <c r="D584" s="258" t="s">
        <v>187</v>
      </c>
      <c r="E584">
        <v>2755.47</v>
      </c>
      <c r="F584">
        <v>2728.33</v>
      </c>
      <c r="G584">
        <v>2716.87</v>
      </c>
      <c r="H584">
        <v>2727.78</v>
      </c>
      <c r="I584">
        <v>2755.67</v>
      </c>
      <c r="J584">
        <v>2833.16</v>
      </c>
      <c r="K584">
        <v>2747.69</v>
      </c>
      <c r="L584">
        <v>2706.66</v>
      </c>
      <c r="M584">
        <v>2710.68</v>
      </c>
      <c r="N584">
        <v>2756.48</v>
      </c>
      <c r="O584">
        <v>2710.81</v>
      </c>
      <c r="P584">
        <v>2756.28</v>
      </c>
      <c r="Q584">
        <v>2715.74</v>
      </c>
      <c r="R584" s="361"/>
      <c r="S584" s="361"/>
      <c r="T584" s="364"/>
      <c r="U584" s="364"/>
      <c r="V584" s="364"/>
      <c r="W584" s="367"/>
      <c r="X584" s="370"/>
    </row>
    <row r="585" spans="1:32" ht="30" x14ac:dyDescent="0.25">
      <c r="A585" s="292"/>
      <c r="B585" s="257"/>
      <c r="C585" s="257"/>
      <c r="D585" s="258" t="s">
        <v>188</v>
      </c>
      <c r="E585" s="260">
        <f t="shared" ref="E585:Q585" si="191">IF(((E583="")*AND(E584="")),"",(E583-E584))</f>
        <v>380.20000000000027</v>
      </c>
      <c r="F585" s="260">
        <f t="shared" si="191"/>
        <v>324.22000000000025</v>
      </c>
      <c r="G585" s="260">
        <f t="shared" si="191"/>
        <v>324.76000000000022</v>
      </c>
      <c r="H585" s="260">
        <f t="shared" si="191"/>
        <v>325.4699999999998</v>
      </c>
      <c r="I585" s="260">
        <f t="shared" si="191"/>
        <v>370.92999999999984</v>
      </c>
      <c r="J585" s="260">
        <f t="shared" si="191"/>
        <v>369.91000000000031</v>
      </c>
      <c r="K585" s="260">
        <f t="shared" si="191"/>
        <v>325.27</v>
      </c>
      <c r="L585" s="260">
        <f t="shared" si="191"/>
        <v>327.39000000000033</v>
      </c>
      <c r="M585" s="260">
        <f t="shared" si="191"/>
        <v>374.13000000000011</v>
      </c>
      <c r="N585" s="260">
        <f t="shared" si="191"/>
        <v>325.57000000000016</v>
      </c>
      <c r="O585" s="260">
        <f t="shared" si="191"/>
        <v>333.82000000000016</v>
      </c>
      <c r="P585" s="260">
        <f t="shared" si="191"/>
        <v>323.37999999999965</v>
      </c>
      <c r="Q585" s="260">
        <f t="shared" si="191"/>
        <v>326.08000000000038</v>
      </c>
      <c r="R585" s="362"/>
      <c r="S585" s="362"/>
      <c r="T585" s="365"/>
      <c r="U585" s="365"/>
      <c r="V585" s="365"/>
      <c r="W585" s="368"/>
      <c r="X585" s="371"/>
    </row>
    <row r="586" spans="1:32" ht="15.6" x14ac:dyDescent="0.3">
      <c r="A586" s="278">
        <v>43776</v>
      </c>
      <c r="B586" s="295" t="s">
        <v>235</v>
      </c>
      <c r="C586" s="295" t="s">
        <v>232</v>
      </c>
      <c r="D586" s="258" t="s">
        <v>186</v>
      </c>
      <c r="E586">
        <v>3221.61</v>
      </c>
      <c r="F586">
        <v>3088.51</v>
      </c>
      <c r="G586">
        <v>3061.12</v>
      </c>
      <c r="H586">
        <v>3054.49</v>
      </c>
      <c r="I586">
        <v>3099.72</v>
      </c>
      <c r="J586">
        <v>3207.59</v>
      </c>
      <c r="K586">
        <v>3086.32</v>
      </c>
      <c r="L586">
        <v>3059.76</v>
      </c>
      <c r="M586">
        <v>3103.23</v>
      </c>
      <c r="N586">
        <v>3117.04</v>
      </c>
      <c r="O586">
        <v>3051.48</v>
      </c>
      <c r="P586">
        <v>3077.74</v>
      </c>
      <c r="Q586">
        <v>3086.99</v>
      </c>
      <c r="R586" s="360">
        <f>IF((Q587=""),"",MAX(E588:Q588))</f>
        <v>382.46000000000004</v>
      </c>
      <c r="S586" s="360">
        <f>IF(Q587="","",MIN(E588:Q588))</f>
        <v>324.94999999999982</v>
      </c>
      <c r="T586" s="363">
        <f>IF((Q588=""),"",AVERAGE(E588:Q588))</f>
        <v>344.56923076923073</v>
      </c>
      <c r="U586" s="363">
        <f>IF((Q587=""),"",(R586-S586)/(R586+S586)*100)</f>
        <v>8.1296560693233388</v>
      </c>
      <c r="V586" s="363">
        <f>STDEV(E588:Q588)</f>
        <v>24.739775821383486</v>
      </c>
      <c r="W586" s="366" t="str">
        <f>IF(Q587="","",IF(T586&gt;300,IF(U586&lt;14,IF(T586&lt;390,"Pass","Fail"),"Fail"),"Fail"))</f>
        <v>Pass</v>
      </c>
      <c r="X586" s="369"/>
      <c r="AA586" s="82">
        <v>270</v>
      </c>
      <c r="AB586" s="82">
        <v>370</v>
      </c>
      <c r="AC586" s="82">
        <v>300</v>
      </c>
      <c r="AD586" s="83">
        <v>390</v>
      </c>
      <c r="AE586" s="83">
        <v>20</v>
      </c>
      <c r="AF586" s="83">
        <v>14</v>
      </c>
    </row>
    <row r="587" spans="1:32" ht="15.6" x14ac:dyDescent="0.3">
      <c r="A587" s="222"/>
      <c r="B587" s="259"/>
      <c r="C587" s="259"/>
      <c r="D587" s="258" t="s">
        <v>187</v>
      </c>
      <c r="E587">
        <v>2843.91</v>
      </c>
      <c r="F587">
        <v>2762.67</v>
      </c>
      <c r="G587">
        <v>2736.17</v>
      </c>
      <c r="H587">
        <v>2726.7</v>
      </c>
      <c r="I587">
        <v>2718.4</v>
      </c>
      <c r="J587">
        <v>2828.91</v>
      </c>
      <c r="K587">
        <v>2760.07</v>
      </c>
      <c r="L587">
        <v>2728.82</v>
      </c>
      <c r="M587">
        <v>2720.77</v>
      </c>
      <c r="N587">
        <v>2788.4</v>
      </c>
      <c r="O587">
        <v>2719.1</v>
      </c>
      <c r="P587">
        <v>2746.75</v>
      </c>
      <c r="Q587">
        <v>2755.53</v>
      </c>
      <c r="R587" s="361"/>
      <c r="S587" s="361"/>
      <c r="T587" s="364"/>
      <c r="U587" s="364"/>
      <c r="V587" s="364"/>
      <c r="W587" s="367"/>
      <c r="X587" s="370"/>
    </row>
    <row r="588" spans="1:32" ht="30" x14ac:dyDescent="0.25">
      <c r="A588" s="292"/>
      <c r="B588" s="257"/>
      <c r="C588" s="257"/>
      <c r="D588" s="258" t="s">
        <v>188</v>
      </c>
      <c r="E588" s="260">
        <f t="shared" ref="E588:Q588" si="192">IF(((E586="")*AND(E587="")),"",(E586-E587))</f>
        <v>377.70000000000027</v>
      </c>
      <c r="F588" s="260">
        <f t="shared" si="192"/>
        <v>325.84000000000015</v>
      </c>
      <c r="G588" s="260">
        <f t="shared" si="192"/>
        <v>324.94999999999982</v>
      </c>
      <c r="H588" s="260">
        <f t="shared" si="192"/>
        <v>327.78999999999996</v>
      </c>
      <c r="I588" s="260">
        <f t="shared" si="192"/>
        <v>381.31999999999971</v>
      </c>
      <c r="J588" s="260">
        <f t="shared" si="192"/>
        <v>378.68000000000029</v>
      </c>
      <c r="K588" s="260">
        <f t="shared" si="192"/>
        <v>326.25</v>
      </c>
      <c r="L588" s="260">
        <f t="shared" si="192"/>
        <v>330.94000000000005</v>
      </c>
      <c r="M588" s="260">
        <f t="shared" si="192"/>
        <v>382.46000000000004</v>
      </c>
      <c r="N588" s="260">
        <f t="shared" si="192"/>
        <v>328.63999999999987</v>
      </c>
      <c r="O588" s="260">
        <f t="shared" si="192"/>
        <v>332.38000000000011</v>
      </c>
      <c r="P588" s="260">
        <f t="shared" si="192"/>
        <v>330.98999999999978</v>
      </c>
      <c r="Q588" s="260">
        <f t="shared" si="192"/>
        <v>331.45999999999958</v>
      </c>
      <c r="R588" s="362"/>
      <c r="S588" s="362"/>
      <c r="T588" s="365"/>
      <c r="U588" s="365"/>
      <c r="V588" s="365"/>
      <c r="W588" s="368"/>
      <c r="X588" s="371"/>
    </row>
    <row r="589" spans="1:32" ht="15.6" x14ac:dyDescent="0.3">
      <c r="A589" s="278">
        <v>43780</v>
      </c>
      <c r="B589" s="295" t="s">
        <v>235</v>
      </c>
      <c r="C589" s="295" t="s">
        <v>232</v>
      </c>
      <c r="D589" s="258" t="s">
        <v>186</v>
      </c>
      <c r="E589">
        <v>3228.28</v>
      </c>
      <c r="F589">
        <v>3098.91</v>
      </c>
      <c r="G589">
        <v>3064.43</v>
      </c>
      <c r="H589">
        <v>3056.51</v>
      </c>
      <c r="I589">
        <v>3102.13</v>
      </c>
      <c r="J589">
        <v>3191.1</v>
      </c>
      <c r="K589">
        <v>3086.57</v>
      </c>
      <c r="L589">
        <v>3068.42</v>
      </c>
      <c r="M589">
        <v>3139.51</v>
      </c>
      <c r="N589">
        <v>3115.92</v>
      </c>
      <c r="O589">
        <v>3058.09</v>
      </c>
      <c r="P589">
        <v>3075.83</v>
      </c>
      <c r="Q589">
        <v>3098.53</v>
      </c>
      <c r="R589" s="360">
        <f>IF((Q590=""),"",MAX(E591:Q591))</f>
        <v>384.60000000000036</v>
      </c>
      <c r="S589" s="360">
        <f>IF(Q590="","",MIN(E591:Q591))</f>
        <v>325.19999999999982</v>
      </c>
      <c r="T589" s="363">
        <f>IF((Q591=""),"",AVERAGE(E591:Q591))</f>
        <v>348.6646153846155</v>
      </c>
      <c r="U589" s="363">
        <f>IF((Q590=""),"",(R589-S589)/(R589+S589)*100)</f>
        <v>8.3685545224007498</v>
      </c>
      <c r="V589" s="363">
        <f>STDEV(E591:Q591)</f>
        <v>23.027404548850338</v>
      </c>
      <c r="W589" s="366" t="str">
        <f>IF(Q590="","",IF(T589&gt;300,IF(U589&lt;14,IF(T589&lt;390,"Pass","Fail"),"Fail"),"Fail"))</f>
        <v>Pass</v>
      </c>
      <c r="X589" s="369">
        <v>1340</v>
      </c>
      <c r="Y589" s="10" t="s">
        <v>411</v>
      </c>
      <c r="AA589" s="82">
        <v>270</v>
      </c>
      <c r="AB589" s="82">
        <v>370</v>
      </c>
      <c r="AC589" s="82">
        <v>300</v>
      </c>
      <c r="AD589" s="83">
        <v>390</v>
      </c>
      <c r="AE589" s="83">
        <v>20</v>
      </c>
      <c r="AF589" s="83">
        <v>14</v>
      </c>
    </row>
    <row r="590" spans="1:32" ht="15.6" x14ac:dyDescent="0.3">
      <c r="A590" s="222"/>
      <c r="B590" s="259"/>
      <c r="C590" s="259"/>
      <c r="D590" s="258" t="s">
        <v>187</v>
      </c>
      <c r="E590">
        <v>2850.59</v>
      </c>
      <c r="F590">
        <v>2767.57</v>
      </c>
      <c r="G590">
        <v>2739.23</v>
      </c>
      <c r="H590">
        <v>2721.78</v>
      </c>
      <c r="I590">
        <v>2719.06</v>
      </c>
      <c r="J590">
        <v>2811.04</v>
      </c>
      <c r="K590">
        <v>2752.33</v>
      </c>
      <c r="L590">
        <v>2734.75</v>
      </c>
      <c r="M590">
        <v>2754.91</v>
      </c>
      <c r="N590">
        <v>2782.37</v>
      </c>
      <c r="O590">
        <v>2716.11</v>
      </c>
      <c r="P590">
        <v>2740.27</v>
      </c>
      <c r="Q590">
        <v>2761.58</v>
      </c>
      <c r="R590" s="361"/>
      <c r="S590" s="361"/>
      <c r="T590" s="364"/>
      <c r="U590" s="364"/>
      <c r="V590" s="364"/>
      <c r="W590" s="367"/>
      <c r="X590" s="370"/>
    </row>
    <row r="591" spans="1:32" ht="30" x14ac:dyDescent="0.25">
      <c r="A591" s="292"/>
      <c r="B591" s="257"/>
      <c r="C591" s="257"/>
      <c r="D591" s="258" t="s">
        <v>188</v>
      </c>
      <c r="E591" s="260">
        <f t="shared" ref="E591:Q591" si="193">IF(((E589="")*AND(E590="")),"",(E589-E590))</f>
        <v>377.69000000000005</v>
      </c>
      <c r="F591" s="260">
        <f t="shared" si="193"/>
        <v>331.33999999999969</v>
      </c>
      <c r="G591" s="260">
        <f t="shared" si="193"/>
        <v>325.19999999999982</v>
      </c>
      <c r="H591" s="260">
        <f t="shared" si="193"/>
        <v>334.73</v>
      </c>
      <c r="I591" s="260">
        <f t="shared" si="193"/>
        <v>383.07000000000016</v>
      </c>
      <c r="J591" s="260">
        <f t="shared" si="193"/>
        <v>380.05999999999995</v>
      </c>
      <c r="K591" s="260">
        <f t="shared" si="193"/>
        <v>334.24000000000024</v>
      </c>
      <c r="L591" s="260">
        <f t="shared" si="193"/>
        <v>333.67000000000007</v>
      </c>
      <c r="M591" s="260">
        <f t="shared" si="193"/>
        <v>384.60000000000036</v>
      </c>
      <c r="N591" s="260">
        <f t="shared" si="193"/>
        <v>333.55000000000018</v>
      </c>
      <c r="O591" s="260">
        <f t="shared" si="193"/>
        <v>341.98</v>
      </c>
      <c r="P591" s="260">
        <f t="shared" si="193"/>
        <v>335.55999999999995</v>
      </c>
      <c r="Q591" s="260">
        <f t="shared" si="193"/>
        <v>336.95000000000027</v>
      </c>
      <c r="R591" s="362"/>
      <c r="S591" s="362"/>
      <c r="T591" s="365"/>
      <c r="U591" s="365"/>
      <c r="V591" s="365"/>
      <c r="W591" s="368"/>
      <c r="X591" s="371"/>
    </row>
    <row r="592" spans="1:32" ht="15.6" x14ac:dyDescent="0.3">
      <c r="A592" s="222">
        <v>43783</v>
      </c>
      <c r="B592" s="295" t="s">
        <v>235</v>
      </c>
      <c r="C592" s="295" t="s">
        <v>232</v>
      </c>
      <c r="D592" s="258" t="s">
        <v>186</v>
      </c>
      <c r="E592">
        <v>3232.12</v>
      </c>
      <c r="F592">
        <v>3092.92</v>
      </c>
      <c r="G592">
        <v>3056.42</v>
      </c>
      <c r="H592">
        <v>3042.79</v>
      </c>
      <c r="I592">
        <v>3085.45</v>
      </c>
      <c r="J592">
        <v>3153.37</v>
      </c>
      <c r="K592">
        <v>3062.39</v>
      </c>
      <c r="L592">
        <v>3077.3</v>
      </c>
      <c r="M592">
        <v>3178.69</v>
      </c>
      <c r="N592">
        <v>3099.98</v>
      </c>
      <c r="O592">
        <v>3064.39</v>
      </c>
      <c r="P592">
        <v>3051.95</v>
      </c>
      <c r="Q592">
        <v>3117.59</v>
      </c>
      <c r="R592" s="360">
        <f>IF((Q593=""),"",MAX(E594:Q594))</f>
        <v>374.84999999999991</v>
      </c>
      <c r="S592" s="360">
        <f>IF(Q593="","",MIN(E594:Q594))</f>
        <v>315.49000000000024</v>
      </c>
      <c r="T592" s="363">
        <f>IF((Q594=""),"",AVERAGE(E594:Q594))</f>
        <v>339.56692307692316</v>
      </c>
      <c r="U592" s="363">
        <f>IF((Q593=""),"",(R592-S592)/(R592+S592)*100)</f>
        <v>8.5986615291015536</v>
      </c>
      <c r="V592" s="363">
        <f>STDEV(E594:Q594)</f>
        <v>23.820331086635239</v>
      </c>
      <c r="W592" s="366" t="str">
        <f>IF(Q593="","",IF(T592&gt;300,IF(U592&lt;14,IF(T592&lt;390,"Pass","Fail"),"Fail"),"Fail"))</f>
        <v>Pass</v>
      </c>
      <c r="X592" s="369" t="s">
        <v>412</v>
      </c>
      <c r="Y592" s="10" t="s">
        <v>414</v>
      </c>
      <c r="AA592" s="82">
        <v>270</v>
      </c>
      <c r="AB592" s="82">
        <v>370</v>
      </c>
      <c r="AC592" s="82">
        <v>300</v>
      </c>
      <c r="AD592" s="83">
        <v>390</v>
      </c>
      <c r="AE592" s="83">
        <v>20</v>
      </c>
      <c r="AF592" s="83">
        <v>14</v>
      </c>
    </row>
    <row r="593" spans="1:32" ht="15.6" x14ac:dyDescent="0.3">
      <c r="A593" s="222"/>
      <c r="B593" s="259"/>
      <c r="C593" s="259"/>
      <c r="D593" s="258" t="s">
        <v>187</v>
      </c>
      <c r="E593">
        <v>2857.27</v>
      </c>
      <c r="F593">
        <v>2772.4</v>
      </c>
      <c r="G593">
        <v>2740.93</v>
      </c>
      <c r="H593">
        <v>2724.29</v>
      </c>
      <c r="I593">
        <v>2711.47</v>
      </c>
      <c r="J593">
        <v>2778.64</v>
      </c>
      <c r="K593">
        <v>2737.97</v>
      </c>
      <c r="L593">
        <v>2753.65</v>
      </c>
      <c r="M593">
        <v>2809.4</v>
      </c>
      <c r="N593">
        <v>2771.49</v>
      </c>
      <c r="O593">
        <v>2733.17</v>
      </c>
      <c r="P593">
        <v>2721.94</v>
      </c>
      <c r="Q593">
        <v>2788.37</v>
      </c>
      <c r="R593" s="361"/>
      <c r="S593" s="361"/>
      <c r="T593" s="364"/>
      <c r="U593" s="364"/>
      <c r="V593" s="364"/>
      <c r="W593" s="367"/>
      <c r="X593" s="370"/>
    </row>
    <row r="594" spans="1:32" ht="30" x14ac:dyDescent="0.25">
      <c r="A594" s="292"/>
      <c r="B594" s="257"/>
      <c r="C594" s="257"/>
      <c r="D594" s="258" t="s">
        <v>188</v>
      </c>
      <c r="E594" s="260">
        <f t="shared" ref="E594:Q594" si="194">IF(((E592="")*AND(E593="")),"",(E592-E593))</f>
        <v>374.84999999999991</v>
      </c>
      <c r="F594" s="260">
        <f t="shared" si="194"/>
        <v>320.52</v>
      </c>
      <c r="G594" s="260">
        <f t="shared" si="194"/>
        <v>315.49000000000024</v>
      </c>
      <c r="H594" s="260">
        <f t="shared" si="194"/>
        <v>318.5</v>
      </c>
      <c r="I594" s="260">
        <f t="shared" si="194"/>
        <v>373.98</v>
      </c>
      <c r="J594" s="260">
        <f t="shared" si="194"/>
        <v>374.73</v>
      </c>
      <c r="K594" s="260">
        <f t="shared" si="194"/>
        <v>324.42000000000007</v>
      </c>
      <c r="L594" s="260">
        <f t="shared" si="194"/>
        <v>323.65000000000009</v>
      </c>
      <c r="M594" s="260">
        <f t="shared" si="194"/>
        <v>369.28999999999996</v>
      </c>
      <c r="N594" s="260">
        <f t="shared" si="194"/>
        <v>328.49000000000024</v>
      </c>
      <c r="O594" s="260">
        <f t="shared" si="194"/>
        <v>331.2199999999998</v>
      </c>
      <c r="P594" s="260">
        <f t="shared" si="194"/>
        <v>330.00999999999976</v>
      </c>
      <c r="Q594" s="260">
        <f t="shared" si="194"/>
        <v>329.22000000000025</v>
      </c>
      <c r="R594" s="362"/>
      <c r="S594" s="362"/>
      <c r="T594" s="365"/>
      <c r="U594" s="365"/>
      <c r="V594" s="365"/>
      <c r="W594" s="368"/>
      <c r="X594" s="371"/>
    </row>
    <row r="595" spans="1:32" ht="15.6" x14ac:dyDescent="0.3">
      <c r="A595" s="222">
        <v>43787</v>
      </c>
      <c r="B595" s="295" t="s">
        <v>235</v>
      </c>
      <c r="C595" s="295" t="s">
        <v>232</v>
      </c>
      <c r="D595" s="258" t="s">
        <v>186</v>
      </c>
      <c r="E595">
        <v>2861.4</v>
      </c>
      <c r="F595">
        <v>2771.21</v>
      </c>
      <c r="G595">
        <v>2761.17</v>
      </c>
      <c r="H595">
        <v>2725.96</v>
      </c>
      <c r="I595">
        <v>2715.89</v>
      </c>
      <c r="J595">
        <v>2782.45</v>
      </c>
      <c r="K595">
        <v>2736.93</v>
      </c>
      <c r="L595">
        <v>2724.95</v>
      </c>
      <c r="M595">
        <v>2810.61</v>
      </c>
      <c r="N595">
        <v>2772.45</v>
      </c>
      <c r="O595">
        <v>2731.99</v>
      </c>
      <c r="P595">
        <v>2722.75</v>
      </c>
      <c r="Q595">
        <v>2787.45</v>
      </c>
      <c r="R595" s="360">
        <f>IF((Q596=""),"",MAX(E597:Q597))</f>
        <v>395.34999999999991</v>
      </c>
      <c r="S595" s="360">
        <f>IF(Q596="","",MIN(E597:Q597))</f>
        <v>306.12999999999965</v>
      </c>
      <c r="T595" s="363">
        <f>IF((Q597=""),"",AVERAGE(E597:Q597))</f>
        <v>350.72384615384601</v>
      </c>
      <c r="U595" s="363">
        <f>IF((Q596=""),"",(R595-S595)/(R595+S595)*100)</f>
        <v>12.718823059816433</v>
      </c>
      <c r="V595" s="363">
        <f>STDEV(E597:Q597)</f>
        <v>27.720606516471261</v>
      </c>
      <c r="W595" s="366" t="str">
        <f>IF(Q596="","",IF(T595&gt;300,IF(U595&lt;14,IF(T595&lt;390,"Pass","Fail"),"Fail"),"Fail"))</f>
        <v>Pass</v>
      </c>
      <c r="X595" s="369">
        <v>1159</v>
      </c>
      <c r="Y595" s="10" t="s">
        <v>416</v>
      </c>
      <c r="AA595" s="82">
        <v>270</v>
      </c>
      <c r="AB595" s="82">
        <v>370</v>
      </c>
      <c r="AC595" s="82">
        <v>300</v>
      </c>
      <c r="AD595" s="83">
        <v>390</v>
      </c>
      <c r="AE595" s="83">
        <v>20</v>
      </c>
      <c r="AF595" s="83">
        <v>14</v>
      </c>
    </row>
    <row r="596" spans="1:32" ht="15.6" x14ac:dyDescent="0.3">
      <c r="A596" s="222"/>
      <c r="B596" s="259"/>
      <c r="C596" s="259"/>
      <c r="D596" s="258" t="s">
        <v>187</v>
      </c>
      <c r="E596">
        <v>2466.0500000000002</v>
      </c>
      <c r="F596">
        <v>2435.5700000000002</v>
      </c>
      <c r="G596">
        <v>2405.65</v>
      </c>
      <c r="H596">
        <v>2389.5500000000002</v>
      </c>
      <c r="I596">
        <v>2335.4899999999998</v>
      </c>
      <c r="J596">
        <v>2395.63</v>
      </c>
      <c r="K596">
        <v>2405.6999999999998</v>
      </c>
      <c r="L596">
        <v>2418.8200000000002</v>
      </c>
      <c r="M596">
        <v>2423.08</v>
      </c>
      <c r="N596">
        <v>2434.87</v>
      </c>
      <c r="O596">
        <v>2398.4499999999998</v>
      </c>
      <c r="P596">
        <v>2387.13</v>
      </c>
      <c r="Q596">
        <v>2449.81</v>
      </c>
      <c r="R596" s="361"/>
      <c r="S596" s="361"/>
      <c r="T596" s="364"/>
      <c r="U596" s="364"/>
      <c r="V596" s="364"/>
      <c r="W596" s="367"/>
      <c r="X596" s="370"/>
    </row>
    <row r="597" spans="1:32" ht="30" x14ac:dyDescent="0.25">
      <c r="A597" s="292"/>
      <c r="B597" s="257"/>
      <c r="C597" s="257"/>
      <c r="D597" s="258" t="s">
        <v>188</v>
      </c>
      <c r="E597" s="260">
        <f t="shared" ref="E597:Q597" si="195">IF(((E595="")*AND(E596="")),"",(E595-E596))</f>
        <v>395.34999999999991</v>
      </c>
      <c r="F597" s="260">
        <f t="shared" si="195"/>
        <v>335.63999999999987</v>
      </c>
      <c r="G597" s="260">
        <f t="shared" si="195"/>
        <v>355.52</v>
      </c>
      <c r="H597" s="260">
        <f t="shared" si="195"/>
        <v>336.40999999999985</v>
      </c>
      <c r="I597" s="260">
        <f t="shared" si="195"/>
        <v>380.40000000000009</v>
      </c>
      <c r="J597" s="260">
        <f t="shared" si="195"/>
        <v>386.81999999999971</v>
      </c>
      <c r="K597" s="260">
        <f t="shared" si="195"/>
        <v>331.23</v>
      </c>
      <c r="L597" s="260">
        <f t="shared" si="195"/>
        <v>306.12999999999965</v>
      </c>
      <c r="M597" s="260">
        <f t="shared" si="195"/>
        <v>387.5300000000002</v>
      </c>
      <c r="N597" s="260">
        <f t="shared" si="195"/>
        <v>337.57999999999993</v>
      </c>
      <c r="O597" s="260">
        <f t="shared" si="195"/>
        <v>333.53999999999996</v>
      </c>
      <c r="P597" s="260">
        <f t="shared" si="195"/>
        <v>335.61999999999989</v>
      </c>
      <c r="Q597" s="260">
        <f t="shared" si="195"/>
        <v>337.63999999999987</v>
      </c>
      <c r="R597" s="362"/>
      <c r="S597" s="362"/>
      <c r="T597" s="365"/>
      <c r="U597" s="365"/>
      <c r="V597" s="365"/>
      <c r="W597" s="368"/>
      <c r="X597" s="371"/>
    </row>
    <row r="598" spans="1:32" ht="15.6" x14ac:dyDescent="0.3">
      <c r="A598" s="222">
        <v>43790</v>
      </c>
      <c r="B598" s="295" t="s">
        <v>235</v>
      </c>
      <c r="C598" s="295" t="s">
        <v>232</v>
      </c>
      <c r="D598" s="258" t="s">
        <v>186</v>
      </c>
      <c r="E598">
        <v>3066.99</v>
      </c>
      <c r="F598">
        <v>2945.63</v>
      </c>
      <c r="G598">
        <v>2939.24</v>
      </c>
      <c r="H598">
        <v>2969.12</v>
      </c>
      <c r="I598">
        <v>3119.59</v>
      </c>
      <c r="J598">
        <v>3046.81</v>
      </c>
      <c r="K598">
        <v>2948.92</v>
      </c>
      <c r="L598">
        <v>2954.71</v>
      </c>
      <c r="M598">
        <v>3056.92</v>
      </c>
      <c r="N598">
        <v>2956.38</v>
      </c>
      <c r="O598">
        <v>2984.49</v>
      </c>
      <c r="P598">
        <v>2977.23</v>
      </c>
      <c r="Q598">
        <v>2958.78</v>
      </c>
      <c r="R598" s="360">
        <f>IF((Q599=""),"",MAX(E600:Q600))</f>
        <v>379.63999999999987</v>
      </c>
      <c r="S598" s="360">
        <f>IF(Q599="","",MIN(E600:Q600))</f>
        <v>320.87999999999965</v>
      </c>
      <c r="T598" s="363">
        <f>IF((Q600=""),"",AVERAGE(E600:Q600))</f>
        <v>342.79307692307691</v>
      </c>
      <c r="U598" s="363">
        <f>IF((Q599=""),"",(R598-S598)/(R598+S598)*100)</f>
        <v>8.3880545880203652</v>
      </c>
      <c r="V598" s="363">
        <f>STDEV(E600:Q600)</f>
        <v>23.298217522883402</v>
      </c>
      <c r="W598" s="366" t="str">
        <f>IF(Q599="","",IF(T598&gt;300,IF(U598&lt;14,IF(T598&lt;390,"Pass","Fail"),"Fail"),"Fail"))</f>
        <v>Pass</v>
      </c>
      <c r="X598" s="369">
        <v>74</v>
      </c>
      <c r="Y598" s="11" t="s">
        <v>418</v>
      </c>
      <c r="AA598" s="82">
        <v>270</v>
      </c>
      <c r="AB598" s="82">
        <v>370</v>
      </c>
      <c r="AC598" s="82">
        <v>300</v>
      </c>
      <c r="AD598" s="83">
        <v>390</v>
      </c>
      <c r="AE598" s="83">
        <v>20</v>
      </c>
      <c r="AF598" s="83">
        <v>14</v>
      </c>
    </row>
    <row r="599" spans="1:32" ht="15.6" x14ac:dyDescent="0.3">
      <c r="A599" s="222"/>
      <c r="B599" s="259"/>
      <c r="C599" s="259"/>
      <c r="D599" s="258" t="s">
        <v>187</v>
      </c>
      <c r="E599">
        <v>2687.35</v>
      </c>
      <c r="F599">
        <v>2619.3000000000002</v>
      </c>
      <c r="G599">
        <v>2618.36</v>
      </c>
      <c r="H599">
        <v>2639.22</v>
      </c>
      <c r="I599">
        <v>2747.74</v>
      </c>
      <c r="J599">
        <v>2668.94</v>
      </c>
      <c r="K599">
        <v>2620.7600000000002</v>
      </c>
      <c r="L599">
        <v>2627.94</v>
      </c>
      <c r="M599">
        <v>2682.13</v>
      </c>
      <c r="N599">
        <v>2626.02</v>
      </c>
      <c r="O599">
        <v>2657.98</v>
      </c>
      <c r="P599">
        <v>2645.56</v>
      </c>
      <c r="Q599">
        <v>2627.2</v>
      </c>
      <c r="R599" s="361"/>
      <c r="S599" s="361"/>
      <c r="T599" s="364"/>
      <c r="U599" s="364"/>
      <c r="V599" s="364"/>
      <c r="W599" s="367"/>
      <c r="X599" s="370"/>
    </row>
    <row r="600" spans="1:32" ht="30" x14ac:dyDescent="0.25">
      <c r="A600" s="292"/>
      <c r="B600" s="257"/>
      <c r="C600" s="257"/>
      <c r="D600" s="258" t="s">
        <v>188</v>
      </c>
      <c r="E600" s="260">
        <f t="shared" ref="E600:Q600" si="196">IF(((E598="")*AND(E599="")),"",(E598-E599))</f>
        <v>379.63999999999987</v>
      </c>
      <c r="F600" s="260">
        <f t="shared" si="196"/>
        <v>326.32999999999993</v>
      </c>
      <c r="G600" s="260">
        <f t="shared" si="196"/>
        <v>320.87999999999965</v>
      </c>
      <c r="H600" s="260">
        <f t="shared" si="196"/>
        <v>329.90000000000009</v>
      </c>
      <c r="I600" s="260">
        <f t="shared" si="196"/>
        <v>371.85000000000036</v>
      </c>
      <c r="J600" s="260">
        <f t="shared" si="196"/>
        <v>377.86999999999989</v>
      </c>
      <c r="K600" s="260">
        <f t="shared" si="196"/>
        <v>328.15999999999985</v>
      </c>
      <c r="L600" s="260">
        <f t="shared" si="196"/>
        <v>326.77</v>
      </c>
      <c r="M600" s="260">
        <f t="shared" si="196"/>
        <v>374.78999999999996</v>
      </c>
      <c r="N600" s="260">
        <f t="shared" si="196"/>
        <v>330.36000000000013</v>
      </c>
      <c r="O600" s="260">
        <f t="shared" si="196"/>
        <v>326.50999999999976</v>
      </c>
      <c r="P600" s="260">
        <f t="shared" si="196"/>
        <v>331.67000000000007</v>
      </c>
      <c r="Q600" s="260">
        <f t="shared" si="196"/>
        <v>331.58000000000038</v>
      </c>
      <c r="R600" s="362"/>
      <c r="S600" s="362"/>
      <c r="T600" s="365"/>
      <c r="U600" s="365"/>
      <c r="V600" s="365"/>
      <c r="W600" s="368"/>
      <c r="X600" s="371"/>
    </row>
    <row r="601" spans="1:32" ht="15.6" x14ac:dyDescent="0.3">
      <c r="A601" s="222">
        <v>43794</v>
      </c>
      <c r="B601" s="295" t="s">
        <v>235</v>
      </c>
      <c r="C601" s="295" t="s">
        <v>232</v>
      </c>
      <c r="D601" s="258" t="s">
        <v>186</v>
      </c>
      <c r="E601">
        <v>2687.35</v>
      </c>
      <c r="F601">
        <v>2619.3000000000002</v>
      </c>
      <c r="G601">
        <v>2618.36</v>
      </c>
      <c r="H601">
        <v>2639.22</v>
      </c>
      <c r="I601">
        <v>2747.74</v>
      </c>
      <c r="J601">
        <v>2668.94</v>
      </c>
      <c r="K601">
        <v>2620.7600000000002</v>
      </c>
      <c r="L601">
        <v>2627.94</v>
      </c>
      <c r="M601">
        <v>2682.13</v>
      </c>
      <c r="N601">
        <v>2626.02</v>
      </c>
      <c r="O601">
        <v>2657.98</v>
      </c>
      <c r="P601">
        <v>2645.56</v>
      </c>
      <c r="Q601">
        <v>2627.2</v>
      </c>
      <c r="R601" s="360">
        <f>IF((Q602=""),"",MAX(E603:Q603))</f>
        <v>432.90999999999985</v>
      </c>
      <c r="S601" s="360">
        <f>IF(Q602="","",MIN(E603:Q603))</f>
        <v>246.93000000000029</v>
      </c>
      <c r="T601" s="363">
        <f>IF((Q603=""),"",AVERAGE(E603:Q603))</f>
        <v>341.93538461538458</v>
      </c>
      <c r="U601" s="363">
        <f>IF((Q602=""),"",(R601-S601)/(R601+S601)*100)</f>
        <v>27.356436808660789</v>
      </c>
      <c r="V601" s="363">
        <f>STDEV(E603:Q603)</f>
        <v>43.563290665303853</v>
      </c>
      <c r="W601" s="366" t="str">
        <f>IF(Q602="","",IF(T601&gt;300,IF(U601&lt;14,IF(T601&lt;390,"Pass","Fail"),"Fail"),"Fail"))</f>
        <v>Fail</v>
      </c>
      <c r="X601" s="369">
        <v>1428</v>
      </c>
      <c r="Y601" s="10" t="s">
        <v>419</v>
      </c>
      <c r="AA601" s="82">
        <v>270</v>
      </c>
      <c r="AB601" s="82">
        <v>370</v>
      </c>
      <c r="AC601" s="82">
        <v>300</v>
      </c>
      <c r="AD601" s="83">
        <v>390</v>
      </c>
      <c r="AE601" s="83">
        <v>20</v>
      </c>
    </row>
    <row r="602" spans="1:32" ht="15.6" x14ac:dyDescent="0.3">
      <c r="A602" s="222"/>
      <c r="B602" s="259"/>
      <c r="C602" s="259"/>
      <c r="D602" s="258" t="s">
        <v>187</v>
      </c>
      <c r="E602">
        <v>2307.1</v>
      </c>
      <c r="F602">
        <v>2302.83</v>
      </c>
      <c r="G602">
        <v>2289.14</v>
      </c>
      <c r="H602">
        <v>2295.0300000000002</v>
      </c>
      <c r="I602">
        <v>2314.83</v>
      </c>
      <c r="J602">
        <v>2345.0700000000002</v>
      </c>
      <c r="K602">
        <v>2373.83</v>
      </c>
      <c r="L602">
        <v>2294.4699999999998</v>
      </c>
      <c r="M602">
        <v>2300</v>
      </c>
      <c r="N602">
        <v>2294.35</v>
      </c>
      <c r="O602">
        <v>2290.96</v>
      </c>
      <c r="P602">
        <v>2310.7600000000002</v>
      </c>
      <c r="Q602">
        <v>2304.9699999999998</v>
      </c>
      <c r="R602" s="361"/>
      <c r="S602" s="361"/>
      <c r="T602" s="364"/>
      <c r="U602" s="364"/>
      <c r="V602" s="364"/>
      <c r="W602" s="367"/>
      <c r="X602" s="370"/>
    </row>
    <row r="603" spans="1:32" ht="30" x14ac:dyDescent="0.25">
      <c r="A603" s="292"/>
      <c r="B603" s="257"/>
      <c r="C603" s="257"/>
      <c r="D603" s="258" t="s">
        <v>188</v>
      </c>
      <c r="E603" s="260">
        <f t="shared" ref="E603:Q603" si="197">IF(((E601="")*AND(E602="")),"",(E601-E602))</f>
        <v>380.25</v>
      </c>
      <c r="F603" s="260">
        <f t="shared" si="197"/>
        <v>316.47000000000025</v>
      </c>
      <c r="G603" s="260">
        <f t="shared" si="197"/>
        <v>329.22000000000025</v>
      </c>
      <c r="H603" s="260">
        <f t="shared" si="197"/>
        <v>344.1899999999996</v>
      </c>
      <c r="I603" s="260">
        <f t="shared" si="197"/>
        <v>432.90999999999985</v>
      </c>
      <c r="J603" s="260">
        <f t="shared" si="197"/>
        <v>323.86999999999989</v>
      </c>
      <c r="K603" s="260">
        <f t="shared" si="197"/>
        <v>246.93000000000029</v>
      </c>
      <c r="L603" s="260">
        <f t="shared" si="197"/>
        <v>333.47000000000025</v>
      </c>
      <c r="M603" s="260">
        <f t="shared" si="197"/>
        <v>382.13000000000011</v>
      </c>
      <c r="N603" s="260">
        <f t="shared" si="197"/>
        <v>331.67000000000007</v>
      </c>
      <c r="O603" s="260">
        <f t="shared" si="197"/>
        <v>367.02</v>
      </c>
      <c r="P603" s="260">
        <f t="shared" si="197"/>
        <v>334.79999999999973</v>
      </c>
      <c r="Q603" s="260">
        <f t="shared" si="197"/>
        <v>322.23</v>
      </c>
      <c r="R603" s="362"/>
      <c r="S603" s="362"/>
      <c r="T603" s="365"/>
      <c r="U603" s="365"/>
      <c r="V603" s="365"/>
      <c r="W603" s="368"/>
      <c r="X603" s="371"/>
    </row>
    <row r="604" spans="1:32" ht="15.6" x14ac:dyDescent="0.3">
      <c r="A604" s="222">
        <v>43794</v>
      </c>
      <c r="B604" s="295" t="s">
        <v>235</v>
      </c>
      <c r="C604" s="295" t="s">
        <v>232</v>
      </c>
      <c r="D604" s="258" t="s">
        <v>186</v>
      </c>
      <c r="E604">
        <v>3073.57</v>
      </c>
      <c r="F604">
        <v>2986.77</v>
      </c>
      <c r="G604">
        <v>2951.69</v>
      </c>
      <c r="H604">
        <v>2944.04</v>
      </c>
      <c r="I604">
        <v>2972.65</v>
      </c>
      <c r="J604">
        <v>3029.81</v>
      </c>
      <c r="K604">
        <v>3129.06</v>
      </c>
      <c r="L604">
        <v>3060.66</v>
      </c>
      <c r="M604">
        <v>2994.13</v>
      </c>
      <c r="N604">
        <v>2958.41</v>
      </c>
      <c r="O604">
        <v>2954.13</v>
      </c>
      <c r="P604">
        <v>2990.62</v>
      </c>
      <c r="Q604">
        <v>3068.11</v>
      </c>
      <c r="R604" s="360">
        <f>IF((Q605=""),"",MAX(E606:Q606))</f>
        <v>403.01000000000022</v>
      </c>
      <c r="S604" s="360">
        <f>IF(Q605="","",MIN(E606:Q606))</f>
        <v>316.98</v>
      </c>
      <c r="T604" s="363">
        <f>IF((Q606=""),"",AVERAGE(E606:Q606))</f>
        <v>353.78153846153845</v>
      </c>
      <c r="U604" s="363">
        <f>IF((Q605=""),"",(R604-S604)/(R604+S604)*100)</f>
        <v>11.948777066348168</v>
      </c>
      <c r="V604" s="363">
        <f>STDEV(E606:Q606)</f>
        <v>32.31858233435625</v>
      </c>
      <c r="W604" s="366" t="str">
        <f>IF(Q605="","",IF(T604&gt;300,IF(U604&lt;14,IF(T604&lt;390,"Pass","Fail"),"Fail"),"Fail"))</f>
        <v>Pass</v>
      </c>
      <c r="X604" s="369">
        <v>1428</v>
      </c>
      <c r="Y604" s="10" t="s">
        <v>420</v>
      </c>
      <c r="AA604" s="82">
        <v>270</v>
      </c>
      <c r="AB604" s="82">
        <v>370</v>
      </c>
      <c r="AC604" s="82">
        <v>300</v>
      </c>
      <c r="AD604" s="83">
        <v>390</v>
      </c>
      <c r="AE604" s="83">
        <v>20</v>
      </c>
    </row>
    <row r="605" spans="1:32" ht="15.6" x14ac:dyDescent="0.3">
      <c r="A605" s="222"/>
      <c r="B605" s="259"/>
      <c r="C605" s="259"/>
      <c r="D605" s="258" t="s">
        <v>187</v>
      </c>
      <c r="E605">
        <v>2674.53</v>
      </c>
      <c r="F605">
        <v>2639.73</v>
      </c>
      <c r="G605">
        <v>2621.15</v>
      </c>
      <c r="H605">
        <v>2627.06</v>
      </c>
      <c r="I605">
        <v>2643.34</v>
      </c>
      <c r="J605">
        <v>2685.05</v>
      </c>
      <c r="K605">
        <v>2735.52</v>
      </c>
      <c r="L605">
        <v>2662.19</v>
      </c>
      <c r="M605">
        <v>2651.14</v>
      </c>
      <c r="N605">
        <v>2631.81</v>
      </c>
      <c r="O605">
        <v>2630.21</v>
      </c>
      <c r="P605">
        <v>2647.66</v>
      </c>
      <c r="Q605">
        <v>2665.1</v>
      </c>
      <c r="R605" s="361"/>
      <c r="S605" s="361"/>
      <c r="T605" s="364"/>
      <c r="U605" s="364"/>
      <c r="V605" s="364"/>
      <c r="W605" s="367"/>
      <c r="X605" s="370"/>
    </row>
    <row r="606" spans="1:32" ht="30" x14ac:dyDescent="0.25">
      <c r="A606" s="292"/>
      <c r="B606" s="257"/>
      <c r="C606" s="257"/>
      <c r="D606" s="258" t="s">
        <v>188</v>
      </c>
      <c r="E606" s="260">
        <f t="shared" ref="E606:Q606" si="198">IF(((E604="")*AND(E605="")),"",(E604-E605))</f>
        <v>399.03999999999996</v>
      </c>
      <c r="F606" s="260">
        <f t="shared" si="198"/>
        <v>347.03999999999996</v>
      </c>
      <c r="G606" s="260">
        <f t="shared" si="198"/>
        <v>330.53999999999996</v>
      </c>
      <c r="H606" s="260">
        <f t="shared" si="198"/>
        <v>316.98</v>
      </c>
      <c r="I606" s="260">
        <f t="shared" si="198"/>
        <v>329.30999999999995</v>
      </c>
      <c r="J606" s="260">
        <f t="shared" si="198"/>
        <v>344.75999999999976</v>
      </c>
      <c r="K606" s="260">
        <f t="shared" si="198"/>
        <v>393.53999999999996</v>
      </c>
      <c r="L606" s="260">
        <f t="shared" si="198"/>
        <v>398.4699999999998</v>
      </c>
      <c r="M606" s="260">
        <f t="shared" si="198"/>
        <v>342.99000000000024</v>
      </c>
      <c r="N606" s="260">
        <f t="shared" si="198"/>
        <v>326.59999999999991</v>
      </c>
      <c r="O606" s="260">
        <f t="shared" si="198"/>
        <v>323.92000000000007</v>
      </c>
      <c r="P606" s="260">
        <f t="shared" si="198"/>
        <v>342.96000000000004</v>
      </c>
      <c r="Q606" s="260">
        <f t="shared" si="198"/>
        <v>403.01000000000022</v>
      </c>
      <c r="R606" s="362"/>
      <c r="S606" s="362"/>
      <c r="T606" s="365"/>
      <c r="U606" s="365"/>
      <c r="V606" s="365"/>
      <c r="W606" s="368"/>
      <c r="X606" s="371"/>
    </row>
    <row r="607" spans="1:32" ht="15.6" x14ac:dyDescent="0.3">
      <c r="A607" s="222">
        <v>43797</v>
      </c>
      <c r="B607" s="295" t="s">
        <v>235</v>
      </c>
      <c r="C607" s="295" t="s">
        <v>232</v>
      </c>
      <c r="D607" s="258" t="s">
        <v>186</v>
      </c>
      <c r="E607" s="304">
        <v>3068.07</v>
      </c>
      <c r="F607" s="304">
        <v>2946.79</v>
      </c>
      <c r="G607" s="304">
        <v>2942.04</v>
      </c>
      <c r="H607" s="304">
        <v>2969.03</v>
      </c>
      <c r="I607" s="304">
        <v>3123.24</v>
      </c>
      <c r="J607" s="304">
        <v>3063.46</v>
      </c>
      <c r="K607" s="304">
        <v>2955.28</v>
      </c>
      <c r="L607" s="304">
        <v>2949.16</v>
      </c>
      <c r="M607" s="304">
        <v>3063.63</v>
      </c>
      <c r="N607" s="304">
        <v>2956.28</v>
      </c>
      <c r="O607" s="304">
        <v>2978.5</v>
      </c>
      <c r="P607" s="304">
        <v>2982.14</v>
      </c>
      <c r="Q607" s="304">
        <v>2960</v>
      </c>
      <c r="R607" s="360">
        <f>IF((Q608=""),"",MAX(E609:Q609))</f>
        <v>388.17000000000007</v>
      </c>
      <c r="S607" s="360">
        <f>IF(Q608="","",MIN(E609:Q609))</f>
        <v>328.87999999999965</v>
      </c>
      <c r="T607" s="363">
        <f>IF((Q609=""),"",AVERAGE(E609:Q609))</f>
        <v>349.41076923076923</v>
      </c>
      <c r="U607" s="363">
        <f>IF((Q608=""),"",(R607-S607)/(R607+S607)*100)</f>
        <v>8.2686005160031293</v>
      </c>
      <c r="V607" s="363">
        <f>STDEV(E609:Q609)</f>
        <v>23.204861725343441</v>
      </c>
      <c r="W607" s="366" t="str">
        <f>IF(Q608="","",IF(T607&gt;300,IF(U607&lt;14,IF(T607&lt;390,"Pass","Fail"),"Fail"),"Fail"))</f>
        <v>Pass</v>
      </c>
      <c r="X607" s="369">
        <v>1428</v>
      </c>
      <c r="Y607" s="10" t="s">
        <v>421</v>
      </c>
      <c r="AA607" s="82">
        <v>270</v>
      </c>
      <c r="AB607" s="82">
        <v>370</v>
      </c>
      <c r="AC607" s="82">
        <v>300</v>
      </c>
      <c r="AD607" s="83">
        <v>390</v>
      </c>
      <c r="AE607" s="83">
        <v>20</v>
      </c>
    </row>
    <row r="608" spans="1:32" ht="15.6" x14ac:dyDescent="0.3">
      <c r="A608" s="222"/>
      <c r="B608" s="259"/>
      <c r="C608" s="259"/>
      <c r="D608" s="258" t="s">
        <v>187</v>
      </c>
      <c r="E608" s="304">
        <v>2679.9</v>
      </c>
      <c r="F608" s="304">
        <v>2608.27</v>
      </c>
      <c r="G608" s="304">
        <v>2609.59</v>
      </c>
      <c r="H608" s="304">
        <v>2636.67</v>
      </c>
      <c r="I608" s="304">
        <v>2745.7</v>
      </c>
      <c r="J608" s="304">
        <v>2682.58</v>
      </c>
      <c r="K608" s="304">
        <v>2625.12</v>
      </c>
      <c r="L608" s="304">
        <v>2620.2800000000002</v>
      </c>
      <c r="M608" s="304">
        <v>2680.77</v>
      </c>
      <c r="N608" s="304">
        <v>2616.4499999999998</v>
      </c>
      <c r="O608" s="304">
        <v>2642.68</v>
      </c>
      <c r="P608" s="304">
        <v>2646.5</v>
      </c>
      <c r="Q608" s="304">
        <v>2620.77</v>
      </c>
      <c r="R608" s="361"/>
      <c r="S608" s="361"/>
      <c r="T608" s="364"/>
      <c r="U608" s="364"/>
      <c r="V608" s="364"/>
      <c r="W608" s="367"/>
      <c r="X608" s="370"/>
    </row>
    <row r="609" spans="1:31" ht="30" x14ac:dyDescent="0.25">
      <c r="A609" s="292"/>
      <c r="B609" s="257"/>
      <c r="C609" s="257"/>
      <c r="D609" s="258" t="s">
        <v>188</v>
      </c>
      <c r="E609" s="260">
        <f t="shared" ref="E609:Q609" si="199">IF(((E607="")*AND(E608="")),"",(E607-E608))</f>
        <v>388.17000000000007</v>
      </c>
      <c r="F609" s="260">
        <f t="shared" si="199"/>
        <v>338.52</v>
      </c>
      <c r="G609" s="260">
        <f t="shared" si="199"/>
        <v>332.44999999999982</v>
      </c>
      <c r="H609" s="260">
        <f t="shared" si="199"/>
        <v>332.36000000000013</v>
      </c>
      <c r="I609" s="260">
        <f t="shared" si="199"/>
        <v>377.53999999999996</v>
      </c>
      <c r="J609" s="260">
        <f t="shared" si="199"/>
        <v>380.88000000000011</v>
      </c>
      <c r="K609" s="260">
        <f t="shared" si="199"/>
        <v>330.16000000000031</v>
      </c>
      <c r="L609" s="260">
        <f t="shared" si="199"/>
        <v>328.87999999999965</v>
      </c>
      <c r="M609" s="260">
        <f t="shared" si="199"/>
        <v>382.86000000000013</v>
      </c>
      <c r="N609" s="260">
        <f t="shared" si="199"/>
        <v>339.83000000000038</v>
      </c>
      <c r="O609" s="260">
        <f t="shared" si="199"/>
        <v>335.82000000000016</v>
      </c>
      <c r="P609" s="260">
        <f t="shared" si="199"/>
        <v>335.63999999999987</v>
      </c>
      <c r="Q609" s="260">
        <f t="shared" si="199"/>
        <v>339.23</v>
      </c>
      <c r="R609" s="362"/>
      <c r="S609" s="362"/>
      <c r="T609" s="365"/>
      <c r="U609" s="365"/>
      <c r="V609" s="365"/>
      <c r="W609" s="368"/>
      <c r="X609" s="371"/>
    </row>
    <row r="610" spans="1:31" ht="15.6" x14ac:dyDescent="0.3">
      <c r="A610" s="222">
        <v>43800</v>
      </c>
      <c r="B610" s="295" t="s">
        <v>235</v>
      </c>
      <c r="C610" s="295" t="s">
        <v>232</v>
      </c>
      <c r="D610" s="258" t="s">
        <v>186</v>
      </c>
      <c r="E610">
        <v>2934.08</v>
      </c>
      <c r="F610">
        <v>2785.24</v>
      </c>
      <c r="G610">
        <v>2761.3</v>
      </c>
      <c r="H610">
        <v>2766.73</v>
      </c>
      <c r="I610">
        <v>2885.77</v>
      </c>
      <c r="J610">
        <v>2880.45</v>
      </c>
      <c r="K610">
        <v>2774.56</v>
      </c>
      <c r="L610">
        <v>2770.78</v>
      </c>
      <c r="M610">
        <v>2869.33</v>
      </c>
      <c r="N610">
        <v>2796.44</v>
      </c>
      <c r="O610">
        <v>2774.22</v>
      </c>
      <c r="P610">
        <v>2779.34</v>
      </c>
      <c r="Q610">
        <v>2798.94</v>
      </c>
      <c r="R610" s="360">
        <f>IF((Q611=""),"",MAX(E612:Q612))</f>
        <v>385.42000000000007</v>
      </c>
      <c r="S610" s="360">
        <f>IF(Q611="","",MIN(E612:Q612))</f>
        <v>319.80999999999995</v>
      </c>
      <c r="T610" s="363">
        <f>IF((Q612=""),"",AVERAGE(E612:Q612))</f>
        <v>341.86461538461538</v>
      </c>
      <c r="U610" s="363">
        <f>IF((Q611=""),"",(R610-S610)/(R610+S610)*100)</f>
        <v>9.3033478439658168</v>
      </c>
      <c r="V610" s="363">
        <f>STDEV(E612:Q612)</f>
        <v>26.753162310084782</v>
      </c>
      <c r="W610" s="366" t="str">
        <f>IF(Q611="","",IF(T610&gt;300,IF(U610&lt;14,IF(T610&lt;390,"Pass","Fail"),"Fail"),"Fail"))</f>
        <v>Pass</v>
      </c>
      <c r="X610" s="369">
        <v>1428</v>
      </c>
      <c r="Y610" s="10" t="s">
        <v>424</v>
      </c>
      <c r="AA610" s="82">
        <v>270</v>
      </c>
      <c r="AB610" s="82">
        <v>370</v>
      </c>
      <c r="AC610" s="82">
        <v>300</v>
      </c>
      <c r="AD610" s="83">
        <v>390</v>
      </c>
      <c r="AE610" s="83">
        <v>20</v>
      </c>
    </row>
    <row r="611" spans="1:31" ht="15.6" x14ac:dyDescent="0.3">
      <c r="A611" s="222"/>
      <c r="B611" s="259"/>
      <c r="C611" s="259"/>
      <c r="D611" s="258" t="s">
        <v>187</v>
      </c>
      <c r="E611">
        <v>2548.66</v>
      </c>
      <c r="F611">
        <v>2459.5700000000002</v>
      </c>
      <c r="G611">
        <v>2440.02</v>
      </c>
      <c r="H611">
        <v>2445.37</v>
      </c>
      <c r="I611">
        <v>2509.56</v>
      </c>
      <c r="J611">
        <v>2502.69</v>
      </c>
      <c r="K611">
        <v>2446.2399999999998</v>
      </c>
      <c r="L611">
        <v>2446.54</v>
      </c>
      <c r="M611">
        <v>2488.34</v>
      </c>
      <c r="N611">
        <v>2469.7199999999998</v>
      </c>
      <c r="O611">
        <v>2447.5300000000002</v>
      </c>
      <c r="P611">
        <v>2459.5300000000002</v>
      </c>
      <c r="Q611">
        <v>2469.17</v>
      </c>
      <c r="R611" s="361"/>
      <c r="S611" s="361"/>
      <c r="T611" s="364"/>
      <c r="U611" s="364"/>
      <c r="V611" s="364"/>
      <c r="W611" s="367"/>
      <c r="X611" s="370"/>
    </row>
    <row r="612" spans="1:31" ht="30" x14ac:dyDescent="0.25">
      <c r="A612" s="292"/>
      <c r="B612" s="257"/>
      <c r="C612" s="257"/>
      <c r="D612" s="258" t="s">
        <v>188</v>
      </c>
      <c r="E612" s="260">
        <f t="shared" ref="E612:Q612" si="200">IF(((E610="")*AND(E611="")),"",(E610-E611))</f>
        <v>385.42000000000007</v>
      </c>
      <c r="F612" s="260">
        <f t="shared" si="200"/>
        <v>325.66999999999962</v>
      </c>
      <c r="G612" s="260">
        <f t="shared" si="200"/>
        <v>321.2800000000002</v>
      </c>
      <c r="H612" s="260">
        <f t="shared" si="200"/>
        <v>321.36000000000013</v>
      </c>
      <c r="I612" s="260">
        <f t="shared" si="200"/>
        <v>376.21000000000004</v>
      </c>
      <c r="J612" s="260">
        <f t="shared" si="200"/>
        <v>377.75999999999976</v>
      </c>
      <c r="K612" s="260">
        <f t="shared" si="200"/>
        <v>328.32000000000016</v>
      </c>
      <c r="L612" s="260">
        <f t="shared" si="200"/>
        <v>324.24000000000024</v>
      </c>
      <c r="M612" s="260">
        <f t="shared" si="200"/>
        <v>380.98999999999978</v>
      </c>
      <c r="N612" s="260">
        <f t="shared" si="200"/>
        <v>326.72000000000025</v>
      </c>
      <c r="O612" s="260">
        <f t="shared" si="200"/>
        <v>326.6899999999996</v>
      </c>
      <c r="P612" s="260">
        <f t="shared" si="200"/>
        <v>319.80999999999995</v>
      </c>
      <c r="Q612" s="260">
        <f t="shared" si="200"/>
        <v>329.77</v>
      </c>
      <c r="R612" s="362"/>
      <c r="S612" s="362"/>
      <c r="T612" s="365"/>
      <c r="U612" s="365"/>
      <c r="V612" s="365"/>
      <c r="W612" s="368"/>
      <c r="X612" s="371"/>
    </row>
    <row r="613" spans="1:31" ht="15.6" x14ac:dyDescent="0.3">
      <c r="A613" s="222">
        <v>43804</v>
      </c>
      <c r="B613" s="295" t="s">
        <v>235</v>
      </c>
      <c r="C613" s="295" t="s">
        <v>232</v>
      </c>
      <c r="D613" s="258" t="s">
        <v>186</v>
      </c>
      <c r="E613">
        <v>2939.7</v>
      </c>
      <c r="F613">
        <v>2793.89</v>
      </c>
      <c r="G613">
        <v>2770.59</v>
      </c>
      <c r="H613">
        <v>2775.01</v>
      </c>
      <c r="I613">
        <v>2890.82</v>
      </c>
      <c r="J613">
        <v>2887.3</v>
      </c>
      <c r="K613">
        <v>2781.99</v>
      </c>
      <c r="L613">
        <v>2779.67</v>
      </c>
      <c r="M613">
        <v>2874.28</v>
      </c>
      <c r="N613">
        <v>2803.45</v>
      </c>
      <c r="O613">
        <v>2785.48</v>
      </c>
      <c r="P613">
        <v>2785.69</v>
      </c>
      <c r="Q613">
        <v>2809.78</v>
      </c>
      <c r="R613" s="360">
        <f>IF((Q614=""),"",MAX(E615:Q615))</f>
        <v>392.17999999999984</v>
      </c>
      <c r="S613" s="360">
        <f>IF(Q614="","",MIN(E615:Q615))</f>
        <v>328.18000000000029</v>
      </c>
      <c r="T613" s="363">
        <f>IF((Q615=""),"",AVERAGE(E615:Q615))</f>
        <v>349.61692307692311</v>
      </c>
      <c r="U613" s="363">
        <f>IF((Q614=""),"",(R613-S613)/(R613+S613)*100)</f>
        <v>8.8844466655560463</v>
      </c>
      <c r="V613" s="363">
        <f>STDEV(E615:Q615)</f>
        <v>25.868167820900187</v>
      </c>
      <c r="W613" s="366" t="str">
        <f>IF(Q614="","",IF(T613&gt;300,IF(U613&lt;14,IF(T613&lt;390,"Pass","Fail"),"Fail"),"Fail"))</f>
        <v>Pass</v>
      </c>
      <c r="X613" s="369" t="s">
        <v>427</v>
      </c>
      <c r="Y613" s="10" t="s">
        <v>428</v>
      </c>
      <c r="AA613" s="82">
        <v>270</v>
      </c>
      <c r="AB613" s="82">
        <v>370</v>
      </c>
      <c r="AC613" s="82">
        <v>300</v>
      </c>
      <c r="AD613" s="83">
        <v>390</v>
      </c>
      <c r="AE613" s="83">
        <v>20</v>
      </c>
    </row>
    <row r="614" spans="1:31" ht="15.6" x14ac:dyDescent="0.3">
      <c r="A614" s="222"/>
      <c r="B614" s="259"/>
      <c r="C614" s="259"/>
      <c r="D614" s="258" t="s">
        <v>187</v>
      </c>
      <c r="E614">
        <v>2547.52</v>
      </c>
      <c r="F614">
        <v>2463.2399999999998</v>
      </c>
      <c r="G614">
        <v>2442.41</v>
      </c>
      <c r="H614">
        <v>2444.6999999999998</v>
      </c>
      <c r="I614">
        <v>2509.29</v>
      </c>
      <c r="J614">
        <v>2500.5500000000002</v>
      </c>
      <c r="K614">
        <v>2450.75</v>
      </c>
      <c r="L614">
        <v>2447.29</v>
      </c>
      <c r="M614">
        <v>2489.08</v>
      </c>
      <c r="N614">
        <v>2469.9899999999998</v>
      </c>
      <c r="O614">
        <v>2447.27</v>
      </c>
      <c r="P614">
        <v>2452.7800000000002</v>
      </c>
      <c r="Q614">
        <v>2467.7600000000002</v>
      </c>
      <c r="R614" s="361"/>
      <c r="S614" s="361"/>
      <c r="T614" s="364"/>
      <c r="U614" s="364"/>
      <c r="V614" s="364"/>
      <c r="W614" s="367"/>
      <c r="X614" s="370"/>
    </row>
    <row r="615" spans="1:31" ht="30" x14ac:dyDescent="0.25">
      <c r="A615" s="292"/>
      <c r="B615" s="257"/>
      <c r="C615" s="257"/>
      <c r="D615" s="258" t="s">
        <v>188</v>
      </c>
      <c r="E615" s="260">
        <f t="shared" ref="E615:Q615" si="201">IF(((E613="")*AND(E614="")),"",(E613-E614))</f>
        <v>392.17999999999984</v>
      </c>
      <c r="F615" s="260">
        <f t="shared" si="201"/>
        <v>330.65000000000009</v>
      </c>
      <c r="G615" s="260">
        <f t="shared" si="201"/>
        <v>328.18000000000029</v>
      </c>
      <c r="H615" s="260">
        <f t="shared" si="201"/>
        <v>330.3100000000004</v>
      </c>
      <c r="I615" s="260">
        <f t="shared" si="201"/>
        <v>381.5300000000002</v>
      </c>
      <c r="J615" s="260">
        <f t="shared" si="201"/>
        <v>386.75</v>
      </c>
      <c r="K615" s="260">
        <f t="shared" si="201"/>
        <v>331.23999999999978</v>
      </c>
      <c r="L615" s="260">
        <f t="shared" si="201"/>
        <v>332.38000000000011</v>
      </c>
      <c r="M615" s="260">
        <f t="shared" si="201"/>
        <v>385.20000000000027</v>
      </c>
      <c r="N615" s="260">
        <f t="shared" si="201"/>
        <v>333.46000000000004</v>
      </c>
      <c r="O615" s="260">
        <f t="shared" si="201"/>
        <v>338.21000000000004</v>
      </c>
      <c r="P615" s="260">
        <f t="shared" si="201"/>
        <v>332.90999999999985</v>
      </c>
      <c r="Q615" s="260">
        <f t="shared" si="201"/>
        <v>342.02</v>
      </c>
      <c r="R615" s="362"/>
      <c r="S615" s="362"/>
      <c r="T615" s="365"/>
      <c r="U615" s="365"/>
      <c r="V615" s="365"/>
      <c r="W615" s="368"/>
      <c r="X615" s="371"/>
    </row>
    <row r="616" spans="1:31" ht="15.6" x14ac:dyDescent="0.3">
      <c r="A616" s="222">
        <v>43807</v>
      </c>
      <c r="B616" s="295" t="s">
        <v>235</v>
      </c>
      <c r="C616" s="295" t="s">
        <v>232</v>
      </c>
      <c r="D616" s="258" t="s">
        <v>186</v>
      </c>
      <c r="E616">
        <v>2913.4</v>
      </c>
      <c r="F616">
        <v>2753.67</v>
      </c>
      <c r="G616">
        <v>2728.68</v>
      </c>
      <c r="H616">
        <v>2733.01</v>
      </c>
      <c r="I616">
        <v>2870.18</v>
      </c>
      <c r="J616">
        <v>2863.81</v>
      </c>
      <c r="K616">
        <v>2742.94</v>
      </c>
      <c r="L616">
        <v>2737.24</v>
      </c>
      <c r="M616">
        <v>2843.74</v>
      </c>
      <c r="N616">
        <v>2765.44</v>
      </c>
      <c r="O616">
        <v>2743.32</v>
      </c>
      <c r="P616">
        <v>2750.39</v>
      </c>
      <c r="Q616">
        <v>2766.98</v>
      </c>
      <c r="R616" s="360">
        <f>IF((Q617=""),"",MAX(E618:Q618))</f>
        <v>385.36999999999989</v>
      </c>
      <c r="S616" s="360">
        <f>IF(Q617="","",MIN(E618:Q618))</f>
        <v>318.52000000000044</v>
      </c>
      <c r="T616" s="363">
        <f>IF((Q618=""),"",AVERAGE(E618:Q618))</f>
        <v>340.68769230769237</v>
      </c>
      <c r="U616" s="363">
        <f>IF((Q617=""),"",(R616-S616)/(R616+S616)*100)</f>
        <v>9.4972225773912715</v>
      </c>
      <c r="V616" s="363">
        <f>STDEV(E618:Q618)</f>
        <v>28.441617732308487</v>
      </c>
      <c r="W616" s="366" t="str">
        <f>IF(Q617="","",IF(T616&gt;300,IF(U616&lt;14,IF(T616&lt;390,"Pass","Fail"),"Fail"),"Fail"))</f>
        <v>Pass</v>
      </c>
      <c r="X616" s="369">
        <v>102</v>
      </c>
      <c r="Y616" s="10" t="s">
        <v>429</v>
      </c>
      <c r="AA616" s="82">
        <v>270</v>
      </c>
      <c r="AB616" s="82">
        <v>370</v>
      </c>
      <c r="AC616" s="82">
        <v>300</v>
      </c>
      <c r="AD616" s="83">
        <v>390</v>
      </c>
      <c r="AE616" s="83">
        <v>20</v>
      </c>
    </row>
    <row r="617" spans="1:31" ht="15.6" x14ac:dyDescent="0.3">
      <c r="A617" s="222"/>
      <c r="B617" s="259"/>
      <c r="C617" s="259"/>
      <c r="D617" s="258" t="s">
        <v>187</v>
      </c>
      <c r="E617">
        <v>2528.0300000000002</v>
      </c>
      <c r="F617">
        <v>2430.7399999999998</v>
      </c>
      <c r="G617">
        <v>2410.0700000000002</v>
      </c>
      <c r="H617">
        <v>2414.4899999999998</v>
      </c>
      <c r="I617">
        <v>2486.77</v>
      </c>
      <c r="J617">
        <v>2483.0500000000002</v>
      </c>
      <c r="K617">
        <v>2421.88</v>
      </c>
      <c r="L617">
        <v>2417.48</v>
      </c>
      <c r="M617">
        <v>2467.7399999999998</v>
      </c>
      <c r="N617">
        <v>2439.83</v>
      </c>
      <c r="O617">
        <v>2418.7399999999998</v>
      </c>
      <c r="P617">
        <v>2426.0500000000002</v>
      </c>
      <c r="Q617">
        <v>2438.9899999999998</v>
      </c>
      <c r="R617" s="361"/>
      <c r="S617" s="361"/>
      <c r="T617" s="364"/>
      <c r="U617" s="364"/>
      <c r="V617" s="364"/>
      <c r="W617" s="367"/>
      <c r="X617" s="370"/>
    </row>
    <row r="618" spans="1:31" ht="30" x14ac:dyDescent="0.25">
      <c r="A618" s="292"/>
      <c r="B618" s="257"/>
      <c r="C618" s="257"/>
      <c r="D618" s="258" t="s">
        <v>188</v>
      </c>
      <c r="E618" s="260">
        <f t="shared" ref="E618:Q618" si="202">IF(((E616="")*AND(E617="")),"",(E616-E617))</f>
        <v>385.36999999999989</v>
      </c>
      <c r="F618" s="260">
        <f t="shared" si="202"/>
        <v>322.93000000000029</v>
      </c>
      <c r="G618" s="260">
        <f t="shared" si="202"/>
        <v>318.60999999999967</v>
      </c>
      <c r="H618" s="260">
        <f t="shared" si="202"/>
        <v>318.52000000000044</v>
      </c>
      <c r="I618" s="260">
        <f t="shared" si="202"/>
        <v>383.40999999999985</v>
      </c>
      <c r="J618" s="260">
        <f t="shared" si="202"/>
        <v>380.75999999999976</v>
      </c>
      <c r="K618" s="260">
        <f t="shared" si="202"/>
        <v>321.05999999999995</v>
      </c>
      <c r="L618" s="260">
        <f t="shared" si="202"/>
        <v>319.75999999999976</v>
      </c>
      <c r="M618" s="260">
        <f t="shared" si="202"/>
        <v>376</v>
      </c>
      <c r="N618" s="260">
        <f t="shared" si="202"/>
        <v>325.61000000000013</v>
      </c>
      <c r="O618" s="260">
        <f t="shared" si="202"/>
        <v>324.58000000000038</v>
      </c>
      <c r="P618" s="260">
        <f t="shared" si="202"/>
        <v>324.33999999999969</v>
      </c>
      <c r="Q618" s="260">
        <f t="shared" si="202"/>
        <v>327.99000000000024</v>
      </c>
      <c r="R618" s="362"/>
      <c r="S618" s="362"/>
      <c r="T618" s="365"/>
      <c r="U618" s="365"/>
      <c r="V618" s="365"/>
      <c r="W618" s="368"/>
      <c r="X618" s="371"/>
    </row>
  </sheetData>
  <autoFilter ref="A9:AF600" xr:uid="{00000000-0009-0000-0000-000002000000}"/>
  <mergeCells count="1517">
    <mergeCell ref="R610:R612"/>
    <mergeCell ref="S610:S612"/>
    <mergeCell ref="T610:T612"/>
    <mergeCell ref="U610:U612"/>
    <mergeCell ref="V610:V612"/>
    <mergeCell ref="W610:W612"/>
    <mergeCell ref="X610:X612"/>
    <mergeCell ref="R454:R456"/>
    <mergeCell ref="S454:S456"/>
    <mergeCell ref="T454:T456"/>
    <mergeCell ref="U454:U456"/>
    <mergeCell ref="V454:V456"/>
    <mergeCell ref="W454:W456"/>
    <mergeCell ref="X454:X456"/>
    <mergeCell ref="R448:R450"/>
    <mergeCell ref="S448:S450"/>
    <mergeCell ref="T448:T450"/>
    <mergeCell ref="U448:U450"/>
    <mergeCell ref="V448:V450"/>
    <mergeCell ref="W448:W450"/>
    <mergeCell ref="X448:X450"/>
    <mergeCell ref="R466:R468"/>
    <mergeCell ref="S466:S468"/>
    <mergeCell ref="T466:T468"/>
    <mergeCell ref="U466:U468"/>
    <mergeCell ref="V466:V468"/>
    <mergeCell ref="W466:W468"/>
    <mergeCell ref="X466:X468"/>
    <mergeCell ref="R469:R471"/>
    <mergeCell ref="S469:S471"/>
    <mergeCell ref="T469:T471"/>
    <mergeCell ref="U469:U471"/>
    <mergeCell ref="R442:R444"/>
    <mergeCell ref="S442:S444"/>
    <mergeCell ref="T442:T444"/>
    <mergeCell ref="U442:U444"/>
    <mergeCell ref="V442:V444"/>
    <mergeCell ref="W442:W444"/>
    <mergeCell ref="X442:X444"/>
    <mergeCell ref="R451:R453"/>
    <mergeCell ref="S451:S453"/>
    <mergeCell ref="T451:T453"/>
    <mergeCell ref="U451:U453"/>
    <mergeCell ref="V451:V453"/>
    <mergeCell ref="W451:W453"/>
    <mergeCell ref="X451:X453"/>
    <mergeCell ref="R436:R438"/>
    <mergeCell ref="S436:S438"/>
    <mergeCell ref="T436:T438"/>
    <mergeCell ref="U436:U438"/>
    <mergeCell ref="V436:V438"/>
    <mergeCell ref="W436:W438"/>
    <mergeCell ref="X436:X438"/>
    <mergeCell ref="R433:R435"/>
    <mergeCell ref="S433:S435"/>
    <mergeCell ref="T433:T435"/>
    <mergeCell ref="U433:U435"/>
    <mergeCell ref="V433:V435"/>
    <mergeCell ref="W433:W435"/>
    <mergeCell ref="X433:X435"/>
    <mergeCell ref="R439:R441"/>
    <mergeCell ref="S439:S441"/>
    <mergeCell ref="T439:T441"/>
    <mergeCell ref="U439:U441"/>
    <mergeCell ref="V439:V441"/>
    <mergeCell ref="W439:W441"/>
    <mergeCell ref="X439:X441"/>
    <mergeCell ref="R430:R432"/>
    <mergeCell ref="S430:S432"/>
    <mergeCell ref="T430:T432"/>
    <mergeCell ref="U430:U432"/>
    <mergeCell ref="V430:V432"/>
    <mergeCell ref="W430:W432"/>
    <mergeCell ref="X430:X432"/>
    <mergeCell ref="R424:R426"/>
    <mergeCell ref="S424:S426"/>
    <mergeCell ref="T424:T426"/>
    <mergeCell ref="U424:U426"/>
    <mergeCell ref="V424:V426"/>
    <mergeCell ref="W424:W426"/>
    <mergeCell ref="X424:X426"/>
    <mergeCell ref="R427:R429"/>
    <mergeCell ref="S427:S429"/>
    <mergeCell ref="T427:T429"/>
    <mergeCell ref="U427:U429"/>
    <mergeCell ref="V427:V429"/>
    <mergeCell ref="W427:W429"/>
    <mergeCell ref="X427:X429"/>
    <mergeCell ref="R415:R417"/>
    <mergeCell ref="S415:S417"/>
    <mergeCell ref="T415:T417"/>
    <mergeCell ref="U415:U417"/>
    <mergeCell ref="V415:V417"/>
    <mergeCell ref="W415:W417"/>
    <mergeCell ref="X415:X417"/>
    <mergeCell ref="R418:R420"/>
    <mergeCell ref="S418:S420"/>
    <mergeCell ref="T418:T420"/>
    <mergeCell ref="U418:U420"/>
    <mergeCell ref="V418:V420"/>
    <mergeCell ref="W418:W420"/>
    <mergeCell ref="X418:X420"/>
    <mergeCell ref="R421:R423"/>
    <mergeCell ref="S421:S423"/>
    <mergeCell ref="T421:T423"/>
    <mergeCell ref="U421:U423"/>
    <mergeCell ref="V421:V423"/>
    <mergeCell ref="W421:W423"/>
    <mergeCell ref="X421:X423"/>
    <mergeCell ref="E6:V6"/>
    <mergeCell ref="W412:W414"/>
    <mergeCell ref="X412:X414"/>
    <mergeCell ref="R412:R414"/>
    <mergeCell ref="S412:S414"/>
    <mergeCell ref="T412:T414"/>
    <mergeCell ref="U412:U414"/>
    <mergeCell ref="V412:V414"/>
    <mergeCell ref="R409:R411"/>
    <mergeCell ref="S409:S411"/>
    <mergeCell ref="T409:T411"/>
    <mergeCell ref="U409:U411"/>
    <mergeCell ref="V409:V411"/>
    <mergeCell ref="W409:W411"/>
    <mergeCell ref="X409:X411"/>
    <mergeCell ref="X403:X405"/>
    <mergeCell ref="R406:R408"/>
    <mergeCell ref="S406:S408"/>
    <mergeCell ref="T406:T408"/>
    <mergeCell ref="U406:U408"/>
    <mergeCell ref="V406:V408"/>
    <mergeCell ref="W406:W408"/>
    <mergeCell ref="X406:X408"/>
    <mergeCell ref="W400:W402"/>
    <mergeCell ref="X400:X402"/>
    <mergeCell ref="R403:R405"/>
    <mergeCell ref="S403:S405"/>
    <mergeCell ref="T403:T405"/>
    <mergeCell ref="U403:U405"/>
    <mergeCell ref="V403:V405"/>
    <mergeCell ref="W403:W405"/>
    <mergeCell ref="R400:R402"/>
    <mergeCell ref="S400:S402"/>
    <mergeCell ref="T400:T402"/>
    <mergeCell ref="U400:U402"/>
    <mergeCell ref="V400:V402"/>
    <mergeCell ref="R397:R399"/>
    <mergeCell ref="S397:S399"/>
    <mergeCell ref="T397:T399"/>
    <mergeCell ref="U397:U399"/>
    <mergeCell ref="V397:V399"/>
    <mergeCell ref="W397:W399"/>
    <mergeCell ref="X397:X399"/>
    <mergeCell ref="X391:X393"/>
    <mergeCell ref="Y391:Y393"/>
    <mergeCell ref="R394:R396"/>
    <mergeCell ref="S394:S396"/>
    <mergeCell ref="T394:T396"/>
    <mergeCell ref="U394:U396"/>
    <mergeCell ref="V394:V396"/>
    <mergeCell ref="W394:W396"/>
    <mergeCell ref="X394:X396"/>
    <mergeCell ref="W388:W390"/>
    <mergeCell ref="X388:X390"/>
    <mergeCell ref="Y388:Y390"/>
    <mergeCell ref="R391:R393"/>
    <mergeCell ref="S391:S393"/>
    <mergeCell ref="T391:T393"/>
    <mergeCell ref="U391:U393"/>
    <mergeCell ref="V391:V393"/>
    <mergeCell ref="W391:W393"/>
    <mergeCell ref="R388:R390"/>
    <mergeCell ref="S388:S390"/>
    <mergeCell ref="T388:T390"/>
    <mergeCell ref="U388:U390"/>
    <mergeCell ref="V388:V390"/>
    <mergeCell ref="Y382:Y384"/>
    <mergeCell ref="R385:R387"/>
    <mergeCell ref="S385:S387"/>
    <mergeCell ref="T385:T387"/>
    <mergeCell ref="U385:U387"/>
    <mergeCell ref="V385:V387"/>
    <mergeCell ref="W385:W387"/>
    <mergeCell ref="X385:X387"/>
    <mergeCell ref="Y385:Y387"/>
    <mergeCell ref="X379:X381"/>
    <mergeCell ref="Y379:Y381"/>
    <mergeCell ref="R382:R384"/>
    <mergeCell ref="S382:S384"/>
    <mergeCell ref="T382:T384"/>
    <mergeCell ref="U382:U384"/>
    <mergeCell ref="V382:V384"/>
    <mergeCell ref="W382:W384"/>
    <mergeCell ref="X382:X384"/>
    <mergeCell ref="W376:W378"/>
    <mergeCell ref="X376:X378"/>
    <mergeCell ref="Y376:Y378"/>
    <mergeCell ref="R379:R381"/>
    <mergeCell ref="S379:S381"/>
    <mergeCell ref="T379:T381"/>
    <mergeCell ref="U379:U381"/>
    <mergeCell ref="V379:V381"/>
    <mergeCell ref="W379:W381"/>
    <mergeCell ref="R376:R378"/>
    <mergeCell ref="S376:S378"/>
    <mergeCell ref="T376:T378"/>
    <mergeCell ref="U376:U378"/>
    <mergeCell ref="V376:V378"/>
    <mergeCell ref="R373:R375"/>
    <mergeCell ref="S373:S375"/>
    <mergeCell ref="T373:T375"/>
    <mergeCell ref="U373:U375"/>
    <mergeCell ref="V373:V375"/>
    <mergeCell ref="W373:W375"/>
    <mergeCell ref="X373:X375"/>
    <mergeCell ref="X367:X369"/>
    <mergeCell ref="Y367:Y369"/>
    <mergeCell ref="R370:R372"/>
    <mergeCell ref="S370:S372"/>
    <mergeCell ref="T370:T372"/>
    <mergeCell ref="U370:U372"/>
    <mergeCell ref="V370:V372"/>
    <mergeCell ref="W370:W372"/>
    <mergeCell ref="X370:X372"/>
    <mergeCell ref="W364:W366"/>
    <mergeCell ref="X364:X366"/>
    <mergeCell ref="Y364:Y366"/>
    <mergeCell ref="R367:R369"/>
    <mergeCell ref="S367:S369"/>
    <mergeCell ref="T367:T369"/>
    <mergeCell ref="U367:U369"/>
    <mergeCell ref="V367:V369"/>
    <mergeCell ref="W367:W369"/>
    <mergeCell ref="R364:R366"/>
    <mergeCell ref="S364:S366"/>
    <mergeCell ref="T364:T366"/>
    <mergeCell ref="U364:U366"/>
    <mergeCell ref="V364:V366"/>
    <mergeCell ref="Y358:Y360"/>
    <mergeCell ref="R361:R363"/>
    <mergeCell ref="S361:S363"/>
    <mergeCell ref="T361:T363"/>
    <mergeCell ref="U361:U363"/>
    <mergeCell ref="V361:V363"/>
    <mergeCell ref="W361:W363"/>
    <mergeCell ref="X361:X363"/>
    <mergeCell ref="X355:X357"/>
    <mergeCell ref="Y355:Y357"/>
    <mergeCell ref="R358:R360"/>
    <mergeCell ref="S358:S360"/>
    <mergeCell ref="T358:T360"/>
    <mergeCell ref="U358:U360"/>
    <mergeCell ref="V358:V360"/>
    <mergeCell ref="W358:W360"/>
    <mergeCell ref="X358:X360"/>
    <mergeCell ref="W352:W354"/>
    <mergeCell ref="X352:X354"/>
    <mergeCell ref="R355:R357"/>
    <mergeCell ref="S355:S357"/>
    <mergeCell ref="T355:T357"/>
    <mergeCell ref="U355:U357"/>
    <mergeCell ref="V355:V357"/>
    <mergeCell ref="W355:W357"/>
    <mergeCell ref="R352:R354"/>
    <mergeCell ref="S352:S354"/>
    <mergeCell ref="T352:T354"/>
    <mergeCell ref="U352:U354"/>
    <mergeCell ref="V352:V354"/>
    <mergeCell ref="Y346:Y348"/>
    <mergeCell ref="R349:R351"/>
    <mergeCell ref="S349:S351"/>
    <mergeCell ref="T349:T351"/>
    <mergeCell ref="U349:U351"/>
    <mergeCell ref="V349:V351"/>
    <mergeCell ref="W349:W351"/>
    <mergeCell ref="X349:X351"/>
    <mergeCell ref="X343:X345"/>
    <mergeCell ref="R346:R348"/>
    <mergeCell ref="S346:S348"/>
    <mergeCell ref="T346:T348"/>
    <mergeCell ref="U346:U348"/>
    <mergeCell ref="V346:V348"/>
    <mergeCell ref="W346:W348"/>
    <mergeCell ref="X346:X348"/>
    <mergeCell ref="W340:W342"/>
    <mergeCell ref="X340:X342"/>
    <mergeCell ref="Y340:Y342"/>
    <mergeCell ref="R343:R345"/>
    <mergeCell ref="S343:S345"/>
    <mergeCell ref="T343:T345"/>
    <mergeCell ref="U343:U345"/>
    <mergeCell ref="V343:V345"/>
    <mergeCell ref="W343:W345"/>
    <mergeCell ref="R340:R342"/>
    <mergeCell ref="S340:S342"/>
    <mergeCell ref="T340:T342"/>
    <mergeCell ref="U340:U342"/>
    <mergeCell ref="V340:V342"/>
    <mergeCell ref="R337:R339"/>
    <mergeCell ref="S337:S339"/>
    <mergeCell ref="T337:T339"/>
    <mergeCell ref="U337:U339"/>
    <mergeCell ref="V337:V339"/>
    <mergeCell ref="W337:W339"/>
    <mergeCell ref="X337:X339"/>
    <mergeCell ref="Y337:Y339"/>
    <mergeCell ref="X331:X333"/>
    <mergeCell ref="Y331:Y333"/>
    <mergeCell ref="R334:R336"/>
    <mergeCell ref="S334:S336"/>
    <mergeCell ref="T334:T336"/>
    <mergeCell ref="U334:U336"/>
    <mergeCell ref="V334:V336"/>
    <mergeCell ref="W334:W336"/>
    <mergeCell ref="X334:X336"/>
    <mergeCell ref="W328:W330"/>
    <mergeCell ref="X328:X330"/>
    <mergeCell ref="R331:R333"/>
    <mergeCell ref="S331:S333"/>
    <mergeCell ref="T331:T333"/>
    <mergeCell ref="U331:U333"/>
    <mergeCell ref="V331:V333"/>
    <mergeCell ref="W331:W333"/>
    <mergeCell ref="R328:R330"/>
    <mergeCell ref="S328:S330"/>
    <mergeCell ref="T328:T330"/>
    <mergeCell ref="U328:U330"/>
    <mergeCell ref="V328:V330"/>
    <mergeCell ref="R325:R327"/>
    <mergeCell ref="S325:S327"/>
    <mergeCell ref="T325:T327"/>
    <mergeCell ref="U325:U327"/>
    <mergeCell ref="V325:V327"/>
    <mergeCell ref="W325:W327"/>
    <mergeCell ref="X325:X327"/>
    <mergeCell ref="X319:X321"/>
    <mergeCell ref="Y319:Y321"/>
    <mergeCell ref="R322:R324"/>
    <mergeCell ref="S322:S324"/>
    <mergeCell ref="T322:T324"/>
    <mergeCell ref="U322:U324"/>
    <mergeCell ref="V322:V324"/>
    <mergeCell ref="W322:W324"/>
    <mergeCell ref="X322:X324"/>
    <mergeCell ref="W316:W318"/>
    <mergeCell ref="X316:X318"/>
    <mergeCell ref="R319:R321"/>
    <mergeCell ref="S319:S321"/>
    <mergeCell ref="T319:T321"/>
    <mergeCell ref="U319:U321"/>
    <mergeCell ref="V319:V321"/>
    <mergeCell ref="W319:W321"/>
    <mergeCell ref="R316:R318"/>
    <mergeCell ref="S316:S318"/>
    <mergeCell ref="T316:T318"/>
    <mergeCell ref="U316:U318"/>
    <mergeCell ref="V316:V318"/>
    <mergeCell ref="Y310:Y312"/>
    <mergeCell ref="R313:R315"/>
    <mergeCell ref="S313:S315"/>
    <mergeCell ref="T313:T315"/>
    <mergeCell ref="U313:U315"/>
    <mergeCell ref="V313:V315"/>
    <mergeCell ref="W313:W315"/>
    <mergeCell ref="X313:X315"/>
    <mergeCell ref="X307:X309"/>
    <mergeCell ref="Y307:Y309"/>
    <mergeCell ref="R310:R312"/>
    <mergeCell ref="S310:S312"/>
    <mergeCell ref="T310:T312"/>
    <mergeCell ref="U310:U312"/>
    <mergeCell ref="V310:V312"/>
    <mergeCell ref="W310:W312"/>
    <mergeCell ref="X310:X312"/>
    <mergeCell ref="W304:W306"/>
    <mergeCell ref="X304:X306"/>
    <mergeCell ref="Y304:Y306"/>
    <mergeCell ref="R307:R309"/>
    <mergeCell ref="S307:S309"/>
    <mergeCell ref="T307:T309"/>
    <mergeCell ref="U307:U309"/>
    <mergeCell ref="V307:V309"/>
    <mergeCell ref="W307:W309"/>
    <mergeCell ref="R304:R306"/>
    <mergeCell ref="S304:S306"/>
    <mergeCell ref="T304:T306"/>
    <mergeCell ref="U304:U306"/>
    <mergeCell ref="V304:V306"/>
    <mergeCell ref="R301:R303"/>
    <mergeCell ref="S301:S303"/>
    <mergeCell ref="T301:T303"/>
    <mergeCell ref="U301:U303"/>
    <mergeCell ref="V301:V303"/>
    <mergeCell ref="W301:W303"/>
    <mergeCell ref="X301:X303"/>
    <mergeCell ref="Y301:Y303"/>
    <mergeCell ref="X295:X297"/>
    <mergeCell ref="Y295:Y297"/>
    <mergeCell ref="R298:R300"/>
    <mergeCell ref="S298:S300"/>
    <mergeCell ref="T298:T300"/>
    <mergeCell ref="U298:U300"/>
    <mergeCell ref="V298:V300"/>
    <mergeCell ref="W298:W300"/>
    <mergeCell ref="X298:X300"/>
    <mergeCell ref="W292:W294"/>
    <mergeCell ref="X292:X294"/>
    <mergeCell ref="Y292:Y294"/>
    <mergeCell ref="R295:R297"/>
    <mergeCell ref="S295:S297"/>
    <mergeCell ref="T295:T297"/>
    <mergeCell ref="U295:U297"/>
    <mergeCell ref="V295:V297"/>
    <mergeCell ref="W295:W297"/>
    <mergeCell ref="R292:R294"/>
    <mergeCell ref="S292:S294"/>
    <mergeCell ref="T292:T294"/>
    <mergeCell ref="U292:U294"/>
    <mergeCell ref="V292:V294"/>
    <mergeCell ref="Y286:Y288"/>
    <mergeCell ref="R289:R291"/>
    <mergeCell ref="S289:S291"/>
    <mergeCell ref="T289:T291"/>
    <mergeCell ref="U289:U291"/>
    <mergeCell ref="V289:V291"/>
    <mergeCell ref="W289:W291"/>
    <mergeCell ref="X289:X291"/>
    <mergeCell ref="Y289:Y291"/>
    <mergeCell ref="X283:X285"/>
    <mergeCell ref="Y283:Y285"/>
    <mergeCell ref="R286:R288"/>
    <mergeCell ref="S286:S288"/>
    <mergeCell ref="T286:T288"/>
    <mergeCell ref="U286:U288"/>
    <mergeCell ref="V286:V288"/>
    <mergeCell ref="W286:W288"/>
    <mergeCell ref="X286:X288"/>
    <mergeCell ref="W280:W282"/>
    <mergeCell ref="X280:X282"/>
    <mergeCell ref="Y280:Y282"/>
    <mergeCell ref="R283:R285"/>
    <mergeCell ref="S283:S285"/>
    <mergeCell ref="T283:T285"/>
    <mergeCell ref="U283:U285"/>
    <mergeCell ref="V283:V285"/>
    <mergeCell ref="W283:W285"/>
    <mergeCell ref="R280:R282"/>
    <mergeCell ref="S280:S282"/>
    <mergeCell ref="T280:T282"/>
    <mergeCell ref="U280:U282"/>
    <mergeCell ref="V280:V282"/>
    <mergeCell ref="R277:R279"/>
    <mergeCell ref="S277:S279"/>
    <mergeCell ref="T277:T279"/>
    <mergeCell ref="U277:U279"/>
    <mergeCell ref="V277:V279"/>
    <mergeCell ref="W277:W279"/>
    <mergeCell ref="X277:X279"/>
    <mergeCell ref="X271:X273"/>
    <mergeCell ref="Y271:Y273"/>
    <mergeCell ref="R274:R276"/>
    <mergeCell ref="S274:S276"/>
    <mergeCell ref="T274:T276"/>
    <mergeCell ref="U274:U276"/>
    <mergeCell ref="V274:V276"/>
    <mergeCell ref="W274:W276"/>
    <mergeCell ref="X274:X276"/>
    <mergeCell ref="W268:W270"/>
    <mergeCell ref="X268:X270"/>
    <mergeCell ref="R271:R273"/>
    <mergeCell ref="S271:S273"/>
    <mergeCell ref="T271:T273"/>
    <mergeCell ref="U271:U273"/>
    <mergeCell ref="V271:V273"/>
    <mergeCell ref="W271:W273"/>
    <mergeCell ref="R268:R270"/>
    <mergeCell ref="S268:S270"/>
    <mergeCell ref="T268:T270"/>
    <mergeCell ref="U268:U270"/>
    <mergeCell ref="V268:V270"/>
    <mergeCell ref="Y262:Y264"/>
    <mergeCell ref="R265:R267"/>
    <mergeCell ref="S265:S267"/>
    <mergeCell ref="T265:T267"/>
    <mergeCell ref="U265:U267"/>
    <mergeCell ref="V265:V267"/>
    <mergeCell ref="W265:W267"/>
    <mergeCell ref="X265:X267"/>
    <mergeCell ref="Y265:Y267"/>
    <mergeCell ref="X259:X261"/>
    <mergeCell ref="R262:R264"/>
    <mergeCell ref="S262:S264"/>
    <mergeCell ref="T262:T264"/>
    <mergeCell ref="U262:U264"/>
    <mergeCell ref="V262:V264"/>
    <mergeCell ref="W262:W264"/>
    <mergeCell ref="X262:X264"/>
    <mergeCell ref="W256:W258"/>
    <mergeCell ref="X256:X258"/>
    <mergeCell ref="Y256:Y258"/>
    <mergeCell ref="R259:R261"/>
    <mergeCell ref="S259:S261"/>
    <mergeCell ref="T259:T261"/>
    <mergeCell ref="U259:U261"/>
    <mergeCell ref="V259:V261"/>
    <mergeCell ref="W259:W261"/>
    <mergeCell ref="R256:R258"/>
    <mergeCell ref="S256:S258"/>
    <mergeCell ref="T256:T258"/>
    <mergeCell ref="U256:U258"/>
    <mergeCell ref="V256:V258"/>
    <mergeCell ref="R253:R255"/>
    <mergeCell ref="S253:S255"/>
    <mergeCell ref="T253:T255"/>
    <mergeCell ref="U253:U255"/>
    <mergeCell ref="V253:V255"/>
    <mergeCell ref="W253:W255"/>
    <mergeCell ref="X253:X255"/>
    <mergeCell ref="R250:R252"/>
    <mergeCell ref="S250:S252"/>
    <mergeCell ref="T250:T252"/>
    <mergeCell ref="U250:U252"/>
    <mergeCell ref="V250:V252"/>
    <mergeCell ref="W250:W252"/>
    <mergeCell ref="X250:X252"/>
    <mergeCell ref="W244:W246"/>
    <mergeCell ref="X244:X246"/>
    <mergeCell ref="R247:R249"/>
    <mergeCell ref="S247:S249"/>
    <mergeCell ref="T247:T249"/>
    <mergeCell ref="U247:U249"/>
    <mergeCell ref="V247:V249"/>
    <mergeCell ref="W247:W249"/>
    <mergeCell ref="R244:R246"/>
    <mergeCell ref="S244:S246"/>
    <mergeCell ref="T244:T246"/>
    <mergeCell ref="U244:U246"/>
    <mergeCell ref="V244:V246"/>
    <mergeCell ref="Y238:Y240"/>
    <mergeCell ref="R241:R243"/>
    <mergeCell ref="S241:S243"/>
    <mergeCell ref="T241:T243"/>
    <mergeCell ref="U241:U243"/>
    <mergeCell ref="V241:V243"/>
    <mergeCell ref="W241:W243"/>
    <mergeCell ref="X241:X243"/>
    <mergeCell ref="X235:X237"/>
    <mergeCell ref="R238:R240"/>
    <mergeCell ref="S238:S240"/>
    <mergeCell ref="T238:T240"/>
    <mergeCell ref="U238:U240"/>
    <mergeCell ref="V238:V240"/>
    <mergeCell ref="W238:W240"/>
    <mergeCell ref="X238:X240"/>
    <mergeCell ref="X247:X249"/>
    <mergeCell ref="W232:W234"/>
    <mergeCell ref="X232:X234"/>
    <mergeCell ref="Y232:Y234"/>
    <mergeCell ref="R235:R237"/>
    <mergeCell ref="S235:S237"/>
    <mergeCell ref="T235:T237"/>
    <mergeCell ref="U235:U237"/>
    <mergeCell ref="V235:V237"/>
    <mergeCell ref="W235:W237"/>
    <mergeCell ref="R232:R234"/>
    <mergeCell ref="S232:S234"/>
    <mergeCell ref="T232:T234"/>
    <mergeCell ref="U232:U234"/>
    <mergeCell ref="V232:V234"/>
    <mergeCell ref="Y226:Y228"/>
    <mergeCell ref="R229:R231"/>
    <mergeCell ref="S229:S231"/>
    <mergeCell ref="T229:T231"/>
    <mergeCell ref="U229:U231"/>
    <mergeCell ref="V229:V231"/>
    <mergeCell ref="W229:W231"/>
    <mergeCell ref="X229:X231"/>
    <mergeCell ref="Y229:Y231"/>
    <mergeCell ref="X223:X225"/>
    <mergeCell ref="Y223:Y225"/>
    <mergeCell ref="R226:R228"/>
    <mergeCell ref="S226:S228"/>
    <mergeCell ref="T226:T228"/>
    <mergeCell ref="U226:U228"/>
    <mergeCell ref="V226:V228"/>
    <mergeCell ref="W226:W228"/>
    <mergeCell ref="X226:X228"/>
    <mergeCell ref="W220:W222"/>
    <mergeCell ref="X220:X222"/>
    <mergeCell ref="Y220:Y222"/>
    <mergeCell ref="R223:R225"/>
    <mergeCell ref="S223:S225"/>
    <mergeCell ref="T223:T225"/>
    <mergeCell ref="U223:U225"/>
    <mergeCell ref="V223:V225"/>
    <mergeCell ref="W223:W225"/>
    <mergeCell ref="R220:R222"/>
    <mergeCell ref="S220:S222"/>
    <mergeCell ref="T220:T222"/>
    <mergeCell ref="U220:U222"/>
    <mergeCell ref="V220:V222"/>
    <mergeCell ref="Y214:Y216"/>
    <mergeCell ref="R217:R219"/>
    <mergeCell ref="S217:S219"/>
    <mergeCell ref="T217:T219"/>
    <mergeCell ref="U217:U219"/>
    <mergeCell ref="V217:V219"/>
    <mergeCell ref="W217:W219"/>
    <mergeCell ref="X217:X219"/>
    <mergeCell ref="Y217:Y219"/>
    <mergeCell ref="X211:X213"/>
    <mergeCell ref="R214:R216"/>
    <mergeCell ref="S214:S216"/>
    <mergeCell ref="T214:T216"/>
    <mergeCell ref="U214:U216"/>
    <mergeCell ref="V214:V216"/>
    <mergeCell ref="W214:W216"/>
    <mergeCell ref="X214:X216"/>
    <mergeCell ref="W208:W210"/>
    <mergeCell ref="X208:X210"/>
    <mergeCell ref="Y208:Y210"/>
    <mergeCell ref="R211:R213"/>
    <mergeCell ref="S211:S213"/>
    <mergeCell ref="T211:T213"/>
    <mergeCell ref="U211:U213"/>
    <mergeCell ref="V211:V213"/>
    <mergeCell ref="W211:W213"/>
    <mergeCell ref="R208:R210"/>
    <mergeCell ref="S208:S210"/>
    <mergeCell ref="T208:T210"/>
    <mergeCell ref="U208:U210"/>
    <mergeCell ref="V208:V210"/>
    <mergeCell ref="Y202:Y204"/>
    <mergeCell ref="R205:R207"/>
    <mergeCell ref="S205:S207"/>
    <mergeCell ref="T205:T207"/>
    <mergeCell ref="U205:U207"/>
    <mergeCell ref="V205:V207"/>
    <mergeCell ref="W205:W207"/>
    <mergeCell ref="X205:X207"/>
    <mergeCell ref="Y205:Y207"/>
    <mergeCell ref="X199:X201"/>
    <mergeCell ref="Y199:Y201"/>
    <mergeCell ref="R202:R204"/>
    <mergeCell ref="S202:S204"/>
    <mergeCell ref="T202:T204"/>
    <mergeCell ref="U202:U204"/>
    <mergeCell ref="V202:V204"/>
    <mergeCell ref="W202:W204"/>
    <mergeCell ref="X202:X204"/>
    <mergeCell ref="W196:W198"/>
    <mergeCell ref="X196:X198"/>
    <mergeCell ref="Y196:Y198"/>
    <mergeCell ref="R199:R201"/>
    <mergeCell ref="S199:S201"/>
    <mergeCell ref="T199:T201"/>
    <mergeCell ref="U199:U201"/>
    <mergeCell ref="V199:V201"/>
    <mergeCell ref="W199:W201"/>
    <mergeCell ref="R196:R198"/>
    <mergeCell ref="S196:S198"/>
    <mergeCell ref="T196:T198"/>
    <mergeCell ref="U196:U198"/>
    <mergeCell ref="V196:V198"/>
    <mergeCell ref="Y190:Y192"/>
    <mergeCell ref="R193:R195"/>
    <mergeCell ref="S193:S195"/>
    <mergeCell ref="T193:T195"/>
    <mergeCell ref="U193:U195"/>
    <mergeCell ref="V193:V195"/>
    <mergeCell ref="W193:W195"/>
    <mergeCell ref="X193:X195"/>
    <mergeCell ref="Y193:Y195"/>
    <mergeCell ref="X187:X189"/>
    <mergeCell ref="Y187:Y189"/>
    <mergeCell ref="R190:R192"/>
    <mergeCell ref="S190:S192"/>
    <mergeCell ref="T190:T192"/>
    <mergeCell ref="U190:U192"/>
    <mergeCell ref="V190:V192"/>
    <mergeCell ref="W190:W192"/>
    <mergeCell ref="X190:X192"/>
    <mergeCell ref="W184:W186"/>
    <mergeCell ref="X184:X186"/>
    <mergeCell ref="Y184:Y186"/>
    <mergeCell ref="R187:R189"/>
    <mergeCell ref="S187:S189"/>
    <mergeCell ref="T187:T189"/>
    <mergeCell ref="U187:U189"/>
    <mergeCell ref="V187:V189"/>
    <mergeCell ref="W187:W189"/>
    <mergeCell ref="R184:R186"/>
    <mergeCell ref="S184:S186"/>
    <mergeCell ref="T184:T186"/>
    <mergeCell ref="U184:U186"/>
    <mergeCell ref="V184:V186"/>
    <mergeCell ref="Y178:Y180"/>
    <mergeCell ref="R181:R183"/>
    <mergeCell ref="S181:S183"/>
    <mergeCell ref="T181:T183"/>
    <mergeCell ref="U181:U183"/>
    <mergeCell ref="V181:V183"/>
    <mergeCell ref="W181:W183"/>
    <mergeCell ref="X181:X183"/>
    <mergeCell ref="Y181:Y183"/>
    <mergeCell ref="X175:X177"/>
    <mergeCell ref="Y175:Y177"/>
    <mergeCell ref="R178:R180"/>
    <mergeCell ref="S178:S180"/>
    <mergeCell ref="T178:T180"/>
    <mergeCell ref="U178:U180"/>
    <mergeCell ref="V178:V180"/>
    <mergeCell ref="W178:W180"/>
    <mergeCell ref="X178:X180"/>
    <mergeCell ref="W172:W174"/>
    <mergeCell ref="X172:X174"/>
    <mergeCell ref="R175:R177"/>
    <mergeCell ref="S175:S177"/>
    <mergeCell ref="T175:T177"/>
    <mergeCell ref="U175:U177"/>
    <mergeCell ref="V175:V177"/>
    <mergeCell ref="W175:W177"/>
    <mergeCell ref="R172:R174"/>
    <mergeCell ref="S172:S174"/>
    <mergeCell ref="T172:T174"/>
    <mergeCell ref="U172:U174"/>
    <mergeCell ref="V172:V174"/>
    <mergeCell ref="Y166:Y168"/>
    <mergeCell ref="R169:R171"/>
    <mergeCell ref="S169:S171"/>
    <mergeCell ref="T169:T171"/>
    <mergeCell ref="U169:U171"/>
    <mergeCell ref="V169:V171"/>
    <mergeCell ref="W169:W171"/>
    <mergeCell ref="X169:X171"/>
    <mergeCell ref="Y163:Y165"/>
    <mergeCell ref="AA163:AA165"/>
    <mergeCell ref="R166:R168"/>
    <mergeCell ref="S166:S168"/>
    <mergeCell ref="T166:T168"/>
    <mergeCell ref="U166:U168"/>
    <mergeCell ref="V166:V168"/>
    <mergeCell ref="W166:W168"/>
    <mergeCell ref="X166:X168"/>
    <mergeCell ref="X160:X162"/>
    <mergeCell ref="Y160:Y162"/>
    <mergeCell ref="R163:R165"/>
    <mergeCell ref="S163:S165"/>
    <mergeCell ref="T163:T165"/>
    <mergeCell ref="U163:U165"/>
    <mergeCell ref="V163:V165"/>
    <mergeCell ref="W163:W165"/>
    <mergeCell ref="X163:X165"/>
    <mergeCell ref="W157:W159"/>
    <mergeCell ref="X157:X159"/>
    <mergeCell ref="Y157:Y159"/>
    <mergeCell ref="R160:R162"/>
    <mergeCell ref="S160:S162"/>
    <mergeCell ref="T160:T162"/>
    <mergeCell ref="U160:U162"/>
    <mergeCell ref="V160:V162"/>
    <mergeCell ref="W160:W162"/>
    <mergeCell ref="R157:R159"/>
    <mergeCell ref="S157:S159"/>
    <mergeCell ref="T157:T159"/>
    <mergeCell ref="U157:U159"/>
    <mergeCell ref="V157:V159"/>
    <mergeCell ref="Y151:Y153"/>
    <mergeCell ref="R154:R156"/>
    <mergeCell ref="S154:S156"/>
    <mergeCell ref="T154:T156"/>
    <mergeCell ref="U154:U156"/>
    <mergeCell ref="V154:V156"/>
    <mergeCell ref="W154:W156"/>
    <mergeCell ref="X154:X156"/>
    <mergeCell ref="Y154:Y156"/>
    <mergeCell ref="X148:X150"/>
    <mergeCell ref="Y148:Y150"/>
    <mergeCell ref="R151:R153"/>
    <mergeCell ref="S151:S153"/>
    <mergeCell ref="T151:T153"/>
    <mergeCell ref="U151:U153"/>
    <mergeCell ref="V151:V153"/>
    <mergeCell ref="W151:W153"/>
    <mergeCell ref="X151:X153"/>
    <mergeCell ref="W145:W147"/>
    <mergeCell ref="X145:X147"/>
    <mergeCell ref="Y145:Y147"/>
    <mergeCell ref="R148:R150"/>
    <mergeCell ref="S148:S150"/>
    <mergeCell ref="T148:T150"/>
    <mergeCell ref="U148:U150"/>
    <mergeCell ref="V148:V150"/>
    <mergeCell ref="W148:W150"/>
    <mergeCell ref="R145:R147"/>
    <mergeCell ref="S145:S147"/>
    <mergeCell ref="T145:T147"/>
    <mergeCell ref="U145:U147"/>
    <mergeCell ref="V145:V147"/>
    <mergeCell ref="R142:R144"/>
    <mergeCell ref="S142:S144"/>
    <mergeCell ref="T142:T144"/>
    <mergeCell ref="U142:U144"/>
    <mergeCell ref="V142:V144"/>
    <mergeCell ref="W142:W144"/>
    <mergeCell ref="X142:X144"/>
    <mergeCell ref="Y142:Y144"/>
    <mergeCell ref="R139:R141"/>
    <mergeCell ref="S139:S141"/>
    <mergeCell ref="T139:T141"/>
    <mergeCell ref="U139:U141"/>
    <mergeCell ref="V139:V141"/>
    <mergeCell ref="W139:W141"/>
    <mergeCell ref="X139:X141"/>
    <mergeCell ref="W133:W135"/>
    <mergeCell ref="X133:X135"/>
    <mergeCell ref="Y133:Y135"/>
    <mergeCell ref="R136:R138"/>
    <mergeCell ref="S136:S138"/>
    <mergeCell ref="T136:T138"/>
    <mergeCell ref="U136:U138"/>
    <mergeCell ref="V136:V138"/>
    <mergeCell ref="W136:W138"/>
    <mergeCell ref="R133:R135"/>
    <mergeCell ref="S133:S135"/>
    <mergeCell ref="T133:T135"/>
    <mergeCell ref="U133:U135"/>
    <mergeCell ref="V133:V135"/>
    <mergeCell ref="R130:R132"/>
    <mergeCell ref="S130:S132"/>
    <mergeCell ref="T130:T132"/>
    <mergeCell ref="U130:U132"/>
    <mergeCell ref="V130:V132"/>
    <mergeCell ref="W130:W132"/>
    <mergeCell ref="X130:X132"/>
    <mergeCell ref="Y130:Y132"/>
    <mergeCell ref="X124:X126"/>
    <mergeCell ref="R127:R129"/>
    <mergeCell ref="S127:S129"/>
    <mergeCell ref="T127:T129"/>
    <mergeCell ref="U127:U129"/>
    <mergeCell ref="V127:V129"/>
    <mergeCell ref="W127:W129"/>
    <mergeCell ref="X127:X129"/>
    <mergeCell ref="X136:X138"/>
    <mergeCell ref="Y136:Y138"/>
    <mergeCell ref="W121:W123"/>
    <mergeCell ref="X121:X123"/>
    <mergeCell ref="Y121:Y123"/>
    <mergeCell ref="R124:R126"/>
    <mergeCell ref="S124:S126"/>
    <mergeCell ref="T124:T126"/>
    <mergeCell ref="U124:U126"/>
    <mergeCell ref="V124:V126"/>
    <mergeCell ref="W124:W126"/>
    <mergeCell ref="R121:R123"/>
    <mergeCell ref="S121:S123"/>
    <mergeCell ref="T121:T123"/>
    <mergeCell ref="U121:U123"/>
    <mergeCell ref="V121:V123"/>
    <mergeCell ref="R118:R120"/>
    <mergeCell ref="S118:S120"/>
    <mergeCell ref="T118:T120"/>
    <mergeCell ref="U118:U120"/>
    <mergeCell ref="V118:V120"/>
    <mergeCell ref="W118:W120"/>
    <mergeCell ref="X118:X120"/>
    <mergeCell ref="Y118:Y120"/>
    <mergeCell ref="R115:R117"/>
    <mergeCell ref="S115:S117"/>
    <mergeCell ref="T115:T117"/>
    <mergeCell ref="U115:U117"/>
    <mergeCell ref="V115:V117"/>
    <mergeCell ref="W115:W117"/>
    <mergeCell ref="X115:X117"/>
    <mergeCell ref="W109:W111"/>
    <mergeCell ref="X109:X111"/>
    <mergeCell ref="Y109:Y111"/>
    <mergeCell ref="R112:R114"/>
    <mergeCell ref="S112:S114"/>
    <mergeCell ref="T112:T114"/>
    <mergeCell ref="U112:U114"/>
    <mergeCell ref="V112:V114"/>
    <mergeCell ref="W112:W114"/>
    <mergeCell ref="R109:R111"/>
    <mergeCell ref="S109:S111"/>
    <mergeCell ref="T109:T111"/>
    <mergeCell ref="U109:U111"/>
    <mergeCell ref="V109:V111"/>
    <mergeCell ref="R106:R108"/>
    <mergeCell ref="S106:S108"/>
    <mergeCell ref="T106:T108"/>
    <mergeCell ref="U106:U108"/>
    <mergeCell ref="V106:V108"/>
    <mergeCell ref="W106:W108"/>
    <mergeCell ref="X106:X108"/>
    <mergeCell ref="Y106:Y108"/>
    <mergeCell ref="X100:X102"/>
    <mergeCell ref="R103:R105"/>
    <mergeCell ref="S103:S105"/>
    <mergeCell ref="T103:T105"/>
    <mergeCell ref="U103:U105"/>
    <mergeCell ref="V103:V105"/>
    <mergeCell ref="W103:W105"/>
    <mergeCell ref="X103:X105"/>
    <mergeCell ref="X112:X114"/>
    <mergeCell ref="Y112:Y114"/>
    <mergeCell ref="W97:W99"/>
    <mergeCell ref="X97:X99"/>
    <mergeCell ref="Y97:Y99"/>
    <mergeCell ref="R100:R102"/>
    <mergeCell ref="S100:S102"/>
    <mergeCell ref="T100:T102"/>
    <mergeCell ref="U100:U102"/>
    <mergeCell ref="V100:V102"/>
    <mergeCell ref="W100:W102"/>
    <mergeCell ref="R97:R99"/>
    <mergeCell ref="S97:S99"/>
    <mergeCell ref="T97:T99"/>
    <mergeCell ref="U97:U99"/>
    <mergeCell ref="V97:V99"/>
    <mergeCell ref="Y91:Y93"/>
    <mergeCell ref="R94:R96"/>
    <mergeCell ref="S94:S96"/>
    <mergeCell ref="T94:T96"/>
    <mergeCell ref="U94:U96"/>
    <mergeCell ref="V94:V96"/>
    <mergeCell ref="W94:W96"/>
    <mergeCell ref="X94:X96"/>
    <mergeCell ref="Y94:Y96"/>
    <mergeCell ref="X88:X90"/>
    <mergeCell ref="Y88:Y90"/>
    <mergeCell ref="R91:R93"/>
    <mergeCell ref="S91:S93"/>
    <mergeCell ref="T91:T93"/>
    <mergeCell ref="U91:U93"/>
    <mergeCell ref="V91:V93"/>
    <mergeCell ref="W91:W93"/>
    <mergeCell ref="X91:X93"/>
    <mergeCell ref="W85:W87"/>
    <mergeCell ref="X85:X87"/>
    <mergeCell ref="Y85:Y87"/>
    <mergeCell ref="R88:R90"/>
    <mergeCell ref="S88:S90"/>
    <mergeCell ref="T88:T90"/>
    <mergeCell ref="U88:U90"/>
    <mergeCell ref="V88:V90"/>
    <mergeCell ref="W88:W90"/>
    <mergeCell ref="R85:R87"/>
    <mergeCell ref="S85:S87"/>
    <mergeCell ref="T85:T87"/>
    <mergeCell ref="U85:U87"/>
    <mergeCell ref="V85:V87"/>
    <mergeCell ref="Y79:Y81"/>
    <mergeCell ref="R82:R84"/>
    <mergeCell ref="S82:S84"/>
    <mergeCell ref="T82:T84"/>
    <mergeCell ref="U82:U84"/>
    <mergeCell ref="V82:V84"/>
    <mergeCell ref="W82:W84"/>
    <mergeCell ref="X82:X84"/>
    <mergeCell ref="X76:X78"/>
    <mergeCell ref="Y76:Y78"/>
    <mergeCell ref="R79:R81"/>
    <mergeCell ref="S79:S81"/>
    <mergeCell ref="T79:T81"/>
    <mergeCell ref="U79:U81"/>
    <mergeCell ref="V79:V81"/>
    <mergeCell ref="W79:W81"/>
    <mergeCell ref="X79:X81"/>
    <mergeCell ref="W73:W75"/>
    <mergeCell ref="X73:X75"/>
    <mergeCell ref="Y73:Y75"/>
    <mergeCell ref="R76:R78"/>
    <mergeCell ref="S76:S78"/>
    <mergeCell ref="T76:T78"/>
    <mergeCell ref="U76:U78"/>
    <mergeCell ref="V76:V78"/>
    <mergeCell ref="W76:W78"/>
    <mergeCell ref="R73:R75"/>
    <mergeCell ref="S73:S75"/>
    <mergeCell ref="T73:T75"/>
    <mergeCell ref="U73:U75"/>
    <mergeCell ref="V73:V75"/>
    <mergeCell ref="Y67:Y69"/>
    <mergeCell ref="R70:R72"/>
    <mergeCell ref="S70:S72"/>
    <mergeCell ref="T70:T72"/>
    <mergeCell ref="U70:U72"/>
    <mergeCell ref="V70:V72"/>
    <mergeCell ref="W70:W72"/>
    <mergeCell ref="X70:X72"/>
    <mergeCell ref="Y70:Y72"/>
    <mergeCell ref="X64:X66"/>
    <mergeCell ref="Y64:Y66"/>
    <mergeCell ref="R67:R69"/>
    <mergeCell ref="S67:S69"/>
    <mergeCell ref="T67:T69"/>
    <mergeCell ref="U67:U69"/>
    <mergeCell ref="V67:V69"/>
    <mergeCell ref="W67:W69"/>
    <mergeCell ref="X67:X69"/>
    <mergeCell ref="W61:W63"/>
    <mergeCell ref="X61:X63"/>
    <mergeCell ref="Y61:Y63"/>
    <mergeCell ref="R64:R66"/>
    <mergeCell ref="S64:S66"/>
    <mergeCell ref="T64:T66"/>
    <mergeCell ref="U64:U66"/>
    <mergeCell ref="V64:V66"/>
    <mergeCell ref="W64:W66"/>
    <mergeCell ref="R61:R63"/>
    <mergeCell ref="S61:S63"/>
    <mergeCell ref="T61:T63"/>
    <mergeCell ref="U61:U63"/>
    <mergeCell ref="V61:V63"/>
    <mergeCell ref="Y55:Y57"/>
    <mergeCell ref="R58:R60"/>
    <mergeCell ref="S58:S60"/>
    <mergeCell ref="T58:T60"/>
    <mergeCell ref="U58:U60"/>
    <mergeCell ref="V58:V60"/>
    <mergeCell ref="W58:W60"/>
    <mergeCell ref="X58:X60"/>
    <mergeCell ref="Y58:Y60"/>
    <mergeCell ref="W52:W54"/>
    <mergeCell ref="X52:X54"/>
    <mergeCell ref="R55:R57"/>
    <mergeCell ref="S55:S57"/>
    <mergeCell ref="T55:T57"/>
    <mergeCell ref="U55:U57"/>
    <mergeCell ref="V55:V57"/>
    <mergeCell ref="W55:W57"/>
    <mergeCell ref="X55:X57"/>
    <mergeCell ref="R52:R54"/>
    <mergeCell ref="S52:S54"/>
    <mergeCell ref="T52:T54"/>
    <mergeCell ref="U52:U54"/>
    <mergeCell ref="V52:V54"/>
    <mergeCell ref="Y46:Y48"/>
    <mergeCell ref="R49:R51"/>
    <mergeCell ref="S49:S51"/>
    <mergeCell ref="T49:T51"/>
    <mergeCell ref="U49:U51"/>
    <mergeCell ref="V49:V51"/>
    <mergeCell ref="W49:W51"/>
    <mergeCell ref="X49:X51"/>
    <mergeCell ref="Y49:Y51"/>
    <mergeCell ref="X43:X45"/>
    <mergeCell ref="Y43:Y45"/>
    <mergeCell ref="R46:R48"/>
    <mergeCell ref="S46:S48"/>
    <mergeCell ref="T46:T48"/>
    <mergeCell ref="U46:U48"/>
    <mergeCell ref="V46:V48"/>
    <mergeCell ref="W46:W48"/>
    <mergeCell ref="X46:X48"/>
    <mergeCell ref="U43:U45"/>
    <mergeCell ref="V43:V45"/>
    <mergeCell ref="W43:W45"/>
    <mergeCell ref="R40:R42"/>
    <mergeCell ref="S40:S42"/>
    <mergeCell ref="T40:T42"/>
    <mergeCell ref="U40:U42"/>
    <mergeCell ref="V40:V42"/>
    <mergeCell ref="Y34:Y36"/>
    <mergeCell ref="R37:R39"/>
    <mergeCell ref="S37:S39"/>
    <mergeCell ref="T37:T39"/>
    <mergeCell ref="U37:U39"/>
    <mergeCell ref="V37:V39"/>
    <mergeCell ref="W37:W39"/>
    <mergeCell ref="X37:X39"/>
    <mergeCell ref="Y37:Y39"/>
    <mergeCell ref="Y25:Y27"/>
    <mergeCell ref="R28:R30"/>
    <mergeCell ref="S28:S30"/>
    <mergeCell ref="T28:T30"/>
    <mergeCell ref="U28:U30"/>
    <mergeCell ref="V28:V30"/>
    <mergeCell ref="W28:W30"/>
    <mergeCell ref="X28:X30"/>
    <mergeCell ref="Y28:Y30"/>
    <mergeCell ref="S25:S27"/>
    <mergeCell ref="T25:T27"/>
    <mergeCell ref="U25:U27"/>
    <mergeCell ref="V25:V27"/>
    <mergeCell ref="W25:W27"/>
    <mergeCell ref="W40:W42"/>
    <mergeCell ref="X40:X42"/>
    <mergeCell ref="Y40:Y42"/>
    <mergeCell ref="R19:R21"/>
    <mergeCell ref="S19:S21"/>
    <mergeCell ref="T19:T21"/>
    <mergeCell ref="U19:U21"/>
    <mergeCell ref="V19:V21"/>
    <mergeCell ref="W19:W21"/>
    <mergeCell ref="X19:X21"/>
    <mergeCell ref="Y19:Y21"/>
    <mergeCell ref="W22:W24"/>
    <mergeCell ref="X22:X24"/>
    <mergeCell ref="R445:R447"/>
    <mergeCell ref="S445:S447"/>
    <mergeCell ref="T445:T447"/>
    <mergeCell ref="U445:U447"/>
    <mergeCell ref="V445:V447"/>
    <mergeCell ref="W445:W447"/>
    <mergeCell ref="X445:X447"/>
    <mergeCell ref="Y22:Y24"/>
    <mergeCell ref="R25:R27"/>
    <mergeCell ref="X31:X33"/>
    <mergeCell ref="Y31:Y33"/>
    <mergeCell ref="R34:R36"/>
    <mergeCell ref="S34:S36"/>
    <mergeCell ref="T34:T36"/>
    <mergeCell ref="U34:U36"/>
    <mergeCell ref="V34:V36"/>
    <mergeCell ref="W34:W36"/>
    <mergeCell ref="X34:X36"/>
    <mergeCell ref="R31:R33"/>
    <mergeCell ref="S31:S33"/>
    <mergeCell ref="T31:T33"/>
    <mergeCell ref="U31:U33"/>
    <mergeCell ref="X13:X15"/>
    <mergeCell ref="Y13:Y15"/>
    <mergeCell ref="R16:R18"/>
    <mergeCell ref="S16:S18"/>
    <mergeCell ref="T16:T18"/>
    <mergeCell ref="U16:U18"/>
    <mergeCell ref="V16:V18"/>
    <mergeCell ref="W16:W18"/>
    <mergeCell ref="X16:X18"/>
    <mergeCell ref="W10:W12"/>
    <mergeCell ref="X10:X12"/>
    <mergeCell ref="Y10:Y12"/>
    <mergeCell ref="R13:R15"/>
    <mergeCell ref="S13:S15"/>
    <mergeCell ref="T13:T15"/>
    <mergeCell ref="U13:U15"/>
    <mergeCell ref="V13:V15"/>
    <mergeCell ref="W13:W15"/>
    <mergeCell ref="R10:R12"/>
    <mergeCell ref="S10:S12"/>
    <mergeCell ref="T10:T12"/>
    <mergeCell ref="U10:U12"/>
    <mergeCell ref="V10:V12"/>
    <mergeCell ref="Y16:Y18"/>
    <mergeCell ref="R22:R24"/>
    <mergeCell ref="S22:S24"/>
    <mergeCell ref="R457:R459"/>
    <mergeCell ref="S457:S459"/>
    <mergeCell ref="T457:T459"/>
    <mergeCell ref="U457:U459"/>
    <mergeCell ref="V457:V459"/>
    <mergeCell ref="W457:W459"/>
    <mergeCell ref="X457:X459"/>
    <mergeCell ref="R460:R462"/>
    <mergeCell ref="S460:S462"/>
    <mergeCell ref="T460:T462"/>
    <mergeCell ref="U460:U462"/>
    <mergeCell ref="V460:V462"/>
    <mergeCell ref="W460:W462"/>
    <mergeCell ref="X460:X462"/>
    <mergeCell ref="R463:R465"/>
    <mergeCell ref="S463:S465"/>
    <mergeCell ref="T463:T465"/>
    <mergeCell ref="U463:U465"/>
    <mergeCell ref="V463:V465"/>
    <mergeCell ref="W463:W465"/>
    <mergeCell ref="X463:X465"/>
    <mergeCell ref="T22:T24"/>
    <mergeCell ref="U22:U24"/>
    <mergeCell ref="V22:V24"/>
    <mergeCell ref="V31:V33"/>
    <mergeCell ref="W31:W33"/>
    <mergeCell ref="X25:X27"/>
    <mergeCell ref="R43:R45"/>
    <mergeCell ref="S43:S45"/>
    <mergeCell ref="T43:T45"/>
    <mergeCell ref="V469:V471"/>
    <mergeCell ref="W469:W471"/>
    <mergeCell ref="X469:X471"/>
    <mergeCell ref="R472:R474"/>
    <mergeCell ref="S472:S474"/>
    <mergeCell ref="T472:T474"/>
    <mergeCell ref="U472:U474"/>
    <mergeCell ref="V472:V474"/>
    <mergeCell ref="W472:W474"/>
    <mergeCell ref="X472:X474"/>
    <mergeCell ref="R475:R477"/>
    <mergeCell ref="S475:S477"/>
    <mergeCell ref="T475:T477"/>
    <mergeCell ref="U475:U477"/>
    <mergeCell ref="V475:V477"/>
    <mergeCell ref="W475:W477"/>
    <mergeCell ref="X475:X477"/>
    <mergeCell ref="R478:R480"/>
    <mergeCell ref="S478:S480"/>
    <mergeCell ref="T478:T480"/>
    <mergeCell ref="U478:U480"/>
    <mergeCell ref="V478:V480"/>
    <mergeCell ref="W478:W480"/>
    <mergeCell ref="X478:X480"/>
    <mergeCell ref="R481:R483"/>
    <mergeCell ref="S481:S483"/>
    <mergeCell ref="T481:T483"/>
    <mergeCell ref="U481:U483"/>
    <mergeCell ref="V481:V483"/>
    <mergeCell ref="W481:W483"/>
    <mergeCell ref="X481:X483"/>
    <mergeCell ref="R484:R486"/>
    <mergeCell ref="S484:S486"/>
    <mergeCell ref="T484:T486"/>
    <mergeCell ref="U484:U486"/>
    <mergeCell ref="V484:V486"/>
    <mergeCell ref="W484:W486"/>
    <mergeCell ref="X484:X486"/>
    <mergeCell ref="R487:R489"/>
    <mergeCell ref="S487:S489"/>
    <mergeCell ref="T487:T489"/>
    <mergeCell ref="U487:U489"/>
    <mergeCell ref="V487:V489"/>
    <mergeCell ref="W487:W489"/>
    <mergeCell ref="X487:X489"/>
    <mergeCell ref="R490:R492"/>
    <mergeCell ref="S490:S492"/>
    <mergeCell ref="T490:T492"/>
    <mergeCell ref="U490:U492"/>
    <mergeCell ref="V490:V492"/>
    <mergeCell ref="W490:W492"/>
    <mergeCell ref="X490:X492"/>
    <mergeCell ref="R493:R495"/>
    <mergeCell ref="S493:S495"/>
    <mergeCell ref="T493:T495"/>
    <mergeCell ref="U493:U495"/>
    <mergeCell ref="V493:V495"/>
    <mergeCell ref="W493:W495"/>
    <mergeCell ref="X493:X495"/>
    <mergeCell ref="R496:R498"/>
    <mergeCell ref="S496:S498"/>
    <mergeCell ref="T496:T498"/>
    <mergeCell ref="U496:U498"/>
    <mergeCell ref="V496:V498"/>
    <mergeCell ref="W496:W498"/>
    <mergeCell ref="X496:X498"/>
    <mergeCell ref="R499:R501"/>
    <mergeCell ref="S499:S501"/>
    <mergeCell ref="T499:T501"/>
    <mergeCell ref="U499:U501"/>
    <mergeCell ref="V499:V501"/>
    <mergeCell ref="W499:W501"/>
    <mergeCell ref="X499:X501"/>
    <mergeCell ref="R502:R504"/>
    <mergeCell ref="S502:S504"/>
    <mergeCell ref="T502:T504"/>
    <mergeCell ref="U502:U504"/>
    <mergeCell ref="V502:V504"/>
    <mergeCell ref="W502:W504"/>
    <mergeCell ref="X502:X504"/>
    <mergeCell ref="R505:R507"/>
    <mergeCell ref="S505:S507"/>
    <mergeCell ref="T505:T507"/>
    <mergeCell ref="U505:U507"/>
    <mergeCell ref="V505:V507"/>
    <mergeCell ref="W505:W507"/>
    <mergeCell ref="X505:X507"/>
    <mergeCell ref="R508:R510"/>
    <mergeCell ref="S508:S510"/>
    <mergeCell ref="T508:T510"/>
    <mergeCell ref="U508:U510"/>
    <mergeCell ref="V508:V510"/>
    <mergeCell ref="W508:W510"/>
    <mergeCell ref="X508:X510"/>
    <mergeCell ref="R511:R513"/>
    <mergeCell ref="S511:S513"/>
    <mergeCell ref="T511:T513"/>
    <mergeCell ref="U511:U513"/>
    <mergeCell ref="V511:V513"/>
    <mergeCell ref="W511:W513"/>
    <mergeCell ref="X511:X513"/>
    <mergeCell ref="R514:R516"/>
    <mergeCell ref="S514:S516"/>
    <mergeCell ref="T514:T516"/>
    <mergeCell ref="U514:U516"/>
    <mergeCell ref="V514:V516"/>
    <mergeCell ref="W514:W516"/>
    <mergeCell ref="X514:X516"/>
    <mergeCell ref="R517:R519"/>
    <mergeCell ref="S517:S519"/>
    <mergeCell ref="T517:T519"/>
    <mergeCell ref="U517:U519"/>
    <mergeCell ref="V517:V519"/>
    <mergeCell ref="W517:W519"/>
    <mergeCell ref="X517:X519"/>
    <mergeCell ref="R520:R522"/>
    <mergeCell ref="S520:S522"/>
    <mergeCell ref="T520:T522"/>
    <mergeCell ref="U520:U522"/>
    <mergeCell ref="V520:V522"/>
    <mergeCell ref="W520:W522"/>
    <mergeCell ref="X520:X522"/>
    <mergeCell ref="R523:R525"/>
    <mergeCell ref="S523:S525"/>
    <mergeCell ref="T523:T525"/>
    <mergeCell ref="U523:U525"/>
    <mergeCell ref="V523:V525"/>
    <mergeCell ref="W523:W525"/>
    <mergeCell ref="X523:X525"/>
    <mergeCell ref="R526:R528"/>
    <mergeCell ref="S526:S528"/>
    <mergeCell ref="T526:T528"/>
    <mergeCell ref="U526:U528"/>
    <mergeCell ref="V526:V528"/>
    <mergeCell ref="W526:W528"/>
    <mergeCell ref="X526:X528"/>
    <mergeCell ref="R529:R531"/>
    <mergeCell ref="S529:S531"/>
    <mergeCell ref="T529:T531"/>
    <mergeCell ref="U529:U531"/>
    <mergeCell ref="V529:V531"/>
    <mergeCell ref="W529:W531"/>
    <mergeCell ref="X529:X531"/>
    <mergeCell ref="R532:R534"/>
    <mergeCell ref="S532:S534"/>
    <mergeCell ref="T532:T534"/>
    <mergeCell ref="U532:U534"/>
    <mergeCell ref="V532:V534"/>
    <mergeCell ref="W532:W534"/>
    <mergeCell ref="X532:X534"/>
    <mergeCell ref="R535:R537"/>
    <mergeCell ref="S535:S537"/>
    <mergeCell ref="T535:T537"/>
    <mergeCell ref="U535:U537"/>
    <mergeCell ref="V535:V537"/>
    <mergeCell ref="W535:W537"/>
    <mergeCell ref="X535:X537"/>
    <mergeCell ref="R538:R540"/>
    <mergeCell ref="S538:S540"/>
    <mergeCell ref="T538:T540"/>
    <mergeCell ref="U538:U540"/>
    <mergeCell ref="V538:V540"/>
    <mergeCell ref="W538:W540"/>
    <mergeCell ref="X538:X540"/>
    <mergeCell ref="R541:R543"/>
    <mergeCell ref="S541:S543"/>
    <mergeCell ref="T541:T543"/>
    <mergeCell ref="U541:U543"/>
    <mergeCell ref="V541:V543"/>
    <mergeCell ref="W541:W543"/>
    <mergeCell ref="X541:X543"/>
    <mergeCell ref="R544:R546"/>
    <mergeCell ref="S544:S546"/>
    <mergeCell ref="T544:T546"/>
    <mergeCell ref="U544:U546"/>
    <mergeCell ref="V544:V546"/>
    <mergeCell ref="W544:W546"/>
    <mergeCell ref="X544:X546"/>
    <mergeCell ref="R547:R549"/>
    <mergeCell ref="S547:S549"/>
    <mergeCell ref="T547:T549"/>
    <mergeCell ref="U547:U549"/>
    <mergeCell ref="V547:V549"/>
    <mergeCell ref="W547:W549"/>
    <mergeCell ref="X547:X549"/>
    <mergeCell ref="R550:R552"/>
    <mergeCell ref="S550:S552"/>
    <mergeCell ref="T550:T552"/>
    <mergeCell ref="U550:U552"/>
    <mergeCell ref="V550:V552"/>
    <mergeCell ref="W550:W552"/>
    <mergeCell ref="X550:X552"/>
    <mergeCell ref="R553:R555"/>
    <mergeCell ref="S553:S555"/>
    <mergeCell ref="T553:T555"/>
    <mergeCell ref="U553:U555"/>
    <mergeCell ref="V553:V555"/>
    <mergeCell ref="W553:W555"/>
    <mergeCell ref="X553:X555"/>
    <mergeCell ref="R556:R558"/>
    <mergeCell ref="S556:S558"/>
    <mergeCell ref="T556:T558"/>
    <mergeCell ref="U556:U558"/>
    <mergeCell ref="V556:V558"/>
    <mergeCell ref="W556:W558"/>
    <mergeCell ref="X556:X558"/>
    <mergeCell ref="R559:R561"/>
    <mergeCell ref="S559:S561"/>
    <mergeCell ref="T559:T561"/>
    <mergeCell ref="U559:U561"/>
    <mergeCell ref="V559:V561"/>
    <mergeCell ref="W559:W561"/>
    <mergeCell ref="X559:X561"/>
    <mergeCell ref="R562:R564"/>
    <mergeCell ref="S562:S564"/>
    <mergeCell ref="T562:T564"/>
    <mergeCell ref="U562:U564"/>
    <mergeCell ref="V562:V564"/>
    <mergeCell ref="W562:W564"/>
    <mergeCell ref="X562:X564"/>
    <mergeCell ref="R565:R567"/>
    <mergeCell ref="S565:S567"/>
    <mergeCell ref="T565:T567"/>
    <mergeCell ref="U565:U567"/>
    <mergeCell ref="V565:V567"/>
    <mergeCell ref="W565:W567"/>
    <mergeCell ref="X565:X567"/>
    <mergeCell ref="R568:R570"/>
    <mergeCell ref="S568:S570"/>
    <mergeCell ref="T568:T570"/>
    <mergeCell ref="U568:U570"/>
    <mergeCell ref="V568:V570"/>
    <mergeCell ref="W568:W570"/>
    <mergeCell ref="X568:X570"/>
    <mergeCell ref="R571:R573"/>
    <mergeCell ref="S571:S573"/>
    <mergeCell ref="T571:T573"/>
    <mergeCell ref="U571:U573"/>
    <mergeCell ref="V571:V573"/>
    <mergeCell ref="W571:W573"/>
    <mergeCell ref="X571:X573"/>
    <mergeCell ref="R574:R576"/>
    <mergeCell ref="S574:S576"/>
    <mergeCell ref="T574:T576"/>
    <mergeCell ref="U574:U576"/>
    <mergeCell ref="V574:V576"/>
    <mergeCell ref="W574:W576"/>
    <mergeCell ref="X574:X576"/>
    <mergeCell ref="T592:T594"/>
    <mergeCell ref="U592:U594"/>
    <mergeCell ref="V592:V594"/>
    <mergeCell ref="W592:W594"/>
    <mergeCell ref="X592:X594"/>
    <mergeCell ref="R595:R597"/>
    <mergeCell ref="R577:R579"/>
    <mergeCell ref="S577:S579"/>
    <mergeCell ref="T577:T579"/>
    <mergeCell ref="U577:U579"/>
    <mergeCell ref="V577:V579"/>
    <mergeCell ref="W577:W579"/>
    <mergeCell ref="X577:X579"/>
    <mergeCell ref="R580:R582"/>
    <mergeCell ref="S580:S582"/>
    <mergeCell ref="T580:T582"/>
    <mergeCell ref="U580:U582"/>
    <mergeCell ref="V580:V582"/>
    <mergeCell ref="W580:W582"/>
    <mergeCell ref="X580:X582"/>
    <mergeCell ref="R583:R585"/>
    <mergeCell ref="S583:S585"/>
    <mergeCell ref="T583:T585"/>
    <mergeCell ref="U583:U585"/>
    <mergeCell ref="V583:V585"/>
    <mergeCell ref="W583:W585"/>
    <mergeCell ref="X583:X585"/>
    <mergeCell ref="W607:W609"/>
    <mergeCell ref="X607:X609"/>
    <mergeCell ref="R604:R606"/>
    <mergeCell ref="S604:S606"/>
    <mergeCell ref="T604:T606"/>
    <mergeCell ref="U604:U606"/>
    <mergeCell ref="V604:V606"/>
    <mergeCell ref="W604:W606"/>
    <mergeCell ref="X604:X606"/>
    <mergeCell ref="R601:R603"/>
    <mergeCell ref="S601:S603"/>
    <mergeCell ref="T601:T603"/>
    <mergeCell ref="U601:U603"/>
    <mergeCell ref="V601:V603"/>
    <mergeCell ref="W601:W603"/>
    <mergeCell ref="X601:X603"/>
    <mergeCell ref="R586:R588"/>
    <mergeCell ref="S586:S588"/>
    <mergeCell ref="T586:T588"/>
    <mergeCell ref="U586:U588"/>
    <mergeCell ref="V586:V588"/>
    <mergeCell ref="W586:W588"/>
    <mergeCell ref="X586:X588"/>
    <mergeCell ref="R589:R591"/>
    <mergeCell ref="S589:S591"/>
    <mergeCell ref="T589:T591"/>
    <mergeCell ref="U589:U591"/>
    <mergeCell ref="V589:V591"/>
    <mergeCell ref="W589:W591"/>
    <mergeCell ref="X589:X591"/>
    <mergeCell ref="R592:R594"/>
    <mergeCell ref="S592:S594"/>
    <mergeCell ref="R616:R618"/>
    <mergeCell ref="S616:S618"/>
    <mergeCell ref="T616:T618"/>
    <mergeCell ref="U616:U618"/>
    <mergeCell ref="V616:V618"/>
    <mergeCell ref="W616:W618"/>
    <mergeCell ref="X616:X618"/>
    <mergeCell ref="S595:S597"/>
    <mergeCell ref="T595:T597"/>
    <mergeCell ref="U595:U597"/>
    <mergeCell ref="V595:V597"/>
    <mergeCell ref="W595:W597"/>
    <mergeCell ref="X595:X597"/>
    <mergeCell ref="R598:R600"/>
    <mergeCell ref="S598:S600"/>
    <mergeCell ref="T598:T600"/>
    <mergeCell ref="U598:U600"/>
    <mergeCell ref="V598:V600"/>
    <mergeCell ref="W598:W600"/>
    <mergeCell ref="X598:X600"/>
    <mergeCell ref="R613:R615"/>
    <mergeCell ref="S613:S615"/>
    <mergeCell ref="T613:T615"/>
    <mergeCell ref="U613:U615"/>
    <mergeCell ref="V613:V615"/>
    <mergeCell ref="W613:W615"/>
    <mergeCell ref="X613:X615"/>
    <mergeCell ref="R607:R609"/>
    <mergeCell ref="S607:S609"/>
    <mergeCell ref="T607:T609"/>
    <mergeCell ref="U607:U609"/>
    <mergeCell ref="V607:V609"/>
  </mergeCells>
  <conditionalFormatting sqref="J39:J88 O199:P200 J199:M200 K220:M221 O220:P221 K223:M224 O223:P224 K289:M290 O289:P290 J90:J198 J201:J402 J10:J37">
    <cfRule type="cellIs" dxfId="2396" priority="2396" stopIfTrue="1" operator="equal">
      <formula>"Pass"</formula>
    </cfRule>
    <cfRule type="cellIs" dxfId="2395" priority="2397" stopIfTrue="1" operator="equal">
      <formula>"Fail"</formula>
    </cfRule>
  </conditionalFormatting>
  <conditionalFormatting sqref="W10:W402">
    <cfRule type="cellIs" dxfId="2394" priority="2394" stopIfTrue="1" operator="equal">
      <formula>"Fail"</formula>
    </cfRule>
    <cfRule type="cellIs" dxfId="2393" priority="2395" stopIfTrue="1" operator="equal">
      <formula>"Pass"</formula>
    </cfRule>
  </conditionalFormatting>
  <conditionalFormatting sqref="Q10:Q11 Q13:Q14 Q16:Q17 Q19:Q20 Q22:Q23 Q25:Q26 Q28:Q29 Q31:Q32 Q34:Q35 Q37:Q38 Q40:Q41 Q43:Q44 Q46:Q47 N49 Q52:Q53 Q55:Q56 Q58:Q59 Q61:Q62 Q64:Q65 Q67:Q68 Q70:Q71 Q73:Q74 Q76:Q77 Q79:Q80 Q82:Q83 Q85:Q86 Q88:Q89 Q91:Q92 Q94:Q95 Q97:Q98 Q100:Q101 Q103:Q104 Q121:Q122 Q127:Q128 Q130:Q131 Q133:Q134 Q136:Q137 Q139:Q140 Q142:Q143 Q145:Q146 Q151:Q152 Q154:Q155 Q157:Q158 Q172:Q173 Q175:Q176 Q181:Q182 Q184:Q185 Q187:Q188 Q190:Q191 Q193:Q194 Q202:Q203 Q214:Q215 Q232:Q233 Q235:Q236 Q238:Q239 Q241:Q242 Q247:Q248 Q250:Q251 Q253:Q254 Q256:Q257 Q259:Q260 Q262:Q263 Q268:Q269 Q271:Q272 Q274:Q275 Q277:Q278 Q283:Q284 Q292:Q293 Q295:Q296 Q301:Q302 Q307:Q308 Q310:Q311 Q313:Q314 Q316:Q317 Q319:Q320 Q325:Q326 Q328:Q329 Q331:Q332 Q337:Q338 Q340:Q341 Q343:Q344 Q346:Q347 Q349:Q350 Q352:Q353 Q355:Q356 Q358:Q359 Q361:Q362 Q367:Q368 Q370:Q371 Q373:Q374 Q376:Q377 Q382:Q383 Q385:Q386 Q388:Q389 Q391:Q392 Q394:Q395 Q397:Q398 Q400:Q401 N10:N11 N13:N14 N16:N17 N19:N20 N22:N23 N25:N26 N28:N29 N31:N32 N34:N35 N37:N38 N40:N41 N43:N44 N46:N47 N52:N53 N55:N56 N58:N59 N61:N62 N64:N65 N67:N68 N70:N71 N73:N74 N76:N77 N79:N80 N82:N83 N85:N86 Q49 N91:N92 N94:N95 N97:N98 N100:N101 N103:N104 N121:N122 N127:N128 N130:N131 N133:N134 N136:N137 N139:N140 N142:N143 N145:N146 N151:N152 N154:N155 N157:N158 N172:N173 N175:N176 N181:N182 N184:N185 N187:N188 N190:N191 N193:N194 N202:N203 N214:N215 N232:N233 N235:N236 N238:N239 N241:N242 N247:N248 N250:N251 N253:N254 N256:N257 N259:N260 N262:N263 N268:N269 N271:N272 N274:N275 N277:N278 N283:N284 N292:N293 N295:N296 N301:N302 N307:N308 N310:N311 N313:N314 N316:N317 N319:N320 N325:N326 N328:N329 N331:N332 N337:N338 N340:N341 N343:N344 N346:N347 N349:N350 N352:N353 N355:N356 N358:N359 N361:N362 N367:N368 N370:N371 N373:N374 N376:N377 N382:N383 N385:N386 N388:N389 N391:N392 N394:N395 N397:N398 N400:N401 N88 Q106:Q119 N106:N119 Q124:Q125 N124:N125 Q148:Q149 N148:N149 Q160:Q161 N160:N161 T163:T164 Q163:Q164 N163:N164 T166:T167 Q166:Q167 N166:N167 T169:T170 Q169:Q170 N169:N170 Q178:Q179 N178:N179 Q196:Q197 N196:N197 Q199:Q200 N199:N200 Q205:Q206 N205:N206 Q208:Q209 N208:N209 Q211:Q212 N211:N212 Q217:Q218 N217:N218 Q220:Q221 N220:N221 Q223:Q224 N223:N224 Q226:Q227 N226:N227 Q229:Q230 N229:N230 Q244:Q245 N244:N245 Q265:Q266 N265:N266 Q280:Q281 N280:N281 Q286:Q287 N286:N287 Q289:Q290 N289:N290 Q298:Q299 N298:N299 Q304:Q305 N304:N305 Q322:Q323 N322:N323 Q334:Q335 N334:N335 Q364:Q365 N364:N365 Q379:Q380 N379:N380">
    <cfRule type="cellIs" dxfId="2392" priority="2392" stopIfTrue="1" operator="equal">
      <formula>"Pass"</formula>
    </cfRule>
    <cfRule type="cellIs" dxfId="2391" priority="2393" stopIfTrue="1" operator="equal">
      <formula>"Fail"</formula>
    </cfRule>
  </conditionalFormatting>
  <conditionalFormatting sqref="W10 W13 W16 W19 W22 W25 W28 W31 W34 W37 W40 W43 W46 W49 W52 W55 W58 W61 W64 W67 W70 W73 W76 W79 W82 W85 W88 W91 W94 W97 W100 W103 W106 W109 W112 W115 W118 W124 W127 W130 W133 W136 W139 W142 W145 W148 W151 W154 W157 W160 W175 W181 W184 W187 W190 W193 W202 W205 W211 W214 W217 W232 W235 W238 W241 W247 W250 W253 W256 W259 W262 W268 W271 W274 W277 W283 W292 W295 W301 W307 W310 W313 W316 W319 W322 W325 W328 W331 W337 W340 W343 W346 W349 W352 W355 W358 W361 W367 W370 W373 W376 W382 W385 W388 W391 W394 W397 W400 W121 W163 W166 W172 W169 W178 W196 W199 W208 W220 W223 W226 W229 W244 W265 W280 W286 W289 W298 W304 W334 W364 W379">
    <cfRule type="cellIs" dxfId="2390" priority="2390" stopIfTrue="1" operator="equal">
      <formula>"Fail"</formula>
    </cfRule>
    <cfRule type="cellIs" dxfId="2389" priority="2391" stopIfTrue="1" operator="equal">
      <formula>"Pass"</formula>
    </cfRule>
  </conditionalFormatting>
  <conditionalFormatting sqref="Q10 Q13 Q16 Q19 Q22 Q25 Q28 Q31 Q34 Q37 Q40 Q43 Q46 Q49 Q52 Q55 Q58 Q61 Q64 Q67 Q70 Q73 Q76 Q79 Q82 Q85 Q88 Q91 Q94 Q97 Q100 Q103 Q106 Q109 Q112 Q115 Q121 Q124 Q127 Q130 Q133 Q136 Q139 Q142 Q145 Q148 Q151 Q154 Q157 Q172 Q175 Q181 Q184 Q187 Q190 Q193 Q202 Q205 Q214 Q232 Q235 Q238 Q241 Q247 Q250 Q253 Q256 Q259 Q262 Q268 Q271 Q274 Q277 Q283 Q292 Q295 Q301 Q307 Q310 Q313 Q316 Q319 Q322 Q325 Q328 Q331 Q337 Q340 Q343 Q346 Q349 Q352 Q355 Q358 Q361 Q367 Q370 Q373 Q376 Q382 Q385 Q388 Q391 Q394 Q397 Q400 N10 N13 N16 N19 N22 N25 N28 N31 N34 N37 N40 N43 N46 N49 N52 N55 N58 N61 N64 N67 N70 N73 N76 N79 N82 N85 N88 N91 N94 N97 N100 N103 N106 N109 N112 N115 N121 N124 N127 N130 N133 N136 N139 N142 N145 N148 N151 N154 N157 N172 N175 N181 N184 N187 N190 N193 N202 N205 N214 N232 N235 N238 N241 N247 N250 N253 N256 N259 N262 N268 N271 N274 N277 N283 N292 N295 N301 N307 N310 N313 N316 N319 N322 N325 N328 N331 N337 N340 N343 N346 N349 N352 N355 N358 N361 N367 N370 N373 N376 N382 N385 N388 N391 N394 N397 N400 J10 J13 J16 J19 J22 J25 J28 J31 J34 J37 J40 J43 J46 J49 J52 J55 J58 J61 J64 J67 J70 J73 J76 J79 J82 J85 J88 J91 J94 J97 J100 J103 J106 J109 J112 J115 J121 J124 J127 J130 J133 J136 J139 J142 J145 J148 J151 J154 J157 J172 J175 J181 J184 J187 J190 J193 J202 J205 J214 J232 J235 J238 J241 J247 J250 J253 J256 J259 J262 J268 J271 J274 J277 J283 J292 J295 J301 J307 J310 J313 J316 J319 J322 J325 J328 J331 J337 J340 J343 J346 J349 J352 J355 J358 J361 J367 J370 J373 J376 J382 J385 J388 J391 J394 J397 J400 Q118 N118 J118 Q160 N160 J160 T163 Q163 M163:N163 J163 T166 Q166 M166:N166 J166 T169 Q169 M169:N169 J169 Q178 N178 J178 Q196 N196 J196 K199:M200 O199:P200 J199 N199 Q199 Q208 N208 J208 Q217 N217 J217 Q211 N211 J211 J220:Q220 K221:M221 O221:P221 J223:Q223 K224:M224 O224:P224 Q226 N226 J226 Q229 N229 J229 Q244 N244 J244 Q265 N265 J265 Q280 N280 J280 Q286 N286 J286 J289:Q289 K290:M290 O290:P290 Q298 N298 J298 Q304 N304 J304 Q334 N334 J334 Q364 N364 J364 Q379 N379 J379">
    <cfRule type="cellIs" dxfId="2388" priority="2388" stopIfTrue="1" operator="equal">
      <formula>"Pass"</formula>
    </cfRule>
    <cfRule type="cellIs" dxfId="2387" priority="2389" stopIfTrue="1" operator="equal">
      <formula>"Fail"</formula>
    </cfRule>
  </conditionalFormatting>
  <conditionalFormatting sqref="Q11 Q14 Q17 Q20 Q23 Q26 Q29 Q32 Q35 Q38 Q41 Q44 Q47 Q53 Q56 Q59 Q62 Q65 Q68 Q71 Q74 Q77 Q80 Q83 Q86 Q89 Q92 Q95 Q98 Q101 Q104 Q122 Q125 Q128 Q131 Q134 Q137 Q140 Q143 Q146 Q149 Q152 Q155 Q158 Q173 Q176 Q182 Q185 Q188 Q191 Q194 Q203 Q206 Q215 Q233 Q236 Q239 Q242 Q248 Q251 Q254 Q257 Q260 Q263 Q269 Q272 Q275 Q278 Q284 Q293 Q296 Q302 Q308 Q311 Q314 Q317 Q320 Q323 Q326 Q329 Q332 Q338 Q341 Q344 Q347 Q350 Q353 Q356 Q359 Q362 Q368 Q371 Q374 Q377 Q383 Q386 Q389 Q392 Q395 Q398 Q401 N11 N14 N17 N20 N23 N26 N29 N32 N35 N38 N41 N44 N47 N53 N56 N59 N62 N65 N68 N71 N74 N77 N80 N83 N86 N92 N95 N98 N101 N104 N122 N125 N128 N131 N134 N137 N140 N143 N146 N149 N152 N155 N158 N173 N176 N182 N185 N188 N191 N194 N203 N206 N215 N233 N236 N239 N242 N248 N251 N254 N257 N260 N263 N269 N272 N275 N278 N284 N293 N296 N302 N308 N311 N314 N317 N320 N323 N326 N329 N332 N338 N341 N344 N347 N350 N353 N356 N359 N362 N368 N371 N374 N377 N383 N386 N389 N392 N395 N398 N401 J11 J14 J17 J20 J23 J26 J29 J32 J35 J41 J44 J47 J50 J53 J59 J62 J65 J68 J71 J74 J77 J80 J83 J86 J56 J92 J95 J98 J101 J104 J122 J125 J128 J131 J134 J137 J140 J143 J146 J149 J152 J155 J158 J173 J176 J182 J185 J188 J191 J194 J203 J206 J215 J233 J236 J239 J242 J248 J251 J254 J257 J260 J263 J269 J272 J275 J278 J284 J293 J296 J302 J308 J311 J314 J317 J320 J323 J326 J329 J332 J338 J341 J344 J347 J350 J353 J356 J359 J362 J368 J371 J374 J377 J383 J386 J389 J392 J395 J398 J401 Q106:Q119 N106:N119 J106:J119 Q161 N161 J161 T164 Q164 M164:N164 J164 T167 Q167 M167:N167 J167 T170 Q170 M170:N170 J170 Q179 N179 J179 Q197 N197 J197 Q200 N200 J200 Q209 N209 J209 Q218 N218 J218 Q212 N212 J212 Q221 N221 J221 Q224 N224 J224 Q227 N227 J227 Q230 N230 J230 Q245 N245 J245 Q266 N266 J266 Q281 N281 J281 Q287 N287 J287 Q290 N290 J290 Q299 N299 J299 Q305 N305 J305 Q335 N335 J335 Q365 N365 J365 Q380 N380 J380">
    <cfRule type="cellIs" dxfId="2386" priority="2386" stopIfTrue="1" operator="equal">
      <formula>"Pass"</formula>
    </cfRule>
    <cfRule type="cellIs" dxfId="2385" priority="2387" stopIfTrue="1" operator="equal">
      <formula>"Fail"</formula>
    </cfRule>
  </conditionalFormatting>
  <conditionalFormatting sqref="J56">
    <cfRule type="cellIs" dxfId="2384" priority="2384" stopIfTrue="1" operator="equal">
      <formula>"Pass"</formula>
    </cfRule>
    <cfRule type="cellIs" dxfId="2383" priority="2385" stopIfTrue="1" operator="equal">
      <formula>"Fail"</formula>
    </cfRule>
  </conditionalFormatting>
  <conditionalFormatting sqref="Q124 N124 J124">
    <cfRule type="cellIs" dxfId="2382" priority="2382" stopIfTrue="1" operator="equal">
      <formula>"Pass"</formula>
    </cfRule>
    <cfRule type="cellIs" dxfId="2381" priority="2383" stopIfTrue="1" operator="equal">
      <formula>"Fail"</formula>
    </cfRule>
  </conditionalFormatting>
  <conditionalFormatting sqref="Q148 N148 J148">
    <cfRule type="cellIs" dxfId="2380" priority="2380" stopIfTrue="1" operator="equal">
      <formula>"Pass"</formula>
    </cfRule>
    <cfRule type="cellIs" dxfId="2379" priority="2381" stopIfTrue="1" operator="equal">
      <formula>"Fail"</formula>
    </cfRule>
  </conditionalFormatting>
  <conditionalFormatting sqref="Q160 N160 J160">
    <cfRule type="cellIs" dxfId="2378" priority="2378" stopIfTrue="1" operator="equal">
      <formula>"Pass"</formula>
    </cfRule>
    <cfRule type="cellIs" dxfId="2377" priority="2379" stopIfTrue="1" operator="equal">
      <formula>"Fail"</formula>
    </cfRule>
  </conditionalFormatting>
  <conditionalFormatting sqref="M163:M165">
    <cfRule type="cellIs" dxfId="2376" priority="2376" stopIfTrue="1" operator="equal">
      <formula>"Pass"</formula>
    </cfRule>
    <cfRule type="cellIs" dxfId="2375" priority="2377" stopIfTrue="1" operator="equal">
      <formula>"Fail"</formula>
    </cfRule>
  </conditionalFormatting>
  <conditionalFormatting sqref="AA163:AA165">
    <cfRule type="cellIs" dxfId="2374" priority="2374" stopIfTrue="1" operator="equal">
      <formula>"Fail"</formula>
    </cfRule>
    <cfRule type="cellIs" dxfId="2373" priority="2375" stopIfTrue="1" operator="equal">
      <formula>"Pass"</formula>
    </cfRule>
  </conditionalFormatting>
  <conditionalFormatting sqref="AA163">
    <cfRule type="cellIs" dxfId="2372" priority="2372" stopIfTrue="1" operator="equal">
      <formula>"Fail"</formula>
    </cfRule>
    <cfRule type="cellIs" dxfId="2371" priority="2373" stopIfTrue="1" operator="equal">
      <formula>"Pass"</formula>
    </cfRule>
  </conditionalFormatting>
  <conditionalFormatting sqref="T163 Q163 M163">
    <cfRule type="cellIs" dxfId="2370" priority="2370" stopIfTrue="1" operator="equal">
      <formula>"Pass"</formula>
    </cfRule>
    <cfRule type="cellIs" dxfId="2369" priority="2371" stopIfTrue="1" operator="equal">
      <formula>"Fail"</formula>
    </cfRule>
  </conditionalFormatting>
  <conditionalFormatting sqref="Q163 N163 J163">
    <cfRule type="cellIs" dxfId="2368" priority="2368" stopIfTrue="1" operator="equal">
      <formula>"Pass"</formula>
    </cfRule>
    <cfRule type="cellIs" dxfId="2367" priority="2369" stopIfTrue="1" operator="equal">
      <formula>"Fail"</formula>
    </cfRule>
  </conditionalFormatting>
  <conditionalFormatting sqref="Q163 N163 J163">
    <cfRule type="cellIs" dxfId="2366" priority="2366" stopIfTrue="1" operator="equal">
      <formula>"Pass"</formula>
    </cfRule>
    <cfRule type="cellIs" dxfId="2365" priority="2367" stopIfTrue="1" operator="equal">
      <formula>"Fail"</formula>
    </cfRule>
  </conditionalFormatting>
  <conditionalFormatting sqref="M166:M168">
    <cfRule type="cellIs" dxfId="2364" priority="2364" stopIfTrue="1" operator="equal">
      <formula>"Pass"</formula>
    </cfRule>
    <cfRule type="cellIs" dxfId="2363" priority="2365" stopIfTrue="1" operator="equal">
      <formula>"Fail"</formula>
    </cfRule>
  </conditionalFormatting>
  <conditionalFormatting sqref="T166 Q166 M166">
    <cfRule type="cellIs" dxfId="2362" priority="2362" stopIfTrue="1" operator="equal">
      <formula>"Pass"</formula>
    </cfRule>
    <cfRule type="cellIs" dxfId="2361" priority="2363" stopIfTrue="1" operator="equal">
      <formula>"Fail"</formula>
    </cfRule>
  </conditionalFormatting>
  <conditionalFormatting sqref="Q166 N166 J166">
    <cfRule type="cellIs" dxfId="2360" priority="2360" stopIfTrue="1" operator="equal">
      <formula>"Pass"</formula>
    </cfRule>
    <cfRule type="cellIs" dxfId="2359" priority="2361" stopIfTrue="1" operator="equal">
      <formula>"Fail"</formula>
    </cfRule>
  </conditionalFormatting>
  <conditionalFormatting sqref="Q166 N166 J166">
    <cfRule type="cellIs" dxfId="2358" priority="2358" stopIfTrue="1" operator="equal">
      <formula>"Pass"</formula>
    </cfRule>
    <cfRule type="cellIs" dxfId="2357" priority="2359" stopIfTrue="1" operator="equal">
      <formula>"Fail"</formula>
    </cfRule>
  </conditionalFormatting>
  <conditionalFormatting sqref="Q166 M166:N166 J166">
    <cfRule type="cellIs" dxfId="2356" priority="2356" stopIfTrue="1" operator="equal">
      <formula>"Pass"</formula>
    </cfRule>
    <cfRule type="cellIs" dxfId="2355" priority="2357" stopIfTrue="1" operator="equal">
      <formula>"Fail"</formula>
    </cfRule>
  </conditionalFormatting>
  <conditionalFormatting sqref="M166">
    <cfRule type="cellIs" dxfId="2354" priority="2354" stopIfTrue="1" operator="equal">
      <formula>"Pass"</formula>
    </cfRule>
    <cfRule type="cellIs" dxfId="2353" priority="2355" stopIfTrue="1" operator="equal">
      <formula>"Fail"</formula>
    </cfRule>
  </conditionalFormatting>
  <conditionalFormatting sqref="M166:M168">
    <cfRule type="cellIs" dxfId="2352" priority="2352" stopIfTrue="1" operator="equal">
      <formula>"Pass"</formula>
    </cfRule>
    <cfRule type="cellIs" dxfId="2351" priority="2353" stopIfTrue="1" operator="equal">
      <formula>"Fail"</formula>
    </cfRule>
  </conditionalFormatting>
  <conditionalFormatting sqref="T166 Q166 M166">
    <cfRule type="cellIs" dxfId="2350" priority="2350" stopIfTrue="1" operator="equal">
      <formula>"Pass"</formula>
    </cfRule>
    <cfRule type="cellIs" dxfId="2349" priority="2351" stopIfTrue="1" operator="equal">
      <formula>"Fail"</formula>
    </cfRule>
  </conditionalFormatting>
  <conditionalFormatting sqref="Q166 N166 J166">
    <cfRule type="cellIs" dxfId="2348" priority="2348" stopIfTrue="1" operator="equal">
      <formula>"Pass"</formula>
    </cfRule>
    <cfRule type="cellIs" dxfId="2347" priority="2349" stopIfTrue="1" operator="equal">
      <formula>"Fail"</formula>
    </cfRule>
  </conditionalFormatting>
  <conditionalFormatting sqref="Q166 N166 J166">
    <cfRule type="cellIs" dxfId="2346" priority="2346" stopIfTrue="1" operator="equal">
      <formula>"Pass"</formula>
    </cfRule>
    <cfRule type="cellIs" dxfId="2345" priority="2347" stopIfTrue="1" operator="equal">
      <formula>"Fail"</formula>
    </cfRule>
  </conditionalFormatting>
  <conditionalFormatting sqref="Q166 N166 J166">
    <cfRule type="cellIs" dxfId="2344" priority="2344" stopIfTrue="1" operator="equal">
      <formula>"Pass"</formula>
    </cfRule>
    <cfRule type="cellIs" dxfId="2343" priority="2345" stopIfTrue="1" operator="equal">
      <formula>"Fail"</formula>
    </cfRule>
  </conditionalFormatting>
  <conditionalFormatting sqref="Q166 M166:N166 J166">
    <cfRule type="cellIs" dxfId="2342" priority="2342" stopIfTrue="1" operator="equal">
      <formula>"Pass"</formula>
    </cfRule>
    <cfRule type="cellIs" dxfId="2341" priority="2343" stopIfTrue="1" operator="equal">
      <formula>"Fail"</formula>
    </cfRule>
  </conditionalFormatting>
  <conditionalFormatting sqref="M166">
    <cfRule type="cellIs" dxfId="2340" priority="2340" stopIfTrue="1" operator="equal">
      <formula>"Pass"</formula>
    </cfRule>
    <cfRule type="cellIs" dxfId="2339" priority="2341" stopIfTrue="1" operator="equal">
      <formula>"Fail"</formula>
    </cfRule>
  </conditionalFormatting>
  <conditionalFormatting sqref="M169:M171">
    <cfRule type="cellIs" dxfId="2338" priority="2338" stopIfTrue="1" operator="equal">
      <formula>"Pass"</formula>
    </cfRule>
    <cfRule type="cellIs" dxfId="2337" priority="2339" stopIfTrue="1" operator="equal">
      <formula>"Fail"</formula>
    </cfRule>
  </conditionalFormatting>
  <conditionalFormatting sqref="T169 Q169 M169">
    <cfRule type="cellIs" dxfId="2336" priority="2336" stopIfTrue="1" operator="equal">
      <formula>"Pass"</formula>
    </cfRule>
    <cfRule type="cellIs" dxfId="2335" priority="2337" stopIfTrue="1" operator="equal">
      <formula>"Fail"</formula>
    </cfRule>
  </conditionalFormatting>
  <conditionalFormatting sqref="Q169 N169 J169">
    <cfRule type="cellIs" dxfId="2334" priority="2334" stopIfTrue="1" operator="equal">
      <formula>"Pass"</formula>
    </cfRule>
    <cfRule type="cellIs" dxfId="2333" priority="2335" stopIfTrue="1" operator="equal">
      <formula>"Fail"</formula>
    </cfRule>
  </conditionalFormatting>
  <conditionalFormatting sqref="Q169 N169 J169">
    <cfRule type="cellIs" dxfId="2332" priority="2332" stopIfTrue="1" operator="equal">
      <formula>"Pass"</formula>
    </cfRule>
    <cfRule type="cellIs" dxfId="2331" priority="2333" stopIfTrue="1" operator="equal">
      <formula>"Fail"</formula>
    </cfRule>
  </conditionalFormatting>
  <conditionalFormatting sqref="Q169 M169:N169 J169">
    <cfRule type="cellIs" dxfId="2330" priority="2330" stopIfTrue="1" operator="equal">
      <formula>"Pass"</formula>
    </cfRule>
    <cfRule type="cellIs" dxfId="2329" priority="2331" stopIfTrue="1" operator="equal">
      <formula>"Fail"</formula>
    </cfRule>
  </conditionalFormatting>
  <conditionalFormatting sqref="M169">
    <cfRule type="cellIs" dxfId="2328" priority="2328" stopIfTrue="1" operator="equal">
      <formula>"Pass"</formula>
    </cfRule>
    <cfRule type="cellIs" dxfId="2327" priority="2329" stopIfTrue="1" operator="equal">
      <formula>"Fail"</formula>
    </cfRule>
  </conditionalFormatting>
  <conditionalFormatting sqref="M169:M171">
    <cfRule type="cellIs" dxfId="2326" priority="2326" stopIfTrue="1" operator="equal">
      <formula>"Pass"</formula>
    </cfRule>
    <cfRule type="cellIs" dxfId="2325" priority="2327" stopIfTrue="1" operator="equal">
      <formula>"Fail"</formula>
    </cfRule>
  </conditionalFormatting>
  <conditionalFormatting sqref="T169 Q169 M169">
    <cfRule type="cellIs" dxfId="2324" priority="2324" stopIfTrue="1" operator="equal">
      <formula>"Pass"</formula>
    </cfRule>
    <cfRule type="cellIs" dxfId="2323" priority="2325" stopIfTrue="1" operator="equal">
      <formula>"Fail"</formula>
    </cfRule>
  </conditionalFormatting>
  <conditionalFormatting sqref="Q169 N169 J169">
    <cfRule type="cellIs" dxfId="2322" priority="2322" stopIfTrue="1" operator="equal">
      <formula>"Pass"</formula>
    </cfRule>
    <cfRule type="cellIs" dxfId="2321" priority="2323" stopIfTrue="1" operator="equal">
      <formula>"Fail"</formula>
    </cfRule>
  </conditionalFormatting>
  <conditionalFormatting sqref="Q169 N169 J169">
    <cfRule type="cellIs" dxfId="2320" priority="2320" stopIfTrue="1" operator="equal">
      <formula>"Pass"</formula>
    </cfRule>
    <cfRule type="cellIs" dxfId="2319" priority="2321" stopIfTrue="1" operator="equal">
      <formula>"Fail"</formula>
    </cfRule>
  </conditionalFormatting>
  <conditionalFormatting sqref="Q169 N169 J169">
    <cfRule type="cellIs" dxfId="2318" priority="2318" stopIfTrue="1" operator="equal">
      <formula>"Pass"</formula>
    </cfRule>
    <cfRule type="cellIs" dxfId="2317" priority="2319" stopIfTrue="1" operator="equal">
      <formula>"Fail"</formula>
    </cfRule>
  </conditionalFormatting>
  <conditionalFormatting sqref="Q169 M169:N169 J169">
    <cfRule type="cellIs" dxfId="2316" priority="2316" stopIfTrue="1" operator="equal">
      <formula>"Pass"</formula>
    </cfRule>
    <cfRule type="cellIs" dxfId="2315" priority="2317" stopIfTrue="1" operator="equal">
      <formula>"Fail"</formula>
    </cfRule>
  </conditionalFormatting>
  <conditionalFormatting sqref="M169">
    <cfRule type="cellIs" dxfId="2314" priority="2314" stopIfTrue="1" operator="equal">
      <formula>"Pass"</formula>
    </cfRule>
    <cfRule type="cellIs" dxfId="2313" priority="2315" stopIfTrue="1" operator="equal">
      <formula>"Fail"</formula>
    </cfRule>
  </conditionalFormatting>
  <conditionalFormatting sqref="Q178 N178 J178">
    <cfRule type="cellIs" dxfId="2312" priority="2312" stopIfTrue="1" operator="equal">
      <formula>"Pass"</formula>
    </cfRule>
    <cfRule type="cellIs" dxfId="2311" priority="2313" stopIfTrue="1" operator="equal">
      <formula>"Fail"</formula>
    </cfRule>
  </conditionalFormatting>
  <conditionalFormatting sqref="Q199 N199 J199">
    <cfRule type="cellIs" dxfId="2310" priority="2310" stopIfTrue="1" operator="equal">
      <formula>"Pass"</formula>
    </cfRule>
    <cfRule type="cellIs" dxfId="2309" priority="2311" stopIfTrue="1" operator="equal">
      <formula>"Fail"</formula>
    </cfRule>
  </conditionalFormatting>
  <conditionalFormatting sqref="Q205 N205 J205">
    <cfRule type="cellIs" dxfId="2308" priority="2308" stopIfTrue="1" operator="equal">
      <formula>"Pass"</formula>
    </cfRule>
    <cfRule type="cellIs" dxfId="2307" priority="2309" stopIfTrue="1" operator="equal">
      <formula>"Fail"</formula>
    </cfRule>
  </conditionalFormatting>
  <conditionalFormatting sqref="Q208 N208 J208">
    <cfRule type="cellIs" dxfId="2306" priority="2306" stopIfTrue="1" operator="equal">
      <formula>"Pass"</formula>
    </cfRule>
    <cfRule type="cellIs" dxfId="2305" priority="2307" stopIfTrue="1" operator="equal">
      <formula>"Fail"</formula>
    </cfRule>
  </conditionalFormatting>
  <conditionalFormatting sqref="Q217 N217 J217">
    <cfRule type="cellIs" dxfId="2304" priority="2304" stopIfTrue="1" operator="equal">
      <formula>"Pass"</formula>
    </cfRule>
    <cfRule type="cellIs" dxfId="2303" priority="2305" stopIfTrue="1" operator="equal">
      <formula>"Fail"</formula>
    </cfRule>
  </conditionalFormatting>
  <conditionalFormatting sqref="Q211 N211 J211">
    <cfRule type="cellIs" dxfId="2302" priority="2302" stopIfTrue="1" operator="equal">
      <formula>"Pass"</formula>
    </cfRule>
    <cfRule type="cellIs" dxfId="2301" priority="2303" stopIfTrue="1" operator="equal">
      <formula>"Fail"</formula>
    </cfRule>
  </conditionalFormatting>
  <conditionalFormatting sqref="Q211 N211 J211">
    <cfRule type="cellIs" dxfId="2300" priority="2300" stopIfTrue="1" operator="equal">
      <formula>"Pass"</formula>
    </cfRule>
    <cfRule type="cellIs" dxfId="2299" priority="2301" stopIfTrue="1" operator="equal">
      <formula>"Fail"</formula>
    </cfRule>
  </conditionalFormatting>
  <conditionalFormatting sqref="Q217 N217 J217">
    <cfRule type="cellIs" dxfId="2298" priority="2298" stopIfTrue="1" operator="equal">
      <formula>"Pass"</formula>
    </cfRule>
    <cfRule type="cellIs" dxfId="2297" priority="2299" stopIfTrue="1" operator="equal">
      <formula>"Fail"</formula>
    </cfRule>
  </conditionalFormatting>
  <conditionalFormatting sqref="J220:Q220 K221:M221 O221:P221">
    <cfRule type="cellIs" dxfId="2296" priority="2296" stopIfTrue="1" operator="equal">
      <formula>"Pass"</formula>
    </cfRule>
    <cfRule type="cellIs" dxfId="2295" priority="2297" stopIfTrue="1" operator="equal">
      <formula>"Fail"</formula>
    </cfRule>
  </conditionalFormatting>
  <conditionalFormatting sqref="J220:Q220 K221:M221 O221:P221">
    <cfRule type="cellIs" dxfId="2294" priority="2294" stopIfTrue="1" operator="equal">
      <formula>"Pass"</formula>
    </cfRule>
    <cfRule type="cellIs" dxfId="2293" priority="2295" stopIfTrue="1" operator="equal">
      <formula>"Fail"</formula>
    </cfRule>
  </conditionalFormatting>
  <conditionalFormatting sqref="J223:Q223 K224:M224 O224:P224">
    <cfRule type="cellIs" dxfId="2292" priority="2292" stopIfTrue="1" operator="equal">
      <formula>"Pass"</formula>
    </cfRule>
    <cfRule type="cellIs" dxfId="2291" priority="2293" stopIfTrue="1" operator="equal">
      <formula>"Fail"</formula>
    </cfRule>
  </conditionalFormatting>
  <conditionalFormatting sqref="J223:Q223 K224:M224 O224:P224">
    <cfRule type="cellIs" dxfId="2290" priority="2290" stopIfTrue="1" operator="equal">
      <formula>"Pass"</formula>
    </cfRule>
    <cfRule type="cellIs" dxfId="2289" priority="2291" stopIfTrue="1" operator="equal">
      <formula>"Fail"</formula>
    </cfRule>
  </conditionalFormatting>
  <conditionalFormatting sqref="Q226 N226 J226">
    <cfRule type="cellIs" dxfId="2288" priority="2288" stopIfTrue="1" operator="equal">
      <formula>"Pass"</formula>
    </cfRule>
    <cfRule type="cellIs" dxfId="2287" priority="2289" stopIfTrue="1" operator="equal">
      <formula>"Fail"</formula>
    </cfRule>
  </conditionalFormatting>
  <conditionalFormatting sqref="Q226 N226 J226">
    <cfRule type="cellIs" dxfId="2286" priority="2286" stopIfTrue="1" operator="equal">
      <formula>"Pass"</formula>
    </cfRule>
    <cfRule type="cellIs" dxfId="2285" priority="2287" stopIfTrue="1" operator="equal">
      <formula>"Fail"</formula>
    </cfRule>
  </conditionalFormatting>
  <conditionalFormatting sqref="Q235 N235 J235">
    <cfRule type="cellIs" dxfId="2284" priority="2284" stopIfTrue="1" operator="equal">
      <formula>"Pass"</formula>
    </cfRule>
    <cfRule type="cellIs" dxfId="2283" priority="2285" stopIfTrue="1" operator="equal">
      <formula>"Fail"</formula>
    </cfRule>
  </conditionalFormatting>
  <conditionalFormatting sqref="Q236 N236 J236">
    <cfRule type="cellIs" dxfId="2282" priority="2282" stopIfTrue="1" operator="equal">
      <formula>"Pass"</formula>
    </cfRule>
    <cfRule type="cellIs" dxfId="2281" priority="2283" stopIfTrue="1" operator="equal">
      <formula>"Fail"</formula>
    </cfRule>
  </conditionalFormatting>
  <conditionalFormatting sqref="J403:J405">
    <cfRule type="cellIs" dxfId="2280" priority="2280" stopIfTrue="1" operator="equal">
      <formula>"Pass"</formula>
    </cfRule>
    <cfRule type="cellIs" dxfId="2279" priority="2281" stopIfTrue="1" operator="equal">
      <formula>"Fail"</formula>
    </cfRule>
  </conditionalFormatting>
  <conditionalFormatting sqref="W403:W405">
    <cfRule type="cellIs" dxfId="2278" priority="2278" stopIfTrue="1" operator="equal">
      <formula>"Fail"</formula>
    </cfRule>
    <cfRule type="cellIs" dxfId="2277" priority="2279" stopIfTrue="1" operator="equal">
      <formula>"Pass"</formula>
    </cfRule>
  </conditionalFormatting>
  <conditionalFormatting sqref="W403">
    <cfRule type="cellIs" dxfId="2276" priority="2276" stopIfTrue="1" operator="equal">
      <formula>"Fail"</formula>
    </cfRule>
    <cfRule type="cellIs" dxfId="2275" priority="2277" stopIfTrue="1" operator="equal">
      <formula>"Pass"</formula>
    </cfRule>
  </conditionalFormatting>
  <conditionalFormatting sqref="J403">
    <cfRule type="cellIs" dxfId="2274" priority="2274" stopIfTrue="1" operator="equal">
      <formula>"Pass"</formula>
    </cfRule>
    <cfRule type="cellIs" dxfId="2273" priority="2275" stopIfTrue="1" operator="equal">
      <formula>"Fail"</formula>
    </cfRule>
  </conditionalFormatting>
  <conditionalFormatting sqref="J404">
    <cfRule type="cellIs" dxfId="2272" priority="2272" stopIfTrue="1" operator="equal">
      <formula>"Pass"</formula>
    </cfRule>
    <cfRule type="cellIs" dxfId="2271" priority="2273" stopIfTrue="1" operator="equal">
      <formula>"Fail"</formula>
    </cfRule>
  </conditionalFormatting>
  <conditionalFormatting sqref="J406:J408">
    <cfRule type="cellIs" dxfId="2270" priority="2270" stopIfTrue="1" operator="equal">
      <formula>"Pass"</formula>
    </cfRule>
    <cfRule type="cellIs" dxfId="2269" priority="2271" stopIfTrue="1" operator="equal">
      <formula>"Fail"</formula>
    </cfRule>
  </conditionalFormatting>
  <conditionalFormatting sqref="W406:W408">
    <cfRule type="cellIs" dxfId="2268" priority="2268" stopIfTrue="1" operator="equal">
      <formula>"Fail"</formula>
    </cfRule>
    <cfRule type="cellIs" dxfId="2267" priority="2269" stopIfTrue="1" operator="equal">
      <formula>"Pass"</formula>
    </cfRule>
  </conditionalFormatting>
  <conditionalFormatting sqref="Q406:Q407 N406:N407">
    <cfRule type="cellIs" dxfId="2266" priority="2266" stopIfTrue="1" operator="equal">
      <formula>"Pass"</formula>
    </cfRule>
    <cfRule type="cellIs" dxfId="2265" priority="2267" stopIfTrue="1" operator="equal">
      <formula>"Fail"</formula>
    </cfRule>
  </conditionalFormatting>
  <conditionalFormatting sqref="W406">
    <cfRule type="cellIs" dxfId="2264" priority="2264" stopIfTrue="1" operator="equal">
      <formula>"Fail"</formula>
    </cfRule>
    <cfRule type="cellIs" dxfId="2263" priority="2265" stopIfTrue="1" operator="equal">
      <formula>"Pass"</formula>
    </cfRule>
  </conditionalFormatting>
  <conditionalFormatting sqref="Q406 N406 J406">
    <cfRule type="cellIs" dxfId="2262" priority="2262" stopIfTrue="1" operator="equal">
      <formula>"Pass"</formula>
    </cfRule>
    <cfRule type="cellIs" dxfId="2261" priority="2263" stopIfTrue="1" operator="equal">
      <formula>"Fail"</formula>
    </cfRule>
  </conditionalFormatting>
  <conditionalFormatting sqref="Q407 N407 J407">
    <cfRule type="cellIs" dxfId="2260" priority="2260" stopIfTrue="1" operator="equal">
      <formula>"Pass"</formula>
    </cfRule>
    <cfRule type="cellIs" dxfId="2259" priority="2261" stopIfTrue="1" operator="equal">
      <formula>"Fail"</formula>
    </cfRule>
  </conditionalFormatting>
  <conditionalFormatting sqref="J409:J411 K409:M410 O409:P410">
    <cfRule type="cellIs" dxfId="2258" priority="2258" stopIfTrue="1" operator="equal">
      <formula>"Pass"</formula>
    </cfRule>
    <cfRule type="cellIs" dxfId="2257" priority="2259" stopIfTrue="1" operator="equal">
      <formula>"Fail"</formula>
    </cfRule>
  </conditionalFormatting>
  <conditionalFormatting sqref="W409:W411">
    <cfRule type="cellIs" dxfId="2256" priority="2256" stopIfTrue="1" operator="equal">
      <formula>"Fail"</formula>
    </cfRule>
    <cfRule type="cellIs" dxfId="2255" priority="2257" stopIfTrue="1" operator="equal">
      <formula>"Pass"</formula>
    </cfRule>
  </conditionalFormatting>
  <conditionalFormatting sqref="Q409:Q410 N409:N410">
    <cfRule type="cellIs" dxfId="2254" priority="2254" stopIfTrue="1" operator="equal">
      <formula>"Pass"</formula>
    </cfRule>
    <cfRule type="cellIs" dxfId="2253" priority="2255" stopIfTrue="1" operator="equal">
      <formula>"Fail"</formula>
    </cfRule>
  </conditionalFormatting>
  <conditionalFormatting sqref="W409">
    <cfRule type="cellIs" dxfId="2252" priority="2252" stopIfTrue="1" operator="equal">
      <formula>"Fail"</formula>
    </cfRule>
    <cfRule type="cellIs" dxfId="2251" priority="2253" stopIfTrue="1" operator="equal">
      <formula>"Pass"</formula>
    </cfRule>
  </conditionalFormatting>
  <conditionalFormatting sqref="J409:Q409 K410:M410 O410:P410">
    <cfRule type="cellIs" dxfId="2250" priority="2250" stopIfTrue="1" operator="equal">
      <formula>"Pass"</formula>
    </cfRule>
    <cfRule type="cellIs" dxfId="2249" priority="2251" stopIfTrue="1" operator="equal">
      <formula>"Fail"</formula>
    </cfRule>
  </conditionalFormatting>
  <conditionalFormatting sqref="Q410 N410 J410">
    <cfRule type="cellIs" dxfId="2248" priority="2248" stopIfTrue="1" operator="equal">
      <formula>"Pass"</formula>
    </cfRule>
    <cfRule type="cellIs" dxfId="2247" priority="2249" stopIfTrue="1" operator="equal">
      <formula>"Fail"</formula>
    </cfRule>
  </conditionalFormatting>
  <conditionalFormatting sqref="J412:J414 K412:M413 O412:P413">
    <cfRule type="cellIs" dxfId="2246" priority="2246" stopIfTrue="1" operator="equal">
      <formula>"Pass"</formula>
    </cfRule>
    <cfRule type="cellIs" dxfId="2245" priority="2247" stopIfTrue="1" operator="equal">
      <formula>"Fail"</formula>
    </cfRule>
  </conditionalFormatting>
  <conditionalFormatting sqref="W412:W414">
    <cfRule type="cellIs" dxfId="2244" priority="2244" stopIfTrue="1" operator="equal">
      <formula>"Fail"</formula>
    </cfRule>
    <cfRule type="cellIs" dxfId="2243" priority="2245" stopIfTrue="1" operator="equal">
      <formula>"Pass"</formula>
    </cfRule>
  </conditionalFormatting>
  <conditionalFormatting sqref="Q412:Q413 N412:N413">
    <cfRule type="cellIs" dxfId="2242" priority="2242" stopIfTrue="1" operator="equal">
      <formula>"Pass"</formula>
    </cfRule>
    <cfRule type="cellIs" dxfId="2241" priority="2243" stopIfTrue="1" operator="equal">
      <formula>"Fail"</formula>
    </cfRule>
  </conditionalFormatting>
  <conditionalFormatting sqref="W412">
    <cfRule type="cellIs" dxfId="2240" priority="2240" stopIfTrue="1" operator="equal">
      <formula>"Fail"</formula>
    </cfRule>
    <cfRule type="cellIs" dxfId="2239" priority="2241" stopIfTrue="1" operator="equal">
      <formula>"Pass"</formula>
    </cfRule>
  </conditionalFormatting>
  <conditionalFormatting sqref="J412:Q412 K413:M413 O413:P413">
    <cfRule type="cellIs" dxfId="2238" priority="2238" stopIfTrue="1" operator="equal">
      <formula>"Pass"</formula>
    </cfRule>
    <cfRule type="cellIs" dxfId="2237" priority="2239" stopIfTrue="1" operator="equal">
      <formula>"Fail"</formula>
    </cfRule>
  </conditionalFormatting>
  <conditionalFormatting sqref="Q413 N413 J413">
    <cfRule type="cellIs" dxfId="2236" priority="2236" stopIfTrue="1" operator="equal">
      <formula>"Pass"</formula>
    </cfRule>
    <cfRule type="cellIs" dxfId="2235" priority="2237" stopIfTrue="1" operator="equal">
      <formula>"Fail"</formula>
    </cfRule>
  </conditionalFormatting>
  <conditionalFormatting sqref="J415:J417 K415:Q416">
    <cfRule type="cellIs" dxfId="2234" priority="2234" stopIfTrue="1" operator="equal">
      <formula>"Pass"</formula>
    </cfRule>
    <cfRule type="cellIs" dxfId="2233" priority="2235" stopIfTrue="1" operator="equal">
      <formula>"Fail"</formula>
    </cfRule>
  </conditionalFormatting>
  <conditionalFormatting sqref="W415">
    <cfRule type="cellIs" dxfId="2232" priority="2232" stopIfTrue="1" operator="equal">
      <formula>"Fail"</formula>
    </cfRule>
    <cfRule type="cellIs" dxfId="2231" priority="2233" stopIfTrue="1" operator="equal">
      <formula>"Pass"</formula>
    </cfRule>
  </conditionalFormatting>
  <conditionalFormatting sqref="J418:J420 K418:Q419">
    <cfRule type="cellIs" dxfId="2230" priority="2230" stopIfTrue="1" operator="equal">
      <formula>"Pass"</formula>
    </cfRule>
    <cfRule type="cellIs" dxfId="2229" priority="2231" stopIfTrue="1" operator="equal">
      <formula>"Fail"</formula>
    </cfRule>
  </conditionalFormatting>
  <conditionalFormatting sqref="W418">
    <cfRule type="cellIs" dxfId="2228" priority="2228" stopIfTrue="1" operator="equal">
      <formula>"Fail"</formula>
    </cfRule>
    <cfRule type="cellIs" dxfId="2227" priority="2229" stopIfTrue="1" operator="equal">
      <formula>"Pass"</formula>
    </cfRule>
  </conditionalFormatting>
  <conditionalFormatting sqref="J421:J423 K421:Q422">
    <cfRule type="cellIs" dxfId="2226" priority="2226" stopIfTrue="1" operator="equal">
      <formula>"Pass"</formula>
    </cfRule>
    <cfRule type="cellIs" dxfId="2225" priority="2227" stopIfTrue="1" operator="equal">
      <formula>"Fail"</formula>
    </cfRule>
  </conditionalFormatting>
  <conditionalFormatting sqref="W421">
    <cfRule type="cellIs" dxfId="2224" priority="2224" stopIfTrue="1" operator="equal">
      <formula>"Fail"</formula>
    </cfRule>
    <cfRule type="cellIs" dxfId="2223" priority="2225" stopIfTrue="1" operator="equal">
      <formula>"Pass"</formula>
    </cfRule>
  </conditionalFormatting>
  <conditionalFormatting sqref="J424:J426 K424:Q425">
    <cfRule type="cellIs" dxfId="2222" priority="2222" stopIfTrue="1" operator="equal">
      <formula>"Pass"</formula>
    </cfRule>
    <cfRule type="cellIs" dxfId="2221" priority="2223" stopIfTrue="1" operator="equal">
      <formula>"Fail"</formula>
    </cfRule>
  </conditionalFormatting>
  <conditionalFormatting sqref="W424">
    <cfRule type="cellIs" dxfId="2220" priority="2220" stopIfTrue="1" operator="equal">
      <formula>"Fail"</formula>
    </cfRule>
    <cfRule type="cellIs" dxfId="2219" priority="2221" stopIfTrue="1" operator="equal">
      <formula>"Pass"</formula>
    </cfRule>
  </conditionalFormatting>
  <conditionalFormatting sqref="J427:J429 K427:Q428">
    <cfRule type="cellIs" dxfId="2218" priority="2218" stopIfTrue="1" operator="equal">
      <formula>"Pass"</formula>
    </cfRule>
    <cfRule type="cellIs" dxfId="2217" priority="2219" stopIfTrue="1" operator="equal">
      <formula>"Fail"</formula>
    </cfRule>
  </conditionalFormatting>
  <conditionalFormatting sqref="W427">
    <cfRule type="cellIs" dxfId="2216" priority="2216" stopIfTrue="1" operator="equal">
      <formula>"Fail"</formula>
    </cfRule>
    <cfRule type="cellIs" dxfId="2215" priority="2217" stopIfTrue="1" operator="equal">
      <formula>"Pass"</formula>
    </cfRule>
  </conditionalFormatting>
  <conditionalFormatting sqref="J415:M415 O415:P415">
    <cfRule type="cellIs" dxfId="2214" priority="2214" stopIfTrue="1" operator="equal">
      <formula>"Pass"</formula>
    </cfRule>
    <cfRule type="cellIs" dxfId="2213" priority="2215" stopIfTrue="1" operator="equal">
      <formula>"Fail"</formula>
    </cfRule>
  </conditionalFormatting>
  <conditionalFormatting sqref="Q415 N415">
    <cfRule type="cellIs" dxfId="2212" priority="2212" stopIfTrue="1" operator="equal">
      <formula>"Pass"</formula>
    </cfRule>
    <cfRule type="cellIs" dxfId="2211" priority="2213" stopIfTrue="1" operator="equal">
      <formula>"Fail"</formula>
    </cfRule>
  </conditionalFormatting>
  <conditionalFormatting sqref="J415:Q415">
    <cfRule type="cellIs" dxfId="2210" priority="2210" stopIfTrue="1" operator="equal">
      <formula>"Pass"</formula>
    </cfRule>
    <cfRule type="cellIs" dxfId="2209" priority="2211" stopIfTrue="1" operator="equal">
      <formula>"Fail"</formula>
    </cfRule>
  </conditionalFormatting>
  <conditionalFormatting sqref="J418:Q418">
    <cfRule type="cellIs" dxfId="2208" priority="2208" stopIfTrue="1" operator="equal">
      <formula>"Pass"</formula>
    </cfRule>
    <cfRule type="cellIs" dxfId="2207" priority="2209" stopIfTrue="1" operator="equal">
      <formula>"Fail"</formula>
    </cfRule>
  </conditionalFormatting>
  <conditionalFormatting sqref="J418:M418 O418:P418">
    <cfRule type="cellIs" dxfId="2206" priority="2206" stopIfTrue="1" operator="equal">
      <formula>"Pass"</formula>
    </cfRule>
    <cfRule type="cellIs" dxfId="2205" priority="2207" stopIfTrue="1" operator="equal">
      <formula>"Fail"</formula>
    </cfRule>
  </conditionalFormatting>
  <conditionalFormatting sqref="Q418 N418">
    <cfRule type="cellIs" dxfId="2204" priority="2204" stopIfTrue="1" operator="equal">
      <formula>"Pass"</formula>
    </cfRule>
    <cfRule type="cellIs" dxfId="2203" priority="2205" stopIfTrue="1" operator="equal">
      <formula>"Fail"</formula>
    </cfRule>
  </conditionalFormatting>
  <conditionalFormatting sqref="J418:Q418">
    <cfRule type="cellIs" dxfId="2202" priority="2202" stopIfTrue="1" operator="equal">
      <formula>"Pass"</formula>
    </cfRule>
    <cfRule type="cellIs" dxfId="2201" priority="2203" stopIfTrue="1" operator="equal">
      <formula>"Fail"</formula>
    </cfRule>
  </conditionalFormatting>
  <conditionalFormatting sqref="J421:Q421">
    <cfRule type="cellIs" dxfId="2200" priority="2200" stopIfTrue="1" operator="equal">
      <formula>"Pass"</formula>
    </cfRule>
    <cfRule type="cellIs" dxfId="2199" priority="2201" stopIfTrue="1" operator="equal">
      <formula>"Fail"</formula>
    </cfRule>
  </conditionalFormatting>
  <conditionalFormatting sqref="J421:Q421">
    <cfRule type="cellIs" dxfId="2198" priority="2198" stopIfTrue="1" operator="equal">
      <formula>"Pass"</formula>
    </cfRule>
    <cfRule type="cellIs" dxfId="2197" priority="2199" stopIfTrue="1" operator="equal">
      <formula>"Fail"</formula>
    </cfRule>
  </conditionalFormatting>
  <conditionalFormatting sqref="J421:M421 O421:P421">
    <cfRule type="cellIs" dxfId="2196" priority="2196" stopIfTrue="1" operator="equal">
      <formula>"Pass"</formula>
    </cfRule>
    <cfRule type="cellIs" dxfId="2195" priority="2197" stopIfTrue="1" operator="equal">
      <formula>"Fail"</formula>
    </cfRule>
  </conditionalFormatting>
  <conditionalFormatting sqref="Q421 N421">
    <cfRule type="cellIs" dxfId="2194" priority="2194" stopIfTrue="1" operator="equal">
      <formula>"Pass"</formula>
    </cfRule>
    <cfRule type="cellIs" dxfId="2193" priority="2195" stopIfTrue="1" operator="equal">
      <formula>"Fail"</formula>
    </cfRule>
  </conditionalFormatting>
  <conditionalFormatting sqref="J421:Q421">
    <cfRule type="cellIs" dxfId="2192" priority="2192" stopIfTrue="1" operator="equal">
      <formula>"Pass"</formula>
    </cfRule>
    <cfRule type="cellIs" dxfId="2191" priority="2193" stopIfTrue="1" operator="equal">
      <formula>"Fail"</formula>
    </cfRule>
  </conditionalFormatting>
  <conditionalFormatting sqref="J424:Q424">
    <cfRule type="cellIs" dxfId="2190" priority="2190" stopIfTrue="1" operator="equal">
      <formula>"Pass"</formula>
    </cfRule>
    <cfRule type="cellIs" dxfId="2189" priority="2191" stopIfTrue="1" operator="equal">
      <formula>"Fail"</formula>
    </cfRule>
  </conditionalFormatting>
  <conditionalFormatting sqref="J424:Q424">
    <cfRule type="cellIs" dxfId="2188" priority="2188" stopIfTrue="1" operator="equal">
      <formula>"Pass"</formula>
    </cfRule>
    <cfRule type="cellIs" dxfId="2187" priority="2189" stopIfTrue="1" operator="equal">
      <formula>"Fail"</formula>
    </cfRule>
  </conditionalFormatting>
  <conditionalFormatting sqref="J424:Q424">
    <cfRule type="cellIs" dxfId="2186" priority="2186" stopIfTrue="1" operator="equal">
      <formula>"Pass"</formula>
    </cfRule>
    <cfRule type="cellIs" dxfId="2185" priority="2187" stopIfTrue="1" operator="equal">
      <formula>"Fail"</formula>
    </cfRule>
  </conditionalFormatting>
  <conditionalFormatting sqref="J424:M424 O424:P424">
    <cfRule type="cellIs" dxfId="2184" priority="2184" stopIfTrue="1" operator="equal">
      <formula>"Pass"</formula>
    </cfRule>
    <cfRule type="cellIs" dxfId="2183" priority="2185" stopIfTrue="1" operator="equal">
      <formula>"Fail"</formula>
    </cfRule>
  </conditionalFormatting>
  <conditionalFormatting sqref="Q424 N424">
    <cfRule type="cellIs" dxfId="2182" priority="2182" stopIfTrue="1" operator="equal">
      <formula>"Pass"</formula>
    </cfRule>
    <cfRule type="cellIs" dxfId="2181" priority="2183" stopIfTrue="1" operator="equal">
      <formula>"Fail"</formula>
    </cfRule>
  </conditionalFormatting>
  <conditionalFormatting sqref="J424:Q424">
    <cfRule type="cellIs" dxfId="2180" priority="2180" stopIfTrue="1" operator="equal">
      <formula>"Pass"</formula>
    </cfRule>
    <cfRule type="cellIs" dxfId="2179" priority="2181" stopIfTrue="1" operator="equal">
      <formula>"Fail"</formula>
    </cfRule>
  </conditionalFormatting>
  <conditionalFormatting sqref="J427:Q427">
    <cfRule type="cellIs" dxfId="2178" priority="2178" stopIfTrue="1" operator="equal">
      <formula>"Pass"</formula>
    </cfRule>
    <cfRule type="cellIs" dxfId="2177" priority="2179" stopIfTrue="1" operator="equal">
      <formula>"Fail"</formula>
    </cfRule>
  </conditionalFormatting>
  <conditionalFormatting sqref="J427:Q427">
    <cfRule type="cellIs" dxfId="2176" priority="2176" stopIfTrue="1" operator="equal">
      <formula>"Pass"</formula>
    </cfRule>
    <cfRule type="cellIs" dxfId="2175" priority="2177" stopIfTrue="1" operator="equal">
      <formula>"Fail"</formula>
    </cfRule>
  </conditionalFormatting>
  <conditionalFormatting sqref="J427:Q427">
    <cfRule type="cellIs" dxfId="2174" priority="2174" stopIfTrue="1" operator="equal">
      <formula>"Pass"</formula>
    </cfRule>
    <cfRule type="cellIs" dxfId="2173" priority="2175" stopIfTrue="1" operator="equal">
      <formula>"Fail"</formula>
    </cfRule>
  </conditionalFormatting>
  <conditionalFormatting sqref="J427:Q427">
    <cfRule type="cellIs" dxfId="2172" priority="2172" stopIfTrue="1" operator="equal">
      <formula>"Pass"</formula>
    </cfRule>
    <cfRule type="cellIs" dxfId="2171" priority="2173" stopIfTrue="1" operator="equal">
      <formula>"Fail"</formula>
    </cfRule>
  </conditionalFormatting>
  <conditionalFormatting sqref="J427:M427 O427:P427">
    <cfRule type="cellIs" dxfId="2170" priority="2170" stopIfTrue="1" operator="equal">
      <formula>"Pass"</formula>
    </cfRule>
    <cfRule type="cellIs" dxfId="2169" priority="2171" stopIfTrue="1" operator="equal">
      <formula>"Fail"</formula>
    </cfRule>
  </conditionalFormatting>
  <conditionalFormatting sqref="Q427 N427">
    <cfRule type="cellIs" dxfId="2168" priority="2168" stopIfTrue="1" operator="equal">
      <formula>"Pass"</formula>
    </cfRule>
    <cfRule type="cellIs" dxfId="2167" priority="2169" stopIfTrue="1" operator="equal">
      <formula>"Fail"</formula>
    </cfRule>
  </conditionalFormatting>
  <conditionalFormatting sqref="J427:Q427">
    <cfRule type="cellIs" dxfId="2166" priority="2166" stopIfTrue="1" operator="equal">
      <formula>"Pass"</formula>
    </cfRule>
    <cfRule type="cellIs" dxfId="2165" priority="2167" stopIfTrue="1" operator="equal">
      <formula>"Fail"</formula>
    </cfRule>
  </conditionalFormatting>
  <conditionalFormatting sqref="J430:J432 K430:Q431">
    <cfRule type="cellIs" dxfId="2164" priority="2164" stopIfTrue="1" operator="equal">
      <formula>"Pass"</formula>
    </cfRule>
    <cfRule type="cellIs" dxfId="2163" priority="2165" stopIfTrue="1" operator="equal">
      <formula>"Fail"</formula>
    </cfRule>
  </conditionalFormatting>
  <conditionalFormatting sqref="W430">
    <cfRule type="cellIs" dxfId="2162" priority="2162" stopIfTrue="1" operator="equal">
      <formula>"Fail"</formula>
    </cfRule>
    <cfRule type="cellIs" dxfId="2161" priority="2163" stopIfTrue="1" operator="equal">
      <formula>"Pass"</formula>
    </cfRule>
  </conditionalFormatting>
  <conditionalFormatting sqref="J430:Q430">
    <cfRule type="cellIs" dxfId="2160" priority="2160" stopIfTrue="1" operator="equal">
      <formula>"Pass"</formula>
    </cfRule>
    <cfRule type="cellIs" dxfId="2159" priority="2161" stopIfTrue="1" operator="equal">
      <formula>"Fail"</formula>
    </cfRule>
  </conditionalFormatting>
  <conditionalFormatting sqref="J430:Q430">
    <cfRule type="cellIs" dxfId="2158" priority="2158" stopIfTrue="1" operator="equal">
      <formula>"Pass"</formula>
    </cfRule>
    <cfRule type="cellIs" dxfId="2157" priority="2159" stopIfTrue="1" operator="equal">
      <formula>"Fail"</formula>
    </cfRule>
  </conditionalFormatting>
  <conditionalFormatting sqref="J430:Q430">
    <cfRule type="cellIs" dxfId="2156" priority="2156" stopIfTrue="1" operator="equal">
      <formula>"Pass"</formula>
    </cfRule>
    <cfRule type="cellIs" dxfId="2155" priority="2157" stopIfTrue="1" operator="equal">
      <formula>"Fail"</formula>
    </cfRule>
  </conditionalFormatting>
  <conditionalFormatting sqref="J430:Q430">
    <cfRule type="cellIs" dxfId="2154" priority="2154" stopIfTrue="1" operator="equal">
      <formula>"Pass"</formula>
    </cfRule>
    <cfRule type="cellIs" dxfId="2153" priority="2155" stopIfTrue="1" operator="equal">
      <formula>"Fail"</formula>
    </cfRule>
  </conditionalFormatting>
  <conditionalFormatting sqref="J430:M430 O430:P430">
    <cfRule type="cellIs" dxfId="2152" priority="2152" stopIfTrue="1" operator="equal">
      <formula>"Pass"</formula>
    </cfRule>
    <cfRule type="cellIs" dxfId="2151" priority="2153" stopIfTrue="1" operator="equal">
      <formula>"Fail"</formula>
    </cfRule>
  </conditionalFormatting>
  <conditionalFormatting sqref="Q430 N430">
    <cfRule type="cellIs" dxfId="2150" priority="2150" stopIfTrue="1" operator="equal">
      <formula>"Pass"</formula>
    </cfRule>
    <cfRule type="cellIs" dxfId="2149" priority="2151" stopIfTrue="1" operator="equal">
      <formula>"Fail"</formula>
    </cfRule>
  </conditionalFormatting>
  <conditionalFormatting sqref="J430:Q430">
    <cfRule type="cellIs" dxfId="2148" priority="2148" stopIfTrue="1" operator="equal">
      <formula>"Pass"</formula>
    </cfRule>
    <cfRule type="cellIs" dxfId="2147" priority="2149" stopIfTrue="1" operator="equal">
      <formula>"Fail"</formula>
    </cfRule>
  </conditionalFormatting>
  <conditionalFormatting sqref="J433:J435 K433:Q434">
    <cfRule type="cellIs" dxfId="2146" priority="2146" stopIfTrue="1" operator="equal">
      <formula>"Pass"</formula>
    </cfRule>
    <cfRule type="cellIs" dxfId="2145" priority="2147" stopIfTrue="1" operator="equal">
      <formula>"Fail"</formula>
    </cfRule>
  </conditionalFormatting>
  <conditionalFormatting sqref="W433">
    <cfRule type="cellIs" dxfId="2144" priority="2144" stopIfTrue="1" operator="equal">
      <formula>"Fail"</formula>
    </cfRule>
    <cfRule type="cellIs" dxfId="2143" priority="2145" stopIfTrue="1" operator="equal">
      <formula>"Pass"</formula>
    </cfRule>
  </conditionalFormatting>
  <conditionalFormatting sqref="J433:Q433">
    <cfRule type="cellIs" dxfId="2142" priority="2142" stopIfTrue="1" operator="equal">
      <formula>"Pass"</formula>
    </cfRule>
    <cfRule type="cellIs" dxfId="2141" priority="2143" stopIfTrue="1" operator="equal">
      <formula>"Fail"</formula>
    </cfRule>
  </conditionalFormatting>
  <conditionalFormatting sqref="J433:Q433">
    <cfRule type="cellIs" dxfId="2140" priority="2140" stopIfTrue="1" operator="equal">
      <formula>"Pass"</formula>
    </cfRule>
    <cfRule type="cellIs" dxfId="2139" priority="2141" stopIfTrue="1" operator="equal">
      <formula>"Fail"</formula>
    </cfRule>
  </conditionalFormatting>
  <conditionalFormatting sqref="J433:Q433">
    <cfRule type="cellIs" dxfId="2138" priority="2138" stopIfTrue="1" operator="equal">
      <formula>"Pass"</formula>
    </cfRule>
    <cfRule type="cellIs" dxfId="2137" priority="2139" stopIfTrue="1" operator="equal">
      <formula>"Fail"</formula>
    </cfRule>
  </conditionalFormatting>
  <conditionalFormatting sqref="J433:Q433">
    <cfRule type="cellIs" dxfId="2136" priority="2136" stopIfTrue="1" operator="equal">
      <formula>"Pass"</formula>
    </cfRule>
    <cfRule type="cellIs" dxfId="2135" priority="2137" stopIfTrue="1" operator="equal">
      <formula>"Fail"</formula>
    </cfRule>
  </conditionalFormatting>
  <conditionalFormatting sqref="J433:M433 O433:P433">
    <cfRule type="cellIs" dxfId="2134" priority="2134" stopIfTrue="1" operator="equal">
      <formula>"Pass"</formula>
    </cfRule>
    <cfRule type="cellIs" dxfId="2133" priority="2135" stopIfTrue="1" operator="equal">
      <formula>"Fail"</formula>
    </cfRule>
  </conditionalFormatting>
  <conditionalFormatting sqref="Q433 N433">
    <cfRule type="cellIs" dxfId="2132" priority="2132" stopIfTrue="1" operator="equal">
      <formula>"Pass"</formula>
    </cfRule>
    <cfRule type="cellIs" dxfId="2131" priority="2133" stopIfTrue="1" operator="equal">
      <formula>"Fail"</formula>
    </cfRule>
  </conditionalFormatting>
  <conditionalFormatting sqref="J433:Q433">
    <cfRule type="cellIs" dxfId="2130" priority="2130" stopIfTrue="1" operator="equal">
      <formula>"Pass"</formula>
    </cfRule>
    <cfRule type="cellIs" dxfId="2129" priority="2131" stopIfTrue="1" operator="equal">
      <formula>"Fail"</formula>
    </cfRule>
  </conditionalFormatting>
  <conditionalFormatting sqref="J436:J438 K436:Q437">
    <cfRule type="cellIs" dxfId="2128" priority="2128" stopIfTrue="1" operator="equal">
      <formula>"Pass"</formula>
    </cfRule>
    <cfRule type="cellIs" dxfId="2127" priority="2129" stopIfTrue="1" operator="equal">
      <formula>"Fail"</formula>
    </cfRule>
  </conditionalFormatting>
  <conditionalFormatting sqref="W436">
    <cfRule type="cellIs" dxfId="2126" priority="2126" stopIfTrue="1" operator="equal">
      <formula>"Fail"</formula>
    </cfRule>
    <cfRule type="cellIs" dxfId="2125" priority="2127" stopIfTrue="1" operator="equal">
      <formula>"Pass"</formula>
    </cfRule>
  </conditionalFormatting>
  <conditionalFormatting sqref="J436:Q436">
    <cfRule type="cellIs" dxfId="2124" priority="2124" stopIfTrue="1" operator="equal">
      <formula>"Pass"</formula>
    </cfRule>
    <cfRule type="cellIs" dxfId="2123" priority="2125" stopIfTrue="1" operator="equal">
      <formula>"Fail"</formula>
    </cfRule>
  </conditionalFormatting>
  <conditionalFormatting sqref="J436:Q436">
    <cfRule type="cellIs" dxfId="2122" priority="2122" stopIfTrue="1" operator="equal">
      <formula>"Pass"</formula>
    </cfRule>
    <cfRule type="cellIs" dxfId="2121" priority="2123" stopIfTrue="1" operator="equal">
      <formula>"Fail"</formula>
    </cfRule>
  </conditionalFormatting>
  <conditionalFormatting sqref="J436:Q436">
    <cfRule type="cellIs" dxfId="2120" priority="2120" stopIfTrue="1" operator="equal">
      <formula>"Pass"</formula>
    </cfRule>
    <cfRule type="cellIs" dxfId="2119" priority="2121" stopIfTrue="1" operator="equal">
      <formula>"Fail"</formula>
    </cfRule>
  </conditionalFormatting>
  <conditionalFormatting sqref="J436:Q436">
    <cfRule type="cellIs" dxfId="2118" priority="2118" stopIfTrue="1" operator="equal">
      <formula>"Pass"</formula>
    </cfRule>
    <cfRule type="cellIs" dxfId="2117" priority="2119" stopIfTrue="1" operator="equal">
      <formula>"Fail"</formula>
    </cfRule>
  </conditionalFormatting>
  <conditionalFormatting sqref="J436:M436 O436:P436">
    <cfRule type="cellIs" dxfId="2116" priority="2116" stopIfTrue="1" operator="equal">
      <formula>"Pass"</formula>
    </cfRule>
    <cfRule type="cellIs" dxfId="2115" priority="2117" stopIfTrue="1" operator="equal">
      <formula>"Fail"</formula>
    </cfRule>
  </conditionalFormatting>
  <conditionalFormatting sqref="Q436 N436">
    <cfRule type="cellIs" dxfId="2114" priority="2114" stopIfTrue="1" operator="equal">
      <formula>"Pass"</formula>
    </cfRule>
    <cfRule type="cellIs" dxfId="2113" priority="2115" stopIfTrue="1" operator="equal">
      <formula>"Fail"</formula>
    </cfRule>
  </conditionalFormatting>
  <conditionalFormatting sqref="J436:Q436">
    <cfRule type="cellIs" dxfId="2112" priority="2112" stopIfTrue="1" operator="equal">
      <formula>"Pass"</formula>
    </cfRule>
    <cfRule type="cellIs" dxfId="2111" priority="2113" stopIfTrue="1" operator="equal">
      <formula>"Fail"</formula>
    </cfRule>
  </conditionalFormatting>
  <conditionalFormatting sqref="J439:J441 K439:Q440">
    <cfRule type="cellIs" dxfId="2110" priority="2110" stopIfTrue="1" operator="equal">
      <formula>"Pass"</formula>
    </cfRule>
    <cfRule type="cellIs" dxfId="2109" priority="2111" stopIfTrue="1" operator="equal">
      <formula>"Fail"</formula>
    </cfRule>
  </conditionalFormatting>
  <conditionalFormatting sqref="W439">
    <cfRule type="cellIs" dxfId="2108" priority="2108" stopIfTrue="1" operator="equal">
      <formula>"Fail"</formula>
    </cfRule>
    <cfRule type="cellIs" dxfId="2107" priority="2109" stopIfTrue="1" operator="equal">
      <formula>"Pass"</formula>
    </cfRule>
  </conditionalFormatting>
  <conditionalFormatting sqref="J439:Q439">
    <cfRule type="cellIs" dxfId="2106" priority="2106" stopIfTrue="1" operator="equal">
      <formula>"Pass"</formula>
    </cfRule>
    <cfRule type="cellIs" dxfId="2105" priority="2107" stopIfTrue="1" operator="equal">
      <formula>"Fail"</formula>
    </cfRule>
  </conditionalFormatting>
  <conditionalFormatting sqref="J439:Q439">
    <cfRule type="cellIs" dxfId="2104" priority="2104" stopIfTrue="1" operator="equal">
      <formula>"Pass"</formula>
    </cfRule>
    <cfRule type="cellIs" dxfId="2103" priority="2105" stopIfTrue="1" operator="equal">
      <formula>"Fail"</formula>
    </cfRule>
  </conditionalFormatting>
  <conditionalFormatting sqref="J439:Q439">
    <cfRule type="cellIs" dxfId="2102" priority="2102" stopIfTrue="1" operator="equal">
      <formula>"Pass"</formula>
    </cfRule>
    <cfRule type="cellIs" dxfId="2101" priority="2103" stopIfTrue="1" operator="equal">
      <formula>"Fail"</formula>
    </cfRule>
  </conditionalFormatting>
  <conditionalFormatting sqref="J439:Q439">
    <cfRule type="cellIs" dxfId="2100" priority="2100" stopIfTrue="1" operator="equal">
      <formula>"Pass"</formula>
    </cfRule>
    <cfRule type="cellIs" dxfId="2099" priority="2101" stopIfTrue="1" operator="equal">
      <formula>"Fail"</formula>
    </cfRule>
  </conditionalFormatting>
  <conditionalFormatting sqref="J439:M439 O439:P439">
    <cfRule type="cellIs" dxfId="2098" priority="2098" stopIfTrue="1" operator="equal">
      <formula>"Pass"</formula>
    </cfRule>
    <cfRule type="cellIs" dxfId="2097" priority="2099" stopIfTrue="1" operator="equal">
      <formula>"Fail"</formula>
    </cfRule>
  </conditionalFormatting>
  <conditionalFormatting sqref="Q439 N439">
    <cfRule type="cellIs" dxfId="2096" priority="2096" stopIfTrue="1" operator="equal">
      <formula>"Pass"</formula>
    </cfRule>
    <cfRule type="cellIs" dxfId="2095" priority="2097" stopIfTrue="1" operator="equal">
      <formula>"Fail"</formula>
    </cfRule>
  </conditionalFormatting>
  <conditionalFormatting sqref="J439:Q439">
    <cfRule type="cellIs" dxfId="2094" priority="2094" stopIfTrue="1" operator="equal">
      <formula>"Pass"</formula>
    </cfRule>
    <cfRule type="cellIs" dxfId="2093" priority="2095" stopIfTrue="1" operator="equal">
      <formula>"Fail"</formula>
    </cfRule>
  </conditionalFormatting>
  <conditionalFormatting sqref="J442:J444 K442:Q443">
    <cfRule type="cellIs" dxfId="2092" priority="2092" stopIfTrue="1" operator="equal">
      <formula>"Pass"</formula>
    </cfRule>
    <cfRule type="cellIs" dxfId="2091" priority="2093" stopIfTrue="1" operator="equal">
      <formula>"Fail"</formula>
    </cfRule>
  </conditionalFormatting>
  <conditionalFormatting sqref="W442">
    <cfRule type="cellIs" dxfId="2090" priority="2090" stopIfTrue="1" operator="equal">
      <formula>"Fail"</formula>
    </cfRule>
    <cfRule type="cellIs" dxfId="2089" priority="2091" stopIfTrue="1" operator="equal">
      <formula>"Pass"</formula>
    </cfRule>
  </conditionalFormatting>
  <conditionalFormatting sqref="J442:Q442">
    <cfRule type="cellIs" dxfId="2088" priority="2088" stopIfTrue="1" operator="equal">
      <formula>"Pass"</formula>
    </cfRule>
    <cfRule type="cellIs" dxfId="2087" priority="2089" stopIfTrue="1" operator="equal">
      <formula>"Fail"</formula>
    </cfRule>
  </conditionalFormatting>
  <conditionalFormatting sqref="J442:Q442">
    <cfRule type="cellIs" dxfId="2086" priority="2086" stopIfTrue="1" operator="equal">
      <formula>"Pass"</formula>
    </cfRule>
    <cfRule type="cellIs" dxfId="2085" priority="2087" stopIfTrue="1" operator="equal">
      <formula>"Fail"</formula>
    </cfRule>
  </conditionalFormatting>
  <conditionalFormatting sqref="J442:Q442">
    <cfRule type="cellIs" dxfId="2084" priority="2084" stopIfTrue="1" operator="equal">
      <formula>"Pass"</formula>
    </cfRule>
    <cfRule type="cellIs" dxfId="2083" priority="2085" stopIfTrue="1" operator="equal">
      <formula>"Fail"</formula>
    </cfRule>
  </conditionalFormatting>
  <conditionalFormatting sqref="J442:Q442">
    <cfRule type="cellIs" dxfId="2082" priority="2082" stopIfTrue="1" operator="equal">
      <formula>"Pass"</formula>
    </cfRule>
    <cfRule type="cellIs" dxfId="2081" priority="2083" stopIfTrue="1" operator="equal">
      <formula>"Fail"</formula>
    </cfRule>
  </conditionalFormatting>
  <conditionalFormatting sqref="J442:M442 O442:P442">
    <cfRule type="cellIs" dxfId="2080" priority="2080" stopIfTrue="1" operator="equal">
      <formula>"Pass"</formula>
    </cfRule>
    <cfRule type="cellIs" dxfId="2079" priority="2081" stopIfTrue="1" operator="equal">
      <formula>"Fail"</formula>
    </cfRule>
  </conditionalFormatting>
  <conditionalFormatting sqref="Q442 N442">
    <cfRule type="cellIs" dxfId="2078" priority="2078" stopIfTrue="1" operator="equal">
      <formula>"Pass"</formula>
    </cfRule>
    <cfRule type="cellIs" dxfId="2077" priority="2079" stopIfTrue="1" operator="equal">
      <formula>"Fail"</formula>
    </cfRule>
  </conditionalFormatting>
  <conditionalFormatting sqref="J442:Q442">
    <cfRule type="cellIs" dxfId="2076" priority="2076" stopIfTrue="1" operator="equal">
      <formula>"Pass"</formula>
    </cfRule>
    <cfRule type="cellIs" dxfId="2075" priority="2077" stopIfTrue="1" operator="equal">
      <formula>"Fail"</formula>
    </cfRule>
  </conditionalFormatting>
  <conditionalFormatting sqref="J445:J447 K445:Q446">
    <cfRule type="cellIs" dxfId="2074" priority="2074" stopIfTrue="1" operator="equal">
      <formula>"Pass"</formula>
    </cfRule>
    <cfRule type="cellIs" dxfId="2073" priority="2075" stopIfTrue="1" operator="equal">
      <formula>"Fail"</formula>
    </cfRule>
  </conditionalFormatting>
  <conditionalFormatting sqref="W445">
    <cfRule type="cellIs" dxfId="2072" priority="2072" stopIfTrue="1" operator="equal">
      <formula>"Fail"</formula>
    </cfRule>
    <cfRule type="cellIs" dxfId="2071" priority="2073" stopIfTrue="1" operator="equal">
      <formula>"Pass"</formula>
    </cfRule>
  </conditionalFormatting>
  <conditionalFormatting sqref="J445:Q445">
    <cfRule type="cellIs" dxfId="2070" priority="2070" stopIfTrue="1" operator="equal">
      <formula>"Pass"</formula>
    </cfRule>
    <cfRule type="cellIs" dxfId="2069" priority="2071" stopIfTrue="1" operator="equal">
      <formula>"Fail"</formula>
    </cfRule>
  </conditionalFormatting>
  <conditionalFormatting sqref="J445:Q445">
    <cfRule type="cellIs" dxfId="2068" priority="2068" stopIfTrue="1" operator="equal">
      <formula>"Pass"</formula>
    </cfRule>
    <cfRule type="cellIs" dxfId="2067" priority="2069" stopIfTrue="1" operator="equal">
      <formula>"Fail"</formula>
    </cfRule>
  </conditionalFormatting>
  <conditionalFormatting sqref="J445:Q445">
    <cfRule type="cellIs" dxfId="2066" priority="2066" stopIfTrue="1" operator="equal">
      <formula>"Pass"</formula>
    </cfRule>
    <cfRule type="cellIs" dxfId="2065" priority="2067" stopIfTrue="1" operator="equal">
      <formula>"Fail"</formula>
    </cfRule>
  </conditionalFormatting>
  <conditionalFormatting sqref="J445:Q445">
    <cfRule type="cellIs" dxfId="2064" priority="2064" stopIfTrue="1" operator="equal">
      <formula>"Pass"</formula>
    </cfRule>
    <cfRule type="cellIs" dxfId="2063" priority="2065" stopIfTrue="1" operator="equal">
      <formula>"Fail"</formula>
    </cfRule>
  </conditionalFormatting>
  <conditionalFormatting sqref="J445:M445 O445:P445">
    <cfRule type="cellIs" dxfId="2062" priority="2062" stopIfTrue="1" operator="equal">
      <formula>"Pass"</formula>
    </cfRule>
    <cfRule type="cellIs" dxfId="2061" priority="2063" stopIfTrue="1" operator="equal">
      <formula>"Fail"</formula>
    </cfRule>
  </conditionalFormatting>
  <conditionalFormatting sqref="Q445 N445">
    <cfRule type="cellIs" dxfId="2060" priority="2060" stopIfTrue="1" operator="equal">
      <formula>"Pass"</formula>
    </cfRule>
    <cfRule type="cellIs" dxfId="2059" priority="2061" stopIfTrue="1" operator="equal">
      <formula>"Fail"</formula>
    </cfRule>
  </conditionalFormatting>
  <conditionalFormatting sqref="J445:Q445">
    <cfRule type="cellIs" dxfId="2058" priority="2058" stopIfTrue="1" operator="equal">
      <formula>"Pass"</formula>
    </cfRule>
    <cfRule type="cellIs" dxfId="2057" priority="2059" stopIfTrue="1" operator="equal">
      <formula>"Fail"</formula>
    </cfRule>
  </conditionalFormatting>
  <conditionalFormatting sqref="J448:J450 K448:Q449">
    <cfRule type="cellIs" dxfId="2056" priority="2056" stopIfTrue="1" operator="equal">
      <formula>"Pass"</formula>
    </cfRule>
    <cfRule type="cellIs" dxfId="2055" priority="2057" stopIfTrue="1" operator="equal">
      <formula>"Fail"</formula>
    </cfRule>
  </conditionalFormatting>
  <conditionalFormatting sqref="W448">
    <cfRule type="cellIs" dxfId="2054" priority="2054" stopIfTrue="1" operator="equal">
      <formula>"Fail"</formula>
    </cfRule>
    <cfRule type="cellIs" dxfId="2053" priority="2055" stopIfTrue="1" operator="equal">
      <formula>"Pass"</formula>
    </cfRule>
  </conditionalFormatting>
  <conditionalFormatting sqref="J448:Q448">
    <cfRule type="cellIs" dxfId="2052" priority="2052" stopIfTrue="1" operator="equal">
      <formula>"Pass"</formula>
    </cfRule>
    <cfRule type="cellIs" dxfId="2051" priority="2053" stopIfTrue="1" operator="equal">
      <formula>"Fail"</formula>
    </cfRule>
  </conditionalFormatting>
  <conditionalFormatting sqref="J448:Q448">
    <cfRule type="cellIs" dxfId="2050" priority="2050" stopIfTrue="1" operator="equal">
      <formula>"Pass"</formula>
    </cfRule>
    <cfRule type="cellIs" dxfId="2049" priority="2051" stopIfTrue="1" operator="equal">
      <formula>"Fail"</formula>
    </cfRule>
  </conditionalFormatting>
  <conditionalFormatting sqref="J448:Q448">
    <cfRule type="cellIs" dxfId="2048" priority="2048" stopIfTrue="1" operator="equal">
      <formula>"Pass"</formula>
    </cfRule>
    <cfRule type="cellIs" dxfId="2047" priority="2049" stopIfTrue="1" operator="equal">
      <formula>"Fail"</formula>
    </cfRule>
  </conditionalFormatting>
  <conditionalFormatting sqref="J448:Q448">
    <cfRule type="cellIs" dxfId="2046" priority="2046" stopIfTrue="1" operator="equal">
      <formula>"Pass"</formula>
    </cfRule>
    <cfRule type="cellIs" dxfId="2045" priority="2047" stopIfTrue="1" operator="equal">
      <formula>"Fail"</formula>
    </cfRule>
  </conditionalFormatting>
  <conditionalFormatting sqref="J448:M448 O448:P448">
    <cfRule type="cellIs" dxfId="2044" priority="2044" stopIfTrue="1" operator="equal">
      <formula>"Pass"</formula>
    </cfRule>
    <cfRule type="cellIs" dxfId="2043" priority="2045" stopIfTrue="1" operator="equal">
      <formula>"Fail"</formula>
    </cfRule>
  </conditionalFormatting>
  <conditionalFormatting sqref="Q448 N448">
    <cfRule type="cellIs" dxfId="2042" priority="2042" stopIfTrue="1" operator="equal">
      <formula>"Pass"</formula>
    </cfRule>
    <cfRule type="cellIs" dxfId="2041" priority="2043" stopIfTrue="1" operator="equal">
      <formula>"Fail"</formula>
    </cfRule>
  </conditionalFormatting>
  <conditionalFormatting sqref="J448:Q448">
    <cfRule type="cellIs" dxfId="2040" priority="2040" stopIfTrue="1" operator="equal">
      <formula>"Pass"</formula>
    </cfRule>
    <cfRule type="cellIs" dxfId="2039" priority="2041" stopIfTrue="1" operator="equal">
      <formula>"Fail"</formula>
    </cfRule>
  </conditionalFormatting>
  <conditionalFormatting sqref="J451:J453 K451:Q452">
    <cfRule type="cellIs" dxfId="2038" priority="2038" stopIfTrue="1" operator="equal">
      <formula>"Pass"</formula>
    </cfRule>
    <cfRule type="cellIs" dxfId="2037" priority="2039" stopIfTrue="1" operator="equal">
      <formula>"Fail"</formula>
    </cfRule>
  </conditionalFormatting>
  <conditionalFormatting sqref="W451">
    <cfRule type="cellIs" dxfId="2036" priority="2036" stopIfTrue="1" operator="equal">
      <formula>"Fail"</formula>
    </cfRule>
    <cfRule type="cellIs" dxfId="2035" priority="2037" stopIfTrue="1" operator="equal">
      <formula>"Pass"</formula>
    </cfRule>
  </conditionalFormatting>
  <conditionalFormatting sqref="J451:Q451">
    <cfRule type="cellIs" dxfId="2034" priority="2034" stopIfTrue="1" operator="equal">
      <formula>"Pass"</formula>
    </cfRule>
    <cfRule type="cellIs" dxfId="2033" priority="2035" stopIfTrue="1" operator="equal">
      <formula>"Fail"</formula>
    </cfRule>
  </conditionalFormatting>
  <conditionalFormatting sqref="J451:Q451">
    <cfRule type="cellIs" dxfId="2032" priority="2032" stopIfTrue="1" operator="equal">
      <formula>"Pass"</formula>
    </cfRule>
    <cfRule type="cellIs" dxfId="2031" priority="2033" stopIfTrue="1" operator="equal">
      <formula>"Fail"</formula>
    </cfRule>
  </conditionalFormatting>
  <conditionalFormatting sqref="J451:Q451">
    <cfRule type="cellIs" dxfId="2030" priority="2030" stopIfTrue="1" operator="equal">
      <formula>"Pass"</formula>
    </cfRule>
    <cfRule type="cellIs" dxfId="2029" priority="2031" stopIfTrue="1" operator="equal">
      <formula>"Fail"</formula>
    </cfRule>
  </conditionalFormatting>
  <conditionalFormatting sqref="J451:Q451">
    <cfRule type="cellIs" dxfId="2028" priority="2028" stopIfTrue="1" operator="equal">
      <formula>"Pass"</formula>
    </cfRule>
    <cfRule type="cellIs" dxfId="2027" priority="2029" stopIfTrue="1" operator="equal">
      <formula>"Fail"</formula>
    </cfRule>
  </conditionalFormatting>
  <conditionalFormatting sqref="J451:M451 O451:P451">
    <cfRule type="cellIs" dxfId="2026" priority="2026" stopIfTrue="1" operator="equal">
      <formula>"Pass"</formula>
    </cfRule>
    <cfRule type="cellIs" dxfId="2025" priority="2027" stopIfTrue="1" operator="equal">
      <formula>"Fail"</formula>
    </cfRule>
  </conditionalFormatting>
  <conditionalFormatting sqref="Q451 N451">
    <cfRule type="cellIs" dxfId="2024" priority="2024" stopIfTrue="1" operator="equal">
      <formula>"Pass"</formula>
    </cfRule>
    <cfRule type="cellIs" dxfId="2023" priority="2025" stopIfTrue="1" operator="equal">
      <formula>"Fail"</formula>
    </cfRule>
  </conditionalFormatting>
  <conditionalFormatting sqref="J451:Q451">
    <cfRule type="cellIs" dxfId="2022" priority="2022" stopIfTrue="1" operator="equal">
      <formula>"Pass"</formula>
    </cfRule>
    <cfRule type="cellIs" dxfId="2021" priority="2023" stopIfTrue="1" operator="equal">
      <formula>"Fail"</formula>
    </cfRule>
  </conditionalFormatting>
  <conditionalFormatting sqref="J454:J456 K454:Q455">
    <cfRule type="cellIs" dxfId="2020" priority="2020" stopIfTrue="1" operator="equal">
      <formula>"Pass"</formula>
    </cfRule>
    <cfRule type="cellIs" dxfId="2019" priority="2021" stopIfTrue="1" operator="equal">
      <formula>"Fail"</formula>
    </cfRule>
  </conditionalFormatting>
  <conditionalFormatting sqref="W454">
    <cfRule type="cellIs" dxfId="2018" priority="2018" stopIfTrue="1" operator="equal">
      <formula>"Fail"</formula>
    </cfRule>
    <cfRule type="cellIs" dxfId="2017" priority="2019" stopIfTrue="1" operator="equal">
      <formula>"Pass"</formula>
    </cfRule>
  </conditionalFormatting>
  <conditionalFormatting sqref="J454:Q454">
    <cfRule type="cellIs" dxfId="2016" priority="2016" stopIfTrue="1" operator="equal">
      <formula>"Pass"</formula>
    </cfRule>
    <cfRule type="cellIs" dxfId="2015" priority="2017" stopIfTrue="1" operator="equal">
      <formula>"Fail"</formula>
    </cfRule>
  </conditionalFormatting>
  <conditionalFormatting sqref="J454:Q454">
    <cfRule type="cellIs" dxfId="2014" priority="2014" stopIfTrue="1" operator="equal">
      <formula>"Pass"</formula>
    </cfRule>
    <cfRule type="cellIs" dxfId="2013" priority="2015" stopIfTrue="1" operator="equal">
      <formula>"Fail"</formula>
    </cfRule>
  </conditionalFormatting>
  <conditionalFormatting sqref="J454:Q454">
    <cfRule type="cellIs" dxfId="2012" priority="2012" stopIfTrue="1" operator="equal">
      <formula>"Pass"</formula>
    </cfRule>
    <cfRule type="cellIs" dxfId="2011" priority="2013" stopIfTrue="1" operator="equal">
      <formula>"Fail"</formula>
    </cfRule>
  </conditionalFormatting>
  <conditionalFormatting sqref="J454:Q454">
    <cfRule type="cellIs" dxfId="2010" priority="2010" stopIfTrue="1" operator="equal">
      <formula>"Pass"</formula>
    </cfRule>
    <cfRule type="cellIs" dxfId="2009" priority="2011" stopIfTrue="1" operator="equal">
      <formula>"Fail"</formula>
    </cfRule>
  </conditionalFormatting>
  <conditionalFormatting sqref="J454:M454 O454:P454">
    <cfRule type="cellIs" dxfId="2008" priority="2008" stopIfTrue="1" operator="equal">
      <formula>"Pass"</formula>
    </cfRule>
    <cfRule type="cellIs" dxfId="2007" priority="2009" stopIfTrue="1" operator="equal">
      <formula>"Fail"</formula>
    </cfRule>
  </conditionalFormatting>
  <conditionalFormatting sqref="Q454 N454">
    <cfRule type="cellIs" dxfId="2006" priority="2006" stopIfTrue="1" operator="equal">
      <formula>"Pass"</formula>
    </cfRule>
    <cfRule type="cellIs" dxfId="2005" priority="2007" stopIfTrue="1" operator="equal">
      <formula>"Fail"</formula>
    </cfRule>
  </conditionalFormatting>
  <conditionalFormatting sqref="J454:Q454">
    <cfRule type="cellIs" dxfId="2004" priority="2004" stopIfTrue="1" operator="equal">
      <formula>"Pass"</formula>
    </cfRule>
    <cfRule type="cellIs" dxfId="2003" priority="2005" stopIfTrue="1" operator="equal">
      <formula>"Fail"</formula>
    </cfRule>
  </conditionalFormatting>
  <conditionalFormatting sqref="J457:J459 K457:Q458">
    <cfRule type="cellIs" dxfId="2002" priority="2002" stopIfTrue="1" operator="equal">
      <formula>"Pass"</formula>
    </cfRule>
    <cfRule type="cellIs" dxfId="2001" priority="2003" stopIfTrue="1" operator="equal">
      <formula>"Fail"</formula>
    </cfRule>
  </conditionalFormatting>
  <conditionalFormatting sqref="W457">
    <cfRule type="cellIs" dxfId="2000" priority="2000" stopIfTrue="1" operator="equal">
      <formula>"Fail"</formula>
    </cfRule>
    <cfRule type="cellIs" dxfId="1999" priority="2001" stopIfTrue="1" operator="equal">
      <formula>"Pass"</formula>
    </cfRule>
  </conditionalFormatting>
  <conditionalFormatting sqref="J457:Q457">
    <cfRule type="cellIs" dxfId="1998" priority="1998" stopIfTrue="1" operator="equal">
      <formula>"Pass"</formula>
    </cfRule>
    <cfRule type="cellIs" dxfId="1997" priority="1999" stopIfTrue="1" operator="equal">
      <formula>"Fail"</formula>
    </cfRule>
  </conditionalFormatting>
  <conditionalFormatting sqref="J457:Q457">
    <cfRule type="cellIs" dxfId="1996" priority="1996" stopIfTrue="1" operator="equal">
      <formula>"Pass"</formula>
    </cfRule>
    <cfRule type="cellIs" dxfId="1995" priority="1997" stopIfTrue="1" operator="equal">
      <formula>"Fail"</formula>
    </cfRule>
  </conditionalFormatting>
  <conditionalFormatting sqref="J457:Q457">
    <cfRule type="cellIs" dxfId="1994" priority="1994" stopIfTrue="1" operator="equal">
      <formula>"Pass"</formula>
    </cfRule>
    <cfRule type="cellIs" dxfId="1993" priority="1995" stopIfTrue="1" operator="equal">
      <formula>"Fail"</formula>
    </cfRule>
  </conditionalFormatting>
  <conditionalFormatting sqref="J457:Q457">
    <cfRule type="cellIs" dxfId="1992" priority="1992" stopIfTrue="1" operator="equal">
      <formula>"Pass"</formula>
    </cfRule>
    <cfRule type="cellIs" dxfId="1991" priority="1993" stopIfTrue="1" operator="equal">
      <formula>"Fail"</formula>
    </cfRule>
  </conditionalFormatting>
  <conditionalFormatting sqref="J457:M457 O457:P457">
    <cfRule type="cellIs" dxfId="1990" priority="1990" stopIfTrue="1" operator="equal">
      <formula>"Pass"</formula>
    </cfRule>
    <cfRule type="cellIs" dxfId="1989" priority="1991" stopIfTrue="1" operator="equal">
      <formula>"Fail"</formula>
    </cfRule>
  </conditionalFormatting>
  <conditionalFormatting sqref="Q457 N457">
    <cfRule type="cellIs" dxfId="1988" priority="1988" stopIfTrue="1" operator="equal">
      <formula>"Pass"</formula>
    </cfRule>
    <cfRule type="cellIs" dxfId="1987" priority="1989" stopIfTrue="1" operator="equal">
      <formula>"Fail"</formula>
    </cfRule>
  </conditionalFormatting>
  <conditionalFormatting sqref="J457:Q457">
    <cfRule type="cellIs" dxfId="1986" priority="1986" stopIfTrue="1" operator="equal">
      <formula>"Pass"</formula>
    </cfRule>
    <cfRule type="cellIs" dxfId="1985" priority="1987" stopIfTrue="1" operator="equal">
      <formula>"Fail"</formula>
    </cfRule>
  </conditionalFormatting>
  <conditionalFormatting sqref="J460:J462 K460:Q461">
    <cfRule type="cellIs" dxfId="1984" priority="1984" stopIfTrue="1" operator="equal">
      <formula>"Pass"</formula>
    </cfRule>
    <cfRule type="cellIs" dxfId="1983" priority="1985" stopIfTrue="1" operator="equal">
      <formula>"Fail"</formula>
    </cfRule>
  </conditionalFormatting>
  <conditionalFormatting sqref="W460">
    <cfRule type="cellIs" dxfId="1982" priority="1982" stopIfTrue="1" operator="equal">
      <formula>"Fail"</formula>
    </cfRule>
    <cfRule type="cellIs" dxfId="1981" priority="1983" stopIfTrue="1" operator="equal">
      <formula>"Pass"</formula>
    </cfRule>
  </conditionalFormatting>
  <conditionalFormatting sqref="J460:Q460">
    <cfRule type="cellIs" dxfId="1980" priority="1980" stopIfTrue="1" operator="equal">
      <formula>"Pass"</formula>
    </cfRule>
    <cfRule type="cellIs" dxfId="1979" priority="1981" stopIfTrue="1" operator="equal">
      <formula>"Fail"</formula>
    </cfRule>
  </conditionalFormatting>
  <conditionalFormatting sqref="J460:Q460">
    <cfRule type="cellIs" dxfId="1978" priority="1978" stopIfTrue="1" operator="equal">
      <formula>"Pass"</formula>
    </cfRule>
    <cfRule type="cellIs" dxfId="1977" priority="1979" stopIfTrue="1" operator="equal">
      <formula>"Fail"</formula>
    </cfRule>
  </conditionalFormatting>
  <conditionalFormatting sqref="J460:Q460">
    <cfRule type="cellIs" dxfId="1976" priority="1976" stopIfTrue="1" operator="equal">
      <formula>"Pass"</formula>
    </cfRule>
    <cfRule type="cellIs" dxfId="1975" priority="1977" stopIfTrue="1" operator="equal">
      <formula>"Fail"</formula>
    </cfRule>
  </conditionalFormatting>
  <conditionalFormatting sqref="J460:Q460">
    <cfRule type="cellIs" dxfId="1974" priority="1974" stopIfTrue="1" operator="equal">
      <formula>"Pass"</formula>
    </cfRule>
    <cfRule type="cellIs" dxfId="1973" priority="1975" stopIfTrue="1" operator="equal">
      <formula>"Fail"</formula>
    </cfRule>
  </conditionalFormatting>
  <conditionalFormatting sqref="J460:M460 O460:P460">
    <cfRule type="cellIs" dxfId="1972" priority="1972" stopIfTrue="1" operator="equal">
      <formula>"Pass"</formula>
    </cfRule>
    <cfRule type="cellIs" dxfId="1971" priority="1973" stopIfTrue="1" operator="equal">
      <formula>"Fail"</formula>
    </cfRule>
  </conditionalFormatting>
  <conditionalFormatting sqref="Q460 N460">
    <cfRule type="cellIs" dxfId="1970" priority="1970" stopIfTrue="1" operator="equal">
      <formula>"Pass"</formula>
    </cfRule>
    <cfRule type="cellIs" dxfId="1969" priority="1971" stopIfTrue="1" operator="equal">
      <formula>"Fail"</formula>
    </cfRule>
  </conditionalFormatting>
  <conditionalFormatting sqref="J460:Q460">
    <cfRule type="cellIs" dxfId="1968" priority="1968" stopIfTrue="1" operator="equal">
      <formula>"Pass"</formula>
    </cfRule>
    <cfRule type="cellIs" dxfId="1967" priority="1969" stopIfTrue="1" operator="equal">
      <formula>"Fail"</formula>
    </cfRule>
  </conditionalFormatting>
  <conditionalFormatting sqref="J463:J465 K463:Q464">
    <cfRule type="cellIs" dxfId="1966" priority="1966" stopIfTrue="1" operator="equal">
      <formula>"Pass"</formula>
    </cfRule>
    <cfRule type="cellIs" dxfId="1965" priority="1967" stopIfTrue="1" operator="equal">
      <formula>"Fail"</formula>
    </cfRule>
  </conditionalFormatting>
  <conditionalFormatting sqref="W463">
    <cfRule type="cellIs" dxfId="1964" priority="1964" stopIfTrue="1" operator="equal">
      <formula>"Fail"</formula>
    </cfRule>
    <cfRule type="cellIs" dxfId="1963" priority="1965" stopIfTrue="1" operator="equal">
      <formula>"Pass"</formula>
    </cfRule>
  </conditionalFormatting>
  <conditionalFormatting sqref="J463:Q463">
    <cfRule type="cellIs" dxfId="1962" priority="1962" stopIfTrue="1" operator="equal">
      <formula>"Pass"</formula>
    </cfRule>
    <cfRule type="cellIs" dxfId="1961" priority="1963" stopIfTrue="1" operator="equal">
      <formula>"Fail"</formula>
    </cfRule>
  </conditionalFormatting>
  <conditionalFormatting sqref="J463:Q463">
    <cfRule type="cellIs" dxfId="1960" priority="1960" stopIfTrue="1" operator="equal">
      <formula>"Pass"</formula>
    </cfRule>
    <cfRule type="cellIs" dxfId="1959" priority="1961" stopIfTrue="1" operator="equal">
      <formula>"Fail"</formula>
    </cfRule>
  </conditionalFormatting>
  <conditionalFormatting sqref="J463:Q463">
    <cfRule type="cellIs" dxfId="1958" priority="1958" stopIfTrue="1" operator="equal">
      <formula>"Pass"</formula>
    </cfRule>
    <cfRule type="cellIs" dxfId="1957" priority="1959" stopIfTrue="1" operator="equal">
      <formula>"Fail"</formula>
    </cfRule>
  </conditionalFormatting>
  <conditionalFormatting sqref="J463:Q463">
    <cfRule type="cellIs" dxfId="1956" priority="1956" stopIfTrue="1" operator="equal">
      <formula>"Pass"</formula>
    </cfRule>
    <cfRule type="cellIs" dxfId="1955" priority="1957" stopIfTrue="1" operator="equal">
      <formula>"Fail"</formula>
    </cfRule>
  </conditionalFormatting>
  <conditionalFormatting sqref="J463:M463 O463:P463">
    <cfRule type="cellIs" dxfId="1954" priority="1954" stopIfTrue="1" operator="equal">
      <formula>"Pass"</formula>
    </cfRule>
    <cfRule type="cellIs" dxfId="1953" priority="1955" stopIfTrue="1" operator="equal">
      <formula>"Fail"</formula>
    </cfRule>
  </conditionalFormatting>
  <conditionalFormatting sqref="Q463 N463">
    <cfRule type="cellIs" dxfId="1952" priority="1952" stopIfTrue="1" operator="equal">
      <formula>"Pass"</formula>
    </cfRule>
    <cfRule type="cellIs" dxfId="1951" priority="1953" stopIfTrue="1" operator="equal">
      <formula>"Fail"</formula>
    </cfRule>
  </conditionalFormatting>
  <conditionalFormatting sqref="J463:Q463">
    <cfRule type="cellIs" dxfId="1950" priority="1950" stopIfTrue="1" operator="equal">
      <formula>"Pass"</formula>
    </cfRule>
    <cfRule type="cellIs" dxfId="1949" priority="1951" stopIfTrue="1" operator="equal">
      <formula>"Fail"</formula>
    </cfRule>
  </conditionalFormatting>
  <conditionalFormatting sqref="J466:J468 K466:Q467">
    <cfRule type="cellIs" dxfId="1948" priority="1948" stopIfTrue="1" operator="equal">
      <formula>"Pass"</formula>
    </cfRule>
    <cfRule type="cellIs" dxfId="1947" priority="1949" stopIfTrue="1" operator="equal">
      <formula>"Fail"</formula>
    </cfRule>
  </conditionalFormatting>
  <conditionalFormatting sqref="W466">
    <cfRule type="cellIs" dxfId="1946" priority="1946" stopIfTrue="1" operator="equal">
      <formula>"Fail"</formula>
    </cfRule>
    <cfRule type="cellIs" dxfId="1945" priority="1947" stopIfTrue="1" operator="equal">
      <formula>"Pass"</formula>
    </cfRule>
  </conditionalFormatting>
  <conditionalFormatting sqref="J466:Q466">
    <cfRule type="cellIs" dxfId="1944" priority="1944" stopIfTrue="1" operator="equal">
      <formula>"Pass"</formula>
    </cfRule>
    <cfRule type="cellIs" dxfId="1943" priority="1945" stopIfTrue="1" operator="equal">
      <formula>"Fail"</formula>
    </cfRule>
  </conditionalFormatting>
  <conditionalFormatting sqref="J466:Q466">
    <cfRule type="cellIs" dxfId="1942" priority="1942" stopIfTrue="1" operator="equal">
      <formula>"Pass"</formula>
    </cfRule>
    <cfRule type="cellIs" dxfId="1941" priority="1943" stopIfTrue="1" operator="equal">
      <formula>"Fail"</formula>
    </cfRule>
  </conditionalFormatting>
  <conditionalFormatting sqref="J466:Q466">
    <cfRule type="cellIs" dxfId="1940" priority="1940" stopIfTrue="1" operator="equal">
      <formula>"Pass"</formula>
    </cfRule>
    <cfRule type="cellIs" dxfId="1939" priority="1941" stopIfTrue="1" operator="equal">
      <formula>"Fail"</formula>
    </cfRule>
  </conditionalFormatting>
  <conditionalFormatting sqref="J466:Q466">
    <cfRule type="cellIs" dxfId="1938" priority="1938" stopIfTrue="1" operator="equal">
      <formula>"Pass"</formula>
    </cfRule>
    <cfRule type="cellIs" dxfId="1937" priority="1939" stopIfTrue="1" operator="equal">
      <formula>"Fail"</formula>
    </cfRule>
  </conditionalFormatting>
  <conditionalFormatting sqref="J466:M466 O466:P466">
    <cfRule type="cellIs" dxfId="1936" priority="1936" stopIfTrue="1" operator="equal">
      <formula>"Pass"</formula>
    </cfRule>
    <cfRule type="cellIs" dxfId="1935" priority="1937" stopIfTrue="1" operator="equal">
      <formula>"Fail"</formula>
    </cfRule>
  </conditionalFormatting>
  <conditionalFormatting sqref="Q466 N466">
    <cfRule type="cellIs" dxfId="1934" priority="1934" stopIfTrue="1" operator="equal">
      <formula>"Pass"</formula>
    </cfRule>
    <cfRule type="cellIs" dxfId="1933" priority="1935" stopIfTrue="1" operator="equal">
      <formula>"Fail"</formula>
    </cfRule>
  </conditionalFormatting>
  <conditionalFormatting sqref="J466:Q466">
    <cfRule type="cellIs" dxfId="1932" priority="1932" stopIfTrue="1" operator="equal">
      <formula>"Pass"</formula>
    </cfRule>
    <cfRule type="cellIs" dxfId="1931" priority="1933" stopIfTrue="1" operator="equal">
      <formula>"Fail"</formula>
    </cfRule>
  </conditionalFormatting>
  <conditionalFormatting sqref="J469:J471 K469:Q470">
    <cfRule type="cellIs" dxfId="1930" priority="1930" stopIfTrue="1" operator="equal">
      <formula>"Pass"</formula>
    </cfRule>
    <cfRule type="cellIs" dxfId="1929" priority="1931" stopIfTrue="1" operator="equal">
      <formula>"Fail"</formula>
    </cfRule>
  </conditionalFormatting>
  <conditionalFormatting sqref="W469">
    <cfRule type="cellIs" dxfId="1928" priority="1928" stopIfTrue="1" operator="equal">
      <formula>"Fail"</formula>
    </cfRule>
    <cfRule type="cellIs" dxfId="1927" priority="1929" stopIfTrue="1" operator="equal">
      <formula>"Pass"</formula>
    </cfRule>
  </conditionalFormatting>
  <conditionalFormatting sqref="J469:Q469">
    <cfRule type="cellIs" dxfId="1926" priority="1926" stopIfTrue="1" operator="equal">
      <formula>"Pass"</formula>
    </cfRule>
    <cfRule type="cellIs" dxfId="1925" priority="1927" stopIfTrue="1" operator="equal">
      <formula>"Fail"</formula>
    </cfRule>
  </conditionalFormatting>
  <conditionalFormatting sqref="J469:Q469">
    <cfRule type="cellIs" dxfId="1924" priority="1924" stopIfTrue="1" operator="equal">
      <formula>"Pass"</formula>
    </cfRule>
    <cfRule type="cellIs" dxfId="1923" priority="1925" stopIfTrue="1" operator="equal">
      <formula>"Fail"</formula>
    </cfRule>
  </conditionalFormatting>
  <conditionalFormatting sqref="J469:Q469">
    <cfRule type="cellIs" dxfId="1922" priority="1922" stopIfTrue="1" operator="equal">
      <formula>"Pass"</formula>
    </cfRule>
    <cfRule type="cellIs" dxfId="1921" priority="1923" stopIfTrue="1" operator="equal">
      <formula>"Fail"</formula>
    </cfRule>
  </conditionalFormatting>
  <conditionalFormatting sqref="J469:Q469">
    <cfRule type="cellIs" dxfId="1920" priority="1920" stopIfTrue="1" operator="equal">
      <formula>"Pass"</formula>
    </cfRule>
    <cfRule type="cellIs" dxfId="1919" priority="1921" stopIfTrue="1" operator="equal">
      <formula>"Fail"</formula>
    </cfRule>
  </conditionalFormatting>
  <conditionalFormatting sqref="J469:M469 O469:P469">
    <cfRule type="cellIs" dxfId="1918" priority="1918" stopIfTrue="1" operator="equal">
      <formula>"Pass"</formula>
    </cfRule>
    <cfRule type="cellIs" dxfId="1917" priority="1919" stopIfTrue="1" operator="equal">
      <formula>"Fail"</formula>
    </cfRule>
  </conditionalFormatting>
  <conditionalFormatting sqref="Q469 N469">
    <cfRule type="cellIs" dxfId="1916" priority="1916" stopIfTrue="1" operator="equal">
      <formula>"Pass"</formula>
    </cfRule>
    <cfRule type="cellIs" dxfId="1915" priority="1917" stopIfTrue="1" operator="equal">
      <formula>"Fail"</formula>
    </cfRule>
  </conditionalFormatting>
  <conditionalFormatting sqref="J469:Q469">
    <cfRule type="cellIs" dxfId="1914" priority="1914" stopIfTrue="1" operator="equal">
      <formula>"Pass"</formula>
    </cfRule>
    <cfRule type="cellIs" dxfId="1913" priority="1915" stopIfTrue="1" operator="equal">
      <formula>"Fail"</formula>
    </cfRule>
  </conditionalFormatting>
  <conditionalFormatting sqref="J472:J474 K472:Q473">
    <cfRule type="cellIs" dxfId="1912" priority="1912" stopIfTrue="1" operator="equal">
      <formula>"Pass"</formula>
    </cfRule>
    <cfRule type="cellIs" dxfId="1911" priority="1913" stopIfTrue="1" operator="equal">
      <formula>"Fail"</formula>
    </cfRule>
  </conditionalFormatting>
  <conditionalFormatting sqref="W472">
    <cfRule type="cellIs" dxfId="1910" priority="1910" stopIfTrue="1" operator="equal">
      <formula>"Fail"</formula>
    </cfRule>
    <cfRule type="cellIs" dxfId="1909" priority="1911" stopIfTrue="1" operator="equal">
      <formula>"Pass"</formula>
    </cfRule>
  </conditionalFormatting>
  <conditionalFormatting sqref="J472:Q472">
    <cfRule type="cellIs" dxfId="1908" priority="1908" stopIfTrue="1" operator="equal">
      <formula>"Pass"</formula>
    </cfRule>
    <cfRule type="cellIs" dxfId="1907" priority="1909" stopIfTrue="1" operator="equal">
      <formula>"Fail"</formula>
    </cfRule>
  </conditionalFormatting>
  <conditionalFormatting sqref="J472:Q472">
    <cfRule type="cellIs" dxfId="1906" priority="1906" stopIfTrue="1" operator="equal">
      <formula>"Pass"</formula>
    </cfRule>
    <cfRule type="cellIs" dxfId="1905" priority="1907" stopIfTrue="1" operator="equal">
      <formula>"Fail"</formula>
    </cfRule>
  </conditionalFormatting>
  <conditionalFormatting sqref="J472:Q472">
    <cfRule type="cellIs" dxfId="1904" priority="1904" stopIfTrue="1" operator="equal">
      <formula>"Pass"</formula>
    </cfRule>
    <cfRule type="cellIs" dxfId="1903" priority="1905" stopIfTrue="1" operator="equal">
      <formula>"Fail"</formula>
    </cfRule>
  </conditionalFormatting>
  <conditionalFormatting sqref="J472:Q472">
    <cfRule type="cellIs" dxfId="1902" priority="1902" stopIfTrue="1" operator="equal">
      <formula>"Pass"</formula>
    </cfRule>
    <cfRule type="cellIs" dxfId="1901" priority="1903" stopIfTrue="1" operator="equal">
      <formula>"Fail"</formula>
    </cfRule>
  </conditionalFormatting>
  <conditionalFormatting sqref="J472:M472 O472:P472">
    <cfRule type="cellIs" dxfId="1900" priority="1900" stopIfTrue="1" operator="equal">
      <formula>"Pass"</formula>
    </cfRule>
    <cfRule type="cellIs" dxfId="1899" priority="1901" stopIfTrue="1" operator="equal">
      <formula>"Fail"</formula>
    </cfRule>
  </conditionalFormatting>
  <conditionalFormatting sqref="Q472 N472">
    <cfRule type="cellIs" dxfId="1898" priority="1898" stopIfTrue="1" operator="equal">
      <formula>"Pass"</formula>
    </cfRule>
    <cfRule type="cellIs" dxfId="1897" priority="1899" stopIfTrue="1" operator="equal">
      <formula>"Fail"</formula>
    </cfRule>
  </conditionalFormatting>
  <conditionalFormatting sqref="J472:Q472">
    <cfRule type="cellIs" dxfId="1896" priority="1896" stopIfTrue="1" operator="equal">
      <formula>"Pass"</formula>
    </cfRule>
    <cfRule type="cellIs" dxfId="1895" priority="1897" stopIfTrue="1" operator="equal">
      <formula>"Fail"</formula>
    </cfRule>
  </conditionalFormatting>
  <conditionalFormatting sqref="J475:J477 K475:Q476">
    <cfRule type="cellIs" dxfId="1894" priority="1894" stopIfTrue="1" operator="equal">
      <formula>"Pass"</formula>
    </cfRule>
    <cfRule type="cellIs" dxfId="1893" priority="1895" stopIfTrue="1" operator="equal">
      <formula>"Fail"</formula>
    </cfRule>
  </conditionalFormatting>
  <conditionalFormatting sqref="W475">
    <cfRule type="cellIs" dxfId="1892" priority="1892" stopIfTrue="1" operator="equal">
      <formula>"Fail"</formula>
    </cfRule>
    <cfRule type="cellIs" dxfId="1891" priority="1893" stopIfTrue="1" operator="equal">
      <formula>"Pass"</formula>
    </cfRule>
  </conditionalFormatting>
  <conditionalFormatting sqref="J475:Q475">
    <cfRule type="cellIs" dxfId="1890" priority="1890" stopIfTrue="1" operator="equal">
      <formula>"Pass"</formula>
    </cfRule>
    <cfRule type="cellIs" dxfId="1889" priority="1891" stopIfTrue="1" operator="equal">
      <formula>"Fail"</formula>
    </cfRule>
  </conditionalFormatting>
  <conditionalFormatting sqref="J475:Q475">
    <cfRule type="cellIs" dxfId="1888" priority="1888" stopIfTrue="1" operator="equal">
      <formula>"Pass"</formula>
    </cfRule>
    <cfRule type="cellIs" dxfId="1887" priority="1889" stopIfTrue="1" operator="equal">
      <formula>"Fail"</formula>
    </cfRule>
  </conditionalFormatting>
  <conditionalFormatting sqref="J475:Q475">
    <cfRule type="cellIs" dxfId="1886" priority="1886" stopIfTrue="1" operator="equal">
      <formula>"Pass"</formula>
    </cfRule>
    <cfRule type="cellIs" dxfId="1885" priority="1887" stopIfTrue="1" operator="equal">
      <formula>"Fail"</formula>
    </cfRule>
  </conditionalFormatting>
  <conditionalFormatting sqref="J475:Q475">
    <cfRule type="cellIs" dxfId="1884" priority="1884" stopIfTrue="1" operator="equal">
      <formula>"Pass"</formula>
    </cfRule>
    <cfRule type="cellIs" dxfId="1883" priority="1885" stopIfTrue="1" operator="equal">
      <formula>"Fail"</formula>
    </cfRule>
  </conditionalFormatting>
  <conditionalFormatting sqref="J475:M475 O475:P475">
    <cfRule type="cellIs" dxfId="1882" priority="1882" stopIfTrue="1" operator="equal">
      <formula>"Pass"</formula>
    </cfRule>
    <cfRule type="cellIs" dxfId="1881" priority="1883" stopIfTrue="1" operator="equal">
      <formula>"Fail"</formula>
    </cfRule>
  </conditionalFormatting>
  <conditionalFormatting sqref="Q475 N475">
    <cfRule type="cellIs" dxfId="1880" priority="1880" stopIfTrue="1" operator="equal">
      <formula>"Pass"</formula>
    </cfRule>
    <cfRule type="cellIs" dxfId="1879" priority="1881" stopIfTrue="1" operator="equal">
      <formula>"Fail"</formula>
    </cfRule>
  </conditionalFormatting>
  <conditionalFormatting sqref="J475:Q475">
    <cfRule type="cellIs" dxfId="1878" priority="1878" stopIfTrue="1" operator="equal">
      <formula>"Pass"</formula>
    </cfRule>
    <cfRule type="cellIs" dxfId="1877" priority="1879" stopIfTrue="1" operator="equal">
      <formula>"Fail"</formula>
    </cfRule>
  </conditionalFormatting>
  <conditionalFormatting sqref="J478:J480 K478:Q479">
    <cfRule type="cellIs" dxfId="1876" priority="1876" stopIfTrue="1" operator="equal">
      <formula>"Pass"</formula>
    </cfRule>
    <cfRule type="cellIs" dxfId="1875" priority="1877" stopIfTrue="1" operator="equal">
      <formula>"Fail"</formula>
    </cfRule>
  </conditionalFormatting>
  <conditionalFormatting sqref="W478">
    <cfRule type="cellIs" dxfId="1874" priority="1874" stopIfTrue="1" operator="equal">
      <formula>"Fail"</formula>
    </cfRule>
    <cfRule type="cellIs" dxfId="1873" priority="1875" stopIfTrue="1" operator="equal">
      <formula>"Pass"</formula>
    </cfRule>
  </conditionalFormatting>
  <conditionalFormatting sqref="J478:Q478">
    <cfRule type="cellIs" dxfId="1872" priority="1872" stopIfTrue="1" operator="equal">
      <formula>"Pass"</formula>
    </cfRule>
    <cfRule type="cellIs" dxfId="1871" priority="1873" stopIfTrue="1" operator="equal">
      <formula>"Fail"</formula>
    </cfRule>
  </conditionalFormatting>
  <conditionalFormatting sqref="J478:Q478">
    <cfRule type="cellIs" dxfId="1870" priority="1870" stopIfTrue="1" operator="equal">
      <formula>"Pass"</formula>
    </cfRule>
    <cfRule type="cellIs" dxfId="1869" priority="1871" stopIfTrue="1" operator="equal">
      <formula>"Fail"</formula>
    </cfRule>
  </conditionalFormatting>
  <conditionalFormatting sqref="J478:Q478">
    <cfRule type="cellIs" dxfId="1868" priority="1868" stopIfTrue="1" operator="equal">
      <formula>"Pass"</formula>
    </cfRule>
    <cfRule type="cellIs" dxfId="1867" priority="1869" stopIfTrue="1" operator="equal">
      <formula>"Fail"</formula>
    </cfRule>
  </conditionalFormatting>
  <conditionalFormatting sqref="J478:Q478">
    <cfRule type="cellIs" dxfId="1866" priority="1866" stopIfTrue="1" operator="equal">
      <formula>"Pass"</formula>
    </cfRule>
    <cfRule type="cellIs" dxfId="1865" priority="1867" stopIfTrue="1" operator="equal">
      <formula>"Fail"</formula>
    </cfRule>
  </conditionalFormatting>
  <conditionalFormatting sqref="J478:M478 O478:P478">
    <cfRule type="cellIs" dxfId="1864" priority="1864" stopIfTrue="1" operator="equal">
      <formula>"Pass"</formula>
    </cfRule>
    <cfRule type="cellIs" dxfId="1863" priority="1865" stopIfTrue="1" operator="equal">
      <formula>"Fail"</formula>
    </cfRule>
  </conditionalFormatting>
  <conditionalFormatting sqref="Q478 N478">
    <cfRule type="cellIs" dxfId="1862" priority="1862" stopIfTrue="1" operator="equal">
      <formula>"Pass"</formula>
    </cfRule>
    <cfRule type="cellIs" dxfId="1861" priority="1863" stopIfTrue="1" operator="equal">
      <formula>"Fail"</formula>
    </cfRule>
  </conditionalFormatting>
  <conditionalFormatting sqref="J478:Q478">
    <cfRule type="cellIs" dxfId="1860" priority="1860" stopIfTrue="1" operator="equal">
      <formula>"Pass"</formula>
    </cfRule>
    <cfRule type="cellIs" dxfId="1859" priority="1861" stopIfTrue="1" operator="equal">
      <formula>"Fail"</formula>
    </cfRule>
  </conditionalFormatting>
  <conditionalFormatting sqref="J481:J483 K481:Q482">
    <cfRule type="cellIs" dxfId="1858" priority="1858" stopIfTrue="1" operator="equal">
      <formula>"Pass"</formula>
    </cfRule>
    <cfRule type="cellIs" dxfId="1857" priority="1859" stopIfTrue="1" operator="equal">
      <formula>"Fail"</formula>
    </cfRule>
  </conditionalFormatting>
  <conditionalFormatting sqref="W481">
    <cfRule type="cellIs" dxfId="1856" priority="1856" stopIfTrue="1" operator="equal">
      <formula>"Fail"</formula>
    </cfRule>
    <cfRule type="cellIs" dxfId="1855" priority="1857" stopIfTrue="1" operator="equal">
      <formula>"Pass"</formula>
    </cfRule>
  </conditionalFormatting>
  <conditionalFormatting sqref="J481:Q481">
    <cfRule type="cellIs" dxfId="1854" priority="1854" stopIfTrue="1" operator="equal">
      <formula>"Pass"</formula>
    </cfRule>
    <cfRule type="cellIs" dxfId="1853" priority="1855" stopIfTrue="1" operator="equal">
      <formula>"Fail"</formula>
    </cfRule>
  </conditionalFormatting>
  <conditionalFormatting sqref="J481:Q481">
    <cfRule type="cellIs" dxfId="1852" priority="1852" stopIfTrue="1" operator="equal">
      <formula>"Pass"</formula>
    </cfRule>
    <cfRule type="cellIs" dxfId="1851" priority="1853" stopIfTrue="1" operator="equal">
      <formula>"Fail"</formula>
    </cfRule>
  </conditionalFormatting>
  <conditionalFormatting sqref="J481:Q481">
    <cfRule type="cellIs" dxfId="1850" priority="1850" stopIfTrue="1" operator="equal">
      <formula>"Pass"</formula>
    </cfRule>
    <cfRule type="cellIs" dxfId="1849" priority="1851" stopIfTrue="1" operator="equal">
      <formula>"Fail"</formula>
    </cfRule>
  </conditionalFormatting>
  <conditionalFormatting sqref="J481:Q481">
    <cfRule type="cellIs" dxfId="1848" priority="1848" stopIfTrue="1" operator="equal">
      <formula>"Pass"</formula>
    </cfRule>
    <cfRule type="cellIs" dxfId="1847" priority="1849" stopIfTrue="1" operator="equal">
      <formula>"Fail"</formula>
    </cfRule>
  </conditionalFormatting>
  <conditionalFormatting sqref="J481:M481 O481:P481">
    <cfRule type="cellIs" dxfId="1846" priority="1846" stopIfTrue="1" operator="equal">
      <formula>"Pass"</formula>
    </cfRule>
    <cfRule type="cellIs" dxfId="1845" priority="1847" stopIfTrue="1" operator="equal">
      <formula>"Fail"</formula>
    </cfRule>
  </conditionalFormatting>
  <conditionalFormatting sqref="Q481 N481">
    <cfRule type="cellIs" dxfId="1844" priority="1844" stopIfTrue="1" operator="equal">
      <formula>"Pass"</formula>
    </cfRule>
    <cfRule type="cellIs" dxfId="1843" priority="1845" stopIfTrue="1" operator="equal">
      <formula>"Fail"</formula>
    </cfRule>
  </conditionalFormatting>
  <conditionalFormatting sqref="J481:Q481">
    <cfRule type="cellIs" dxfId="1842" priority="1842" stopIfTrue="1" operator="equal">
      <formula>"Pass"</formula>
    </cfRule>
    <cfRule type="cellIs" dxfId="1841" priority="1843" stopIfTrue="1" operator="equal">
      <formula>"Fail"</formula>
    </cfRule>
  </conditionalFormatting>
  <conditionalFormatting sqref="J484:J486 K484:Q485">
    <cfRule type="cellIs" dxfId="1840" priority="1840" stopIfTrue="1" operator="equal">
      <formula>"Pass"</formula>
    </cfRule>
    <cfRule type="cellIs" dxfId="1839" priority="1841" stopIfTrue="1" operator="equal">
      <formula>"Fail"</formula>
    </cfRule>
  </conditionalFormatting>
  <conditionalFormatting sqref="W484">
    <cfRule type="cellIs" dxfId="1838" priority="1838" stopIfTrue="1" operator="equal">
      <formula>"Fail"</formula>
    </cfRule>
    <cfRule type="cellIs" dxfId="1837" priority="1839" stopIfTrue="1" operator="equal">
      <formula>"Pass"</formula>
    </cfRule>
  </conditionalFormatting>
  <conditionalFormatting sqref="J484:Q484">
    <cfRule type="cellIs" dxfId="1836" priority="1836" stopIfTrue="1" operator="equal">
      <formula>"Pass"</formula>
    </cfRule>
    <cfRule type="cellIs" dxfId="1835" priority="1837" stopIfTrue="1" operator="equal">
      <formula>"Fail"</formula>
    </cfRule>
  </conditionalFormatting>
  <conditionalFormatting sqref="J484:Q484">
    <cfRule type="cellIs" dxfId="1834" priority="1834" stopIfTrue="1" operator="equal">
      <formula>"Pass"</formula>
    </cfRule>
    <cfRule type="cellIs" dxfId="1833" priority="1835" stopIfTrue="1" operator="equal">
      <formula>"Fail"</formula>
    </cfRule>
  </conditionalFormatting>
  <conditionalFormatting sqref="J484:Q484">
    <cfRule type="cellIs" dxfId="1832" priority="1832" stopIfTrue="1" operator="equal">
      <formula>"Pass"</formula>
    </cfRule>
    <cfRule type="cellIs" dxfId="1831" priority="1833" stopIfTrue="1" operator="equal">
      <formula>"Fail"</formula>
    </cfRule>
  </conditionalFormatting>
  <conditionalFormatting sqref="J484:Q484">
    <cfRule type="cellIs" dxfId="1830" priority="1830" stopIfTrue="1" operator="equal">
      <formula>"Pass"</formula>
    </cfRule>
    <cfRule type="cellIs" dxfId="1829" priority="1831" stopIfTrue="1" operator="equal">
      <formula>"Fail"</formula>
    </cfRule>
  </conditionalFormatting>
  <conditionalFormatting sqref="J484:M484 O484:P484">
    <cfRule type="cellIs" dxfId="1828" priority="1828" stopIfTrue="1" operator="equal">
      <formula>"Pass"</formula>
    </cfRule>
    <cfRule type="cellIs" dxfId="1827" priority="1829" stopIfTrue="1" operator="equal">
      <formula>"Fail"</formula>
    </cfRule>
  </conditionalFormatting>
  <conditionalFormatting sqref="Q484 N484">
    <cfRule type="cellIs" dxfId="1826" priority="1826" stopIfTrue="1" operator="equal">
      <formula>"Pass"</formula>
    </cfRule>
    <cfRule type="cellIs" dxfId="1825" priority="1827" stopIfTrue="1" operator="equal">
      <formula>"Fail"</formula>
    </cfRule>
  </conditionalFormatting>
  <conditionalFormatting sqref="J484:Q484">
    <cfRule type="cellIs" dxfId="1824" priority="1824" stopIfTrue="1" operator="equal">
      <formula>"Pass"</formula>
    </cfRule>
    <cfRule type="cellIs" dxfId="1823" priority="1825" stopIfTrue="1" operator="equal">
      <formula>"Fail"</formula>
    </cfRule>
  </conditionalFormatting>
  <conditionalFormatting sqref="J487:J489 K487:Q488">
    <cfRule type="cellIs" dxfId="1822" priority="1822" stopIfTrue="1" operator="equal">
      <formula>"Pass"</formula>
    </cfRule>
    <cfRule type="cellIs" dxfId="1821" priority="1823" stopIfTrue="1" operator="equal">
      <formula>"Fail"</formula>
    </cfRule>
  </conditionalFormatting>
  <conditionalFormatting sqref="W487">
    <cfRule type="cellIs" dxfId="1820" priority="1820" stopIfTrue="1" operator="equal">
      <formula>"Fail"</formula>
    </cfRule>
    <cfRule type="cellIs" dxfId="1819" priority="1821" stopIfTrue="1" operator="equal">
      <formula>"Pass"</formula>
    </cfRule>
  </conditionalFormatting>
  <conditionalFormatting sqref="J487:Q487">
    <cfRule type="cellIs" dxfId="1818" priority="1818" stopIfTrue="1" operator="equal">
      <formula>"Pass"</formula>
    </cfRule>
    <cfRule type="cellIs" dxfId="1817" priority="1819" stopIfTrue="1" operator="equal">
      <formula>"Fail"</formula>
    </cfRule>
  </conditionalFormatting>
  <conditionalFormatting sqref="J487:Q487">
    <cfRule type="cellIs" dxfId="1816" priority="1816" stopIfTrue="1" operator="equal">
      <formula>"Pass"</formula>
    </cfRule>
    <cfRule type="cellIs" dxfId="1815" priority="1817" stopIfTrue="1" operator="equal">
      <formula>"Fail"</formula>
    </cfRule>
  </conditionalFormatting>
  <conditionalFormatting sqref="J487:Q487">
    <cfRule type="cellIs" dxfId="1814" priority="1814" stopIfTrue="1" operator="equal">
      <formula>"Pass"</formula>
    </cfRule>
    <cfRule type="cellIs" dxfId="1813" priority="1815" stopIfTrue="1" operator="equal">
      <formula>"Fail"</formula>
    </cfRule>
  </conditionalFormatting>
  <conditionalFormatting sqref="J487:Q487">
    <cfRule type="cellIs" dxfId="1812" priority="1812" stopIfTrue="1" operator="equal">
      <formula>"Pass"</formula>
    </cfRule>
    <cfRule type="cellIs" dxfId="1811" priority="1813" stopIfTrue="1" operator="equal">
      <formula>"Fail"</formula>
    </cfRule>
  </conditionalFormatting>
  <conditionalFormatting sqref="J487:M487 O487:P487">
    <cfRule type="cellIs" dxfId="1810" priority="1810" stopIfTrue="1" operator="equal">
      <formula>"Pass"</formula>
    </cfRule>
    <cfRule type="cellIs" dxfId="1809" priority="1811" stopIfTrue="1" operator="equal">
      <formula>"Fail"</formula>
    </cfRule>
  </conditionalFormatting>
  <conditionalFormatting sqref="Q487 N487">
    <cfRule type="cellIs" dxfId="1808" priority="1808" stopIfTrue="1" operator="equal">
      <formula>"Pass"</formula>
    </cfRule>
    <cfRule type="cellIs" dxfId="1807" priority="1809" stopIfTrue="1" operator="equal">
      <formula>"Fail"</formula>
    </cfRule>
  </conditionalFormatting>
  <conditionalFormatting sqref="J487:Q487">
    <cfRule type="cellIs" dxfId="1806" priority="1806" stopIfTrue="1" operator="equal">
      <formula>"Pass"</formula>
    </cfRule>
    <cfRule type="cellIs" dxfId="1805" priority="1807" stopIfTrue="1" operator="equal">
      <formula>"Fail"</formula>
    </cfRule>
  </conditionalFormatting>
  <conditionalFormatting sqref="J490:J492 K490:Q491">
    <cfRule type="cellIs" dxfId="1804" priority="1804" stopIfTrue="1" operator="equal">
      <formula>"Pass"</formula>
    </cfRule>
    <cfRule type="cellIs" dxfId="1803" priority="1805" stopIfTrue="1" operator="equal">
      <formula>"Fail"</formula>
    </cfRule>
  </conditionalFormatting>
  <conditionalFormatting sqref="W490">
    <cfRule type="cellIs" dxfId="1802" priority="1802" stopIfTrue="1" operator="equal">
      <formula>"Fail"</formula>
    </cfRule>
    <cfRule type="cellIs" dxfId="1801" priority="1803" stopIfTrue="1" operator="equal">
      <formula>"Pass"</formula>
    </cfRule>
  </conditionalFormatting>
  <conditionalFormatting sqref="J490:Q490">
    <cfRule type="cellIs" dxfId="1800" priority="1800" stopIfTrue="1" operator="equal">
      <formula>"Pass"</formula>
    </cfRule>
    <cfRule type="cellIs" dxfId="1799" priority="1801" stopIfTrue="1" operator="equal">
      <formula>"Fail"</formula>
    </cfRule>
  </conditionalFormatting>
  <conditionalFormatting sqref="J490:Q490">
    <cfRule type="cellIs" dxfId="1798" priority="1798" stopIfTrue="1" operator="equal">
      <formula>"Pass"</formula>
    </cfRule>
    <cfRule type="cellIs" dxfId="1797" priority="1799" stopIfTrue="1" operator="equal">
      <formula>"Fail"</formula>
    </cfRule>
  </conditionalFormatting>
  <conditionalFormatting sqref="J490:Q490">
    <cfRule type="cellIs" dxfId="1796" priority="1796" stopIfTrue="1" operator="equal">
      <formula>"Pass"</formula>
    </cfRule>
    <cfRule type="cellIs" dxfId="1795" priority="1797" stopIfTrue="1" operator="equal">
      <formula>"Fail"</formula>
    </cfRule>
  </conditionalFormatting>
  <conditionalFormatting sqref="J490:Q490">
    <cfRule type="cellIs" dxfId="1794" priority="1794" stopIfTrue="1" operator="equal">
      <formula>"Pass"</formula>
    </cfRule>
    <cfRule type="cellIs" dxfId="1793" priority="1795" stopIfTrue="1" operator="equal">
      <formula>"Fail"</formula>
    </cfRule>
  </conditionalFormatting>
  <conditionalFormatting sqref="J490:M490 O490:P490">
    <cfRule type="cellIs" dxfId="1792" priority="1792" stopIfTrue="1" operator="equal">
      <formula>"Pass"</formula>
    </cfRule>
    <cfRule type="cellIs" dxfId="1791" priority="1793" stopIfTrue="1" operator="equal">
      <formula>"Fail"</formula>
    </cfRule>
  </conditionalFormatting>
  <conditionalFormatting sqref="Q490 N490">
    <cfRule type="cellIs" dxfId="1790" priority="1790" stopIfTrue="1" operator="equal">
      <formula>"Pass"</formula>
    </cfRule>
    <cfRule type="cellIs" dxfId="1789" priority="1791" stopIfTrue="1" operator="equal">
      <formula>"Fail"</formula>
    </cfRule>
  </conditionalFormatting>
  <conditionalFormatting sqref="J490:Q490">
    <cfRule type="cellIs" dxfId="1788" priority="1788" stopIfTrue="1" operator="equal">
      <formula>"Pass"</formula>
    </cfRule>
    <cfRule type="cellIs" dxfId="1787" priority="1789" stopIfTrue="1" operator="equal">
      <formula>"Fail"</formula>
    </cfRule>
  </conditionalFormatting>
  <conditionalFormatting sqref="J493:J495 K493:Q494">
    <cfRule type="cellIs" dxfId="1786" priority="1786" stopIfTrue="1" operator="equal">
      <formula>"Pass"</formula>
    </cfRule>
    <cfRule type="cellIs" dxfId="1785" priority="1787" stopIfTrue="1" operator="equal">
      <formula>"Fail"</formula>
    </cfRule>
  </conditionalFormatting>
  <conditionalFormatting sqref="W493">
    <cfRule type="cellIs" dxfId="1784" priority="1784" stopIfTrue="1" operator="equal">
      <formula>"Fail"</formula>
    </cfRule>
    <cfRule type="cellIs" dxfId="1783" priority="1785" stopIfTrue="1" operator="equal">
      <formula>"Pass"</formula>
    </cfRule>
  </conditionalFormatting>
  <conditionalFormatting sqref="J493:Q493">
    <cfRule type="cellIs" dxfId="1782" priority="1782" stopIfTrue="1" operator="equal">
      <formula>"Pass"</formula>
    </cfRule>
    <cfRule type="cellIs" dxfId="1781" priority="1783" stopIfTrue="1" operator="equal">
      <formula>"Fail"</formula>
    </cfRule>
  </conditionalFormatting>
  <conditionalFormatting sqref="J493:Q493">
    <cfRule type="cellIs" dxfId="1780" priority="1780" stopIfTrue="1" operator="equal">
      <formula>"Pass"</formula>
    </cfRule>
    <cfRule type="cellIs" dxfId="1779" priority="1781" stopIfTrue="1" operator="equal">
      <formula>"Fail"</formula>
    </cfRule>
  </conditionalFormatting>
  <conditionalFormatting sqref="J493:Q493">
    <cfRule type="cellIs" dxfId="1778" priority="1778" stopIfTrue="1" operator="equal">
      <formula>"Pass"</formula>
    </cfRule>
    <cfRule type="cellIs" dxfId="1777" priority="1779" stopIfTrue="1" operator="equal">
      <formula>"Fail"</formula>
    </cfRule>
  </conditionalFormatting>
  <conditionalFormatting sqref="J493:Q493">
    <cfRule type="cellIs" dxfId="1776" priority="1776" stopIfTrue="1" operator="equal">
      <formula>"Pass"</formula>
    </cfRule>
    <cfRule type="cellIs" dxfId="1775" priority="1777" stopIfTrue="1" operator="equal">
      <formula>"Fail"</formula>
    </cfRule>
  </conditionalFormatting>
  <conditionalFormatting sqref="J493:M493 O493:P493">
    <cfRule type="cellIs" dxfId="1774" priority="1774" stopIfTrue="1" operator="equal">
      <formula>"Pass"</formula>
    </cfRule>
    <cfRule type="cellIs" dxfId="1773" priority="1775" stopIfTrue="1" operator="equal">
      <formula>"Fail"</formula>
    </cfRule>
  </conditionalFormatting>
  <conditionalFormatting sqref="Q493 N493">
    <cfRule type="cellIs" dxfId="1772" priority="1772" stopIfTrue="1" operator="equal">
      <formula>"Pass"</formula>
    </cfRule>
    <cfRule type="cellIs" dxfId="1771" priority="1773" stopIfTrue="1" operator="equal">
      <formula>"Fail"</formula>
    </cfRule>
  </conditionalFormatting>
  <conditionalFormatting sqref="J493:Q493">
    <cfRule type="cellIs" dxfId="1770" priority="1770" stopIfTrue="1" operator="equal">
      <formula>"Pass"</formula>
    </cfRule>
    <cfRule type="cellIs" dxfId="1769" priority="1771" stopIfTrue="1" operator="equal">
      <formula>"Fail"</formula>
    </cfRule>
  </conditionalFormatting>
  <conditionalFormatting sqref="J496:J498 K496:Q497">
    <cfRule type="cellIs" dxfId="1768" priority="1768" stopIfTrue="1" operator="equal">
      <formula>"Pass"</formula>
    </cfRule>
    <cfRule type="cellIs" dxfId="1767" priority="1769" stopIfTrue="1" operator="equal">
      <formula>"Fail"</formula>
    </cfRule>
  </conditionalFormatting>
  <conditionalFormatting sqref="W496">
    <cfRule type="cellIs" dxfId="1766" priority="1766" stopIfTrue="1" operator="equal">
      <formula>"Fail"</formula>
    </cfRule>
    <cfRule type="cellIs" dxfId="1765" priority="1767" stopIfTrue="1" operator="equal">
      <formula>"Pass"</formula>
    </cfRule>
  </conditionalFormatting>
  <conditionalFormatting sqref="J496:Q496">
    <cfRule type="cellIs" dxfId="1764" priority="1764" stopIfTrue="1" operator="equal">
      <formula>"Pass"</formula>
    </cfRule>
    <cfRule type="cellIs" dxfId="1763" priority="1765" stopIfTrue="1" operator="equal">
      <formula>"Fail"</formula>
    </cfRule>
  </conditionalFormatting>
  <conditionalFormatting sqref="J496:Q496">
    <cfRule type="cellIs" dxfId="1762" priority="1762" stopIfTrue="1" operator="equal">
      <formula>"Pass"</formula>
    </cfRule>
    <cfRule type="cellIs" dxfId="1761" priority="1763" stopIfTrue="1" operator="equal">
      <formula>"Fail"</formula>
    </cfRule>
  </conditionalFormatting>
  <conditionalFormatting sqref="J496:Q496">
    <cfRule type="cellIs" dxfId="1760" priority="1760" stopIfTrue="1" operator="equal">
      <formula>"Pass"</formula>
    </cfRule>
    <cfRule type="cellIs" dxfId="1759" priority="1761" stopIfTrue="1" operator="equal">
      <formula>"Fail"</formula>
    </cfRule>
  </conditionalFormatting>
  <conditionalFormatting sqref="J496:Q496">
    <cfRule type="cellIs" dxfId="1758" priority="1758" stopIfTrue="1" operator="equal">
      <formula>"Pass"</formula>
    </cfRule>
    <cfRule type="cellIs" dxfId="1757" priority="1759" stopIfTrue="1" operator="equal">
      <formula>"Fail"</formula>
    </cfRule>
  </conditionalFormatting>
  <conditionalFormatting sqref="J496:M496 O496:P496">
    <cfRule type="cellIs" dxfId="1756" priority="1756" stopIfTrue="1" operator="equal">
      <formula>"Pass"</formula>
    </cfRule>
    <cfRule type="cellIs" dxfId="1755" priority="1757" stopIfTrue="1" operator="equal">
      <formula>"Fail"</formula>
    </cfRule>
  </conditionalFormatting>
  <conditionalFormatting sqref="Q496 N496">
    <cfRule type="cellIs" dxfId="1754" priority="1754" stopIfTrue="1" operator="equal">
      <formula>"Pass"</formula>
    </cfRule>
    <cfRule type="cellIs" dxfId="1753" priority="1755" stopIfTrue="1" operator="equal">
      <formula>"Fail"</formula>
    </cfRule>
  </conditionalFormatting>
  <conditionalFormatting sqref="J496:Q496">
    <cfRule type="cellIs" dxfId="1752" priority="1752" stopIfTrue="1" operator="equal">
      <formula>"Pass"</formula>
    </cfRule>
    <cfRule type="cellIs" dxfId="1751" priority="1753" stopIfTrue="1" operator="equal">
      <formula>"Fail"</formula>
    </cfRule>
  </conditionalFormatting>
  <conditionalFormatting sqref="J499:J501 K499:Q500">
    <cfRule type="cellIs" dxfId="1750" priority="1750" stopIfTrue="1" operator="equal">
      <formula>"Pass"</formula>
    </cfRule>
    <cfRule type="cellIs" dxfId="1749" priority="1751" stopIfTrue="1" operator="equal">
      <formula>"Fail"</formula>
    </cfRule>
  </conditionalFormatting>
  <conditionalFormatting sqref="W499">
    <cfRule type="cellIs" dxfId="1748" priority="1748" stopIfTrue="1" operator="equal">
      <formula>"Fail"</formula>
    </cfRule>
    <cfRule type="cellIs" dxfId="1747" priority="1749" stopIfTrue="1" operator="equal">
      <formula>"Pass"</formula>
    </cfRule>
  </conditionalFormatting>
  <conditionalFormatting sqref="J499:Q499">
    <cfRule type="cellIs" dxfId="1746" priority="1746" stopIfTrue="1" operator="equal">
      <formula>"Pass"</formula>
    </cfRule>
    <cfRule type="cellIs" dxfId="1745" priority="1747" stopIfTrue="1" operator="equal">
      <formula>"Fail"</formula>
    </cfRule>
  </conditionalFormatting>
  <conditionalFormatting sqref="J499:Q499">
    <cfRule type="cellIs" dxfId="1744" priority="1744" stopIfTrue="1" operator="equal">
      <formula>"Pass"</formula>
    </cfRule>
    <cfRule type="cellIs" dxfId="1743" priority="1745" stopIfTrue="1" operator="equal">
      <formula>"Fail"</formula>
    </cfRule>
  </conditionalFormatting>
  <conditionalFormatting sqref="J499:Q499">
    <cfRule type="cellIs" dxfId="1742" priority="1742" stopIfTrue="1" operator="equal">
      <formula>"Pass"</formula>
    </cfRule>
    <cfRule type="cellIs" dxfId="1741" priority="1743" stopIfTrue="1" operator="equal">
      <formula>"Fail"</formula>
    </cfRule>
  </conditionalFormatting>
  <conditionalFormatting sqref="J499:Q499">
    <cfRule type="cellIs" dxfId="1740" priority="1740" stopIfTrue="1" operator="equal">
      <formula>"Pass"</formula>
    </cfRule>
    <cfRule type="cellIs" dxfId="1739" priority="1741" stopIfTrue="1" operator="equal">
      <formula>"Fail"</formula>
    </cfRule>
  </conditionalFormatting>
  <conditionalFormatting sqref="J499:M499 O499:P499">
    <cfRule type="cellIs" dxfId="1738" priority="1738" stopIfTrue="1" operator="equal">
      <formula>"Pass"</formula>
    </cfRule>
    <cfRule type="cellIs" dxfId="1737" priority="1739" stopIfTrue="1" operator="equal">
      <formula>"Fail"</formula>
    </cfRule>
  </conditionalFormatting>
  <conditionalFormatting sqref="Q499 N499">
    <cfRule type="cellIs" dxfId="1736" priority="1736" stopIfTrue="1" operator="equal">
      <formula>"Pass"</formula>
    </cfRule>
    <cfRule type="cellIs" dxfId="1735" priority="1737" stopIfTrue="1" operator="equal">
      <formula>"Fail"</formula>
    </cfRule>
  </conditionalFormatting>
  <conditionalFormatting sqref="J499:Q499">
    <cfRule type="cellIs" dxfId="1734" priority="1734" stopIfTrue="1" operator="equal">
      <formula>"Pass"</formula>
    </cfRule>
    <cfRule type="cellIs" dxfId="1733" priority="1735" stopIfTrue="1" operator="equal">
      <formula>"Fail"</formula>
    </cfRule>
  </conditionalFormatting>
  <conditionalFormatting sqref="J502:J504 K502:Q503">
    <cfRule type="cellIs" dxfId="1732" priority="1732" stopIfTrue="1" operator="equal">
      <formula>"Pass"</formula>
    </cfRule>
    <cfRule type="cellIs" dxfId="1731" priority="1733" stopIfTrue="1" operator="equal">
      <formula>"Fail"</formula>
    </cfRule>
  </conditionalFormatting>
  <conditionalFormatting sqref="W502">
    <cfRule type="cellIs" dxfId="1730" priority="1730" stopIfTrue="1" operator="equal">
      <formula>"Fail"</formula>
    </cfRule>
    <cfRule type="cellIs" dxfId="1729" priority="1731" stopIfTrue="1" operator="equal">
      <formula>"Pass"</formula>
    </cfRule>
  </conditionalFormatting>
  <conditionalFormatting sqref="J502:Q502">
    <cfRule type="cellIs" dxfId="1728" priority="1728" stopIfTrue="1" operator="equal">
      <formula>"Pass"</formula>
    </cfRule>
    <cfRule type="cellIs" dxfId="1727" priority="1729" stopIfTrue="1" operator="equal">
      <formula>"Fail"</formula>
    </cfRule>
  </conditionalFormatting>
  <conditionalFormatting sqref="J502:Q502">
    <cfRule type="cellIs" dxfId="1726" priority="1726" stopIfTrue="1" operator="equal">
      <formula>"Pass"</formula>
    </cfRule>
    <cfRule type="cellIs" dxfId="1725" priority="1727" stopIfTrue="1" operator="equal">
      <formula>"Fail"</formula>
    </cfRule>
  </conditionalFormatting>
  <conditionalFormatting sqref="J502:Q502">
    <cfRule type="cellIs" dxfId="1724" priority="1724" stopIfTrue="1" operator="equal">
      <formula>"Pass"</formula>
    </cfRule>
    <cfRule type="cellIs" dxfId="1723" priority="1725" stopIfTrue="1" operator="equal">
      <formula>"Fail"</formula>
    </cfRule>
  </conditionalFormatting>
  <conditionalFormatting sqref="J502:Q502">
    <cfRule type="cellIs" dxfId="1722" priority="1722" stopIfTrue="1" operator="equal">
      <formula>"Pass"</formula>
    </cfRule>
    <cfRule type="cellIs" dxfId="1721" priority="1723" stopIfTrue="1" operator="equal">
      <formula>"Fail"</formula>
    </cfRule>
  </conditionalFormatting>
  <conditionalFormatting sqref="J502:M502 O502:P502">
    <cfRule type="cellIs" dxfId="1720" priority="1720" stopIfTrue="1" operator="equal">
      <formula>"Pass"</formula>
    </cfRule>
    <cfRule type="cellIs" dxfId="1719" priority="1721" stopIfTrue="1" operator="equal">
      <formula>"Fail"</formula>
    </cfRule>
  </conditionalFormatting>
  <conditionalFormatting sqref="Q502 N502">
    <cfRule type="cellIs" dxfId="1718" priority="1718" stopIfTrue="1" operator="equal">
      <formula>"Pass"</formula>
    </cfRule>
    <cfRule type="cellIs" dxfId="1717" priority="1719" stopIfTrue="1" operator="equal">
      <formula>"Fail"</formula>
    </cfRule>
  </conditionalFormatting>
  <conditionalFormatting sqref="J502:Q502">
    <cfRule type="cellIs" dxfId="1716" priority="1716" stopIfTrue="1" operator="equal">
      <formula>"Pass"</formula>
    </cfRule>
    <cfRule type="cellIs" dxfId="1715" priority="1717" stopIfTrue="1" operator="equal">
      <formula>"Fail"</formula>
    </cfRule>
  </conditionalFormatting>
  <conditionalFormatting sqref="J505:J507 K505:Q506">
    <cfRule type="cellIs" dxfId="1714" priority="1714" stopIfTrue="1" operator="equal">
      <formula>"Pass"</formula>
    </cfRule>
    <cfRule type="cellIs" dxfId="1713" priority="1715" stopIfTrue="1" operator="equal">
      <formula>"Fail"</formula>
    </cfRule>
  </conditionalFormatting>
  <conditionalFormatting sqref="W505">
    <cfRule type="cellIs" dxfId="1712" priority="1712" stopIfTrue="1" operator="equal">
      <formula>"Fail"</formula>
    </cfRule>
    <cfRule type="cellIs" dxfId="1711" priority="1713" stopIfTrue="1" operator="equal">
      <formula>"Pass"</formula>
    </cfRule>
  </conditionalFormatting>
  <conditionalFormatting sqref="J505:Q505">
    <cfRule type="cellIs" dxfId="1710" priority="1710" stopIfTrue="1" operator="equal">
      <formula>"Pass"</formula>
    </cfRule>
    <cfRule type="cellIs" dxfId="1709" priority="1711" stopIfTrue="1" operator="equal">
      <formula>"Fail"</formula>
    </cfRule>
  </conditionalFormatting>
  <conditionalFormatting sqref="J505:Q505">
    <cfRule type="cellIs" dxfId="1708" priority="1708" stopIfTrue="1" operator="equal">
      <formula>"Pass"</formula>
    </cfRule>
    <cfRule type="cellIs" dxfId="1707" priority="1709" stopIfTrue="1" operator="equal">
      <formula>"Fail"</formula>
    </cfRule>
  </conditionalFormatting>
  <conditionalFormatting sqref="J505:Q505">
    <cfRule type="cellIs" dxfId="1706" priority="1706" stopIfTrue="1" operator="equal">
      <formula>"Pass"</formula>
    </cfRule>
    <cfRule type="cellIs" dxfId="1705" priority="1707" stopIfTrue="1" operator="equal">
      <formula>"Fail"</formula>
    </cfRule>
  </conditionalFormatting>
  <conditionalFormatting sqref="J505:Q505">
    <cfRule type="cellIs" dxfId="1704" priority="1704" stopIfTrue="1" operator="equal">
      <formula>"Pass"</formula>
    </cfRule>
    <cfRule type="cellIs" dxfId="1703" priority="1705" stopIfTrue="1" operator="equal">
      <formula>"Fail"</formula>
    </cfRule>
  </conditionalFormatting>
  <conditionalFormatting sqref="J505:M505 O505:P505">
    <cfRule type="cellIs" dxfId="1702" priority="1702" stopIfTrue="1" operator="equal">
      <formula>"Pass"</formula>
    </cfRule>
    <cfRule type="cellIs" dxfId="1701" priority="1703" stopIfTrue="1" operator="equal">
      <formula>"Fail"</formula>
    </cfRule>
  </conditionalFormatting>
  <conditionalFormatting sqref="Q505 N505">
    <cfRule type="cellIs" dxfId="1700" priority="1700" stopIfTrue="1" operator="equal">
      <formula>"Pass"</formula>
    </cfRule>
    <cfRule type="cellIs" dxfId="1699" priority="1701" stopIfTrue="1" operator="equal">
      <formula>"Fail"</formula>
    </cfRule>
  </conditionalFormatting>
  <conditionalFormatting sqref="J505:Q505">
    <cfRule type="cellIs" dxfId="1698" priority="1698" stopIfTrue="1" operator="equal">
      <formula>"Pass"</formula>
    </cfRule>
    <cfRule type="cellIs" dxfId="1697" priority="1699" stopIfTrue="1" operator="equal">
      <formula>"Fail"</formula>
    </cfRule>
  </conditionalFormatting>
  <conditionalFormatting sqref="J508:J510 K508:Q509">
    <cfRule type="cellIs" dxfId="1696" priority="1696" stopIfTrue="1" operator="equal">
      <formula>"Pass"</formula>
    </cfRule>
    <cfRule type="cellIs" dxfId="1695" priority="1697" stopIfTrue="1" operator="equal">
      <formula>"Fail"</formula>
    </cfRule>
  </conditionalFormatting>
  <conditionalFormatting sqref="W508">
    <cfRule type="cellIs" dxfId="1694" priority="1694" stopIfTrue="1" operator="equal">
      <formula>"Fail"</formula>
    </cfRule>
    <cfRule type="cellIs" dxfId="1693" priority="1695" stopIfTrue="1" operator="equal">
      <formula>"Pass"</formula>
    </cfRule>
  </conditionalFormatting>
  <conditionalFormatting sqref="J508:Q508">
    <cfRule type="cellIs" dxfId="1692" priority="1692" stopIfTrue="1" operator="equal">
      <formula>"Pass"</formula>
    </cfRule>
    <cfRule type="cellIs" dxfId="1691" priority="1693" stopIfTrue="1" operator="equal">
      <formula>"Fail"</formula>
    </cfRule>
  </conditionalFormatting>
  <conditionalFormatting sqref="J508:Q508">
    <cfRule type="cellIs" dxfId="1690" priority="1690" stopIfTrue="1" operator="equal">
      <formula>"Pass"</formula>
    </cfRule>
    <cfRule type="cellIs" dxfId="1689" priority="1691" stopIfTrue="1" operator="equal">
      <formula>"Fail"</formula>
    </cfRule>
  </conditionalFormatting>
  <conditionalFormatting sqref="J508:Q508">
    <cfRule type="cellIs" dxfId="1688" priority="1688" stopIfTrue="1" operator="equal">
      <formula>"Pass"</formula>
    </cfRule>
    <cfRule type="cellIs" dxfId="1687" priority="1689" stopIfTrue="1" operator="equal">
      <formula>"Fail"</formula>
    </cfRule>
  </conditionalFormatting>
  <conditionalFormatting sqref="J508:Q508">
    <cfRule type="cellIs" dxfId="1686" priority="1686" stopIfTrue="1" operator="equal">
      <formula>"Pass"</formula>
    </cfRule>
    <cfRule type="cellIs" dxfId="1685" priority="1687" stopIfTrue="1" operator="equal">
      <formula>"Fail"</formula>
    </cfRule>
  </conditionalFormatting>
  <conditionalFormatting sqref="J508:M508 O508:P508">
    <cfRule type="cellIs" dxfId="1684" priority="1684" stopIfTrue="1" operator="equal">
      <formula>"Pass"</formula>
    </cfRule>
    <cfRule type="cellIs" dxfId="1683" priority="1685" stopIfTrue="1" operator="equal">
      <formula>"Fail"</formula>
    </cfRule>
  </conditionalFormatting>
  <conditionalFormatting sqref="Q508 N508">
    <cfRule type="cellIs" dxfId="1682" priority="1682" stopIfTrue="1" operator="equal">
      <formula>"Pass"</formula>
    </cfRule>
    <cfRule type="cellIs" dxfId="1681" priority="1683" stopIfTrue="1" operator="equal">
      <formula>"Fail"</formula>
    </cfRule>
  </conditionalFormatting>
  <conditionalFormatting sqref="J508:Q508">
    <cfRule type="cellIs" dxfId="1680" priority="1680" stopIfTrue="1" operator="equal">
      <formula>"Pass"</formula>
    </cfRule>
    <cfRule type="cellIs" dxfId="1679" priority="1681" stopIfTrue="1" operator="equal">
      <formula>"Fail"</formula>
    </cfRule>
  </conditionalFormatting>
  <conditionalFormatting sqref="J511:J513 K511:Q512">
    <cfRule type="cellIs" dxfId="1678" priority="1678" stopIfTrue="1" operator="equal">
      <formula>"Pass"</formula>
    </cfRule>
    <cfRule type="cellIs" dxfId="1677" priority="1679" stopIfTrue="1" operator="equal">
      <formula>"Fail"</formula>
    </cfRule>
  </conditionalFormatting>
  <conditionalFormatting sqref="W511">
    <cfRule type="cellIs" dxfId="1676" priority="1676" stopIfTrue="1" operator="equal">
      <formula>"Fail"</formula>
    </cfRule>
    <cfRule type="cellIs" dxfId="1675" priority="1677" stopIfTrue="1" operator="equal">
      <formula>"Pass"</formula>
    </cfRule>
  </conditionalFormatting>
  <conditionalFormatting sqref="J511:Q511">
    <cfRule type="cellIs" dxfId="1674" priority="1674" stopIfTrue="1" operator="equal">
      <formula>"Pass"</formula>
    </cfRule>
    <cfRule type="cellIs" dxfId="1673" priority="1675" stopIfTrue="1" operator="equal">
      <formula>"Fail"</formula>
    </cfRule>
  </conditionalFormatting>
  <conditionalFormatting sqref="J511:Q511">
    <cfRule type="cellIs" dxfId="1672" priority="1672" stopIfTrue="1" operator="equal">
      <formula>"Pass"</formula>
    </cfRule>
    <cfRule type="cellIs" dxfId="1671" priority="1673" stopIfTrue="1" operator="equal">
      <formula>"Fail"</formula>
    </cfRule>
  </conditionalFormatting>
  <conditionalFormatting sqref="J511:Q511">
    <cfRule type="cellIs" dxfId="1670" priority="1670" stopIfTrue="1" operator="equal">
      <formula>"Pass"</formula>
    </cfRule>
    <cfRule type="cellIs" dxfId="1669" priority="1671" stopIfTrue="1" operator="equal">
      <formula>"Fail"</formula>
    </cfRule>
  </conditionalFormatting>
  <conditionalFormatting sqref="J511:Q511">
    <cfRule type="cellIs" dxfId="1668" priority="1668" stopIfTrue="1" operator="equal">
      <formula>"Pass"</formula>
    </cfRule>
    <cfRule type="cellIs" dxfId="1667" priority="1669" stopIfTrue="1" operator="equal">
      <formula>"Fail"</formula>
    </cfRule>
  </conditionalFormatting>
  <conditionalFormatting sqref="J511:M511 O511:P511">
    <cfRule type="cellIs" dxfId="1666" priority="1666" stopIfTrue="1" operator="equal">
      <formula>"Pass"</formula>
    </cfRule>
    <cfRule type="cellIs" dxfId="1665" priority="1667" stopIfTrue="1" operator="equal">
      <formula>"Fail"</formula>
    </cfRule>
  </conditionalFormatting>
  <conditionalFormatting sqref="Q511 N511">
    <cfRule type="cellIs" dxfId="1664" priority="1664" stopIfTrue="1" operator="equal">
      <formula>"Pass"</formula>
    </cfRule>
    <cfRule type="cellIs" dxfId="1663" priority="1665" stopIfTrue="1" operator="equal">
      <formula>"Fail"</formula>
    </cfRule>
  </conditionalFormatting>
  <conditionalFormatting sqref="J511:Q511">
    <cfRule type="cellIs" dxfId="1662" priority="1662" stopIfTrue="1" operator="equal">
      <formula>"Pass"</formula>
    </cfRule>
    <cfRule type="cellIs" dxfId="1661" priority="1663" stopIfTrue="1" operator="equal">
      <formula>"Fail"</formula>
    </cfRule>
  </conditionalFormatting>
  <conditionalFormatting sqref="J514:J516 K514:Q515">
    <cfRule type="cellIs" dxfId="1660" priority="1660" stopIfTrue="1" operator="equal">
      <formula>"Pass"</formula>
    </cfRule>
    <cfRule type="cellIs" dxfId="1659" priority="1661" stopIfTrue="1" operator="equal">
      <formula>"Fail"</formula>
    </cfRule>
  </conditionalFormatting>
  <conditionalFormatting sqref="W514">
    <cfRule type="cellIs" dxfId="1658" priority="1658" stopIfTrue="1" operator="equal">
      <formula>"Fail"</formula>
    </cfRule>
    <cfRule type="cellIs" dxfId="1657" priority="1659" stopIfTrue="1" operator="equal">
      <formula>"Pass"</formula>
    </cfRule>
  </conditionalFormatting>
  <conditionalFormatting sqref="J514:Q514">
    <cfRule type="cellIs" dxfId="1656" priority="1656" stopIfTrue="1" operator="equal">
      <formula>"Pass"</formula>
    </cfRule>
    <cfRule type="cellIs" dxfId="1655" priority="1657" stopIfTrue="1" operator="equal">
      <formula>"Fail"</formula>
    </cfRule>
  </conditionalFormatting>
  <conditionalFormatting sqref="J514:Q514">
    <cfRule type="cellIs" dxfId="1654" priority="1654" stopIfTrue="1" operator="equal">
      <formula>"Pass"</formula>
    </cfRule>
    <cfRule type="cellIs" dxfId="1653" priority="1655" stopIfTrue="1" operator="equal">
      <formula>"Fail"</formula>
    </cfRule>
  </conditionalFormatting>
  <conditionalFormatting sqref="J514:Q514">
    <cfRule type="cellIs" dxfId="1652" priority="1652" stopIfTrue="1" operator="equal">
      <formula>"Pass"</formula>
    </cfRule>
    <cfRule type="cellIs" dxfId="1651" priority="1653" stopIfTrue="1" operator="equal">
      <formula>"Fail"</formula>
    </cfRule>
  </conditionalFormatting>
  <conditionalFormatting sqref="J514:Q514">
    <cfRule type="cellIs" dxfId="1650" priority="1650" stopIfTrue="1" operator="equal">
      <formula>"Pass"</formula>
    </cfRule>
    <cfRule type="cellIs" dxfId="1649" priority="1651" stopIfTrue="1" operator="equal">
      <formula>"Fail"</formula>
    </cfRule>
  </conditionalFormatting>
  <conditionalFormatting sqref="J514:M514 O514:P514">
    <cfRule type="cellIs" dxfId="1648" priority="1648" stopIfTrue="1" operator="equal">
      <formula>"Pass"</formula>
    </cfRule>
    <cfRule type="cellIs" dxfId="1647" priority="1649" stopIfTrue="1" operator="equal">
      <formula>"Fail"</formula>
    </cfRule>
  </conditionalFormatting>
  <conditionalFormatting sqref="Q514 N514">
    <cfRule type="cellIs" dxfId="1646" priority="1646" stopIfTrue="1" operator="equal">
      <formula>"Pass"</formula>
    </cfRule>
    <cfRule type="cellIs" dxfId="1645" priority="1647" stopIfTrue="1" operator="equal">
      <formula>"Fail"</formula>
    </cfRule>
  </conditionalFormatting>
  <conditionalFormatting sqref="J514:Q514">
    <cfRule type="cellIs" dxfId="1644" priority="1644" stopIfTrue="1" operator="equal">
      <formula>"Pass"</formula>
    </cfRule>
    <cfRule type="cellIs" dxfId="1643" priority="1645" stopIfTrue="1" operator="equal">
      <formula>"Fail"</formula>
    </cfRule>
  </conditionalFormatting>
  <conditionalFormatting sqref="J517:J519 K517:Q518">
    <cfRule type="cellIs" dxfId="1642" priority="1642" stopIfTrue="1" operator="equal">
      <formula>"Pass"</formula>
    </cfRule>
    <cfRule type="cellIs" dxfId="1641" priority="1643" stopIfTrue="1" operator="equal">
      <formula>"Fail"</formula>
    </cfRule>
  </conditionalFormatting>
  <conditionalFormatting sqref="W517">
    <cfRule type="cellIs" dxfId="1640" priority="1640" stopIfTrue="1" operator="equal">
      <formula>"Fail"</formula>
    </cfRule>
    <cfRule type="cellIs" dxfId="1639" priority="1641" stopIfTrue="1" operator="equal">
      <formula>"Pass"</formula>
    </cfRule>
  </conditionalFormatting>
  <conditionalFormatting sqref="J517:Q517">
    <cfRule type="cellIs" dxfId="1638" priority="1638" stopIfTrue="1" operator="equal">
      <formula>"Pass"</formula>
    </cfRule>
    <cfRule type="cellIs" dxfId="1637" priority="1639" stopIfTrue="1" operator="equal">
      <formula>"Fail"</formula>
    </cfRule>
  </conditionalFormatting>
  <conditionalFormatting sqref="J517:Q517">
    <cfRule type="cellIs" dxfId="1636" priority="1636" stopIfTrue="1" operator="equal">
      <formula>"Pass"</formula>
    </cfRule>
    <cfRule type="cellIs" dxfId="1635" priority="1637" stopIfTrue="1" operator="equal">
      <formula>"Fail"</formula>
    </cfRule>
  </conditionalFormatting>
  <conditionalFormatting sqref="J517:Q517">
    <cfRule type="cellIs" dxfId="1634" priority="1634" stopIfTrue="1" operator="equal">
      <formula>"Pass"</formula>
    </cfRule>
    <cfRule type="cellIs" dxfId="1633" priority="1635" stopIfTrue="1" operator="equal">
      <formula>"Fail"</formula>
    </cfRule>
  </conditionalFormatting>
  <conditionalFormatting sqref="J517:Q517">
    <cfRule type="cellIs" dxfId="1632" priority="1632" stopIfTrue="1" operator="equal">
      <formula>"Pass"</formula>
    </cfRule>
    <cfRule type="cellIs" dxfId="1631" priority="1633" stopIfTrue="1" operator="equal">
      <formula>"Fail"</formula>
    </cfRule>
  </conditionalFormatting>
  <conditionalFormatting sqref="J517:M517 O517:P517">
    <cfRule type="cellIs" dxfId="1630" priority="1630" stopIfTrue="1" operator="equal">
      <formula>"Pass"</formula>
    </cfRule>
    <cfRule type="cellIs" dxfId="1629" priority="1631" stopIfTrue="1" operator="equal">
      <formula>"Fail"</formula>
    </cfRule>
  </conditionalFormatting>
  <conditionalFormatting sqref="Q517 N517">
    <cfRule type="cellIs" dxfId="1628" priority="1628" stopIfTrue="1" operator="equal">
      <formula>"Pass"</formula>
    </cfRule>
    <cfRule type="cellIs" dxfId="1627" priority="1629" stopIfTrue="1" operator="equal">
      <formula>"Fail"</formula>
    </cfRule>
  </conditionalFormatting>
  <conditionalFormatting sqref="J517:Q517">
    <cfRule type="cellIs" dxfId="1626" priority="1626" stopIfTrue="1" operator="equal">
      <formula>"Pass"</formula>
    </cfRule>
    <cfRule type="cellIs" dxfId="1625" priority="1627" stopIfTrue="1" operator="equal">
      <formula>"Fail"</formula>
    </cfRule>
  </conditionalFormatting>
  <conditionalFormatting sqref="J520:J522 K520:Q521">
    <cfRule type="cellIs" dxfId="1624" priority="1624" stopIfTrue="1" operator="equal">
      <formula>"Pass"</formula>
    </cfRule>
    <cfRule type="cellIs" dxfId="1623" priority="1625" stopIfTrue="1" operator="equal">
      <formula>"Fail"</formula>
    </cfRule>
  </conditionalFormatting>
  <conditionalFormatting sqref="W520">
    <cfRule type="cellIs" dxfId="1622" priority="1622" stopIfTrue="1" operator="equal">
      <formula>"Fail"</formula>
    </cfRule>
    <cfRule type="cellIs" dxfId="1621" priority="1623" stopIfTrue="1" operator="equal">
      <formula>"Pass"</formula>
    </cfRule>
  </conditionalFormatting>
  <conditionalFormatting sqref="J520:Q520">
    <cfRule type="cellIs" dxfId="1620" priority="1620" stopIfTrue="1" operator="equal">
      <formula>"Pass"</formula>
    </cfRule>
    <cfRule type="cellIs" dxfId="1619" priority="1621" stopIfTrue="1" operator="equal">
      <formula>"Fail"</formula>
    </cfRule>
  </conditionalFormatting>
  <conditionalFormatting sqref="J520:Q520">
    <cfRule type="cellIs" dxfId="1618" priority="1618" stopIfTrue="1" operator="equal">
      <formula>"Pass"</formula>
    </cfRule>
    <cfRule type="cellIs" dxfId="1617" priority="1619" stopIfTrue="1" operator="equal">
      <formula>"Fail"</formula>
    </cfRule>
  </conditionalFormatting>
  <conditionalFormatting sqref="J520:Q520">
    <cfRule type="cellIs" dxfId="1616" priority="1616" stopIfTrue="1" operator="equal">
      <formula>"Pass"</formula>
    </cfRule>
    <cfRule type="cellIs" dxfId="1615" priority="1617" stopIfTrue="1" operator="equal">
      <formula>"Fail"</formula>
    </cfRule>
  </conditionalFormatting>
  <conditionalFormatting sqref="J520:Q520">
    <cfRule type="cellIs" dxfId="1614" priority="1614" stopIfTrue="1" operator="equal">
      <formula>"Pass"</formula>
    </cfRule>
    <cfRule type="cellIs" dxfId="1613" priority="1615" stopIfTrue="1" operator="equal">
      <formula>"Fail"</formula>
    </cfRule>
  </conditionalFormatting>
  <conditionalFormatting sqref="J520:M520 O520:P520">
    <cfRule type="cellIs" dxfId="1612" priority="1612" stopIfTrue="1" operator="equal">
      <formula>"Pass"</formula>
    </cfRule>
    <cfRule type="cellIs" dxfId="1611" priority="1613" stopIfTrue="1" operator="equal">
      <formula>"Fail"</formula>
    </cfRule>
  </conditionalFormatting>
  <conditionalFormatting sqref="Q520 N520">
    <cfRule type="cellIs" dxfId="1610" priority="1610" stopIfTrue="1" operator="equal">
      <formula>"Pass"</formula>
    </cfRule>
    <cfRule type="cellIs" dxfId="1609" priority="1611" stopIfTrue="1" operator="equal">
      <formula>"Fail"</formula>
    </cfRule>
  </conditionalFormatting>
  <conditionalFormatting sqref="J520:Q520">
    <cfRule type="cellIs" dxfId="1608" priority="1608" stopIfTrue="1" operator="equal">
      <formula>"Pass"</formula>
    </cfRule>
    <cfRule type="cellIs" dxfId="1607" priority="1609" stopIfTrue="1" operator="equal">
      <formula>"Fail"</formula>
    </cfRule>
  </conditionalFormatting>
  <conditionalFormatting sqref="J523:J525 K523:Q524">
    <cfRule type="cellIs" dxfId="1606" priority="1606" stopIfTrue="1" operator="equal">
      <formula>"Pass"</formula>
    </cfRule>
    <cfRule type="cellIs" dxfId="1605" priority="1607" stopIfTrue="1" operator="equal">
      <formula>"Fail"</formula>
    </cfRule>
  </conditionalFormatting>
  <conditionalFormatting sqref="W523">
    <cfRule type="cellIs" dxfId="1604" priority="1604" stopIfTrue="1" operator="equal">
      <formula>"Fail"</formula>
    </cfRule>
    <cfRule type="cellIs" dxfId="1603" priority="1605" stopIfTrue="1" operator="equal">
      <formula>"Pass"</formula>
    </cfRule>
  </conditionalFormatting>
  <conditionalFormatting sqref="J523:Q523">
    <cfRule type="cellIs" dxfId="1602" priority="1602" stopIfTrue="1" operator="equal">
      <formula>"Pass"</formula>
    </cfRule>
    <cfRule type="cellIs" dxfId="1601" priority="1603" stopIfTrue="1" operator="equal">
      <formula>"Fail"</formula>
    </cfRule>
  </conditionalFormatting>
  <conditionalFormatting sqref="J523:Q523">
    <cfRule type="cellIs" dxfId="1600" priority="1600" stopIfTrue="1" operator="equal">
      <formula>"Pass"</formula>
    </cfRule>
    <cfRule type="cellIs" dxfId="1599" priority="1601" stopIfTrue="1" operator="equal">
      <formula>"Fail"</formula>
    </cfRule>
  </conditionalFormatting>
  <conditionalFormatting sqref="J523:Q523">
    <cfRule type="cellIs" dxfId="1598" priority="1598" stopIfTrue="1" operator="equal">
      <formula>"Pass"</formula>
    </cfRule>
    <cfRule type="cellIs" dxfId="1597" priority="1599" stopIfTrue="1" operator="equal">
      <formula>"Fail"</formula>
    </cfRule>
  </conditionalFormatting>
  <conditionalFormatting sqref="J523:Q523">
    <cfRule type="cellIs" dxfId="1596" priority="1596" stopIfTrue="1" operator="equal">
      <formula>"Pass"</formula>
    </cfRule>
    <cfRule type="cellIs" dxfId="1595" priority="1597" stopIfTrue="1" operator="equal">
      <formula>"Fail"</formula>
    </cfRule>
  </conditionalFormatting>
  <conditionalFormatting sqref="J523:M523 O523:P523">
    <cfRule type="cellIs" dxfId="1594" priority="1594" stopIfTrue="1" operator="equal">
      <formula>"Pass"</formula>
    </cfRule>
    <cfRule type="cellIs" dxfId="1593" priority="1595" stopIfTrue="1" operator="equal">
      <formula>"Fail"</formula>
    </cfRule>
  </conditionalFormatting>
  <conditionalFormatting sqref="Q523 N523">
    <cfRule type="cellIs" dxfId="1592" priority="1592" stopIfTrue="1" operator="equal">
      <formula>"Pass"</formula>
    </cfRule>
    <cfRule type="cellIs" dxfId="1591" priority="1593" stopIfTrue="1" operator="equal">
      <formula>"Fail"</formula>
    </cfRule>
  </conditionalFormatting>
  <conditionalFormatting sqref="J523:Q523">
    <cfRule type="cellIs" dxfId="1590" priority="1590" stopIfTrue="1" operator="equal">
      <formula>"Pass"</formula>
    </cfRule>
    <cfRule type="cellIs" dxfId="1589" priority="1591" stopIfTrue="1" operator="equal">
      <formula>"Fail"</formula>
    </cfRule>
  </conditionalFormatting>
  <conditionalFormatting sqref="J526:J528 K526:Q527">
    <cfRule type="cellIs" dxfId="1588" priority="1588" stopIfTrue="1" operator="equal">
      <formula>"Pass"</formula>
    </cfRule>
    <cfRule type="cellIs" dxfId="1587" priority="1589" stopIfTrue="1" operator="equal">
      <formula>"Fail"</formula>
    </cfRule>
  </conditionalFormatting>
  <conditionalFormatting sqref="W526">
    <cfRule type="cellIs" dxfId="1586" priority="1586" stopIfTrue="1" operator="equal">
      <formula>"Fail"</formula>
    </cfRule>
    <cfRule type="cellIs" dxfId="1585" priority="1587" stopIfTrue="1" operator="equal">
      <formula>"Pass"</formula>
    </cfRule>
  </conditionalFormatting>
  <conditionalFormatting sqref="J526:Q526">
    <cfRule type="cellIs" dxfId="1584" priority="1584" stopIfTrue="1" operator="equal">
      <formula>"Pass"</formula>
    </cfRule>
    <cfRule type="cellIs" dxfId="1583" priority="1585" stopIfTrue="1" operator="equal">
      <formula>"Fail"</formula>
    </cfRule>
  </conditionalFormatting>
  <conditionalFormatting sqref="J526:Q526">
    <cfRule type="cellIs" dxfId="1582" priority="1582" stopIfTrue="1" operator="equal">
      <formula>"Pass"</formula>
    </cfRule>
    <cfRule type="cellIs" dxfId="1581" priority="1583" stopIfTrue="1" operator="equal">
      <formula>"Fail"</formula>
    </cfRule>
  </conditionalFormatting>
  <conditionalFormatting sqref="J526:Q526">
    <cfRule type="cellIs" dxfId="1580" priority="1580" stopIfTrue="1" operator="equal">
      <formula>"Pass"</formula>
    </cfRule>
    <cfRule type="cellIs" dxfId="1579" priority="1581" stopIfTrue="1" operator="equal">
      <formula>"Fail"</formula>
    </cfRule>
  </conditionalFormatting>
  <conditionalFormatting sqref="J526:Q526">
    <cfRule type="cellIs" dxfId="1578" priority="1578" stopIfTrue="1" operator="equal">
      <formula>"Pass"</formula>
    </cfRule>
    <cfRule type="cellIs" dxfId="1577" priority="1579" stopIfTrue="1" operator="equal">
      <formula>"Fail"</formula>
    </cfRule>
  </conditionalFormatting>
  <conditionalFormatting sqref="J526:M526 O526:P526">
    <cfRule type="cellIs" dxfId="1576" priority="1576" stopIfTrue="1" operator="equal">
      <formula>"Pass"</formula>
    </cfRule>
    <cfRule type="cellIs" dxfId="1575" priority="1577" stopIfTrue="1" operator="equal">
      <formula>"Fail"</formula>
    </cfRule>
  </conditionalFormatting>
  <conditionalFormatting sqref="Q526 N526">
    <cfRule type="cellIs" dxfId="1574" priority="1574" stopIfTrue="1" operator="equal">
      <formula>"Pass"</formula>
    </cfRule>
    <cfRule type="cellIs" dxfId="1573" priority="1575" stopIfTrue="1" operator="equal">
      <formula>"Fail"</formula>
    </cfRule>
  </conditionalFormatting>
  <conditionalFormatting sqref="J526:Q526">
    <cfRule type="cellIs" dxfId="1572" priority="1572" stopIfTrue="1" operator="equal">
      <formula>"Pass"</formula>
    </cfRule>
    <cfRule type="cellIs" dxfId="1571" priority="1573" stopIfTrue="1" operator="equal">
      <formula>"Fail"</formula>
    </cfRule>
  </conditionalFormatting>
  <conditionalFormatting sqref="J529:J531 K529:Q530">
    <cfRule type="cellIs" dxfId="1570" priority="1570" stopIfTrue="1" operator="equal">
      <formula>"Pass"</formula>
    </cfRule>
    <cfRule type="cellIs" dxfId="1569" priority="1571" stopIfTrue="1" operator="equal">
      <formula>"Fail"</formula>
    </cfRule>
  </conditionalFormatting>
  <conditionalFormatting sqref="W529">
    <cfRule type="cellIs" dxfId="1568" priority="1568" stopIfTrue="1" operator="equal">
      <formula>"Fail"</formula>
    </cfRule>
    <cfRule type="cellIs" dxfId="1567" priority="1569" stopIfTrue="1" operator="equal">
      <formula>"Pass"</formula>
    </cfRule>
  </conditionalFormatting>
  <conditionalFormatting sqref="J529:Q529">
    <cfRule type="cellIs" dxfId="1566" priority="1566" stopIfTrue="1" operator="equal">
      <formula>"Pass"</formula>
    </cfRule>
    <cfRule type="cellIs" dxfId="1565" priority="1567" stopIfTrue="1" operator="equal">
      <formula>"Fail"</formula>
    </cfRule>
  </conditionalFormatting>
  <conditionalFormatting sqref="J529:Q529">
    <cfRule type="cellIs" dxfId="1564" priority="1564" stopIfTrue="1" operator="equal">
      <formula>"Pass"</formula>
    </cfRule>
    <cfRule type="cellIs" dxfId="1563" priority="1565" stopIfTrue="1" operator="equal">
      <formula>"Fail"</formula>
    </cfRule>
  </conditionalFormatting>
  <conditionalFormatting sqref="J529:Q529">
    <cfRule type="cellIs" dxfId="1562" priority="1562" stopIfTrue="1" operator="equal">
      <formula>"Pass"</formula>
    </cfRule>
    <cfRule type="cellIs" dxfId="1561" priority="1563" stopIfTrue="1" operator="equal">
      <formula>"Fail"</formula>
    </cfRule>
  </conditionalFormatting>
  <conditionalFormatting sqref="J529:Q529">
    <cfRule type="cellIs" dxfId="1560" priority="1560" stopIfTrue="1" operator="equal">
      <formula>"Pass"</formula>
    </cfRule>
    <cfRule type="cellIs" dxfId="1559" priority="1561" stopIfTrue="1" operator="equal">
      <formula>"Fail"</formula>
    </cfRule>
  </conditionalFormatting>
  <conditionalFormatting sqref="J529:M529 O529:P529">
    <cfRule type="cellIs" dxfId="1558" priority="1558" stopIfTrue="1" operator="equal">
      <formula>"Pass"</formula>
    </cfRule>
    <cfRule type="cellIs" dxfId="1557" priority="1559" stopIfTrue="1" operator="equal">
      <formula>"Fail"</formula>
    </cfRule>
  </conditionalFormatting>
  <conditionalFormatting sqref="Q529 N529">
    <cfRule type="cellIs" dxfId="1556" priority="1556" stopIfTrue="1" operator="equal">
      <formula>"Pass"</formula>
    </cfRule>
    <cfRule type="cellIs" dxfId="1555" priority="1557" stopIfTrue="1" operator="equal">
      <formula>"Fail"</formula>
    </cfRule>
  </conditionalFormatting>
  <conditionalFormatting sqref="J529:Q529">
    <cfRule type="cellIs" dxfId="1554" priority="1554" stopIfTrue="1" operator="equal">
      <formula>"Pass"</formula>
    </cfRule>
    <cfRule type="cellIs" dxfId="1553" priority="1555" stopIfTrue="1" operator="equal">
      <formula>"Fail"</formula>
    </cfRule>
  </conditionalFormatting>
  <conditionalFormatting sqref="J532:J534 K532:Q533">
    <cfRule type="cellIs" dxfId="1552" priority="1552" stopIfTrue="1" operator="equal">
      <formula>"Pass"</formula>
    </cfRule>
    <cfRule type="cellIs" dxfId="1551" priority="1553" stopIfTrue="1" operator="equal">
      <formula>"Fail"</formula>
    </cfRule>
  </conditionalFormatting>
  <conditionalFormatting sqref="W532">
    <cfRule type="cellIs" dxfId="1550" priority="1550" stopIfTrue="1" operator="equal">
      <formula>"Fail"</formula>
    </cfRule>
    <cfRule type="cellIs" dxfId="1549" priority="1551" stopIfTrue="1" operator="equal">
      <formula>"Pass"</formula>
    </cfRule>
  </conditionalFormatting>
  <conditionalFormatting sqref="J532:Q532">
    <cfRule type="cellIs" dxfId="1548" priority="1548" stopIfTrue="1" operator="equal">
      <formula>"Pass"</formula>
    </cfRule>
    <cfRule type="cellIs" dxfId="1547" priority="1549" stopIfTrue="1" operator="equal">
      <formula>"Fail"</formula>
    </cfRule>
  </conditionalFormatting>
  <conditionalFormatting sqref="J532:Q532">
    <cfRule type="cellIs" dxfId="1546" priority="1546" stopIfTrue="1" operator="equal">
      <formula>"Pass"</formula>
    </cfRule>
    <cfRule type="cellIs" dxfId="1545" priority="1547" stopIfTrue="1" operator="equal">
      <formula>"Fail"</formula>
    </cfRule>
  </conditionalFormatting>
  <conditionalFormatting sqref="J532:Q532">
    <cfRule type="cellIs" dxfId="1544" priority="1544" stopIfTrue="1" operator="equal">
      <formula>"Pass"</formula>
    </cfRule>
    <cfRule type="cellIs" dxfId="1543" priority="1545" stopIfTrue="1" operator="equal">
      <formula>"Fail"</formula>
    </cfRule>
  </conditionalFormatting>
  <conditionalFormatting sqref="J532:Q532">
    <cfRule type="cellIs" dxfId="1542" priority="1542" stopIfTrue="1" operator="equal">
      <formula>"Pass"</formula>
    </cfRule>
    <cfRule type="cellIs" dxfId="1541" priority="1543" stopIfTrue="1" operator="equal">
      <formula>"Fail"</formula>
    </cfRule>
  </conditionalFormatting>
  <conditionalFormatting sqref="J532:M532 O532:P532">
    <cfRule type="cellIs" dxfId="1540" priority="1540" stopIfTrue="1" operator="equal">
      <formula>"Pass"</formula>
    </cfRule>
    <cfRule type="cellIs" dxfId="1539" priority="1541" stopIfTrue="1" operator="equal">
      <formula>"Fail"</formula>
    </cfRule>
  </conditionalFormatting>
  <conditionalFormatting sqref="Q532 N532">
    <cfRule type="cellIs" dxfId="1538" priority="1538" stopIfTrue="1" operator="equal">
      <formula>"Pass"</formula>
    </cfRule>
    <cfRule type="cellIs" dxfId="1537" priority="1539" stopIfTrue="1" operator="equal">
      <formula>"Fail"</formula>
    </cfRule>
  </conditionalFormatting>
  <conditionalFormatting sqref="J532:Q532">
    <cfRule type="cellIs" dxfId="1536" priority="1536" stopIfTrue="1" operator="equal">
      <formula>"Pass"</formula>
    </cfRule>
    <cfRule type="cellIs" dxfId="1535" priority="1537" stopIfTrue="1" operator="equal">
      <formula>"Fail"</formula>
    </cfRule>
  </conditionalFormatting>
  <conditionalFormatting sqref="J535:J537 K535:Q536">
    <cfRule type="cellIs" dxfId="1534" priority="1534" stopIfTrue="1" operator="equal">
      <formula>"Pass"</formula>
    </cfRule>
    <cfRule type="cellIs" dxfId="1533" priority="1535" stopIfTrue="1" operator="equal">
      <formula>"Fail"</formula>
    </cfRule>
  </conditionalFormatting>
  <conditionalFormatting sqref="W535">
    <cfRule type="cellIs" dxfId="1532" priority="1532" stopIfTrue="1" operator="equal">
      <formula>"Fail"</formula>
    </cfRule>
    <cfRule type="cellIs" dxfId="1531" priority="1533" stopIfTrue="1" operator="equal">
      <formula>"Pass"</formula>
    </cfRule>
  </conditionalFormatting>
  <conditionalFormatting sqref="J535:Q535">
    <cfRule type="cellIs" dxfId="1530" priority="1530" stopIfTrue="1" operator="equal">
      <formula>"Pass"</formula>
    </cfRule>
    <cfRule type="cellIs" dxfId="1529" priority="1531" stopIfTrue="1" operator="equal">
      <formula>"Fail"</formula>
    </cfRule>
  </conditionalFormatting>
  <conditionalFormatting sqref="J535:Q535">
    <cfRule type="cellIs" dxfId="1528" priority="1528" stopIfTrue="1" operator="equal">
      <formula>"Pass"</formula>
    </cfRule>
    <cfRule type="cellIs" dxfId="1527" priority="1529" stopIfTrue="1" operator="equal">
      <formula>"Fail"</formula>
    </cfRule>
  </conditionalFormatting>
  <conditionalFormatting sqref="J535:Q535">
    <cfRule type="cellIs" dxfId="1526" priority="1526" stopIfTrue="1" operator="equal">
      <formula>"Pass"</formula>
    </cfRule>
    <cfRule type="cellIs" dxfId="1525" priority="1527" stopIfTrue="1" operator="equal">
      <formula>"Fail"</formula>
    </cfRule>
  </conditionalFormatting>
  <conditionalFormatting sqref="J535:Q535">
    <cfRule type="cellIs" dxfId="1524" priority="1524" stopIfTrue="1" operator="equal">
      <formula>"Pass"</formula>
    </cfRule>
    <cfRule type="cellIs" dxfId="1523" priority="1525" stopIfTrue="1" operator="equal">
      <formula>"Fail"</formula>
    </cfRule>
  </conditionalFormatting>
  <conditionalFormatting sqref="J535:M535 O535:P535">
    <cfRule type="cellIs" dxfId="1522" priority="1522" stopIfTrue="1" operator="equal">
      <formula>"Pass"</formula>
    </cfRule>
    <cfRule type="cellIs" dxfId="1521" priority="1523" stopIfTrue="1" operator="equal">
      <formula>"Fail"</formula>
    </cfRule>
  </conditionalFormatting>
  <conditionalFormatting sqref="Q535 N535">
    <cfRule type="cellIs" dxfId="1520" priority="1520" stopIfTrue="1" operator="equal">
      <formula>"Pass"</formula>
    </cfRule>
    <cfRule type="cellIs" dxfId="1519" priority="1521" stopIfTrue="1" operator="equal">
      <formula>"Fail"</formula>
    </cfRule>
  </conditionalFormatting>
  <conditionalFormatting sqref="J535:Q535">
    <cfRule type="cellIs" dxfId="1518" priority="1518" stopIfTrue="1" operator="equal">
      <formula>"Pass"</formula>
    </cfRule>
    <cfRule type="cellIs" dxfId="1517" priority="1519" stopIfTrue="1" operator="equal">
      <formula>"Fail"</formula>
    </cfRule>
  </conditionalFormatting>
  <conditionalFormatting sqref="J538:J540 K538:Q539">
    <cfRule type="cellIs" dxfId="1516" priority="1516" stopIfTrue="1" operator="equal">
      <formula>"Pass"</formula>
    </cfRule>
    <cfRule type="cellIs" dxfId="1515" priority="1517" stopIfTrue="1" operator="equal">
      <formula>"Fail"</formula>
    </cfRule>
  </conditionalFormatting>
  <conditionalFormatting sqref="W538">
    <cfRule type="cellIs" dxfId="1514" priority="1514" stopIfTrue="1" operator="equal">
      <formula>"Fail"</formula>
    </cfRule>
    <cfRule type="cellIs" dxfId="1513" priority="1515" stopIfTrue="1" operator="equal">
      <formula>"Pass"</formula>
    </cfRule>
  </conditionalFormatting>
  <conditionalFormatting sqref="J538:Q538">
    <cfRule type="cellIs" dxfId="1512" priority="1512" stopIfTrue="1" operator="equal">
      <formula>"Pass"</formula>
    </cfRule>
    <cfRule type="cellIs" dxfId="1511" priority="1513" stopIfTrue="1" operator="equal">
      <formula>"Fail"</formula>
    </cfRule>
  </conditionalFormatting>
  <conditionalFormatting sqref="J538:Q538">
    <cfRule type="cellIs" dxfId="1510" priority="1510" stopIfTrue="1" operator="equal">
      <formula>"Pass"</formula>
    </cfRule>
    <cfRule type="cellIs" dxfId="1509" priority="1511" stopIfTrue="1" operator="equal">
      <formula>"Fail"</formula>
    </cfRule>
  </conditionalFormatting>
  <conditionalFormatting sqref="J538:Q538">
    <cfRule type="cellIs" dxfId="1508" priority="1508" stopIfTrue="1" operator="equal">
      <formula>"Pass"</formula>
    </cfRule>
    <cfRule type="cellIs" dxfId="1507" priority="1509" stopIfTrue="1" operator="equal">
      <formula>"Fail"</formula>
    </cfRule>
  </conditionalFormatting>
  <conditionalFormatting sqref="J538:Q538">
    <cfRule type="cellIs" dxfId="1506" priority="1506" stopIfTrue="1" operator="equal">
      <formula>"Pass"</formula>
    </cfRule>
    <cfRule type="cellIs" dxfId="1505" priority="1507" stopIfTrue="1" operator="equal">
      <formula>"Fail"</formula>
    </cfRule>
  </conditionalFormatting>
  <conditionalFormatting sqref="J538:M538 O538:P538">
    <cfRule type="cellIs" dxfId="1504" priority="1504" stopIfTrue="1" operator="equal">
      <formula>"Pass"</formula>
    </cfRule>
    <cfRule type="cellIs" dxfId="1503" priority="1505" stopIfTrue="1" operator="equal">
      <formula>"Fail"</formula>
    </cfRule>
  </conditionalFormatting>
  <conditionalFormatting sqref="Q538 N538">
    <cfRule type="cellIs" dxfId="1502" priority="1502" stopIfTrue="1" operator="equal">
      <formula>"Pass"</formula>
    </cfRule>
    <cfRule type="cellIs" dxfId="1501" priority="1503" stopIfTrue="1" operator="equal">
      <formula>"Fail"</formula>
    </cfRule>
  </conditionalFormatting>
  <conditionalFormatting sqref="J538:Q538">
    <cfRule type="cellIs" dxfId="1500" priority="1500" stopIfTrue="1" operator="equal">
      <formula>"Pass"</formula>
    </cfRule>
    <cfRule type="cellIs" dxfId="1499" priority="1501" stopIfTrue="1" operator="equal">
      <formula>"Fail"</formula>
    </cfRule>
  </conditionalFormatting>
  <conditionalFormatting sqref="J541:J543 K541:Q542">
    <cfRule type="cellIs" dxfId="1498" priority="1498" stopIfTrue="1" operator="equal">
      <formula>"Pass"</formula>
    </cfRule>
    <cfRule type="cellIs" dxfId="1497" priority="1499" stopIfTrue="1" operator="equal">
      <formula>"Fail"</formula>
    </cfRule>
  </conditionalFormatting>
  <conditionalFormatting sqref="W541">
    <cfRule type="cellIs" dxfId="1496" priority="1496" stopIfTrue="1" operator="equal">
      <formula>"Fail"</formula>
    </cfRule>
    <cfRule type="cellIs" dxfId="1495" priority="1497" stopIfTrue="1" operator="equal">
      <formula>"Pass"</formula>
    </cfRule>
  </conditionalFormatting>
  <conditionalFormatting sqref="J541:Q541">
    <cfRule type="cellIs" dxfId="1494" priority="1494" stopIfTrue="1" operator="equal">
      <formula>"Pass"</formula>
    </cfRule>
    <cfRule type="cellIs" dxfId="1493" priority="1495" stopIfTrue="1" operator="equal">
      <formula>"Fail"</formula>
    </cfRule>
  </conditionalFormatting>
  <conditionalFormatting sqref="J541:Q541">
    <cfRule type="cellIs" dxfId="1492" priority="1492" stopIfTrue="1" operator="equal">
      <formula>"Pass"</formula>
    </cfRule>
    <cfRule type="cellIs" dxfId="1491" priority="1493" stopIfTrue="1" operator="equal">
      <formula>"Fail"</formula>
    </cfRule>
  </conditionalFormatting>
  <conditionalFormatting sqref="J541:Q541">
    <cfRule type="cellIs" dxfId="1490" priority="1490" stopIfTrue="1" operator="equal">
      <formula>"Pass"</formula>
    </cfRule>
    <cfRule type="cellIs" dxfId="1489" priority="1491" stopIfTrue="1" operator="equal">
      <formula>"Fail"</formula>
    </cfRule>
  </conditionalFormatting>
  <conditionalFormatting sqref="J541:Q541">
    <cfRule type="cellIs" dxfId="1488" priority="1488" stopIfTrue="1" operator="equal">
      <formula>"Pass"</formula>
    </cfRule>
    <cfRule type="cellIs" dxfId="1487" priority="1489" stopIfTrue="1" operator="equal">
      <formula>"Fail"</formula>
    </cfRule>
  </conditionalFormatting>
  <conditionalFormatting sqref="J541:M541 O541:P541">
    <cfRule type="cellIs" dxfId="1486" priority="1486" stopIfTrue="1" operator="equal">
      <formula>"Pass"</formula>
    </cfRule>
    <cfRule type="cellIs" dxfId="1485" priority="1487" stopIfTrue="1" operator="equal">
      <formula>"Fail"</formula>
    </cfRule>
  </conditionalFormatting>
  <conditionalFormatting sqref="Q541 N541">
    <cfRule type="cellIs" dxfId="1484" priority="1484" stopIfTrue="1" operator="equal">
      <formula>"Pass"</formula>
    </cfRule>
    <cfRule type="cellIs" dxfId="1483" priority="1485" stopIfTrue="1" operator="equal">
      <formula>"Fail"</formula>
    </cfRule>
  </conditionalFormatting>
  <conditionalFormatting sqref="J541:Q541">
    <cfRule type="cellIs" dxfId="1482" priority="1482" stopIfTrue="1" operator="equal">
      <formula>"Pass"</formula>
    </cfRule>
    <cfRule type="cellIs" dxfId="1481" priority="1483" stopIfTrue="1" operator="equal">
      <formula>"Fail"</formula>
    </cfRule>
  </conditionalFormatting>
  <conditionalFormatting sqref="J544:J546 K544:Q545">
    <cfRule type="cellIs" dxfId="1480" priority="1480" stopIfTrue="1" operator="equal">
      <formula>"Pass"</formula>
    </cfRule>
    <cfRule type="cellIs" dxfId="1479" priority="1481" stopIfTrue="1" operator="equal">
      <formula>"Fail"</formula>
    </cfRule>
  </conditionalFormatting>
  <conditionalFormatting sqref="W544">
    <cfRule type="cellIs" dxfId="1478" priority="1478" stopIfTrue="1" operator="equal">
      <formula>"Fail"</formula>
    </cfRule>
    <cfRule type="cellIs" dxfId="1477" priority="1479" stopIfTrue="1" operator="equal">
      <formula>"Pass"</formula>
    </cfRule>
  </conditionalFormatting>
  <conditionalFormatting sqref="J544:Q544">
    <cfRule type="cellIs" dxfId="1476" priority="1476" stopIfTrue="1" operator="equal">
      <formula>"Pass"</formula>
    </cfRule>
    <cfRule type="cellIs" dxfId="1475" priority="1477" stopIfTrue="1" operator="equal">
      <formula>"Fail"</formula>
    </cfRule>
  </conditionalFormatting>
  <conditionalFormatting sqref="J544:Q544">
    <cfRule type="cellIs" dxfId="1474" priority="1474" stopIfTrue="1" operator="equal">
      <formula>"Pass"</formula>
    </cfRule>
    <cfRule type="cellIs" dxfId="1473" priority="1475" stopIfTrue="1" operator="equal">
      <formula>"Fail"</formula>
    </cfRule>
  </conditionalFormatting>
  <conditionalFormatting sqref="J544:Q544">
    <cfRule type="cellIs" dxfId="1472" priority="1472" stopIfTrue="1" operator="equal">
      <formula>"Pass"</formula>
    </cfRule>
    <cfRule type="cellIs" dxfId="1471" priority="1473" stopIfTrue="1" operator="equal">
      <formula>"Fail"</formula>
    </cfRule>
  </conditionalFormatting>
  <conditionalFormatting sqref="J544:Q544">
    <cfRule type="cellIs" dxfId="1470" priority="1470" stopIfTrue="1" operator="equal">
      <formula>"Pass"</formula>
    </cfRule>
    <cfRule type="cellIs" dxfId="1469" priority="1471" stopIfTrue="1" operator="equal">
      <formula>"Fail"</formula>
    </cfRule>
  </conditionalFormatting>
  <conditionalFormatting sqref="J544:M544 O544:P544">
    <cfRule type="cellIs" dxfId="1468" priority="1468" stopIfTrue="1" operator="equal">
      <formula>"Pass"</formula>
    </cfRule>
    <cfRule type="cellIs" dxfId="1467" priority="1469" stopIfTrue="1" operator="equal">
      <formula>"Fail"</formula>
    </cfRule>
  </conditionalFormatting>
  <conditionalFormatting sqref="Q544 N544">
    <cfRule type="cellIs" dxfId="1466" priority="1466" stopIfTrue="1" operator="equal">
      <formula>"Pass"</formula>
    </cfRule>
    <cfRule type="cellIs" dxfId="1465" priority="1467" stopIfTrue="1" operator="equal">
      <formula>"Fail"</formula>
    </cfRule>
  </conditionalFormatting>
  <conditionalFormatting sqref="J544:Q544">
    <cfRule type="cellIs" dxfId="1464" priority="1464" stopIfTrue="1" operator="equal">
      <formula>"Pass"</formula>
    </cfRule>
    <cfRule type="cellIs" dxfId="1463" priority="1465" stopIfTrue="1" operator="equal">
      <formula>"Fail"</formula>
    </cfRule>
  </conditionalFormatting>
  <conditionalFormatting sqref="J547:J549 K547:Q548">
    <cfRule type="cellIs" dxfId="1462" priority="1462" stopIfTrue="1" operator="equal">
      <formula>"Pass"</formula>
    </cfRule>
    <cfRule type="cellIs" dxfId="1461" priority="1463" stopIfTrue="1" operator="equal">
      <formula>"Fail"</formula>
    </cfRule>
  </conditionalFormatting>
  <conditionalFormatting sqref="W547">
    <cfRule type="cellIs" dxfId="1460" priority="1460" stopIfTrue="1" operator="equal">
      <formula>"Fail"</formula>
    </cfRule>
    <cfRule type="cellIs" dxfId="1459" priority="1461" stopIfTrue="1" operator="equal">
      <formula>"Pass"</formula>
    </cfRule>
  </conditionalFormatting>
  <conditionalFormatting sqref="J547:Q547">
    <cfRule type="cellIs" dxfId="1458" priority="1458" stopIfTrue="1" operator="equal">
      <formula>"Pass"</formula>
    </cfRule>
    <cfRule type="cellIs" dxfId="1457" priority="1459" stopIfTrue="1" operator="equal">
      <formula>"Fail"</formula>
    </cfRule>
  </conditionalFormatting>
  <conditionalFormatting sqref="J547:Q547">
    <cfRule type="cellIs" dxfId="1456" priority="1456" stopIfTrue="1" operator="equal">
      <formula>"Pass"</formula>
    </cfRule>
    <cfRule type="cellIs" dxfId="1455" priority="1457" stopIfTrue="1" operator="equal">
      <formula>"Fail"</formula>
    </cfRule>
  </conditionalFormatting>
  <conditionalFormatting sqref="J547:Q547">
    <cfRule type="cellIs" dxfId="1454" priority="1454" stopIfTrue="1" operator="equal">
      <formula>"Pass"</formula>
    </cfRule>
    <cfRule type="cellIs" dxfId="1453" priority="1455" stopIfTrue="1" operator="equal">
      <formula>"Fail"</formula>
    </cfRule>
  </conditionalFormatting>
  <conditionalFormatting sqref="J547:Q547">
    <cfRule type="cellIs" dxfId="1452" priority="1452" stopIfTrue="1" operator="equal">
      <formula>"Pass"</formula>
    </cfRule>
    <cfRule type="cellIs" dxfId="1451" priority="1453" stopIfTrue="1" operator="equal">
      <formula>"Fail"</formula>
    </cfRule>
  </conditionalFormatting>
  <conditionalFormatting sqref="J547:M547 O547:P547">
    <cfRule type="cellIs" dxfId="1450" priority="1450" stopIfTrue="1" operator="equal">
      <formula>"Pass"</formula>
    </cfRule>
    <cfRule type="cellIs" dxfId="1449" priority="1451" stopIfTrue="1" operator="equal">
      <formula>"Fail"</formula>
    </cfRule>
  </conditionalFormatting>
  <conditionalFormatting sqref="Q547 N547">
    <cfRule type="cellIs" dxfId="1448" priority="1448" stopIfTrue="1" operator="equal">
      <formula>"Pass"</formula>
    </cfRule>
    <cfRule type="cellIs" dxfId="1447" priority="1449" stopIfTrue="1" operator="equal">
      <formula>"Fail"</formula>
    </cfRule>
  </conditionalFormatting>
  <conditionalFormatting sqref="J547:Q547">
    <cfRule type="cellIs" dxfId="1446" priority="1446" stopIfTrue="1" operator="equal">
      <formula>"Pass"</formula>
    </cfRule>
    <cfRule type="cellIs" dxfId="1445" priority="1447" stopIfTrue="1" operator="equal">
      <formula>"Fail"</formula>
    </cfRule>
  </conditionalFormatting>
  <conditionalFormatting sqref="J550:J552 K550:Q551">
    <cfRule type="cellIs" dxfId="1444" priority="1444" stopIfTrue="1" operator="equal">
      <formula>"Pass"</formula>
    </cfRule>
    <cfRule type="cellIs" dxfId="1443" priority="1445" stopIfTrue="1" operator="equal">
      <formula>"Fail"</formula>
    </cfRule>
  </conditionalFormatting>
  <conditionalFormatting sqref="W550">
    <cfRule type="cellIs" dxfId="1442" priority="1442" stopIfTrue="1" operator="equal">
      <formula>"Fail"</formula>
    </cfRule>
    <cfRule type="cellIs" dxfId="1441" priority="1443" stopIfTrue="1" operator="equal">
      <formula>"Pass"</formula>
    </cfRule>
  </conditionalFormatting>
  <conditionalFormatting sqref="J550:Q550">
    <cfRule type="cellIs" dxfId="1440" priority="1440" stopIfTrue="1" operator="equal">
      <formula>"Pass"</formula>
    </cfRule>
    <cfRule type="cellIs" dxfId="1439" priority="1441" stopIfTrue="1" operator="equal">
      <formula>"Fail"</formula>
    </cfRule>
  </conditionalFormatting>
  <conditionalFormatting sqref="J550:Q550">
    <cfRule type="cellIs" dxfId="1438" priority="1438" stopIfTrue="1" operator="equal">
      <formula>"Pass"</formula>
    </cfRule>
    <cfRule type="cellIs" dxfId="1437" priority="1439" stopIfTrue="1" operator="equal">
      <formula>"Fail"</formula>
    </cfRule>
  </conditionalFormatting>
  <conditionalFormatting sqref="J550:Q550">
    <cfRule type="cellIs" dxfId="1436" priority="1436" stopIfTrue="1" operator="equal">
      <formula>"Pass"</formula>
    </cfRule>
    <cfRule type="cellIs" dxfId="1435" priority="1437" stopIfTrue="1" operator="equal">
      <formula>"Fail"</formula>
    </cfRule>
  </conditionalFormatting>
  <conditionalFormatting sqref="J550:Q550">
    <cfRule type="cellIs" dxfId="1434" priority="1434" stopIfTrue="1" operator="equal">
      <formula>"Pass"</formula>
    </cfRule>
    <cfRule type="cellIs" dxfId="1433" priority="1435" stopIfTrue="1" operator="equal">
      <formula>"Fail"</formula>
    </cfRule>
  </conditionalFormatting>
  <conditionalFormatting sqref="J550:M550 O550:P550">
    <cfRule type="cellIs" dxfId="1432" priority="1432" stopIfTrue="1" operator="equal">
      <formula>"Pass"</formula>
    </cfRule>
    <cfRule type="cellIs" dxfId="1431" priority="1433" stopIfTrue="1" operator="equal">
      <formula>"Fail"</formula>
    </cfRule>
  </conditionalFormatting>
  <conditionalFormatting sqref="Q550 N550">
    <cfRule type="cellIs" dxfId="1430" priority="1430" stopIfTrue="1" operator="equal">
      <formula>"Pass"</formula>
    </cfRule>
    <cfRule type="cellIs" dxfId="1429" priority="1431" stopIfTrue="1" operator="equal">
      <formula>"Fail"</formula>
    </cfRule>
  </conditionalFormatting>
  <conditionalFormatting sqref="J550:Q550">
    <cfRule type="cellIs" dxfId="1428" priority="1428" stopIfTrue="1" operator="equal">
      <formula>"Pass"</formula>
    </cfRule>
    <cfRule type="cellIs" dxfId="1427" priority="1429" stopIfTrue="1" operator="equal">
      <formula>"Fail"</formula>
    </cfRule>
  </conditionalFormatting>
  <conditionalFormatting sqref="J553:J555 K553:Q554">
    <cfRule type="cellIs" dxfId="1426" priority="1426" stopIfTrue="1" operator="equal">
      <formula>"Pass"</formula>
    </cfRule>
    <cfRule type="cellIs" dxfId="1425" priority="1427" stopIfTrue="1" operator="equal">
      <formula>"Fail"</formula>
    </cfRule>
  </conditionalFormatting>
  <conditionalFormatting sqref="W553">
    <cfRule type="cellIs" dxfId="1424" priority="1424" stopIfTrue="1" operator="equal">
      <formula>"Fail"</formula>
    </cfRule>
    <cfRule type="cellIs" dxfId="1423" priority="1425" stopIfTrue="1" operator="equal">
      <formula>"Pass"</formula>
    </cfRule>
  </conditionalFormatting>
  <conditionalFormatting sqref="J553:Q553">
    <cfRule type="cellIs" dxfId="1422" priority="1422" stopIfTrue="1" operator="equal">
      <formula>"Pass"</formula>
    </cfRule>
    <cfRule type="cellIs" dxfId="1421" priority="1423" stopIfTrue="1" operator="equal">
      <formula>"Fail"</formula>
    </cfRule>
  </conditionalFormatting>
  <conditionalFormatting sqref="J553:Q553">
    <cfRule type="cellIs" dxfId="1420" priority="1420" stopIfTrue="1" operator="equal">
      <formula>"Pass"</formula>
    </cfRule>
    <cfRule type="cellIs" dxfId="1419" priority="1421" stopIfTrue="1" operator="equal">
      <formula>"Fail"</formula>
    </cfRule>
  </conditionalFormatting>
  <conditionalFormatting sqref="J553:Q553">
    <cfRule type="cellIs" dxfId="1418" priority="1418" stopIfTrue="1" operator="equal">
      <formula>"Pass"</formula>
    </cfRule>
    <cfRule type="cellIs" dxfId="1417" priority="1419" stopIfTrue="1" operator="equal">
      <formula>"Fail"</formula>
    </cfRule>
  </conditionalFormatting>
  <conditionalFormatting sqref="J553:Q553">
    <cfRule type="cellIs" dxfId="1416" priority="1416" stopIfTrue="1" operator="equal">
      <formula>"Pass"</formula>
    </cfRule>
    <cfRule type="cellIs" dxfId="1415" priority="1417" stopIfTrue="1" operator="equal">
      <formula>"Fail"</formula>
    </cfRule>
  </conditionalFormatting>
  <conditionalFormatting sqref="J553:M553 O553:P553">
    <cfRule type="cellIs" dxfId="1414" priority="1414" stopIfTrue="1" operator="equal">
      <formula>"Pass"</formula>
    </cfRule>
    <cfRule type="cellIs" dxfId="1413" priority="1415" stopIfTrue="1" operator="equal">
      <formula>"Fail"</formula>
    </cfRule>
  </conditionalFormatting>
  <conditionalFormatting sqref="Q553 N553">
    <cfRule type="cellIs" dxfId="1412" priority="1412" stopIfTrue="1" operator="equal">
      <formula>"Pass"</formula>
    </cfRule>
    <cfRule type="cellIs" dxfId="1411" priority="1413" stopIfTrue="1" operator="equal">
      <formula>"Fail"</formula>
    </cfRule>
  </conditionalFormatting>
  <conditionalFormatting sqref="J553:Q553">
    <cfRule type="cellIs" dxfId="1410" priority="1410" stopIfTrue="1" operator="equal">
      <formula>"Pass"</formula>
    </cfRule>
    <cfRule type="cellIs" dxfId="1409" priority="1411" stopIfTrue="1" operator="equal">
      <formula>"Fail"</formula>
    </cfRule>
  </conditionalFormatting>
  <conditionalFormatting sqref="J556:J558 K556:Q557">
    <cfRule type="cellIs" dxfId="1408" priority="1408" stopIfTrue="1" operator="equal">
      <formula>"Pass"</formula>
    </cfRule>
    <cfRule type="cellIs" dxfId="1407" priority="1409" stopIfTrue="1" operator="equal">
      <formula>"Fail"</formula>
    </cfRule>
  </conditionalFormatting>
  <conditionalFormatting sqref="W556">
    <cfRule type="cellIs" dxfId="1406" priority="1406" stopIfTrue="1" operator="equal">
      <formula>"Fail"</formula>
    </cfRule>
    <cfRule type="cellIs" dxfId="1405" priority="1407" stopIfTrue="1" operator="equal">
      <formula>"Pass"</formula>
    </cfRule>
  </conditionalFormatting>
  <conditionalFormatting sqref="J556:Q556">
    <cfRule type="cellIs" dxfId="1404" priority="1404" stopIfTrue="1" operator="equal">
      <formula>"Pass"</formula>
    </cfRule>
    <cfRule type="cellIs" dxfId="1403" priority="1405" stopIfTrue="1" operator="equal">
      <formula>"Fail"</formula>
    </cfRule>
  </conditionalFormatting>
  <conditionalFormatting sqref="J556:Q556">
    <cfRule type="cellIs" dxfId="1402" priority="1402" stopIfTrue="1" operator="equal">
      <formula>"Pass"</formula>
    </cfRule>
    <cfRule type="cellIs" dxfId="1401" priority="1403" stopIfTrue="1" operator="equal">
      <formula>"Fail"</formula>
    </cfRule>
  </conditionalFormatting>
  <conditionalFormatting sqref="J556:Q556">
    <cfRule type="cellIs" dxfId="1400" priority="1400" stopIfTrue="1" operator="equal">
      <formula>"Pass"</formula>
    </cfRule>
    <cfRule type="cellIs" dxfId="1399" priority="1401" stopIfTrue="1" operator="equal">
      <formula>"Fail"</formula>
    </cfRule>
  </conditionalFormatting>
  <conditionalFormatting sqref="J556:Q556">
    <cfRule type="cellIs" dxfId="1398" priority="1398" stopIfTrue="1" operator="equal">
      <formula>"Pass"</formula>
    </cfRule>
    <cfRule type="cellIs" dxfId="1397" priority="1399" stopIfTrue="1" operator="equal">
      <formula>"Fail"</formula>
    </cfRule>
  </conditionalFormatting>
  <conditionalFormatting sqref="J556:M556 O556:P556">
    <cfRule type="cellIs" dxfId="1396" priority="1396" stopIfTrue="1" operator="equal">
      <formula>"Pass"</formula>
    </cfRule>
    <cfRule type="cellIs" dxfId="1395" priority="1397" stopIfTrue="1" operator="equal">
      <formula>"Fail"</formula>
    </cfRule>
  </conditionalFormatting>
  <conditionalFormatting sqref="Q556 N556">
    <cfRule type="cellIs" dxfId="1394" priority="1394" stopIfTrue="1" operator="equal">
      <formula>"Pass"</formula>
    </cfRule>
    <cfRule type="cellIs" dxfId="1393" priority="1395" stopIfTrue="1" operator="equal">
      <formula>"Fail"</formula>
    </cfRule>
  </conditionalFormatting>
  <conditionalFormatting sqref="J556:Q556">
    <cfRule type="cellIs" dxfId="1392" priority="1392" stopIfTrue="1" operator="equal">
      <formula>"Pass"</formula>
    </cfRule>
    <cfRule type="cellIs" dxfId="1391" priority="1393" stopIfTrue="1" operator="equal">
      <formula>"Fail"</formula>
    </cfRule>
  </conditionalFormatting>
  <conditionalFormatting sqref="J559:J561 K559:Q560">
    <cfRule type="cellIs" dxfId="1390" priority="1390" stopIfTrue="1" operator="equal">
      <formula>"Pass"</formula>
    </cfRule>
    <cfRule type="cellIs" dxfId="1389" priority="1391" stopIfTrue="1" operator="equal">
      <formula>"Fail"</formula>
    </cfRule>
  </conditionalFormatting>
  <conditionalFormatting sqref="W559">
    <cfRule type="cellIs" dxfId="1388" priority="1388" stopIfTrue="1" operator="equal">
      <formula>"Fail"</formula>
    </cfRule>
    <cfRule type="cellIs" dxfId="1387" priority="1389" stopIfTrue="1" operator="equal">
      <formula>"Pass"</formula>
    </cfRule>
  </conditionalFormatting>
  <conditionalFormatting sqref="J559:Q559">
    <cfRule type="cellIs" dxfId="1386" priority="1386" stopIfTrue="1" operator="equal">
      <formula>"Pass"</formula>
    </cfRule>
    <cfRule type="cellIs" dxfId="1385" priority="1387" stopIfTrue="1" operator="equal">
      <formula>"Fail"</formula>
    </cfRule>
  </conditionalFormatting>
  <conditionalFormatting sqref="J559:Q559">
    <cfRule type="cellIs" dxfId="1384" priority="1384" stopIfTrue="1" operator="equal">
      <formula>"Pass"</formula>
    </cfRule>
    <cfRule type="cellIs" dxfId="1383" priority="1385" stopIfTrue="1" operator="equal">
      <formula>"Fail"</formula>
    </cfRule>
  </conditionalFormatting>
  <conditionalFormatting sqref="J559:Q559">
    <cfRule type="cellIs" dxfId="1382" priority="1382" stopIfTrue="1" operator="equal">
      <formula>"Pass"</formula>
    </cfRule>
    <cfRule type="cellIs" dxfId="1381" priority="1383" stopIfTrue="1" operator="equal">
      <formula>"Fail"</formula>
    </cfRule>
  </conditionalFormatting>
  <conditionalFormatting sqref="J559:Q559">
    <cfRule type="cellIs" dxfId="1380" priority="1380" stopIfTrue="1" operator="equal">
      <formula>"Pass"</formula>
    </cfRule>
    <cfRule type="cellIs" dxfId="1379" priority="1381" stopIfTrue="1" operator="equal">
      <formula>"Fail"</formula>
    </cfRule>
  </conditionalFormatting>
  <conditionalFormatting sqref="J559:M559 O559:P559">
    <cfRule type="cellIs" dxfId="1378" priority="1378" stopIfTrue="1" operator="equal">
      <formula>"Pass"</formula>
    </cfRule>
    <cfRule type="cellIs" dxfId="1377" priority="1379" stopIfTrue="1" operator="equal">
      <formula>"Fail"</formula>
    </cfRule>
  </conditionalFormatting>
  <conditionalFormatting sqref="Q559 N559">
    <cfRule type="cellIs" dxfId="1376" priority="1376" stopIfTrue="1" operator="equal">
      <formula>"Pass"</formula>
    </cfRule>
    <cfRule type="cellIs" dxfId="1375" priority="1377" stopIfTrue="1" operator="equal">
      <formula>"Fail"</formula>
    </cfRule>
  </conditionalFormatting>
  <conditionalFormatting sqref="J559:Q559">
    <cfRule type="cellIs" dxfId="1374" priority="1374" stopIfTrue="1" operator="equal">
      <formula>"Pass"</formula>
    </cfRule>
    <cfRule type="cellIs" dxfId="1373" priority="1375" stopIfTrue="1" operator="equal">
      <formula>"Fail"</formula>
    </cfRule>
  </conditionalFormatting>
  <conditionalFormatting sqref="J562:J564 K562:Q563">
    <cfRule type="cellIs" dxfId="1372" priority="1372" stopIfTrue="1" operator="equal">
      <formula>"Pass"</formula>
    </cfRule>
    <cfRule type="cellIs" dxfId="1371" priority="1373" stopIfTrue="1" operator="equal">
      <formula>"Fail"</formula>
    </cfRule>
  </conditionalFormatting>
  <conditionalFormatting sqref="W562">
    <cfRule type="cellIs" dxfId="1370" priority="1370" stopIfTrue="1" operator="equal">
      <formula>"Fail"</formula>
    </cfRule>
    <cfRule type="cellIs" dxfId="1369" priority="1371" stopIfTrue="1" operator="equal">
      <formula>"Pass"</formula>
    </cfRule>
  </conditionalFormatting>
  <conditionalFormatting sqref="J562:Q562">
    <cfRule type="cellIs" dxfId="1368" priority="1368" stopIfTrue="1" operator="equal">
      <formula>"Pass"</formula>
    </cfRule>
    <cfRule type="cellIs" dxfId="1367" priority="1369" stopIfTrue="1" operator="equal">
      <formula>"Fail"</formula>
    </cfRule>
  </conditionalFormatting>
  <conditionalFormatting sqref="J562:Q562">
    <cfRule type="cellIs" dxfId="1366" priority="1366" stopIfTrue="1" operator="equal">
      <formula>"Pass"</formula>
    </cfRule>
    <cfRule type="cellIs" dxfId="1365" priority="1367" stopIfTrue="1" operator="equal">
      <formula>"Fail"</formula>
    </cfRule>
  </conditionalFormatting>
  <conditionalFormatting sqref="J562:Q562">
    <cfRule type="cellIs" dxfId="1364" priority="1364" stopIfTrue="1" operator="equal">
      <formula>"Pass"</formula>
    </cfRule>
    <cfRule type="cellIs" dxfId="1363" priority="1365" stopIfTrue="1" operator="equal">
      <formula>"Fail"</formula>
    </cfRule>
  </conditionalFormatting>
  <conditionalFormatting sqref="J562:Q562">
    <cfRule type="cellIs" dxfId="1362" priority="1362" stopIfTrue="1" operator="equal">
      <formula>"Pass"</formula>
    </cfRule>
    <cfRule type="cellIs" dxfId="1361" priority="1363" stopIfTrue="1" operator="equal">
      <formula>"Fail"</formula>
    </cfRule>
  </conditionalFormatting>
  <conditionalFormatting sqref="J562:M562 O562:P562">
    <cfRule type="cellIs" dxfId="1360" priority="1360" stopIfTrue="1" operator="equal">
      <formula>"Pass"</formula>
    </cfRule>
    <cfRule type="cellIs" dxfId="1359" priority="1361" stopIfTrue="1" operator="equal">
      <formula>"Fail"</formula>
    </cfRule>
  </conditionalFormatting>
  <conditionalFormatting sqref="Q562 N562">
    <cfRule type="cellIs" dxfId="1358" priority="1358" stopIfTrue="1" operator="equal">
      <formula>"Pass"</formula>
    </cfRule>
    <cfRule type="cellIs" dxfId="1357" priority="1359" stopIfTrue="1" operator="equal">
      <formula>"Fail"</formula>
    </cfRule>
  </conditionalFormatting>
  <conditionalFormatting sqref="J562:Q562">
    <cfRule type="cellIs" dxfId="1356" priority="1356" stopIfTrue="1" operator="equal">
      <formula>"Pass"</formula>
    </cfRule>
    <cfRule type="cellIs" dxfId="1355" priority="1357" stopIfTrue="1" operator="equal">
      <formula>"Fail"</formula>
    </cfRule>
  </conditionalFormatting>
  <conditionalFormatting sqref="J565:J567 K565:Q566">
    <cfRule type="cellIs" dxfId="1354" priority="1354" stopIfTrue="1" operator="equal">
      <formula>"Pass"</formula>
    </cfRule>
    <cfRule type="cellIs" dxfId="1353" priority="1355" stopIfTrue="1" operator="equal">
      <formula>"Fail"</formula>
    </cfRule>
  </conditionalFormatting>
  <conditionalFormatting sqref="W565">
    <cfRule type="cellIs" dxfId="1352" priority="1352" stopIfTrue="1" operator="equal">
      <formula>"Fail"</formula>
    </cfRule>
    <cfRule type="cellIs" dxfId="1351" priority="1353" stopIfTrue="1" operator="equal">
      <formula>"Pass"</formula>
    </cfRule>
  </conditionalFormatting>
  <conditionalFormatting sqref="J565:Q565">
    <cfRule type="cellIs" dxfId="1350" priority="1350" stopIfTrue="1" operator="equal">
      <formula>"Pass"</formula>
    </cfRule>
    <cfRule type="cellIs" dxfId="1349" priority="1351" stopIfTrue="1" operator="equal">
      <formula>"Fail"</formula>
    </cfRule>
  </conditionalFormatting>
  <conditionalFormatting sqref="J565:Q565">
    <cfRule type="cellIs" dxfId="1348" priority="1348" stopIfTrue="1" operator="equal">
      <formula>"Pass"</formula>
    </cfRule>
    <cfRule type="cellIs" dxfId="1347" priority="1349" stopIfTrue="1" operator="equal">
      <formula>"Fail"</formula>
    </cfRule>
  </conditionalFormatting>
  <conditionalFormatting sqref="J565:Q565">
    <cfRule type="cellIs" dxfId="1346" priority="1346" stopIfTrue="1" operator="equal">
      <formula>"Pass"</formula>
    </cfRule>
    <cfRule type="cellIs" dxfId="1345" priority="1347" stopIfTrue="1" operator="equal">
      <formula>"Fail"</formula>
    </cfRule>
  </conditionalFormatting>
  <conditionalFormatting sqref="J565:Q565">
    <cfRule type="cellIs" dxfId="1344" priority="1344" stopIfTrue="1" operator="equal">
      <formula>"Pass"</formula>
    </cfRule>
    <cfRule type="cellIs" dxfId="1343" priority="1345" stopIfTrue="1" operator="equal">
      <formula>"Fail"</formula>
    </cfRule>
  </conditionalFormatting>
  <conditionalFormatting sqref="J565:M565 O565:P565">
    <cfRule type="cellIs" dxfId="1342" priority="1342" stopIfTrue="1" operator="equal">
      <formula>"Pass"</formula>
    </cfRule>
    <cfRule type="cellIs" dxfId="1341" priority="1343" stopIfTrue="1" operator="equal">
      <formula>"Fail"</formula>
    </cfRule>
  </conditionalFormatting>
  <conditionalFormatting sqref="Q565 N565">
    <cfRule type="cellIs" dxfId="1340" priority="1340" stopIfTrue="1" operator="equal">
      <formula>"Pass"</formula>
    </cfRule>
    <cfRule type="cellIs" dxfId="1339" priority="1341" stopIfTrue="1" operator="equal">
      <formula>"Fail"</formula>
    </cfRule>
  </conditionalFormatting>
  <conditionalFormatting sqref="J565:Q565">
    <cfRule type="cellIs" dxfId="1338" priority="1338" stopIfTrue="1" operator="equal">
      <formula>"Pass"</formula>
    </cfRule>
    <cfRule type="cellIs" dxfId="1337" priority="1339" stopIfTrue="1" operator="equal">
      <formula>"Fail"</formula>
    </cfRule>
  </conditionalFormatting>
  <conditionalFormatting sqref="J568:J570 K568:Q569">
    <cfRule type="cellIs" dxfId="1336" priority="1336" stopIfTrue="1" operator="equal">
      <formula>"Pass"</formula>
    </cfRule>
    <cfRule type="cellIs" dxfId="1335" priority="1337" stopIfTrue="1" operator="equal">
      <formula>"Fail"</formula>
    </cfRule>
  </conditionalFormatting>
  <conditionalFormatting sqref="W568">
    <cfRule type="cellIs" dxfId="1334" priority="1334" stopIfTrue="1" operator="equal">
      <formula>"Fail"</formula>
    </cfRule>
    <cfRule type="cellIs" dxfId="1333" priority="1335" stopIfTrue="1" operator="equal">
      <formula>"Pass"</formula>
    </cfRule>
  </conditionalFormatting>
  <conditionalFormatting sqref="J568:Q568">
    <cfRule type="cellIs" dxfId="1332" priority="1332" stopIfTrue="1" operator="equal">
      <formula>"Pass"</formula>
    </cfRule>
    <cfRule type="cellIs" dxfId="1331" priority="1333" stopIfTrue="1" operator="equal">
      <formula>"Fail"</formula>
    </cfRule>
  </conditionalFormatting>
  <conditionalFormatting sqref="J568:Q568">
    <cfRule type="cellIs" dxfId="1330" priority="1330" stopIfTrue="1" operator="equal">
      <formula>"Pass"</formula>
    </cfRule>
    <cfRule type="cellIs" dxfId="1329" priority="1331" stopIfTrue="1" operator="equal">
      <formula>"Fail"</formula>
    </cfRule>
  </conditionalFormatting>
  <conditionalFormatting sqref="J568:Q568">
    <cfRule type="cellIs" dxfId="1328" priority="1328" stopIfTrue="1" operator="equal">
      <formula>"Pass"</formula>
    </cfRule>
    <cfRule type="cellIs" dxfId="1327" priority="1329" stopIfTrue="1" operator="equal">
      <formula>"Fail"</formula>
    </cfRule>
  </conditionalFormatting>
  <conditionalFormatting sqref="J568:Q568">
    <cfRule type="cellIs" dxfId="1326" priority="1326" stopIfTrue="1" operator="equal">
      <formula>"Pass"</formula>
    </cfRule>
    <cfRule type="cellIs" dxfId="1325" priority="1327" stopIfTrue="1" operator="equal">
      <formula>"Fail"</formula>
    </cfRule>
  </conditionalFormatting>
  <conditionalFormatting sqref="J568:M568 O568:P568">
    <cfRule type="cellIs" dxfId="1324" priority="1324" stopIfTrue="1" operator="equal">
      <formula>"Pass"</formula>
    </cfRule>
    <cfRule type="cellIs" dxfId="1323" priority="1325" stopIfTrue="1" operator="equal">
      <formula>"Fail"</formula>
    </cfRule>
  </conditionalFormatting>
  <conditionalFormatting sqref="Q568 N568">
    <cfRule type="cellIs" dxfId="1322" priority="1322" stopIfTrue="1" operator="equal">
      <formula>"Pass"</formula>
    </cfRule>
    <cfRule type="cellIs" dxfId="1321" priority="1323" stopIfTrue="1" operator="equal">
      <formula>"Fail"</formula>
    </cfRule>
  </conditionalFormatting>
  <conditionalFormatting sqref="J568:Q568">
    <cfRule type="cellIs" dxfId="1320" priority="1320" stopIfTrue="1" operator="equal">
      <formula>"Pass"</formula>
    </cfRule>
    <cfRule type="cellIs" dxfId="1319" priority="1321" stopIfTrue="1" operator="equal">
      <formula>"Fail"</formula>
    </cfRule>
  </conditionalFormatting>
  <conditionalFormatting sqref="J571:J573 K571:Q572">
    <cfRule type="cellIs" dxfId="1318" priority="1318" stopIfTrue="1" operator="equal">
      <formula>"Pass"</formula>
    </cfRule>
    <cfRule type="cellIs" dxfId="1317" priority="1319" stopIfTrue="1" operator="equal">
      <formula>"Fail"</formula>
    </cfRule>
  </conditionalFormatting>
  <conditionalFormatting sqref="W571">
    <cfRule type="cellIs" dxfId="1316" priority="1316" stopIfTrue="1" operator="equal">
      <formula>"Fail"</formula>
    </cfRule>
    <cfRule type="cellIs" dxfId="1315" priority="1317" stopIfTrue="1" operator="equal">
      <formula>"Pass"</formula>
    </cfRule>
  </conditionalFormatting>
  <conditionalFormatting sqref="J571:Q571">
    <cfRule type="cellIs" dxfId="1314" priority="1314" stopIfTrue="1" operator="equal">
      <formula>"Pass"</formula>
    </cfRule>
    <cfRule type="cellIs" dxfId="1313" priority="1315" stopIfTrue="1" operator="equal">
      <formula>"Fail"</formula>
    </cfRule>
  </conditionalFormatting>
  <conditionalFormatting sqref="J571:Q571">
    <cfRule type="cellIs" dxfId="1312" priority="1312" stopIfTrue="1" operator="equal">
      <formula>"Pass"</formula>
    </cfRule>
    <cfRule type="cellIs" dxfId="1311" priority="1313" stopIfTrue="1" operator="equal">
      <formula>"Fail"</formula>
    </cfRule>
  </conditionalFormatting>
  <conditionalFormatting sqref="J571:Q571">
    <cfRule type="cellIs" dxfId="1310" priority="1310" stopIfTrue="1" operator="equal">
      <formula>"Pass"</formula>
    </cfRule>
    <cfRule type="cellIs" dxfId="1309" priority="1311" stopIfTrue="1" operator="equal">
      <formula>"Fail"</formula>
    </cfRule>
  </conditionalFormatting>
  <conditionalFormatting sqref="J571:Q571">
    <cfRule type="cellIs" dxfId="1308" priority="1308" stopIfTrue="1" operator="equal">
      <formula>"Pass"</formula>
    </cfRule>
    <cfRule type="cellIs" dxfId="1307" priority="1309" stopIfTrue="1" operator="equal">
      <formula>"Fail"</formula>
    </cfRule>
  </conditionalFormatting>
  <conditionalFormatting sqref="J571:M571 O571:P571">
    <cfRule type="cellIs" dxfId="1306" priority="1306" stopIfTrue="1" operator="equal">
      <formula>"Pass"</formula>
    </cfRule>
    <cfRule type="cellIs" dxfId="1305" priority="1307" stopIfTrue="1" operator="equal">
      <formula>"Fail"</formula>
    </cfRule>
  </conditionalFormatting>
  <conditionalFormatting sqref="Q571 N571">
    <cfRule type="cellIs" dxfId="1304" priority="1304" stopIfTrue="1" operator="equal">
      <formula>"Pass"</formula>
    </cfRule>
    <cfRule type="cellIs" dxfId="1303" priority="1305" stopIfTrue="1" operator="equal">
      <formula>"Fail"</formula>
    </cfRule>
  </conditionalFormatting>
  <conditionalFormatting sqref="J571:Q571">
    <cfRule type="cellIs" dxfId="1302" priority="1302" stopIfTrue="1" operator="equal">
      <formula>"Pass"</formula>
    </cfRule>
    <cfRule type="cellIs" dxfId="1301" priority="1303" stopIfTrue="1" operator="equal">
      <formula>"Fail"</formula>
    </cfRule>
  </conditionalFormatting>
  <conditionalFormatting sqref="J574:J576 K574:Q575">
    <cfRule type="cellIs" dxfId="1300" priority="1300" stopIfTrue="1" operator="equal">
      <formula>"Pass"</formula>
    </cfRule>
    <cfRule type="cellIs" dxfId="1299" priority="1301" stopIfTrue="1" operator="equal">
      <formula>"Fail"</formula>
    </cfRule>
  </conditionalFormatting>
  <conditionalFormatting sqref="W574">
    <cfRule type="cellIs" dxfId="1298" priority="1298" stopIfTrue="1" operator="equal">
      <formula>"Fail"</formula>
    </cfRule>
    <cfRule type="cellIs" dxfId="1297" priority="1299" stopIfTrue="1" operator="equal">
      <formula>"Pass"</formula>
    </cfRule>
  </conditionalFormatting>
  <conditionalFormatting sqref="J574:Q574">
    <cfRule type="cellIs" dxfId="1296" priority="1296" stopIfTrue="1" operator="equal">
      <formula>"Pass"</formula>
    </cfRule>
    <cfRule type="cellIs" dxfId="1295" priority="1297" stopIfTrue="1" operator="equal">
      <formula>"Fail"</formula>
    </cfRule>
  </conditionalFormatting>
  <conditionalFormatting sqref="J574:Q574">
    <cfRule type="cellIs" dxfId="1294" priority="1294" stopIfTrue="1" operator="equal">
      <formula>"Pass"</formula>
    </cfRule>
    <cfRule type="cellIs" dxfId="1293" priority="1295" stopIfTrue="1" operator="equal">
      <formula>"Fail"</formula>
    </cfRule>
  </conditionalFormatting>
  <conditionalFormatting sqref="J574:Q574">
    <cfRule type="cellIs" dxfId="1292" priority="1292" stopIfTrue="1" operator="equal">
      <formula>"Pass"</formula>
    </cfRule>
    <cfRule type="cellIs" dxfId="1291" priority="1293" stopIfTrue="1" operator="equal">
      <formula>"Fail"</formula>
    </cfRule>
  </conditionalFormatting>
  <conditionalFormatting sqref="J574:Q574">
    <cfRule type="cellIs" dxfId="1290" priority="1290" stopIfTrue="1" operator="equal">
      <formula>"Pass"</formula>
    </cfRule>
    <cfRule type="cellIs" dxfId="1289" priority="1291" stopIfTrue="1" operator="equal">
      <formula>"Fail"</formula>
    </cfRule>
  </conditionalFormatting>
  <conditionalFormatting sqref="J574:M574 O574:P574">
    <cfRule type="cellIs" dxfId="1288" priority="1288" stopIfTrue="1" operator="equal">
      <formula>"Pass"</formula>
    </cfRule>
    <cfRule type="cellIs" dxfId="1287" priority="1289" stopIfTrue="1" operator="equal">
      <formula>"Fail"</formula>
    </cfRule>
  </conditionalFormatting>
  <conditionalFormatting sqref="Q574 N574">
    <cfRule type="cellIs" dxfId="1286" priority="1286" stopIfTrue="1" operator="equal">
      <formula>"Pass"</formula>
    </cfRule>
    <cfRule type="cellIs" dxfId="1285" priority="1287" stopIfTrue="1" operator="equal">
      <formula>"Fail"</formula>
    </cfRule>
  </conditionalFormatting>
  <conditionalFormatting sqref="J574:Q574">
    <cfRule type="cellIs" dxfId="1284" priority="1284" stopIfTrue="1" operator="equal">
      <formula>"Pass"</formula>
    </cfRule>
    <cfRule type="cellIs" dxfId="1283" priority="1285" stopIfTrue="1" operator="equal">
      <formula>"Fail"</formula>
    </cfRule>
  </conditionalFormatting>
  <conditionalFormatting sqref="J577:J579 K577:Q578">
    <cfRule type="cellIs" dxfId="1282" priority="1282" stopIfTrue="1" operator="equal">
      <formula>"Pass"</formula>
    </cfRule>
    <cfRule type="cellIs" dxfId="1281" priority="1283" stopIfTrue="1" operator="equal">
      <formula>"Fail"</formula>
    </cfRule>
  </conditionalFormatting>
  <conditionalFormatting sqref="W577">
    <cfRule type="cellIs" dxfId="1280" priority="1280" stopIfTrue="1" operator="equal">
      <formula>"Fail"</formula>
    </cfRule>
    <cfRule type="cellIs" dxfId="1279" priority="1281" stopIfTrue="1" operator="equal">
      <formula>"Pass"</formula>
    </cfRule>
  </conditionalFormatting>
  <conditionalFormatting sqref="J577:Q577">
    <cfRule type="cellIs" dxfId="1278" priority="1278" stopIfTrue="1" operator="equal">
      <formula>"Pass"</formula>
    </cfRule>
    <cfRule type="cellIs" dxfId="1277" priority="1279" stopIfTrue="1" operator="equal">
      <formula>"Fail"</formula>
    </cfRule>
  </conditionalFormatting>
  <conditionalFormatting sqref="J577:Q577">
    <cfRule type="cellIs" dxfId="1276" priority="1276" stopIfTrue="1" operator="equal">
      <formula>"Pass"</formula>
    </cfRule>
    <cfRule type="cellIs" dxfId="1275" priority="1277" stopIfTrue="1" operator="equal">
      <formula>"Fail"</formula>
    </cfRule>
  </conditionalFormatting>
  <conditionalFormatting sqref="J577:Q577">
    <cfRule type="cellIs" dxfId="1274" priority="1274" stopIfTrue="1" operator="equal">
      <formula>"Pass"</formula>
    </cfRule>
    <cfRule type="cellIs" dxfId="1273" priority="1275" stopIfTrue="1" operator="equal">
      <formula>"Fail"</formula>
    </cfRule>
  </conditionalFormatting>
  <conditionalFormatting sqref="J577:Q577">
    <cfRule type="cellIs" dxfId="1272" priority="1272" stopIfTrue="1" operator="equal">
      <formula>"Pass"</formula>
    </cfRule>
    <cfRule type="cellIs" dxfId="1271" priority="1273" stopIfTrue="1" operator="equal">
      <formula>"Fail"</formula>
    </cfRule>
  </conditionalFormatting>
  <conditionalFormatting sqref="J577:M577 O577:P577">
    <cfRule type="cellIs" dxfId="1270" priority="1270" stopIfTrue="1" operator="equal">
      <formula>"Pass"</formula>
    </cfRule>
    <cfRule type="cellIs" dxfId="1269" priority="1271" stopIfTrue="1" operator="equal">
      <formula>"Fail"</formula>
    </cfRule>
  </conditionalFormatting>
  <conditionalFormatting sqref="Q577 N577">
    <cfRule type="cellIs" dxfId="1268" priority="1268" stopIfTrue="1" operator="equal">
      <formula>"Pass"</formula>
    </cfRule>
    <cfRule type="cellIs" dxfId="1267" priority="1269" stopIfTrue="1" operator="equal">
      <formula>"Fail"</formula>
    </cfRule>
  </conditionalFormatting>
  <conditionalFormatting sqref="J577:Q577">
    <cfRule type="cellIs" dxfId="1266" priority="1266" stopIfTrue="1" operator="equal">
      <formula>"Pass"</formula>
    </cfRule>
    <cfRule type="cellIs" dxfId="1265" priority="1267" stopIfTrue="1" operator="equal">
      <formula>"Fail"</formula>
    </cfRule>
  </conditionalFormatting>
  <conditionalFormatting sqref="J580:J582 K580:Q581">
    <cfRule type="cellIs" dxfId="1264" priority="1264" stopIfTrue="1" operator="equal">
      <formula>"Pass"</formula>
    </cfRule>
    <cfRule type="cellIs" dxfId="1263" priority="1265" stopIfTrue="1" operator="equal">
      <formula>"Fail"</formula>
    </cfRule>
  </conditionalFormatting>
  <conditionalFormatting sqref="W580">
    <cfRule type="cellIs" dxfId="1262" priority="1262" stopIfTrue="1" operator="equal">
      <formula>"Fail"</formula>
    </cfRule>
    <cfRule type="cellIs" dxfId="1261" priority="1263" stopIfTrue="1" operator="equal">
      <formula>"Pass"</formula>
    </cfRule>
  </conditionalFormatting>
  <conditionalFormatting sqref="J580:Q580">
    <cfRule type="cellIs" dxfId="1260" priority="1260" stopIfTrue="1" operator="equal">
      <formula>"Pass"</formula>
    </cfRule>
    <cfRule type="cellIs" dxfId="1259" priority="1261" stopIfTrue="1" operator="equal">
      <formula>"Fail"</formula>
    </cfRule>
  </conditionalFormatting>
  <conditionalFormatting sqref="J580:Q580">
    <cfRule type="cellIs" dxfId="1258" priority="1258" stopIfTrue="1" operator="equal">
      <formula>"Pass"</formula>
    </cfRule>
    <cfRule type="cellIs" dxfId="1257" priority="1259" stopIfTrue="1" operator="equal">
      <formula>"Fail"</formula>
    </cfRule>
  </conditionalFormatting>
  <conditionalFormatting sqref="J580:Q580">
    <cfRule type="cellIs" dxfId="1256" priority="1256" stopIfTrue="1" operator="equal">
      <formula>"Pass"</formula>
    </cfRule>
    <cfRule type="cellIs" dxfId="1255" priority="1257" stopIfTrue="1" operator="equal">
      <formula>"Fail"</formula>
    </cfRule>
  </conditionalFormatting>
  <conditionalFormatting sqref="J580:Q580">
    <cfRule type="cellIs" dxfId="1254" priority="1254" stopIfTrue="1" operator="equal">
      <formula>"Pass"</formula>
    </cfRule>
    <cfRule type="cellIs" dxfId="1253" priority="1255" stopIfTrue="1" operator="equal">
      <formula>"Fail"</formula>
    </cfRule>
  </conditionalFormatting>
  <conditionalFormatting sqref="J580:M580 O580:P580">
    <cfRule type="cellIs" dxfId="1252" priority="1252" stopIfTrue="1" operator="equal">
      <formula>"Pass"</formula>
    </cfRule>
    <cfRule type="cellIs" dxfId="1251" priority="1253" stopIfTrue="1" operator="equal">
      <formula>"Fail"</formula>
    </cfRule>
  </conditionalFormatting>
  <conditionalFormatting sqref="Q580 N580">
    <cfRule type="cellIs" dxfId="1250" priority="1250" stopIfTrue="1" operator="equal">
      <formula>"Pass"</formula>
    </cfRule>
    <cfRule type="cellIs" dxfId="1249" priority="1251" stopIfTrue="1" operator="equal">
      <formula>"Fail"</formula>
    </cfRule>
  </conditionalFormatting>
  <conditionalFormatting sqref="J580:Q580">
    <cfRule type="cellIs" dxfId="1248" priority="1248" stopIfTrue="1" operator="equal">
      <formula>"Pass"</formula>
    </cfRule>
    <cfRule type="cellIs" dxfId="1247" priority="1249" stopIfTrue="1" operator="equal">
      <formula>"Fail"</formula>
    </cfRule>
  </conditionalFormatting>
  <conditionalFormatting sqref="J583:J585 K583:Q584">
    <cfRule type="cellIs" dxfId="1246" priority="1246" stopIfTrue="1" operator="equal">
      <formula>"Pass"</formula>
    </cfRule>
    <cfRule type="cellIs" dxfId="1245" priority="1247" stopIfTrue="1" operator="equal">
      <formula>"Fail"</formula>
    </cfRule>
  </conditionalFormatting>
  <conditionalFormatting sqref="W583">
    <cfRule type="cellIs" dxfId="1244" priority="1244" stopIfTrue="1" operator="equal">
      <formula>"Fail"</formula>
    </cfRule>
    <cfRule type="cellIs" dxfId="1243" priority="1245" stopIfTrue="1" operator="equal">
      <formula>"Pass"</formula>
    </cfRule>
  </conditionalFormatting>
  <conditionalFormatting sqref="J583:Q583">
    <cfRule type="cellIs" dxfId="1242" priority="1242" stopIfTrue="1" operator="equal">
      <formula>"Pass"</formula>
    </cfRule>
    <cfRule type="cellIs" dxfId="1241" priority="1243" stopIfTrue="1" operator="equal">
      <formula>"Fail"</formula>
    </cfRule>
  </conditionalFormatting>
  <conditionalFormatting sqref="J583:Q583">
    <cfRule type="cellIs" dxfId="1240" priority="1240" stopIfTrue="1" operator="equal">
      <formula>"Pass"</formula>
    </cfRule>
    <cfRule type="cellIs" dxfId="1239" priority="1241" stopIfTrue="1" operator="equal">
      <formula>"Fail"</formula>
    </cfRule>
  </conditionalFormatting>
  <conditionalFormatting sqref="J583:Q583">
    <cfRule type="cellIs" dxfId="1238" priority="1238" stopIfTrue="1" operator="equal">
      <formula>"Pass"</formula>
    </cfRule>
    <cfRule type="cellIs" dxfId="1237" priority="1239" stopIfTrue="1" operator="equal">
      <formula>"Fail"</formula>
    </cfRule>
  </conditionalFormatting>
  <conditionalFormatting sqref="J583:Q583">
    <cfRule type="cellIs" dxfId="1236" priority="1236" stopIfTrue="1" operator="equal">
      <formula>"Pass"</formula>
    </cfRule>
    <cfRule type="cellIs" dxfId="1235" priority="1237" stopIfTrue="1" operator="equal">
      <formula>"Fail"</formula>
    </cfRule>
  </conditionalFormatting>
  <conditionalFormatting sqref="J583:M583 O583:P583">
    <cfRule type="cellIs" dxfId="1234" priority="1234" stopIfTrue="1" operator="equal">
      <formula>"Pass"</formula>
    </cfRule>
    <cfRule type="cellIs" dxfId="1233" priority="1235" stopIfTrue="1" operator="equal">
      <formula>"Fail"</formula>
    </cfRule>
  </conditionalFormatting>
  <conditionalFormatting sqref="Q583 N583">
    <cfRule type="cellIs" dxfId="1232" priority="1232" stopIfTrue="1" operator="equal">
      <formula>"Pass"</formula>
    </cfRule>
    <cfRule type="cellIs" dxfId="1231" priority="1233" stopIfTrue="1" operator="equal">
      <formula>"Fail"</formula>
    </cfRule>
  </conditionalFormatting>
  <conditionalFormatting sqref="J583:Q583">
    <cfRule type="cellIs" dxfId="1230" priority="1230" stopIfTrue="1" operator="equal">
      <formula>"Pass"</formula>
    </cfRule>
    <cfRule type="cellIs" dxfId="1229" priority="1231" stopIfTrue="1" operator="equal">
      <formula>"Fail"</formula>
    </cfRule>
  </conditionalFormatting>
  <conditionalFormatting sqref="J586:J588 K586:Q587">
    <cfRule type="cellIs" dxfId="1228" priority="1228" stopIfTrue="1" operator="equal">
      <formula>"Pass"</formula>
    </cfRule>
    <cfRule type="cellIs" dxfId="1227" priority="1229" stopIfTrue="1" operator="equal">
      <formula>"Fail"</formula>
    </cfRule>
  </conditionalFormatting>
  <conditionalFormatting sqref="W586">
    <cfRule type="cellIs" dxfId="1226" priority="1226" stopIfTrue="1" operator="equal">
      <formula>"Fail"</formula>
    </cfRule>
    <cfRule type="cellIs" dxfId="1225" priority="1227" stopIfTrue="1" operator="equal">
      <formula>"Pass"</formula>
    </cfRule>
  </conditionalFormatting>
  <conditionalFormatting sqref="J586:Q586">
    <cfRule type="cellIs" dxfId="1224" priority="1224" stopIfTrue="1" operator="equal">
      <formula>"Pass"</formula>
    </cfRule>
    <cfRule type="cellIs" dxfId="1223" priority="1225" stopIfTrue="1" operator="equal">
      <formula>"Fail"</formula>
    </cfRule>
  </conditionalFormatting>
  <conditionalFormatting sqref="J586:Q586">
    <cfRule type="cellIs" dxfId="1222" priority="1222" stopIfTrue="1" operator="equal">
      <formula>"Pass"</formula>
    </cfRule>
    <cfRule type="cellIs" dxfId="1221" priority="1223" stopIfTrue="1" operator="equal">
      <formula>"Fail"</formula>
    </cfRule>
  </conditionalFormatting>
  <conditionalFormatting sqref="J586:Q586">
    <cfRule type="cellIs" dxfId="1220" priority="1220" stopIfTrue="1" operator="equal">
      <formula>"Pass"</formula>
    </cfRule>
    <cfRule type="cellIs" dxfId="1219" priority="1221" stopIfTrue="1" operator="equal">
      <formula>"Fail"</formula>
    </cfRule>
  </conditionalFormatting>
  <conditionalFormatting sqref="J586:Q586">
    <cfRule type="cellIs" dxfId="1218" priority="1218" stopIfTrue="1" operator="equal">
      <formula>"Pass"</formula>
    </cfRule>
    <cfRule type="cellIs" dxfId="1217" priority="1219" stopIfTrue="1" operator="equal">
      <formula>"Fail"</formula>
    </cfRule>
  </conditionalFormatting>
  <conditionalFormatting sqref="J586:M586 O586:P586">
    <cfRule type="cellIs" dxfId="1216" priority="1216" stopIfTrue="1" operator="equal">
      <formula>"Pass"</formula>
    </cfRule>
    <cfRule type="cellIs" dxfId="1215" priority="1217" stopIfTrue="1" operator="equal">
      <formula>"Fail"</formula>
    </cfRule>
  </conditionalFormatting>
  <conditionalFormatting sqref="Q586 N586">
    <cfRule type="cellIs" dxfId="1214" priority="1214" stopIfTrue="1" operator="equal">
      <formula>"Pass"</formula>
    </cfRule>
    <cfRule type="cellIs" dxfId="1213" priority="1215" stopIfTrue="1" operator="equal">
      <formula>"Fail"</formula>
    </cfRule>
  </conditionalFormatting>
  <conditionalFormatting sqref="J586:Q586">
    <cfRule type="cellIs" dxfId="1212" priority="1212" stopIfTrue="1" operator="equal">
      <formula>"Pass"</formula>
    </cfRule>
    <cfRule type="cellIs" dxfId="1211" priority="1213" stopIfTrue="1" operator="equal">
      <formula>"Fail"</formula>
    </cfRule>
  </conditionalFormatting>
  <conditionalFormatting sqref="J589:J591 K589:Q590">
    <cfRule type="cellIs" dxfId="1210" priority="1210" stopIfTrue="1" operator="equal">
      <formula>"Pass"</formula>
    </cfRule>
    <cfRule type="cellIs" dxfId="1209" priority="1211" stopIfTrue="1" operator="equal">
      <formula>"Fail"</formula>
    </cfRule>
  </conditionalFormatting>
  <conditionalFormatting sqref="W589">
    <cfRule type="cellIs" dxfId="1208" priority="1208" stopIfTrue="1" operator="equal">
      <formula>"Fail"</formula>
    </cfRule>
    <cfRule type="cellIs" dxfId="1207" priority="1209" stopIfTrue="1" operator="equal">
      <formula>"Pass"</formula>
    </cfRule>
  </conditionalFormatting>
  <conditionalFormatting sqref="J589:Q589">
    <cfRule type="cellIs" dxfId="1206" priority="1206" stopIfTrue="1" operator="equal">
      <formula>"Pass"</formula>
    </cfRule>
    <cfRule type="cellIs" dxfId="1205" priority="1207" stopIfTrue="1" operator="equal">
      <formula>"Fail"</formula>
    </cfRule>
  </conditionalFormatting>
  <conditionalFormatting sqref="J589:Q589">
    <cfRule type="cellIs" dxfId="1204" priority="1204" stopIfTrue="1" operator="equal">
      <formula>"Pass"</formula>
    </cfRule>
    <cfRule type="cellIs" dxfId="1203" priority="1205" stopIfTrue="1" operator="equal">
      <formula>"Fail"</formula>
    </cfRule>
  </conditionalFormatting>
  <conditionalFormatting sqref="J589:Q589">
    <cfRule type="cellIs" dxfId="1202" priority="1202" stopIfTrue="1" operator="equal">
      <formula>"Pass"</formula>
    </cfRule>
    <cfRule type="cellIs" dxfId="1201" priority="1203" stopIfTrue="1" operator="equal">
      <formula>"Fail"</formula>
    </cfRule>
  </conditionalFormatting>
  <conditionalFormatting sqref="J589:Q589">
    <cfRule type="cellIs" dxfId="1200" priority="1200" stopIfTrue="1" operator="equal">
      <formula>"Pass"</formula>
    </cfRule>
    <cfRule type="cellIs" dxfId="1199" priority="1201" stopIfTrue="1" operator="equal">
      <formula>"Fail"</formula>
    </cfRule>
  </conditionalFormatting>
  <conditionalFormatting sqref="J589:M589 O589:P589">
    <cfRule type="cellIs" dxfId="1198" priority="1198" stopIfTrue="1" operator="equal">
      <formula>"Pass"</formula>
    </cfRule>
    <cfRule type="cellIs" dxfId="1197" priority="1199" stopIfTrue="1" operator="equal">
      <formula>"Fail"</formula>
    </cfRule>
  </conditionalFormatting>
  <conditionalFormatting sqref="Q589 N589">
    <cfRule type="cellIs" dxfId="1196" priority="1196" stopIfTrue="1" operator="equal">
      <formula>"Pass"</formula>
    </cfRule>
    <cfRule type="cellIs" dxfId="1195" priority="1197" stopIfTrue="1" operator="equal">
      <formula>"Fail"</formula>
    </cfRule>
  </conditionalFormatting>
  <conditionalFormatting sqref="J589:Q589">
    <cfRule type="cellIs" dxfId="1194" priority="1194" stopIfTrue="1" operator="equal">
      <formula>"Pass"</formula>
    </cfRule>
    <cfRule type="cellIs" dxfId="1193" priority="1195" stopIfTrue="1" operator="equal">
      <formula>"Fail"</formula>
    </cfRule>
  </conditionalFormatting>
  <conditionalFormatting sqref="J592:J594 K592:Q593">
    <cfRule type="cellIs" dxfId="1192" priority="1192" stopIfTrue="1" operator="equal">
      <formula>"Pass"</formula>
    </cfRule>
    <cfRule type="cellIs" dxfId="1191" priority="1193" stopIfTrue="1" operator="equal">
      <formula>"Fail"</formula>
    </cfRule>
  </conditionalFormatting>
  <conditionalFormatting sqref="W592">
    <cfRule type="cellIs" dxfId="1190" priority="1190" stopIfTrue="1" operator="equal">
      <formula>"Fail"</formula>
    </cfRule>
    <cfRule type="cellIs" dxfId="1189" priority="1191" stopIfTrue="1" operator="equal">
      <formula>"Pass"</formula>
    </cfRule>
  </conditionalFormatting>
  <conditionalFormatting sqref="J592:Q592">
    <cfRule type="cellIs" dxfId="1188" priority="1188" stopIfTrue="1" operator="equal">
      <formula>"Pass"</formula>
    </cfRule>
    <cfRule type="cellIs" dxfId="1187" priority="1189" stopIfTrue="1" operator="equal">
      <formula>"Fail"</formula>
    </cfRule>
  </conditionalFormatting>
  <conditionalFormatting sqref="J592:Q592">
    <cfRule type="cellIs" dxfId="1186" priority="1186" stopIfTrue="1" operator="equal">
      <formula>"Pass"</formula>
    </cfRule>
    <cfRule type="cellIs" dxfId="1185" priority="1187" stopIfTrue="1" operator="equal">
      <formula>"Fail"</formula>
    </cfRule>
  </conditionalFormatting>
  <conditionalFormatting sqref="J592:Q592">
    <cfRule type="cellIs" dxfId="1184" priority="1184" stopIfTrue="1" operator="equal">
      <formula>"Pass"</formula>
    </cfRule>
    <cfRule type="cellIs" dxfId="1183" priority="1185" stopIfTrue="1" operator="equal">
      <formula>"Fail"</formula>
    </cfRule>
  </conditionalFormatting>
  <conditionalFormatting sqref="J592:Q592">
    <cfRule type="cellIs" dxfId="1182" priority="1182" stopIfTrue="1" operator="equal">
      <formula>"Pass"</formula>
    </cfRule>
    <cfRule type="cellIs" dxfId="1181" priority="1183" stopIfTrue="1" operator="equal">
      <formula>"Fail"</formula>
    </cfRule>
  </conditionalFormatting>
  <conditionalFormatting sqref="J592:M592 O592:P592">
    <cfRule type="cellIs" dxfId="1180" priority="1180" stopIfTrue="1" operator="equal">
      <formula>"Pass"</formula>
    </cfRule>
    <cfRule type="cellIs" dxfId="1179" priority="1181" stopIfTrue="1" operator="equal">
      <formula>"Fail"</formula>
    </cfRule>
  </conditionalFormatting>
  <conditionalFormatting sqref="Q592 N592">
    <cfRule type="cellIs" dxfId="1178" priority="1178" stopIfTrue="1" operator="equal">
      <formula>"Pass"</formula>
    </cfRule>
    <cfRule type="cellIs" dxfId="1177" priority="1179" stopIfTrue="1" operator="equal">
      <formula>"Fail"</formula>
    </cfRule>
  </conditionalFormatting>
  <conditionalFormatting sqref="J592:Q592">
    <cfRule type="cellIs" dxfId="1176" priority="1176" stopIfTrue="1" operator="equal">
      <formula>"Pass"</formula>
    </cfRule>
    <cfRule type="cellIs" dxfId="1175" priority="1177" stopIfTrue="1" operator="equal">
      <formula>"Fail"</formula>
    </cfRule>
  </conditionalFormatting>
  <conditionalFormatting sqref="J595:J597 K595:Q596">
    <cfRule type="cellIs" dxfId="1174" priority="1174" stopIfTrue="1" operator="equal">
      <formula>"Pass"</formula>
    </cfRule>
    <cfRule type="cellIs" dxfId="1173" priority="1175" stopIfTrue="1" operator="equal">
      <formula>"Fail"</formula>
    </cfRule>
  </conditionalFormatting>
  <conditionalFormatting sqref="W595">
    <cfRule type="cellIs" dxfId="1172" priority="1172" stopIfTrue="1" operator="equal">
      <formula>"Fail"</formula>
    </cfRule>
    <cfRule type="cellIs" dxfId="1171" priority="1173" stopIfTrue="1" operator="equal">
      <formula>"Pass"</formula>
    </cfRule>
  </conditionalFormatting>
  <conditionalFormatting sqref="J595:Q595">
    <cfRule type="cellIs" dxfId="1170" priority="1170" stopIfTrue="1" operator="equal">
      <formula>"Pass"</formula>
    </cfRule>
    <cfRule type="cellIs" dxfId="1169" priority="1171" stopIfTrue="1" operator="equal">
      <formula>"Fail"</formula>
    </cfRule>
  </conditionalFormatting>
  <conditionalFormatting sqref="J595:Q595">
    <cfRule type="cellIs" dxfId="1168" priority="1168" stopIfTrue="1" operator="equal">
      <formula>"Pass"</formula>
    </cfRule>
    <cfRule type="cellIs" dxfId="1167" priority="1169" stopIfTrue="1" operator="equal">
      <formula>"Fail"</formula>
    </cfRule>
  </conditionalFormatting>
  <conditionalFormatting sqref="J595:Q595">
    <cfRule type="cellIs" dxfId="1166" priority="1166" stopIfTrue="1" operator="equal">
      <formula>"Pass"</formula>
    </cfRule>
    <cfRule type="cellIs" dxfId="1165" priority="1167" stopIfTrue="1" operator="equal">
      <formula>"Fail"</formula>
    </cfRule>
  </conditionalFormatting>
  <conditionalFormatting sqref="J595:Q595">
    <cfRule type="cellIs" dxfId="1164" priority="1164" stopIfTrue="1" operator="equal">
      <formula>"Pass"</formula>
    </cfRule>
    <cfRule type="cellIs" dxfId="1163" priority="1165" stopIfTrue="1" operator="equal">
      <formula>"Fail"</formula>
    </cfRule>
  </conditionalFormatting>
  <conditionalFormatting sqref="J595:M595 O595:P595">
    <cfRule type="cellIs" dxfId="1162" priority="1162" stopIfTrue="1" operator="equal">
      <formula>"Pass"</formula>
    </cfRule>
    <cfRule type="cellIs" dxfId="1161" priority="1163" stopIfTrue="1" operator="equal">
      <formula>"Fail"</formula>
    </cfRule>
  </conditionalFormatting>
  <conditionalFormatting sqref="Q595 N595">
    <cfRule type="cellIs" dxfId="1160" priority="1160" stopIfTrue="1" operator="equal">
      <formula>"Pass"</formula>
    </cfRule>
    <cfRule type="cellIs" dxfId="1159" priority="1161" stopIfTrue="1" operator="equal">
      <formula>"Fail"</formula>
    </cfRule>
  </conditionalFormatting>
  <conditionalFormatting sqref="J595:Q595">
    <cfRule type="cellIs" dxfId="1158" priority="1158" stopIfTrue="1" operator="equal">
      <formula>"Pass"</formula>
    </cfRule>
    <cfRule type="cellIs" dxfId="1157" priority="1159" stopIfTrue="1" operator="equal">
      <formula>"Fail"</formula>
    </cfRule>
  </conditionalFormatting>
  <conditionalFormatting sqref="J598:J600 K598:Q599">
    <cfRule type="cellIs" dxfId="1156" priority="1156" stopIfTrue="1" operator="equal">
      <formula>"Pass"</formula>
    </cfRule>
    <cfRule type="cellIs" dxfId="1155" priority="1157" stopIfTrue="1" operator="equal">
      <formula>"Fail"</formula>
    </cfRule>
  </conditionalFormatting>
  <conditionalFormatting sqref="W598">
    <cfRule type="cellIs" dxfId="1154" priority="1154" stopIfTrue="1" operator="equal">
      <formula>"Fail"</formula>
    </cfRule>
    <cfRule type="cellIs" dxfId="1153" priority="1155" stopIfTrue="1" operator="equal">
      <formula>"Pass"</formula>
    </cfRule>
  </conditionalFormatting>
  <conditionalFormatting sqref="J598:Q598">
    <cfRule type="cellIs" dxfId="1152" priority="1152" stopIfTrue="1" operator="equal">
      <formula>"Pass"</formula>
    </cfRule>
    <cfRule type="cellIs" dxfId="1151" priority="1153" stopIfTrue="1" operator="equal">
      <formula>"Fail"</formula>
    </cfRule>
  </conditionalFormatting>
  <conditionalFormatting sqref="J598:Q598">
    <cfRule type="cellIs" dxfId="1150" priority="1150" stopIfTrue="1" operator="equal">
      <formula>"Pass"</formula>
    </cfRule>
    <cfRule type="cellIs" dxfId="1149" priority="1151" stopIfTrue="1" operator="equal">
      <formula>"Fail"</formula>
    </cfRule>
  </conditionalFormatting>
  <conditionalFormatting sqref="J598:Q598">
    <cfRule type="cellIs" dxfId="1148" priority="1148" stopIfTrue="1" operator="equal">
      <formula>"Pass"</formula>
    </cfRule>
    <cfRule type="cellIs" dxfId="1147" priority="1149" stopIfTrue="1" operator="equal">
      <formula>"Fail"</formula>
    </cfRule>
  </conditionalFormatting>
  <conditionalFormatting sqref="J598:Q598">
    <cfRule type="cellIs" dxfId="1146" priority="1146" stopIfTrue="1" operator="equal">
      <formula>"Pass"</formula>
    </cfRule>
    <cfRule type="cellIs" dxfId="1145" priority="1147" stopIfTrue="1" operator="equal">
      <formula>"Fail"</formula>
    </cfRule>
  </conditionalFormatting>
  <conditionalFormatting sqref="J598:M598 O598:P598">
    <cfRule type="cellIs" dxfId="1144" priority="1144" stopIfTrue="1" operator="equal">
      <formula>"Pass"</formula>
    </cfRule>
    <cfRule type="cellIs" dxfId="1143" priority="1145" stopIfTrue="1" operator="equal">
      <formula>"Fail"</formula>
    </cfRule>
  </conditionalFormatting>
  <conditionalFormatting sqref="Q598 N598">
    <cfRule type="cellIs" dxfId="1142" priority="1142" stopIfTrue="1" operator="equal">
      <formula>"Pass"</formula>
    </cfRule>
    <cfRule type="cellIs" dxfId="1141" priority="1143" stopIfTrue="1" operator="equal">
      <formula>"Fail"</formula>
    </cfRule>
  </conditionalFormatting>
  <conditionalFormatting sqref="J598:Q598">
    <cfRule type="cellIs" dxfId="1140" priority="1140" stopIfTrue="1" operator="equal">
      <formula>"Pass"</formula>
    </cfRule>
    <cfRule type="cellIs" dxfId="1139" priority="1141" stopIfTrue="1" operator="equal">
      <formula>"Fail"</formula>
    </cfRule>
  </conditionalFormatting>
  <conditionalFormatting sqref="J475:J477 K475:Q476">
    <cfRule type="cellIs" dxfId="1138" priority="1138" stopIfTrue="1" operator="equal">
      <formula>"Pass"</formula>
    </cfRule>
    <cfRule type="cellIs" dxfId="1137" priority="1139" stopIfTrue="1" operator="equal">
      <formula>"Fail"</formula>
    </cfRule>
  </conditionalFormatting>
  <conditionalFormatting sqref="W475">
    <cfRule type="cellIs" dxfId="1136" priority="1136" stopIfTrue="1" operator="equal">
      <formula>"Fail"</formula>
    </cfRule>
    <cfRule type="cellIs" dxfId="1135" priority="1137" stopIfTrue="1" operator="equal">
      <formula>"Pass"</formula>
    </cfRule>
  </conditionalFormatting>
  <conditionalFormatting sqref="J475:Q475">
    <cfRule type="cellIs" dxfId="1134" priority="1134" stopIfTrue="1" operator="equal">
      <formula>"Pass"</formula>
    </cfRule>
    <cfRule type="cellIs" dxfId="1133" priority="1135" stopIfTrue="1" operator="equal">
      <formula>"Fail"</formula>
    </cfRule>
  </conditionalFormatting>
  <conditionalFormatting sqref="J475:Q475">
    <cfRule type="cellIs" dxfId="1132" priority="1132" stopIfTrue="1" operator="equal">
      <formula>"Pass"</formula>
    </cfRule>
    <cfRule type="cellIs" dxfId="1131" priority="1133" stopIfTrue="1" operator="equal">
      <formula>"Fail"</formula>
    </cfRule>
  </conditionalFormatting>
  <conditionalFormatting sqref="J475:Q475">
    <cfRule type="cellIs" dxfId="1130" priority="1130" stopIfTrue="1" operator="equal">
      <formula>"Pass"</formula>
    </cfRule>
    <cfRule type="cellIs" dxfId="1129" priority="1131" stopIfTrue="1" operator="equal">
      <formula>"Fail"</formula>
    </cfRule>
  </conditionalFormatting>
  <conditionalFormatting sqref="J475:Q475">
    <cfRule type="cellIs" dxfId="1128" priority="1128" stopIfTrue="1" operator="equal">
      <formula>"Pass"</formula>
    </cfRule>
    <cfRule type="cellIs" dxfId="1127" priority="1129" stopIfTrue="1" operator="equal">
      <formula>"Fail"</formula>
    </cfRule>
  </conditionalFormatting>
  <conditionalFormatting sqref="J475:M475 O475:P475">
    <cfRule type="cellIs" dxfId="1126" priority="1126" stopIfTrue="1" operator="equal">
      <formula>"Pass"</formula>
    </cfRule>
    <cfRule type="cellIs" dxfId="1125" priority="1127" stopIfTrue="1" operator="equal">
      <formula>"Fail"</formula>
    </cfRule>
  </conditionalFormatting>
  <conditionalFormatting sqref="Q475 N475">
    <cfRule type="cellIs" dxfId="1124" priority="1124" stopIfTrue="1" operator="equal">
      <formula>"Pass"</formula>
    </cfRule>
    <cfRule type="cellIs" dxfId="1123" priority="1125" stopIfTrue="1" operator="equal">
      <formula>"Fail"</formula>
    </cfRule>
  </conditionalFormatting>
  <conditionalFormatting sqref="J475:Q475">
    <cfRule type="cellIs" dxfId="1122" priority="1122" stopIfTrue="1" operator="equal">
      <formula>"Pass"</formula>
    </cfRule>
    <cfRule type="cellIs" dxfId="1121" priority="1123" stopIfTrue="1" operator="equal">
      <formula>"Fail"</formula>
    </cfRule>
  </conditionalFormatting>
  <conditionalFormatting sqref="J475:Q475">
    <cfRule type="cellIs" dxfId="1120" priority="1120" stopIfTrue="1" operator="equal">
      <formula>"Pass"</formula>
    </cfRule>
    <cfRule type="cellIs" dxfId="1119" priority="1121" stopIfTrue="1" operator="equal">
      <formula>"Fail"</formula>
    </cfRule>
  </conditionalFormatting>
  <conditionalFormatting sqref="J475:Q475">
    <cfRule type="cellIs" dxfId="1118" priority="1118" stopIfTrue="1" operator="equal">
      <formula>"Pass"</formula>
    </cfRule>
    <cfRule type="cellIs" dxfId="1117" priority="1119" stopIfTrue="1" operator="equal">
      <formula>"Fail"</formula>
    </cfRule>
  </conditionalFormatting>
  <conditionalFormatting sqref="J475:Q475">
    <cfRule type="cellIs" dxfId="1116" priority="1116" stopIfTrue="1" operator="equal">
      <formula>"Pass"</formula>
    </cfRule>
    <cfRule type="cellIs" dxfId="1115" priority="1117" stopIfTrue="1" operator="equal">
      <formula>"Fail"</formula>
    </cfRule>
  </conditionalFormatting>
  <conditionalFormatting sqref="J475:Q475">
    <cfRule type="cellIs" dxfId="1114" priority="1114" stopIfTrue="1" operator="equal">
      <formula>"Pass"</formula>
    </cfRule>
    <cfRule type="cellIs" dxfId="1113" priority="1115" stopIfTrue="1" operator="equal">
      <formula>"Fail"</formula>
    </cfRule>
  </conditionalFormatting>
  <conditionalFormatting sqref="J475:Q475">
    <cfRule type="cellIs" dxfId="1112" priority="1112" stopIfTrue="1" operator="equal">
      <formula>"Pass"</formula>
    </cfRule>
    <cfRule type="cellIs" dxfId="1111" priority="1113" stopIfTrue="1" operator="equal">
      <formula>"Fail"</formula>
    </cfRule>
  </conditionalFormatting>
  <conditionalFormatting sqref="J475:M475 O475:P475">
    <cfRule type="cellIs" dxfId="1110" priority="1110" stopIfTrue="1" operator="equal">
      <formula>"Pass"</formula>
    </cfRule>
    <cfRule type="cellIs" dxfId="1109" priority="1111" stopIfTrue="1" operator="equal">
      <formula>"Fail"</formula>
    </cfRule>
  </conditionalFormatting>
  <conditionalFormatting sqref="Q475 N475">
    <cfRule type="cellIs" dxfId="1108" priority="1108" stopIfTrue="1" operator="equal">
      <formula>"Pass"</formula>
    </cfRule>
    <cfRule type="cellIs" dxfId="1107" priority="1109" stopIfTrue="1" operator="equal">
      <formula>"Fail"</formula>
    </cfRule>
  </conditionalFormatting>
  <conditionalFormatting sqref="J475:Q475">
    <cfRule type="cellIs" dxfId="1106" priority="1106" stopIfTrue="1" operator="equal">
      <formula>"Pass"</formula>
    </cfRule>
    <cfRule type="cellIs" dxfId="1105" priority="1107" stopIfTrue="1" operator="equal">
      <formula>"Fail"</formula>
    </cfRule>
  </conditionalFormatting>
  <conditionalFormatting sqref="J476:Q476">
    <cfRule type="cellIs" dxfId="1104" priority="1104" stopIfTrue="1" operator="equal">
      <formula>"Pass"</formula>
    </cfRule>
    <cfRule type="cellIs" dxfId="1103" priority="1105" stopIfTrue="1" operator="equal">
      <formula>"Fail"</formula>
    </cfRule>
  </conditionalFormatting>
  <conditionalFormatting sqref="J475:Q475">
    <cfRule type="cellIs" dxfId="1102" priority="1102" stopIfTrue="1" operator="equal">
      <formula>"Pass"</formula>
    </cfRule>
    <cfRule type="cellIs" dxfId="1101" priority="1103" stopIfTrue="1" operator="equal">
      <formula>"Fail"</formula>
    </cfRule>
  </conditionalFormatting>
  <conditionalFormatting sqref="J475:Q475">
    <cfRule type="cellIs" dxfId="1100" priority="1100" stopIfTrue="1" operator="equal">
      <formula>"Pass"</formula>
    </cfRule>
    <cfRule type="cellIs" dxfId="1099" priority="1101" stopIfTrue="1" operator="equal">
      <formula>"Fail"</formula>
    </cfRule>
  </conditionalFormatting>
  <conditionalFormatting sqref="J475:Q475">
    <cfRule type="cellIs" dxfId="1098" priority="1098" stopIfTrue="1" operator="equal">
      <formula>"Pass"</formula>
    </cfRule>
    <cfRule type="cellIs" dxfId="1097" priority="1099" stopIfTrue="1" operator="equal">
      <formula>"Fail"</formula>
    </cfRule>
  </conditionalFormatting>
  <conditionalFormatting sqref="J475:Q475">
    <cfRule type="cellIs" dxfId="1096" priority="1096" stopIfTrue="1" operator="equal">
      <formula>"Pass"</formula>
    </cfRule>
    <cfRule type="cellIs" dxfId="1095" priority="1097" stopIfTrue="1" operator="equal">
      <formula>"Fail"</formula>
    </cfRule>
  </conditionalFormatting>
  <conditionalFormatting sqref="J475:Q475">
    <cfRule type="cellIs" dxfId="1094" priority="1094" stopIfTrue="1" operator="equal">
      <formula>"Pass"</formula>
    </cfRule>
    <cfRule type="cellIs" dxfId="1093" priority="1095" stopIfTrue="1" operator="equal">
      <formula>"Fail"</formula>
    </cfRule>
  </conditionalFormatting>
  <conditionalFormatting sqref="J475:M475 O475:P475">
    <cfRule type="cellIs" dxfId="1092" priority="1092" stopIfTrue="1" operator="equal">
      <formula>"Pass"</formula>
    </cfRule>
    <cfRule type="cellIs" dxfId="1091" priority="1093" stopIfTrue="1" operator="equal">
      <formula>"Fail"</formula>
    </cfRule>
  </conditionalFormatting>
  <conditionalFormatting sqref="Q475 N475">
    <cfRule type="cellIs" dxfId="1090" priority="1090" stopIfTrue="1" operator="equal">
      <formula>"Pass"</formula>
    </cfRule>
    <cfRule type="cellIs" dxfId="1089" priority="1091" stopIfTrue="1" operator="equal">
      <formula>"Fail"</formula>
    </cfRule>
  </conditionalFormatting>
  <conditionalFormatting sqref="J475:Q475">
    <cfRule type="cellIs" dxfId="1088" priority="1088" stopIfTrue="1" operator="equal">
      <formula>"Pass"</formula>
    </cfRule>
    <cfRule type="cellIs" dxfId="1087" priority="1089" stopIfTrue="1" operator="equal">
      <formula>"Fail"</formula>
    </cfRule>
  </conditionalFormatting>
  <conditionalFormatting sqref="J476:Q476">
    <cfRule type="cellIs" dxfId="1086" priority="1086" stopIfTrue="1" operator="equal">
      <formula>"Pass"</formula>
    </cfRule>
    <cfRule type="cellIs" dxfId="1085" priority="1087" stopIfTrue="1" operator="equal">
      <formula>"Fail"</formula>
    </cfRule>
  </conditionalFormatting>
  <conditionalFormatting sqref="J553:Q553">
    <cfRule type="cellIs" dxfId="1084" priority="1084" stopIfTrue="1" operator="equal">
      <formula>"Pass"</formula>
    </cfRule>
    <cfRule type="cellIs" dxfId="1083" priority="1085" stopIfTrue="1" operator="equal">
      <formula>"Fail"</formula>
    </cfRule>
  </conditionalFormatting>
  <conditionalFormatting sqref="J553:Q553">
    <cfRule type="cellIs" dxfId="1082" priority="1082" stopIfTrue="1" operator="equal">
      <formula>"Pass"</formula>
    </cfRule>
    <cfRule type="cellIs" dxfId="1081" priority="1083" stopIfTrue="1" operator="equal">
      <formula>"Fail"</formula>
    </cfRule>
  </conditionalFormatting>
  <conditionalFormatting sqref="J553:Q553">
    <cfRule type="cellIs" dxfId="1080" priority="1080" stopIfTrue="1" operator="equal">
      <formula>"Pass"</formula>
    </cfRule>
    <cfRule type="cellIs" dxfId="1079" priority="1081" stopIfTrue="1" operator="equal">
      <formula>"Fail"</formula>
    </cfRule>
  </conditionalFormatting>
  <conditionalFormatting sqref="J553:Q553">
    <cfRule type="cellIs" dxfId="1078" priority="1078" stopIfTrue="1" operator="equal">
      <formula>"Pass"</formula>
    </cfRule>
    <cfRule type="cellIs" dxfId="1077" priority="1079" stopIfTrue="1" operator="equal">
      <formula>"Fail"</formula>
    </cfRule>
  </conditionalFormatting>
  <conditionalFormatting sqref="J553:Q553">
    <cfRule type="cellIs" dxfId="1076" priority="1076" stopIfTrue="1" operator="equal">
      <formula>"Pass"</formula>
    </cfRule>
    <cfRule type="cellIs" dxfId="1075" priority="1077" stopIfTrue="1" operator="equal">
      <formula>"Fail"</formula>
    </cfRule>
  </conditionalFormatting>
  <conditionalFormatting sqref="J553:M553 O553:P553">
    <cfRule type="cellIs" dxfId="1074" priority="1074" stopIfTrue="1" operator="equal">
      <formula>"Pass"</formula>
    </cfRule>
    <cfRule type="cellIs" dxfId="1073" priority="1075" stopIfTrue="1" operator="equal">
      <formula>"Fail"</formula>
    </cfRule>
  </conditionalFormatting>
  <conditionalFormatting sqref="Q553 N553">
    <cfRule type="cellIs" dxfId="1072" priority="1072" stopIfTrue="1" operator="equal">
      <formula>"Pass"</formula>
    </cfRule>
    <cfRule type="cellIs" dxfId="1071" priority="1073" stopIfTrue="1" operator="equal">
      <formula>"Fail"</formula>
    </cfRule>
  </conditionalFormatting>
  <conditionalFormatting sqref="J553:Q553">
    <cfRule type="cellIs" dxfId="1070" priority="1070" stopIfTrue="1" operator="equal">
      <formula>"Pass"</formula>
    </cfRule>
    <cfRule type="cellIs" dxfId="1069" priority="1071" stopIfTrue="1" operator="equal">
      <formula>"Fail"</formula>
    </cfRule>
  </conditionalFormatting>
  <conditionalFormatting sqref="J553:Q553">
    <cfRule type="cellIs" dxfId="1068" priority="1068" stopIfTrue="1" operator="equal">
      <formula>"Pass"</formula>
    </cfRule>
    <cfRule type="cellIs" dxfId="1067" priority="1069" stopIfTrue="1" operator="equal">
      <formula>"Fail"</formula>
    </cfRule>
  </conditionalFormatting>
  <conditionalFormatting sqref="J553:Q553">
    <cfRule type="cellIs" dxfId="1066" priority="1066" stopIfTrue="1" operator="equal">
      <formula>"Pass"</formula>
    </cfRule>
    <cfRule type="cellIs" dxfId="1065" priority="1067" stopIfTrue="1" operator="equal">
      <formula>"Fail"</formula>
    </cfRule>
  </conditionalFormatting>
  <conditionalFormatting sqref="J553:Q553">
    <cfRule type="cellIs" dxfId="1064" priority="1064" stopIfTrue="1" operator="equal">
      <formula>"Pass"</formula>
    </cfRule>
    <cfRule type="cellIs" dxfId="1063" priority="1065" stopIfTrue="1" operator="equal">
      <formula>"Fail"</formula>
    </cfRule>
  </conditionalFormatting>
  <conditionalFormatting sqref="J553:Q553">
    <cfRule type="cellIs" dxfId="1062" priority="1062" stopIfTrue="1" operator="equal">
      <formula>"Pass"</formula>
    </cfRule>
    <cfRule type="cellIs" dxfId="1061" priority="1063" stopIfTrue="1" operator="equal">
      <formula>"Fail"</formula>
    </cfRule>
  </conditionalFormatting>
  <conditionalFormatting sqref="J553:Q553">
    <cfRule type="cellIs" dxfId="1060" priority="1060" stopIfTrue="1" operator="equal">
      <formula>"Pass"</formula>
    </cfRule>
    <cfRule type="cellIs" dxfId="1059" priority="1061" stopIfTrue="1" operator="equal">
      <formula>"Fail"</formula>
    </cfRule>
  </conditionalFormatting>
  <conditionalFormatting sqref="J553:M553 O553:P553">
    <cfRule type="cellIs" dxfId="1058" priority="1058" stopIfTrue="1" operator="equal">
      <formula>"Pass"</formula>
    </cfRule>
    <cfRule type="cellIs" dxfId="1057" priority="1059" stopIfTrue="1" operator="equal">
      <formula>"Fail"</formula>
    </cfRule>
  </conditionalFormatting>
  <conditionalFormatting sqref="Q553 N553">
    <cfRule type="cellIs" dxfId="1056" priority="1056" stopIfTrue="1" operator="equal">
      <formula>"Pass"</formula>
    </cfRule>
    <cfRule type="cellIs" dxfId="1055" priority="1057" stopIfTrue="1" operator="equal">
      <formula>"Fail"</formula>
    </cfRule>
  </conditionalFormatting>
  <conditionalFormatting sqref="J553:Q553">
    <cfRule type="cellIs" dxfId="1054" priority="1054" stopIfTrue="1" operator="equal">
      <formula>"Pass"</formula>
    </cfRule>
    <cfRule type="cellIs" dxfId="1053" priority="1055" stopIfTrue="1" operator="equal">
      <formula>"Fail"</formula>
    </cfRule>
  </conditionalFormatting>
  <conditionalFormatting sqref="J553:Q553">
    <cfRule type="cellIs" dxfId="1052" priority="1052" stopIfTrue="1" operator="equal">
      <formula>"Pass"</formula>
    </cfRule>
    <cfRule type="cellIs" dxfId="1051" priority="1053" stopIfTrue="1" operator="equal">
      <formula>"Fail"</formula>
    </cfRule>
  </conditionalFormatting>
  <conditionalFormatting sqref="J553:Q553">
    <cfRule type="cellIs" dxfId="1050" priority="1050" stopIfTrue="1" operator="equal">
      <formula>"Pass"</formula>
    </cfRule>
    <cfRule type="cellIs" dxfId="1049" priority="1051" stopIfTrue="1" operator="equal">
      <formula>"Fail"</formula>
    </cfRule>
  </conditionalFormatting>
  <conditionalFormatting sqref="J553:Q553">
    <cfRule type="cellIs" dxfId="1048" priority="1048" stopIfTrue="1" operator="equal">
      <formula>"Pass"</formula>
    </cfRule>
    <cfRule type="cellIs" dxfId="1047" priority="1049" stopIfTrue="1" operator="equal">
      <formula>"Fail"</formula>
    </cfRule>
  </conditionalFormatting>
  <conditionalFormatting sqref="J553:Q553">
    <cfRule type="cellIs" dxfId="1046" priority="1046" stopIfTrue="1" operator="equal">
      <formula>"Pass"</formula>
    </cfRule>
    <cfRule type="cellIs" dxfId="1045" priority="1047" stopIfTrue="1" operator="equal">
      <formula>"Fail"</formula>
    </cfRule>
  </conditionalFormatting>
  <conditionalFormatting sqref="J553:Q553">
    <cfRule type="cellIs" dxfId="1044" priority="1044" stopIfTrue="1" operator="equal">
      <formula>"Pass"</formula>
    </cfRule>
    <cfRule type="cellIs" dxfId="1043" priority="1045" stopIfTrue="1" operator="equal">
      <formula>"Fail"</formula>
    </cfRule>
  </conditionalFormatting>
  <conditionalFormatting sqref="J553:M553 O553:P553">
    <cfRule type="cellIs" dxfId="1042" priority="1042" stopIfTrue="1" operator="equal">
      <formula>"Pass"</formula>
    </cfRule>
    <cfRule type="cellIs" dxfId="1041" priority="1043" stopIfTrue="1" operator="equal">
      <formula>"Fail"</formula>
    </cfRule>
  </conditionalFormatting>
  <conditionalFormatting sqref="Q553 N553">
    <cfRule type="cellIs" dxfId="1040" priority="1040" stopIfTrue="1" operator="equal">
      <formula>"Pass"</formula>
    </cfRule>
    <cfRule type="cellIs" dxfId="1039" priority="1041" stopIfTrue="1" operator="equal">
      <formula>"Fail"</formula>
    </cfRule>
  </conditionalFormatting>
  <conditionalFormatting sqref="J553:Q553">
    <cfRule type="cellIs" dxfId="1038" priority="1038" stopIfTrue="1" operator="equal">
      <formula>"Pass"</formula>
    </cfRule>
    <cfRule type="cellIs" dxfId="1037" priority="1039" stopIfTrue="1" operator="equal">
      <formula>"Fail"</formula>
    </cfRule>
  </conditionalFormatting>
  <conditionalFormatting sqref="J553:Q553">
    <cfRule type="cellIs" dxfId="1036" priority="1036" stopIfTrue="1" operator="equal">
      <formula>"Pass"</formula>
    </cfRule>
    <cfRule type="cellIs" dxfId="1035" priority="1037" stopIfTrue="1" operator="equal">
      <formula>"Fail"</formula>
    </cfRule>
  </conditionalFormatting>
  <conditionalFormatting sqref="J553:Q553">
    <cfRule type="cellIs" dxfId="1034" priority="1034" stopIfTrue="1" operator="equal">
      <formula>"Pass"</formula>
    </cfRule>
    <cfRule type="cellIs" dxfId="1033" priority="1035" stopIfTrue="1" operator="equal">
      <formula>"Fail"</formula>
    </cfRule>
  </conditionalFormatting>
  <conditionalFormatting sqref="J553:Q553">
    <cfRule type="cellIs" dxfId="1032" priority="1032" stopIfTrue="1" operator="equal">
      <formula>"Pass"</formula>
    </cfRule>
    <cfRule type="cellIs" dxfId="1031" priority="1033" stopIfTrue="1" operator="equal">
      <formula>"Fail"</formula>
    </cfRule>
  </conditionalFormatting>
  <conditionalFormatting sqref="J553:Q553">
    <cfRule type="cellIs" dxfId="1030" priority="1030" stopIfTrue="1" operator="equal">
      <formula>"Pass"</formula>
    </cfRule>
    <cfRule type="cellIs" dxfId="1029" priority="1031" stopIfTrue="1" operator="equal">
      <formula>"Fail"</formula>
    </cfRule>
  </conditionalFormatting>
  <conditionalFormatting sqref="J553:Q553">
    <cfRule type="cellIs" dxfId="1028" priority="1028" stopIfTrue="1" operator="equal">
      <formula>"Pass"</formula>
    </cfRule>
    <cfRule type="cellIs" dxfId="1027" priority="1029" stopIfTrue="1" operator="equal">
      <formula>"Fail"</formula>
    </cfRule>
  </conditionalFormatting>
  <conditionalFormatting sqref="J553:M553 O553:P553">
    <cfRule type="cellIs" dxfId="1026" priority="1026" stopIfTrue="1" operator="equal">
      <formula>"Pass"</formula>
    </cfRule>
    <cfRule type="cellIs" dxfId="1025" priority="1027" stopIfTrue="1" operator="equal">
      <formula>"Fail"</formula>
    </cfRule>
  </conditionalFormatting>
  <conditionalFormatting sqref="Q553 N553">
    <cfRule type="cellIs" dxfId="1024" priority="1024" stopIfTrue="1" operator="equal">
      <formula>"Pass"</formula>
    </cfRule>
    <cfRule type="cellIs" dxfId="1023" priority="1025" stopIfTrue="1" operator="equal">
      <formula>"Fail"</formula>
    </cfRule>
  </conditionalFormatting>
  <conditionalFormatting sqref="J553:Q553">
    <cfRule type="cellIs" dxfId="1022" priority="1022" stopIfTrue="1" operator="equal">
      <formula>"Pass"</formula>
    </cfRule>
    <cfRule type="cellIs" dxfId="1021" priority="1023" stopIfTrue="1" operator="equal">
      <formula>"Fail"</formula>
    </cfRule>
  </conditionalFormatting>
  <conditionalFormatting sqref="J553:Q553">
    <cfRule type="cellIs" dxfId="1020" priority="1020" stopIfTrue="1" operator="equal">
      <formula>"Pass"</formula>
    </cfRule>
    <cfRule type="cellIs" dxfId="1019" priority="1021" stopIfTrue="1" operator="equal">
      <formula>"Fail"</formula>
    </cfRule>
  </conditionalFormatting>
  <conditionalFormatting sqref="J553:Q553">
    <cfRule type="cellIs" dxfId="1018" priority="1018" stopIfTrue="1" operator="equal">
      <formula>"Pass"</formula>
    </cfRule>
    <cfRule type="cellIs" dxfId="1017" priority="1019" stopIfTrue="1" operator="equal">
      <formula>"Fail"</formula>
    </cfRule>
  </conditionalFormatting>
  <conditionalFormatting sqref="J553:Q553">
    <cfRule type="cellIs" dxfId="1016" priority="1016" stopIfTrue="1" operator="equal">
      <formula>"Pass"</formula>
    </cfRule>
    <cfRule type="cellIs" dxfId="1015" priority="1017" stopIfTrue="1" operator="equal">
      <formula>"Fail"</formula>
    </cfRule>
  </conditionalFormatting>
  <conditionalFormatting sqref="J553:Q553">
    <cfRule type="cellIs" dxfId="1014" priority="1014" stopIfTrue="1" operator="equal">
      <formula>"Pass"</formula>
    </cfRule>
    <cfRule type="cellIs" dxfId="1013" priority="1015" stopIfTrue="1" operator="equal">
      <formula>"Fail"</formula>
    </cfRule>
  </conditionalFormatting>
  <conditionalFormatting sqref="J553:Q553">
    <cfRule type="cellIs" dxfId="1012" priority="1012" stopIfTrue="1" operator="equal">
      <formula>"Pass"</formula>
    </cfRule>
    <cfRule type="cellIs" dxfId="1011" priority="1013" stopIfTrue="1" operator="equal">
      <formula>"Fail"</formula>
    </cfRule>
  </conditionalFormatting>
  <conditionalFormatting sqref="J553:M553 O553:P553">
    <cfRule type="cellIs" dxfId="1010" priority="1010" stopIfTrue="1" operator="equal">
      <formula>"Pass"</formula>
    </cfRule>
    <cfRule type="cellIs" dxfId="1009" priority="1011" stopIfTrue="1" operator="equal">
      <formula>"Fail"</formula>
    </cfRule>
  </conditionalFormatting>
  <conditionalFormatting sqref="Q553 N553">
    <cfRule type="cellIs" dxfId="1008" priority="1008" stopIfTrue="1" operator="equal">
      <formula>"Pass"</formula>
    </cfRule>
    <cfRule type="cellIs" dxfId="1007" priority="1009" stopIfTrue="1" operator="equal">
      <formula>"Fail"</formula>
    </cfRule>
  </conditionalFormatting>
  <conditionalFormatting sqref="J553:Q553">
    <cfRule type="cellIs" dxfId="1006" priority="1006" stopIfTrue="1" operator="equal">
      <formula>"Pass"</formula>
    </cfRule>
    <cfRule type="cellIs" dxfId="1005" priority="1007" stopIfTrue="1" operator="equal">
      <formula>"Fail"</formula>
    </cfRule>
  </conditionalFormatting>
  <conditionalFormatting sqref="J553:Q553">
    <cfRule type="cellIs" dxfId="1004" priority="1004" stopIfTrue="1" operator="equal">
      <formula>"Pass"</formula>
    </cfRule>
    <cfRule type="cellIs" dxfId="1003" priority="1005" stopIfTrue="1" operator="equal">
      <formula>"Fail"</formula>
    </cfRule>
  </conditionalFormatting>
  <conditionalFormatting sqref="J553:Q553">
    <cfRule type="cellIs" dxfId="1002" priority="1002" stopIfTrue="1" operator="equal">
      <formula>"Pass"</formula>
    </cfRule>
    <cfRule type="cellIs" dxfId="1001" priority="1003" stopIfTrue="1" operator="equal">
      <formula>"Fail"</formula>
    </cfRule>
  </conditionalFormatting>
  <conditionalFormatting sqref="J553:Q553">
    <cfRule type="cellIs" dxfId="1000" priority="1000" stopIfTrue="1" operator="equal">
      <formula>"Pass"</formula>
    </cfRule>
    <cfRule type="cellIs" dxfId="999" priority="1001" stopIfTrue="1" operator="equal">
      <formula>"Fail"</formula>
    </cfRule>
  </conditionalFormatting>
  <conditionalFormatting sqref="J553:Q553">
    <cfRule type="cellIs" dxfId="998" priority="998" stopIfTrue="1" operator="equal">
      <formula>"Pass"</formula>
    </cfRule>
    <cfRule type="cellIs" dxfId="997" priority="999" stopIfTrue="1" operator="equal">
      <formula>"Fail"</formula>
    </cfRule>
  </conditionalFormatting>
  <conditionalFormatting sqref="J553:Q553">
    <cfRule type="cellIs" dxfId="996" priority="996" stopIfTrue="1" operator="equal">
      <formula>"Pass"</formula>
    </cfRule>
    <cfRule type="cellIs" dxfId="995" priority="997" stopIfTrue="1" operator="equal">
      <formula>"Fail"</formula>
    </cfRule>
  </conditionalFormatting>
  <conditionalFormatting sqref="J553:M553 O553:P553">
    <cfRule type="cellIs" dxfId="994" priority="994" stopIfTrue="1" operator="equal">
      <formula>"Pass"</formula>
    </cfRule>
    <cfRule type="cellIs" dxfId="993" priority="995" stopIfTrue="1" operator="equal">
      <formula>"Fail"</formula>
    </cfRule>
  </conditionalFormatting>
  <conditionalFormatting sqref="Q553 N553">
    <cfRule type="cellIs" dxfId="992" priority="992" stopIfTrue="1" operator="equal">
      <formula>"Pass"</formula>
    </cfRule>
    <cfRule type="cellIs" dxfId="991" priority="993" stopIfTrue="1" operator="equal">
      <formula>"Fail"</formula>
    </cfRule>
  </conditionalFormatting>
  <conditionalFormatting sqref="J553:Q553">
    <cfRule type="cellIs" dxfId="990" priority="990" stopIfTrue="1" operator="equal">
      <formula>"Pass"</formula>
    </cfRule>
    <cfRule type="cellIs" dxfId="989" priority="991" stopIfTrue="1" operator="equal">
      <formula>"Fail"</formula>
    </cfRule>
  </conditionalFormatting>
  <conditionalFormatting sqref="J554:Q554">
    <cfRule type="cellIs" dxfId="988" priority="988" stopIfTrue="1" operator="equal">
      <formula>"Pass"</formula>
    </cfRule>
    <cfRule type="cellIs" dxfId="987" priority="989" stopIfTrue="1" operator="equal">
      <formula>"Fail"</formula>
    </cfRule>
  </conditionalFormatting>
  <conditionalFormatting sqref="J554:Q554">
    <cfRule type="cellIs" dxfId="986" priority="986" stopIfTrue="1" operator="equal">
      <formula>"Pass"</formula>
    </cfRule>
    <cfRule type="cellIs" dxfId="985" priority="987" stopIfTrue="1" operator="equal">
      <formula>"Fail"</formula>
    </cfRule>
  </conditionalFormatting>
  <conditionalFormatting sqref="J554:Q554">
    <cfRule type="cellIs" dxfId="984" priority="984" stopIfTrue="1" operator="equal">
      <formula>"Pass"</formula>
    </cfRule>
    <cfRule type="cellIs" dxfId="983" priority="985" stopIfTrue="1" operator="equal">
      <formula>"Fail"</formula>
    </cfRule>
  </conditionalFormatting>
  <conditionalFormatting sqref="J554:Q554">
    <cfRule type="cellIs" dxfId="982" priority="982" stopIfTrue="1" operator="equal">
      <formula>"Pass"</formula>
    </cfRule>
    <cfRule type="cellIs" dxfId="981" priority="983" stopIfTrue="1" operator="equal">
      <formula>"Fail"</formula>
    </cfRule>
  </conditionalFormatting>
  <conditionalFormatting sqref="J554:Q554">
    <cfRule type="cellIs" dxfId="980" priority="980" stopIfTrue="1" operator="equal">
      <formula>"Pass"</formula>
    </cfRule>
    <cfRule type="cellIs" dxfId="979" priority="981" stopIfTrue="1" operator="equal">
      <formula>"Fail"</formula>
    </cfRule>
  </conditionalFormatting>
  <conditionalFormatting sqref="J554:Q554">
    <cfRule type="cellIs" dxfId="978" priority="978" stopIfTrue="1" operator="equal">
      <formula>"Pass"</formula>
    </cfRule>
    <cfRule type="cellIs" dxfId="977" priority="979" stopIfTrue="1" operator="equal">
      <formula>"Fail"</formula>
    </cfRule>
  </conditionalFormatting>
  <conditionalFormatting sqref="A565">
    <cfRule type="timePeriod" dxfId="976" priority="977" timePeriod="today">
      <formula>FLOOR(A565,1)=TODAY()</formula>
    </cfRule>
  </conditionalFormatting>
  <conditionalFormatting sqref="A568">
    <cfRule type="timePeriod" dxfId="975" priority="976" timePeriod="today">
      <formula>FLOOR(A568,1)=TODAY()</formula>
    </cfRule>
  </conditionalFormatting>
  <conditionalFormatting sqref="A583">
    <cfRule type="timePeriod" dxfId="974" priority="975" timePeriod="today">
      <formula>FLOOR(A583,1)=TODAY()</formula>
    </cfRule>
  </conditionalFormatting>
  <conditionalFormatting sqref="A586">
    <cfRule type="timePeriod" dxfId="973" priority="974" timePeriod="today">
      <formula>FLOOR(A586,1)=TODAY()</formula>
    </cfRule>
  </conditionalFormatting>
  <conditionalFormatting sqref="A589">
    <cfRule type="timePeriod" dxfId="972" priority="973" timePeriod="today">
      <formula>FLOOR(A589,1)=TODAY()</formula>
    </cfRule>
  </conditionalFormatting>
  <conditionalFormatting sqref="J601:J603 K601:Q602 J601:Q601">
    <cfRule type="cellIs" dxfId="971" priority="971" stopIfTrue="1" operator="equal">
      <formula>"Pass"</formula>
    </cfRule>
    <cfRule type="cellIs" dxfId="970" priority="972" stopIfTrue="1" operator="equal">
      <formula>"Fail"</formula>
    </cfRule>
  </conditionalFormatting>
  <conditionalFormatting sqref="W601">
    <cfRule type="cellIs" dxfId="969" priority="969" stopIfTrue="1" operator="equal">
      <formula>"Fail"</formula>
    </cfRule>
    <cfRule type="cellIs" dxfId="968" priority="970" stopIfTrue="1" operator="equal">
      <formula>"Pass"</formula>
    </cfRule>
  </conditionalFormatting>
  <conditionalFormatting sqref="J601:Q601">
    <cfRule type="cellIs" dxfId="967" priority="967" stopIfTrue="1" operator="equal">
      <formula>"Pass"</formula>
    </cfRule>
    <cfRule type="cellIs" dxfId="966" priority="968" stopIfTrue="1" operator="equal">
      <formula>"Fail"</formula>
    </cfRule>
  </conditionalFormatting>
  <conditionalFormatting sqref="J601:Q601">
    <cfRule type="cellIs" dxfId="965" priority="965" stopIfTrue="1" operator="equal">
      <formula>"Pass"</formula>
    </cfRule>
    <cfRule type="cellIs" dxfId="964" priority="966" stopIfTrue="1" operator="equal">
      <formula>"Fail"</formula>
    </cfRule>
  </conditionalFormatting>
  <conditionalFormatting sqref="J601:Q601">
    <cfRule type="cellIs" dxfId="963" priority="963" stopIfTrue="1" operator="equal">
      <formula>"Pass"</formula>
    </cfRule>
    <cfRule type="cellIs" dxfId="962" priority="964" stopIfTrue="1" operator="equal">
      <formula>"Fail"</formula>
    </cfRule>
  </conditionalFormatting>
  <conditionalFormatting sqref="J601:Q601">
    <cfRule type="cellIs" dxfId="961" priority="961" stopIfTrue="1" operator="equal">
      <formula>"Pass"</formula>
    </cfRule>
    <cfRule type="cellIs" dxfId="960" priority="962" stopIfTrue="1" operator="equal">
      <formula>"Fail"</formula>
    </cfRule>
  </conditionalFormatting>
  <conditionalFormatting sqref="J601:M601 O601:P601">
    <cfRule type="cellIs" dxfId="959" priority="959" stopIfTrue="1" operator="equal">
      <formula>"Pass"</formula>
    </cfRule>
    <cfRule type="cellIs" dxfId="958" priority="960" stopIfTrue="1" operator="equal">
      <formula>"Fail"</formula>
    </cfRule>
  </conditionalFormatting>
  <conditionalFormatting sqref="Q601 N601">
    <cfRule type="cellIs" dxfId="957" priority="957" stopIfTrue="1" operator="equal">
      <formula>"Pass"</formula>
    </cfRule>
    <cfRule type="cellIs" dxfId="956" priority="958" stopIfTrue="1" operator="equal">
      <formula>"Fail"</formula>
    </cfRule>
  </conditionalFormatting>
  <conditionalFormatting sqref="J601:Q601">
    <cfRule type="cellIs" dxfId="955" priority="955" stopIfTrue="1" operator="equal">
      <formula>"Pass"</formula>
    </cfRule>
    <cfRule type="cellIs" dxfId="954" priority="956" stopIfTrue="1" operator="equal">
      <formula>"Fail"</formula>
    </cfRule>
  </conditionalFormatting>
  <conditionalFormatting sqref="J604:J606 K604:Q605">
    <cfRule type="cellIs" dxfId="953" priority="953" stopIfTrue="1" operator="equal">
      <formula>"Pass"</formula>
    </cfRule>
    <cfRule type="cellIs" dxfId="952" priority="954" stopIfTrue="1" operator="equal">
      <formula>"Fail"</formula>
    </cfRule>
  </conditionalFormatting>
  <conditionalFormatting sqref="W604">
    <cfRule type="cellIs" dxfId="951" priority="951" stopIfTrue="1" operator="equal">
      <formula>"Fail"</formula>
    </cfRule>
    <cfRule type="cellIs" dxfId="950" priority="952" stopIfTrue="1" operator="equal">
      <formula>"Pass"</formula>
    </cfRule>
  </conditionalFormatting>
  <conditionalFormatting sqref="J604:Q604">
    <cfRule type="cellIs" dxfId="949" priority="949" stopIfTrue="1" operator="equal">
      <formula>"Pass"</formula>
    </cfRule>
    <cfRule type="cellIs" dxfId="948" priority="950" stopIfTrue="1" operator="equal">
      <formula>"Fail"</formula>
    </cfRule>
  </conditionalFormatting>
  <conditionalFormatting sqref="J604:Q604">
    <cfRule type="cellIs" dxfId="947" priority="947" stopIfTrue="1" operator="equal">
      <formula>"Pass"</formula>
    </cfRule>
    <cfRule type="cellIs" dxfId="946" priority="948" stopIfTrue="1" operator="equal">
      <formula>"Fail"</formula>
    </cfRule>
  </conditionalFormatting>
  <conditionalFormatting sqref="J604:Q604">
    <cfRule type="cellIs" dxfId="945" priority="945" stopIfTrue="1" operator="equal">
      <formula>"Pass"</formula>
    </cfRule>
    <cfRule type="cellIs" dxfId="944" priority="946" stopIfTrue="1" operator="equal">
      <formula>"Fail"</formula>
    </cfRule>
  </conditionalFormatting>
  <conditionalFormatting sqref="J604:Q604">
    <cfRule type="cellIs" dxfId="943" priority="943" stopIfTrue="1" operator="equal">
      <formula>"Pass"</formula>
    </cfRule>
    <cfRule type="cellIs" dxfId="942" priority="944" stopIfTrue="1" operator="equal">
      <formula>"Fail"</formula>
    </cfRule>
  </conditionalFormatting>
  <conditionalFormatting sqref="J604:M604 O604:P604">
    <cfRule type="cellIs" dxfId="941" priority="941" stopIfTrue="1" operator="equal">
      <formula>"Pass"</formula>
    </cfRule>
    <cfRule type="cellIs" dxfId="940" priority="942" stopIfTrue="1" operator="equal">
      <formula>"Fail"</formula>
    </cfRule>
  </conditionalFormatting>
  <conditionalFormatting sqref="Q604 N604">
    <cfRule type="cellIs" dxfId="939" priority="939" stopIfTrue="1" operator="equal">
      <formula>"Pass"</formula>
    </cfRule>
    <cfRule type="cellIs" dxfId="938" priority="940" stopIfTrue="1" operator="equal">
      <formula>"Fail"</formula>
    </cfRule>
  </conditionalFormatting>
  <conditionalFormatting sqref="J604:Q604">
    <cfRule type="cellIs" dxfId="937" priority="937" stopIfTrue="1" operator="equal">
      <formula>"Pass"</formula>
    </cfRule>
    <cfRule type="cellIs" dxfId="936" priority="938" stopIfTrue="1" operator="equal">
      <formula>"Fail"</formula>
    </cfRule>
  </conditionalFormatting>
  <conditionalFormatting sqref="J607:J609 K607:Q608">
    <cfRule type="cellIs" dxfId="935" priority="935" stopIfTrue="1" operator="equal">
      <formula>"Pass"</formula>
    </cfRule>
    <cfRule type="cellIs" dxfId="934" priority="936" stopIfTrue="1" operator="equal">
      <formula>"Fail"</formula>
    </cfRule>
  </conditionalFormatting>
  <conditionalFormatting sqref="W607">
    <cfRule type="cellIs" dxfId="933" priority="933" stopIfTrue="1" operator="equal">
      <formula>"Fail"</formula>
    </cfRule>
    <cfRule type="cellIs" dxfId="932" priority="934" stopIfTrue="1" operator="equal">
      <formula>"Pass"</formula>
    </cfRule>
  </conditionalFormatting>
  <conditionalFormatting sqref="J607:Q607">
    <cfRule type="cellIs" dxfId="931" priority="931" stopIfTrue="1" operator="equal">
      <formula>"Pass"</formula>
    </cfRule>
    <cfRule type="cellIs" dxfId="930" priority="932" stopIfTrue="1" operator="equal">
      <formula>"Fail"</formula>
    </cfRule>
  </conditionalFormatting>
  <conditionalFormatting sqref="J607:Q607">
    <cfRule type="cellIs" dxfId="929" priority="929" stopIfTrue="1" operator="equal">
      <formula>"Pass"</formula>
    </cfRule>
    <cfRule type="cellIs" dxfId="928" priority="930" stopIfTrue="1" operator="equal">
      <formula>"Fail"</formula>
    </cfRule>
  </conditionalFormatting>
  <conditionalFormatting sqref="J607:Q607">
    <cfRule type="cellIs" dxfId="927" priority="927" stopIfTrue="1" operator="equal">
      <formula>"Pass"</formula>
    </cfRule>
    <cfRule type="cellIs" dxfId="926" priority="928" stopIfTrue="1" operator="equal">
      <formula>"Fail"</formula>
    </cfRule>
  </conditionalFormatting>
  <conditionalFormatting sqref="J607:Q607">
    <cfRule type="cellIs" dxfId="925" priority="925" stopIfTrue="1" operator="equal">
      <formula>"Pass"</formula>
    </cfRule>
    <cfRule type="cellIs" dxfId="924" priority="926" stopIfTrue="1" operator="equal">
      <formula>"Fail"</formula>
    </cfRule>
  </conditionalFormatting>
  <conditionalFormatting sqref="J607:M607 O607:P607">
    <cfRule type="cellIs" dxfId="923" priority="923" stopIfTrue="1" operator="equal">
      <formula>"Pass"</formula>
    </cfRule>
    <cfRule type="cellIs" dxfId="922" priority="924" stopIfTrue="1" operator="equal">
      <formula>"Fail"</formula>
    </cfRule>
  </conditionalFormatting>
  <conditionalFormatting sqref="Q607 N607">
    <cfRule type="cellIs" dxfId="921" priority="921" stopIfTrue="1" operator="equal">
      <formula>"Pass"</formula>
    </cfRule>
    <cfRule type="cellIs" dxfId="920" priority="922" stopIfTrue="1" operator="equal">
      <formula>"Fail"</formula>
    </cfRule>
  </conditionalFormatting>
  <conditionalFormatting sqref="J607:Q607">
    <cfRule type="cellIs" dxfId="919" priority="919" stopIfTrue="1" operator="equal">
      <formula>"Pass"</formula>
    </cfRule>
    <cfRule type="cellIs" dxfId="918" priority="920" stopIfTrue="1" operator="equal">
      <formula>"Fail"</formula>
    </cfRule>
  </conditionalFormatting>
  <conditionalFormatting sqref="J607:Q607">
    <cfRule type="cellIs" dxfId="917" priority="917" stopIfTrue="1" operator="equal">
      <formula>"Pass"</formula>
    </cfRule>
    <cfRule type="cellIs" dxfId="916" priority="918" stopIfTrue="1" operator="equal">
      <formula>"Fail"</formula>
    </cfRule>
  </conditionalFormatting>
  <conditionalFormatting sqref="J607:Q607">
    <cfRule type="cellIs" dxfId="915" priority="915" stopIfTrue="1" operator="equal">
      <formula>"Pass"</formula>
    </cfRule>
    <cfRule type="cellIs" dxfId="914" priority="916" stopIfTrue="1" operator="equal">
      <formula>"Fail"</formula>
    </cfRule>
  </conditionalFormatting>
  <conditionalFormatting sqref="J607:Q607">
    <cfRule type="cellIs" dxfId="913" priority="913" stopIfTrue="1" operator="equal">
      <formula>"Pass"</formula>
    </cfRule>
    <cfRule type="cellIs" dxfId="912" priority="914" stopIfTrue="1" operator="equal">
      <formula>"Fail"</formula>
    </cfRule>
  </conditionalFormatting>
  <conditionalFormatting sqref="J607:Q607">
    <cfRule type="cellIs" dxfId="911" priority="911" stopIfTrue="1" operator="equal">
      <formula>"Pass"</formula>
    </cfRule>
    <cfRule type="cellIs" dxfId="910" priority="912" stopIfTrue="1" operator="equal">
      <formula>"Fail"</formula>
    </cfRule>
  </conditionalFormatting>
  <conditionalFormatting sqref="J607:Q607">
    <cfRule type="cellIs" dxfId="909" priority="909" stopIfTrue="1" operator="equal">
      <formula>"Pass"</formula>
    </cfRule>
    <cfRule type="cellIs" dxfId="908" priority="910" stopIfTrue="1" operator="equal">
      <formula>"Fail"</formula>
    </cfRule>
  </conditionalFormatting>
  <conditionalFormatting sqref="J607:M607 O607:P607">
    <cfRule type="cellIs" dxfId="907" priority="907" stopIfTrue="1" operator="equal">
      <formula>"Pass"</formula>
    </cfRule>
    <cfRule type="cellIs" dxfId="906" priority="908" stopIfTrue="1" operator="equal">
      <formula>"Fail"</formula>
    </cfRule>
  </conditionalFormatting>
  <conditionalFormatting sqref="Q607 N607">
    <cfRule type="cellIs" dxfId="905" priority="905" stopIfTrue="1" operator="equal">
      <formula>"Pass"</formula>
    </cfRule>
    <cfRule type="cellIs" dxfId="904" priority="906" stopIfTrue="1" operator="equal">
      <formula>"Fail"</formula>
    </cfRule>
  </conditionalFormatting>
  <conditionalFormatting sqref="J607:Q607">
    <cfRule type="cellIs" dxfId="903" priority="903" stopIfTrue="1" operator="equal">
      <formula>"Pass"</formula>
    </cfRule>
    <cfRule type="cellIs" dxfId="902" priority="904" stopIfTrue="1" operator="equal">
      <formula>"Fail"</formula>
    </cfRule>
  </conditionalFormatting>
  <conditionalFormatting sqref="J607:Q607">
    <cfRule type="cellIs" dxfId="901" priority="901" stopIfTrue="1" operator="equal">
      <formula>"Pass"</formula>
    </cfRule>
    <cfRule type="cellIs" dxfId="900" priority="902" stopIfTrue="1" operator="equal">
      <formula>"Fail"</formula>
    </cfRule>
  </conditionalFormatting>
  <conditionalFormatting sqref="J607:Q607">
    <cfRule type="cellIs" dxfId="899" priority="899" stopIfTrue="1" operator="equal">
      <formula>"Pass"</formula>
    </cfRule>
    <cfRule type="cellIs" dxfId="898" priority="900" stopIfTrue="1" operator="equal">
      <formula>"Fail"</formula>
    </cfRule>
  </conditionalFormatting>
  <conditionalFormatting sqref="J607:Q607">
    <cfRule type="cellIs" dxfId="897" priority="897" stopIfTrue="1" operator="equal">
      <formula>"Pass"</formula>
    </cfRule>
    <cfRule type="cellIs" dxfId="896" priority="898" stopIfTrue="1" operator="equal">
      <formula>"Fail"</formula>
    </cfRule>
  </conditionalFormatting>
  <conditionalFormatting sqref="J607:Q607">
    <cfRule type="cellIs" dxfId="895" priority="895" stopIfTrue="1" operator="equal">
      <formula>"Pass"</formula>
    </cfRule>
    <cfRule type="cellIs" dxfId="894" priority="896" stopIfTrue="1" operator="equal">
      <formula>"Fail"</formula>
    </cfRule>
  </conditionalFormatting>
  <conditionalFormatting sqref="J607:Q607">
    <cfRule type="cellIs" dxfId="893" priority="893" stopIfTrue="1" operator="equal">
      <formula>"Pass"</formula>
    </cfRule>
    <cfRule type="cellIs" dxfId="892" priority="894" stopIfTrue="1" operator="equal">
      <formula>"Fail"</formula>
    </cfRule>
  </conditionalFormatting>
  <conditionalFormatting sqref="J607:M607 O607:P607">
    <cfRule type="cellIs" dxfId="891" priority="891" stopIfTrue="1" operator="equal">
      <formula>"Pass"</formula>
    </cfRule>
    <cfRule type="cellIs" dxfId="890" priority="892" stopIfTrue="1" operator="equal">
      <formula>"Fail"</formula>
    </cfRule>
  </conditionalFormatting>
  <conditionalFormatting sqref="Q607 N607">
    <cfRule type="cellIs" dxfId="889" priority="889" stopIfTrue="1" operator="equal">
      <formula>"Pass"</formula>
    </cfRule>
    <cfRule type="cellIs" dxfId="888" priority="890" stopIfTrue="1" operator="equal">
      <formula>"Fail"</formula>
    </cfRule>
  </conditionalFormatting>
  <conditionalFormatting sqref="J607:Q607">
    <cfRule type="cellIs" dxfId="887" priority="887" stopIfTrue="1" operator="equal">
      <formula>"Pass"</formula>
    </cfRule>
    <cfRule type="cellIs" dxfId="886" priority="888" stopIfTrue="1" operator="equal">
      <formula>"Fail"</formula>
    </cfRule>
  </conditionalFormatting>
  <conditionalFormatting sqref="J607:Q607">
    <cfRule type="cellIs" dxfId="885" priority="885" stopIfTrue="1" operator="equal">
      <formula>"Pass"</formula>
    </cfRule>
    <cfRule type="cellIs" dxfId="884" priority="886" stopIfTrue="1" operator="equal">
      <formula>"Fail"</formula>
    </cfRule>
  </conditionalFormatting>
  <conditionalFormatting sqref="J607:Q607">
    <cfRule type="cellIs" dxfId="883" priority="883" stopIfTrue="1" operator="equal">
      <formula>"Pass"</formula>
    </cfRule>
    <cfRule type="cellIs" dxfId="882" priority="884" stopIfTrue="1" operator="equal">
      <formula>"Fail"</formula>
    </cfRule>
  </conditionalFormatting>
  <conditionalFormatting sqref="J607:Q607">
    <cfRule type="cellIs" dxfId="881" priority="881" stopIfTrue="1" operator="equal">
      <formula>"Pass"</formula>
    </cfRule>
    <cfRule type="cellIs" dxfId="880" priority="882" stopIfTrue="1" operator="equal">
      <formula>"Fail"</formula>
    </cfRule>
  </conditionalFormatting>
  <conditionalFormatting sqref="J607:Q607">
    <cfRule type="cellIs" dxfId="879" priority="879" stopIfTrue="1" operator="equal">
      <formula>"Pass"</formula>
    </cfRule>
    <cfRule type="cellIs" dxfId="878" priority="880" stopIfTrue="1" operator="equal">
      <formula>"Fail"</formula>
    </cfRule>
  </conditionalFormatting>
  <conditionalFormatting sqref="J607:Q607">
    <cfRule type="cellIs" dxfId="877" priority="877" stopIfTrue="1" operator="equal">
      <formula>"Pass"</formula>
    </cfRule>
    <cfRule type="cellIs" dxfId="876" priority="878" stopIfTrue="1" operator="equal">
      <formula>"Fail"</formula>
    </cfRule>
  </conditionalFormatting>
  <conditionalFormatting sqref="J607:M607 O607:P607">
    <cfRule type="cellIs" dxfId="875" priority="875" stopIfTrue="1" operator="equal">
      <formula>"Pass"</formula>
    </cfRule>
    <cfRule type="cellIs" dxfId="874" priority="876" stopIfTrue="1" operator="equal">
      <formula>"Fail"</formula>
    </cfRule>
  </conditionalFormatting>
  <conditionalFormatting sqref="Q607 N607">
    <cfRule type="cellIs" dxfId="873" priority="873" stopIfTrue="1" operator="equal">
      <formula>"Pass"</formula>
    </cfRule>
    <cfRule type="cellIs" dxfId="872" priority="874" stopIfTrue="1" operator="equal">
      <formula>"Fail"</formula>
    </cfRule>
  </conditionalFormatting>
  <conditionalFormatting sqref="J607:Q607">
    <cfRule type="cellIs" dxfId="871" priority="871" stopIfTrue="1" operator="equal">
      <formula>"Pass"</formula>
    </cfRule>
    <cfRule type="cellIs" dxfId="870" priority="872" stopIfTrue="1" operator="equal">
      <formula>"Fail"</formula>
    </cfRule>
  </conditionalFormatting>
  <conditionalFormatting sqref="J607:Q607">
    <cfRule type="cellIs" dxfId="869" priority="869" stopIfTrue="1" operator="equal">
      <formula>"Pass"</formula>
    </cfRule>
    <cfRule type="cellIs" dxfId="868" priority="870" stopIfTrue="1" operator="equal">
      <formula>"Fail"</formula>
    </cfRule>
  </conditionalFormatting>
  <conditionalFormatting sqref="J607:Q607">
    <cfRule type="cellIs" dxfId="867" priority="867" stopIfTrue="1" operator="equal">
      <formula>"Pass"</formula>
    </cfRule>
    <cfRule type="cellIs" dxfId="866" priority="868" stopIfTrue="1" operator="equal">
      <formula>"Fail"</formula>
    </cfRule>
  </conditionalFormatting>
  <conditionalFormatting sqref="J607:Q607">
    <cfRule type="cellIs" dxfId="865" priority="865" stopIfTrue="1" operator="equal">
      <formula>"Pass"</formula>
    </cfRule>
    <cfRule type="cellIs" dxfId="864" priority="866" stopIfTrue="1" operator="equal">
      <formula>"Fail"</formula>
    </cfRule>
  </conditionalFormatting>
  <conditionalFormatting sqref="J607:Q607">
    <cfRule type="cellIs" dxfId="863" priority="863" stopIfTrue="1" operator="equal">
      <formula>"Pass"</formula>
    </cfRule>
    <cfRule type="cellIs" dxfId="862" priority="864" stopIfTrue="1" operator="equal">
      <formula>"Fail"</formula>
    </cfRule>
  </conditionalFormatting>
  <conditionalFormatting sqref="J607:Q607">
    <cfRule type="cellIs" dxfId="861" priority="861" stopIfTrue="1" operator="equal">
      <formula>"Pass"</formula>
    </cfRule>
    <cfRule type="cellIs" dxfId="860" priority="862" stopIfTrue="1" operator="equal">
      <formula>"Fail"</formula>
    </cfRule>
  </conditionalFormatting>
  <conditionalFormatting sqref="J607:M607 O607:P607">
    <cfRule type="cellIs" dxfId="859" priority="859" stopIfTrue="1" operator="equal">
      <formula>"Pass"</formula>
    </cfRule>
    <cfRule type="cellIs" dxfId="858" priority="860" stopIfTrue="1" operator="equal">
      <formula>"Fail"</formula>
    </cfRule>
  </conditionalFormatting>
  <conditionalFormatting sqref="Q607 N607">
    <cfRule type="cellIs" dxfId="857" priority="857" stopIfTrue="1" operator="equal">
      <formula>"Pass"</formula>
    </cfRule>
    <cfRule type="cellIs" dxfId="856" priority="858" stopIfTrue="1" operator="equal">
      <formula>"Fail"</formula>
    </cfRule>
  </conditionalFormatting>
  <conditionalFormatting sqref="J607:Q607">
    <cfRule type="cellIs" dxfId="855" priority="855" stopIfTrue="1" operator="equal">
      <formula>"Pass"</formula>
    </cfRule>
    <cfRule type="cellIs" dxfId="854" priority="856" stopIfTrue="1" operator="equal">
      <formula>"Fail"</formula>
    </cfRule>
  </conditionalFormatting>
  <conditionalFormatting sqref="J607:Q607">
    <cfRule type="cellIs" dxfId="853" priority="853" stopIfTrue="1" operator="equal">
      <formula>"Pass"</formula>
    </cfRule>
    <cfRule type="cellIs" dxfId="852" priority="854" stopIfTrue="1" operator="equal">
      <formula>"Fail"</formula>
    </cfRule>
  </conditionalFormatting>
  <conditionalFormatting sqref="J607:Q607">
    <cfRule type="cellIs" dxfId="851" priority="851" stopIfTrue="1" operator="equal">
      <formula>"Pass"</formula>
    </cfRule>
    <cfRule type="cellIs" dxfId="850" priority="852" stopIfTrue="1" operator="equal">
      <formula>"Fail"</formula>
    </cfRule>
  </conditionalFormatting>
  <conditionalFormatting sqref="J607:Q607">
    <cfRule type="cellIs" dxfId="849" priority="849" stopIfTrue="1" operator="equal">
      <formula>"Pass"</formula>
    </cfRule>
    <cfRule type="cellIs" dxfId="848" priority="850" stopIfTrue="1" operator="equal">
      <formula>"Fail"</formula>
    </cfRule>
  </conditionalFormatting>
  <conditionalFormatting sqref="J607:Q607">
    <cfRule type="cellIs" dxfId="847" priority="847" stopIfTrue="1" operator="equal">
      <formula>"Pass"</formula>
    </cfRule>
    <cfRule type="cellIs" dxfId="846" priority="848" stopIfTrue="1" operator="equal">
      <formula>"Fail"</formula>
    </cfRule>
  </conditionalFormatting>
  <conditionalFormatting sqref="J607:Q607">
    <cfRule type="cellIs" dxfId="845" priority="845" stopIfTrue="1" operator="equal">
      <formula>"Pass"</formula>
    </cfRule>
    <cfRule type="cellIs" dxfId="844" priority="846" stopIfTrue="1" operator="equal">
      <formula>"Fail"</formula>
    </cfRule>
  </conditionalFormatting>
  <conditionalFormatting sqref="J607:M607 O607:P607">
    <cfRule type="cellIs" dxfId="843" priority="843" stopIfTrue="1" operator="equal">
      <formula>"Pass"</formula>
    </cfRule>
    <cfRule type="cellIs" dxfId="842" priority="844" stopIfTrue="1" operator="equal">
      <formula>"Fail"</formula>
    </cfRule>
  </conditionalFormatting>
  <conditionalFormatting sqref="Q607 N607">
    <cfRule type="cellIs" dxfId="841" priority="841" stopIfTrue="1" operator="equal">
      <formula>"Pass"</formula>
    </cfRule>
    <cfRule type="cellIs" dxfId="840" priority="842" stopIfTrue="1" operator="equal">
      <formula>"Fail"</formula>
    </cfRule>
  </conditionalFormatting>
  <conditionalFormatting sqref="J607:Q607">
    <cfRule type="cellIs" dxfId="839" priority="839" stopIfTrue="1" operator="equal">
      <formula>"Pass"</formula>
    </cfRule>
    <cfRule type="cellIs" dxfId="838" priority="840" stopIfTrue="1" operator="equal">
      <formula>"Fail"</formula>
    </cfRule>
  </conditionalFormatting>
  <conditionalFormatting sqref="J607:Q607">
    <cfRule type="cellIs" dxfId="837" priority="837" stopIfTrue="1" operator="equal">
      <formula>"Pass"</formula>
    </cfRule>
    <cfRule type="cellIs" dxfId="836" priority="838" stopIfTrue="1" operator="equal">
      <formula>"Fail"</formula>
    </cfRule>
  </conditionalFormatting>
  <conditionalFormatting sqref="J607:Q607">
    <cfRule type="cellIs" dxfId="835" priority="835" stopIfTrue="1" operator="equal">
      <formula>"Pass"</formula>
    </cfRule>
    <cfRule type="cellIs" dxfId="834" priority="836" stopIfTrue="1" operator="equal">
      <formula>"Fail"</formula>
    </cfRule>
  </conditionalFormatting>
  <conditionalFormatting sqref="J607:Q607">
    <cfRule type="cellIs" dxfId="833" priority="833" stopIfTrue="1" operator="equal">
      <formula>"Pass"</formula>
    </cfRule>
    <cfRule type="cellIs" dxfId="832" priority="834" stopIfTrue="1" operator="equal">
      <formula>"Fail"</formula>
    </cfRule>
  </conditionalFormatting>
  <conditionalFormatting sqref="J607:Q607">
    <cfRule type="cellIs" dxfId="831" priority="831" stopIfTrue="1" operator="equal">
      <formula>"Pass"</formula>
    </cfRule>
    <cfRule type="cellIs" dxfId="830" priority="832" stopIfTrue="1" operator="equal">
      <formula>"Fail"</formula>
    </cfRule>
  </conditionalFormatting>
  <conditionalFormatting sqref="J607:Q607">
    <cfRule type="cellIs" dxfId="829" priority="829" stopIfTrue="1" operator="equal">
      <formula>"Pass"</formula>
    </cfRule>
    <cfRule type="cellIs" dxfId="828" priority="830" stopIfTrue="1" operator="equal">
      <formula>"Fail"</formula>
    </cfRule>
  </conditionalFormatting>
  <conditionalFormatting sqref="J607:M607 O607:P607">
    <cfRule type="cellIs" dxfId="827" priority="827" stopIfTrue="1" operator="equal">
      <formula>"Pass"</formula>
    </cfRule>
    <cfRule type="cellIs" dxfId="826" priority="828" stopIfTrue="1" operator="equal">
      <formula>"Fail"</formula>
    </cfRule>
  </conditionalFormatting>
  <conditionalFormatting sqref="Q607 N607">
    <cfRule type="cellIs" dxfId="825" priority="825" stopIfTrue="1" operator="equal">
      <formula>"Pass"</formula>
    </cfRule>
    <cfRule type="cellIs" dxfId="824" priority="826" stopIfTrue="1" operator="equal">
      <formula>"Fail"</formula>
    </cfRule>
  </conditionalFormatting>
  <conditionalFormatting sqref="J607:Q607">
    <cfRule type="cellIs" dxfId="823" priority="823" stopIfTrue="1" operator="equal">
      <formula>"Pass"</formula>
    </cfRule>
    <cfRule type="cellIs" dxfId="822" priority="824" stopIfTrue="1" operator="equal">
      <formula>"Fail"</formula>
    </cfRule>
  </conditionalFormatting>
  <conditionalFormatting sqref="J607:Q607">
    <cfRule type="cellIs" dxfId="821" priority="821" stopIfTrue="1" operator="equal">
      <formula>"Pass"</formula>
    </cfRule>
    <cfRule type="cellIs" dxfId="820" priority="822" stopIfTrue="1" operator="equal">
      <formula>"Fail"</formula>
    </cfRule>
  </conditionalFormatting>
  <conditionalFormatting sqref="J607:Q607">
    <cfRule type="cellIs" dxfId="819" priority="819" stopIfTrue="1" operator="equal">
      <formula>"Pass"</formula>
    </cfRule>
    <cfRule type="cellIs" dxfId="818" priority="820" stopIfTrue="1" operator="equal">
      <formula>"Fail"</formula>
    </cfRule>
  </conditionalFormatting>
  <conditionalFormatting sqref="J607:Q607">
    <cfRule type="cellIs" dxfId="817" priority="817" stopIfTrue="1" operator="equal">
      <formula>"Pass"</formula>
    </cfRule>
    <cfRule type="cellIs" dxfId="816" priority="818" stopIfTrue="1" operator="equal">
      <formula>"Fail"</formula>
    </cfRule>
  </conditionalFormatting>
  <conditionalFormatting sqref="J607:Q607">
    <cfRule type="cellIs" dxfId="815" priority="815" stopIfTrue="1" operator="equal">
      <formula>"Pass"</formula>
    </cfRule>
    <cfRule type="cellIs" dxfId="814" priority="816" stopIfTrue="1" operator="equal">
      <formula>"Fail"</formula>
    </cfRule>
  </conditionalFormatting>
  <conditionalFormatting sqref="J607:Q607">
    <cfRule type="cellIs" dxfId="813" priority="813" stopIfTrue="1" operator="equal">
      <formula>"Pass"</formula>
    </cfRule>
    <cfRule type="cellIs" dxfId="812" priority="814" stopIfTrue="1" operator="equal">
      <formula>"Fail"</formula>
    </cfRule>
  </conditionalFormatting>
  <conditionalFormatting sqref="J607:M607 O607:P607">
    <cfRule type="cellIs" dxfId="811" priority="811" stopIfTrue="1" operator="equal">
      <formula>"Pass"</formula>
    </cfRule>
    <cfRule type="cellIs" dxfId="810" priority="812" stopIfTrue="1" operator="equal">
      <formula>"Fail"</formula>
    </cfRule>
  </conditionalFormatting>
  <conditionalFormatting sqref="Q607 N607">
    <cfRule type="cellIs" dxfId="809" priority="809" stopIfTrue="1" operator="equal">
      <formula>"Pass"</formula>
    </cfRule>
    <cfRule type="cellIs" dxfId="808" priority="810" stopIfTrue="1" operator="equal">
      <formula>"Fail"</formula>
    </cfRule>
  </conditionalFormatting>
  <conditionalFormatting sqref="J607:Q607">
    <cfRule type="cellIs" dxfId="807" priority="807" stopIfTrue="1" operator="equal">
      <formula>"Pass"</formula>
    </cfRule>
    <cfRule type="cellIs" dxfId="806" priority="808" stopIfTrue="1" operator="equal">
      <formula>"Fail"</formula>
    </cfRule>
  </conditionalFormatting>
  <conditionalFormatting sqref="J607:Q607">
    <cfRule type="cellIs" dxfId="805" priority="805" stopIfTrue="1" operator="equal">
      <formula>"Pass"</formula>
    </cfRule>
    <cfRule type="cellIs" dxfId="804" priority="806" stopIfTrue="1" operator="equal">
      <formula>"Fail"</formula>
    </cfRule>
  </conditionalFormatting>
  <conditionalFormatting sqref="J607:Q607">
    <cfRule type="cellIs" dxfId="803" priority="803" stopIfTrue="1" operator="equal">
      <formula>"Pass"</formula>
    </cfRule>
    <cfRule type="cellIs" dxfId="802" priority="804" stopIfTrue="1" operator="equal">
      <formula>"Fail"</formula>
    </cfRule>
  </conditionalFormatting>
  <conditionalFormatting sqref="J607:Q607">
    <cfRule type="cellIs" dxfId="801" priority="801" stopIfTrue="1" operator="equal">
      <formula>"Pass"</formula>
    </cfRule>
    <cfRule type="cellIs" dxfId="800" priority="802" stopIfTrue="1" operator="equal">
      <formula>"Fail"</formula>
    </cfRule>
  </conditionalFormatting>
  <conditionalFormatting sqref="J607:Q607">
    <cfRule type="cellIs" dxfId="799" priority="799" stopIfTrue="1" operator="equal">
      <formula>"Pass"</formula>
    </cfRule>
    <cfRule type="cellIs" dxfId="798" priority="800" stopIfTrue="1" operator="equal">
      <formula>"Fail"</formula>
    </cfRule>
  </conditionalFormatting>
  <conditionalFormatting sqref="J607:Q607">
    <cfRule type="cellIs" dxfId="797" priority="797" stopIfTrue="1" operator="equal">
      <formula>"Pass"</formula>
    </cfRule>
    <cfRule type="cellIs" dxfId="796" priority="798" stopIfTrue="1" operator="equal">
      <formula>"Fail"</formula>
    </cfRule>
  </conditionalFormatting>
  <conditionalFormatting sqref="J607:M607 O607:P607">
    <cfRule type="cellIs" dxfId="795" priority="795" stopIfTrue="1" operator="equal">
      <formula>"Pass"</formula>
    </cfRule>
    <cfRule type="cellIs" dxfId="794" priority="796" stopIfTrue="1" operator="equal">
      <formula>"Fail"</formula>
    </cfRule>
  </conditionalFormatting>
  <conditionalFormatting sqref="Q607 N607">
    <cfRule type="cellIs" dxfId="793" priority="793" stopIfTrue="1" operator="equal">
      <formula>"Pass"</formula>
    </cfRule>
    <cfRule type="cellIs" dxfId="792" priority="794" stopIfTrue="1" operator="equal">
      <formula>"Fail"</formula>
    </cfRule>
  </conditionalFormatting>
  <conditionalFormatting sqref="J607:Q607">
    <cfRule type="cellIs" dxfId="791" priority="791" stopIfTrue="1" operator="equal">
      <formula>"Pass"</formula>
    </cfRule>
    <cfRule type="cellIs" dxfId="790" priority="792" stopIfTrue="1" operator="equal">
      <formula>"Fail"</formula>
    </cfRule>
  </conditionalFormatting>
  <conditionalFormatting sqref="J607:Q607">
    <cfRule type="cellIs" dxfId="789" priority="789" stopIfTrue="1" operator="equal">
      <formula>"Pass"</formula>
    </cfRule>
    <cfRule type="cellIs" dxfId="788" priority="790" stopIfTrue="1" operator="equal">
      <formula>"Fail"</formula>
    </cfRule>
  </conditionalFormatting>
  <conditionalFormatting sqref="J607:Q607">
    <cfRule type="cellIs" dxfId="787" priority="787" stopIfTrue="1" operator="equal">
      <formula>"Pass"</formula>
    </cfRule>
    <cfRule type="cellIs" dxfId="786" priority="788" stopIfTrue="1" operator="equal">
      <formula>"Fail"</formula>
    </cfRule>
  </conditionalFormatting>
  <conditionalFormatting sqref="J607:Q607">
    <cfRule type="cellIs" dxfId="785" priority="785" stopIfTrue="1" operator="equal">
      <formula>"Pass"</formula>
    </cfRule>
    <cfRule type="cellIs" dxfId="784" priority="786" stopIfTrue="1" operator="equal">
      <formula>"Fail"</formula>
    </cfRule>
  </conditionalFormatting>
  <conditionalFormatting sqref="J607:Q607">
    <cfRule type="cellIs" dxfId="783" priority="783" stopIfTrue="1" operator="equal">
      <formula>"Pass"</formula>
    </cfRule>
    <cfRule type="cellIs" dxfId="782" priority="784" stopIfTrue="1" operator="equal">
      <formula>"Fail"</formula>
    </cfRule>
  </conditionalFormatting>
  <conditionalFormatting sqref="J607:Q607">
    <cfRule type="cellIs" dxfId="781" priority="781" stopIfTrue="1" operator="equal">
      <formula>"Pass"</formula>
    </cfRule>
    <cfRule type="cellIs" dxfId="780" priority="782" stopIfTrue="1" operator="equal">
      <formula>"Fail"</formula>
    </cfRule>
  </conditionalFormatting>
  <conditionalFormatting sqref="J607:M607 O607:P607">
    <cfRule type="cellIs" dxfId="779" priority="779" stopIfTrue="1" operator="equal">
      <formula>"Pass"</formula>
    </cfRule>
    <cfRule type="cellIs" dxfId="778" priority="780" stopIfTrue="1" operator="equal">
      <formula>"Fail"</formula>
    </cfRule>
  </conditionalFormatting>
  <conditionalFormatting sqref="Q607 N607">
    <cfRule type="cellIs" dxfId="777" priority="777" stopIfTrue="1" operator="equal">
      <formula>"Pass"</formula>
    </cfRule>
    <cfRule type="cellIs" dxfId="776" priority="778" stopIfTrue="1" operator="equal">
      <formula>"Fail"</formula>
    </cfRule>
  </conditionalFormatting>
  <conditionalFormatting sqref="J607:Q607">
    <cfRule type="cellIs" dxfId="775" priority="775" stopIfTrue="1" operator="equal">
      <formula>"Pass"</formula>
    </cfRule>
    <cfRule type="cellIs" dxfId="774" priority="776" stopIfTrue="1" operator="equal">
      <formula>"Fail"</formula>
    </cfRule>
  </conditionalFormatting>
  <conditionalFormatting sqref="J607:Q607">
    <cfRule type="cellIs" dxfId="773" priority="773" stopIfTrue="1" operator="equal">
      <formula>"Pass"</formula>
    </cfRule>
    <cfRule type="cellIs" dxfId="772" priority="774" stopIfTrue="1" operator="equal">
      <formula>"Fail"</formula>
    </cfRule>
  </conditionalFormatting>
  <conditionalFormatting sqref="J607:Q607">
    <cfRule type="cellIs" dxfId="771" priority="771" stopIfTrue="1" operator="equal">
      <formula>"Pass"</formula>
    </cfRule>
    <cfRule type="cellIs" dxfId="770" priority="772" stopIfTrue="1" operator="equal">
      <formula>"Fail"</formula>
    </cfRule>
  </conditionalFormatting>
  <conditionalFormatting sqref="J607:Q607">
    <cfRule type="cellIs" dxfId="769" priority="769" stopIfTrue="1" operator="equal">
      <formula>"Pass"</formula>
    </cfRule>
    <cfRule type="cellIs" dxfId="768" priority="770" stopIfTrue="1" operator="equal">
      <formula>"Fail"</formula>
    </cfRule>
  </conditionalFormatting>
  <conditionalFormatting sqref="J607:Q607">
    <cfRule type="cellIs" dxfId="767" priority="767" stopIfTrue="1" operator="equal">
      <formula>"Pass"</formula>
    </cfRule>
    <cfRule type="cellIs" dxfId="766" priority="768" stopIfTrue="1" operator="equal">
      <formula>"Fail"</formula>
    </cfRule>
  </conditionalFormatting>
  <conditionalFormatting sqref="J607:Q607">
    <cfRule type="cellIs" dxfId="765" priority="765" stopIfTrue="1" operator="equal">
      <formula>"Pass"</formula>
    </cfRule>
    <cfRule type="cellIs" dxfId="764" priority="766" stopIfTrue="1" operator="equal">
      <formula>"Fail"</formula>
    </cfRule>
  </conditionalFormatting>
  <conditionalFormatting sqref="J607:M607 O607:P607">
    <cfRule type="cellIs" dxfId="763" priority="763" stopIfTrue="1" operator="equal">
      <formula>"Pass"</formula>
    </cfRule>
    <cfRule type="cellIs" dxfId="762" priority="764" stopIfTrue="1" operator="equal">
      <formula>"Fail"</formula>
    </cfRule>
  </conditionalFormatting>
  <conditionalFormatting sqref="Q607 N607">
    <cfRule type="cellIs" dxfId="761" priority="761" stopIfTrue="1" operator="equal">
      <formula>"Pass"</formula>
    </cfRule>
    <cfRule type="cellIs" dxfId="760" priority="762" stopIfTrue="1" operator="equal">
      <formula>"Fail"</formula>
    </cfRule>
  </conditionalFormatting>
  <conditionalFormatting sqref="J607:Q607">
    <cfRule type="cellIs" dxfId="759" priority="759" stopIfTrue="1" operator="equal">
      <formula>"Pass"</formula>
    </cfRule>
    <cfRule type="cellIs" dxfId="758" priority="760" stopIfTrue="1" operator="equal">
      <formula>"Fail"</formula>
    </cfRule>
  </conditionalFormatting>
  <conditionalFormatting sqref="J607:Q607">
    <cfRule type="cellIs" dxfId="757" priority="757" stopIfTrue="1" operator="equal">
      <formula>"Pass"</formula>
    </cfRule>
    <cfRule type="cellIs" dxfId="756" priority="758" stopIfTrue="1" operator="equal">
      <formula>"Fail"</formula>
    </cfRule>
  </conditionalFormatting>
  <conditionalFormatting sqref="J607:Q607">
    <cfRule type="cellIs" dxfId="755" priority="755" stopIfTrue="1" operator="equal">
      <formula>"Pass"</formula>
    </cfRule>
    <cfRule type="cellIs" dxfId="754" priority="756" stopIfTrue="1" operator="equal">
      <formula>"Fail"</formula>
    </cfRule>
  </conditionalFormatting>
  <conditionalFormatting sqref="J607:Q607">
    <cfRule type="cellIs" dxfId="753" priority="753" stopIfTrue="1" operator="equal">
      <formula>"Pass"</formula>
    </cfRule>
    <cfRule type="cellIs" dxfId="752" priority="754" stopIfTrue="1" operator="equal">
      <formula>"Fail"</formula>
    </cfRule>
  </conditionalFormatting>
  <conditionalFormatting sqref="J607:Q607">
    <cfRule type="cellIs" dxfId="751" priority="751" stopIfTrue="1" operator="equal">
      <formula>"Pass"</formula>
    </cfRule>
    <cfRule type="cellIs" dxfId="750" priority="752" stopIfTrue="1" operator="equal">
      <formula>"Fail"</formula>
    </cfRule>
  </conditionalFormatting>
  <conditionalFormatting sqref="J607:Q607">
    <cfRule type="cellIs" dxfId="749" priority="749" stopIfTrue="1" operator="equal">
      <formula>"Pass"</formula>
    </cfRule>
    <cfRule type="cellIs" dxfId="748" priority="750" stopIfTrue="1" operator="equal">
      <formula>"Fail"</formula>
    </cfRule>
  </conditionalFormatting>
  <conditionalFormatting sqref="J607:M607 O607:P607">
    <cfRule type="cellIs" dxfId="747" priority="747" stopIfTrue="1" operator="equal">
      <formula>"Pass"</formula>
    </cfRule>
    <cfRule type="cellIs" dxfId="746" priority="748" stopIfTrue="1" operator="equal">
      <formula>"Fail"</formula>
    </cfRule>
  </conditionalFormatting>
  <conditionalFormatting sqref="Q607 N607">
    <cfRule type="cellIs" dxfId="745" priority="745" stopIfTrue="1" operator="equal">
      <formula>"Pass"</formula>
    </cfRule>
    <cfRule type="cellIs" dxfId="744" priority="746" stopIfTrue="1" operator="equal">
      <formula>"Fail"</formula>
    </cfRule>
  </conditionalFormatting>
  <conditionalFormatting sqref="J607:Q607">
    <cfRule type="cellIs" dxfId="743" priority="743" stopIfTrue="1" operator="equal">
      <formula>"Pass"</formula>
    </cfRule>
    <cfRule type="cellIs" dxfId="742" priority="744" stopIfTrue="1" operator="equal">
      <formula>"Fail"</formula>
    </cfRule>
  </conditionalFormatting>
  <conditionalFormatting sqref="J607:Q607">
    <cfRule type="cellIs" dxfId="741" priority="741" stopIfTrue="1" operator="equal">
      <formula>"Pass"</formula>
    </cfRule>
    <cfRule type="cellIs" dxfId="740" priority="742" stopIfTrue="1" operator="equal">
      <formula>"Fail"</formula>
    </cfRule>
  </conditionalFormatting>
  <conditionalFormatting sqref="J607:Q607">
    <cfRule type="cellIs" dxfId="739" priority="739" stopIfTrue="1" operator="equal">
      <formula>"Pass"</formula>
    </cfRule>
    <cfRule type="cellIs" dxfId="738" priority="740" stopIfTrue="1" operator="equal">
      <formula>"Fail"</formula>
    </cfRule>
  </conditionalFormatting>
  <conditionalFormatting sqref="J607:Q607">
    <cfRule type="cellIs" dxfId="737" priority="737" stopIfTrue="1" operator="equal">
      <formula>"Pass"</formula>
    </cfRule>
    <cfRule type="cellIs" dxfId="736" priority="738" stopIfTrue="1" operator="equal">
      <formula>"Fail"</formula>
    </cfRule>
  </conditionalFormatting>
  <conditionalFormatting sqref="J607:Q607">
    <cfRule type="cellIs" dxfId="735" priority="735" stopIfTrue="1" operator="equal">
      <formula>"Pass"</formula>
    </cfRule>
    <cfRule type="cellIs" dxfId="734" priority="736" stopIfTrue="1" operator="equal">
      <formula>"Fail"</formula>
    </cfRule>
  </conditionalFormatting>
  <conditionalFormatting sqref="J607:Q607">
    <cfRule type="cellIs" dxfId="733" priority="733" stopIfTrue="1" operator="equal">
      <formula>"Pass"</formula>
    </cfRule>
    <cfRule type="cellIs" dxfId="732" priority="734" stopIfTrue="1" operator="equal">
      <formula>"Fail"</formula>
    </cfRule>
  </conditionalFormatting>
  <conditionalFormatting sqref="J607:Q607">
    <cfRule type="cellIs" dxfId="731" priority="731" stopIfTrue="1" operator="equal">
      <formula>"Pass"</formula>
    </cfRule>
    <cfRule type="cellIs" dxfId="730" priority="732" stopIfTrue="1" operator="equal">
      <formula>"Fail"</formula>
    </cfRule>
  </conditionalFormatting>
  <conditionalFormatting sqref="J607:Q607">
    <cfRule type="cellIs" dxfId="729" priority="729" stopIfTrue="1" operator="equal">
      <formula>"Pass"</formula>
    </cfRule>
    <cfRule type="cellIs" dxfId="728" priority="730" stopIfTrue="1" operator="equal">
      <formula>"Fail"</formula>
    </cfRule>
  </conditionalFormatting>
  <conditionalFormatting sqref="J607:Q607">
    <cfRule type="cellIs" dxfId="727" priority="727" stopIfTrue="1" operator="equal">
      <formula>"Pass"</formula>
    </cfRule>
    <cfRule type="cellIs" dxfId="726" priority="728" stopIfTrue="1" operator="equal">
      <formula>"Fail"</formula>
    </cfRule>
  </conditionalFormatting>
  <conditionalFormatting sqref="J607:Q607">
    <cfRule type="cellIs" dxfId="725" priority="725" stopIfTrue="1" operator="equal">
      <formula>"Pass"</formula>
    </cfRule>
    <cfRule type="cellIs" dxfId="724" priority="726" stopIfTrue="1" operator="equal">
      <formula>"Fail"</formula>
    </cfRule>
  </conditionalFormatting>
  <conditionalFormatting sqref="J607:Q607">
    <cfRule type="cellIs" dxfId="723" priority="723" stopIfTrue="1" operator="equal">
      <formula>"Pass"</formula>
    </cfRule>
    <cfRule type="cellIs" dxfId="722" priority="724" stopIfTrue="1" operator="equal">
      <formula>"Fail"</formula>
    </cfRule>
  </conditionalFormatting>
  <conditionalFormatting sqref="J608:Q608">
    <cfRule type="cellIs" dxfId="721" priority="721" stopIfTrue="1" operator="equal">
      <formula>"Pass"</formula>
    </cfRule>
    <cfRule type="cellIs" dxfId="720" priority="722" stopIfTrue="1" operator="equal">
      <formula>"Fail"</formula>
    </cfRule>
  </conditionalFormatting>
  <conditionalFormatting sqref="J608:Q608">
    <cfRule type="cellIs" dxfId="719" priority="719" stopIfTrue="1" operator="equal">
      <formula>"Pass"</formula>
    </cfRule>
    <cfRule type="cellIs" dxfId="718" priority="720" stopIfTrue="1" operator="equal">
      <formula>"Fail"</formula>
    </cfRule>
  </conditionalFormatting>
  <conditionalFormatting sqref="J608:Q608">
    <cfRule type="cellIs" dxfId="717" priority="717" stopIfTrue="1" operator="equal">
      <formula>"Pass"</formula>
    </cfRule>
    <cfRule type="cellIs" dxfId="716" priority="718" stopIfTrue="1" operator="equal">
      <formula>"Fail"</formula>
    </cfRule>
  </conditionalFormatting>
  <conditionalFormatting sqref="J608:Q608">
    <cfRule type="cellIs" dxfId="715" priority="715" stopIfTrue="1" operator="equal">
      <formula>"Pass"</formula>
    </cfRule>
    <cfRule type="cellIs" dxfId="714" priority="716" stopIfTrue="1" operator="equal">
      <formula>"Fail"</formula>
    </cfRule>
  </conditionalFormatting>
  <conditionalFormatting sqref="J608:Q608">
    <cfRule type="cellIs" dxfId="713" priority="713" stopIfTrue="1" operator="equal">
      <formula>"Pass"</formula>
    </cfRule>
    <cfRule type="cellIs" dxfId="712" priority="714" stopIfTrue="1" operator="equal">
      <formula>"Fail"</formula>
    </cfRule>
  </conditionalFormatting>
  <conditionalFormatting sqref="J608:Q608">
    <cfRule type="cellIs" dxfId="711" priority="711" stopIfTrue="1" operator="equal">
      <formula>"Pass"</formula>
    </cfRule>
    <cfRule type="cellIs" dxfId="710" priority="712" stopIfTrue="1" operator="equal">
      <formula>"Fail"</formula>
    </cfRule>
  </conditionalFormatting>
  <conditionalFormatting sqref="J608:Q608">
    <cfRule type="cellIs" dxfId="709" priority="709" stopIfTrue="1" operator="equal">
      <formula>"Pass"</formula>
    </cfRule>
    <cfRule type="cellIs" dxfId="708" priority="710" stopIfTrue="1" operator="equal">
      <formula>"Fail"</formula>
    </cfRule>
  </conditionalFormatting>
  <conditionalFormatting sqref="J608:Q608">
    <cfRule type="cellIs" dxfId="707" priority="707" stopIfTrue="1" operator="equal">
      <formula>"Pass"</formula>
    </cfRule>
    <cfRule type="cellIs" dxfId="706" priority="708" stopIfTrue="1" operator="equal">
      <formula>"Fail"</formula>
    </cfRule>
  </conditionalFormatting>
  <conditionalFormatting sqref="J608:Q608">
    <cfRule type="cellIs" dxfId="705" priority="705" stopIfTrue="1" operator="equal">
      <formula>"Pass"</formula>
    </cfRule>
    <cfRule type="cellIs" dxfId="704" priority="706" stopIfTrue="1" operator="equal">
      <formula>"Fail"</formula>
    </cfRule>
  </conditionalFormatting>
  <conditionalFormatting sqref="J608:Q608">
    <cfRule type="cellIs" dxfId="703" priority="703" stopIfTrue="1" operator="equal">
      <formula>"Pass"</formula>
    </cfRule>
    <cfRule type="cellIs" dxfId="702" priority="704" stopIfTrue="1" operator="equal">
      <formula>"Fail"</formula>
    </cfRule>
  </conditionalFormatting>
  <conditionalFormatting sqref="J610:J612 K610:Q611">
    <cfRule type="cellIs" dxfId="701" priority="701" stopIfTrue="1" operator="equal">
      <formula>"Pass"</formula>
    </cfRule>
    <cfRule type="cellIs" dxfId="700" priority="702" stopIfTrue="1" operator="equal">
      <formula>"Fail"</formula>
    </cfRule>
  </conditionalFormatting>
  <conditionalFormatting sqref="W610">
    <cfRule type="cellIs" dxfId="699" priority="699" stopIfTrue="1" operator="equal">
      <formula>"Fail"</formula>
    </cfRule>
    <cfRule type="cellIs" dxfId="698" priority="700" stopIfTrue="1" operator="equal">
      <formula>"Pass"</formula>
    </cfRule>
  </conditionalFormatting>
  <conditionalFormatting sqref="J610:Q610">
    <cfRule type="cellIs" dxfId="697" priority="697" stopIfTrue="1" operator="equal">
      <formula>"Pass"</formula>
    </cfRule>
    <cfRule type="cellIs" dxfId="696" priority="698" stopIfTrue="1" operator="equal">
      <formula>"Fail"</formula>
    </cfRule>
  </conditionalFormatting>
  <conditionalFormatting sqref="J610:Q610">
    <cfRule type="cellIs" dxfId="695" priority="695" stopIfTrue="1" operator="equal">
      <formula>"Pass"</formula>
    </cfRule>
    <cfRule type="cellIs" dxfId="694" priority="696" stopIfTrue="1" operator="equal">
      <formula>"Fail"</formula>
    </cfRule>
  </conditionalFormatting>
  <conditionalFormatting sqref="J610:Q610">
    <cfRule type="cellIs" dxfId="693" priority="693" stopIfTrue="1" operator="equal">
      <formula>"Pass"</formula>
    </cfRule>
    <cfRule type="cellIs" dxfId="692" priority="694" stopIfTrue="1" operator="equal">
      <formula>"Fail"</formula>
    </cfRule>
  </conditionalFormatting>
  <conditionalFormatting sqref="J610:Q610">
    <cfRule type="cellIs" dxfId="691" priority="691" stopIfTrue="1" operator="equal">
      <formula>"Pass"</formula>
    </cfRule>
    <cfRule type="cellIs" dxfId="690" priority="692" stopIfTrue="1" operator="equal">
      <formula>"Fail"</formula>
    </cfRule>
  </conditionalFormatting>
  <conditionalFormatting sqref="J610:M610 O610:P610">
    <cfRule type="cellIs" dxfId="689" priority="689" stopIfTrue="1" operator="equal">
      <formula>"Pass"</formula>
    </cfRule>
    <cfRule type="cellIs" dxfId="688" priority="690" stopIfTrue="1" operator="equal">
      <formula>"Fail"</formula>
    </cfRule>
  </conditionalFormatting>
  <conditionalFormatting sqref="Q610 N610">
    <cfRule type="cellIs" dxfId="687" priority="687" stopIfTrue="1" operator="equal">
      <formula>"Pass"</formula>
    </cfRule>
    <cfRule type="cellIs" dxfId="686" priority="688" stopIfTrue="1" operator="equal">
      <formula>"Fail"</formula>
    </cfRule>
  </conditionalFormatting>
  <conditionalFormatting sqref="J610:Q610">
    <cfRule type="cellIs" dxfId="685" priority="685" stopIfTrue="1" operator="equal">
      <formula>"Pass"</formula>
    </cfRule>
    <cfRule type="cellIs" dxfId="684" priority="686" stopIfTrue="1" operator="equal">
      <formula>"Fail"</formula>
    </cfRule>
  </conditionalFormatting>
  <conditionalFormatting sqref="J610:Q610">
    <cfRule type="cellIs" dxfId="683" priority="683" stopIfTrue="1" operator="equal">
      <formula>"Pass"</formula>
    </cfRule>
    <cfRule type="cellIs" dxfId="682" priority="684" stopIfTrue="1" operator="equal">
      <formula>"Fail"</formula>
    </cfRule>
  </conditionalFormatting>
  <conditionalFormatting sqref="J610:Q610">
    <cfRule type="cellIs" dxfId="681" priority="681" stopIfTrue="1" operator="equal">
      <formula>"Pass"</formula>
    </cfRule>
    <cfRule type="cellIs" dxfId="680" priority="682" stopIfTrue="1" operator="equal">
      <formula>"Fail"</formula>
    </cfRule>
  </conditionalFormatting>
  <conditionalFormatting sqref="J610:Q610">
    <cfRule type="cellIs" dxfId="679" priority="679" stopIfTrue="1" operator="equal">
      <formula>"Pass"</formula>
    </cfRule>
    <cfRule type="cellIs" dxfId="678" priority="680" stopIfTrue="1" operator="equal">
      <formula>"Fail"</formula>
    </cfRule>
  </conditionalFormatting>
  <conditionalFormatting sqref="J610:Q610">
    <cfRule type="cellIs" dxfId="677" priority="677" stopIfTrue="1" operator="equal">
      <formula>"Pass"</formula>
    </cfRule>
    <cfRule type="cellIs" dxfId="676" priority="678" stopIfTrue="1" operator="equal">
      <formula>"Fail"</formula>
    </cfRule>
  </conditionalFormatting>
  <conditionalFormatting sqref="J610:Q610">
    <cfRule type="cellIs" dxfId="675" priority="675" stopIfTrue="1" operator="equal">
      <formula>"Pass"</formula>
    </cfRule>
    <cfRule type="cellIs" dxfId="674" priority="676" stopIfTrue="1" operator="equal">
      <formula>"Fail"</formula>
    </cfRule>
  </conditionalFormatting>
  <conditionalFormatting sqref="J610:M610 O610:P610">
    <cfRule type="cellIs" dxfId="673" priority="673" stopIfTrue="1" operator="equal">
      <formula>"Pass"</formula>
    </cfRule>
    <cfRule type="cellIs" dxfId="672" priority="674" stopIfTrue="1" operator="equal">
      <formula>"Fail"</formula>
    </cfRule>
  </conditionalFormatting>
  <conditionalFormatting sqref="Q610 N610">
    <cfRule type="cellIs" dxfId="671" priority="671" stopIfTrue="1" operator="equal">
      <formula>"Pass"</formula>
    </cfRule>
    <cfRule type="cellIs" dxfId="670" priority="672" stopIfTrue="1" operator="equal">
      <formula>"Fail"</formula>
    </cfRule>
  </conditionalFormatting>
  <conditionalFormatting sqref="J610:Q610">
    <cfRule type="cellIs" dxfId="669" priority="669" stopIfTrue="1" operator="equal">
      <formula>"Pass"</formula>
    </cfRule>
    <cfRule type="cellIs" dxfId="668" priority="670" stopIfTrue="1" operator="equal">
      <formula>"Fail"</formula>
    </cfRule>
  </conditionalFormatting>
  <conditionalFormatting sqref="J610:Q610">
    <cfRule type="cellIs" dxfId="667" priority="667" stopIfTrue="1" operator="equal">
      <formula>"Pass"</formula>
    </cfRule>
    <cfRule type="cellIs" dxfId="666" priority="668" stopIfTrue="1" operator="equal">
      <formula>"Fail"</formula>
    </cfRule>
  </conditionalFormatting>
  <conditionalFormatting sqref="J610:Q610">
    <cfRule type="cellIs" dxfId="665" priority="665" stopIfTrue="1" operator="equal">
      <formula>"Pass"</formula>
    </cfRule>
    <cfRule type="cellIs" dxfId="664" priority="666" stopIfTrue="1" operator="equal">
      <formula>"Fail"</formula>
    </cfRule>
  </conditionalFormatting>
  <conditionalFormatting sqref="J610:Q610">
    <cfRule type="cellIs" dxfId="663" priority="663" stopIfTrue="1" operator="equal">
      <formula>"Pass"</formula>
    </cfRule>
    <cfRule type="cellIs" dxfId="662" priority="664" stopIfTrue="1" operator="equal">
      <formula>"Fail"</formula>
    </cfRule>
  </conditionalFormatting>
  <conditionalFormatting sqref="J610:Q610">
    <cfRule type="cellIs" dxfId="661" priority="661" stopIfTrue="1" operator="equal">
      <formula>"Pass"</formula>
    </cfRule>
    <cfRule type="cellIs" dxfId="660" priority="662" stopIfTrue="1" operator="equal">
      <formula>"Fail"</formula>
    </cfRule>
  </conditionalFormatting>
  <conditionalFormatting sqref="J610:Q610">
    <cfRule type="cellIs" dxfId="659" priority="659" stopIfTrue="1" operator="equal">
      <formula>"Pass"</formula>
    </cfRule>
    <cfRule type="cellIs" dxfId="658" priority="660" stopIfTrue="1" operator="equal">
      <formula>"Fail"</formula>
    </cfRule>
  </conditionalFormatting>
  <conditionalFormatting sqref="J610:M610 O610:P610">
    <cfRule type="cellIs" dxfId="657" priority="657" stopIfTrue="1" operator="equal">
      <formula>"Pass"</formula>
    </cfRule>
    <cfRule type="cellIs" dxfId="656" priority="658" stopIfTrue="1" operator="equal">
      <formula>"Fail"</formula>
    </cfRule>
  </conditionalFormatting>
  <conditionalFormatting sqref="Q610 N610">
    <cfRule type="cellIs" dxfId="655" priority="655" stopIfTrue="1" operator="equal">
      <formula>"Pass"</formula>
    </cfRule>
    <cfRule type="cellIs" dxfId="654" priority="656" stopIfTrue="1" operator="equal">
      <formula>"Fail"</formula>
    </cfRule>
  </conditionalFormatting>
  <conditionalFormatting sqref="J610:Q610">
    <cfRule type="cellIs" dxfId="653" priority="653" stopIfTrue="1" operator="equal">
      <formula>"Pass"</formula>
    </cfRule>
    <cfRule type="cellIs" dxfId="652" priority="654" stopIfTrue="1" operator="equal">
      <formula>"Fail"</formula>
    </cfRule>
  </conditionalFormatting>
  <conditionalFormatting sqref="J610:Q610">
    <cfRule type="cellIs" dxfId="651" priority="651" stopIfTrue="1" operator="equal">
      <formula>"Pass"</formula>
    </cfRule>
    <cfRule type="cellIs" dxfId="650" priority="652" stopIfTrue="1" operator="equal">
      <formula>"Fail"</formula>
    </cfRule>
  </conditionalFormatting>
  <conditionalFormatting sqref="J610:Q610">
    <cfRule type="cellIs" dxfId="649" priority="649" stopIfTrue="1" operator="equal">
      <formula>"Pass"</formula>
    </cfRule>
    <cfRule type="cellIs" dxfId="648" priority="650" stopIfTrue="1" operator="equal">
      <formula>"Fail"</formula>
    </cfRule>
  </conditionalFormatting>
  <conditionalFormatting sqref="J610:Q610">
    <cfRule type="cellIs" dxfId="647" priority="647" stopIfTrue="1" operator="equal">
      <formula>"Pass"</formula>
    </cfRule>
    <cfRule type="cellIs" dxfId="646" priority="648" stopIfTrue="1" operator="equal">
      <formula>"Fail"</formula>
    </cfRule>
  </conditionalFormatting>
  <conditionalFormatting sqref="J610:Q610">
    <cfRule type="cellIs" dxfId="645" priority="645" stopIfTrue="1" operator="equal">
      <formula>"Pass"</formula>
    </cfRule>
    <cfRule type="cellIs" dxfId="644" priority="646" stopIfTrue="1" operator="equal">
      <formula>"Fail"</formula>
    </cfRule>
  </conditionalFormatting>
  <conditionalFormatting sqref="J610:Q610">
    <cfRule type="cellIs" dxfId="643" priority="643" stopIfTrue="1" operator="equal">
      <formula>"Pass"</formula>
    </cfRule>
    <cfRule type="cellIs" dxfId="642" priority="644" stopIfTrue="1" operator="equal">
      <formula>"Fail"</formula>
    </cfRule>
  </conditionalFormatting>
  <conditionalFormatting sqref="J610:M610 O610:P610">
    <cfRule type="cellIs" dxfId="641" priority="641" stopIfTrue="1" operator="equal">
      <formula>"Pass"</formula>
    </cfRule>
    <cfRule type="cellIs" dxfId="640" priority="642" stopIfTrue="1" operator="equal">
      <formula>"Fail"</formula>
    </cfRule>
  </conditionalFormatting>
  <conditionalFormatting sqref="Q610 N610">
    <cfRule type="cellIs" dxfId="639" priority="639" stopIfTrue="1" operator="equal">
      <formula>"Pass"</formula>
    </cfRule>
    <cfRule type="cellIs" dxfId="638" priority="640" stopIfTrue="1" operator="equal">
      <formula>"Fail"</formula>
    </cfRule>
  </conditionalFormatting>
  <conditionalFormatting sqref="J610:Q610">
    <cfRule type="cellIs" dxfId="637" priority="637" stopIfTrue="1" operator="equal">
      <formula>"Pass"</formula>
    </cfRule>
    <cfRule type="cellIs" dxfId="636" priority="638" stopIfTrue="1" operator="equal">
      <formula>"Fail"</formula>
    </cfRule>
  </conditionalFormatting>
  <conditionalFormatting sqref="J610:Q610">
    <cfRule type="cellIs" dxfId="635" priority="635" stopIfTrue="1" operator="equal">
      <formula>"Pass"</formula>
    </cfRule>
    <cfRule type="cellIs" dxfId="634" priority="636" stopIfTrue="1" operator="equal">
      <formula>"Fail"</formula>
    </cfRule>
  </conditionalFormatting>
  <conditionalFormatting sqref="J610:Q610">
    <cfRule type="cellIs" dxfId="633" priority="633" stopIfTrue="1" operator="equal">
      <formula>"Pass"</formula>
    </cfRule>
    <cfRule type="cellIs" dxfId="632" priority="634" stopIfTrue="1" operator="equal">
      <formula>"Fail"</formula>
    </cfRule>
  </conditionalFormatting>
  <conditionalFormatting sqref="J610:Q610">
    <cfRule type="cellIs" dxfId="631" priority="631" stopIfTrue="1" operator="equal">
      <formula>"Pass"</formula>
    </cfRule>
    <cfRule type="cellIs" dxfId="630" priority="632" stopIfTrue="1" operator="equal">
      <formula>"Fail"</formula>
    </cfRule>
  </conditionalFormatting>
  <conditionalFormatting sqref="J610:Q610">
    <cfRule type="cellIs" dxfId="629" priority="629" stopIfTrue="1" operator="equal">
      <formula>"Pass"</formula>
    </cfRule>
    <cfRule type="cellIs" dxfId="628" priority="630" stopIfTrue="1" operator="equal">
      <formula>"Fail"</formula>
    </cfRule>
  </conditionalFormatting>
  <conditionalFormatting sqref="J610:Q610">
    <cfRule type="cellIs" dxfId="627" priority="627" stopIfTrue="1" operator="equal">
      <formula>"Pass"</formula>
    </cfRule>
    <cfRule type="cellIs" dxfId="626" priority="628" stopIfTrue="1" operator="equal">
      <formula>"Fail"</formula>
    </cfRule>
  </conditionalFormatting>
  <conditionalFormatting sqref="J610:M610 O610:P610">
    <cfRule type="cellIs" dxfId="625" priority="625" stopIfTrue="1" operator="equal">
      <formula>"Pass"</formula>
    </cfRule>
    <cfRule type="cellIs" dxfId="624" priority="626" stopIfTrue="1" operator="equal">
      <formula>"Fail"</formula>
    </cfRule>
  </conditionalFormatting>
  <conditionalFormatting sqref="Q610 N610">
    <cfRule type="cellIs" dxfId="623" priority="623" stopIfTrue="1" operator="equal">
      <formula>"Pass"</formula>
    </cfRule>
    <cfRule type="cellIs" dxfId="622" priority="624" stopIfTrue="1" operator="equal">
      <formula>"Fail"</formula>
    </cfRule>
  </conditionalFormatting>
  <conditionalFormatting sqref="J610:Q610">
    <cfRule type="cellIs" dxfId="621" priority="621" stopIfTrue="1" operator="equal">
      <formula>"Pass"</formula>
    </cfRule>
    <cfRule type="cellIs" dxfId="620" priority="622" stopIfTrue="1" operator="equal">
      <formula>"Fail"</formula>
    </cfRule>
  </conditionalFormatting>
  <conditionalFormatting sqref="J610:Q610">
    <cfRule type="cellIs" dxfId="619" priority="619" stopIfTrue="1" operator="equal">
      <formula>"Pass"</formula>
    </cfRule>
    <cfRule type="cellIs" dxfId="618" priority="620" stopIfTrue="1" operator="equal">
      <formula>"Fail"</formula>
    </cfRule>
  </conditionalFormatting>
  <conditionalFormatting sqref="J610:Q610">
    <cfRule type="cellIs" dxfId="617" priority="617" stopIfTrue="1" operator="equal">
      <formula>"Pass"</formula>
    </cfRule>
    <cfRule type="cellIs" dxfId="616" priority="618" stopIfTrue="1" operator="equal">
      <formula>"Fail"</formula>
    </cfRule>
  </conditionalFormatting>
  <conditionalFormatting sqref="J610:Q610">
    <cfRule type="cellIs" dxfId="615" priority="615" stopIfTrue="1" operator="equal">
      <formula>"Pass"</formula>
    </cfRule>
    <cfRule type="cellIs" dxfId="614" priority="616" stopIfTrue="1" operator="equal">
      <formula>"Fail"</formula>
    </cfRule>
  </conditionalFormatting>
  <conditionalFormatting sqref="J610:Q610">
    <cfRule type="cellIs" dxfId="613" priority="613" stopIfTrue="1" operator="equal">
      <formula>"Pass"</formula>
    </cfRule>
    <cfRule type="cellIs" dxfId="612" priority="614" stopIfTrue="1" operator="equal">
      <formula>"Fail"</formula>
    </cfRule>
  </conditionalFormatting>
  <conditionalFormatting sqref="J610:Q610">
    <cfRule type="cellIs" dxfId="611" priority="611" stopIfTrue="1" operator="equal">
      <formula>"Pass"</formula>
    </cfRule>
    <cfRule type="cellIs" dxfId="610" priority="612" stopIfTrue="1" operator="equal">
      <formula>"Fail"</formula>
    </cfRule>
  </conditionalFormatting>
  <conditionalFormatting sqref="J610:M610 O610:P610">
    <cfRule type="cellIs" dxfId="609" priority="609" stopIfTrue="1" operator="equal">
      <formula>"Pass"</formula>
    </cfRule>
    <cfRule type="cellIs" dxfId="608" priority="610" stopIfTrue="1" operator="equal">
      <formula>"Fail"</formula>
    </cfRule>
  </conditionalFormatting>
  <conditionalFormatting sqref="Q610 N610">
    <cfRule type="cellIs" dxfId="607" priority="607" stopIfTrue="1" operator="equal">
      <formula>"Pass"</formula>
    </cfRule>
    <cfRule type="cellIs" dxfId="606" priority="608" stopIfTrue="1" operator="equal">
      <formula>"Fail"</formula>
    </cfRule>
  </conditionalFormatting>
  <conditionalFormatting sqref="J610:Q610">
    <cfRule type="cellIs" dxfId="605" priority="605" stopIfTrue="1" operator="equal">
      <formula>"Pass"</formula>
    </cfRule>
    <cfRule type="cellIs" dxfId="604" priority="606" stopIfTrue="1" operator="equal">
      <formula>"Fail"</formula>
    </cfRule>
  </conditionalFormatting>
  <conditionalFormatting sqref="J610:Q610">
    <cfRule type="cellIs" dxfId="603" priority="603" stopIfTrue="1" operator="equal">
      <formula>"Pass"</formula>
    </cfRule>
    <cfRule type="cellIs" dxfId="602" priority="604" stopIfTrue="1" operator="equal">
      <formula>"Fail"</formula>
    </cfRule>
  </conditionalFormatting>
  <conditionalFormatting sqref="J610:Q610">
    <cfRule type="cellIs" dxfId="601" priority="601" stopIfTrue="1" operator="equal">
      <formula>"Pass"</formula>
    </cfRule>
    <cfRule type="cellIs" dxfId="600" priority="602" stopIfTrue="1" operator="equal">
      <formula>"Fail"</formula>
    </cfRule>
  </conditionalFormatting>
  <conditionalFormatting sqref="J610:Q610">
    <cfRule type="cellIs" dxfId="599" priority="599" stopIfTrue="1" operator="equal">
      <formula>"Pass"</formula>
    </cfRule>
    <cfRule type="cellIs" dxfId="598" priority="600" stopIfTrue="1" operator="equal">
      <formula>"Fail"</formula>
    </cfRule>
  </conditionalFormatting>
  <conditionalFormatting sqref="J610:Q610">
    <cfRule type="cellIs" dxfId="597" priority="597" stopIfTrue="1" operator="equal">
      <formula>"Pass"</formula>
    </cfRule>
    <cfRule type="cellIs" dxfId="596" priority="598" stopIfTrue="1" operator="equal">
      <formula>"Fail"</formula>
    </cfRule>
  </conditionalFormatting>
  <conditionalFormatting sqref="J610:Q610">
    <cfRule type="cellIs" dxfId="595" priority="595" stopIfTrue="1" operator="equal">
      <formula>"Pass"</formula>
    </cfRule>
    <cfRule type="cellIs" dxfId="594" priority="596" stopIfTrue="1" operator="equal">
      <formula>"Fail"</formula>
    </cfRule>
  </conditionalFormatting>
  <conditionalFormatting sqref="J610:M610 O610:P610">
    <cfRule type="cellIs" dxfId="593" priority="593" stopIfTrue="1" operator="equal">
      <formula>"Pass"</formula>
    </cfRule>
    <cfRule type="cellIs" dxfId="592" priority="594" stopIfTrue="1" operator="equal">
      <formula>"Fail"</formula>
    </cfRule>
  </conditionalFormatting>
  <conditionalFormatting sqref="Q610 N610">
    <cfRule type="cellIs" dxfId="591" priority="591" stopIfTrue="1" operator="equal">
      <formula>"Pass"</formula>
    </cfRule>
    <cfRule type="cellIs" dxfId="590" priority="592" stopIfTrue="1" operator="equal">
      <formula>"Fail"</formula>
    </cfRule>
  </conditionalFormatting>
  <conditionalFormatting sqref="J610:Q610">
    <cfRule type="cellIs" dxfId="589" priority="589" stopIfTrue="1" operator="equal">
      <formula>"Pass"</formula>
    </cfRule>
    <cfRule type="cellIs" dxfId="588" priority="590" stopIfTrue="1" operator="equal">
      <formula>"Fail"</formula>
    </cfRule>
  </conditionalFormatting>
  <conditionalFormatting sqref="J610:Q610">
    <cfRule type="cellIs" dxfId="587" priority="587" stopIfTrue="1" operator="equal">
      <formula>"Pass"</formula>
    </cfRule>
    <cfRule type="cellIs" dxfId="586" priority="588" stopIfTrue="1" operator="equal">
      <formula>"Fail"</formula>
    </cfRule>
  </conditionalFormatting>
  <conditionalFormatting sqref="J610:Q610">
    <cfRule type="cellIs" dxfId="585" priority="585" stopIfTrue="1" operator="equal">
      <formula>"Pass"</formula>
    </cfRule>
    <cfRule type="cellIs" dxfId="584" priority="586" stopIfTrue="1" operator="equal">
      <formula>"Fail"</formula>
    </cfRule>
  </conditionalFormatting>
  <conditionalFormatting sqref="J610:Q610">
    <cfRule type="cellIs" dxfId="583" priority="583" stopIfTrue="1" operator="equal">
      <formula>"Pass"</formula>
    </cfRule>
    <cfRule type="cellIs" dxfId="582" priority="584" stopIfTrue="1" operator="equal">
      <formula>"Fail"</formula>
    </cfRule>
  </conditionalFormatting>
  <conditionalFormatting sqref="J610:Q610">
    <cfRule type="cellIs" dxfId="581" priority="581" stopIfTrue="1" operator="equal">
      <formula>"Pass"</formula>
    </cfRule>
    <cfRule type="cellIs" dxfId="580" priority="582" stopIfTrue="1" operator="equal">
      <formula>"Fail"</formula>
    </cfRule>
  </conditionalFormatting>
  <conditionalFormatting sqref="J610:Q610">
    <cfRule type="cellIs" dxfId="579" priority="579" stopIfTrue="1" operator="equal">
      <formula>"Pass"</formula>
    </cfRule>
    <cfRule type="cellIs" dxfId="578" priority="580" stopIfTrue="1" operator="equal">
      <formula>"Fail"</formula>
    </cfRule>
  </conditionalFormatting>
  <conditionalFormatting sqref="J610:M610 O610:P610">
    <cfRule type="cellIs" dxfId="577" priority="577" stopIfTrue="1" operator="equal">
      <formula>"Pass"</formula>
    </cfRule>
    <cfRule type="cellIs" dxfId="576" priority="578" stopIfTrue="1" operator="equal">
      <formula>"Fail"</formula>
    </cfRule>
  </conditionalFormatting>
  <conditionalFormatting sqref="Q610 N610">
    <cfRule type="cellIs" dxfId="575" priority="575" stopIfTrue="1" operator="equal">
      <formula>"Pass"</formula>
    </cfRule>
    <cfRule type="cellIs" dxfId="574" priority="576" stopIfTrue="1" operator="equal">
      <formula>"Fail"</formula>
    </cfRule>
  </conditionalFormatting>
  <conditionalFormatting sqref="J610:Q610">
    <cfRule type="cellIs" dxfId="573" priority="573" stopIfTrue="1" operator="equal">
      <formula>"Pass"</formula>
    </cfRule>
    <cfRule type="cellIs" dxfId="572" priority="574" stopIfTrue="1" operator="equal">
      <formula>"Fail"</formula>
    </cfRule>
  </conditionalFormatting>
  <conditionalFormatting sqref="J610:Q610">
    <cfRule type="cellIs" dxfId="571" priority="571" stopIfTrue="1" operator="equal">
      <formula>"Pass"</formula>
    </cfRule>
    <cfRule type="cellIs" dxfId="570" priority="572" stopIfTrue="1" operator="equal">
      <formula>"Fail"</formula>
    </cfRule>
  </conditionalFormatting>
  <conditionalFormatting sqref="J610:Q610">
    <cfRule type="cellIs" dxfId="569" priority="569" stopIfTrue="1" operator="equal">
      <formula>"Pass"</formula>
    </cfRule>
    <cfRule type="cellIs" dxfId="568" priority="570" stopIfTrue="1" operator="equal">
      <formula>"Fail"</formula>
    </cfRule>
  </conditionalFormatting>
  <conditionalFormatting sqref="J610:Q610">
    <cfRule type="cellIs" dxfId="567" priority="567" stopIfTrue="1" operator="equal">
      <formula>"Pass"</formula>
    </cfRule>
    <cfRule type="cellIs" dxfId="566" priority="568" stopIfTrue="1" operator="equal">
      <formula>"Fail"</formula>
    </cfRule>
  </conditionalFormatting>
  <conditionalFormatting sqref="J610:Q610">
    <cfRule type="cellIs" dxfId="565" priority="565" stopIfTrue="1" operator="equal">
      <formula>"Pass"</formula>
    </cfRule>
    <cfRule type="cellIs" dxfId="564" priority="566" stopIfTrue="1" operator="equal">
      <formula>"Fail"</formula>
    </cfRule>
  </conditionalFormatting>
  <conditionalFormatting sqref="J610:Q610">
    <cfRule type="cellIs" dxfId="563" priority="563" stopIfTrue="1" operator="equal">
      <formula>"Pass"</formula>
    </cfRule>
    <cfRule type="cellIs" dxfId="562" priority="564" stopIfTrue="1" operator="equal">
      <formula>"Fail"</formula>
    </cfRule>
  </conditionalFormatting>
  <conditionalFormatting sqref="J610:M610 O610:P610">
    <cfRule type="cellIs" dxfId="561" priority="561" stopIfTrue="1" operator="equal">
      <formula>"Pass"</formula>
    </cfRule>
    <cfRule type="cellIs" dxfId="560" priority="562" stopIfTrue="1" operator="equal">
      <formula>"Fail"</formula>
    </cfRule>
  </conditionalFormatting>
  <conditionalFormatting sqref="Q610 N610">
    <cfRule type="cellIs" dxfId="559" priority="559" stopIfTrue="1" operator="equal">
      <formula>"Pass"</formula>
    </cfRule>
    <cfRule type="cellIs" dxfId="558" priority="560" stopIfTrue="1" operator="equal">
      <formula>"Fail"</formula>
    </cfRule>
  </conditionalFormatting>
  <conditionalFormatting sqref="J610:Q610">
    <cfRule type="cellIs" dxfId="557" priority="557" stopIfTrue="1" operator="equal">
      <formula>"Pass"</formula>
    </cfRule>
    <cfRule type="cellIs" dxfId="556" priority="558" stopIfTrue="1" operator="equal">
      <formula>"Fail"</formula>
    </cfRule>
  </conditionalFormatting>
  <conditionalFormatting sqref="J610:Q610">
    <cfRule type="cellIs" dxfId="555" priority="555" stopIfTrue="1" operator="equal">
      <formula>"Pass"</formula>
    </cfRule>
    <cfRule type="cellIs" dxfId="554" priority="556" stopIfTrue="1" operator="equal">
      <formula>"Fail"</formula>
    </cfRule>
  </conditionalFormatting>
  <conditionalFormatting sqref="J610:Q610">
    <cfRule type="cellIs" dxfId="553" priority="553" stopIfTrue="1" operator="equal">
      <formula>"Pass"</formula>
    </cfRule>
    <cfRule type="cellIs" dxfId="552" priority="554" stopIfTrue="1" operator="equal">
      <formula>"Fail"</formula>
    </cfRule>
  </conditionalFormatting>
  <conditionalFormatting sqref="J610:Q610">
    <cfRule type="cellIs" dxfId="551" priority="551" stopIfTrue="1" operator="equal">
      <formula>"Pass"</formula>
    </cfRule>
    <cfRule type="cellIs" dxfId="550" priority="552" stopIfTrue="1" operator="equal">
      <formula>"Fail"</formula>
    </cfRule>
  </conditionalFormatting>
  <conditionalFormatting sqref="J610:Q610">
    <cfRule type="cellIs" dxfId="549" priority="549" stopIfTrue="1" operator="equal">
      <formula>"Pass"</formula>
    </cfRule>
    <cfRule type="cellIs" dxfId="548" priority="550" stopIfTrue="1" operator="equal">
      <formula>"Fail"</formula>
    </cfRule>
  </conditionalFormatting>
  <conditionalFormatting sqref="J610:Q610">
    <cfRule type="cellIs" dxfId="547" priority="547" stopIfTrue="1" operator="equal">
      <formula>"Pass"</formula>
    </cfRule>
    <cfRule type="cellIs" dxfId="546" priority="548" stopIfTrue="1" operator="equal">
      <formula>"Fail"</formula>
    </cfRule>
  </conditionalFormatting>
  <conditionalFormatting sqref="J610:M610 O610:P610">
    <cfRule type="cellIs" dxfId="545" priority="545" stopIfTrue="1" operator="equal">
      <formula>"Pass"</formula>
    </cfRule>
    <cfRule type="cellIs" dxfId="544" priority="546" stopIfTrue="1" operator="equal">
      <formula>"Fail"</formula>
    </cfRule>
  </conditionalFormatting>
  <conditionalFormatting sqref="Q610 N610">
    <cfRule type="cellIs" dxfId="543" priority="543" stopIfTrue="1" operator="equal">
      <formula>"Pass"</formula>
    </cfRule>
    <cfRule type="cellIs" dxfId="542" priority="544" stopIfTrue="1" operator="equal">
      <formula>"Fail"</formula>
    </cfRule>
  </conditionalFormatting>
  <conditionalFormatting sqref="J610:Q610">
    <cfRule type="cellIs" dxfId="541" priority="541" stopIfTrue="1" operator="equal">
      <formula>"Pass"</formula>
    </cfRule>
    <cfRule type="cellIs" dxfId="540" priority="542" stopIfTrue="1" operator="equal">
      <formula>"Fail"</formula>
    </cfRule>
  </conditionalFormatting>
  <conditionalFormatting sqref="J610:Q610">
    <cfRule type="cellIs" dxfId="539" priority="539" stopIfTrue="1" operator="equal">
      <formula>"Pass"</formula>
    </cfRule>
    <cfRule type="cellIs" dxfId="538" priority="540" stopIfTrue="1" operator="equal">
      <formula>"Fail"</formula>
    </cfRule>
  </conditionalFormatting>
  <conditionalFormatting sqref="J610:Q610">
    <cfRule type="cellIs" dxfId="537" priority="537" stopIfTrue="1" operator="equal">
      <formula>"Pass"</formula>
    </cfRule>
    <cfRule type="cellIs" dxfId="536" priority="538" stopIfTrue="1" operator="equal">
      <formula>"Fail"</formula>
    </cfRule>
  </conditionalFormatting>
  <conditionalFormatting sqref="J610:Q610">
    <cfRule type="cellIs" dxfId="535" priority="535" stopIfTrue="1" operator="equal">
      <formula>"Pass"</formula>
    </cfRule>
    <cfRule type="cellIs" dxfId="534" priority="536" stopIfTrue="1" operator="equal">
      <formula>"Fail"</formula>
    </cfRule>
  </conditionalFormatting>
  <conditionalFormatting sqref="J610:Q610">
    <cfRule type="cellIs" dxfId="533" priority="533" stopIfTrue="1" operator="equal">
      <formula>"Pass"</formula>
    </cfRule>
    <cfRule type="cellIs" dxfId="532" priority="534" stopIfTrue="1" operator="equal">
      <formula>"Fail"</formula>
    </cfRule>
  </conditionalFormatting>
  <conditionalFormatting sqref="J610:Q610">
    <cfRule type="cellIs" dxfId="531" priority="531" stopIfTrue="1" operator="equal">
      <formula>"Pass"</formula>
    </cfRule>
    <cfRule type="cellIs" dxfId="530" priority="532" stopIfTrue="1" operator="equal">
      <formula>"Fail"</formula>
    </cfRule>
  </conditionalFormatting>
  <conditionalFormatting sqref="J610:M610 O610:P610">
    <cfRule type="cellIs" dxfId="529" priority="529" stopIfTrue="1" operator="equal">
      <formula>"Pass"</formula>
    </cfRule>
    <cfRule type="cellIs" dxfId="528" priority="530" stopIfTrue="1" operator="equal">
      <formula>"Fail"</formula>
    </cfRule>
  </conditionalFormatting>
  <conditionalFormatting sqref="Q610 N610">
    <cfRule type="cellIs" dxfId="527" priority="527" stopIfTrue="1" operator="equal">
      <formula>"Pass"</formula>
    </cfRule>
    <cfRule type="cellIs" dxfId="526" priority="528" stopIfTrue="1" operator="equal">
      <formula>"Fail"</formula>
    </cfRule>
  </conditionalFormatting>
  <conditionalFormatting sqref="J610:Q610">
    <cfRule type="cellIs" dxfId="525" priority="525" stopIfTrue="1" operator="equal">
      <formula>"Pass"</formula>
    </cfRule>
    <cfRule type="cellIs" dxfId="524" priority="526" stopIfTrue="1" operator="equal">
      <formula>"Fail"</formula>
    </cfRule>
  </conditionalFormatting>
  <conditionalFormatting sqref="J610:Q610">
    <cfRule type="cellIs" dxfId="523" priority="523" stopIfTrue="1" operator="equal">
      <formula>"Pass"</formula>
    </cfRule>
    <cfRule type="cellIs" dxfId="522" priority="524" stopIfTrue="1" operator="equal">
      <formula>"Fail"</formula>
    </cfRule>
  </conditionalFormatting>
  <conditionalFormatting sqref="J610:Q610">
    <cfRule type="cellIs" dxfId="521" priority="521" stopIfTrue="1" operator="equal">
      <formula>"Pass"</formula>
    </cfRule>
    <cfRule type="cellIs" dxfId="520" priority="522" stopIfTrue="1" operator="equal">
      <formula>"Fail"</formula>
    </cfRule>
  </conditionalFormatting>
  <conditionalFormatting sqref="J610:Q610">
    <cfRule type="cellIs" dxfId="519" priority="519" stopIfTrue="1" operator="equal">
      <formula>"Pass"</formula>
    </cfRule>
    <cfRule type="cellIs" dxfId="518" priority="520" stopIfTrue="1" operator="equal">
      <formula>"Fail"</formula>
    </cfRule>
  </conditionalFormatting>
  <conditionalFormatting sqref="J610:Q610">
    <cfRule type="cellIs" dxfId="517" priority="517" stopIfTrue="1" operator="equal">
      <formula>"Pass"</formula>
    </cfRule>
    <cfRule type="cellIs" dxfId="516" priority="518" stopIfTrue="1" operator="equal">
      <formula>"Fail"</formula>
    </cfRule>
  </conditionalFormatting>
  <conditionalFormatting sqref="J610:Q610">
    <cfRule type="cellIs" dxfId="515" priority="515" stopIfTrue="1" operator="equal">
      <formula>"Pass"</formula>
    </cfRule>
    <cfRule type="cellIs" dxfId="514" priority="516" stopIfTrue="1" operator="equal">
      <formula>"Fail"</formula>
    </cfRule>
  </conditionalFormatting>
  <conditionalFormatting sqref="J610:M610 O610:P610">
    <cfRule type="cellIs" dxfId="513" priority="513" stopIfTrue="1" operator="equal">
      <formula>"Pass"</formula>
    </cfRule>
    <cfRule type="cellIs" dxfId="512" priority="514" stopIfTrue="1" operator="equal">
      <formula>"Fail"</formula>
    </cfRule>
  </conditionalFormatting>
  <conditionalFormatting sqref="Q610 N610">
    <cfRule type="cellIs" dxfId="511" priority="511" stopIfTrue="1" operator="equal">
      <formula>"Pass"</formula>
    </cfRule>
    <cfRule type="cellIs" dxfId="510" priority="512" stopIfTrue="1" operator="equal">
      <formula>"Fail"</formula>
    </cfRule>
  </conditionalFormatting>
  <conditionalFormatting sqref="J610:Q610">
    <cfRule type="cellIs" dxfId="509" priority="509" stopIfTrue="1" operator="equal">
      <formula>"Pass"</formula>
    </cfRule>
    <cfRule type="cellIs" dxfId="508" priority="510" stopIfTrue="1" operator="equal">
      <formula>"Fail"</formula>
    </cfRule>
  </conditionalFormatting>
  <conditionalFormatting sqref="J610:Q610">
    <cfRule type="cellIs" dxfId="507" priority="507" stopIfTrue="1" operator="equal">
      <formula>"Pass"</formula>
    </cfRule>
    <cfRule type="cellIs" dxfId="506" priority="508" stopIfTrue="1" operator="equal">
      <formula>"Fail"</formula>
    </cfRule>
  </conditionalFormatting>
  <conditionalFormatting sqref="J610:Q610">
    <cfRule type="cellIs" dxfId="505" priority="505" stopIfTrue="1" operator="equal">
      <formula>"Pass"</formula>
    </cfRule>
    <cfRule type="cellIs" dxfId="504" priority="506" stopIfTrue="1" operator="equal">
      <formula>"Fail"</formula>
    </cfRule>
  </conditionalFormatting>
  <conditionalFormatting sqref="J610:Q610">
    <cfRule type="cellIs" dxfId="503" priority="503" stopIfTrue="1" operator="equal">
      <formula>"Pass"</formula>
    </cfRule>
    <cfRule type="cellIs" dxfId="502" priority="504" stopIfTrue="1" operator="equal">
      <formula>"Fail"</formula>
    </cfRule>
  </conditionalFormatting>
  <conditionalFormatting sqref="J610:Q610">
    <cfRule type="cellIs" dxfId="501" priority="501" stopIfTrue="1" operator="equal">
      <formula>"Pass"</formula>
    </cfRule>
    <cfRule type="cellIs" dxfId="500" priority="502" stopIfTrue="1" operator="equal">
      <formula>"Fail"</formula>
    </cfRule>
  </conditionalFormatting>
  <conditionalFormatting sqref="J610:Q610">
    <cfRule type="cellIs" dxfId="499" priority="499" stopIfTrue="1" operator="equal">
      <formula>"Pass"</formula>
    </cfRule>
    <cfRule type="cellIs" dxfId="498" priority="500" stopIfTrue="1" operator="equal">
      <formula>"Fail"</formula>
    </cfRule>
  </conditionalFormatting>
  <conditionalFormatting sqref="J610:Q610">
    <cfRule type="cellIs" dxfId="497" priority="497" stopIfTrue="1" operator="equal">
      <formula>"Pass"</formula>
    </cfRule>
    <cfRule type="cellIs" dxfId="496" priority="498" stopIfTrue="1" operator="equal">
      <formula>"Fail"</formula>
    </cfRule>
  </conditionalFormatting>
  <conditionalFormatting sqref="J610:Q610">
    <cfRule type="cellIs" dxfId="495" priority="495" stopIfTrue="1" operator="equal">
      <formula>"Pass"</formula>
    </cfRule>
    <cfRule type="cellIs" dxfId="494" priority="496" stopIfTrue="1" operator="equal">
      <formula>"Fail"</formula>
    </cfRule>
  </conditionalFormatting>
  <conditionalFormatting sqref="J610:Q610">
    <cfRule type="cellIs" dxfId="493" priority="493" stopIfTrue="1" operator="equal">
      <formula>"Pass"</formula>
    </cfRule>
    <cfRule type="cellIs" dxfId="492" priority="494" stopIfTrue="1" operator="equal">
      <formula>"Fail"</formula>
    </cfRule>
  </conditionalFormatting>
  <conditionalFormatting sqref="J610:Q610">
    <cfRule type="cellIs" dxfId="491" priority="491" stopIfTrue="1" operator="equal">
      <formula>"Pass"</formula>
    </cfRule>
    <cfRule type="cellIs" dxfId="490" priority="492" stopIfTrue="1" operator="equal">
      <formula>"Fail"</formula>
    </cfRule>
  </conditionalFormatting>
  <conditionalFormatting sqref="J610:Q610">
    <cfRule type="cellIs" dxfId="489" priority="489" stopIfTrue="1" operator="equal">
      <formula>"Pass"</formula>
    </cfRule>
    <cfRule type="cellIs" dxfId="488" priority="490" stopIfTrue="1" operator="equal">
      <formula>"Fail"</formula>
    </cfRule>
  </conditionalFormatting>
  <conditionalFormatting sqref="J611:Q611">
    <cfRule type="cellIs" dxfId="487" priority="487" stopIfTrue="1" operator="equal">
      <formula>"Pass"</formula>
    </cfRule>
    <cfRule type="cellIs" dxfId="486" priority="488" stopIfTrue="1" operator="equal">
      <formula>"Fail"</formula>
    </cfRule>
  </conditionalFormatting>
  <conditionalFormatting sqref="J611:Q611">
    <cfRule type="cellIs" dxfId="485" priority="485" stopIfTrue="1" operator="equal">
      <formula>"Pass"</formula>
    </cfRule>
    <cfRule type="cellIs" dxfId="484" priority="486" stopIfTrue="1" operator="equal">
      <formula>"Fail"</formula>
    </cfRule>
  </conditionalFormatting>
  <conditionalFormatting sqref="J611:Q611">
    <cfRule type="cellIs" dxfId="483" priority="483" stopIfTrue="1" operator="equal">
      <formula>"Pass"</formula>
    </cfRule>
    <cfRule type="cellIs" dxfId="482" priority="484" stopIfTrue="1" operator="equal">
      <formula>"Fail"</formula>
    </cfRule>
  </conditionalFormatting>
  <conditionalFormatting sqref="J611:Q611">
    <cfRule type="cellIs" dxfId="481" priority="481" stopIfTrue="1" operator="equal">
      <formula>"Pass"</formula>
    </cfRule>
    <cfRule type="cellIs" dxfId="480" priority="482" stopIfTrue="1" operator="equal">
      <formula>"Fail"</formula>
    </cfRule>
  </conditionalFormatting>
  <conditionalFormatting sqref="J611:Q611">
    <cfRule type="cellIs" dxfId="479" priority="479" stopIfTrue="1" operator="equal">
      <formula>"Pass"</formula>
    </cfRule>
    <cfRule type="cellIs" dxfId="478" priority="480" stopIfTrue="1" operator="equal">
      <formula>"Fail"</formula>
    </cfRule>
  </conditionalFormatting>
  <conditionalFormatting sqref="J611:Q611">
    <cfRule type="cellIs" dxfId="477" priority="477" stopIfTrue="1" operator="equal">
      <formula>"Pass"</formula>
    </cfRule>
    <cfRule type="cellIs" dxfId="476" priority="478" stopIfTrue="1" operator="equal">
      <formula>"Fail"</formula>
    </cfRule>
  </conditionalFormatting>
  <conditionalFormatting sqref="J611:Q611">
    <cfRule type="cellIs" dxfId="475" priority="475" stopIfTrue="1" operator="equal">
      <formula>"Pass"</formula>
    </cfRule>
    <cfRule type="cellIs" dxfId="474" priority="476" stopIfTrue="1" operator="equal">
      <formula>"Fail"</formula>
    </cfRule>
  </conditionalFormatting>
  <conditionalFormatting sqref="J611:Q611">
    <cfRule type="cellIs" dxfId="473" priority="473" stopIfTrue="1" operator="equal">
      <formula>"Pass"</formula>
    </cfRule>
    <cfRule type="cellIs" dxfId="472" priority="474" stopIfTrue="1" operator="equal">
      <formula>"Fail"</formula>
    </cfRule>
  </conditionalFormatting>
  <conditionalFormatting sqref="J611:Q611">
    <cfRule type="cellIs" dxfId="471" priority="471" stopIfTrue="1" operator="equal">
      <formula>"Pass"</formula>
    </cfRule>
    <cfRule type="cellIs" dxfId="470" priority="472" stopIfTrue="1" operator="equal">
      <formula>"Fail"</formula>
    </cfRule>
  </conditionalFormatting>
  <conditionalFormatting sqref="J611:Q611">
    <cfRule type="cellIs" dxfId="469" priority="469" stopIfTrue="1" operator="equal">
      <formula>"Pass"</formula>
    </cfRule>
    <cfRule type="cellIs" dxfId="468" priority="470" stopIfTrue="1" operator="equal">
      <formula>"Fail"</formula>
    </cfRule>
  </conditionalFormatting>
  <conditionalFormatting sqref="J613:J615 K613:Q614">
    <cfRule type="cellIs" dxfId="467" priority="467" stopIfTrue="1" operator="equal">
      <formula>"Pass"</formula>
    </cfRule>
    <cfRule type="cellIs" dxfId="466" priority="468" stopIfTrue="1" operator="equal">
      <formula>"Fail"</formula>
    </cfRule>
  </conditionalFormatting>
  <conditionalFormatting sqref="W613">
    <cfRule type="cellIs" dxfId="465" priority="465" stopIfTrue="1" operator="equal">
      <formula>"Fail"</formula>
    </cfRule>
    <cfRule type="cellIs" dxfId="464" priority="466" stopIfTrue="1" operator="equal">
      <formula>"Pass"</formula>
    </cfRule>
  </conditionalFormatting>
  <conditionalFormatting sqref="J613:Q613">
    <cfRule type="cellIs" dxfId="463" priority="463" stopIfTrue="1" operator="equal">
      <formula>"Pass"</formula>
    </cfRule>
    <cfRule type="cellIs" dxfId="462" priority="464" stopIfTrue="1" operator="equal">
      <formula>"Fail"</formula>
    </cfRule>
  </conditionalFormatting>
  <conditionalFormatting sqref="J613:Q613">
    <cfRule type="cellIs" dxfId="461" priority="461" stopIfTrue="1" operator="equal">
      <formula>"Pass"</formula>
    </cfRule>
    <cfRule type="cellIs" dxfId="460" priority="462" stopIfTrue="1" operator="equal">
      <formula>"Fail"</formula>
    </cfRule>
  </conditionalFormatting>
  <conditionalFormatting sqref="J613:Q613">
    <cfRule type="cellIs" dxfId="459" priority="459" stopIfTrue="1" operator="equal">
      <formula>"Pass"</formula>
    </cfRule>
    <cfRule type="cellIs" dxfId="458" priority="460" stopIfTrue="1" operator="equal">
      <formula>"Fail"</formula>
    </cfRule>
  </conditionalFormatting>
  <conditionalFormatting sqref="J613:Q613">
    <cfRule type="cellIs" dxfId="457" priority="457" stopIfTrue="1" operator="equal">
      <formula>"Pass"</formula>
    </cfRule>
    <cfRule type="cellIs" dxfId="456" priority="458" stopIfTrue="1" operator="equal">
      <formula>"Fail"</formula>
    </cfRule>
  </conditionalFormatting>
  <conditionalFormatting sqref="J613:M613 O613:P613">
    <cfRule type="cellIs" dxfId="455" priority="455" stopIfTrue="1" operator="equal">
      <formula>"Pass"</formula>
    </cfRule>
    <cfRule type="cellIs" dxfId="454" priority="456" stopIfTrue="1" operator="equal">
      <formula>"Fail"</formula>
    </cfRule>
  </conditionalFormatting>
  <conditionalFormatting sqref="Q613 N613">
    <cfRule type="cellIs" dxfId="453" priority="453" stopIfTrue="1" operator="equal">
      <formula>"Pass"</formula>
    </cfRule>
    <cfRule type="cellIs" dxfId="452" priority="454" stopIfTrue="1" operator="equal">
      <formula>"Fail"</formula>
    </cfRule>
  </conditionalFormatting>
  <conditionalFormatting sqref="J613:Q613">
    <cfRule type="cellIs" dxfId="451" priority="451" stopIfTrue="1" operator="equal">
      <formula>"Pass"</formula>
    </cfRule>
    <cfRule type="cellIs" dxfId="450" priority="452" stopIfTrue="1" operator="equal">
      <formula>"Fail"</formula>
    </cfRule>
  </conditionalFormatting>
  <conditionalFormatting sqref="J613:Q613">
    <cfRule type="cellIs" dxfId="449" priority="449" stopIfTrue="1" operator="equal">
      <formula>"Pass"</formula>
    </cfRule>
    <cfRule type="cellIs" dxfId="448" priority="450" stopIfTrue="1" operator="equal">
      <formula>"Fail"</formula>
    </cfRule>
  </conditionalFormatting>
  <conditionalFormatting sqref="J613:Q613">
    <cfRule type="cellIs" dxfId="447" priority="447" stopIfTrue="1" operator="equal">
      <formula>"Pass"</formula>
    </cfRule>
    <cfRule type="cellIs" dxfId="446" priority="448" stopIfTrue="1" operator="equal">
      <formula>"Fail"</formula>
    </cfRule>
  </conditionalFormatting>
  <conditionalFormatting sqref="J613:Q613">
    <cfRule type="cellIs" dxfId="445" priority="445" stopIfTrue="1" operator="equal">
      <formula>"Pass"</formula>
    </cfRule>
    <cfRule type="cellIs" dxfId="444" priority="446" stopIfTrue="1" operator="equal">
      <formula>"Fail"</formula>
    </cfRule>
  </conditionalFormatting>
  <conditionalFormatting sqref="J613:Q613">
    <cfRule type="cellIs" dxfId="443" priority="443" stopIfTrue="1" operator="equal">
      <formula>"Pass"</formula>
    </cfRule>
    <cfRule type="cellIs" dxfId="442" priority="444" stopIfTrue="1" operator="equal">
      <formula>"Fail"</formula>
    </cfRule>
  </conditionalFormatting>
  <conditionalFormatting sqref="J613:Q613">
    <cfRule type="cellIs" dxfId="441" priority="441" stopIfTrue="1" operator="equal">
      <formula>"Pass"</formula>
    </cfRule>
    <cfRule type="cellIs" dxfId="440" priority="442" stopIfTrue="1" operator="equal">
      <formula>"Fail"</formula>
    </cfRule>
  </conditionalFormatting>
  <conditionalFormatting sqref="J613:M613 O613:P613">
    <cfRule type="cellIs" dxfId="439" priority="439" stopIfTrue="1" operator="equal">
      <formula>"Pass"</formula>
    </cfRule>
    <cfRule type="cellIs" dxfId="438" priority="440" stopIfTrue="1" operator="equal">
      <formula>"Fail"</formula>
    </cfRule>
  </conditionalFormatting>
  <conditionalFormatting sqref="Q613 N613">
    <cfRule type="cellIs" dxfId="437" priority="437" stopIfTrue="1" operator="equal">
      <formula>"Pass"</formula>
    </cfRule>
    <cfRule type="cellIs" dxfId="436" priority="438" stopIfTrue="1" operator="equal">
      <formula>"Fail"</formula>
    </cfRule>
  </conditionalFormatting>
  <conditionalFormatting sqref="J613:Q613">
    <cfRule type="cellIs" dxfId="435" priority="435" stopIfTrue="1" operator="equal">
      <formula>"Pass"</formula>
    </cfRule>
    <cfRule type="cellIs" dxfId="434" priority="436" stopIfTrue="1" operator="equal">
      <formula>"Fail"</formula>
    </cfRule>
  </conditionalFormatting>
  <conditionalFormatting sqref="J613:Q613">
    <cfRule type="cellIs" dxfId="433" priority="433" stopIfTrue="1" operator="equal">
      <formula>"Pass"</formula>
    </cfRule>
    <cfRule type="cellIs" dxfId="432" priority="434" stopIfTrue="1" operator="equal">
      <formula>"Fail"</formula>
    </cfRule>
  </conditionalFormatting>
  <conditionalFormatting sqref="J613:Q613">
    <cfRule type="cellIs" dxfId="431" priority="431" stopIfTrue="1" operator="equal">
      <formula>"Pass"</formula>
    </cfRule>
    <cfRule type="cellIs" dxfId="430" priority="432" stopIfTrue="1" operator="equal">
      <formula>"Fail"</formula>
    </cfRule>
  </conditionalFormatting>
  <conditionalFormatting sqref="J613:Q613">
    <cfRule type="cellIs" dxfId="429" priority="429" stopIfTrue="1" operator="equal">
      <formula>"Pass"</formula>
    </cfRule>
    <cfRule type="cellIs" dxfId="428" priority="430" stopIfTrue="1" operator="equal">
      <formula>"Fail"</formula>
    </cfRule>
  </conditionalFormatting>
  <conditionalFormatting sqref="J613:Q613">
    <cfRule type="cellIs" dxfId="427" priority="427" stopIfTrue="1" operator="equal">
      <formula>"Pass"</formula>
    </cfRule>
    <cfRule type="cellIs" dxfId="426" priority="428" stopIfTrue="1" operator="equal">
      <formula>"Fail"</formula>
    </cfRule>
  </conditionalFormatting>
  <conditionalFormatting sqref="J613:Q613">
    <cfRule type="cellIs" dxfId="425" priority="425" stopIfTrue="1" operator="equal">
      <formula>"Pass"</formula>
    </cfRule>
    <cfRule type="cellIs" dxfId="424" priority="426" stopIfTrue="1" operator="equal">
      <formula>"Fail"</formula>
    </cfRule>
  </conditionalFormatting>
  <conditionalFormatting sqref="J613:M613 O613:P613">
    <cfRule type="cellIs" dxfId="423" priority="423" stopIfTrue="1" operator="equal">
      <formula>"Pass"</formula>
    </cfRule>
    <cfRule type="cellIs" dxfId="422" priority="424" stopIfTrue="1" operator="equal">
      <formula>"Fail"</formula>
    </cfRule>
  </conditionalFormatting>
  <conditionalFormatting sqref="Q613 N613">
    <cfRule type="cellIs" dxfId="421" priority="421" stopIfTrue="1" operator="equal">
      <formula>"Pass"</formula>
    </cfRule>
    <cfRule type="cellIs" dxfId="420" priority="422" stopIfTrue="1" operator="equal">
      <formula>"Fail"</formula>
    </cfRule>
  </conditionalFormatting>
  <conditionalFormatting sqref="J613:Q613">
    <cfRule type="cellIs" dxfId="419" priority="419" stopIfTrue="1" operator="equal">
      <formula>"Pass"</formula>
    </cfRule>
    <cfRule type="cellIs" dxfId="418" priority="420" stopIfTrue="1" operator="equal">
      <formula>"Fail"</formula>
    </cfRule>
  </conditionalFormatting>
  <conditionalFormatting sqref="J613:Q613">
    <cfRule type="cellIs" dxfId="417" priority="417" stopIfTrue="1" operator="equal">
      <formula>"Pass"</formula>
    </cfRule>
    <cfRule type="cellIs" dxfId="416" priority="418" stopIfTrue="1" operator="equal">
      <formula>"Fail"</formula>
    </cfRule>
  </conditionalFormatting>
  <conditionalFormatting sqref="J613:Q613">
    <cfRule type="cellIs" dxfId="415" priority="415" stopIfTrue="1" operator="equal">
      <formula>"Pass"</formula>
    </cfRule>
    <cfRule type="cellIs" dxfId="414" priority="416" stopIfTrue="1" operator="equal">
      <formula>"Fail"</formula>
    </cfRule>
  </conditionalFormatting>
  <conditionalFormatting sqref="J613:Q613">
    <cfRule type="cellIs" dxfId="413" priority="413" stopIfTrue="1" operator="equal">
      <formula>"Pass"</formula>
    </cfRule>
    <cfRule type="cellIs" dxfId="412" priority="414" stopIfTrue="1" operator="equal">
      <formula>"Fail"</formula>
    </cfRule>
  </conditionalFormatting>
  <conditionalFormatting sqref="J613:Q613">
    <cfRule type="cellIs" dxfId="411" priority="411" stopIfTrue="1" operator="equal">
      <formula>"Pass"</formula>
    </cfRule>
    <cfRule type="cellIs" dxfId="410" priority="412" stopIfTrue="1" operator="equal">
      <formula>"Fail"</formula>
    </cfRule>
  </conditionalFormatting>
  <conditionalFormatting sqref="J613:Q613">
    <cfRule type="cellIs" dxfId="409" priority="409" stopIfTrue="1" operator="equal">
      <formula>"Pass"</formula>
    </cfRule>
    <cfRule type="cellIs" dxfId="408" priority="410" stopIfTrue="1" operator="equal">
      <formula>"Fail"</formula>
    </cfRule>
  </conditionalFormatting>
  <conditionalFormatting sqref="J613:M613 O613:P613">
    <cfRule type="cellIs" dxfId="407" priority="407" stopIfTrue="1" operator="equal">
      <formula>"Pass"</formula>
    </cfRule>
    <cfRule type="cellIs" dxfId="406" priority="408" stopIfTrue="1" operator="equal">
      <formula>"Fail"</formula>
    </cfRule>
  </conditionalFormatting>
  <conditionalFormatting sqref="Q613 N613">
    <cfRule type="cellIs" dxfId="405" priority="405" stopIfTrue="1" operator="equal">
      <formula>"Pass"</formula>
    </cfRule>
    <cfRule type="cellIs" dxfId="404" priority="406" stopIfTrue="1" operator="equal">
      <formula>"Fail"</formula>
    </cfRule>
  </conditionalFormatting>
  <conditionalFormatting sqref="J613:Q613">
    <cfRule type="cellIs" dxfId="403" priority="403" stopIfTrue="1" operator="equal">
      <formula>"Pass"</formula>
    </cfRule>
    <cfRule type="cellIs" dxfId="402" priority="404" stopIfTrue="1" operator="equal">
      <formula>"Fail"</formula>
    </cfRule>
  </conditionalFormatting>
  <conditionalFormatting sqref="J613:Q613">
    <cfRule type="cellIs" dxfId="401" priority="401" stopIfTrue="1" operator="equal">
      <formula>"Pass"</formula>
    </cfRule>
    <cfRule type="cellIs" dxfId="400" priority="402" stopIfTrue="1" operator="equal">
      <formula>"Fail"</formula>
    </cfRule>
  </conditionalFormatting>
  <conditionalFormatting sqref="J613:Q613">
    <cfRule type="cellIs" dxfId="399" priority="399" stopIfTrue="1" operator="equal">
      <formula>"Pass"</formula>
    </cfRule>
    <cfRule type="cellIs" dxfId="398" priority="400" stopIfTrue="1" operator="equal">
      <formula>"Fail"</formula>
    </cfRule>
  </conditionalFormatting>
  <conditionalFormatting sqref="J613:Q613">
    <cfRule type="cellIs" dxfId="397" priority="397" stopIfTrue="1" operator="equal">
      <formula>"Pass"</formula>
    </cfRule>
    <cfRule type="cellIs" dxfId="396" priority="398" stopIfTrue="1" operator="equal">
      <formula>"Fail"</formula>
    </cfRule>
  </conditionalFormatting>
  <conditionalFormatting sqref="J613:Q613">
    <cfRule type="cellIs" dxfId="395" priority="395" stopIfTrue="1" operator="equal">
      <formula>"Pass"</formula>
    </cfRule>
    <cfRule type="cellIs" dxfId="394" priority="396" stopIfTrue="1" operator="equal">
      <formula>"Fail"</formula>
    </cfRule>
  </conditionalFormatting>
  <conditionalFormatting sqref="J613:Q613">
    <cfRule type="cellIs" dxfId="393" priority="393" stopIfTrue="1" operator="equal">
      <formula>"Pass"</formula>
    </cfRule>
    <cfRule type="cellIs" dxfId="392" priority="394" stopIfTrue="1" operator="equal">
      <formula>"Fail"</formula>
    </cfRule>
  </conditionalFormatting>
  <conditionalFormatting sqref="J613:M613 O613:P613">
    <cfRule type="cellIs" dxfId="391" priority="391" stopIfTrue="1" operator="equal">
      <formula>"Pass"</formula>
    </cfRule>
    <cfRule type="cellIs" dxfId="390" priority="392" stopIfTrue="1" operator="equal">
      <formula>"Fail"</formula>
    </cfRule>
  </conditionalFormatting>
  <conditionalFormatting sqref="Q613 N613">
    <cfRule type="cellIs" dxfId="389" priority="389" stopIfTrue="1" operator="equal">
      <formula>"Pass"</formula>
    </cfRule>
    <cfRule type="cellIs" dxfId="388" priority="390" stopIfTrue="1" operator="equal">
      <formula>"Fail"</formula>
    </cfRule>
  </conditionalFormatting>
  <conditionalFormatting sqref="J613:Q613">
    <cfRule type="cellIs" dxfId="387" priority="387" stopIfTrue="1" operator="equal">
      <formula>"Pass"</formula>
    </cfRule>
    <cfRule type="cellIs" dxfId="386" priority="388" stopIfTrue="1" operator="equal">
      <formula>"Fail"</formula>
    </cfRule>
  </conditionalFormatting>
  <conditionalFormatting sqref="J613:Q613">
    <cfRule type="cellIs" dxfId="385" priority="385" stopIfTrue="1" operator="equal">
      <formula>"Pass"</formula>
    </cfRule>
    <cfRule type="cellIs" dxfId="384" priority="386" stopIfTrue="1" operator="equal">
      <formula>"Fail"</formula>
    </cfRule>
  </conditionalFormatting>
  <conditionalFormatting sqref="J613:Q613">
    <cfRule type="cellIs" dxfId="383" priority="383" stopIfTrue="1" operator="equal">
      <formula>"Pass"</formula>
    </cfRule>
    <cfRule type="cellIs" dxfId="382" priority="384" stopIfTrue="1" operator="equal">
      <formula>"Fail"</formula>
    </cfRule>
  </conditionalFormatting>
  <conditionalFormatting sqref="J613:Q613">
    <cfRule type="cellIs" dxfId="381" priority="381" stopIfTrue="1" operator="equal">
      <formula>"Pass"</formula>
    </cfRule>
    <cfRule type="cellIs" dxfId="380" priority="382" stopIfTrue="1" operator="equal">
      <formula>"Fail"</formula>
    </cfRule>
  </conditionalFormatting>
  <conditionalFormatting sqref="J613:Q613">
    <cfRule type="cellIs" dxfId="379" priority="379" stopIfTrue="1" operator="equal">
      <formula>"Pass"</formula>
    </cfRule>
    <cfRule type="cellIs" dxfId="378" priority="380" stopIfTrue="1" operator="equal">
      <formula>"Fail"</formula>
    </cfRule>
  </conditionalFormatting>
  <conditionalFormatting sqref="J613:Q613">
    <cfRule type="cellIs" dxfId="377" priority="377" stopIfTrue="1" operator="equal">
      <formula>"Pass"</formula>
    </cfRule>
    <cfRule type="cellIs" dxfId="376" priority="378" stopIfTrue="1" operator="equal">
      <formula>"Fail"</formula>
    </cfRule>
  </conditionalFormatting>
  <conditionalFormatting sqref="J613:M613 O613:P613">
    <cfRule type="cellIs" dxfId="375" priority="375" stopIfTrue="1" operator="equal">
      <formula>"Pass"</formula>
    </cfRule>
    <cfRule type="cellIs" dxfId="374" priority="376" stopIfTrue="1" operator="equal">
      <formula>"Fail"</formula>
    </cfRule>
  </conditionalFormatting>
  <conditionalFormatting sqref="Q613 N613">
    <cfRule type="cellIs" dxfId="373" priority="373" stopIfTrue="1" operator="equal">
      <formula>"Pass"</formula>
    </cfRule>
    <cfRule type="cellIs" dxfId="372" priority="374" stopIfTrue="1" operator="equal">
      <formula>"Fail"</formula>
    </cfRule>
  </conditionalFormatting>
  <conditionalFormatting sqref="J613:Q613">
    <cfRule type="cellIs" dxfId="371" priority="371" stopIfTrue="1" operator="equal">
      <formula>"Pass"</formula>
    </cfRule>
    <cfRule type="cellIs" dxfId="370" priority="372" stopIfTrue="1" operator="equal">
      <formula>"Fail"</formula>
    </cfRule>
  </conditionalFormatting>
  <conditionalFormatting sqref="J613:Q613">
    <cfRule type="cellIs" dxfId="369" priority="369" stopIfTrue="1" operator="equal">
      <formula>"Pass"</formula>
    </cfRule>
    <cfRule type="cellIs" dxfId="368" priority="370" stopIfTrue="1" operator="equal">
      <formula>"Fail"</formula>
    </cfRule>
  </conditionalFormatting>
  <conditionalFormatting sqref="J613:Q613">
    <cfRule type="cellIs" dxfId="367" priority="367" stopIfTrue="1" operator="equal">
      <formula>"Pass"</formula>
    </cfRule>
    <cfRule type="cellIs" dxfId="366" priority="368" stopIfTrue="1" operator="equal">
      <formula>"Fail"</formula>
    </cfRule>
  </conditionalFormatting>
  <conditionalFormatting sqref="J613:Q613">
    <cfRule type="cellIs" dxfId="365" priority="365" stopIfTrue="1" operator="equal">
      <formula>"Pass"</formula>
    </cfRule>
    <cfRule type="cellIs" dxfId="364" priority="366" stopIfTrue="1" operator="equal">
      <formula>"Fail"</formula>
    </cfRule>
  </conditionalFormatting>
  <conditionalFormatting sqref="J613:Q613">
    <cfRule type="cellIs" dxfId="363" priority="363" stopIfTrue="1" operator="equal">
      <formula>"Pass"</formula>
    </cfRule>
    <cfRule type="cellIs" dxfId="362" priority="364" stopIfTrue="1" operator="equal">
      <formula>"Fail"</formula>
    </cfRule>
  </conditionalFormatting>
  <conditionalFormatting sqref="J613:Q613">
    <cfRule type="cellIs" dxfId="361" priority="361" stopIfTrue="1" operator="equal">
      <formula>"Pass"</formula>
    </cfRule>
    <cfRule type="cellIs" dxfId="360" priority="362" stopIfTrue="1" operator="equal">
      <formula>"Fail"</formula>
    </cfRule>
  </conditionalFormatting>
  <conditionalFormatting sqref="J613:M613 O613:P613">
    <cfRule type="cellIs" dxfId="359" priority="359" stopIfTrue="1" operator="equal">
      <formula>"Pass"</formula>
    </cfRule>
    <cfRule type="cellIs" dxfId="358" priority="360" stopIfTrue="1" operator="equal">
      <formula>"Fail"</formula>
    </cfRule>
  </conditionalFormatting>
  <conditionalFormatting sqref="Q613 N613">
    <cfRule type="cellIs" dxfId="357" priority="357" stopIfTrue="1" operator="equal">
      <formula>"Pass"</formula>
    </cfRule>
    <cfRule type="cellIs" dxfId="356" priority="358" stopIfTrue="1" operator="equal">
      <formula>"Fail"</formula>
    </cfRule>
  </conditionalFormatting>
  <conditionalFormatting sqref="J613:Q613">
    <cfRule type="cellIs" dxfId="355" priority="355" stopIfTrue="1" operator="equal">
      <formula>"Pass"</formula>
    </cfRule>
    <cfRule type="cellIs" dxfId="354" priority="356" stopIfTrue="1" operator="equal">
      <formula>"Fail"</formula>
    </cfRule>
  </conditionalFormatting>
  <conditionalFormatting sqref="J613:Q613">
    <cfRule type="cellIs" dxfId="353" priority="353" stopIfTrue="1" operator="equal">
      <formula>"Pass"</formula>
    </cfRule>
    <cfRule type="cellIs" dxfId="352" priority="354" stopIfTrue="1" operator="equal">
      <formula>"Fail"</formula>
    </cfRule>
  </conditionalFormatting>
  <conditionalFormatting sqref="J613:Q613">
    <cfRule type="cellIs" dxfId="351" priority="351" stopIfTrue="1" operator="equal">
      <formula>"Pass"</formula>
    </cfRule>
    <cfRule type="cellIs" dxfId="350" priority="352" stopIfTrue="1" operator="equal">
      <formula>"Fail"</formula>
    </cfRule>
  </conditionalFormatting>
  <conditionalFormatting sqref="J613:Q613">
    <cfRule type="cellIs" dxfId="349" priority="349" stopIfTrue="1" operator="equal">
      <formula>"Pass"</formula>
    </cfRule>
    <cfRule type="cellIs" dxfId="348" priority="350" stopIfTrue="1" operator="equal">
      <formula>"Fail"</formula>
    </cfRule>
  </conditionalFormatting>
  <conditionalFormatting sqref="J613:Q613">
    <cfRule type="cellIs" dxfId="347" priority="347" stopIfTrue="1" operator="equal">
      <formula>"Pass"</formula>
    </cfRule>
    <cfRule type="cellIs" dxfId="346" priority="348" stopIfTrue="1" operator="equal">
      <formula>"Fail"</formula>
    </cfRule>
  </conditionalFormatting>
  <conditionalFormatting sqref="J613:Q613">
    <cfRule type="cellIs" dxfId="345" priority="345" stopIfTrue="1" operator="equal">
      <formula>"Pass"</formula>
    </cfRule>
    <cfRule type="cellIs" dxfId="344" priority="346" stopIfTrue="1" operator="equal">
      <formula>"Fail"</formula>
    </cfRule>
  </conditionalFormatting>
  <conditionalFormatting sqref="J613:M613 O613:P613">
    <cfRule type="cellIs" dxfId="343" priority="343" stopIfTrue="1" operator="equal">
      <formula>"Pass"</formula>
    </cfRule>
    <cfRule type="cellIs" dxfId="342" priority="344" stopIfTrue="1" operator="equal">
      <formula>"Fail"</formula>
    </cfRule>
  </conditionalFormatting>
  <conditionalFormatting sqref="Q613 N613">
    <cfRule type="cellIs" dxfId="341" priority="341" stopIfTrue="1" operator="equal">
      <formula>"Pass"</formula>
    </cfRule>
    <cfRule type="cellIs" dxfId="340" priority="342" stopIfTrue="1" operator="equal">
      <formula>"Fail"</formula>
    </cfRule>
  </conditionalFormatting>
  <conditionalFormatting sqref="J613:Q613">
    <cfRule type="cellIs" dxfId="339" priority="339" stopIfTrue="1" operator="equal">
      <formula>"Pass"</formula>
    </cfRule>
    <cfRule type="cellIs" dxfId="338" priority="340" stopIfTrue="1" operator="equal">
      <formula>"Fail"</formula>
    </cfRule>
  </conditionalFormatting>
  <conditionalFormatting sqref="J613:Q613">
    <cfRule type="cellIs" dxfId="337" priority="337" stopIfTrue="1" operator="equal">
      <formula>"Pass"</formula>
    </cfRule>
    <cfRule type="cellIs" dxfId="336" priority="338" stopIfTrue="1" operator="equal">
      <formula>"Fail"</formula>
    </cfRule>
  </conditionalFormatting>
  <conditionalFormatting sqref="J613:Q613">
    <cfRule type="cellIs" dxfId="335" priority="335" stopIfTrue="1" operator="equal">
      <formula>"Pass"</formula>
    </cfRule>
    <cfRule type="cellIs" dxfId="334" priority="336" stopIfTrue="1" operator="equal">
      <formula>"Fail"</formula>
    </cfRule>
  </conditionalFormatting>
  <conditionalFormatting sqref="J613:Q613">
    <cfRule type="cellIs" dxfId="333" priority="333" stopIfTrue="1" operator="equal">
      <formula>"Pass"</formula>
    </cfRule>
    <cfRule type="cellIs" dxfId="332" priority="334" stopIfTrue="1" operator="equal">
      <formula>"Fail"</formula>
    </cfRule>
  </conditionalFormatting>
  <conditionalFormatting sqref="J613:Q613">
    <cfRule type="cellIs" dxfId="331" priority="331" stopIfTrue="1" operator="equal">
      <formula>"Pass"</formula>
    </cfRule>
    <cfRule type="cellIs" dxfId="330" priority="332" stopIfTrue="1" operator="equal">
      <formula>"Fail"</formula>
    </cfRule>
  </conditionalFormatting>
  <conditionalFormatting sqref="J613:Q613">
    <cfRule type="cellIs" dxfId="329" priority="329" stopIfTrue="1" operator="equal">
      <formula>"Pass"</formula>
    </cfRule>
    <cfRule type="cellIs" dxfId="328" priority="330" stopIfTrue="1" operator="equal">
      <formula>"Fail"</formula>
    </cfRule>
  </conditionalFormatting>
  <conditionalFormatting sqref="J613:M613 O613:P613">
    <cfRule type="cellIs" dxfId="327" priority="327" stopIfTrue="1" operator="equal">
      <formula>"Pass"</formula>
    </cfRule>
    <cfRule type="cellIs" dxfId="326" priority="328" stopIfTrue="1" operator="equal">
      <formula>"Fail"</formula>
    </cfRule>
  </conditionalFormatting>
  <conditionalFormatting sqref="Q613 N613">
    <cfRule type="cellIs" dxfId="325" priority="325" stopIfTrue="1" operator="equal">
      <formula>"Pass"</formula>
    </cfRule>
    <cfRule type="cellIs" dxfId="324" priority="326" stopIfTrue="1" operator="equal">
      <formula>"Fail"</formula>
    </cfRule>
  </conditionalFormatting>
  <conditionalFormatting sqref="J613:Q613">
    <cfRule type="cellIs" dxfId="323" priority="323" stopIfTrue="1" operator="equal">
      <formula>"Pass"</formula>
    </cfRule>
    <cfRule type="cellIs" dxfId="322" priority="324" stopIfTrue="1" operator="equal">
      <formula>"Fail"</formula>
    </cfRule>
  </conditionalFormatting>
  <conditionalFormatting sqref="J613:Q613">
    <cfRule type="cellIs" dxfId="321" priority="321" stopIfTrue="1" operator="equal">
      <formula>"Pass"</formula>
    </cfRule>
    <cfRule type="cellIs" dxfId="320" priority="322" stopIfTrue="1" operator="equal">
      <formula>"Fail"</formula>
    </cfRule>
  </conditionalFormatting>
  <conditionalFormatting sqref="J613:Q613">
    <cfRule type="cellIs" dxfId="319" priority="319" stopIfTrue="1" operator="equal">
      <formula>"Pass"</formula>
    </cfRule>
    <cfRule type="cellIs" dxfId="318" priority="320" stopIfTrue="1" operator="equal">
      <formula>"Fail"</formula>
    </cfRule>
  </conditionalFormatting>
  <conditionalFormatting sqref="J613:Q613">
    <cfRule type="cellIs" dxfId="317" priority="317" stopIfTrue="1" operator="equal">
      <formula>"Pass"</formula>
    </cfRule>
    <cfRule type="cellIs" dxfId="316" priority="318" stopIfTrue="1" operator="equal">
      <formula>"Fail"</formula>
    </cfRule>
  </conditionalFormatting>
  <conditionalFormatting sqref="J613:Q613">
    <cfRule type="cellIs" dxfId="315" priority="315" stopIfTrue="1" operator="equal">
      <formula>"Pass"</formula>
    </cfRule>
    <cfRule type="cellIs" dxfId="314" priority="316" stopIfTrue="1" operator="equal">
      <formula>"Fail"</formula>
    </cfRule>
  </conditionalFormatting>
  <conditionalFormatting sqref="J613:Q613">
    <cfRule type="cellIs" dxfId="313" priority="313" stopIfTrue="1" operator="equal">
      <formula>"Pass"</formula>
    </cfRule>
    <cfRule type="cellIs" dxfId="312" priority="314" stopIfTrue="1" operator="equal">
      <formula>"Fail"</formula>
    </cfRule>
  </conditionalFormatting>
  <conditionalFormatting sqref="J613:M613 O613:P613">
    <cfRule type="cellIs" dxfId="311" priority="311" stopIfTrue="1" operator="equal">
      <formula>"Pass"</formula>
    </cfRule>
    <cfRule type="cellIs" dxfId="310" priority="312" stopIfTrue="1" operator="equal">
      <formula>"Fail"</formula>
    </cfRule>
  </conditionalFormatting>
  <conditionalFormatting sqref="Q613 N613">
    <cfRule type="cellIs" dxfId="309" priority="309" stopIfTrue="1" operator="equal">
      <formula>"Pass"</formula>
    </cfRule>
    <cfRule type="cellIs" dxfId="308" priority="310" stopIfTrue="1" operator="equal">
      <formula>"Fail"</formula>
    </cfRule>
  </conditionalFormatting>
  <conditionalFormatting sqref="J613:Q613">
    <cfRule type="cellIs" dxfId="307" priority="307" stopIfTrue="1" operator="equal">
      <formula>"Pass"</formula>
    </cfRule>
    <cfRule type="cellIs" dxfId="306" priority="308" stopIfTrue="1" operator="equal">
      <formula>"Fail"</formula>
    </cfRule>
  </conditionalFormatting>
  <conditionalFormatting sqref="J613:Q613">
    <cfRule type="cellIs" dxfId="305" priority="305" stopIfTrue="1" operator="equal">
      <formula>"Pass"</formula>
    </cfRule>
    <cfRule type="cellIs" dxfId="304" priority="306" stopIfTrue="1" operator="equal">
      <formula>"Fail"</formula>
    </cfRule>
  </conditionalFormatting>
  <conditionalFormatting sqref="J613:Q613">
    <cfRule type="cellIs" dxfId="303" priority="303" stopIfTrue="1" operator="equal">
      <formula>"Pass"</formula>
    </cfRule>
    <cfRule type="cellIs" dxfId="302" priority="304" stopIfTrue="1" operator="equal">
      <formula>"Fail"</formula>
    </cfRule>
  </conditionalFormatting>
  <conditionalFormatting sqref="J613:Q613">
    <cfRule type="cellIs" dxfId="301" priority="301" stopIfTrue="1" operator="equal">
      <formula>"Pass"</formula>
    </cfRule>
    <cfRule type="cellIs" dxfId="300" priority="302" stopIfTrue="1" operator="equal">
      <formula>"Fail"</formula>
    </cfRule>
  </conditionalFormatting>
  <conditionalFormatting sqref="J613:Q613">
    <cfRule type="cellIs" dxfId="299" priority="299" stopIfTrue="1" operator="equal">
      <formula>"Pass"</formula>
    </cfRule>
    <cfRule type="cellIs" dxfId="298" priority="300" stopIfTrue="1" operator="equal">
      <formula>"Fail"</formula>
    </cfRule>
  </conditionalFormatting>
  <conditionalFormatting sqref="J613:Q613">
    <cfRule type="cellIs" dxfId="297" priority="297" stopIfTrue="1" operator="equal">
      <formula>"Pass"</formula>
    </cfRule>
    <cfRule type="cellIs" dxfId="296" priority="298" stopIfTrue="1" operator="equal">
      <formula>"Fail"</formula>
    </cfRule>
  </conditionalFormatting>
  <conditionalFormatting sqref="J613:M613 O613:P613">
    <cfRule type="cellIs" dxfId="295" priority="295" stopIfTrue="1" operator="equal">
      <formula>"Pass"</formula>
    </cfRule>
    <cfRule type="cellIs" dxfId="294" priority="296" stopIfTrue="1" operator="equal">
      <formula>"Fail"</formula>
    </cfRule>
  </conditionalFormatting>
  <conditionalFormatting sqref="Q613 N613">
    <cfRule type="cellIs" dxfId="293" priority="293" stopIfTrue="1" operator="equal">
      <formula>"Pass"</formula>
    </cfRule>
    <cfRule type="cellIs" dxfId="292" priority="294" stopIfTrue="1" operator="equal">
      <formula>"Fail"</formula>
    </cfRule>
  </conditionalFormatting>
  <conditionalFormatting sqref="J613:Q613">
    <cfRule type="cellIs" dxfId="291" priority="291" stopIfTrue="1" operator="equal">
      <formula>"Pass"</formula>
    </cfRule>
    <cfRule type="cellIs" dxfId="290" priority="292" stopIfTrue="1" operator="equal">
      <formula>"Fail"</formula>
    </cfRule>
  </conditionalFormatting>
  <conditionalFormatting sqref="J613:Q613">
    <cfRule type="cellIs" dxfId="289" priority="289" stopIfTrue="1" operator="equal">
      <formula>"Pass"</formula>
    </cfRule>
    <cfRule type="cellIs" dxfId="288" priority="290" stopIfTrue="1" operator="equal">
      <formula>"Fail"</formula>
    </cfRule>
  </conditionalFormatting>
  <conditionalFormatting sqref="J613:Q613">
    <cfRule type="cellIs" dxfId="287" priority="287" stopIfTrue="1" operator="equal">
      <formula>"Pass"</formula>
    </cfRule>
    <cfRule type="cellIs" dxfId="286" priority="288" stopIfTrue="1" operator="equal">
      <formula>"Fail"</formula>
    </cfRule>
  </conditionalFormatting>
  <conditionalFormatting sqref="J613:Q613">
    <cfRule type="cellIs" dxfId="285" priority="285" stopIfTrue="1" operator="equal">
      <formula>"Pass"</formula>
    </cfRule>
    <cfRule type="cellIs" dxfId="284" priority="286" stopIfTrue="1" operator="equal">
      <formula>"Fail"</formula>
    </cfRule>
  </conditionalFormatting>
  <conditionalFormatting sqref="J613:Q613">
    <cfRule type="cellIs" dxfId="283" priority="283" stopIfTrue="1" operator="equal">
      <formula>"Pass"</formula>
    </cfRule>
    <cfRule type="cellIs" dxfId="282" priority="284" stopIfTrue="1" operator="equal">
      <formula>"Fail"</formula>
    </cfRule>
  </conditionalFormatting>
  <conditionalFormatting sqref="J613:Q613">
    <cfRule type="cellIs" dxfId="281" priority="281" stopIfTrue="1" operator="equal">
      <formula>"Pass"</formula>
    </cfRule>
    <cfRule type="cellIs" dxfId="280" priority="282" stopIfTrue="1" operator="equal">
      <formula>"Fail"</formula>
    </cfRule>
  </conditionalFormatting>
  <conditionalFormatting sqref="J613:M613 O613:P613">
    <cfRule type="cellIs" dxfId="279" priority="279" stopIfTrue="1" operator="equal">
      <formula>"Pass"</formula>
    </cfRule>
    <cfRule type="cellIs" dxfId="278" priority="280" stopIfTrue="1" operator="equal">
      <formula>"Fail"</formula>
    </cfRule>
  </conditionalFormatting>
  <conditionalFormatting sqref="Q613 N613">
    <cfRule type="cellIs" dxfId="277" priority="277" stopIfTrue="1" operator="equal">
      <formula>"Pass"</formula>
    </cfRule>
    <cfRule type="cellIs" dxfId="276" priority="278" stopIfTrue="1" operator="equal">
      <formula>"Fail"</formula>
    </cfRule>
  </conditionalFormatting>
  <conditionalFormatting sqref="J613:Q613">
    <cfRule type="cellIs" dxfId="275" priority="275" stopIfTrue="1" operator="equal">
      <formula>"Pass"</formula>
    </cfRule>
    <cfRule type="cellIs" dxfId="274" priority="276" stopIfTrue="1" operator="equal">
      <formula>"Fail"</formula>
    </cfRule>
  </conditionalFormatting>
  <conditionalFormatting sqref="J613:Q613">
    <cfRule type="cellIs" dxfId="273" priority="273" stopIfTrue="1" operator="equal">
      <formula>"Pass"</formula>
    </cfRule>
    <cfRule type="cellIs" dxfId="272" priority="274" stopIfTrue="1" operator="equal">
      <formula>"Fail"</formula>
    </cfRule>
  </conditionalFormatting>
  <conditionalFormatting sqref="J613:Q613">
    <cfRule type="cellIs" dxfId="271" priority="271" stopIfTrue="1" operator="equal">
      <formula>"Pass"</formula>
    </cfRule>
    <cfRule type="cellIs" dxfId="270" priority="272" stopIfTrue="1" operator="equal">
      <formula>"Fail"</formula>
    </cfRule>
  </conditionalFormatting>
  <conditionalFormatting sqref="J613:Q613">
    <cfRule type="cellIs" dxfId="269" priority="269" stopIfTrue="1" operator="equal">
      <formula>"Pass"</formula>
    </cfRule>
    <cfRule type="cellIs" dxfId="268" priority="270" stopIfTrue="1" operator="equal">
      <formula>"Fail"</formula>
    </cfRule>
  </conditionalFormatting>
  <conditionalFormatting sqref="J613:Q613">
    <cfRule type="cellIs" dxfId="267" priority="267" stopIfTrue="1" operator="equal">
      <formula>"Pass"</formula>
    </cfRule>
    <cfRule type="cellIs" dxfId="266" priority="268" stopIfTrue="1" operator="equal">
      <formula>"Fail"</formula>
    </cfRule>
  </conditionalFormatting>
  <conditionalFormatting sqref="J613:Q613">
    <cfRule type="cellIs" dxfId="265" priority="265" stopIfTrue="1" operator="equal">
      <formula>"Pass"</formula>
    </cfRule>
    <cfRule type="cellIs" dxfId="264" priority="266" stopIfTrue="1" operator="equal">
      <formula>"Fail"</formula>
    </cfRule>
  </conditionalFormatting>
  <conditionalFormatting sqref="J613:Q613">
    <cfRule type="cellIs" dxfId="263" priority="263" stopIfTrue="1" operator="equal">
      <formula>"Pass"</formula>
    </cfRule>
    <cfRule type="cellIs" dxfId="262" priority="264" stopIfTrue="1" operator="equal">
      <formula>"Fail"</formula>
    </cfRule>
  </conditionalFormatting>
  <conditionalFormatting sqref="J613:Q613">
    <cfRule type="cellIs" dxfId="261" priority="261" stopIfTrue="1" operator="equal">
      <formula>"Pass"</formula>
    </cfRule>
    <cfRule type="cellIs" dxfId="260" priority="262" stopIfTrue="1" operator="equal">
      <formula>"Fail"</formula>
    </cfRule>
  </conditionalFormatting>
  <conditionalFormatting sqref="J613:Q613">
    <cfRule type="cellIs" dxfId="259" priority="259" stopIfTrue="1" operator="equal">
      <formula>"Pass"</formula>
    </cfRule>
    <cfRule type="cellIs" dxfId="258" priority="260" stopIfTrue="1" operator="equal">
      <formula>"Fail"</formula>
    </cfRule>
  </conditionalFormatting>
  <conditionalFormatting sqref="J613:Q613">
    <cfRule type="cellIs" dxfId="257" priority="257" stopIfTrue="1" operator="equal">
      <formula>"Pass"</formula>
    </cfRule>
    <cfRule type="cellIs" dxfId="256" priority="258" stopIfTrue="1" operator="equal">
      <formula>"Fail"</formula>
    </cfRule>
  </conditionalFormatting>
  <conditionalFormatting sqref="J613:Q613">
    <cfRule type="cellIs" dxfId="255" priority="255" stopIfTrue="1" operator="equal">
      <formula>"Pass"</formula>
    </cfRule>
    <cfRule type="cellIs" dxfId="254" priority="256" stopIfTrue="1" operator="equal">
      <formula>"Fail"</formula>
    </cfRule>
  </conditionalFormatting>
  <conditionalFormatting sqref="J614:Q614">
    <cfRule type="cellIs" dxfId="253" priority="253" stopIfTrue="1" operator="equal">
      <formula>"Pass"</formula>
    </cfRule>
    <cfRule type="cellIs" dxfId="252" priority="254" stopIfTrue="1" operator="equal">
      <formula>"Fail"</formula>
    </cfRule>
  </conditionalFormatting>
  <conditionalFormatting sqref="J614:Q614">
    <cfRule type="cellIs" dxfId="251" priority="251" stopIfTrue="1" operator="equal">
      <formula>"Pass"</formula>
    </cfRule>
    <cfRule type="cellIs" dxfId="250" priority="252" stopIfTrue="1" operator="equal">
      <formula>"Fail"</formula>
    </cfRule>
  </conditionalFormatting>
  <conditionalFormatting sqref="J614:Q614">
    <cfRule type="cellIs" dxfId="249" priority="249" stopIfTrue="1" operator="equal">
      <formula>"Pass"</formula>
    </cfRule>
    <cfRule type="cellIs" dxfId="248" priority="250" stopIfTrue="1" operator="equal">
      <formula>"Fail"</formula>
    </cfRule>
  </conditionalFormatting>
  <conditionalFormatting sqref="J614:Q614">
    <cfRule type="cellIs" dxfId="247" priority="247" stopIfTrue="1" operator="equal">
      <formula>"Pass"</formula>
    </cfRule>
    <cfRule type="cellIs" dxfId="246" priority="248" stopIfTrue="1" operator="equal">
      <formula>"Fail"</formula>
    </cfRule>
  </conditionalFormatting>
  <conditionalFormatting sqref="J614:Q614">
    <cfRule type="cellIs" dxfId="245" priority="245" stopIfTrue="1" operator="equal">
      <formula>"Pass"</formula>
    </cfRule>
    <cfRule type="cellIs" dxfId="244" priority="246" stopIfTrue="1" operator="equal">
      <formula>"Fail"</formula>
    </cfRule>
  </conditionalFormatting>
  <conditionalFormatting sqref="J614:Q614">
    <cfRule type="cellIs" dxfId="243" priority="243" stopIfTrue="1" operator="equal">
      <formula>"Pass"</formula>
    </cfRule>
    <cfRule type="cellIs" dxfId="242" priority="244" stopIfTrue="1" operator="equal">
      <formula>"Fail"</formula>
    </cfRule>
  </conditionalFormatting>
  <conditionalFormatting sqref="J614:Q614">
    <cfRule type="cellIs" dxfId="241" priority="241" stopIfTrue="1" operator="equal">
      <formula>"Pass"</formula>
    </cfRule>
    <cfRule type="cellIs" dxfId="240" priority="242" stopIfTrue="1" operator="equal">
      <formula>"Fail"</formula>
    </cfRule>
  </conditionalFormatting>
  <conditionalFormatting sqref="J614:Q614">
    <cfRule type="cellIs" dxfId="239" priority="239" stopIfTrue="1" operator="equal">
      <formula>"Pass"</formula>
    </cfRule>
    <cfRule type="cellIs" dxfId="238" priority="240" stopIfTrue="1" operator="equal">
      <formula>"Fail"</formula>
    </cfRule>
  </conditionalFormatting>
  <conditionalFormatting sqref="J614:Q614">
    <cfRule type="cellIs" dxfId="237" priority="237" stopIfTrue="1" operator="equal">
      <formula>"Pass"</formula>
    </cfRule>
    <cfRule type="cellIs" dxfId="236" priority="238" stopIfTrue="1" operator="equal">
      <formula>"Fail"</formula>
    </cfRule>
  </conditionalFormatting>
  <conditionalFormatting sqref="J614:Q614">
    <cfRule type="cellIs" dxfId="235" priority="235" stopIfTrue="1" operator="equal">
      <formula>"Pass"</formula>
    </cfRule>
    <cfRule type="cellIs" dxfId="234" priority="236" stopIfTrue="1" operator="equal">
      <formula>"Fail"</formula>
    </cfRule>
  </conditionalFormatting>
  <conditionalFormatting sqref="J616:J618 K616:Q617">
    <cfRule type="cellIs" dxfId="233" priority="233" stopIfTrue="1" operator="equal">
      <formula>"Pass"</formula>
    </cfRule>
    <cfRule type="cellIs" dxfId="232" priority="234" stopIfTrue="1" operator="equal">
      <formula>"Fail"</formula>
    </cfRule>
  </conditionalFormatting>
  <conditionalFormatting sqref="W616">
    <cfRule type="cellIs" dxfId="231" priority="231" stopIfTrue="1" operator="equal">
      <formula>"Fail"</formula>
    </cfRule>
    <cfRule type="cellIs" dxfId="230" priority="232" stopIfTrue="1" operator="equal">
      <formula>"Pass"</formula>
    </cfRule>
  </conditionalFormatting>
  <conditionalFormatting sqref="J616:Q616">
    <cfRule type="cellIs" dxfId="229" priority="229" stopIfTrue="1" operator="equal">
      <formula>"Pass"</formula>
    </cfRule>
    <cfRule type="cellIs" dxfId="228" priority="230" stopIfTrue="1" operator="equal">
      <formula>"Fail"</formula>
    </cfRule>
  </conditionalFormatting>
  <conditionalFormatting sqref="J616:Q616">
    <cfRule type="cellIs" dxfId="227" priority="227" stopIfTrue="1" operator="equal">
      <formula>"Pass"</formula>
    </cfRule>
    <cfRule type="cellIs" dxfId="226" priority="228" stopIfTrue="1" operator="equal">
      <formula>"Fail"</formula>
    </cfRule>
  </conditionalFormatting>
  <conditionalFormatting sqref="J616:Q616">
    <cfRule type="cellIs" dxfId="225" priority="225" stopIfTrue="1" operator="equal">
      <formula>"Pass"</formula>
    </cfRule>
    <cfRule type="cellIs" dxfId="224" priority="226" stopIfTrue="1" operator="equal">
      <formula>"Fail"</formula>
    </cfRule>
  </conditionalFormatting>
  <conditionalFormatting sqref="J616:Q616">
    <cfRule type="cellIs" dxfId="223" priority="223" stopIfTrue="1" operator="equal">
      <formula>"Pass"</formula>
    </cfRule>
    <cfRule type="cellIs" dxfId="222" priority="224" stopIfTrue="1" operator="equal">
      <formula>"Fail"</formula>
    </cfRule>
  </conditionalFormatting>
  <conditionalFormatting sqref="J616:M616 O616:P616">
    <cfRule type="cellIs" dxfId="221" priority="221" stopIfTrue="1" operator="equal">
      <formula>"Pass"</formula>
    </cfRule>
    <cfRule type="cellIs" dxfId="220" priority="222" stopIfTrue="1" operator="equal">
      <formula>"Fail"</formula>
    </cfRule>
  </conditionalFormatting>
  <conditionalFormatting sqref="Q616 N616">
    <cfRule type="cellIs" dxfId="219" priority="219" stopIfTrue="1" operator="equal">
      <formula>"Pass"</formula>
    </cfRule>
    <cfRule type="cellIs" dxfId="218" priority="220" stopIfTrue="1" operator="equal">
      <formula>"Fail"</formula>
    </cfRule>
  </conditionalFormatting>
  <conditionalFormatting sqref="J616:Q616">
    <cfRule type="cellIs" dxfId="217" priority="217" stopIfTrue="1" operator="equal">
      <formula>"Pass"</formula>
    </cfRule>
    <cfRule type="cellIs" dxfId="216" priority="218" stopIfTrue="1" operator="equal">
      <formula>"Fail"</formula>
    </cfRule>
  </conditionalFormatting>
  <conditionalFormatting sqref="J616:Q616">
    <cfRule type="cellIs" dxfId="215" priority="215" stopIfTrue="1" operator="equal">
      <formula>"Pass"</formula>
    </cfRule>
    <cfRule type="cellIs" dxfId="214" priority="216" stopIfTrue="1" operator="equal">
      <formula>"Fail"</formula>
    </cfRule>
  </conditionalFormatting>
  <conditionalFormatting sqref="J616:Q616">
    <cfRule type="cellIs" dxfId="213" priority="213" stopIfTrue="1" operator="equal">
      <formula>"Pass"</formula>
    </cfRule>
    <cfRule type="cellIs" dxfId="212" priority="214" stopIfTrue="1" operator="equal">
      <formula>"Fail"</formula>
    </cfRule>
  </conditionalFormatting>
  <conditionalFormatting sqref="J616:Q616">
    <cfRule type="cellIs" dxfId="211" priority="211" stopIfTrue="1" operator="equal">
      <formula>"Pass"</formula>
    </cfRule>
    <cfRule type="cellIs" dxfId="210" priority="212" stopIfTrue="1" operator="equal">
      <formula>"Fail"</formula>
    </cfRule>
  </conditionalFormatting>
  <conditionalFormatting sqref="J616:Q616">
    <cfRule type="cellIs" dxfId="209" priority="209" stopIfTrue="1" operator="equal">
      <formula>"Pass"</formula>
    </cfRule>
    <cfRule type="cellIs" dxfId="208" priority="210" stopIfTrue="1" operator="equal">
      <formula>"Fail"</formula>
    </cfRule>
  </conditionalFormatting>
  <conditionalFormatting sqref="J616:Q616">
    <cfRule type="cellIs" dxfId="207" priority="207" stopIfTrue="1" operator="equal">
      <formula>"Pass"</formula>
    </cfRule>
    <cfRule type="cellIs" dxfId="206" priority="208" stopIfTrue="1" operator="equal">
      <formula>"Fail"</formula>
    </cfRule>
  </conditionalFormatting>
  <conditionalFormatting sqref="J616:M616 O616:P616">
    <cfRule type="cellIs" dxfId="205" priority="205" stopIfTrue="1" operator="equal">
      <formula>"Pass"</formula>
    </cfRule>
    <cfRule type="cellIs" dxfId="204" priority="206" stopIfTrue="1" operator="equal">
      <formula>"Fail"</formula>
    </cfRule>
  </conditionalFormatting>
  <conditionalFormatting sqref="Q616 N616">
    <cfRule type="cellIs" dxfId="203" priority="203" stopIfTrue="1" operator="equal">
      <formula>"Pass"</formula>
    </cfRule>
    <cfRule type="cellIs" dxfId="202" priority="204" stopIfTrue="1" operator="equal">
      <formula>"Fail"</formula>
    </cfRule>
  </conditionalFormatting>
  <conditionalFormatting sqref="J616:Q616">
    <cfRule type="cellIs" dxfId="201" priority="201" stopIfTrue="1" operator="equal">
      <formula>"Pass"</formula>
    </cfRule>
    <cfRule type="cellIs" dxfId="200" priority="202" stopIfTrue="1" operator="equal">
      <formula>"Fail"</formula>
    </cfRule>
  </conditionalFormatting>
  <conditionalFormatting sqref="J616:Q616">
    <cfRule type="cellIs" dxfId="199" priority="199" stopIfTrue="1" operator="equal">
      <formula>"Pass"</formula>
    </cfRule>
    <cfRule type="cellIs" dxfId="198" priority="200" stopIfTrue="1" operator="equal">
      <formula>"Fail"</formula>
    </cfRule>
  </conditionalFormatting>
  <conditionalFormatting sqref="J616:Q616">
    <cfRule type="cellIs" dxfId="197" priority="197" stopIfTrue="1" operator="equal">
      <formula>"Pass"</formula>
    </cfRule>
    <cfRule type="cellIs" dxfId="196" priority="198" stopIfTrue="1" operator="equal">
      <formula>"Fail"</formula>
    </cfRule>
  </conditionalFormatting>
  <conditionalFormatting sqref="J616:Q616">
    <cfRule type="cellIs" dxfId="195" priority="195" stopIfTrue="1" operator="equal">
      <formula>"Pass"</formula>
    </cfRule>
    <cfRule type="cellIs" dxfId="194" priority="196" stopIfTrue="1" operator="equal">
      <formula>"Fail"</formula>
    </cfRule>
  </conditionalFormatting>
  <conditionalFormatting sqref="J616:Q616">
    <cfRule type="cellIs" dxfId="193" priority="193" stopIfTrue="1" operator="equal">
      <formula>"Pass"</formula>
    </cfRule>
    <cfRule type="cellIs" dxfId="192" priority="194" stopIfTrue="1" operator="equal">
      <formula>"Fail"</formula>
    </cfRule>
  </conditionalFormatting>
  <conditionalFormatting sqref="J616:Q616">
    <cfRule type="cellIs" dxfId="191" priority="191" stopIfTrue="1" operator="equal">
      <formula>"Pass"</formula>
    </cfRule>
    <cfRule type="cellIs" dxfId="190" priority="192" stopIfTrue="1" operator="equal">
      <formula>"Fail"</formula>
    </cfRule>
  </conditionalFormatting>
  <conditionalFormatting sqref="J616:M616 O616:P616">
    <cfRule type="cellIs" dxfId="189" priority="189" stopIfTrue="1" operator="equal">
      <formula>"Pass"</formula>
    </cfRule>
    <cfRule type="cellIs" dxfId="188" priority="190" stopIfTrue="1" operator="equal">
      <formula>"Fail"</formula>
    </cfRule>
  </conditionalFormatting>
  <conditionalFormatting sqref="Q616 N616">
    <cfRule type="cellIs" dxfId="187" priority="187" stopIfTrue="1" operator="equal">
      <formula>"Pass"</formula>
    </cfRule>
    <cfRule type="cellIs" dxfId="186" priority="188" stopIfTrue="1" operator="equal">
      <formula>"Fail"</formula>
    </cfRule>
  </conditionalFormatting>
  <conditionalFormatting sqref="J616:Q616">
    <cfRule type="cellIs" dxfId="185" priority="185" stopIfTrue="1" operator="equal">
      <formula>"Pass"</formula>
    </cfRule>
    <cfRule type="cellIs" dxfId="184" priority="186" stopIfTrue="1" operator="equal">
      <formula>"Fail"</formula>
    </cfRule>
  </conditionalFormatting>
  <conditionalFormatting sqref="J616:Q616">
    <cfRule type="cellIs" dxfId="183" priority="183" stopIfTrue="1" operator="equal">
      <formula>"Pass"</formula>
    </cfRule>
    <cfRule type="cellIs" dxfId="182" priority="184" stopIfTrue="1" operator="equal">
      <formula>"Fail"</formula>
    </cfRule>
  </conditionalFormatting>
  <conditionalFormatting sqref="J616:Q616">
    <cfRule type="cellIs" dxfId="181" priority="181" stopIfTrue="1" operator="equal">
      <formula>"Pass"</formula>
    </cfRule>
    <cfRule type="cellIs" dxfId="180" priority="182" stopIfTrue="1" operator="equal">
      <formula>"Fail"</formula>
    </cfRule>
  </conditionalFormatting>
  <conditionalFormatting sqref="J616:Q616">
    <cfRule type="cellIs" dxfId="179" priority="179" stopIfTrue="1" operator="equal">
      <formula>"Pass"</formula>
    </cfRule>
    <cfRule type="cellIs" dxfId="178" priority="180" stopIfTrue="1" operator="equal">
      <formula>"Fail"</formula>
    </cfRule>
  </conditionalFormatting>
  <conditionalFormatting sqref="J616:Q616">
    <cfRule type="cellIs" dxfId="177" priority="177" stopIfTrue="1" operator="equal">
      <formula>"Pass"</formula>
    </cfRule>
    <cfRule type="cellIs" dxfId="176" priority="178" stopIfTrue="1" operator="equal">
      <formula>"Fail"</formula>
    </cfRule>
  </conditionalFormatting>
  <conditionalFormatting sqref="J616:Q616">
    <cfRule type="cellIs" dxfId="175" priority="175" stopIfTrue="1" operator="equal">
      <formula>"Pass"</formula>
    </cfRule>
    <cfRule type="cellIs" dxfId="174" priority="176" stopIfTrue="1" operator="equal">
      <formula>"Fail"</formula>
    </cfRule>
  </conditionalFormatting>
  <conditionalFormatting sqref="J616:M616 O616:P616">
    <cfRule type="cellIs" dxfId="173" priority="173" stopIfTrue="1" operator="equal">
      <formula>"Pass"</formula>
    </cfRule>
    <cfRule type="cellIs" dxfId="172" priority="174" stopIfTrue="1" operator="equal">
      <formula>"Fail"</formula>
    </cfRule>
  </conditionalFormatting>
  <conditionalFormatting sqref="Q616 N616">
    <cfRule type="cellIs" dxfId="171" priority="171" stopIfTrue="1" operator="equal">
      <formula>"Pass"</formula>
    </cfRule>
    <cfRule type="cellIs" dxfId="170" priority="172" stopIfTrue="1" operator="equal">
      <formula>"Fail"</formula>
    </cfRule>
  </conditionalFormatting>
  <conditionalFormatting sqref="J616:Q616">
    <cfRule type="cellIs" dxfId="169" priority="169" stopIfTrue="1" operator="equal">
      <formula>"Pass"</formula>
    </cfRule>
    <cfRule type="cellIs" dxfId="168" priority="170" stopIfTrue="1" operator="equal">
      <formula>"Fail"</formula>
    </cfRule>
  </conditionalFormatting>
  <conditionalFormatting sqref="J616:Q616">
    <cfRule type="cellIs" dxfId="167" priority="167" stopIfTrue="1" operator="equal">
      <formula>"Pass"</formula>
    </cfRule>
    <cfRule type="cellIs" dxfId="166" priority="168" stopIfTrue="1" operator="equal">
      <formula>"Fail"</formula>
    </cfRule>
  </conditionalFormatting>
  <conditionalFormatting sqref="J616:Q616">
    <cfRule type="cellIs" dxfId="165" priority="165" stopIfTrue="1" operator="equal">
      <formula>"Pass"</formula>
    </cfRule>
    <cfRule type="cellIs" dxfId="164" priority="166" stopIfTrue="1" operator="equal">
      <formula>"Fail"</formula>
    </cfRule>
  </conditionalFormatting>
  <conditionalFormatting sqref="J616:Q616">
    <cfRule type="cellIs" dxfId="163" priority="163" stopIfTrue="1" operator="equal">
      <formula>"Pass"</formula>
    </cfRule>
    <cfRule type="cellIs" dxfId="162" priority="164" stopIfTrue="1" operator="equal">
      <formula>"Fail"</formula>
    </cfRule>
  </conditionalFormatting>
  <conditionalFormatting sqref="J616:Q616">
    <cfRule type="cellIs" dxfId="161" priority="161" stopIfTrue="1" operator="equal">
      <formula>"Pass"</formula>
    </cfRule>
    <cfRule type="cellIs" dxfId="160" priority="162" stopIfTrue="1" operator="equal">
      <formula>"Fail"</formula>
    </cfRule>
  </conditionalFormatting>
  <conditionalFormatting sqref="J616:Q616">
    <cfRule type="cellIs" dxfId="159" priority="159" stopIfTrue="1" operator="equal">
      <formula>"Pass"</formula>
    </cfRule>
    <cfRule type="cellIs" dxfId="158" priority="160" stopIfTrue="1" operator="equal">
      <formula>"Fail"</formula>
    </cfRule>
  </conditionalFormatting>
  <conditionalFormatting sqref="J616:M616 O616:P616">
    <cfRule type="cellIs" dxfId="157" priority="157" stopIfTrue="1" operator="equal">
      <formula>"Pass"</formula>
    </cfRule>
    <cfRule type="cellIs" dxfId="156" priority="158" stopIfTrue="1" operator="equal">
      <formula>"Fail"</formula>
    </cfRule>
  </conditionalFormatting>
  <conditionalFormatting sqref="Q616 N616">
    <cfRule type="cellIs" dxfId="155" priority="155" stopIfTrue="1" operator="equal">
      <formula>"Pass"</formula>
    </cfRule>
    <cfRule type="cellIs" dxfId="154" priority="156" stopIfTrue="1" operator="equal">
      <formula>"Fail"</formula>
    </cfRule>
  </conditionalFormatting>
  <conditionalFormatting sqref="J616:Q616">
    <cfRule type="cellIs" dxfId="153" priority="153" stopIfTrue="1" operator="equal">
      <formula>"Pass"</formula>
    </cfRule>
    <cfRule type="cellIs" dxfId="152" priority="154" stopIfTrue="1" operator="equal">
      <formula>"Fail"</formula>
    </cfRule>
  </conditionalFormatting>
  <conditionalFormatting sqref="J616:Q616">
    <cfRule type="cellIs" dxfId="151" priority="151" stopIfTrue="1" operator="equal">
      <formula>"Pass"</formula>
    </cfRule>
    <cfRule type="cellIs" dxfId="150" priority="152" stopIfTrue="1" operator="equal">
      <formula>"Fail"</formula>
    </cfRule>
  </conditionalFormatting>
  <conditionalFormatting sqref="J616:Q616">
    <cfRule type="cellIs" dxfId="149" priority="149" stopIfTrue="1" operator="equal">
      <formula>"Pass"</formula>
    </cfRule>
    <cfRule type="cellIs" dxfId="148" priority="150" stopIfTrue="1" operator="equal">
      <formula>"Fail"</formula>
    </cfRule>
  </conditionalFormatting>
  <conditionalFormatting sqref="J616:Q616">
    <cfRule type="cellIs" dxfId="147" priority="147" stopIfTrue="1" operator="equal">
      <formula>"Pass"</formula>
    </cfRule>
    <cfRule type="cellIs" dxfId="146" priority="148" stopIfTrue="1" operator="equal">
      <formula>"Fail"</formula>
    </cfRule>
  </conditionalFormatting>
  <conditionalFormatting sqref="J616:Q616">
    <cfRule type="cellIs" dxfId="145" priority="145" stopIfTrue="1" operator="equal">
      <formula>"Pass"</formula>
    </cfRule>
    <cfRule type="cellIs" dxfId="144" priority="146" stopIfTrue="1" operator="equal">
      <formula>"Fail"</formula>
    </cfRule>
  </conditionalFormatting>
  <conditionalFormatting sqref="J616:Q616">
    <cfRule type="cellIs" dxfId="143" priority="143" stopIfTrue="1" operator="equal">
      <formula>"Pass"</formula>
    </cfRule>
    <cfRule type="cellIs" dxfId="142" priority="144" stopIfTrue="1" operator="equal">
      <formula>"Fail"</formula>
    </cfRule>
  </conditionalFormatting>
  <conditionalFormatting sqref="J616:M616 O616:P616">
    <cfRule type="cellIs" dxfId="141" priority="141" stopIfTrue="1" operator="equal">
      <formula>"Pass"</formula>
    </cfRule>
    <cfRule type="cellIs" dxfId="140" priority="142" stopIfTrue="1" operator="equal">
      <formula>"Fail"</formula>
    </cfRule>
  </conditionalFormatting>
  <conditionalFormatting sqref="Q616 N616">
    <cfRule type="cellIs" dxfId="139" priority="139" stopIfTrue="1" operator="equal">
      <formula>"Pass"</formula>
    </cfRule>
    <cfRule type="cellIs" dxfId="138" priority="140" stopIfTrue="1" operator="equal">
      <formula>"Fail"</formula>
    </cfRule>
  </conditionalFormatting>
  <conditionalFormatting sqref="J616:Q616">
    <cfRule type="cellIs" dxfId="137" priority="137" stopIfTrue="1" operator="equal">
      <formula>"Pass"</formula>
    </cfRule>
    <cfRule type="cellIs" dxfId="136" priority="138" stopIfTrue="1" operator="equal">
      <formula>"Fail"</formula>
    </cfRule>
  </conditionalFormatting>
  <conditionalFormatting sqref="J616:Q616">
    <cfRule type="cellIs" dxfId="135" priority="135" stopIfTrue="1" operator="equal">
      <formula>"Pass"</formula>
    </cfRule>
    <cfRule type="cellIs" dxfId="134" priority="136" stopIfTrue="1" operator="equal">
      <formula>"Fail"</formula>
    </cfRule>
  </conditionalFormatting>
  <conditionalFormatting sqref="J616:Q616">
    <cfRule type="cellIs" dxfId="133" priority="133" stopIfTrue="1" operator="equal">
      <formula>"Pass"</formula>
    </cfRule>
    <cfRule type="cellIs" dxfId="132" priority="134" stopIfTrue="1" operator="equal">
      <formula>"Fail"</formula>
    </cfRule>
  </conditionalFormatting>
  <conditionalFormatting sqref="J616:Q616">
    <cfRule type="cellIs" dxfId="131" priority="131" stopIfTrue="1" operator="equal">
      <formula>"Pass"</formula>
    </cfRule>
    <cfRule type="cellIs" dxfId="130" priority="132" stopIfTrue="1" operator="equal">
      <formula>"Fail"</formula>
    </cfRule>
  </conditionalFormatting>
  <conditionalFormatting sqref="J616:Q616">
    <cfRule type="cellIs" dxfId="129" priority="129" stopIfTrue="1" operator="equal">
      <formula>"Pass"</formula>
    </cfRule>
    <cfRule type="cellIs" dxfId="128" priority="130" stopIfTrue="1" operator="equal">
      <formula>"Fail"</formula>
    </cfRule>
  </conditionalFormatting>
  <conditionalFormatting sqref="J616:Q616">
    <cfRule type="cellIs" dxfId="127" priority="127" stopIfTrue="1" operator="equal">
      <formula>"Pass"</formula>
    </cfRule>
    <cfRule type="cellIs" dxfId="126" priority="128" stopIfTrue="1" operator="equal">
      <formula>"Fail"</formula>
    </cfRule>
  </conditionalFormatting>
  <conditionalFormatting sqref="J616:M616 O616:P616">
    <cfRule type="cellIs" dxfId="125" priority="125" stopIfTrue="1" operator="equal">
      <formula>"Pass"</formula>
    </cfRule>
    <cfRule type="cellIs" dxfId="124" priority="126" stopIfTrue="1" operator="equal">
      <formula>"Fail"</formula>
    </cfRule>
  </conditionalFormatting>
  <conditionalFormatting sqref="Q616 N616">
    <cfRule type="cellIs" dxfId="123" priority="123" stopIfTrue="1" operator="equal">
      <formula>"Pass"</formula>
    </cfRule>
    <cfRule type="cellIs" dxfId="122" priority="124" stopIfTrue="1" operator="equal">
      <formula>"Fail"</formula>
    </cfRule>
  </conditionalFormatting>
  <conditionalFormatting sqref="J616:Q616">
    <cfRule type="cellIs" dxfId="121" priority="121" stopIfTrue="1" operator="equal">
      <formula>"Pass"</formula>
    </cfRule>
    <cfRule type="cellIs" dxfId="120" priority="122" stopIfTrue="1" operator="equal">
      <formula>"Fail"</formula>
    </cfRule>
  </conditionalFormatting>
  <conditionalFormatting sqref="J616:Q616">
    <cfRule type="cellIs" dxfId="119" priority="119" stopIfTrue="1" operator="equal">
      <formula>"Pass"</formula>
    </cfRule>
    <cfRule type="cellIs" dxfId="118" priority="120" stopIfTrue="1" operator="equal">
      <formula>"Fail"</formula>
    </cfRule>
  </conditionalFormatting>
  <conditionalFormatting sqref="J616:Q616">
    <cfRule type="cellIs" dxfId="117" priority="117" stopIfTrue="1" operator="equal">
      <formula>"Pass"</formula>
    </cfRule>
    <cfRule type="cellIs" dxfId="116" priority="118" stopIfTrue="1" operator="equal">
      <formula>"Fail"</formula>
    </cfRule>
  </conditionalFormatting>
  <conditionalFormatting sqref="J616:Q616">
    <cfRule type="cellIs" dxfId="115" priority="115" stopIfTrue="1" operator="equal">
      <formula>"Pass"</formula>
    </cfRule>
    <cfRule type="cellIs" dxfId="114" priority="116" stopIfTrue="1" operator="equal">
      <formula>"Fail"</formula>
    </cfRule>
  </conditionalFormatting>
  <conditionalFormatting sqref="J616:Q616">
    <cfRule type="cellIs" dxfId="113" priority="113" stopIfTrue="1" operator="equal">
      <formula>"Pass"</formula>
    </cfRule>
    <cfRule type="cellIs" dxfId="112" priority="114" stopIfTrue="1" operator="equal">
      <formula>"Fail"</formula>
    </cfRule>
  </conditionalFormatting>
  <conditionalFormatting sqref="J616:Q616">
    <cfRule type="cellIs" dxfId="111" priority="111" stopIfTrue="1" operator="equal">
      <formula>"Pass"</formula>
    </cfRule>
    <cfRule type="cellIs" dxfId="110" priority="112" stopIfTrue="1" operator="equal">
      <formula>"Fail"</formula>
    </cfRule>
  </conditionalFormatting>
  <conditionalFormatting sqref="J616:M616 O616:P616">
    <cfRule type="cellIs" dxfId="109" priority="109" stopIfTrue="1" operator="equal">
      <formula>"Pass"</formula>
    </cfRule>
    <cfRule type="cellIs" dxfId="108" priority="110" stopIfTrue="1" operator="equal">
      <formula>"Fail"</formula>
    </cfRule>
  </conditionalFormatting>
  <conditionalFormatting sqref="Q616 N616">
    <cfRule type="cellIs" dxfId="107" priority="107" stopIfTrue="1" operator="equal">
      <formula>"Pass"</formula>
    </cfRule>
    <cfRule type="cellIs" dxfId="106" priority="108" stopIfTrue="1" operator="equal">
      <formula>"Fail"</formula>
    </cfRule>
  </conditionalFormatting>
  <conditionalFormatting sqref="J616:Q616">
    <cfRule type="cellIs" dxfId="105" priority="105" stopIfTrue="1" operator="equal">
      <formula>"Pass"</formula>
    </cfRule>
    <cfRule type="cellIs" dxfId="104" priority="106" stopIfTrue="1" operator="equal">
      <formula>"Fail"</formula>
    </cfRule>
  </conditionalFormatting>
  <conditionalFormatting sqref="J616:Q616">
    <cfRule type="cellIs" dxfId="103" priority="103" stopIfTrue="1" operator="equal">
      <formula>"Pass"</formula>
    </cfRule>
    <cfRule type="cellIs" dxfId="102" priority="104" stopIfTrue="1" operator="equal">
      <formula>"Fail"</formula>
    </cfRule>
  </conditionalFormatting>
  <conditionalFormatting sqref="J616:Q616">
    <cfRule type="cellIs" dxfId="101" priority="101" stopIfTrue="1" operator="equal">
      <formula>"Pass"</formula>
    </cfRule>
    <cfRule type="cellIs" dxfId="100" priority="102" stopIfTrue="1" operator="equal">
      <formula>"Fail"</formula>
    </cfRule>
  </conditionalFormatting>
  <conditionalFormatting sqref="J616:Q616">
    <cfRule type="cellIs" dxfId="99" priority="99" stopIfTrue="1" operator="equal">
      <formula>"Pass"</formula>
    </cfRule>
    <cfRule type="cellIs" dxfId="98" priority="100" stopIfTrue="1" operator="equal">
      <formula>"Fail"</formula>
    </cfRule>
  </conditionalFormatting>
  <conditionalFormatting sqref="J616:Q616">
    <cfRule type="cellIs" dxfId="97" priority="97" stopIfTrue="1" operator="equal">
      <formula>"Pass"</formula>
    </cfRule>
    <cfRule type="cellIs" dxfId="96" priority="98" stopIfTrue="1" operator="equal">
      <formula>"Fail"</formula>
    </cfRule>
  </conditionalFormatting>
  <conditionalFormatting sqref="J616:Q616">
    <cfRule type="cellIs" dxfId="95" priority="95" stopIfTrue="1" operator="equal">
      <formula>"Pass"</formula>
    </cfRule>
    <cfRule type="cellIs" dxfId="94" priority="96" stopIfTrue="1" operator="equal">
      <formula>"Fail"</formula>
    </cfRule>
  </conditionalFormatting>
  <conditionalFormatting sqref="J616:M616 O616:P616">
    <cfRule type="cellIs" dxfId="93" priority="93" stopIfTrue="1" operator="equal">
      <formula>"Pass"</formula>
    </cfRule>
    <cfRule type="cellIs" dxfId="92" priority="94" stopIfTrue="1" operator="equal">
      <formula>"Fail"</formula>
    </cfRule>
  </conditionalFormatting>
  <conditionalFormatting sqref="Q616 N616">
    <cfRule type="cellIs" dxfId="91" priority="91" stopIfTrue="1" operator="equal">
      <formula>"Pass"</formula>
    </cfRule>
    <cfRule type="cellIs" dxfId="90" priority="92" stopIfTrue="1" operator="equal">
      <formula>"Fail"</formula>
    </cfRule>
  </conditionalFormatting>
  <conditionalFormatting sqref="J616:Q616">
    <cfRule type="cellIs" dxfId="89" priority="89" stopIfTrue="1" operator="equal">
      <formula>"Pass"</formula>
    </cfRule>
    <cfRule type="cellIs" dxfId="88" priority="90" stopIfTrue="1" operator="equal">
      <formula>"Fail"</formula>
    </cfRule>
  </conditionalFormatting>
  <conditionalFormatting sqref="J616:Q616">
    <cfRule type="cellIs" dxfId="87" priority="87" stopIfTrue="1" operator="equal">
      <formula>"Pass"</formula>
    </cfRule>
    <cfRule type="cellIs" dxfId="86" priority="88" stopIfTrue="1" operator="equal">
      <formula>"Fail"</formula>
    </cfRule>
  </conditionalFormatting>
  <conditionalFormatting sqref="J616:Q616">
    <cfRule type="cellIs" dxfId="85" priority="85" stopIfTrue="1" operator="equal">
      <formula>"Pass"</formula>
    </cfRule>
    <cfRule type="cellIs" dxfId="84" priority="86" stopIfTrue="1" operator="equal">
      <formula>"Fail"</formula>
    </cfRule>
  </conditionalFormatting>
  <conditionalFormatting sqref="J616:Q616">
    <cfRule type="cellIs" dxfId="83" priority="83" stopIfTrue="1" operator="equal">
      <formula>"Pass"</formula>
    </cfRule>
    <cfRule type="cellIs" dxfId="82" priority="84" stopIfTrue="1" operator="equal">
      <formula>"Fail"</formula>
    </cfRule>
  </conditionalFormatting>
  <conditionalFormatting sqref="J616:Q616">
    <cfRule type="cellIs" dxfId="81" priority="81" stopIfTrue="1" operator="equal">
      <formula>"Pass"</formula>
    </cfRule>
    <cfRule type="cellIs" dxfId="80" priority="82" stopIfTrue="1" operator="equal">
      <formula>"Fail"</formula>
    </cfRule>
  </conditionalFormatting>
  <conditionalFormatting sqref="J616:Q616">
    <cfRule type="cellIs" dxfId="79" priority="79" stopIfTrue="1" operator="equal">
      <formula>"Pass"</formula>
    </cfRule>
    <cfRule type="cellIs" dxfId="78" priority="80" stopIfTrue="1" operator="equal">
      <formula>"Fail"</formula>
    </cfRule>
  </conditionalFormatting>
  <conditionalFormatting sqref="J616:M616 O616:P616">
    <cfRule type="cellIs" dxfId="77" priority="77" stopIfTrue="1" operator="equal">
      <formula>"Pass"</formula>
    </cfRule>
    <cfRule type="cellIs" dxfId="76" priority="78" stopIfTrue="1" operator="equal">
      <formula>"Fail"</formula>
    </cfRule>
  </conditionalFormatting>
  <conditionalFormatting sqref="Q616 N616">
    <cfRule type="cellIs" dxfId="75" priority="75" stopIfTrue="1" operator="equal">
      <formula>"Pass"</formula>
    </cfRule>
    <cfRule type="cellIs" dxfId="74" priority="76" stopIfTrue="1" operator="equal">
      <formula>"Fail"</formula>
    </cfRule>
  </conditionalFormatting>
  <conditionalFormatting sqref="J616:Q616">
    <cfRule type="cellIs" dxfId="73" priority="73" stopIfTrue="1" operator="equal">
      <formula>"Pass"</formula>
    </cfRule>
    <cfRule type="cellIs" dxfId="72" priority="74" stopIfTrue="1" operator="equal">
      <formula>"Fail"</formula>
    </cfRule>
  </conditionalFormatting>
  <conditionalFormatting sqref="J616:Q616">
    <cfRule type="cellIs" dxfId="71" priority="71" stopIfTrue="1" operator="equal">
      <formula>"Pass"</formula>
    </cfRule>
    <cfRule type="cellIs" dxfId="70" priority="72" stopIfTrue="1" operator="equal">
      <formula>"Fail"</formula>
    </cfRule>
  </conditionalFormatting>
  <conditionalFormatting sqref="J616:Q616">
    <cfRule type="cellIs" dxfId="69" priority="69" stopIfTrue="1" operator="equal">
      <formula>"Pass"</formula>
    </cfRule>
    <cfRule type="cellIs" dxfId="68" priority="70" stopIfTrue="1" operator="equal">
      <formula>"Fail"</formula>
    </cfRule>
  </conditionalFormatting>
  <conditionalFormatting sqref="J616:Q616">
    <cfRule type="cellIs" dxfId="67" priority="67" stopIfTrue="1" operator="equal">
      <formula>"Pass"</formula>
    </cfRule>
    <cfRule type="cellIs" dxfId="66" priority="68" stopIfTrue="1" operator="equal">
      <formula>"Fail"</formula>
    </cfRule>
  </conditionalFormatting>
  <conditionalFormatting sqref="J616:Q616">
    <cfRule type="cellIs" dxfId="65" priority="65" stopIfTrue="1" operator="equal">
      <formula>"Pass"</formula>
    </cfRule>
    <cfRule type="cellIs" dxfId="64" priority="66" stopIfTrue="1" operator="equal">
      <formula>"Fail"</formula>
    </cfRule>
  </conditionalFormatting>
  <conditionalFormatting sqref="J616:Q616">
    <cfRule type="cellIs" dxfId="63" priority="63" stopIfTrue="1" operator="equal">
      <formula>"Pass"</formula>
    </cfRule>
    <cfRule type="cellIs" dxfId="62" priority="64" stopIfTrue="1" operator="equal">
      <formula>"Fail"</formula>
    </cfRule>
  </conditionalFormatting>
  <conditionalFormatting sqref="J616:M616 O616:P616">
    <cfRule type="cellIs" dxfId="61" priority="61" stopIfTrue="1" operator="equal">
      <formula>"Pass"</formula>
    </cfRule>
    <cfRule type="cellIs" dxfId="60" priority="62" stopIfTrue="1" operator="equal">
      <formula>"Fail"</formula>
    </cfRule>
  </conditionalFormatting>
  <conditionalFormatting sqref="Q616 N616">
    <cfRule type="cellIs" dxfId="59" priority="59" stopIfTrue="1" operator="equal">
      <formula>"Pass"</formula>
    </cfRule>
    <cfRule type="cellIs" dxfId="58" priority="60" stopIfTrue="1" operator="equal">
      <formula>"Fail"</formula>
    </cfRule>
  </conditionalFormatting>
  <conditionalFormatting sqref="J616:Q616">
    <cfRule type="cellIs" dxfId="57" priority="57" stopIfTrue="1" operator="equal">
      <formula>"Pass"</formula>
    </cfRule>
    <cfRule type="cellIs" dxfId="56" priority="58" stopIfTrue="1" operator="equal">
      <formula>"Fail"</formula>
    </cfRule>
  </conditionalFormatting>
  <conditionalFormatting sqref="J616:Q616">
    <cfRule type="cellIs" dxfId="55" priority="55" stopIfTrue="1" operator="equal">
      <formula>"Pass"</formula>
    </cfRule>
    <cfRule type="cellIs" dxfId="54" priority="56" stopIfTrue="1" operator="equal">
      <formula>"Fail"</formula>
    </cfRule>
  </conditionalFormatting>
  <conditionalFormatting sqref="J616:Q616">
    <cfRule type="cellIs" dxfId="53" priority="53" stopIfTrue="1" operator="equal">
      <formula>"Pass"</formula>
    </cfRule>
    <cfRule type="cellIs" dxfId="52" priority="54" stopIfTrue="1" operator="equal">
      <formula>"Fail"</formula>
    </cfRule>
  </conditionalFormatting>
  <conditionalFormatting sqref="J616:Q616">
    <cfRule type="cellIs" dxfId="51" priority="51" stopIfTrue="1" operator="equal">
      <formula>"Pass"</formula>
    </cfRule>
    <cfRule type="cellIs" dxfId="50" priority="52" stopIfTrue="1" operator="equal">
      <formula>"Fail"</formula>
    </cfRule>
  </conditionalFormatting>
  <conditionalFormatting sqref="J616:Q616">
    <cfRule type="cellIs" dxfId="49" priority="49" stopIfTrue="1" operator="equal">
      <formula>"Pass"</formula>
    </cfRule>
    <cfRule type="cellIs" dxfId="48" priority="50" stopIfTrue="1" operator="equal">
      <formula>"Fail"</formula>
    </cfRule>
  </conditionalFormatting>
  <conditionalFormatting sqref="J616:Q616">
    <cfRule type="cellIs" dxfId="47" priority="47" stopIfTrue="1" operator="equal">
      <formula>"Pass"</formula>
    </cfRule>
    <cfRule type="cellIs" dxfId="46" priority="48" stopIfTrue="1" operator="equal">
      <formula>"Fail"</formula>
    </cfRule>
  </conditionalFormatting>
  <conditionalFormatting sqref="J616:M616 O616:P616">
    <cfRule type="cellIs" dxfId="45" priority="45" stopIfTrue="1" operator="equal">
      <formula>"Pass"</formula>
    </cfRule>
    <cfRule type="cellIs" dxfId="44" priority="46" stopIfTrue="1" operator="equal">
      <formula>"Fail"</formula>
    </cfRule>
  </conditionalFormatting>
  <conditionalFormatting sqref="Q616 N616">
    <cfRule type="cellIs" dxfId="43" priority="43" stopIfTrue="1" operator="equal">
      <formula>"Pass"</formula>
    </cfRule>
    <cfRule type="cellIs" dxfId="42" priority="44" stopIfTrue="1" operator="equal">
      <formula>"Fail"</formula>
    </cfRule>
  </conditionalFormatting>
  <conditionalFormatting sqref="J616:Q616">
    <cfRule type="cellIs" dxfId="41" priority="41" stopIfTrue="1" operator="equal">
      <formula>"Pass"</formula>
    </cfRule>
    <cfRule type="cellIs" dxfId="40" priority="42" stopIfTrue="1" operator="equal">
      <formula>"Fail"</formula>
    </cfRule>
  </conditionalFormatting>
  <conditionalFormatting sqref="J616:Q616">
    <cfRule type="cellIs" dxfId="39" priority="39" stopIfTrue="1" operator="equal">
      <formula>"Pass"</formula>
    </cfRule>
    <cfRule type="cellIs" dxfId="38" priority="40" stopIfTrue="1" operator="equal">
      <formula>"Fail"</formula>
    </cfRule>
  </conditionalFormatting>
  <conditionalFormatting sqref="J616:Q616">
    <cfRule type="cellIs" dxfId="37" priority="37" stopIfTrue="1" operator="equal">
      <formula>"Pass"</formula>
    </cfRule>
    <cfRule type="cellIs" dxfId="36" priority="38" stopIfTrue="1" operator="equal">
      <formula>"Fail"</formula>
    </cfRule>
  </conditionalFormatting>
  <conditionalFormatting sqref="J616:Q616">
    <cfRule type="cellIs" dxfId="35" priority="35" stopIfTrue="1" operator="equal">
      <formula>"Pass"</formula>
    </cfRule>
    <cfRule type="cellIs" dxfId="34" priority="36" stopIfTrue="1" operator="equal">
      <formula>"Fail"</formula>
    </cfRule>
  </conditionalFormatting>
  <conditionalFormatting sqref="J616:Q616">
    <cfRule type="cellIs" dxfId="33" priority="33" stopIfTrue="1" operator="equal">
      <formula>"Pass"</formula>
    </cfRule>
    <cfRule type="cellIs" dxfId="32" priority="34" stopIfTrue="1" operator="equal">
      <formula>"Fail"</formula>
    </cfRule>
  </conditionalFormatting>
  <conditionalFormatting sqref="J616:Q616">
    <cfRule type="cellIs" dxfId="31" priority="31" stopIfTrue="1" operator="equal">
      <formula>"Pass"</formula>
    </cfRule>
    <cfRule type="cellIs" dxfId="30" priority="32" stopIfTrue="1" operator="equal">
      <formula>"Fail"</formula>
    </cfRule>
  </conditionalFormatting>
  <conditionalFormatting sqref="J616:Q616">
    <cfRule type="cellIs" dxfId="29" priority="29" stopIfTrue="1" operator="equal">
      <formula>"Pass"</formula>
    </cfRule>
    <cfRule type="cellIs" dxfId="28" priority="30" stopIfTrue="1" operator="equal">
      <formula>"Fail"</formula>
    </cfRule>
  </conditionalFormatting>
  <conditionalFormatting sqref="J616:Q616">
    <cfRule type="cellIs" dxfId="27" priority="27" stopIfTrue="1" operator="equal">
      <formula>"Pass"</formula>
    </cfRule>
    <cfRule type="cellIs" dxfId="26" priority="28" stopIfTrue="1" operator="equal">
      <formula>"Fail"</formula>
    </cfRule>
  </conditionalFormatting>
  <conditionalFormatting sqref="J616:Q616">
    <cfRule type="cellIs" dxfId="25" priority="25" stopIfTrue="1" operator="equal">
      <formula>"Pass"</formula>
    </cfRule>
    <cfRule type="cellIs" dxfId="24" priority="26" stopIfTrue="1" operator="equal">
      <formula>"Fail"</formula>
    </cfRule>
  </conditionalFormatting>
  <conditionalFormatting sqref="J616:Q616">
    <cfRule type="cellIs" dxfId="23" priority="23" stopIfTrue="1" operator="equal">
      <formula>"Pass"</formula>
    </cfRule>
    <cfRule type="cellIs" dxfId="22" priority="24" stopIfTrue="1" operator="equal">
      <formula>"Fail"</formula>
    </cfRule>
  </conditionalFormatting>
  <conditionalFormatting sqref="J616:Q616">
    <cfRule type="cellIs" dxfId="21" priority="21" stopIfTrue="1" operator="equal">
      <formula>"Pass"</formula>
    </cfRule>
    <cfRule type="cellIs" dxfId="20" priority="22" stopIfTrue="1" operator="equal">
      <formula>"Fail"</formula>
    </cfRule>
  </conditionalFormatting>
  <conditionalFormatting sqref="J617:Q617">
    <cfRule type="cellIs" dxfId="19" priority="19" stopIfTrue="1" operator="equal">
      <formula>"Pass"</formula>
    </cfRule>
    <cfRule type="cellIs" dxfId="18" priority="20" stopIfTrue="1" operator="equal">
      <formula>"Fail"</formula>
    </cfRule>
  </conditionalFormatting>
  <conditionalFormatting sqref="J617:Q617">
    <cfRule type="cellIs" dxfId="17" priority="17" stopIfTrue="1" operator="equal">
      <formula>"Pass"</formula>
    </cfRule>
    <cfRule type="cellIs" dxfId="16" priority="18" stopIfTrue="1" operator="equal">
      <formula>"Fail"</formula>
    </cfRule>
  </conditionalFormatting>
  <conditionalFormatting sqref="J617:Q617">
    <cfRule type="cellIs" dxfId="15" priority="15" stopIfTrue="1" operator="equal">
      <formula>"Pass"</formula>
    </cfRule>
    <cfRule type="cellIs" dxfId="14" priority="16" stopIfTrue="1" operator="equal">
      <formula>"Fail"</formula>
    </cfRule>
  </conditionalFormatting>
  <conditionalFormatting sqref="J617:Q617">
    <cfRule type="cellIs" dxfId="13" priority="13" stopIfTrue="1" operator="equal">
      <formula>"Pass"</formula>
    </cfRule>
    <cfRule type="cellIs" dxfId="12" priority="14" stopIfTrue="1" operator="equal">
      <formula>"Fail"</formula>
    </cfRule>
  </conditionalFormatting>
  <conditionalFormatting sqref="J617:Q617">
    <cfRule type="cellIs" dxfId="11" priority="11" stopIfTrue="1" operator="equal">
      <formula>"Pass"</formula>
    </cfRule>
    <cfRule type="cellIs" dxfId="10" priority="12" stopIfTrue="1" operator="equal">
      <formula>"Fail"</formula>
    </cfRule>
  </conditionalFormatting>
  <conditionalFormatting sqref="J617:Q617">
    <cfRule type="cellIs" dxfId="9" priority="9" stopIfTrue="1" operator="equal">
      <formula>"Pass"</formula>
    </cfRule>
    <cfRule type="cellIs" dxfId="8" priority="10" stopIfTrue="1" operator="equal">
      <formula>"Fail"</formula>
    </cfRule>
  </conditionalFormatting>
  <conditionalFormatting sqref="J617:Q617">
    <cfRule type="cellIs" dxfId="7" priority="7" stopIfTrue="1" operator="equal">
      <formula>"Pass"</formula>
    </cfRule>
    <cfRule type="cellIs" dxfId="6" priority="8" stopIfTrue="1" operator="equal">
      <formula>"Fail"</formula>
    </cfRule>
  </conditionalFormatting>
  <conditionalFormatting sqref="J617:Q617">
    <cfRule type="cellIs" dxfId="5" priority="5" stopIfTrue="1" operator="equal">
      <formula>"Pass"</formula>
    </cfRule>
    <cfRule type="cellIs" dxfId="4" priority="6" stopIfTrue="1" operator="equal">
      <formula>"Fail"</formula>
    </cfRule>
  </conditionalFormatting>
  <conditionalFormatting sqref="J617:Q617">
    <cfRule type="cellIs" dxfId="3" priority="3" stopIfTrue="1" operator="equal">
      <formula>"Pass"</formula>
    </cfRule>
    <cfRule type="cellIs" dxfId="2" priority="4" stopIfTrue="1" operator="equal">
      <formula>"Fail"</formula>
    </cfRule>
  </conditionalFormatting>
  <conditionalFormatting sqref="J617:Q617">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
  <sheetViews>
    <sheetView workbookViewId="0"/>
  </sheetViews>
  <sheetFormatPr defaultRowHeight="15.6"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
  <sheetViews>
    <sheetView workbookViewId="0"/>
  </sheetViews>
  <sheetFormatPr defaultRowHeight="15.6"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
  <sheetViews>
    <sheetView workbookViewId="0"/>
  </sheetViews>
  <sheetFormatPr defaultRowHeight="15.6"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
  <sheetViews>
    <sheetView workbookViewId="0"/>
  </sheetViews>
  <sheetFormatPr defaultRowHeight="15.6"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heetViews>
  <sheetFormatPr defaultRowHeight="15.6"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
  <sheetViews>
    <sheetView workbookViewId="0">
      <selection activeCell="H14" sqref="H14"/>
    </sheetView>
  </sheetViews>
  <sheetFormatPr defaultRowHeight="15.6" x14ac:dyDescent="0.3"/>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5</xdr:col>
                    <xdr:colOff>0</xdr:colOff>
                    <xdr:row>5</xdr:row>
                    <xdr:rowOff>91440</xdr:rowOff>
                  </from>
                  <to>
                    <xdr:col>7</xdr:col>
                    <xdr:colOff>137160</xdr:colOff>
                    <xdr:row>9</xdr:row>
                    <xdr:rowOff>15240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X60"/>
  <sheetViews>
    <sheetView topLeftCell="M1" workbookViewId="0">
      <selection activeCell="S19" sqref="S19"/>
    </sheetView>
  </sheetViews>
  <sheetFormatPr defaultColWidth="8.69921875" defaultRowHeight="13.2" x14ac:dyDescent="0.25"/>
  <cols>
    <col min="1" max="16384" width="8.69921875" style="3"/>
  </cols>
  <sheetData>
    <row r="1" spans="1:23" ht="13.8" thickBot="1" x14ac:dyDescent="0.3">
      <c r="A1" s="3" t="s">
        <v>169</v>
      </c>
      <c r="B1" s="3" t="s">
        <v>185</v>
      </c>
      <c r="C1" s="3" t="s">
        <v>174</v>
      </c>
    </row>
    <row r="2" spans="1:23" ht="13.8" thickBot="1" x14ac:dyDescent="0.3">
      <c r="A2" s="92">
        <v>65.124325140466823</v>
      </c>
      <c r="B2" s="92">
        <v>473.05567169730455</v>
      </c>
      <c r="C2" s="92">
        <v>134.2175662041796</v>
      </c>
      <c r="D2" s="93">
        <v>3.6577805331680335</v>
      </c>
      <c r="E2" s="94">
        <v>10.861366195619416</v>
      </c>
      <c r="F2" s="94">
        <v>4.912789219425405</v>
      </c>
      <c r="G2" s="95">
        <v>331.81153846153842</v>
      </c>
      <c r="H2" s="95">
        <v>12.53719529177229</v>
      </c>
      <c r="I2" s="96"/>
      <c r="O2" s="3" t="s">
        <v>169</v>
      </c>
      <c r="P2" s="3" t="s">
        <v>250</v>
      </c>
      <c r="Q2" s="3" t="s">
        <v>251</v>
      </c>
      <c r="U2" s="3" t="s">
        <v>174</v>
      </c>
      <c r="V2" s="3" t="s">
        <v>250</v>
      </c>
      <c r="W2" s="3" t="s">
        <v>251</v>
      </c>
    </row>
    <row r="3" spans="1:23" ht="13.8" thickBot="1" x14ac:dyDescent="0.3">
      <c r="A3" s="92">
        <v>64.562804500753174</v>
      </c>
      <c r="B3" s="92">
        <v>502.11279069050846</v>
      </c>
      <c r="C3" s="92">
        <v>105.76040615989696</v>
      </c>
      <c r="D3" s="93">
        <v>3.7678642797094959</v>
      </c>
      <c r="E3" s="94">
        <v>11.340397232226804</v>
      </c>
      <c r="F3" s="94">
        <v>3.9426747005305178</v>
      </c>
      <c r="G3" s="95">
        <v>310.42461538461538</v>
      </c>
      <c r="H3" s="95">
        <v>12.692289672190032</v>
      </c>
      <c r="I3" s="96" t="s">
        <v>169</v>
      </c>
      <c r="J3" s="3">
        <v>2180</v>
      </c>
      <c r="K3" s="3">
        <v>31</v>
      </c>
      <c r="L3" s="3">
        <f t="shared" ref="L3:L10" si="0">3*K3</f>
        <v>93</v>
      </c>
      <c r="M3" s="97"/>
      <c r="O3" s="30">
        <v>2047.6299999999999</v>
      </c>
      <c r="P3" s="30">
        <v>2.4397783224039937</v>
      </c>
      <c r="Q3" s="97">
        <v>40.328790894360729</v>
      </c>
      <c r="U3" s="30">
        <v>3851.5244444444447</v>
      </c>
      <c r="V3" s="30">
        <v>5.2792406906484075</v>
      </c>
      <c r="W3" s="97">
        <v>140.58901478343296</v>
      </c>
    </row>
    <row r="4" spans="1:23" ht="13.8" thickBot="1" x14ac:dyDescent="0.3">
      <c r="A4" s="92">
        <v>64.604798002955761</v>
      </c>
      <c r="B4" s="92">
        <v>521.3694655184604</v>
      </c>
      <c r="C4" s="92">
        <v>100.64982585399875</v>
      </c>
      <c r="D4" s="93">
        <v>3.6558190235051384</v>
      </c>
      <c r="E4" s="94">
        <v>12.907756592576957</v>
      </c>
      <c r="F4" s="94">
        <v>4.003793847841</v>
      </c>
      <c r="G4" s="95">
        <v>334.57230769230767</v>
      </c>
      <c r="H4" s="95">
        <v>12.471148402456176</v>
      </c>
      <c r="I4" s="96" t="s">
        <v>185</v>
      </c>
      <c r="J4" s="3">
        <v>4217</v>
      </c>
      <c r="K4" s="3">
        <v>340</v>
      </c>
      <c r="L4" s="3">
        <f t="shared" si="0"/>
        <v>1020</v>
      </c>
      <c r="M4" s="97"/>
      <c r="O4" s="30">
        <v>2040.6866666666667</v>
      </c>
      <c r="P4" s="30">
        <v>1.9610451025595359</v>
      </c>
      <c r="Q4" s="97">
        <v>32.241562074427144</v>
      </c>
      <c r="U4" s="30">
        <v>3947.55111111111</v>
      </c>
      <c r="V4" s="30">
        <v>5.1230474926513754</v>
      </c>
      <c r="W4" s="97">
        <v>141.24001136760333</v>
      </c>
    </row>
    <row r="5" spans="1:23" ht="13.8" thickBot="1" x14ac:dyDescent="0.3">
      <c r="A5" s="92">
        <v>17.648089840017931</v>
      </c>
      <c r="B5" s="92">
        <v>248.17789939878878</v>
      </c>
      <c r="C5" s="92">
        <v>103.78706186761843</v>
      </c>
      <c r="D5" s="93">
        <v>1.4076712406521716</v>
      </c>
      <c r="E5" s="94">
        <v>8.3410305719173135</v>
      </c>
      <c r="F5" s="94">
        <v>3.9731289277766693</v>
      </c>
      <c r="G5" s="95">
        <v>334.14846153846156</v>
      </c>
      <c r="H5" s="95">
        <v>10.111568854549947</v>
      </c>
      <c r="I5" s="96" t="s">
        <v>174</v>
      </c>
      <c r="J5" s="98">
        <v>4130</v>
      </c>
      <c r="K5" s="3">
        <v>110</v>
      </c>
      <c r="L5" s="3">
        <f t="shared" si="0"/>
        <v>330</v>
      </c>
      <c r="M5" s="97"/>
      <c r="O5" s="30">
        <v>2028.9833333333331</v>
      </c>
      <c r="P5" s="30">
        <v>2.7306371983230502</v>
      </c>
      <c r="Q5" s="97">
        <v>36.246368783647235</v>
      </c>
      <c r="U5" s="30">
        <v>3874.5177777777781</v>
      </c>
      <c r="V5" s="30">
        <v>4.9772227002317067</v>
      </c>
      <c r="W5" s="97">
        <v>133.59998893877668</v>
      </c>
    </row>
    <row r="6" spans="1:23" ht="13.8" thickBot="1" x14ac:dyDescent="0.3">
      <c r="A6" s="92">
        <v>22.305283006503181</v>
      </c>
      <c r="B6" s="92">
        <v>234.82426977422764</v>
      </c>
      <c r="C6" s="92">
        <v>106.44290582280983</v>
      </c>
      <c r="D6" s="93">
        <v>1.5962855253521302</v>
      </c>
      <c r="E6" s="94">
        <v>6.5179512958420682</v>
      </c>
      <c r="F6" s="94">
        <v>4.2015771619461075</v>
      </c>
      <c r="G6" s="95">
        <v>337.64923076923066</v>
      </c>
      <c r="H6" s="95">
        <v>12.55352045670791</v>
      </c>
      <c r="I6" s="96" t="s">
        <v>169</v>
      </c>
      <c r="J6" s="98">
        <v>1.98</v>
      </c>
      <c r="K6" s="3">
        <v>1.1399999999999999</v>
      </c>
      <c r="L6" s="3">
        <f t="shared" si="0"/>
        <v>3.42</v>
      </c>
      <c r="M6" s="97"/>
      <c r="O6" s="30">
        <v>2059.8733333333339</v>
      </c>
      <c r="P6" s="30">
        <v>2.3256155070369875</v>
      </c>
      <c r="Q6" s="97">
        <v>36.249107230367173</v>
      </c>
      <c r="U6" s="30">
        <v>3885.6688888888893</v>
      </c>
      <c r="V6" s="30">
        <v>5.1641956126721711</v>
      </c>
      <c r="W6" s="97">
        <v>139.20245978828251</v>
      </c>
    </row>
    <row r="7" spans="1:23" ht="13.8" thickBot="1" x14ac:dyDescent="0.3">
      <c r="A7" s="92">
        <v>27.007573937692001</v>
      </c>
      <c r="B7" s="92">
        <v>218.32015115422166</v>
      </c>
      <c r="C7" s="92">
        <v>106.86136345751814</v>
      </c>
      <c r="D7" s="93">
        <v>1.9321156173482446</v>
      </c>
      <c r="E7" s="94">
        <v>7.6093750000001137</v>
      </c>
      <c r="F7" s="94">
        <v>3.9727043320124533</v>
      </c>
      <c r="G7" s="95">
        <v>335.56000000000006</v>
      </c>
      <c r="H7" s="95">
        <v>13.321654128696943</v>
      </c>
      <c r="I7" s="96" t="s">
        <v>185</v>
      </c>
      <c r="J7" s="98">
        <v>9.25</v>
      </c>
      <c r="K7" s="98">
        <v>2.35</v>
      </c>
      <c r="L7" s="3">
        <f t="shared" si="0"/>
        <v>7.0500000000000007</v>
      </c>
      <c r="M7" s="97"/>
      <c r="O7" s="30">
        <v>2004.613333333333</v>
      </c>
      <c r="P7" s="30">
        <v>4.3874704187868101</v>
      </c>
      <c r="Q7" s="97">
        <v>66.903328018874035</v>
      </c>
      <c r="U7" s="30">
        <v>3899.6911111111112</v>
      </c>
      <c r="V7" s="30">
        <v>3.5976087018704535</v>
      </c>
      <c r="W7" s="97">
        <v>95.920916963458993</v>
      </c>
    </row>
    <row r="8" spans="1:23" ht="13.8" thickBot="1" x14ac:dyDescent="0.3">
      <c r="A8" s="92">
        <v>32.152091300607289</v>
      </c>
      <c r="B8" s="92">
        <v>296.86626117663872</v>
      </c>
      <c r="C8" s="92">
        <v>107.87287286434031</v>
      </c>
      <c r="D8" s="93">
        <v>2.0566267896505286</v>
      </c>
      <c r="E8" s="93">
        <v>9.4671637085256108</v>
      </c>
      <c r="F8" s="94">
        <v>4.0159363330752331</v>
      </c>
      <c r="G8" s="95">
        <v>332.49000000000007</v>
      </c>
      <c r="H8" s="95">
        <v>10.765262756821716</v>
      </c>
      <c r="I8" s="96" t="s">
        <v>174</v>
      </c>
      <c r="J8" s="99">
        <v>4.2</v>
      </c>
      <c r="K8" s="100">
        <v>0.54</v>
      </c>
      <c r="L8" s="3">
        <f t="shared" si="0"/>
        <v>1.62</v>
      </c>
      <c r="M8" s="97"/>
      <c r="O8" s="30">
        <v>2060.8200000000002</v>
      </c>
      <c r="P8" s="30">
        <v>2.5543923265879087</v>
      </c>
      <c r="Q8" s="97">
        <v>36.478384010251936</v>
      </c>
      <c r="U8" s="30">
        <v>3922.9777777777781</v>
      </c>
      <c r="V8" s="30">
        <v>3.463566603774062</v>
      </c>
      <c r="W8" s="97">
        <v>88.50584130125462</v>
      </c>
    </row>
    <row r="9" spans="1:23" ht="13.8" thickBot="1" x14ac:dyDescent="0.3">
      <c r="A9" s="92">
        <v>12.517561663505051</v>
      </c>
      <c r="B9" s="92">
        <v>288.68597982929771</v>
      </c>
      <c r="C9" s="92">
        <v>102.75732598919716</v>
      </c>
      <c r="D9" s="93">
        <v>0.75786733472821222</v>
      </c>
      <c r="E9" s="94">
        <v>9.5578473654603631</v>
      </c>
      <c r="F9" s="94">
        <v>3.8125399528617279</v>
      </c>
      <c r="G9" s="95">
        <v>335.16615384615386</v>
      </c>
      <c r="H9" s="95">
        <v>11.239235148153547</v>
      </c>
      <c r="I9" s="98" t="s">
        <v>231</v>
      </c>
      <c r="J9" s="98">
        <v>336</v>
      </c>
      <c r="K9" s="98">
        <v>4.7</v>
      </c>
      <c r="L9" s="3">
        <f t="shared" si="0"/>
        <v>14.100000000000001</v>
      </c>
      <c r="M9" s="97"/>
      <c r="O9" s="49">
        <v>2071.1499999999996</v>
      </c>
      <c r="P9" s="49">
        <v>3.0471400163761837</v>
      </c>
      <c r="Q9" s="97">
        <v>42.909088198186332</v>
      </c>
      <c r="U9" s="36">
        <v>3924.0177777777781</v>
      </c>
      <c r="V9" s="36">
        <v>3.5583555880927813</v>
      </c>
      <c r="W9" s="97">
        <v>90.582037095876544</v>
      </c>
    </row>
    <row r="10" spans="1:23" ht="13.8" thickBot="1" x14ac:dyDescent="0.3">
      <c r="A10" s="92">
        <v>18.657092485168228</v>
      </c>
      <c r="B10" s="92">
        <v>291.40164631482935</v>
      </c>
      <c r="C10" s="92">
        <v>102.06850629740212</v>
      </c>
      <c r="D10" s="93">
        <v>1.3570496531831546</v>
      </c>
      <c r="E10" s="94">
        <v>8.8656295914812073</v>
      </c>
      <c r="F10" s="94">
        <v>3.8356445613228893</v>
      </c>
      <c r="G10" s="95">
        <v>332.61846153846153</v>
      </c>
      <c r="H10" s="95">
        <v>10.47635865966183</v>
      </c>
      <c r="I10" s="98" t="s">
        <v>252</v>
      </c>
      <c r="J10" s="98">
        <v>11</v>
      </c>
      <c r="K10" s="98">
        <v>1</v>
      </c>
      <c r="L10" s="3">
        <f t="shared" si="0"/>
        <v>3</v>
      </c>
      <c r="M10" s="97"/>
      <c r="O10" s="49">
        <v>2045.5599999999997</v>
      </c>
      <c r="P10" s="49">
        <v>3.0877978949866938</v>
      </c>
      <c r="Q10" s="97">
        <v>45.885627651826688</v>
      </c>
      <c r="U10" s="36">
        <v>3935.1111111111113</v>
      </c>
      <c r="V10" s="36">
        <v>2.9973325665638999</v>
      </c>
      <c r="W10" s="97">
        <v>79.59277675211581</v>
      </c>
    </row>
    <row r="11" spans="1:23" ht="13.8" thickBot="1" x14ac:dyDescent="0.3">
      <c r="A11" s="92">
        <v>25.448670397517247</v>
      </c>
      <c r="B11" s="92">
        <v>340.48985436427375</v>
      </c>
      <c r="C11" s="92">
        <v>101.85507111139847</v>
      </c>
      <c r="D11" s="93">
        <v>1.5039536926972903</v>
      </c>
      <c r="E11" s="94">
        <v>10.229383195385651</v>
      </c>
      <c r="F11" s="94">
        <v>3.7567476630045187</v>
      </c>
      <c r="G11" s="95">
        <v>334.51769230769236</v>
      </c>
      <c r="H11" s="95">
        <v>10.85627801385418</v>
      </c>
      <c r="I11" s="96"/>
      <c r="M11" s="97"/>
      <c r="O11" s="49">
        <v>2044.7266666666667</v>
      </c>
      <c r="P11" s="49">
        <v>1.8957763865620338</v>
      </c>
      <c r="Q11" s="97">
        <v>24.436091647395834</v>
      </c>
      <c r="U11" s="36">
        <v>3965.235555555555</v>
      </c>
      <c r="V11" s="36">
        <v>2.8072970888514992</v>
      </c>
      <c r="W11" s="97">
        <v>77.178004494650125</v>
      </c>
    </row>
    <row r="12" spans="1:23" ht="13.8" thickBot="1" x14ac:dyDescent="0.3">
      <c r="A12" s="92">
        <v>26.311306029917645</v>
      </c>
      <c r="B12" s="92">
        <v>297.09436144093905</v>
      </c>
      <c r="C12" s="92">
        <v>108.64676249202742</v>
      </c>
      <c r="D12" s="93">
        <v>1.602506342099054</v>
      </c>
      <c r="E12" s="94">
        <v>8.3374967155540443</v>
      </c>
      <c r="F12" s="94">
        <v>4.1760177966769216</v>
      </c>
      <c r="G12" s="95"/>
      <c r="H12" s="95"/>
      <c r="I12" s="96"/>
      <c r="M12" s="97"/>
      <c r="O12" s="49">
        <v>2054.7133333333336</v>
      </c>
      <c r="P12" s="49">
        <v>2.9861326480882422</v>
      </c>
      <c r="Q12" s="97">
        <v>42.08046785621427</v>
      </c>
      <c r="U12" s="36">
        <v>3967.1866666666665</v>
      </c>
      <c r="V12" s="36">
        <v>3.1776491665328752</v>
      </c>
      <c r="W12" s="97">
        <v>85.634675219780988</v>
      </c>
    </row>
    <row r="13" spans="1:23" ht="13.8" thickBot="1" x14ac:dyDescent="0.3">
      <c r="A13" s="92">
        <v>14.399644092858111</v>
      </c>
      <c r="B13" s="92">
        <v>290.89981810754517</v>
      </c>
      <c r="C13" s="92">
        <v>111.22863140598204</v>
      </c>
      <c r="D13" s="93">
        <v>1.0521783216540233</v>
      </c>
      <c r="E13" s="94">
        <v>8.8722106068428435</v>
      </c>
      <c r="F13" s="94">
        <v>4.2982854477840835</v>
      </c>
      <c r="G13" s="95">
        <v>341.65461538461545</v>
      </c>
      <c r="H13" s="95">
        <v>10.459835574830985</v>
      </c>
      <c r="I13" s="96"/>
      <c r="M13" s="97"/>
      <c r="O13" s="49">
        <v>2044.2533333333336</v>
      </c>
      <c r="P13" s="49">
        <v>3.1679335948135683</v>
      </c>
      <c r="Q13" s="97">
        <v>40.00389980988087</v>
      </c>
      <c r="U13" s="36">
        <v>3916.2222222222213</v>
      </c>
      <c r="V13" s="36">
        <v>3.1961985292789175</v>
      </c>
      <c r="W13" s="97">
        <v>84.877912583004047</v>
      </c>
    </row>
    <row r="14" spans="1:23" ht="13.8" thickBot="1" x14ac:dyDescent="0.3">
      <c r="A14" s="92">
        <v>24.530747033083692</v>
      </c>
      <c r="B14" s="92">
        <v>291.24542296832266</v>
      </c>
      <c r="C14" s="92">
        <v>104.49729730690068</v>
      </c>
      <c r="D14" s="93">
        <v>1.3983426532906011</v>
      </c>
      <c r="E14" s="94">
        <v>7.3774708178206083</v>
      </c>
      <c r="F14" s="94">
        <v>3.9261991531775395</v>
      </c>
      <c r="G14" s="95">
        <v>337.57230769230773</v>
      </c>
      <c r="H14" s="95">
        <v>9.9368145834846811</v>
      </c>
      <c r="I14" s="96"/>
      <c r="M14" s="97"/>
      <c r="O14" s="49">
        <v>2054.4366666666665</v>
      </c>
      <c r="P14" s="49">
        <v>2.1388307530755264</v>
      </c>
      <c r="Q14" s="97">
        <v>31.845189982157578</v>
      </c>
      <c r="U14" s="36">
        <v>3880.9977777777781</v>
      </c>
      <c r="V14" s="36">
        <v>3.2260749464835121</v>
      </c>
      <c r="W14" s="97">
        <v>82.787649709597886</v>
      </c>
    </row>
    <row r="15" spans="1:23" ht="13.8" thickBot="1" x14ac:dyDescent="0.3">
      <c r="A15" s="92">
        <v>30.183924943570815</v>
      </c>
      <c r="B15" s="92">
        <v>267.27688199692437</v>
      </c>
      <c r="C15" s="92">
        <v>98.297159561087327</v>
      </c>
      <c r="D15" s="93">
        <v>2.082137596725016</v>
      </c>
      <c r="E15" s="94">
        <v>8.6831890543352461</v>
      </c>
      <c r="F15" s="94">
        <v>3.7206413178514786</v>
      </c>
      <c r="G15" s="95">
        <v>335.16999999999996</v>
      </c>
      <c r="H15" s="95">
        <v>10.973325395327254</v>
      </c>
      <c r="I15" s="96"/>
      <c r="M15" s="97"/>
      <c r="O15" s="49"/>
      <c r="P15" s="49"/>
      <c r="Q15" s="97">
        <v>138.47375617784508</v>
      </c>
      <c r="U15" s="36">
        <v>3988.1622222222222</v>
      </c>
      <c r="V15" s="36">
        <v>3.3962742364719412</v>
      </c>
      <c r="W15" s="97">
        <v>88.395009160240718</v>
      </c>
    </row>
    <row r="16" spans="1:23" ht="13.8" thickBot="1" x14ac:dyDescent="0.3">
      <c r="A16" s="92">
        <v>42.643459639204295</v>
      </c>
      <c r="B16" s="92">
        <v>270.01239767832624</v>
      </c>
      <c r="C16" s="92">
        <v>102.93697899411961</v>
      </c>
      <c r="D16" s="93">
        <v>2.4113023833009941</v>
      </c>
      <c r="E16" s="94">
        <v>7.3928544116414683</v>
      </c>
      <c r="F16" s="94">
        <v>3.9346896386179693</v>
      </c>
      <c r="G16" s="95">
        <v>335.6307692307692</v>
      </c>
      <c r="H16" s="95">
        <v>11.312741872363826</v>
      </c>
      <c r="I16" s="96"/>
      <c r="M16" s="97"/>
      <c r="O16" s="49">
        <v>2140.1733333333341</v>
      </c>
      <c r="P16" s="49">
        <v>2.4920163438341132</v>
      </c>
      <c r="Q16" s="97">
        <v>39.538968436185883</v>
      </c>
      <c r="U16" s="36">
        <v>3951.6644444444441</v>
      </c>
      <c r="V16" s="36">
        <v>3.1976402386344334</v>
      </c>
      <c r="W16" s="97">
        <v>83.904864446492368</v>
      </c>
    </row>
    <row r="17" spans="1:23" ht="13.8" thickBot="1" x14ac:dyDescent="0.3">
      <c r="A17" s="92">
        <v>35.197224677494788</v>
      </c>
      <c r="B17" s="92">
        <v>356.09118042292744</v>
      </c>
      <c r="C17" s="92">
        <v>104.11226414040644</v>
      </c>
      <c r="D17" s="93">
        <v>2.0822026970398682</v>
      </c>
      <c r="E17" s="94">
        <v>10.784838467054882</v>
      </c>
      <c r="F17" s="94">
        <v>3.9871198533855829</v>
      </c>
      <c r="G17" s="95">
        <v>336.93769230769226</v>
      </c>
      <c r="H17" s="95">
        <v>9.7715938994780895</v>
      </c>
      <c r="I17" s="96"/>
      <c r="M17" s="97"/>
      <c r="O17" s="49">
        <v>2059.5233333333326</v>
      </c>
      <c r="P17" s="49">
        <v>3.2720092538699008</v>
      </c>
      <c r="Q17" s="97">
        <v>44.640410224389456</v>
      </c>
      <c r="U17" s="36">
        <v>3954.4000000000005</v>
      </c>
      <c r="V17" s="36">
        <v>3.1509935231140194</v>
      </c>
      <c r="W17" s="97">
        <v>87.898112607709294</v>
      </c>
    </row>
    <row r="18" spans="1:23" ht="13.8" thickBot="1" x14ac:dyDescent="0.3">
      <c r="A18" s="92">
        <v>24.019117385940675</v>
      </c>
      <c r="B18" s="92">
        <v>355.06606103653752</v>
      </c>
      <c r="C18" s="92">
        <v>101.51355645650712</v>
      </c>
      <c r="D18" s="93">
        <v>1.6727363363197141</v>
      </c>
      <c r="E18" s="94">
        <v>9.8100608853387232</v>
      </c>
      <c r="F18" s="94">
        <v>3.874190130702059</v>
      </c>
      <c r="G18" s="95">
        <v>336.1023076923077</v>
      </c>
      <c r="H18" s="95">
        <v>10.657774290571451</v>
      </c>
      <c r="I18" s="96"/>
      <c r="M18" s="97"/>
      <c r="O18" s="49">
        <v>2164.8033333333328</v>
      </c>
      <c r="P18" s="49">
        <v>1.5153198699963792</v>
      </c>
      <c r="Q18" s="97">
        <v>23.040763876280888</v>
      </c>
      <c r="U18" s="36">
        <v>3917.0911111111118</v>
      </c>
      <c r="V18" s="36">
        <v>3.0036165152476628</v>
      </c>
      <c r="W18" s="97">
        <v>82.911870749037334</v>
      </c>
    </row>
    <row r="19" spans="1:23" ht="13.8" thickBot="1" x14ac:dyDescent="0.3">
      <c r="A19" s="92">
        <v>22.352184456981504</v>
      </c>
      <c r="B19" s="92">
        <v>327.63232456520421</v>
      </c>
      <c r="C19" s="92">
        <v>102.93436117797455</v>
      </c>
      <c r="D19" s="93">
        <v>1.6228641059015689</v>
      </c>
      <c r="E19" s="94">
        <v>9.6825951194547102</v>
      </c>
      <c r="F19" s="94">
        <v>3.8595871595636058</v>
      </c>
      <c r="G19" s="95">
        <v>334.81538461538463</v>
      </c>
      <c r="H19" s="95">
        <v>10.678962066558141</v>
      </c>
      <c r="I19" s="96"/>
      <c r="M19" s="97"/>
      <c r="O19" s="49">
        <v>2046.7799999999997</v>
      </c>
      <c r="P19" s="49">
        <v>2.7404217732140896</v>
      </c>
      <c r="Q19" s="97">
        <v>43.927865586679133</v>
      </c>
      <c r="U19" s="36">
        <v>3953.8844444444444</v>
      </c>
      <c r="V19" s="36">
        <v>3.4413995689622263</v>
      </c>
      <c r="W19" s="97">
        <v>90.811766185773052</v>
      </c>
    </row>
    <row r="20" spans="1:23" ht="13.8" thickBot="1" x14ac:dyDescent="0.3">
      <c r="A20" s="101">
        <v>30.063995908740431</v>
      </c>
      <c r="B20" s="92">
        <v>384.06966012040238</v>
      </c>
      <c r="C20" s="101">
        <v>104.36015720141401</v>
      </c>
      <c r="D20" s="93">
        <v>2.0110399156750156</v>
      </c>
      <c r="E20" s="93">
        <v>11.156042175679753</v>
      </c>
      <c r="F20" s="94">
        <v>4.0500171964820835</v>
      </c>
      <c r="G20" s="95">
        <v>336.42846153846153</v>
      </c>
      <c r="H20" s="95">
        <v>10.832257409368456</v>
      </c>
      <c r="I20" s="96"/>
      <c r="M20" s="97"/>
      <c r="O20" s="49">
        <v>2048.6566666666672</v>
      </c>
      <c r="P20" s="49">
        <v>3.11592113725575</v>
      </c>
      <c r="Q20" s="97">
        <v>45.486933288568189</v>
      </c>
      <c r="U20" s="36">
        <v>3968.9244444444444</v>
      </c>
      <c r="V20" s="36">
        <v>3.9869475237178</v>
      </c>
      <c r="W20" s="97">
        <v>101.97547537412608</v>
      </c>
    </row>
    <row r="21" spans="1:23" ht="13.8" thickBot="1" x14ac:dyDescent="0.3">
      <c r="A21" s="101">
        <v>25.385064998934123</v>
      </c>
      <c r="B21" s="92">
        <v>339.99601074864808</v>
      </c>
      <c r="C21" s="101">
        <v>105.72146234326225</v>
      </c>
      <c r="D21" s="93">
        <v>1.54415962349797</v>
      </c>
      <c r="E21" s="93" t="s">
        <v>253</v>
      </c>
      <c r="F21" s="94">
        <v>4.1176499676106548</v>
      </c>
      <c r="G21" s="95">
        <v>334.76923076923072</v>
      </c>
      <c r="H21" s="95">
        <v>10.92050939117286</v>
      </c>
      <c r="I21" s="96"/>
      <c r="M21" s="97"/>
      <c r="O21" s="49">
        <v>2063.41</v>
      </c>
      <c r="P21" s="49">
        <v>3.1801860676863503</v>
      </c>
      <c r="Q21" s="97">
        <v>44.626194941999813</v>
      </c>
      <c r="U21" s="36">
        <v>3869.6244444444446</v>
      </c>
      <c r="V21" s="36">
        <v>3.8032070314649697</v>
      </c>
      <c r="W21" s="97">
        <v>97.870439243811632</v>
      </c>
    </row>
    <row r="22" spans="1:23" ht="13.8" thickBot="1" x14ac:dyDescent="0.3">
      <c r="A22" s="101">
        <v>25.570723005002169</v>
      </c>
      <c r="B22" s="101">
        <v>344.77890480713012</v>
      </c>
      <c r="C22" s="101">
        <v>101.84933927674557</v>
      </c>
      <c r="D22" s="93">
        <v>1.6310000970833376</v>
      </c>
      <c r="E22" s="94">
        <v>10.150425477318182</v>
      </c>
      <c r="F22" s="94">
        <v>3.9315816793138496</v>
      </c>
      <c r="G22" s="95">
        <v>335.43307692307684</v>
      </c>
      <c r="H22" s="95">
        <v>11.57215441219409</v>
      </c>
      <c r="I22" s="96"/>
      <c r="M22" s="97"/>
      <c r="O22" s="49">
        <v>2037.2699999999995</v>
      </c>
      <c r="P22" s="49">
        <v>2.6288430120303055</v>
      </c>
      <c r="Q22" s="97">
        <v>40.111755758141065</v>
      </c>
      <c r="U22" s="36">
        <v>3920.815555555555</v>
      </c>
      <c r="V22" s="36">
        <v>2.5120673718804536</v>
      </c>
      <c r="W22" s="97">
        <v>75.042685038478197</v>
      </c>
    </row>
    <row r="23" spans="1:23" ht="13.8" thickBot="1" x14ac:dyDescent="0.3">
      <c r="A23" s="101">
        <v>43.414681272581007</v>
      </c>
      <c r="B23" s="101">
        <v>379.65336772507806</v>
      </c>
      <c r="C23" s="101">
        <v>95.866843996131252</v>
      </c>
      <c r="D23" s="93">
        <v>2.8576148001321533</v>
      </c>
      <c r="E23" s="94">
        <v>9.4140023045633647</v>
      </c>
      <c r="F23" s="94">
        <v>3.5251487633777354</v>
      </c>
      <c r="G23" s="95">
        <v>336.02538461538467</v>
      </c>
      <c r="H23" s="95">
        <v>10.456562354040145</v>
      </c>
      <c r="I23" s="96"/>
      <c r="M23" s="97"/>
      <c r="O23" s="49">
        <v>2053.8666666666668</v>
      </c>
      <c r="P23" s="49">
        <v>2.3034632798259538</v>
      </c>
      <c r="Q23" s="97">
        <v>35.908354529257942</v>
      </c>
      <c r="U23" s="36">
        <v>3944.3088888888888</v>
      </c>
      <c r="V23" s="36">
        <v>3.1482468184519448</v>
      </c>
      <c r="W23" s="97">
        <v>85.209581686037936</v>
      </c>
    </row>
    <row r="24" spans="1:23" ht="13.8" thickBot="1" x14ac:dyDescent="0.3">
      <c r="A24" s="101">
        <v>35.039591535815987</v>
      </c>
      <c r="B24" s="101">
        <v>415.4205872967745</v>
      </c>
      <c r="C24" s="101">
        <v>96.501024749904261</v>
      </c>
      <c r="D24" s="93">
        <v>2.4783164492584366</v>
      </c>
      <c r="E24" s="94">
        <v>9.7366409514732943</v>
      </c>
      <c r="F24" s="94">
        <v>3.5499982911574524</v>
      </c>
      <c r="G24" s="95">
        <v>339.28923076923081</v>
      </c>
      <c r="H24" s="95">
        <v>11.11813013265945</v>
      </c>
      <c r="I24" s="96"/>
      <c r="M24" s="97"/>
      <c r="O24" s="49">
        <v>2041.9366666666663</v>
      </c>
      <c r="P24" s="49">
        <v>2.552796644768593</v>
      </c>
      <c r="Q24" s="97">
        <v>37.764742816552022</v>
      </c>
      <c r="U24" s="36">
        <v>3960.3511111111115</v>
      </c>
      <c r="V24" s="36">
        <v>3.8274929857002946</v>
      </c>
      <c r="W24" s="97">
        <v>99.947547299123073</v>
      </c>
    </row>
    <row r="25" spans="1:23" ht="13.8" thickBot="1" x14ac:dyDescent="0.3">
      <c r="A25" s="101">
        <v>27.194886008196804</v>
      </c>
      <c r="B25" s="101">
        <v>386.62913774053709</v>
      </c>
      <c r="C25" s="101">
        <v>102.22933825473098</v>
      </c>
      <c r="D25" s="93">
        <v>1.7002187577880818</v>
      </c>
      <c r="E25" s="94">
        <v>10.741442732937587</v>
      </c>
      <c r="F25" s="94">
        <v>3.8066480030318122</v>
      </c>
      <c r="G25" s="95">
        <v>347.54076923076923</v>
      </c>
      <c r="H25" s="95">
        <v>11.502041159883813</v>
      </c>
      <c r="I25" s="96"/>
      <c r="M25" s="97"/>
      <c r="O25" s="49">
        <v>2053.0633333333335</v>
      </c>
      <c r="P25" s="49">
        <v>3.8363133421831264</v>
      </c>
      <c r="Q25" s="97">
        <v>58.121829806001877</v>
      </c>
      <c r="U25" s="36">
        <v>3895.7488888888888</v>
      </c>
      <c r="V25" s="36">
        <v>3.5733788218407265</v>
      </c>
      <c r="W25" s="97">
        <v>90.483122244494638</v>
      </c>
    </row>
    <row r="26" spans="1:23" ht="13.8" thickBot="1" x14ac:dyDescent="0.3">
      <c r="A26" s="101">
        <v>23.908030554590585</v>
      </c>
      <c r="B26" s="101">
        <v>352.53345958220513</v>
      </c>
      <c r="C26" s="101">
        <v>118.43576191338309</v>
      </c>
      <c r="D26" s="93">
        <v>1.736575676905898</v>
      </c>
      <c r="E26" s="94">
        <v>9.220171275345578</v>
      </c>
      <c r="F26" s="94">
        <v>4.4999208892053417</v>
      </c>
      <c r="G26" s="95">
        <v>337.74230769230769</v>
      </c>
      <c r="H26" s="95">
        <v>10.772210818468293</v>
      </c>
      <c r="I26" s="96"/>
      <c r="M26" s="97"/>
      <c r="O26" s="49">
        <v>2042.5833333333333</v>
      </c>
      <c r="P26" s="49">
        <v>3.4445116464323209</v>
      </c>
      <c r="Q26" s="97">
        <v>50.785304961174951</v>
      </c>
      <c r="U26" s="36">
        <v>3954.7866666666669</v>
      </c>
      <c r="V26" s="36">
        <v>3.6041620771449336</v>
      </c>
      <c r="W26" s="97">
        <v>96.48851019677447</v>
      </c>
    </row>
    <row r="27" spans="1:23" ht="13.8" thickBot="1" x14ac:dyDescent="0.3">
      <c r="A27" s="101">
        <v>22.787432940126319</v>
      </c>
      <c r="B27" s="101">
        <v>368.62381986925112</v>
      </c>
      <c r="C27" s="101">
        <v>118.87658478905364</v>
      </c>
      <c r="D27" s="93">
        <v>1.5705791553897415</v>
      </c>
      <c r="E27" s="94">
        <v>9.4492722026728284</v>
      </c>
      <c r="F27" s="94">
        <v>4.3731734581856765</v>
      </c>
      <c r="G27" s="95">
        <v>337.70538461538456</v>
      </c>
      <c r="H27" s="95">
        <v>11.641002068489934</v>
      </c>
      <c r="I27" s="96"/>
      <c r="M27" s="97"/>
      <c r="O27" s="49">
        <v>2068.9433333333341</v>
      </c>
      <c r="P27" s="49">
        <v>3.1484652878408634</v>
      </c>
      <c r="Q27" s="97">
        <v>48.1100319579866</v>
      </c>
      <c r="U27" s="36">
        <v>3944.8333333333339</v>
      </c>
      <c r="V27" s="36">
        <v>2.2530708653400726</v>
      </c>
      <c r="W27" s="97">
        <v>64.388099832123117</v>
      </c>
    </row>
    <row r="28" spans="1:23" ht="13.8" thickBot="1" x14ac:dyDescent="0.3">
      <c r="A28" s="101">
        <v>41.549285192398216</v>
      </c>
      <c r="B28" s="101">
        <v>346.20018504473614</v>
      </c>
      <c r="C28" s="101">
        <v>126.89690097782081</v>
      </c>
      <c r="D28" s="93">
        <v>2.5563928613935154</v>
      </c>
      <c r="E28" s="94">
        <v>10.798642939530984</v>
      </c>
      <c r="F28" s="94">
        <v>4.838342469283428</v>
      </c>
      <c r="G28" s="95">
        <v>335.65000000000003</v>
      </c>
      <c r="H28" s="95">
        <v>10.874423194126022</v>
      </c>
      <c r="I28" s="96"/>
      <c r="M28" s="97"/>
      <c r="O28" s="49">
        <v>2085.2366666666667</v>
      </c>
      <c r="P28" s="49">
        <v>1.6351565882522623</v>
      </c>
      <c r="Q28" s="97">
        <v>20.305603906329274</v>
      </c>
      <c r="U28" s="36">
        <v>3903.2488888888888</v>
      </c>
      <c r="V28" s="36">
        <v>3.4454953127113686</v>
      </c>
      <c r="W28" s="97">
        <v>86.466291762231151</v>
      </c>
    </row>
    <row r="29" spans="1:23" ht="13.8" thickBot="1" x14ac:dyDescent="0.3">
      <c r="A29" s="101">
        <v>26.221024484192419</v>
      </c>
      <c r="B29" s="101">
        <v>331.0095434047193</v>
      </c>
      <c r="C29" s="101">
        <v>119.42590831879222</v>
      </c>
      <c r="D29" s="93">
        <v>1.7414735333236946</v>
      </c>
      <c r="E29" s="94">
        <v>9.1405817174515196</v>
      </c>
      <c r="F29" s="94">
        <v>4.3985608565813168</v>
      </c>
      <c r="G29" s="95">
        <v>337.29076923076923</v>
      </c>
      <c r="H29" s="95">
        <v>13.552022657265091</v>
      </c>
      <c r="I29" s="96"/>
      <c r="M29" s="97"/>
      <c r="O29" s="49">
        <v>2095.6566666666663</v>
      </c>
      <c r="P29" s="49">
        <v>1.3158367012914352</v>
      </c>
      <c r="Q29" s="97">
        <v>16.415351808641393</v>
      </c>
      <c r="U29" s="36">
        <v>3955.7644444444441</v>
      </c>
      <c r="V29" s="36">
        <v>3.6695788679864649</v>
      </c>
      <c r="W29" s="97">
        <v>91.969765563363254</v>
      </c>
    </row>
    <row r="30" spans="1:23" ht="13.8" thickBot="1" x14ac:dyDescent="0.3">
      <c r="A30" s="101">
        <v>39.135786053174257</v>
      </c>
      <c r="B30" s="101">
        <v>361.49488319338531</v>
      </c>
      <c r="C30" s="101">
        <v>106.47251638074819</v>
      </c>
      <c r="D30" s="93">
        <v>2.3227700543994438</v>
      </c>
      <c r="E30" s="94">
        <v>8.3239471150259003</v>
      </c>
      <c r="F30" s="94">
        <v>3.702305699418349</v>
      </c>
      <c r="G30" s="95">
        <v>337.83692307692303</v>
      </c>
      <c r="H30" s="95">
        <v>11.06368251038306</v>
      </c>
      <c r="I30" s="96"/>
      <c r="M30" s="97"/>
      <c r="O30" s="49">
        <v>2044.5233333333335</v>
      </c>
      <c r="P30" s="49">
        <v>3.5310839021068152</v>
      </c>
      <c r="Q30" s="97">
        <v>50.332364836158376</v>
      </c>
      <c r="U30" s="36">
        <v>3651.8666666666663</v>
      </c>
      <c r="V30" s="36">
        <v>4.045148011911035</v>
      </c>
      <c r="W30" s="97">
        <v>90.549827167163059</v>
      </c>
    </row>
    <row r="31" spans="1:23" ht="13.8" thickBot="1" x14ac:dyDescent="0.3">
      <c r="A31" s="101">
        <v>52.276766828101955</v>
      </c>
      <c r="B31" s="101">
        <v>337.48845550627163</v>
      </c>
      <c r="C31" s="101">
        <v>78.579452785085579</v>
      </c>
      <c r="D31" s="93">
        <v>2.8422824312524564</v>
      </c>
      <c r="E31" s="94">
        <v>9.8264110536828397</v>
      </c>
      <c r="F31" s="94">
        <v>3.0217176940282435</v>
      </c>
      <c r="G31" s="95">
        <v>334.56076923076932</v>
      </c>
      <c r="H31" s="95">
        <v>11.111758112180206</v>
      </c>
      <c r="I31" s="96"/>
      <c r="M31" s="97"/>
      <c r="O31" s="49">
        <v>2079.3233333333328</v>
      </c>
      <c r="P31" s="49">
        <v>3.4763399604697232</v>
      </c>
      <c r="Q31" s="97">
        <v>49.159356942515878</v>
      </c>
      <c r="U31" s="36">
        <v>3852.5533333333328</v>
      </c>
      <c r="V31" s="36">
        <v>4.0894959912594215</v>
      </c>
      <c r="W31" s="97">
        <v>100.22380854867365</v>
      </c>
    </row>
    <row r="32" spans="1:23" ht="13.8" thickBot="1" x14ac:dyDescent="0.3">
      <c r="A32" s="101">
        <v>39.456409491980359</v>
      </c>
      <c r="B32" s="101">
        <v>330.38507684216938</v>
      </c>
      <c r="C32" s="101">
        <v>119.27526613305903</v>
      </c>
      <c r="D32" s="93">
        <v>2.5425118923943648</v>
      </c>
      <c r="E32" s="94">
        <v>8.6591748768472954</v>
      </c>
      <c r="F32" s="94">
        <v>5.0775387097005122</v>
      </c>
      <c r="G32" s="95">
        <v>337.59999999999997</v>
      </c>
      <c r="H32" s="95">
        <v>11.36824251484091</v>
      </c>
      <c r="I32" s="96"/>
      <c r="M32" s="97"/>
      <c r="O32" s="49">
        <v>2055.8966666666665</v>
      </c>
      <c r="P32" s="49">
        <v>3.5544919322870245</v>
      </c>
      <c r="Q32" s="97">
        <v>45.758798607495258</v>
      </c>
      <c r="U32" s="36">
        <v>3793.3422222222216</v>
      </c>
      <c r="V32" s="36">
        <v>6.6890091623988734</v>
      </c>
      <c r="W32" s="97">
        <v>183.93572693862791</v>
      </c>
    </row>
    <row r="33" spans="1:24" ht="13.8" thickBot="1" x14ac:dyDescent="0.3">
      <c r="A33" s="101">
        <v>42.208569923675135</v>
      </c>
      <c r="B33" s="101">
        <v>361.83399636435058</v>
      </c>
      <c r="C33" s="101">
        <v>78.693957060124603</v>
      </c>
      <c r="D33" s="93">
        <v>2.5053960274309435</v>
      </c>
      <c r="E33" s="94">
        <v>8.1283230019649881</v>
      </c>
      <c r="F33" s="94">
        <v>3.0982425346441125</v>
      </c>
      <c r="G33" s="95"/>
      <c r="H33" s="95"/>
      <c r="I33" s="96"/>
      <c r="M33" s="97"/>
      <c r="O33" s="49">
        <v>2061.23</v>
      </c>
      <c r="P33" s="49">
        <v>4.5547841164222644</v>
      </c>
      <c r="Q33" s="97">
        <v>64.160053576985305</v>
      </c>
      <c r="U33" s="36">
        <v>3960.9755555555553</v>
      </c>
      <c r="V33" s="36">
        <v>3.9626776140185136</v>
      </c>
      <c r="W33" s="97">
        <v>104.95246913617879</v>
      </c>
    </row>
    <row r="34" spans="1:24" ht="13.8" thickBot="1" x14ac:dyDescent="0.3">
      <c r="A34" s="101">
        <v>40.210826278517047</v>
      </c>
      <c r="B34" s="101">
        <v>331.9446844731703</v>
      </c>
      <c r="C34" s="101">
        <v>82.226278713692551</v>
      </c>
      <c r="D34" s="93">
        <v>2.2734301487764395</v>
      </c>
      <c r="E34" s="94">
        <v>10.074783458201788</v>
      </c>
      <c r="F34" s="94">
        <v>2.9948803153902768</v>
      </c>
      <c r="G34" s="95">
        <v>334.11769230769227</v>
      </c>
      <c r="H34" s="95">
        <v>10.206472397129895</v>
      </c>
      <c r="I34" s="96"/>
      <c r="M34" s="97"/>
      <c r="O34" s="49">
        <v>2154.66</v>
      </c>
      <c r="P34" s="49">
        <v>1.9854775699040463</v>
      </c>
      <c r="Q34" s="97">
        <v>33.245895235364046</v>
      </c>
      <c r="U34" s="49"/>
      <c r="V34" s="49"/>
      <c r="W34" s="97"/>
    </row>
    <row r="35" spans="1:24" ht="13.8" thickBot="1" x14ac:dyDescent="0.3">
      <c r="A35" s="101">
        <v>23.364814893325438</v>
      </c>
      <c r="B35" s="101">
        <v>337.00510875207516</v>
      </c>
      <c r="C35" s="101">
        <v>119.56837044599634</v>
      </c>
      <c r="D35" s="93">
        <v>1.5570731168391785</v>
      </c>
      <c r="E35" s="94">
        <v>10.272176476497577</v>
      </c>
      <c r="F35" s="94">
        <v>4.4741130249622731</v>
      </c>
      <c r="G35" s="95">
        <v>330.86076923076922</v>
      </c>
      <c r="H35" s="95">
        <v>11.798828067489193</v>
      </c>
      <c r="I35" s="96"/>
      <c r="N35" s="102" t="s">
        <v>254</v>
      </c>
      <c r="O35" s="103">
        <f>AVERAGE(O3:O34)</f>
        <v>2063.0639784946238</v>
      </c>
      <c r="P35" s="103">
        <f>AVERAGE(P3:P34)</f>
        <v>2.8066447935248982</v>
      </c>
      <c r="Q35" s="103">
        <f>AVERAGE(Q3:Q34)</f>
        <v>43.922570107254437</v>
      </c>
      <c r="R35" s="102">
        <f>3*O36</f>
        <v>103.45612343466694</v>
      </c>
      <c r="T35" s="102" t="s">
        <v>254</v>
      </c>
      <c r="U35" s="103">
        <f>AVERAGE(U3:U34)</f>
        <v>3913.3241577060935</v>
      </c>
      <c r="V35" s="103">
        <f>AVERAGE(V3:V34)</f>
        <v>3.7215384589002838</v>
      </c>
      <c r="W35" s="103">
        <f>AVERAGE(W3:W34)</f>
        <v>98.165685876719166</v>
      </c>
      <c r="X35" s="102">
        <f>3*U36</f>
        <v>195.2443721329908</v>
      </c>
    </row>
    <row r="36" spans="1:24" ht="13.8" thickBot="1" x14ac:dyDescent="0.3">
      <c r="A36" s="101">
        <v>25.834464383801262</v>
      </c>
      <c r="B36" s="101">
        <v>351.4027167296656</v>
      </c>
      <c r="C36" s="101">
        <v>123.0362396929352</v>
      </c>
      <c r="D36" s="93">
        <v>1.7832802469048614</v>
      </c>
      <c r="E36" s="94">
        <v>9.8102686653631235</v>
      </c>
      <c r="F36" s="94">
        <v>4.7399331984057209</v>
      </c>
      <c r="G36" s="95">
        <v>342.64923076923083</v>
      </c>
      <c r="H36" s="95">
        <v>8.8852377975195385</v>
      </c>
      <c r="I36" s="96"/>
      <c r="N36" s="102" t="s">
        <v>180</v>
      </c>
      <c r="O36" s="102">
        <f>STDEV(O3:O34)</f>
        <v>34.485374478222312</v>
      </c>
      <c r="P36" s="102">
        <f>STDEV(P3:P34)</f>
        <v>0.77970776303227962</v>
      </c>
      <c r="Q36" s="103"/>
      <c r="R36" s="102">
        <f>3*P36</f>
        <v>2.3391232890968388</v>
      </c>
      <c r="T36" s="102" t="s">
        <v>180</v>
      </c>
      <c r="U36" s="102">
        <f>STDEV(U3:U34)</f>
        <v>65.081457377663597</v>
      </c>
      <c r="V36" s="102">
        <f>STDEV(V3:V34)</f>
        <v>0.91085064455388076</v>
      </c>
      <c r="W36" s="103"/>
      <c r="X36" s="102">
        <f>3*V36</f>
        <v>2.7325519336616422</v>
      </c>
    </row>
    <row r="37" spans="1:24" ht="13.8" thickBot="1" x14ac:dyDescent="0.3">
      <c r="A37" s="101">
        <v>13.996303083340621</v>
      </c>
      <c r="B37" s="101">
        <v>354.44465710460321</v>
      </c>
      <c r="C37" s="101">
        <v>121.00844020149344</v>
      </c>
      <c r="D37" s="93">
        <v>1.0152884769281083</v>
      </c>
      <c r="E37" s="94">
        <v>10.178023412439304</v>
      </c>
      <c r="F37" s="94">
        <v>4.4814175126430467</v>
      </c>
      <c r="G37" s="95">
        <v>336.44538461538468</v>
      </c>
      <c r="H37" s="95">
        <v>8.8051510938757716</v>
      </c>
      <c r="I37" s="96"/>
      <c r="N37" s="102" t="s">
        <v>182</v>
      </c>
      <c r="O37" s="103">
        <f>O35-R35</f>
        <v>1959.6078550599568</v>
      </c>
      <c r="P37" s="102">
        <f>P36-R36</f>
        <v>-1.559415526064559</v>
      </c>
      <c r="Q37" s="102"/>
      <c r="R37" s="102"/>
      <c r="T37" s="102" t="s">
        <v>182</v>
      </c>
      <c r="U37" s="103">
        <f>U35-X35</f>
        <v>3718.0797855731025</v>
      </c>
      <c r="V37" s="102">
        <f>V36-X36</f>
        <v>-1.8217012891077613</v>
      </c>
      <c r="W37" s="102"/>
      <c r="X37" s="102"/>
    </row>
    <row r="38" spans="1:24" ht="13.8" thickBot="1" x14ac:dyDescent="0.3">
      <c r="A38" s="101">
        <v>16.440420462971414</v>
      </c>
      <c r="B38" s="101">
        <v>244.19165178195865</v>
      </c>
      <c r="C38" s="101">
        <v>120.14202179090886</v>
      </c>
      <c r="D38" s="93">
        <v>1.2683143201696545</v>
      </c>
      <c r="E38" s="94">
        <v>10.263523874050687</v>
      </c>
      <c r="F38" s="94"/>
      <c r="G38" s="95">
        <v>339.23461538461532</v>
      </c>
      <c r="H38" s="95">
        <v>9.6257915947034949</v>
      </c>
      <c r="I38" s="96"/>
      <c r="N38" s="104" t="s">
        <v>183</v>
      </c>
      <c r="O38" s="103">
        <f>O35+R35</f>
        <v>2166.5201019292908</v>
      </c>
      <c r="P38" s="103">
        <f>P35+R36</f>
        <v>5.1457680826217373</v>
      </c>
      <c r="Q38" s="102"/>
      <c r="R38" s="102"/>
      <c r="T38" s="104" t="s">
        <v>183</v>
      </c>
      <c r="U38" s="103">
        <f>U35+X35</f>
        <v>4108.5685298390845</v>
      </c>
      <c r="V38" s="103">
        <f>V35+X36</f>
        <v>6.454090392561926</v>
      </c>
      <c r="W38" s="102"/>
      <c r="X38" s="102"/>
    </row>
    <row r="39" spans="1:24" ht="13.8" thickBot="1" x14ac:dyDescent="0.3">
      <c r="A39" s="101">
        <v>10.936009327004291</v>
      </c>
      <c r="B39" s="101">
        <v>310.56434768015254</v>
      </c>
      <c r="C39" s="101">
        <v>110.50089547150596</v>
      </c>
      <c r="D39" s="93">
        <v>0.7928916982021148</v>
      </c>
      <c r="E39" s="94">
        <v>8.6889697810134425</v>
      </c>
      <c r="F39" s="93">
        <v>4.3648747287678935</v>
      </c>
      <c r="G39" s="95">
        <v>331.91230769230776</v>
      </c>
      <c r="H39" s="95">
        <v>9.5920585039208071</v>
      </c>
      <c r="I39" s="96"/>
    </row>
    <row r="40" spans="1:24" ht="13.8" thickBot="1" x14ac:dyDescent="0.3">
      <c r="A40" s="101">
        <v>23.244716066249751</v>
      </c>
      <c r="B40" s="101">
        <v>286.31506216927301</v>
      </c>
      <c r="C40" s="101">
        <v>123.55069355441579</v>
      </c>
      <c r="D40" s="93">
        <v>1.5598087442988664</v>
      </c>
      <c r="E40" s="94">
        <v>10.155263187310652</v>
      </c>
      <c r="F40" s="94">
        <v>4.1848261140265075</v>
      </c>
      <c r="G40" s="95">
        <v>331.72</v>
      </c>
      <c r="H40" s="95">
        <v>10.309217688075607</v>
      </c>
      <c r="I40" s="96"/>
    </row>
    <row r="41" spans="1:24" ht="13.8" thickBot="1" x14ac:dyDescent="0.3">
      <c r="A41" s="101">
        <v>18.688616187408332</v>
      </c>
      <c r="B41" s="101">
        <v>326.24621273664411</v>
      </c>
      <c r="C41" s="101">
        <v>119.52303771427681</v>
      </c>
      <c r="D41" s="93">
        <v>1.2789070402239044</v>
      </c>
      <c r="E41" s="94">
        <v>8.9913881715391746</v>
      </c>
      <c r="F41" s="94">
        <v>4.6769438796561857</v>
      </c>
      <c r="G41" s="95">
        <v>333.64923076923083</v>
      </c>
      <c r="H41" s="95">
        <v>10.799964849585526</v>
      </c>
      <c r="I41" s="96"/>
    </row>
    <row r="42" spans="1:24" ht="13.8" thickBot="1" x14ac:dyDescent="0.3">
      <c r="A42" s="101">
        <v>35.194018312783506</v>
      </c>
      <c r="B42" s="101">
        <v>315.1222896353093</v>
      </c>
      <c r="C42" s="101">
        <v>120.05525010502708</v>
      </c>
      <c r="D42" s="93">
        <v>2.2192555687831601</v>
      </c>
      <c r="E42" s="94">
        <v>10.526007356312405</v>
      </c>
      <c r="F42" s="94">
        <v>4.7614087559923783</v>
      </c>
      <c r="G42" s="95">
        <v>336.28</v>
      </c>
      <c r="H42" s="95">
        <v>10.511808739047151</v>
      </c>
      <c r="I42" s="96"/>
    </row>
    <row r="43" spans="1:24" ht="13.8" thickBot="1" x14ac:dyDescent="0.3">
      <c r="A43" s="101">
        <v>16.366160209447855</v>
      </c>
      <c r="B43" s="101">
        <v>292.88980261354487</v>
      </c>
      <c r="C43" s="101">
        <v>117.25688257458013</v>
      </c>
      <c r="D43" s="93">
        <v>1.0315728009564877</v>
      </c>
      <c r="E43" s="94">
        <v>7.5114250673170568</v>
      </c>
      <c r="F43" s="94">
        <v>4.4880838701016366</v>
      </c>
      <c r="G43" s="95">
        <v>340.78076923076918</v>
      </c>
      <c r="H43" s="95">
        <v>10.220222658432851</v>
      </c>
      <c r="I43" s="96"/>
    </row>
    <row r="44" spans="1:24" ht="13.8" thickBot="1" x14ac:dyDescent="0.3">
      <c r="A44" s="101">
        <v>28.888428479199572</v>
      </c>
      <c r="B44" s="101">
        <v>335.9447006204955</v>
      </c>
      <c r="C44" s="101">
        <v>114.91070141636878</v>
      </c>
      <c r="D44" s="93">
        <v>1.7397669820550072</v>
      </c>
      <c r="E44" s="94">
        <v>9.3685660329134457</v>
      </c>
      <c r="F44" s="94">
        <v>4.3785849430522124</v>
      </c>
      <c r="G44" s="95">
        <v>333.69846153846152</v>
      </c>
      <c r="H44" s="95">
        <v>10.322816777688338</v>
      </c>
      <c r="I44" s="96"/>
    </row>
    <row r="45" spans="1:24" ht="13.8" thickBot="1" x14ac:dyDescent="0.3">
      <c r="A45" s="101">
        <v>125.9418628772777</v>
      </c>
      <c r="B45" s="101">
        <v>345.59253702880341</v>
      </c>
      <c r="C45" s="101">
        <v>114.74501751468863</v>
      </c>
      <c r="D45" s="93">
        <v>8.7301587301587187</v>
      </c>
      <c r="E45" s="94">
        <v>9.6213841478616011</v>
      </c>
      <c r="F45" s="94">
        <v>4.3504997681551805</v>
      </c>
      <c r="G45" s="95">
        <v>338.09076923076924</v>
      </c>
      <c r="H45" s="95">
        <v>11.017462837350221</v>
      </c>
      <c r="I45" s="96"/>
    </row>
    <row r="46" spans="1:24" ht="13.8" thickBot="1" x14ac:dyDescent="0.3">
      <c r="A46" s="101">
        <v>29.488049698129114</v>
      </c>
      <c r="B46" s="101">
        <v>322.73748500135707</v>
      </c>
      <c r="C46" s="101">
        <v>113.63198757388541</v>
      </c>
      <c r="D46" s="93">
        <v>1.9412273832584637</v>
      </c>
      <c r="E46" s="94">
        <v>9.3814149653400349</v>
      </c>
      <c r="F46" s="94">
        <v>4.4039932452567845</v>
      </c>
      <c r="G46" s="95">
        <v>333.72846153846154</v>
      </c>
      <c r="H46" s="95">
        <v>10.261693797650901</v>
      </c>
      <c r="I46" s="96"/>
    </row>
    <row r="47" spans="1:24" ht="13.8" thickBot="1" x14ac:dyDescent="0.3">
      <c r="A47" s="101">
        <v>28.887312959171911</v>
      </c>
      <c r="B47" s="101">
        <v>821.41065017748372</v>
      </c>
      <c r="C47" s="101">
        <v>121.6303539874658</v>
      </c>
      <c r="D47" s="93">
        <v>1.8375896072656221</v>
      </c>
      <c r="E47" s="94">
        <v>8.8686829213828222</v>
      </c>
      <c r="F47" s="94">
        <v>4.3102720787891693</v>
      </c>
      <c r="G47" s="95">
        <v>339.26153846153841</v>
      </c>
      <c r="H47" s="95">
        <v>11.189818014282432</v>
      </c>
      <c r="I47" s="96"/>
    </row>
    <row r="48" spans="1:24" ht="13.8" thickBot="1" x14ac:dyDescent="0.3">
      <c r="A48" s="101">
        <v>30.226515263921442</v>
      </c>
      <c r="B48" s="101">
        <v>318.80616105244115</v>
      </c>
      <c r="C48" s="101">
        <v>117.03816504788786</v>
      </c>
      <c r="D48" s="93">
        <v>1.9224413352429262</v>
      </c>
      <c r="E48" s="94">
        <v>24.764693760865484</v>
      </c>
      <c r="F48" s="94">
        <v>4.4939706037751703</v>
      </c>
      <c r="G48" s="95">
        <v>335.61692307692317</v>
      </c>
      <c r="H48" s="95">
        <v>10.874718328407122</v>
      </c>
      <c r="I48" s="96"/>
    </row>
    <row r="49" spans="1:9" ht="13.8" thickBot="1" x14ac:dyDescent="0.3">
      <c r="A49" s="101">
        <v>26.640912146555479</v>
      </c>
      <c r="B49" s="101">
        <v>313.42296330198099</v>
      </c>
      <c r="C49" s="101">
        <v>109.14838523769977</v>
      </c>
      <c r="D49" s="93">
        <v>1.6403846419160286</v>
      </c>
      <c r="E49" s="94">
        <v>8.4832588828325992</v>
      </c>
      <c r="F49" s="94">
        <v>4.3218515862614622</v>
      </c>
      <c r="G49" s="95">
        <v>339.39076923076925</v>
      </c>
      <c r="H49" s="95">
        <v>11.306694999210331</v>
      </c>
      <c r="I49" s="96"/>
    </row>
    <row r="50" spans="1:9" ht="13.8" thickBot="1" x14ac:dyDescent="0.3">
      <c r="A50" s="101">
        <v>43.068165447328205</v>
      </c>
      <c r="B50" s="101">
        <v>311.06553212305249</v>
      </c>
      <c r="C50" s="101">
        <v>135.76065560799807</v>
      </c>
      <c r="D50" s="93">
        <v>2.5792860721121027</v>
      </c>
      <c r="E50" s="94">
        <v>9.6355041471144354</v>
      </c>
      <c r="F50" s="94">
        <v>4.029415582470449</v>
      </c>
      <c r="G50" s="95">
        <v>335.03615384615381</v>
      </c>
      <c r="H50" s="95">
        <v>10.560527006150348</v>
      </c>
      <c r="I50" s="96"/>
    </row>
    <row r="51" spans="1:9" ht="13.8" thickBot="1" x14ac:dyDescent="0.3">
      <c r="A51" s="101">
        <v>15.653500407286764</v>
      </c>
      <c r="B51" s="101">
        <v>299.68289695110741</v>
      </c>
      <c r="C51" s="101">
        <v>113.76677727310576</v>
      </c>
      <c r="D51" s="93">
        <v>1.1910941511525039</v>
      </c>
      <c r="E51" s="94">
        <v>8.5691773674907523</v>
      </c>
      <c r="F51" s="94">
        <v>5.7121766116030948</v>
      </c>
      <c r="G51" s="95">
        <v>336.04538461538465</v>
      </c>
      <c r="H51" s="95">
        <v>13.278245192307672</v>
      </c>
      <c r="I51" s="96"/>
    </row>
    <row r="52" spans="1:9" ht="13.8" thickBot="1" x14ac:dyDescent="0.3">
      <c r="A52" s="101">
        <v>20.993934838414692</v>
      </c>
      <c r="B52" s="101">
        <v>275.5820350186147</v>
      </c>
      <c r="C52" s="101">
        <v>131.01272410639947</v>
      </c>
      <c r="D52" s="93">
        <v>1.255370663233178</v>
      </c>
      <c r="E52" s="94">
        <v>9.676540035583999</v>
      </c>
      <c r="F52" s="94">
        <v>4.4917152478008546</v>
      </c>
      <c r="G52" s="95">
        <v>334.51307692307694</v>
      </c>
      <c r="H52" s="95">
        <v>9.6616601480146009</v>
      </c>
      <c r="I52" s="96"/>
    </row>
    <row r="53" spans="1:9" ht="13.8" thickBot="1" x14ac:dyDescent="0.3">
      <c r="A53" s="101">
        <v>24.541503621443656</v>
      </c>
      <c r="B53" s="101">
        <v>332.89306492476999</v>
      </c>
      <c r="C53" s="101">
        <v>115.18053698433471</v>
      </c>
      <c r="D53" s="93">
        <v>1.5638111221298368</v>
      </c>
      <c r="E53" s="94">
        <v>7.0817198821448519</v>
      </c>
      <c r="F53" s="94">
        <v>5.5548991808443686</v>
      </c>
      <c r="G53" s="95">
        <v>336.87230769230769</v>
      </c>
      <c r="H53" s="95">
        <v>10.774308420549767</v>
      </c>
      <c r="I53" s="96"/>
    </row>
    <row r="54" spans="1:9" ht="13.8" thickBot="1" x14ac:dyDescent="0.3">
      <c r="A54" s="101">
        <v>17.747408965798726</v>
      </c>
      <c r="B54" s="101">
        <v>314.72359496070879</v>
      </c>
      <c r="C54" s="101">
        <v>127.30018032630608</v>
      </c>
      <c r="D54" s="93">
        <v>1.4107570222949892</v>
      </c>
      <c r="E54" s="94">
        <v>11.260243729485161</v>
      </c>
      <c r="F54" s="94">
        <v>4.156777037848383</v>
      </c>
      <c r="G54" s="95">
        <v>334.26076923076926</v>
      </c>
      <c r="H54" s="95">
        <v>10.611411060849298</v>
      </c>
      <c r="I54" s="96"/>
    </row>
    <row r="55" spans="1:9" ht="13.8" thickBot="1" x14ac:dyDescent="0.3">
      <c r="A55" s="101">
        <v>20.527032786095532</v>
      </c>
      <c r="B55" s="101">
        <v>298.61553534602558</v>
      </c>
      <c r="C55" s="101">
        <v>114.66075474102971</v>
      </c>
      <c r="D55" s="93">
        <v>1.4605310518592292</v>
      </c>
      <c r="E55" s="94">
        <v>8.7133633491144522</v>
      </c>
      <c r="F55" s="94">
        <v>5.3543252560925323</v>
      </c>
      <c r="G55" s="95">
        <v>341.06384615384616</v>
      </c>
      <c r="H55" s="95">
        <v>11.722740756819295</v>
      </c>
      <c r="I55" s="96"/>
    </row>
    <row r="56" spans="1:9" x14ac:dyDescent="0.25">
      <c r="A56" s="101">
        <v>20.098707669886391</v>
      </c>
      <c r="B56" s="101">
        <v>354.26184239204326</v>
      </c>
      <c r="D56" s="93">
        <v>1.3817866823148208</v>
      </c>
      <c r="E56" s="94">
        <v>9.2711130926475214</v>
      </c>
      <c r="F56" s="94">
        <v>4.4092543128552055</v>
      </c>
      <c r="G56" s="95">
        <v>338.75692307692316</v>
      </c>
      <c r="H56" s="95">
        <v>10.243353576735025</v>
      </c>
      <c r="I56" s="96"/>
    </row>
    <row r="57" spans="1:9" x14ac:dyDescent="0.25">
      <c r="B57" s="101">
        <v>306.02245681485579</v>
      </c>
      <c r="E57" s="94">
        <v>9.8816881145146649</v>
      </c>
      <c r="G57" s="95">
        <v>335.17461538461544</v>
      </c>
      <c r="H57" s="95">
        <v>10.679413564953833</v>
      </c>
      <c r="I57" s="96"/>
    </row>
    <row r="58" spans="1:9" x14ac:dyDescent="0.25">
      <c r="A58" s="105">
        <f>AVERAGE(A2:A56)</f>
        <v>30.924687838129209</v>
      </c>
      <c r="B58" s="105">
        <f>AVERAGE(B2:B56)</f>
        <v>340.10191016284034</v>
      </c>
      <c r="C58" s="105">
        <f>AVERAGE(C2:C56)</f>
        <v>110.46812558195597</v>
      </c>
      <c r="E58" s="94">
        <v>9.174013523923799</v>
      </c>
      <c r="I58" s="96"/>
    </row>
    <row r="59" spans="1:9" x14ac:dyDescent="0.25">
      <c r="E59" s="94">
        <v>8.7098315949281719</v>
      </c>
    </row>
    <row r="60" spans="1:9" x14ac:dyDescent="0.25">
      <c r="D60" s="3">
        <f>STDEV(D2:D56)</f>
        <v>1.1371599906672591</v>
      </c>
      <c r="E60" s="3">
        <f>STDEV(E2:E59)</f>
        <v>2.3468798476854595</v>
      </c>
      <c r="F60" s="3">
        <f>STDEV(F2:F56)</f>
        <v>0.54206237083856768</v>
      </c>
      <c r="G60" s="3">
        <f>STDEV(G2:G56)</f>
        <v>4.6615613759219032</v>
      </c>
      <c r="H60" s="3">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2019-12-10T07:29:58Z</dcterms:modified>
</cp:coreProperties>
</file>