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UNT02_Ch_B_QC_LOG_BOOK\"/>
    </mc:Choice>
  </mc:AlternateContent>
  <bookViews>
    <workbookView xWindow="-5350" yWindow="-21135" windowWidth="24236" windowHeight="13735" tabRatio="666" activeTab="1"/>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definedNames>
    <definedName name="_xlnm._FilterDatabase" localSheetId="1" hidden="1">'ER-BARC,PR &amp; TEOS'!$A$9:$AC$1207</definedName>
    <definedName name="_xlnm._FilterDatabase" localSheetId="0" hidden="1">'RESP1B-CP'!$A$9:$J$9</definedName>
    <definedName name="_xlnm._FilterDatabase" localSheetId="2" hidden="1">'SIN ER'!$A$6:$AF$411</definedName>
  </definedNames>
  <calcPr calcId="152511"/>
</workbook>
</file>

<file path=xl/calcChain.xml><?xml version="1.0" encoding="utf-8"?>
<calcChain xmlns="http://schemas.openxmlformats.org/spreadsheetml/2006/main">
  <c r="E234" i="4" l="1"/>
  <c r="G234" i="4" s="1"/>
  <c r="E233" i="4"/>
  <c r="G233" i="4" s="1"/>
  <c r="N1092" i="5" l="1"/>
  <c r="M1092" i="5"/>
  <c r="L1092" i="5"/>
  <c r="K1092" i="5"/>
  <c r="J1092" i="5"/>
  <c r="I1092" i="5"/>
  <c r="H1092" i="5"/>
  <c r="G1092" i="5"/>
  <c r="F1092" i="5"/>
  <c r="N1089" i="5"/>
  <c r="M1089" i="5"/>
  <c r="L1089" i="5"/>
  <c r="K1089" i="5"/>
  <c r="J1089" i="5"/>
  <c r="I1089" i="5"/>
  <c r="H1089" i="5"/>
  <c r="G1089" i="5"/>
  <c r="F1089" i="5"/>
  <c r="N1086" i="5"/>
  <c r="M1086" i="5"/>
  <c r="L1086" i="5"/>
  <c r="K1086" i="5"/>
  <c r="J1086" i="5"/>
  <c r="I1086" i="5"/>
  <c r="H1086" i="5"/>
  <c r="G1086" i="5"/>
  <c r="F1086" i="5"/>
  <c r="N1083" i="5"/>
  <c r="M1083" i="5"/>
  <c r="L1083" i="5"/>
  <c r="K1083" i="5"/>
  <c r="J1083" i="5"/>
  <c r="I1083" i="5"/>
  <c r="H1083" i="5"/>
  <c r="G1083" i="5"/>
  <c r="F1083" i="5"/>
  <c r="N1080" i="5"/>
  <c r="M1080" i="5"/>
  <c r="L1080" i="5"/>
  <c r="K1080" i="5"/>
  <c r="J1080" i="5"/>
  <c r="I1080" i="5"/>
  <c r="H1080" i="5"/>
  <c r="G1080" i="5"/>
  <c r="F1080" i="5"/>
  <c r="N1077" i="5"/>
  <c r="M1077" i="5"/>
  <c r="L1077" i="5"/>
  <c r="K1077" i="5"/>
  <c r="J1077" i="5"/>
  <c r="I1077" i="5"/>
  <c r="H1077" i="5"/>
  <c r="G1077" i="5"/>
  <c r="F1077" i="5"/>
  <c r="N1074" i="5"/>
  <c r="M1074" i="5"/>
  <c r="L1074" i="5"/>
  <c r="K1074" i="5"/>
  <c r="J1074" i="5"/>
  <c r="I1074" i="5"/>
  <c r="H1074" i="5"/>
  <c r="G1074" i="5"/>
  <c r="F1074" i="5"/>
  <c r="N1071" i="5"/>
  <c r="M1071" i="5"/>
  <c r="L1071" i="5"/>
  <c r="K1071" i="5"/>
  <c r="J1071" i="5"/>
  <c r="I1071" i="5"/>
  <c r="H1071" i="5"/>
  <c r="G1071" i="5"/>
  <c r="F1071" i="5"/>
  <c r="N1068" i="5"/>
  <c r="M1068" i="5"/>
  <c r="L1068" i="5"/>
  <c r="K1068" i="5"/>
  <c r="J1068" i="5"/>
  <c r="I1068" i="5"/>
  <c r="H1068" i="5"/>
  <c r="G1068" i="5"/>
  <c r="F1068" i="5"/>
  <c r="P1075" i="5" l="1"/>
  <c r="P1087" i="5"/>
  <c r="O1069" i="5"/>
  <c r="S1081" i="5"/>
  <c r="P1072" i="5"/>
  <c r="P1084" i="5"/>
  <c r="Q1075" i="5"/>
  <c r="Q1087" i="5"/>
  <c r="Q1072" i="5"/>
  <c r="Q1084" i="5"/>
  <c r="Q1069" i="5"/>
  <c r="S1072" i="5"/>
  <c r="Q1078" i="5"/>
  <c r="O1081" i="5"/>
  <c r="Q1081" i="5"/>
  <c r="S1084" i="5"/>
  <c r="Q1090" i="5"/>
  <c r="Q1066" i="5"/>
  <c r="S1069" i="5"/>
  <c r="O1066" i="5"/>
  <c r="S1066" i="5"/>
  <c r="P1069" i="5"/>
  <c r="O1078" i="5"/>
  <c r="S1078" i="5"/>
  <c r="P1081" i="5"/>
  <c r="O1090" i="5"/>
  <c r="S1090" i="5"/>
  <c r="P1066" i="5"/>
  <c r="O1075" i="5"/>
  <c r="R1075" i="5" s="1"/>
  <c r="S1075" i="5"/>
  <c r="P1078" i="5"/>
  <c r="O1087" i="5"/>
  <c r="R1087" i="5" s="1"/>
  <c r="T1087" i="5" s="1"/>
  <c r="S1087" i="5"/>
  <c r="P1090" i="5"/>
  <c r="O1072" i="5"/>
  <c r="R1072" i="5" s="1"/>
  <c r="O1084" i="5"/>
  <c r="R1069" i="5" l="1"/>
  <c r="T1075" i="5"/>
  <c r="R1084" i="5"/>
  <c r="T1084" i="5" s="1"/>
  <c r="R1081" i="5"/>
  <c r="T1081" i="5" s="1"/>
  <c r="T1072" i="5"/>
  <c r="T1069" i="5"/>
  <c r="R1090" i="5"/>
  <c r="T1090" i="5" s="1"/>
  <c r="R1066" i="5"/>
  <c r="T1066" i="5" s="1"/>
  <c r="R1078" i="5"/>
  <c r="T1078" i="5" s="1"/>
  <c r="N1101" i="5"/>
  <c r="Q1099" i="5" s="1"/>
  <c r="M1101" i="5"/>
  <c r="L1101" i="5"/>
  <c r="K1101" i="5"/>
  <c r="J1101" i="5"/>
  <c r="I1101" i="5"/>
  <c r="H1101" i="5"/>
  <c r="G1101" i="5"/>
  <c r="F1101" i="5"/>
  <c r="T1099" i="5"/>
  <c r="R1099" i="5"/>
  <c r="P1099" i="5"/>
  <c r="O1099" i="5"/>
  <c r="N1098" i="5"/>
  <c r="Q1096" i="5" s="1"/>
  <c r="M1098" i="5"/>
  <c r="L1098" i="5"/>
  <c r="K1098" i="5"/>
  <c r="J1098" i="5"/>
  <c r="I1098" i="5"/>
  <c r="H1098" i="5"/>
  <c r="G1098" i="5"/>
  <c r="F1098" i="5"/>
  <c r="T1096" i="5"/>
  <c r="R1096" i="5"/>
  <c r="P1096" i="5"/>
  <c r="O1096" i="5"/>
  <c r="N1095" i="5"/>
  <c r="Q1093" i="5" s="1"/>
  <c r="M1095" i="5"/>
  <c r="L1095" i="5"/>
  <c r="K1095" i="5"/>
  <c r="J1095" i="5"/>
  <c r="I1095" i="5"/>
  <c r="H1095" i="5"/>
  <c r="G1095" i="5"/>
  <c r="F1095" i="5"/>
  <c r="T1093" i="5"/>
  <c r="R1093" i="5"/>
  <c r="P1093" i="5"/>
  <c r="O1093" i="5"/>
  <c r="S1099" i="5" l="1"/>
  <c r="S1096" i="5"/>
  <c r="S1093" i="5"/>
  <c r="O1102" i="5"/>
  <c r="P1102" i="5"/>
  <c r="R1102" i="5"/>
  <c r="T1102" i="5"/>
  <c r="F1104" i="5"/>
  <c r="G1104" i="5"/>
  <c r="H1104" i="5"/>
  <c r="I1104" i="5"/>
  <c r="J1104" i="5"/>
  <c r="K1104" i="5"/>
  <c r="L1104" i="5"/>
  <c r="M1104" i="5"/>
  <c r="N1104" i="5"/>
  <c r="Q1102" i="5" s="1"/>
  <c r="O1105" i="5"/>
  <c r="P1105" i="5"/>
  <c r="R1105" i="5"/>
  <c r="T1105" i="5"/>
  <c r="F1107" i="5"/>
  <c r="G1107" i="5"/>
  <c r="H1107" i="5"/>
  <c r="I1107" i="5"/>
  <c r="J1107" i="5"/>
  <c r="K1107" i="5"/>
  <c r="L1107" i="5"/>
  <c r="M1107" i="5"/>
  <c r="N1107" i="5"/>
  <c r="Q1105" i="5" s="1"/>
  <c r="O1108" i="5"/>
  <c r="P1108" i="5"/>
  <c r="R1108" i="5"/>
  <c r="T1108" i="5"/>
  <c r="F1110" i="5"/>
  <c r="G1110" i="5"/>
  <c r="H1110" i="5"/>
  <c r="I1110" i="5"/>
  <c r="J1110" i="5"/>
  <c r="K1110" i="5"/>
  <c r="L1110" i="5"/>
  <c r="M1110" i="5"/>
  <c r="N1110" i="5"/>
  <c r="Q1108" i="5" s="1"/>
  <c r="O1111" i="5"/>
  <c r="P1111" i="5"/>
  <c r="R1111" i="5"/>
  <c r="T1111" i="5"/>
  <c r="F1113" i="5"/>
  <c r="G1113" i="5"/>
  <c r="H1113" i="5"/>
  <c r="I1113" i="5"/>
  <c r="J1113" i="5"/>
  <c r="K1113" i="5"/>
  <c r="L1113" i="5"/>
  <c r="M1113" i="5"/>
  <c r="N1113" i="5"/>
  <c r="Q1111" i="5" s="1"/>
  <c r="O1114" i="5"/>
  <c r="P1114" i="5"/>
  <c r="R1114" i="5"/>
  <c r="T1114" i="5"/>
  <c r="F1116" i="5"/>
  <c r="G1116" i="5"/>
  <c r="H1116" i="5"/>
  <c r="I1116" i="5"/>
  <c r="J1116" i="5"/>
  <c r="K1116" i="5"/>
  <c r="L1116" i="5"/>
  <c r="M1116" i="5"/>
  <c r="N1116" i="5"/>
  <c r="Q1114" i="5" s="1"/>
  <c r="O1117" i="5"/>
  <c r="P1117" i="5"/>
  <c r="R1117" i="5"/>
  <c r="T1117" i="5"/>
  <c r="F1119" i="5"/>
  <c r="G1119" i="5"/>
  <c r="H1119" i="5"/>
  <c r="I1119" i="5"/>
  <c r="J1119" i="5"/>
  <c r="K1119" i="5"/>
  <c r="L1119" i="5"/>
  <c r="M1119" i="5"/>
  <c r="N1119" i="5"/>
  <c r="Q1117" i="5" s="1"/>
  <c r="O1120" i="5"/>
  <c r="P1120" i="5"/>
  <c r="R1120" i="5"/>
  <c r="T1120" i="5"/>
  <c r="F1122" i="5"/>
  <c r="G1122" i="5"/>
  <c r="H1122" i="5"/>
  <c r="I1122" i="5"/>
  <c r="J1122" i="5"/>
  <c r="K1122" i="5"/>
  <c r="L1122" i="5"/>
  <c r="M1122" i="5"/>
  <c r="N1122" i="5"/>
  <c r="Q1120" i="5" s="1"/>
  <c r="O1123" i="5"/>
  <c r="P1123" i="5"/>
  <c r="R1123" i="5"/>
  <c r="T1123" i="5"/>
  <c r="F1125" i="5"/>
  <c r="G1125" i="5"/>
  <c r="H1125" i="5"/>
  <c r="I1125" i="5"/>
  <c r="J1125" i="5"/>
  <c r="K1125" i="5"/>
  <c r="L1125" i="5"/>
  <c r="M1125" i="5"/>
  <c r="N1125" i="5"/>
  <c r="Q1123" i="5" s="1"/>
  <c r="O1126" i="5"/>
  <c r="P1126" i="5"/>
  <c r="R1126" i="5"/>
  <c r="T1126" i="5"/>
  <c r="F1128" i="5"/>
  <c r="G1128" i="5"/>
  <c r="H1128" i="5"/>
  <c r="I1128" i="5"/>
  <c r="J1128" i="5"/>
  <c r="K1128" i="5"/>
  <c r="L1128" i="5"/>
  <c r="M1128" i="5"/>
  <c r="N1128" i="5"/>
  <c r="Q1126" i="5" s="1"/>
  <c r="O1129" i="5"/>
  <c r="P1129" i="5"/>
  <c r="R1129" i="5"/>
  <c r="T1129" i="5"/>
  <c r="F1131" i="5"/>
  <c r="G1131" i="5"/>
  <c r="H1131" i="5"/>
  <c r="I1131" i="5"/>
  <c r="J1131" i="5"/>
  <c r="K1131" i="5"/>
  <c r="L1131" i="5"/>
  <c r="M1131" i="5"/>
  <c r="N1131" i="5"/>
  <c r="Q1129" i="5" s="1"/>
  <c r="O1132" i="5"/>
  <c r="P1132" i="5"/>
  <c r="R1132" i="5"/>
  <c r="T1132" i="5"/>
  <c r="F1134" i="5"/>
  <c r="G1134" i="5"/>
  <c r="H1134" i="5"/>
  <c r="I1134" i="5"/>
  <c r="J1134" i="5"/>
  <c r="K1134" i="5"/>
  <c r="L1134" i="5"/>
  <c r="M1134" i="5"/>
  <c r="N1134" i="5"/>
  <c r="Q1132" i="5" s="1"/>
  <c r="O1135" i="5"/>
  <c r="P1135" i="5"/>
  <c r="R1135" i="5"/>
  <c r="T1135" i="5"/>
  <c r="F1137" i="5"/>
  <c r="G1137" i="5"/>
  <c r="H1137" i="5"/>
  <c r="I1137" i="5"/>
  <c r="J1137" i="5"/>
  <c r="K1137" i="5"/>
  <c r="L1137" i="5"/>
  <c r="M1137" i="5"/>
  <c r="N1137" i="5"/>
  <c r="Q1135" i="5" s="1"/>
  <c r="O1138" i="5"/>
  <c r="P1138" i="5"/>
  <c r="R1138" i="5"/>
  <c r="T1138" i="5"/>
  <c r="F1140" i="5"/>
  <c r="G1140" i="5"/>
  <c r="H1140" i="5"/>
  <c r="I1140" i="5"/>
  <c r="J1140" i="5"/>
  <c r="K1140" i="5"/>
  <c r="L1140" i="5"/>
  <c r="M1140" i="5"/>
  <c r="N1140" i="5"/>
  <c r="Q1138" i="5" s="1"/>
  <c r="O1141" i="5"/>
  <c r="P1141" i="5"/>
  <c r="R1141" i="5"/>
  <c r="T1141" i="5"/>
  <c r="F1143" i="5"/>
  <c r="G1143" i="5"/>
  <c r="H1143" i="5"/>
  <c r="I1143" i="5"/>
  <c r="J1143" i="5"/>
  <c r="K1143" i="5"/>
  <c r="L1143" i="5"/>
  <c r="M1143" i="5"/>
  <c r="N1143" i="5"/>
  <c r="Q1141" i="5" s="1"/>
  <c r="O1144" i="5"/>
  <c r="P1144" i="5"/>
  <c r="R1144" i="5"/>
  <c r="T1144" i="5"/>
  <c r="F1146" i="5"/>
  <c r="G1146" i="5"/>
  <c r="H1146" i="5"/>
  <c r="I1146" i="5"/>
  <c r="J1146" i="5"/>
  <c r="K1146" i="5"/>
  <c r="L1146" i="5"/>
  <c r="M1146" i="5"/>
  <c r="N1146" i="5"/>
  <c r="Q1144" i="5" s="1"/>
  <c r="O1147" i="5"/>
  <c r="P1147" i="5"/>
  <c r="R1147" i="5"/>
  <c r="T1147" i="5"/>
  <c r="F1149" i="5"/>
  <c r="G1149" i="5"/>
  <c r="H1149" i="5"/>
  <c r="I1149" i="5"/>
  <c r="J1149" i="5"/>
  <c r="K1149" i="5"/>
  <c r="L1149" i="5"/>
  <c r="M1149" i="5"/>
  <c r="N1149" i="5"/>
  <c r="Q1147" i="5" s="1"/>
  <c r="O1150" i="5"/>
  <c r="P1150" i="5"/>
  <c r="R1150" i="5"/>
  <c r="T1150" i="5"/>
  <c r="F1152" i="5"/>
  <c r="G1152" i="5"/>
  <c r="H1152" i="5"/>
  <c r="I1152" i="5"/>
  <c r="J1152" i="5"/>
  <c r="K1152" i="5"/>
  <c r="L1152" i="5"/>
  <c r="M1152" i="5"/>
  <c r="N1152" i="5"/>
  <c r="Q1150" i="5" s="1"/>
  <c r="O1153" i="5"/>
  <c r="P1153" i="5"/>
  <c r="R1153" i="5"/>
  <c r="T1153" i="5"/>
  <c r="F1155" i="5"/>
  <c r="G1155" i="5"/>
  <c r="H1155" i="5"/>
  <c r="I1155" i="5"/>
  <c r="J1155" i="5"/>
  <c r="K1155" i="5"/>
  <c r="L1155" i="5"/>
  <c r="M1155" i="5"/>
  <c r="N1155" i="5"/>
  <c r="Q1153" i="5" s="1"/>
  <c r="O1156" i="5"/>
  <c r="P1156" i="5"/>
  <c r="R1156" i="5"/>
  <c r="T1156" i="5"/>
  <c r="F1158" i="5"/>
  <c r="G1158" i="5"/>
  <c r="H1158" i="5"/>
  <c r="I1158" i="5"/>
  <c r="J1158" i="5"/>
  <c r="K1158" i="5"/>
  <c r="L1158" i="5"/>
  <c r="M1158" i="5"/>
  <c r="N1158" i="5"/>
  <c r="Q1156" i="5" s="1"/>
  <c r="O1159" i="5"/>
  <c r="P1159" i="5"/>
  <c r="R1159" i="5"/>
  <c r="T1159" i="5"/>
  <c r="F1161" i="5"/>
  <c r="G1161" i="5"/>
  <c r="H1161" i="5"/>
  <c r="I1161" i="5"/>
  <c r="J1161" i="5"/>
  <c r="K1161" i="5"/>
  <c r="L1161" i="5"/>
  <c r="M1161" i="5"/>
  <c r="N1161" i="5"/>
  <c r="Q1159" i="5" s="1"/>
  <c r="O1162" i="5"/>
  <c r="P1162" i="5"/>
  <c r="R1162" i="5"/>
  <c r="T1162" i="5"/>
  <c r="F1164" i="5"/>
  <c r="G1164" i="5"/>
  <c r="H1164" i="5"/>
  <c r="I1164" i="5"/>
  <c r="J1164" i="5"/>
  <c r="K1164" i="5"/>
  <c r="L1164" i="5"/>
  <c r="M1164" i="5"/>
  <c r="N1164" i="5"/>
  <c r="Q1162" i="5" s="1"/>
  <c r="O1165" i="5"/>
  <c r="P1165" i="5"/>
  <c r="R1165" i="5"/>
  <c r="T1165" i="5"/>
  <c r="F1167" i="5"/>
  <c r="G1167" i="5"/>
  <c r="H1167" i="5"/>
  <c r="I1167" i="5"/>
  <c r="J1167" i="5"/>
  <c r="K1167" i="5"/>
  <c r="L1167" i="5"/>
  <c r="M1167" i="5"/>
  <c r="N1167" i="5"/>
  <c r="Q1165" i="5" s="1"/>
  <c r="O1168" i="5"/>
  <c r="P1168" i="5"/>
  <c r="R1168" i="5"/>
  <c r="T1168" i="5"/>
  <c r="F1170" i="5"/>
  <c r="G1170" i="5"/>
  <c r="H1170" i="5"/>
  <c r="I1170" i="5"/>
  <c r="J1170" i="5"/>
  <c r="K1170" i="5"/>
  <c r="L1170" i="5"/>
  <c r="M1170" i="5"/>
  <c r="N1170" i="5"/>
  <c r="Q1168" i="5" s="1"/>
  <c r="O1171" i="5"/>
  <c r="P1171" i="5"/>
  <c r="R1171" i="5"/>
  <c r="T1171" i="5"/>
  <c r="F1173" i="5"/>
  <c r="G1173" i="5"/>
  <c r="H1173" i="5"/>
  <c r="I1173" i="5"/>
  <c r="J1173" i="5"/>
  <c r="K1173" i="5"/>
  <c r="L1173" i="5"/>
  <c r="M1173" i="5"/>
  <c r="N1173" i="5"/>
  <c r="Q1171" i="5" s="1"/>
  <c r="O1174" i="5"/>
  <c r="P1174" i="5"/>
  <c r="R1174" i="5"/>
  <c r="T1174" i="5"/>
  <c r="F1176" i="5"/>
  <c r="G1176" i="5"/>
  <c r="H1176" i="5"/>
  <c r="I1176" i="5"/>
  <c r="J1176" i="5"/>
  <c r="K1176" i="5"/>
  <c r="L1176" i="5"/>
  <c r="M1176" i="5"/>
  <c r="N1176" i="5"/>
  <c r="Q1174" i="5" s="1"/>
  <c r="O1177" i="5"/>
  <c r="P1177" i="5"/>
  <c r="R1177" i="5"/>
  <c r="T1177" i="5"/>
  <c r="F1179" i="5"/>
  <c r="G1179" i="5"/>
  <c r="H1179" i="5"/>
  <c r="I1179" i="5"/>
  <c r="J1179" i="5"/>
  <c r="K1179" i="5"/>
  <c r="L1179" i="5"/>
  <c r="M1179" i="5"/>
  <c r="N1179" i="5"/>
  <c r="Q1177" i="5" s="1"/>
  <c r="O1180" i="5"/>
  <c r="P1180" i="5"/>
  <c r="R1180" i="5"/>
  <c r="T1180" i="5"/>
  <c r="F1182" i="5"/>
  <c r="G1182" i="5"/>
  <c r="H1182" i="5"/>
  <c r="I1182" i="5"/>
  <c r="J1182" i="5"/>
  <c r="K1182" i="5"/>
  <c r="L1182" i="5"/>
  <c r="M1182" i="5"/>
  <c r="N1182" i="5"/>
  <c r="Q1180" i="5" s="1"/>
  <c r="O1183" i="5"/>
  <c r="P1183" i="5"/>
  <c r="R1183" i="5"/>
  <c r="T1183" i="5"/>
  <c r="F1185" i="5"/>
  <c r="G1185" i="5"/>
  <c r="H1185" i="5"/>
  <c r="I1185" i="5"/>
  <c r="J1185" i="5"/>
  <c r="K1185" i="5"/>
  <c r="L1185" i="5"/>
  <c r="M1185" i="5"/>
  <c r="N1185" i="5"/>
  <c r="Q1183" i="5" s="1"/>
  <c r="O1186" i="5"/>
  <c r="P1186" i="5"/>
  <c r="R1186" i="5"/>
  <c r="T1186" i="5"/>
  <c r="F1188" i="5"/>
  <c r="G1188" i="5"/>
  <c r="H1188" i="5"/>
  <c r="I1188" i="5"/>
  <c r="J1188" i="5"/>
  <c r="K1188" i="5"/>
  <c r="L1188" i="5"/>
  <c r="M1188" i="5"/>
  <c r="N1188" i="5"/>
  <c r="Q1186" i="5" s="1"/>
  <c r="O1189" i="5"/>
  <c r="P1189" i="5"/>
  <c r="R1189" i="5"/>
  <c r="T1189" i="5"/>
  <c r="F1191" i="5"/>
  <c r="G1191" i="5"/>
  <c r="H1191" i="5"/>
  <c r="I1191" i="5"/>
  <c r="J1191" i="5"/>
  <c r="K1191" i="5"/>
  <c r="L1191" i="5"/>
  <c r="M1191" i="5"/>
  <c r="N1191" i="5"/>
  <c r="Q1189" i="5" s="1"/>
  <c r="O1192" i="5"/>
  <c r="P1192" i="5"/>
  <c r="R1192" i="5"/>
  <c r="T1192" i="5"/>
  <c r="F1194" i="5"/>
  <c r="G1194" i="5"/>
  <c r="H1194" i="5"/>
  <c r="I1194" i="5"/>
  <c r="J1194" i="5"/>
  <c r="K1194" i="5"/>
  <c r="L1194" i="5"/>
  <c r="M1194" i="5"/>
  <c r="N1194" i="5"/>
  <c r="Q1192" i="5" s="1"/>
  <c r="O1195" i="5"/>
  <c r="P1195" i="5"/>
  <c r="R1195" i="5"/>
  <c r="T1195" i="5"/>
  <c r="F1197" i="5"/>
  <c r="G1197" i="5"/>
  <c r="H1197" i="5"/>
  <c r="I1197" i="5"/>
  <c r="J1197" i="5"/>
  <c r="K1197" i="5"/>
  <c r="L1197" i="5"/>
  <c r="M1197" i="5"/>
  <c r="N1197" i="5"/>
  <c r="Q1195" i="5" s="1"/>
  <c r="O1198" i="5"/>
  <c r="P1198" i="5"/>
  <c r="R1198" i="5"/>
  <c r="T1198" i="5"/>
  <c r="F1200" i="5"/>
  <c r="G1200" i="5"/>
  <c r="H1200" i="5"/>
  <c r="I1200" i="5"/>
  <c r="J1200" i="5"/>
  <c r="K1200" i="5"/>
  <c r="L1200" i="5"/>
  <c r="M1200" i="5"/>
  <c r="N1200" i="5"/>
  <c r="Q1198" i="5" s="1"/>
  <c r="O1201" i="5"/>
  <c r="P1201" i="5"/>
  <c r="R1201" i="5"/>
  <c r="T1201" i="5"/>
  <c r="F1203" i="5"/>
  <c r="G1203" i="5"/>
  <c r="H1203" i="5"/>
  <c r="I1203" i="5"/>
  <c r="J1203" i="5"/>
  <c r="K1203" i="5"/>
  <c r="L1203" i="5"/>
  <c r="M1203" i="5"/>
  <c r="N1203" i="5"/>
  <c r="Q1201" i="5" s="1"/>
  <c r="O1204" i="5"/>
  <c r="P1204" i="5"/>
  <c r="R1204" i="5"/>
  <c r="T1204" i="5"/>
  <c r="F1206" i="5"/>
  <c r="G1206" i="5"/>
  <c r="H1206" i="5"/>
  <c r="I1206" i="5"/>
  <c r="J1206" i="5"/>
  <c r="K1206" i="5"/>
  <c r="L1206" i="5"/>
  <c r="M1206" i="5"/>
  <c r="N1206" i="5"/>
  <c r="Q1204" i="5" s="1"/>
  <c r="O1207" i="5"/>
  <c r="P1207" i="5"/>
  <c r="Q1207" i="5"/>
  <c r="R1207" i="5"/>
  <c r="S1207" i="5"/>
  <c r="T1207" i="5"/>
  <c r="S1135" i="5" l="1"/>
  <c r="S1198" i="5"/>
  <c r="S1183" i="5"/>
  <c r="S1165" i="5"/>
  <c r="S1174" i="5"/>
  <c r="S1114" i="5"/>
  <c r="S1201" i="5"/>
  <c r="S1195" i="5"/>
  <c r="S1189" i="5"/>
  <c r="S1177" i="5"/>
  <c r="S1171" i="5"/>
  <c r="S1159" i="5"/>
  <c r="S1153" i="5"/>
  <c r="S1147" i="5"/>
  <c r="S1141" i="5"/>
  <c r="S1129" i="5"/>
  <c r="S1123" i="5"/>
  <c r="S1117" i="5"/>
  <c r="S1111" i="5"/>
  <c r="S1105" i="5"/>
  <c r="S1186" i="5"/>
  <c r="S1162" i="5"/>
  <c r="S1150" i="5"/>
  <c r="S1138" i="5"/>
  <c r="S1126" i="5"/>
  <c r="S1102" i="5"/>
  <c r="S1204" i="5"/>
  <c r="S1192" i="5"/>
  <c r="S1180" i="5"/>
  <c r="S1168" i="5"/>
  <c r="S1156" i="5"/>
  <c r="S1144" i="5"/>
  <c r="S1132" i="5"/>
  <c r="S1120" i="5"/>
  <c r="S1108" i="5"/>
  <c r="H60" i="7" l="1"/>
  <c r="G60" i="7"/>
  <c r="F60" i="7"/>
  <c r="E60" i="7"/>
  <c r="D60" i="7"/>
  <c r="C58" i="7"/>
  <c r="B58" i="7"/>
  <c r="A58" i="7"/>
  <c r="V36" i="7"/>
  <c r="X36" i="7" s="1"/>
  <c r="V37" i="7" s="1"/>
  <c r="U36" i="7"/>
  <c r="R36" i="7"/>
  <c r="P36" i="7"/>
  <c r="O36" i="7"/>
  <c r="R35" i="7" s="1"/>
  <c r="X35" i="7"/>
  <c r="W35" i="7"/>
  <c r="V35" i="7"/>
  <c r="U35" i="7"/>
  <c r="U38" i="7" s="1"/>
  <c r="Q35" i="7"/>
  <c r="P35" i="7"/>
  <c r="O35" i="7"/>
  <c r="L10" i="7"/>
  <c r="L9" i="7"/>
  <c r="L8" i="7"/>
  <c r="L7" i="7"/>
  <c r="L6" i="7"/>
  <c r="L5" i="7"/>
  <c r="L4" i="7"/>
  <c r="L3" i="7"/>
  <c r="Q411" i="6"/>
  <c r="P411" i="6"/>
  <c r="O411" i="6"/>
  <c r="N411" i="6"/>
  <c r="M411" i="6"/>
  <c r="L411" i="6"/>
  <c r="K411" i="6"/>
  <c r="J411" i="6"/>
  <c r="I411" i="6"/>
  <c r="H411" i="6"/>
  <c r="G411" i="6"/>
  <c r="F411" i="6"/>
  <c r="E411" i="6"/>
  <c r="Q408" i="6"/>
  <c r="P408" i="6"/>
  <c r="O408" i="6"/>
  <c r="N408" i="6"/>
  <c r="M408" i="6"/>
  <c r="L408" i="6"/>
  <c r="K408" i="6"/>
  <c r="J408" i="6"/>
  <c r="I408" i="6"/>
  <c r="H408" i="6"/>
  <c r="G408" i="6"/>
  <c r="F408" i="6"/>
  <c r="E408" i="6"/>
  <c r="Q405" i="6"/>
  <c r="P405" i="6"/>
  <c r="O405" i="6"/>
  <c r="N405" i="6"/>
  <c r="M405" i="6"/>
  <c r="L405" i="6"/>
  <c r="K405" i="6"/>
  <c r="J405" i="6"/>
  <c r="I405" i="6"/>
  <c r="H405" i="6"/>
  <c r="G405" i="6"/>
  <c r="F405" i="6"/>
  <c r="E405" i="6"/>
  <c r="Q402" i="6"/>
  <c r="P402" i="6"/>
  <c r="O402" i="6"/>
  <c r="N402" i="6"/>
  <c r="M402" i="6"/>
  <c r="L402" i="6"/>
  <c r="K402" i="6"/>
  <c r="J402" i="6"/>
  <c r="I402" i="6"/>
  <c r="H402" i="6"/>
  <c r="G402" i="6"/>
  <c r="F402" i="6"/>
  <c r="E402" i="6"/>
  <c r="Q399" i="6"/>
  <c r="P399" i="6"/>
  <c r="O399" i="6"/>
  <c r="N399" i="6"/>
  <c r="M399" i="6"/>
  <c r="L399" i="6"/>
  <c r="K399" i="6"/>
  <c r="J399" i="6"/>
  <c r="I399" i="6"/>
  <c r="H399" i="6"/>
  <c r="G399" i="6"/>
  <c r="F399" i="6"/>
  <c r="E399" i="6"/>
  <c r="Q396" i="6"/>
  <c r="P396" i="6"/>
  <c r="O396" i="6"/>
  <c r="N396" i="6"/>
  <c r="M396" i="6"/>
  <c r="L396" i="6"/>
  <c r="K396" i="6"/>
  <c r="J396" i="6"/>
  <c r="I396" i="6"/>
  <c r="H396" i="6"/>
  <c r="G396" i="6"/>
  <c r="F396" i="6"/>
  <c r="E396" i="6"/>
  <c r="Q393" i="6"/>
  <c r="P393" i="6"/>
  <c r="O393" i="6"/>
  <c r="N393" i="6"/>
  <c r="M393" i="6"/>
  <c r="L393" i="6"/>
  <c r="K393" i="6"/>
  <c r="J393" i="6"/>
  <c r="I393" i="6"/>
  <c r="H393" i="6"/>
  <c r="G393" i="6"/>
  <c r="F393" i="6"/>
  <c r="E393" i="6"/>
  <c r="Q390" i="6"/>
  <c r="P390" i="6"/>
  <c r="O390" i="6"/>
  <c r="N390" i="6"/>
  <c r="M390" i="6"/>
  <c r="L390" i="6"/>
  <c r="K390" i="6"/>
  <c r="J390" i="6"/>
  <c r="I390" i="6"/>
  <c r="H390" i="6"/>
  <c r="G390" i="6"/>
  <c r="F390" i="6"/>
  <c r="E390" i="6"/>
  <c r="Q387" i="6"/>
  <c r="P387" i="6"/>
  <c r="O387" i="6"/>
  <c r="N387" i="6"/>
  <c r="M387" i="6"/>
  <c r="L387" i="6"/>
  <c r="K387" i="6"/>
  <c r="J387" i="6"/>
  <c r="I387" i="6"/>
  <c r="H387" i="6"/>
  <c r="G387" i="6"/>
  <c r="F387" i="6"/>
  <c r="E387" i="6"/>
  <c r="Q384" i="6"/>
  <c r="P384" i="6"/>
  <c r="O384" i="6"/>
  <c r="N384" i="6"/>
  <c r="M384" i="6"/>
  <c r="L384" i="6"/>
  <c r="K384" i="6"/>
  <c r="J384" i="6"/>
  <c r="I384" i="6"/>
  <c r="H384" i="6"/>
  <c r="G384" i="6"/>
  <c r="F384" i="6"/>
  <c r="E384" i="6"/>
  <c r="Q381" i="6"/>
  <c r="P381" i="6"/>
  <c r="O381" i="6"/>
  <c r="N381" i="6"/>
  <c r="M381" i="6"/>
  <c r="L381" i="6"/>
  <c r="K381" i="6"/>
  <c r="J381" i="6"/>
  <c r="I381" i="6"/>
  <c r="H381" i="6"/>
  <c r="G381" i="6"/>
  <c r="F381" i="6"/>
  <c r="E381" i="6"/>
  <c r="Q378" i="6"/>
  <c r="P378" i="6"/>
  <c r="O378" i="6"/>
  <c r="N378" i="6"/>
  <c r="M378" i="6"/>
  <c r="L378" i="6"/>
  <c r="K378" i="6"/>
  <c r="J378" i="6"/>
  <c r="I378" i="6"/>
  <c r="H378" i="6"/>
  <c r="G378" i="6"/>
  <c r="F378" i="6"/>
  <c r="E378" i="6"/>
  <c r="Q375" i="6"/>
  <c r="P375" i="6"/>
  <c r="O375" i="6"/>
  <c r="N375" i="6"/>
  <c r="M375" i="6"/>
  <c r="L375" i="6"/>
  <c r="K375" i="6"/>
  <c r="J375" i="6"/>
  <c r="I375" i="6"/>
  <c r="H375" i="6"/>
  <c r="G375" i="6"/>
  <c r="F375" i="6"/>
  <c r="E375" i="6"/>
  <c r="Q372" i="6"/>
  <c r="P372" i="6"/>
  <c r="O372" i="6"/>
  <c r="N372" i="6"/>
  <c r="M372" i="6"/>
  <c r="L372" i="6"/>
  <c r="K372" i="6"/>
  <c r="J372" i="6"/>
  <c r="I372" i="6"/>
  <c r="H372" i="6"/>
  <c r="G372" i="6"/>
  <c r="F372" i="6"/>
  <c r="E372" i="6"/>
  <c r="Q369" i="6"/>
  <c r="P369" i="6"/>
  <c r="O369" i="6"/>
  <c r="N369" i="6"/>
  <c r="M369" i="6"/>
  <c r="L369" i="6"/>
  <c r="K369" i="6"/>
  <c r="J369" i="6"/>
  <c r="I369" i="6"/>
  <c r="H369" i="6"/>
  <c r="G369" i="6"/>
  <c r="F369" i="6"/>
  <c r="E369" i="6"/>
  <c r="Q366" i="6"/>
  <c r="P366" i="6"/>
  <c r="O366" i="6"/>
  <c r="N366" i="6"/>
  <c r="M366" i="6"/>
  <c r="L366" i="6"/>
  <c r="K366" i="6"/>
  <c r="J366" i="6"/>
  <c r="I366" i="6"/>
  <c r="H366" i="6"/>
  <c r="G366" i="6"/>
  <c r="F366" i="6"/>
  <c r="E366" i="6"/>
  <c r="Q363" i="6"/>
  <c r="P363" i="6"/>
  <c r="O363" i="6"/>
  <c r="N363" i="6"/>
  <c r="M363" i="6"/>
  <c r="L363" i="6"/>
  <c r="K363" i="6"/>
  <c r="J363" i="6"/>
  <c r="I363" i="6"/>
  <c r="H363" i="6"/>
  <c r="G363" i="6"/>
  <c r="F363" i="6"/>
  <c r="E363" i="6"/>
  <c r="Q360" i="6"/>
  <c r="P360" i="6"/>
  <c r="O360" i="6"/>
  <c r="N360" i="6"/>
  <c r="M360" i="6"/>
  <c r="L360" i="6"/>
  <c r="K360" i="6"/>
  <c r="J360" i="6"/>
  <c r="I360" i="6"/>
  <c r="H360" i="6"/>
  <c r="G360" i="6"/>
  <c r="F360" i="6"/>
  <c r="E360" i="6"/>
  <c r="Q357" i="6"/>
  <c r="P357" i="6"/>
  <c r="O357" i="6"/>
  <c r="N357" i="6"/>
  <c r="M357" i="6"/>
  <c r="L357" i="6"/>
  <c r="K357" i="6"/>
  <c r="J357" i="6"/>
  <c r="I357" i="6"/>
  <c r="H357" i="6"/>
  <c r="G357" i="6"/>
  <c r="F357" i="6"/>
  <c r="E357" i="6"/>
  <c r="Q354" i="6"/>
  <c r="P354" i="6"/>
  <c r="O354" i="6"/>
  <c r="N354" i="6"/>
  <c r="M354" i="6"/>
  <c r="L354" i="6"/>
  <c r="K354" i="6"/>
  <c r="J354" i="6"/>
  <c r="I354" i="6"/>
  <c r="H354" i="6"/>
  <c r="G354" i="6"/>
  <c r="F354" i="6"/>
  <c r="E354" i="6"/>
  <c r="Q351" i="6"/>
  <c r="P351" i="6"/>
  <c r="O351" i="6"/>
  <c r="N351" i="6"/>
  <c r="M351" i="6"/>
  <c r="L351" i="6"/>
  <c r="K351" i="6"/>
  <c r="J351" i="6"/>
  <c r="I351" i="6"/>
  <c r="H351" i="6"/>
  <c r="G351" i="6"/>
  <c r="F351" i="6"/>
  <c r="E351" i="6"/>
  <c r="Q348" i="6"/>
  <c r="P348" i="6"/>
  <c r="O348" i="6"/>
  <c r="N348" i="6"/>
  <c r="M348" i="6"/>
  <c r="L348" i="6"/>
  <c r="K348" i="6"/>
  <c r="J348" i="6"/>
  <c r="I348" i="6"/>
  <c r="H348" i="6"/>
  <c r="G348" i="6"/>
  <c r="F348" i="6"/>
  <c r="E348" i="6"/>
  <c r="Q345" i="6"/>
  <c r="P345" i="6"/>
  <c r="O345" i="6"/>
  <c r="N345" i="6"/>
  <c r="M345" i="6"/>
  <c r="L345" i="6"/>
  <c r="K345" i="6"/>
  <c r="J345" i="6"/>
  <c r="I345" i="6"/>
  <c r="H345" i="6"/>
  <c r="G345" i="6"/>
  <c r="F345" i="6"/>
  <c r="E345" i="6"/>
  <c r="Q342" i="6"/>
  <c r="P342" i="6"/>
  <c r="O342" i="6"/>
  <c r="N342" i="6"/>
  <c r="M342" i="6"/>
  <c r="L342" i="6"/>
  <c r="K342" i="6"/>
  <c r="J342" i="6"/>
  <c r="I342" i="6"/>
  <c r="H342" i="6"/>
  <c r="G342" i="6"/>
  <c r="F342" i="6"/>
  <c r="E342" i="6"/>
  <c r="Q339" i="6"/>
  <c r="P339" i="6"/>
  <c r="O339" i="6"/>
  <c r="N339" i="6"/>
  <c r="M339" i="6"/>
  <c r="L339" i="6"/>
  <c r="K339" i="6"/>
  <c r="J339" i="6"/>
  <c r="I339" i="6"/>
  <c r="H339" i="6"/>
  <c r="G339" i="6"/>
  <c r="F339" i="6"/>
  <c r="E339" i="6"/>
  <c r="Q336" i="6"/>
  <c r="P336" i="6"/>
  <c r="O336" i="6"/>
  <c r="N336" i="6"/>
  <c r="M336" i="6"/>
  <c r="L336" i="6"/>
  <c r="K336" i="6"/>
  <c r="J336" i="6"/>
  <c r="I336" i="6"/>
  <c r="H336" i="6"/>
  <c r="G336" i="6"/>
  <c r="F336" i="6"/>
  <c r="E336" i="6"/>
  <c r="Q333" i="6"/>
  <c r="P333" i="6"/>
  <c r="O333" i="6"/>
  <c r="N333" i="6"/>
  <c r="M333" i="6"/>
  <c r="L333" i="6"/>
  <c r="K333" i="6"/>
  <c r="J333" i="6"/>
  <c r="I333" i="6"/>
  <c r="H333" i="6"/>
  <c r="G333" i="6"/>
  <c r="F333" i="6"/>
  <c r="E333" i="6"/>
  <c r="Q330" i="6"/>
  <c r="P330" i="6"/>
  <c r="O330" i="6"/>
  <c r="N330" i="6"/>
  <c r="M330" i="6"/>
  <c r="L330" i="6"/>
  <c r="K330" i="6"/>
  <c r="J330" i="6"/>
  <c r="I330" i="6"/>
  <c r="H330" i="6"/>
  <c r="G330" i="6"/>
  <c r="F330" i="6"/>
  <c r="E330" i="6"/>
  <c r="Q327" i="6"/>
  <c r="P327" i="6"/>
  <c r="O327" i="6"/>
  <c r="N327" i="6"/>
  <c r="M327" i="6"/>
  <c r="L327" i="6"/>
  <c r="K327" i="6"/>
  <c r="J327" i="6"/>
  <c r="I327" i="6"/>
  <c r="H327" i="6"/>
  <c r="G327" i="6"/>
  <c r="F327" i="6"/>
  <c r="E327" i="6"/>
  <c r="Q324" i="6"/>
  <c r="P324" i="6"/>
  <c r="O324" i="6"/>
  <c r="N324" i="6"/>
  <c r="M324" i="6"/>
  <c r="L324" i="6"/>
  <c r="K324" i="6"/>
  <c r="J324" i="6"/>
  <c r="I324" i="6"/>
  <c r="H324" i="6"/>
  <c r="G324" i="6"/>
  <c r="F324" i="6"/>
  <c r="E324" i="6"/>
  <c r="Q321" i="6"/>
  <c r="P321" i="6"/>
  <c r="O321" i="6"/>
  <c r="N321" i="6"/>
  <c r="M321" i="6"/>
  <c r="L321" i="6"/>
  <c r="K321" i="6"/>
  <c r="J321" i="6"/>
  <c r="I321" i="6"/>
  <c r="H321" i="6"/>
  <c r="G321" i="6"/>
  <c r="F321" i="6"/>
  <c r="E321" i="6"/>
  <c r="Q318" i="6"/>
  <c r="P318" i="6"/>
  <c r="O318" i="6"/>
  <c r="N318" i="6"/>
  <c r="M318" i="6"/>
  <c r="L318" i="6"/>
  <c r="K318" i="6"/>
  <c r="J318" i="6"/>
  <c r="I318" i="6"/>
  <c r="H318" i="6"/>
  <c r="G318" i="6"/>
  <c r="F318" i="6"/>
  <c r="E318" i="6"/>
  <c r="Q315" i="6"/>
  <c r="P315" i="6"/>
  <c r="O315" i="6"/>
  <c r="N315" i="6"/>
  <c r="M315" i="6"/>
  <c r="L315" i="6"/>
  <c r="K315" i="6"/>
  <c r="J315" i="6"/>
  <c r="I315" i="6"/>
  <c r="H315" i="6"/>
  <c r="G315" i="6"/>
  <c r="F315" i="6"/>
  <c r="E315" i="6"/>
  <c r="Q312" i="6"/>
  <c r="P312" i="6"/>
  <c r="O312" i="6"/>
  <c r="N312" i="6"/>
  <c r="M312" i="6"/>
  <c r="L312" i="6"/>
  <c r="K312" i="6"/>
  <c r="J312" i="6"/>
  <c r="I312" i="6"/>
  <c r="H312" i="6"/>
  <c r="G312" i="6"/>
  <c r="F312" i="6"/>
  <c r="E312" i="6"/>
  <c r="Q309" i="6"/>
  <c r="P309" i="6"/>
  <c r="O309" i="6"/>
  <c r="N309" i="6"/>
  <c r="M309" i="6"/>
  <c r="L309" i="6"/>
  <c r="K309" i="6"/>
  <c r="J309" i="6"/>
  <c r="I309" i="6"/>
  <c r="H309" i="6"/>
  <c r="G309" i="6"/>
  <c r="F309" i="6"/>
  <c r="E309" i="6"/>
  <c r="Q306" i="6"/>
  <c r="P306" i="6"/>
  <c r="O306" i="6"/>
  <c r="N306" i="6"/>
  <c r="M306" i="6"/>
  <c r="L306" i="6"/>
  <c r="K306" i="6"/>
  <c r="J306" i="6"/>
  <c r="I306" i="6"/>
  <c r="H306" i="6"/>
  <c r="G306" i="6"/>
  <c r="F306" i="6"/>
  <c r="E306" i="6"/>
  <c r="Q303" i="6"/>
  <c r="P303" i="6"/>
  <c r="O303" i="6"/>
  <c r="N303" i="6"/>
  <c r="M303" i="6"/>
  <c r="L303" i="6"/>
  <c r="K303" i="6"/>
  <c r="J303" i="6"/>
  <c r="I303" i="6"/>
  <c r="H303" i="6"/>
  <c r="G303" i="6"/>
  <c r="F303" i="6"/>
  <c r="E303" i="6"/>
  <c r="Q300" i="6"/>
  <c r="P300" i="6"/>
  <c r="O300" i="6"/>
  <c r="N300" i="6"/>
  <c r="M300" i="6"/>
  <c r="L300" i="6"/>
  <c r="K300" i="6"/>
  <c r="J300" i="6"/>
  <c r="I300" i="6"/>
  <c r="H300" i="6"/>
  <c r="G300" i="6"/>
  <c r="F300" i="6"/>
  <c r="E300" i="6"/>
  <c r="Q297" i="6"/>
  <c r="P297" i="6"/>
  <c r="O297" i="6"/>
  <c r="N297" i="6"/>
  <c r="M297" i="6"/>
  <c r="L297" i="6"/>
  <c r="K297" i="6"/>
  <c r="J297" i="6"/>
  <c r="I297" i="6"/>
  <c r="H297" i="6"/>
  <c r="G297" i="6"/>
  <c r="F297" i="6"/>
  <c r="E297" i="6"/>
  <c r="Q294" i="6"/>
  <c r="P294" i="6"/>
  <c r="O294" i="6"/>
  <c r="N294" i="6"/>
  <c r="M294" i="6"/>
  <c r="L294" i="6"/>
  <c r="K294" i="6"/>
  <c r="J294" i="6"/>
  <c r="I294" i="6"/>
  <c r="H294" i="6"/>
  <c r="G294" i="6"/>
  <c r="F294" i="6"/>
  <c r="E294" i="6"/>
  <c r="Q291" i="6"/>
  <c r="P291" i="6"/>
  <c r="O291" i="6"/>
  <c r="N291" i="6"/>
  <c r="M291" i="6"/>
  <c r="L291" i="6"/>
  <c r="K291" i="6"/>
  <c r="J291" i="6"/>
  <c r="I291" i="6"/>
  <c r="H291" i="6"/>
  <c r="G291" i="6"/>
  <c r="F291" i="6"/>
  <c r="E291" i="6"/>
  <c r="Q288" i="6"/>
  <c r="P288" i="6"/>
  <c r="O288" i="6"/>
  <c r="N288" i="6"/>
  <c r="M288" i="6"/>
  <c r="L288" i="6"/>
  <c r="K288" i="6"/>
  <c r="J288" i="6"/>
  <c r="I288" i="6"/>
  <c r="H288" i="6"/>
  <c r="G288" i="6"/>
  <c r="F288" i="6"/>
  <c r="E288" i="6"/>
  <c r="Q285" i="6"/>
  <c r="P285" i="6"/>
  <c r="O285" i="6"/>
  <c r="N285" i="6"/>
  <c r="M285" i="6"/>
  <c r="L285" i="6"/>
  <c r="K285" i="6"/>
  <c r="J285" i="6"/>
  <c r="I285" i="6"/>
  <c r="H285" i="6"/>
  <c r="G285" i="6"/>
  <c r="F285" i="6"/>
  <c r="E285" i="6"/>
  <c r="Q282" i="6"/>
  <c r="P282" i="6"/>
  <c r="O282" i="6"/>
  <c r="N282" i="6"/>
  <c r="M282" i="6"/>
  <c r="L282" i="6"/>
  <c r="K282" i="6"/>
  <c r="J282" i="6"/>
  <c r="I282" i="6"/>
  <c r="H282" i="6"/>
  <c r="G282" i="6"/>
  <c r="F282" i="6"/>
  <c r="E282" i="6"/>
  <c r="Q279" i="6"/>
  <c r="P279" i="6"/>
  <c r="O279" i="6"/>
  <c r="N279" i="6"/>
  <c r="M279" i="6"/>
  <c r="L279" i="6"/>
  <c r="K279" i="6"/>
  <c r="J279" i="6"/>
  <c r="I279" i="6"/>
  <c r="H279" i="6"/>
  <c r="G279" i="6"/>
  <c r="F279" i="6"/>
  <c r="E279" i="6"/>
  <c r="Q276" i="6"/>
  <c r="P276" i="6"/>
  <c r="O276" i="6"/>
  <c r="N276" i="6"/>
  <c r="M276" i="6"/>
  <c r="L276" i="6"/>
  <c r="K276" i="6"/>
  <c r="J276" i="6"/>
  <c r="I276" i="6"/>
  <c r="H276" i="6"/>
  <c r="G276" i="6"/>
  <c r="F276" i="6"/>
  <c r="E276" i="6"/>
  <c r="Q273" i="6"/>
  <c r="P273" i="6"/>
  <c r="O273" i="6"/>
  <c r="N273" i="6"/>
  <c r="M273" i="6"/>
  <c r="L273" i="6"/>
  <c r="K273" i="6"/>
  <c r="J273" i="6"/>
  <c r="I273" i="6"/>
  <c r="H273" i="6"/>
  <c r="G273" i="6"/>
  <c r="F273" i="6"/>
  <c r="E273" i="6"/>
  <c r="Q270" i="6"/>
  <c r="P270" i="6"/>
  <c r="O270" i="6"/>
  <c r="N270" i="6"/>
  <c r="M270" i="6"/>
  <c r="L270" i="6"/>
  <c r="K270" i="6"/>
  <c r="J270" i="6"/>
  <c r="I270" i="6"/>
  <c r="H270" i="6"/>
  <c r="G270" i="6"/>
  <c r="F270" i="6"/>
  <c r="E270" i="6"/>
  <c r="Q267" i="6"/>
  <c r="P267" i="6"/>
  <c r="O267" i="6"/>
  <c r="N267" i="6"/>
  <c r="M267" i="6"/>
  <c r="L267" i="6"/>
  <c r="K267" i="6"/>
  <c r="J267" i="6"/>
  <c r="I267" i="6"/>
  <c r="H267" i="6"/>
  <c r="G267" i="6"/>
  <c r="F267" i="6"/>
  <c r="E267" i="6"/>
  <c r="Q264" i="6"/>
  <c r="P264" i="6"/>
  <c r="O264" i="6"/>
  <c r="N264" i="6"/>
  <c r="M264" i="6"/>
  <c r="L264" i="6"/>
  <c r="K264" i="6"/>
  <c r="J264" i="6"/>
  <c r="I264" i="6"/>
  <c r="H264" i="6"/>
  <c r="G264" i="6"/>
  <c r="F264" i="6"/>
  <c r="E264" i="6"/>
  <c r="Q261" i="6"/>
  <c r="P261" i="6"/>
  <c r="O261" i="6"/>
  <c r="N261" i="6"/>
  <c r="M261" i="6"/>
  <c r="L261" i="6"/>
  <c r="K261" i="6"/>
  <c r="J261" i="6"/>
  <c r="I261" i="6"/>
  <c r="H261" i="6"/>
  <c r="G261" i="6"/>
  <c r="F261" i="6"/>
  <c r="E261" i="6"/>
  <c r="Q258" i="6"/>
  <c r="P258" i="6"/>
  <c r="O258" i="6"/>
  <c r="N258" i="6"/>
  <c r="M258" i="6"/>
  <c r="L258" i="6"/>
  <c r="K258" i="6"/>
  <c r="J258" i="6"/>
  <c r="I258" i="6"/>
  <c r="H258" i="6"/>
  <c r="G258" i="6"/>
  <c r="F258" i="6"/>
  <c r="E258" i="6"/>
  <c r="Q255" i="6"/>
  <c r="P255" i="6"/>
  <c r="O255" i="6"/>
  <c r="N255" i="6"/>
  <c r="M255" i="6"/>
  <c r="L255" i="6"/>
  <c r="K255" i="6"/>
  <c r="J255" i="6"/>
  <c r="I255" i="6"/>
  <c r="H255" i="6"/>
  <c r="G255" i="6"/>
  <c r="F255" i="6"/>
  <c r="E255" i="6"/>
  <c r="Q252" i="6"/>
  <c r="P252" i="6"/>
  <c r="O252" i="6"/>
  <c r="N252" i="6"/>
  <c r="M252" i="6"/>
  <c r="L252" i="6"/>
  <c r="K252" i="6"/>
  <c r="J252" i="6"/>
  <c r="I252" i="6"/>
  <c r="H252" i="6"/>
  <c r="G252" i="6"/>
  <c r="F252" i="6"/>
  <c r="E252" i="6"/>
  <c r="Q249" i="6"/>
  <c r="P249" i="6"/>
  <c r="O249" i="6"/>
  <c r="N249" i="6"/>
  <c r="M249" i="6"/>
  <c r="L249" i="6"/>
  <c r="K249" i="6"/>
  <c r="J249" i="6"/>
  <c r="I249" i="6"/>
  <c r="H249" i="6"/>
  <c r="G249" i="6"/>
  <c r="F249" i="6"/>
  <c r="E249" i="6"/>
  <c r="Q246" i="6"/>
  <c r="P246" i="6"/>
  <c r="O246" i="6"/>
  <c r="N246" i="6"/>
  <c r="M246" i="6"/>
  <c r="L246" i="6"/>
  <c r="K246" i="6"/>
  <c r="J246" i="6"/>
  <c r="I246" i="6"/>
  <c r="H246" i="6"/>
  <c r="G246" i="6"/>
  <c r="F246" i="6"/>
  <c r="E246" i="6"/>
  <c r="Q243" i="6"/>
  <c r="P243" i="6"/>
  <c r="O243" i="6"/>
  <c r="N243" i="6"/>
  <c r="M243" i="6"/>
  <c r="L243" i="6"/>
  <c r="K243" i="6"/>
  <c r="J243" i="6"/>
  <c r="I243" i="6"/>
  <c r="H243" i="6"/>
  <c r="G243" i="6"/>
  <c r="F243" i="6"/>
  <c r="E243" i="6"/>
  <c r="Q240" i="6"/>
  <c r="P240" i="6"/>
  <c r="O240" i="6"/>
  <c r="N240" i="6"/>
  <c r="M240" i="6"/>
  <c r="L240" i="6"/>
  <c r="K240" i="6"/>
  <c r="J240" i="6"/>
  <c r="I240" i="6"/>
  <c r="H240" i="6"/>
  <c r="G240" i="6"/>
  <c r="F240" i="6"/>
  <c r="E240" i="6"/>
  <c r="Q237" i="6"/>
  <c r="P237" i="6"/>
  <c r="O237" i="6"/>
  <c r="N237" i="6"/>
  <c r="M237" i="6"/>
  <c r="L237" i="6"/>
  <c r="K237" i="6"/>
  <c r="J237" i="6"/>
  <c r="I237" i="6"/>
  <c r="H237" i="6"/>
  <c r="G237" i="6"/>
  <c r="F237" i="6"/>
  <c r="E237" i="6"/>
  <c r="Q234" i="6"/>
  <c r="P234" i="6"/>
  <c r="O234" i="6"/>
  <c r="N234" i="6"/>
  <c r="M234" i="6"/>
  <c r="L234" i="6"/>
  <c r="K234" i="6"/>
  <c r="J234" i="6"/>
  <c r="I234" i="6"/>
  <c r="H234" i="6"/>
  <c r="G234" i="6"/>
  <c r="F234" i="6"/>
  <c r="E234" i="6"/>
  <c r="Q231" i="6"/>
  <c r="P231" i="6"/>
  <c r="O231" i="6"/>
  <c r="N231" i="6"/>
  <c r="M231" i="6"/>
  <c r="L231" i="6"/>
  <c r="K231" i="6"/>
  <c r="J231" i="6"/>
  <c r="I231" i="6"/>
  <c r="H231" i="6"/>
  <c r="G231" i="6"/>
  <c r="F231" i="6"/>
  <c r="E231" i="6"/>
  <c r="Q228" i="6"/>
  <c r="P228" i="6"/>
  <c r="O228" i="6"/>
  <c r="N228" i="6"/>
  <c r="M228" i="6"/>
  <c r="L228" i="6"/>
  <c r="K228" i="6"/>
  <c r="J228" i="6"/>
  <c r="I228" i="6"/>
  <c r="H228" i="6"/>
  <c r="G228" i="6"/>
  <c r="F228" i="6"/>
  <c r="E228" i="6"/>
  <c r="Q225" i="6"/>
  <c r="P225" i="6"/>
  <c r="O225" i="6"/>
  <c r="N225" i="6"/>
  <c r="M225" i="6"/>
  <c r="L225" i="6"/>
  <c r="K225" i="6"/>
  <c r="J225" i="6"/>
  <c r="I225" i="6"/>
  <c r="H225" i="6"/>
  <c r="G225" i="6"/>
  <c r="F225" i="6"/>
  <c r="E225" i="6"/>
  <c r="Q222" i="6"/>
  <c r="P222" i="6"/>
  <c r="O222" i="6"/>
  <c r="N222" i="6"/>
  <c r="M222" i="6"/>
  <c r="L222" i="6"/>
  <c r="K222" i="6"/>
  <c r="J222" i="6"/>
  <c r="I222" i="6"/>
  <c r="H222" i="6"/>
  <c r="G222" i="6"/>
  <c r="F222" i="6"/>
  <c r="E222" i="6"/>
  <c r="Q219" i="6"/>
  <c r="P219" i="6"/>
  <c r="O219" i="6"/>
  <c r="N219" i="6"/>
  <c r="M219" i="6"/>
  <c r="L219" i="6"/>
  <c r="K219" i="6"/>
  <c r="J219" i="6"/>
  <c r="I219" i="6"/>
  <c r="H219" i="6"/>
  <c r="G219" i="6"/>
  <c r="F219" i="6"/>
  <c r="E219" i="6"/>
  <c r="Q216" i="6"/>
  <c r="P216" i="6"/>
  <c r="O216" i="6"/>
  <c r="N216" i="6"/>
  <c r="M216" i="6"/>
  <c r="L216" i="6"/>
  <c r="K216" i="6"/>
  <c r="J216" i="6"/>
  <c r="I216" i="6"/>
  <c r="H216" i="6"/>
  <c r="G216" i="6"/>
  <c r="F216" i="6"/>
  <c r="E216" i="6"/>
  <c r="Q213" i="6"/>
  <c r="P213" i="6"/>
  <c r="O213" i="6"/>
  <c r="N213" i="6"/>
  <c r="M213" i="6"/>
  <c r="L213" i="6"/>
  <c r="K213" i="6"/>
  <c r="J213" i="6"/>
  <c r="I213" i="6"/>
  <c r="H213" i="6"/>
  <c r="G213" i="6"/>
  <c r="F213" i="6"/>
  <c r="E213" i="6"/>
  <c r="Q210" i="6"/>
  <c r="P210" i="6"/>
  <c r="O210" i="6"/>
  <c r="N210" i="6"/>
  <c r="M210" i="6"/>
  <c r="L210" i="6"/>
  <c r="K210" i="6"/>
  <c r="J210" i="6"/>
  <c r="I210" i="6"/>
  <c r="H210" i="6"/>
  <c r="G210" i="6"/>
  <c r="F210" i="6"/>
  <c r="E210" i="6"/>
  <c r="Q207" i="6"/>
  <c r="P207" i="6"/>
  <c r="O207" i="6"/>
  <c r="N207" i="6"/>
  <c r="M207" i="6"/>
  <c r="L207" i="6"/>
  <c r="K207" i="6"/>
  <c r="J207" i="6"/>
  <c r="I207" i="6"/>
  <c r="H207" i="6"/>
  <c r="G207" i="6"/>
  <c r="F207" i="6"/>
  <c r="E207" i="6"/>
  <c r="Q204" i="6"/>
  <c r="P204" i="6"/>
  <c r="O204" i="6"/>
  <c r="N204" i="6"/>
  <c r="M204" i="6"/>
  <c r="L204" i="6"/>
  <c r="K204" i="6"/>
  <c r="J204" i="6"/>
  <c r="I204" i="6"/>
  <c r="H204" i="6"/>
  <c r="G204" i="6"/>
  <c r="F204" i="6"/>
  <c r="E204" i="6"/>
  <c r="Q201" i="6"/>
  <c r="P201" i="6"/>
  <c r="O201" i="6"/>
  <c r="N201" i="6"/>
  <c r="M201" i="6"/>
  <c r="L201" i="6"/>
  <c r="K201" i="6"/>
  <c r="J201" i="6"/>
  <c r="I201" i="6"/>
  <c r="H201" i="6"/>
  <c r="G201" i="6"/>
  <c r="F201" i="6"/>
  <c r="E201" i="6"/>
  <c r="Q198" i="6"/>
  <c r="P198" i="6"/>
  <c r="O198" i="6"/>
  <c r="N198" i="6"/>
  <c r="M198" i="6"/>
  <c r="L198" i="6"/>
  <c r="K198" i="6"/>
  <c r="J198" i="6"/>
  <c r="I198" i="6"/>
  <c r="H198" i="6"/>
  <c r="G198" i="6"/>
  <c r="F198" i="6"/>
  <c r="E198" i="6"/>
  <c r="Q195" i="6"/>
  <c r="P195" i="6"/>
  <c r="O195" i="6"/>
  <c r="N195" i="6"/>
  <c r="M195" i="6"/>
  <c r="L195" i="6"/>
  <c r="K195" i="6"/>
  <c r="J195" i="6"/>
  <c r="I195" i="6"/>
  <c r="H195" i="6"/>
  <c r="G195" i="6"/>
  <c r="F195" i="6"/>
  <c r="E195" i="6"/>
  <c r="Q192" i="6"/>
  <c r="P192" i="6"/>
  <c r="O192" i="6"/>
  <c r="N192" i="6"/>
  <c r="M192" i="6"/>
  <c r="L192" i="6"/>
  <c r="K192" i="6"/>
  <c r="J192" i="6"/>
  <c r="I192" i="6"/>
  <c r="H192" i="6"/>
  <c r="G192" i="6"/>
  <c r="F192" i="6"/>
  <c r="E192" i="6"/>
  <c r="Q189" i="6"/>
  <c r="P189" i="6"/>
  <c r="O189" i="6"/>
  <c r="N189" i="6"/>
  <c r="M189" i="6"/>
  <c r="L189" i="6"/>
  <c r="K189" i="6"/>
  <c r="J189" i="6"/>
  <c r="I189" i="6"/>
  <c r="H189" i="6"/>
  <c r="G189" i="6"/>
  <c r="F189" i="6"/>
  <c r="E189" i="6"/>
  <c r="Q186" i="6"/>
  <c r="P186" i="6"/>
  <c r="O186" i="6"/>
  <c r="N186" i="6"/>
  <c r="M186" i="6"/>
  <c r="L186" i="6"/>
  <c r="K186" i="6"/>
  <c r="J186" i="6"/>
  <c r="I186" i="6"/>
  <c r="H186" i="6"/>
  <c r="G186" i="6"/>
  <c r="F186" i="6"/>
  <c r="E186" i="6"/>
  <c r="Q183" i="6"/>
  <c r="P183" i="6"/>
  <c r="O183" i="6"/>
  <c r="N183" i="6"/>
  <c r="M183" i="6"/>
  <c r="L183" i="6"/>
  <c r="K183" i="6"/>
  <c r="J183" i="6"/>
  <c r="I183" i="6"/>
  <c r="H183" i="6"/>
  <c r="G183" i="6"/>
  <c r="F183" i="6"/>
  <c r="E183" i="6"/>
  <c r="Q180" i="6"/>
  <c r="P180" i="6"/>
  <c r="O180" i="6"/>
  <c r="N180" i="6"/>
  <c r="M180" i="6"/>
  <c r="L180" i="6"/>
  <c r="K180" i="6"/>
  <c r="J180" i="6"/>
  <c r="I180" i="6"/>
  <c r="H180" i="6"/>
  <c r="G180" i="6"/>
  <c r="F180" i="6"/>
  <c r="E180" i="6"/>
  <c r="Q177" i="6"/>
  <c r="P177" i="6"/>
  <c r="O177" i="6"/>
  <c r="N177" i="6"/>
  <c r="M177" i="6"/>
  <c r="L177" i="6"/>
  <c r="K177" i="6"/>
  <c r="J177" i="6"/>
  <c r="I177" i="6"/>
  <c r="H177" i="6"/>
  <c r="G177" i="6"/>
  <c r="F177" i="6"/>
  <c r="E177" i="6"/>
  <c r="Q174" i="6"/>
  <c r="P174" i="6"/>
  <c r="O174" i="6"/>
  <c r="N174" i="6"/>
  <c r="M174" i="6"/>
  <c r="L174" i="6"/>
  <c r="K174" i="6"/>
  <c r="J174" i="6"/>
  <c r="I174" i="6"/>
  <c r="H174" i="6"/>
  <c r="G174" i="6"/>
  <c r="F174" i="6"/>
  <c r="E174" i="6"/>
  <c r="Q171" i="6"/>
  <c r="P171" i="6"/>
  <c r="O171" i="6"/>
  <c r="N171" i="6"/>
  <c r="M171" i="6"/>
  <c r="L171" i="6"/>
  <c r="K171" i="6"/>
  <c r="J171" i="6"/>
  <c r="I171" i="6"/>
  <c r="H171" i="6"/>
  <c r="G171" i="6"/>
  <c r="F171" i="6"/>
  <c r="E171" i="6"/>
  <c r="Q168" i="6"/>
  <c r="P168" i="6"/>
  <c r="O168" i="6"/>
  <c r="N168" i="6"/>
  <c r="M168" i="6"/>
  <c r="L168" i="6"/>
  <c r="K168" i="6"/>
  <c r="J168" i="6"/>
  <c r="I168" i="6"/>
  <c r="H168" i="6"/>
  <c r="G168" i="6"/>
  <c r="F168" i="6"/>
  <c r="E168" i="6"/>
  <c r="Q165" i="6"/>
  <c r="P165" i="6"/>
  <c r="O165" i="6"/>
  <c r="N165" i="6"/>
  <c r="M165" i="6"/>
  <c r="L165" i="6"/>
  <c r="K165" i="6"/>
  <c r="J165" i="6"/>
  <c r="I165" i="6"/>
  <c r="H165" i="6"/>
  <c r="G165" i="6"/>
  <c r="F165" i="6"/>
  <c r="E165" i="6"/>
  <c r="Q162" i="6"/>
  <c r="P162" i="6"/>
  <c r="O162" i="6"/>
  <c r="N162" i="6"/>
  <c r="M162" i="6"/>
  <c r="L162" i="6"/>
  <c r="K162" i="6"/>
  <c r="J162" i="6"/>
  <c r="I162" i="6"/>
  <c r="H162" i="6"/>
  <c r="G162" i="6"/>
  <c r="F162" i="6"/>
  <c r="E162" i="6"/>
  <c r="Q159" i="6"/>
  <c r="P159" i="6"/>
  <c r="O159" i="6"/>
  <c r="N159" i="6"/>
  <c r="M159" i="6"/>
  <c r="L159" i="6"/>
  <c r="K159" i="6"/>
  <c r="J159" i="6"/>
  <c r="I159" i="6"/>
  <c r="H159" i="6"/>
  <c r="G159" i="6"/>
  <c r="F159" i="6"/>
  <c r="E159" i="6"/>
  <c r="Q156" i="6"/>
  <c r="P156" i="6"/>
  <c r="O156" i="6"/>
  <c r="N156" i="6"/>
  <c r="M156" i="6"/>
  <c r="L156" i="6"/>
  <c r="K156" i="6"/>
  <c r="J156" i="6"/>
  <c r="I156" i="6"/>
  <c r="H156" i="6"/>
  <c r="G156" i="6"/>
  <c r="F156" i="6"/>
  <c r="E156" i="6"/>
  <c r="Q153" i="6"/>
  <c r="P153" i="6"/>
  <c r="O153" i="6"/>
  <c r="N153" i="6"/>
  <c r="M153" i="6"/>
  <c r="L153" i="6"/>
  <c r="K153" i="6"/>
  <c r="J153" i="6"/>
  <c r="I153" i="6"/>
  <c r="H153" i="6"/>
  <c r="G153" i="6"/>
  <c r="F153" i="6"/>
  <c r="E153" i="6"/>
  <c r="Q150" i="6"/>
  <c r="P150" i="6"/>
  <c r="O150" i="6"/>
  <c r="N150" i="6"/>
  <c r="M150" i="6"/>
  <c r="L150" i="6"/>
  <c r="K150" i="6"/>
  <c r="J150" i="6"/>
  <c r="I150" i="6"/>
  <c r="H150" i="6"/>
  <c r="G150" i="6"/>
  <c r="F150" i="6"/>
  <c r="E150" i="6"/>
  <c r="Q147" i="6"/>
  <c r="P147" i="6"/>
  <c r="O147" i="6"/>
  <c r="N147" i="6"/>
  <c r="M147" i="6"/>
  <c r="L147" i="6"/>
  <c r="K147" i="6"/>
  <c r="J147" i="6"/>
  <c r="I147" i="6"/>
  <c r="H147" i="6"/>
  <c r="G147" i="6"/>
  <c r="F147" i="6"/>
  <c r="E147" i="6"/>
  <c r="Q144" i="6"/>
  <c r="P144" i="6"/>
  <c r="O144" i="6"/>
  <c r="N144" i="6"/>
  <c r="M144" i="6"/>
  <c r="L144" i="6"/>
  <c r="K144" i="6"/>
  <c r="J144" i="6"/>
  <c r="I144" i="6"/>
  <c r="H144" i="6"/>
  <c r="G144" i="6"/>
  <c r="F144" i="6"/>
  <c r="E144" i="6"/>
  <c r="Q141" i="6"/>
  <c r="P141" i="6"/>
  <c r="O141" i="6"/>
  <c r="N141" i="6"/>
  <c r="M141" i="6"/>
  <c r="L141" i="6"/>
  <c r="K141" i="6"/>
  <c r="J141" i="6"/>
  <c r="I141" i="6"/>
  <c r="H141" i="6"/>
  <c r="G141" i="6"/>
  <c r="F141" i="6"/>
  <c r="E141" i="6"/>
  <c r="Q138" i="6"/>
  <c r="P138" i="6"/>
  <c r="O138" i="6"/>
  <c r="N138" i="6"/>
  <c r="M138" i="6"/>
  <c r="L138" i="6"/>
  <c r="K138" i="6"/>
  <c r="J138" i="6"/>
  <c r="I138" i="6"/>
  <c r="H138" i="6"/>
  <c r="G138" i="6"/>
  <c r="F138" i="6"/>
  <c r="E138" i="6"/>
  <c r="Q135" i="6"/>
  <c r="P135" i="6"/>
  <c r="O135" i="6"/>
  <c r="N135" i="6"/>
  <c r="M135" i="6"/>
  <c r="L135" i="6"/>
  <c r="K135" i="6"/>
  <c r="J135" i="6"/>
  <c r="I135" i="6"/>
  <c r="H135" i="6"/>
  <c r="G135" i="6"/>
  <c r="F135" i="6"/>
  <c r="E135" i="6"/>
  <c r="Q132" i="6"/>
  <c r="P132" i="6"/>
  <c r="O132" i="6"/>
  <c r="N132" i="6"/>
  <c r="M132" i="6"/>
  <c r="L132" i="6"/>
  <c r="K132" i="6"/>
  <c r="J132" i="6"/>
  <c r="I132" i="6"/>
  <c r="H132" i="6"/>
  <c r="G132" i="6"/>
  <c r="F132" i="6"/>
  <c r="E132" i="6"/>
  <c r="Q129" i="6"/>
  <c r="P129" i="6"/>
  <c r="O129" i="6"/>
  <c r="N129" i="6"/>
  <c r="M129" i="6"/>
  <c r="L129" i="6"/>
  <c r="K129" i="6"/>
  <c r="J129" i="6"/>
  <c r="I129" i="6"/>
  <c r="H129" i="6"/>
  <c r="G129" i="6"/>
  <c r="F129" i="6"/>
  <c r="E129" i="6"/>
  <c r="Q126" i="6"/>
  <c r="P126" i="6"/>
  <c r="O126" i="6"/>
  <c r="N126" i="6"/>
  <c r="M126" i="6"/>
  <c r="L126" i="6"/>
  <c r="K126" i="6"/>
  <c r="J126" i="6"/>
  <c r="I126" i="6"/>
  <c r="H126" i="6"/>
  <c r="G126" i="6"/>
  <c r="F126" i="6"/>
  <c r="E126" i="6"/>
  <c r="Q123" i="6"/>
  <c r="P123" i="6"/>
  <c r="O123" i="6"/>
  <c r="N123" i="6"/>
  <c r="M123" i="6"/>
  <c r="L123" i="6"/>
  <c r="K123" i="6"/>
  <c r="J123" i="6"/>
  <c r="I123" i="6"/>
  <c r="H123" i="6"/>
  <c r="G123" i="6"/>
  <c r="F123" i="6"/>
  <c r="E123" i="6"/>
  <c r="Q120" i="6"/>
  <c r="P120" i="6"/>
  <c r="O120" i="6"/>
  <c r="N120" i="6"/>
  <c r="M120" i="6"/>
  <c r="L120" i="6"/>
  <c r="K120" i="6"/>
  <c r="J120" i="6"/>
  <c r="I120" i="6"/>
  <c r="H120" i="6"/>
  <c r="G120" i="6"/>
  <c r="F120" i="6"/>
  <c r="E120" i="6"/>
  <c r="Q117" i="6"/>
  <c r="P117" i="6"/>
  <c r="O117" i="6"/>
  <c r="N117" i="6"/>
  <c r="M117" i="6"/>
  <c r="L117" i="6"/>
  <c r="K117" i="6"/>
  <c r="J117" i="6"/>
  <c r="I117" i="6"/>
  <c r="H117" i="6"/>
  <c r="G117" i="6"/>
  <c r="F117" i="6"/>
  <c r="E117" i="6"/>
  <c r="Q114" i="6"/>
  <c r="P114" i="6"/>
  <c r="O114" i="6"/>
  <c r="N114" i="6"/>
  <c r="M114" i="6"/>
  <c r="L114" i="6"/>
  <c r="K114" i="6"/>
  <c r="J114" i="6"/>
  <c r="I114" i="6"/>
  <c r="H114" i="6"/>
  <c r="G114" i="6"/>
  <c r="F114" i="6"/>
  <c r="E114" i="6"/>
  <c r="Q111" i="6"/>
  <c r="P111" i="6"/>
  <c r="O111" i="6"/>
  <c r="N111" i="6"/>
  <c r="M111" i="6"/>
  <c r="L111" i="6"/>
  <c r="K111" i="6"/>
  <c r="J111" i="6"/>
  <c r="I111" i="6"/>
  <c r="H111" i="6"/>
  <c r="G111" i="6"/>
  <c r="F111" i="6"/>
  <c r="E111" i="6"/>
  <c r="Q108" i="6"/>
  <c r="P108" i="6"/>
  <c r="O108" i="6"/>
  <c r="N108" i="6"/>
  <c r="M108" i="6"/>
  <c r="L108" i="6"/>
  <c r="K108" i="6"/>
  <c r="J108" i="6"/>
  <c r="I108" i="6"/>
  <c r="H108" i="6"/>
  <c r="G108" i="6"/>
  <c r="F108" i="6"/>
  <c r="E108" i="6"/>
  <c r="Q105" i="6"/>
  <c r="P105" i="6"/>
  <c r="O105" i="6"/>
  <c r="N105" i="6"/>
  <c r="M105" i="6"/>
  <c r="L105" i="6"/>
  <c r="K105" i="6"/>
  <c r="J105" i="6"/>
  <c r="I105" i="6"/>
  <c r="H105" i="6"/>
  <c r="G105" i="6"/>
  <c r="F105" i="6"/>
  <c r="E105" i="6"/>
  <c r="Q102" i="6"/>
  <c r="P102" i="6"/>
  <c r="O102" i="6"/>
  <c r="N102" i="6"/>
  <c r="M102" i="6"/>
  <c r="L102" i="6"/>
  <c r="K102" i="6"/>
  <c r="J102" i="6"/>
  <c r="I102" i="6"/>
  <c r="H102" i="6"/>
  <c r="G102" i="6"/>
  <c r="F102" i="6"/>
  <c r="E102" i="6"/>
  <c r="Q99" i="6"/>
  <c r="P99" i="6"/>
  <c r="O99" i="6"/>
  <c r="N99" i="6"/>
  <c r="M99" i="6"/>
  <c r="L99" i="6"/>
  <c r="K99" i="6"/>
  <c r="J99" i="6"/>
  <c r="I99" i="6"/>
  <c r="H99" i="6"/>
  <c r="G99" i="6"/>
  <c r="F99" i="6"/>
  <c r="E99" i="6"/>
  <c r="Q96" i="6"/>
  <c r="P96" i="6"/>
  <c r="O96" i="6"/>
  <c r="N96" i="6"/>
  <c r="M96" i="6"/>
  <c r="L96" i="6"/>
  <c r="K96" i="6"/>
  <c r="J96" i="6"/>
  <c r="I96" i="6"/>
  <c r="H96" i="6"/>
  <c r="G96" i="6"/>
  <c r="F96" i="6"/>
  <c r="E96" i="6"/>
  <c r="Q93" i="6"/>
  <c r="P93" i="6"/>
  <c r="O93" i="6"/>
  <c r="N93" i="6"/>
  <c r="M93" i="6"/>
  <c r="L93" i="6"/>
  <c r="K93" i="6"/>
  <c r="J93" i="6"/>
  <c r="I93" i="6"/>
  <c r="H93" i="6"/>
  <c r="G93" i="6"/>
  <c r="F93" i="6"/>
  <c r="E93" i="6"/>
  <c r="Q90" i="6"/>
  <c r="P90" i="6"/>
  <c r="O90" i="6"/>
  <c r="N90" i="6"/>
  <c r="M90" i="6"/>
  <c r="L90" i="6"/>
  <c r="K90" i="6"/>
  <c r="J90" i="6"/>
  <c r="I90" i="6"/>
  <c r="H90" i="6"/>
  <c r="G90" i="6"/>
  <c r="F90" i="6"/>
  <c r="E90" i="6"/>
  <c r="Q87" i="6"/>
  <c r="P87" i="6"/>
  <c r="O87" i="6"/>
  <c r="N87" i="6"/>
  <c r="M87" i="6"/>
  <c r="L87" i="6"/>
  <c r="K87" i="6"/>
  <c r="J87" i="6"/>
  <c r="I87" i="6"/>
  <c r="H87" i="6"/>
  <c r="G87" i="6"/>
  <c r="F87" i="6"/>
  <c r="E87" i="6"/>
  <c r="Q84" i="6"/>
  <c r="P84" i="6"/>
  <c r="O84" i="6"/>
  <c r="N84" i="6"/>
  <c r="M84" i="6"/>
  <c r="L84" i="6"/>
  <c r="K84" i="6"/>
  <c r="J84" i="6"/>
  <c r="I84" i="6"/>
  <c r="H84" i="6"/>
  <c r="G84" i="6"/>
  <c r="F84" i="6"/>
  <c r="E84" i="6"/>
  <c r="Q81" i="6"/>
  <c r="P81" i="6"/>
  <c r="O81" i="6"/>
  <c r="N81" i="6"/>
  <c r="M81" i="6"/>
  <c r="L81" i="6"/>
  <c r="K81" i="6"/>
  <c r="J81" i="6"/>
  <c r="I81" i="6"/>
  <c r="H81" i="6"/>
  <c r="G81" i="6"/>
  <c r="F81" i="6"/>
  <c r="E81" i="6"/>
  <c r="Q78" i="6"/>
  <c r="P78" i="6"/>
  <c r="O78" i="6"/>
  <c r="N78" i="6"/>
  <c r="M78" i="6"/>
  <c r="L78" i="6"/>
  <c r="K78" i="6"/>
  <c r="J78" i="6"/>
  <c r="I78" i="6"/>
  <c r="H78" i="6"/>
  <c r="G78" i="6"/>
  <c r="F78" i="6"/>
  <c r="E78" i="6"/>
  <c r="Q75" i="6"/>
  <c r="P75" i="6"/>
  <c r="O75" i="6"/>
  <c r="N75" i="6"/>
  <c r="M75" i="6"/>
  <c r="L75" i="6"/>
  <c r="K75" i="6"/>
  <c r="J75" i="6"/>
  <c r="I75" i="6"/>
  <c r="H75" i="6"/>
  <c r="G75" i="6"/>
  <c r="F75" i="6"/>
  <c r="E75" i="6"/>
  <c r="Q72" i="6"/>
  <c r="P72" i="6"/>
  <c r="O72" i="6"/>
  <c r="N72" i="6"/>
  <c r="M72" i="6"/>
  <c r="L72" i="6"/>
  <c r="K72" i="6"/>
  <c r="J72" i="6"/>
  <c r="I72" i="6"/>
  <c r="H72" i="6"/>
  <c r="G72" i="6"/>
  <c r="F72" i="6"/>
  <c r="E72" i="6"/>
  <c r="Q69" i="6"/>
  <c r="P69" i="6"/>
  <c r="O69" i="6"/>
  <c r="N69" i="6"/>
  <c r="M69" i="6"/>
  <c r="L69" i="6"/>
  <c r="K69" i="6"/>
  <c r="J69" i="6"/>
  <c r="I69" i="6"/>
  <c r="H69" i="6"/>
  <c r="G69" i="6"/>
  <c r="F69" i="6"/>
  <c r="E69" i="6"/>
  <c r="Q66" i="6"/>
  <c r="P66" i="6"/>
  <c r="O66" i="6"/>
  <c r="N66" i="6"/>
  <c r="M66" i="6"/>
  <c r="L66" i="6"/>
  <c r="K66" i="6"/>
  <c r="J66" i="6"/>
  <c r="I66" i="6"/>
  <c r="H66" i="6"/>
  <c r="G66" i="6"/>
  <c r="F66" i="6"/>
  <c r="E66" i="6"/>
  <c r="Q63" i="6"/>
  <c r="P63" i="6"/>
  <c r="O63" i="6"/>
  <c r="N63" i="6"/>
  <c r="M63" i="6"/>
  <c r="L63" i="6"/>
  <c r="K63" i="6"/>
  <c r="J63" i="6"/>
  <c r="I63" i="6"/>
  <c r="H63" i="6"/>
  <c r="G63" i="6"/>
  <c r="F63" i="6"/>
  <c r="E63" i="6"/>
  <c r="Q60" i="6"/>
  <c r="P60" i="6"/>
  <c r="O60" i="6"/>
  <c r="N60" i="6"/>
  <c r="M60" i="6"/>
  <c r="L60" i="6"/>
  <c r="K60" i="6"/>
  <c r="J60" i="6"/>
  <c r="I60" i="6"/>
  <c r="H60" i="6"/>
  <c r="G60" i="6"/>
  <c r="F60" i="6"/>
  <c r="E60" i="6"/>
  <c r="Q57" i="6"/>
  <c r="P57" i="6"/>
  <c r="O57" i="6"/>
  <c r="N57" i="6"/>
  <c r="M57" i="6"/>
  <c r="L57" i="6"/>
  <c r="K57" i="6"/>
  <c r="J57" i="6"/>
  <c r="I57" i="6"/>
  <c r="H57" i="6"/>
  <c r="G57" i="6"/>
  <c r="F57" i="6"/>
  <c r="E57" i="6"/>
  <c r="Q54" i="6"/>
  <c r="P54" i="6"/>
  <c r="O54" i="6"/>
  <c r="N54" i="6"/>
  <c r="M54" i="6"/>
  <c r="L54" i="6"/>
  <c r="K54" i="6"/>
  <c r="J54" i="6"/>
  <c r="I54" i="6"/>
  <c r="H54" i="6"/>
  <c r="G54" i="6"/>
  <c r="F54" i="6"/>
  <c r="E54" i="6"/>
  <c r="Q51" i="6"/>
  <c r="P51" i="6"/>
  <c r="O51" i="6"/>
  <c r="N51" i="6"/>
  <c r="M51" i="6"/>
  <c r="L51" i="6"/>
  <c r="K51" i="6"/>
  <c r="J51" i="6"/>
  <c r="I51" i="6"/>
  <c r="H51" i="6"/>
  <c r="G51" i="6"/>
  <c r="F51" i="6"/>
  <c r="E51" i="6"/>
  <c r="Q48" i="6"/>
  <c r="P48" i="6"/>
  <c r="O48" i="6"/>
  <c r="N48" i="6"/>
  <c r="M48" i="6"/>
  <c r="L48" i="6"/>
  <c r="K48" i="6"/>
  <c r="J48" i="6"/>
  <c r="I48" i="6"/>
  <c r="H48" i="6"/>
  <c r="G48" i="6"/>
  <c r="F48" i="6"/>
  <c r="E48" i="6"/>
  <c r="Q45" i="6"/>
  <c r="P45" i="6"/>
  <c r="O45" i="6"/>
  <c r="N45" i="6"/>
  <c r="M45" i="6"/>
  <c r="L45" i="6"/>
  <c r="K45" i="6"/>
  <c r="J45" i="6"/>
  <c r="I45" i="6"/>
  <c r="H45" i="6"/>
  <c r="G45" i="6"/>
  <c r="F45" i="6"/>
  <c r="E45" i="6"/>
  <c r="Q42" i="6"/>
  <c r="P42" i="6"/>
  <c r="O42" i="6"/>
  <c r="N42" i="6"/>
  <c r="M42" i="6"/>
  <c r="L42" i="6"/>
  <c r="K42" i="6"/>
  <c r="J42" i="6"/>
  <c r="I42" i="6"/>
  <c r="H42" i="6"/>
  <c r="G42" i="6"/>
  <c r="F42" i="6"/>
  <c r="E42" i="6"/>
  <c r="Q39" i="6"/>
  <c r="P39" i="6"/>
  <c r="O39" i="6"/>
  <c r="N39" i="6"/>
  <c r="M39" i="6"/>
  <c r="L39" i="6"/>
  <c r="K39" i="6"/>
  <c r="J39" i="6"/>
  <c r="I39" i="6"/>
  <c r="H39" i="6"/>
  <c r="G39" i="6"/>
  <c r="F39" i="6"/>
  <c r="E39" i="6"/>
  <c r="Q36" i="6"/>
  <c r="P36" i="6"/>
  <c r="O36" i="6"/>
  <c r="N36" i="6"/>
  <c r="M36" i="6"/>
  <c r="L36" i="6"/>
  <c r="K36" i="6"/>
  <c r="J36" i="6"/>
  <c r="I36" i="6"/>
  <c r="H36" i="6"/>
  <c r="G36" i="6"/>
  <c r="F36" i="6"/>
  <c r="E36" i="6"/>
  <c r="Q33" i="6"/>
  <c r="P33" i="6"/>
  <c r="O33" i="6"/>
  <c r="N33" i="6"/>
  <c r="M33" i="6"/>
  <c r="L33" i="6"/>
  <c r="K33" i="6"/>
  <c r="J33" i="6"/>
  <c r="I33" i="6"/>
  <c r="H33" i="6"/>
  <c r="G33" i="6"/>
  <c r="F33" i="6"/>
  <c r="E33" i="6"/>
  <c r="Q30" i="6"/>
  <c r="P30" i="6"/>
  <c r="O30" i="6"/>
  <c r="N30" i="6"/>
  <c r="M30" i="6"/>
  <c r="L30" i="6"/>
  <c r="K30" i="6"/>
  <c r="J30" i="6"/>
  <c r="I30" i="6"/>
  <c r="H30" i="6"/>
  <c r="G30" i="6"/>
  <c r="F30" i="6"/>
  <c r="E30" i="6"/>
  <c r="Q27" i="6"/>
  <c r="P27" i="6"/>
  <c r="O27" i="6"/>
  <c r="N27" i="6"/>
  <c r="M27" i="6"/>
  <c r="L27" i="6"/>
  <c r="K27" i="6"/>
  <c r="J27" i="6"/>
  <c r="I27" i="6"/>
  <c r="H27" i="6"/>
  <c r="G27" i="6"/>
  <c r="F27" i="6"/>
  <c r="E27" i="6"/>
  <c r="Q24" i="6"/>
  <c r="P24" i="6"/>
  <c r="O24" i="6"/>
  <c r="N24" i="6"/>
  <c r="M24" i="6"/>
  <c r="L24" i="6"/>
  <c r="K24" i="6"/>
  <c r="J24" i="6"/>
  <c r="I24" i="6"/>
  <c r="H24" i="6"/>
  <c r="G24" i="6"/>
  <c r="F24" i="6"/>
  <c r="E24" i="6"/>
  <c r="Q21" i="6"/>
  <c r="P21" i="6"/>
  <c r="O21" i="6"/>
  <c r="N21" i="6"/>
  <c r="M21" i="6"/>
  <c r="L21" i="6"/>
  <c r="K21" i="6"/>
  <c r="J21" i="6"/>
  <c r="I21" i="6"/>
  <c r="H21" i="6"/>
  <c r="G21" i="6"/>
  <c r="F21" i="6"/>
  <c r="E21" i="6"/>
  <c r="Q18" i="6"/>
  <c r="P18" i="6"/>
  <c r="O18" i="6"/>
  <c r="N18" i="6"/>
  <c r="M18" i="6"/>
  <c r="L18" i="6"/>
  <c r="K18" i="6"/>
  <c r="J18" i="6"/>
  <c r="I18" i="6"/>
  <c r="H18" i="6"/>
  <c r="G18" i="6"/>
  <c r="F18" i="6"/>
  <c r="E18" i="6"/>
  <c r="Q15" i="6"/>
  <c r="P15" i="6"/>
  <c r="O15" i="6"/>
  <c r="N15" i="6"/>
  <c r="M15" i="6"/>
  <c r="L15" i="6"/>
  <c r="K15" i="6"/>
  <c r="J15" i="6"/>
  <c r="I15" i="6"/>
  <c r="H15" i="6"/>
  <c r="G15" i="6"/>
  <c r="F15" i="6"/>
  <c r="E15" i="6"/>
  <c r="Q12" i="6"/>
  <c r="P12" i="6"/>
  <c r="O12" i="6"/>
  <c r="N12" i="6"/>
  <c r="M12" i="6"/>
  <c r="L12" i="6"/>
  <c r="K12" i="6"/>
  <c r="J12" i="6"/>
  <c r="I12" i="6"/>
  <c r="H12" i="6"/>
  <c r="G12" i="6"/>
  <c r="F12" i="6"/>
  <c r="E12" i="6"/>
  <c r="Q9" i="6"/>
  <c r="P9" i="6"/>
  <c r="O9" i="6"/>
  <c r="N9" i="6"/>
  <c r="M9" i="6"/>
  <c r="L9" i="6"/>
  <c r="K9" i="6"/>
  <c r="J9" i="6"/>
  <c r="I9" i="6"/>
  <c r="H9" i="6"/>
  <c r="G9" i="6"/>
  <c r="F9" i="6"/>
  <c r="E9" i="6"/>
  <c r="N1065" i="5"/>
  <c r="M1065" i="5"/>
  <c r="L1065" i="5"/>
  <c r="K1065" i="5"/>
  <c r="J1065" i="5"/>
  <c r="I1065" i="5"/>
  <c r="H1065" i="5"/>
  <c r="G1065" i="5"/>
  <c r="F1065" i="5"/>
  <c r="N1062" i="5"/>
  <c r="M1062" i="5"/>
  <c r="L1062" i="5"/>
  <c r="K1062" i="5"/>
  <c r="J1062" i="5"/>
  <c r="I1062" i="5"/>
  <c r="H1062" i="5"/>
  <c r="G1062" i="5"/>
  <c r="F1062" i="5"/>
  <c r="N1059" i="5"/>
  <c r="M1059" i="5"/>
  <c r="L1059" i="5"/>
  <c r="K1059" i="5"/>
  <c r="J1059" i="5"/>
  <c r="I1059" i="5"/>
  <c r="H1059" i="5"/>
  <c r="G1059" i="5"/>
  <c r="F1059" i="5"/>
  <c r="N1056" i="5"/>
  <c r="M1056" i="5"/>
  <c r="L1056" i="5"/>
  <c r="K1056" i="5"/>
  <c r="J1056" i="5"/>
  <c r="I1056" i="5"/>
  <c r="H1056" i="5"/>
  <c r="G1056" i="5"/>
  <c r="F1056" i="5"/>
  <c r="N1053" i="5"/>
  <c r="M1053" i="5"/>
  <c r="L1053" i="5"/>
  <c r="K1053" i="5"/>
  <c r="J1053" i="5"/>
  <c r="I1053" i="5"/>
  <c r="H1053" i="5"/>
  <c r="G1053" i="5"/>
  <c r="F1053" i="5"/>
  <c r="N1050" i="5"/>
  <c r="M1050" i="5"/>
  <c r="L1050" i="5"/>
  <c r="K1050" i="5"/>
  <c r="J1050" i="5"/>
  <c r="I1050" i="5"/>
  <c r="H1050" i="5"/>
  <c r="G1050" i="5"/>
  <c r="F1050" i="5"/>
  <c r="N1047" i="5"/>
  <c r="M1047" i="5"/>
  <c r="L1047" i="5"/>
  <c r="K1047" i="5"/>
  <c r="J1047" i="5"/>
  <c r="I1047" i="5"/>
  <c r="H1047" i="5"/>
  <c r="G1047" i="5"/>
  <c r="F1047" i="5"/>
  <c r="N1044" i="5"/>
  <c r="M1044" i="5"/>
  <c r="L1044" i="5"/>
  <c r="K1044" i="5"/>
  <c r="J1044" i="5"/>
  <c r="I1044" i="5"/>
  <c r="H1044" i="5"/>
  <c r="G1044" i="5"/>
  <c r="F1044" i="5"/>
  <c r="N1041" i="5"/>
  <c r="M1041" i="5"/>
  <c r="L1041" i="5"/>
  <c r="K1041" i="5"/>
  <c r="J1041" i="5"/>
  <c r="I1041" i="5"/>
  <c r="H1041" i="5"/>
  <c r="G1041" i="5"/>
  <c r="F1041" i="5"/>
  <c r="N1038" i="5"/>
  <c r="M1038" i="5"/>
  <c r="L1038" i="5"/>
  <c r="K1038" i="5"/>
  <c r="J1038" i="5"/>
  <c r="I1038" i="5"/>
  <c r="H1038" i="5"/>
  <c r="G1038" i="5"/>
  <c r="F1038" i="5"/>
  <c r="N1035" i="5"/>
  <c r="M1035" i="5"/>
  <c r="L1035" i="5"/>
  <c r="K1035" i="5"/>
  <c r="J1035" i="5"/>
  <c r="I1035" i="5"/>
  <c r="H1035" i="5"/>
  <c r="G1035" i="5"/>
  <c r="F1035" i="5"/>
  <c r="N1032" i="5"/>
  <c r="M1032" i="5"/>
  <c r="L1032" i="5"/>
  <c r="K1032" i="5"/>
  <c r="J1032" i="5"/>
  <c r="I1032" i="5"/>
  <c r="H1032" i="5"/>
  <c r="G1032" i="5"/>
  <c r="F1032" i="5"/>
  <c r="N1029" i="5"/>
  <c r="M1029" i="5"/>
  <c r="L1029" i="5"/>
  <c r="K1029" i="5"/>
  <c r="J1029" i="5"/>
  <c r="I1029" i="5"/>
  <c r="H1029" i="5"/>
  <c r="G1029" i="5"/>
  <c r="F1029" i="5"/>
  <c r="N1026" i="5"/>
  <c r="M1026" i="5"/>
  <c r="L1026" i="5"/>
  <c r="K1026" i="5"/>
  <c r="J1026" i="5"/>
  <c r="I1026" i="5"/>
  <c r="H1026" i="5"/>
  <c r="G1026" i="5"/>
  <c r="F1026" i="5"/>
  <c r="N1023" i="5"/>
  <c r="M1023" i="5"/>
  <c r="L1023" i="5"/>
  <c r="K1023" i="5"/>
  <c r="J1023" i="5"/>
  <c r="I1023" i="5"/>
  <c r="H1023" i="5"/>
  <c r="G1023" i="5"/>
  <c r="F1023" i="5"/>
  <c r="N1020" i="5"/>
  <c r="M1020" i="5"/>
  <c r="L1020" i="5"/>
  <c r="K1020" i="5"/>
  <c r="J1020" i="5"/>
  <c r="I1020" i="5"/>
  <c r="H1020" i="5"/>
  <c r="G1020" i="5"/>
  <c r="F1020" i="5"/>
  <c r="N1017" i="5"/>
  <c r="M1017" i="5"/>
  <c r="L1017" i="5"/>
  <c r="K1017" i="5"/>
  <c r="J1017" i="5"/>
  <c r="I1017" i="5"/>
  <c r="H1017" i="5"/>
  <c r="G1017" i="5"/>
  <c r="F1017" i="5"/>
  <c r="N1014" i="5"/>
  <c r="M1014" i="5"/>
  <c r="L1014" i="5"/>
  <c r="K1014" i="5"/>
  <c r="J1014" i="5"/>
  <c r="I1014" i="5"/>
  <c r="H1014" i="5"/>
  <c r="G1014" i="5"/>
  <c r="F1014" i="5"/>
  <c r="N1011" i="5"/>
  <c r="M1011" i="5"/>
  <c r="L1011" i="5"/>
  <c r="K1011" i="5"/>
  <c r="J1011" i="5"/>
  <c r="I1011" i="5"/>
  <c r="H1011" i="5"/>
  <c r="G1011" i="5"/>
  <c r="F1011" i="5"/>
  <c r="N1008" i="5"/>
  <c r="M1008" i="5"/>
  <c r="L1008" i="5"/>
  <c r="K1008" i="5"/>
  <c r="J1008" i="5"/>
  <c r="I1008" i="5"/>
  <c r="H1008" i="5"/>
  <c r="G1008" i="5"/>
  <c r="F1008" i="5"/>
  <c r="N1005" i="5"/>
  <c r="M1005" i="5"/>
  <c r="L1005" i="5"/>
  <c r="K1005" i="5"/>
  <c r="J1005" i="5"/>
  <c r="I1005" i="5"/>
  <c r="H1005" i="5"/>
  <c r="G1005" i="5"/>
  <c r="F1005" i="5"/>
  <c r="N1002" i="5"/>
  <c r="M1002" i="5"/>
  <c r="L1002" i="5"/>
  <c r="K1002" i="5"/>
  <c r="J1002" i="5"/>
  <c r="I1002" i="5"/>
  <c r="H1002" i="5"/>
  <c r="G1002" i="5"/>
  <c r="F1002" i="5"/>
  <c r="N999" i="5"/>
  <c r="M999" i="5"/>
  <c r="L999" i="5"/>
  <c r="K999" i="5"/>
  <c r="J999" i="5"/>
  <c r="I999" i="5"/>
  <c r="H999" i="5"/>
  <c r="G999" i="5"/>
  <c r="F999" i="5"/>
  <c r="N996" i="5"/>
  <c r="M996" i="5"/>
  <c r="L996" i="5"/>
  <c r="K996" i="5"/>
  <c r="J996" i="5"/>
  <c r="I996" i="5"/>
  <c r="H996" i="5"/>
  <c r="G996" i="5"/>
  <c r="F996" i="5"/>
  <c r="N993" i="5"/>
  <c r="M993" i="5"/>
  <c r="L993" i="5"/>
  <c r="K993" i="5"/>
  <c r="J993" i="5"/>
  <c r="I993" i="5"/>
  <c r="H993" i="5"/>
  <c r="G993" i="5"/>
  <c r="F993" i="5"/>
  <c r="N990" i="5"/>
  <c r="M990" i="5"/>
  <c r="L990" i="5"/>
  <c r="K990" i="5"/>
  <c r="J990" i="5"/>
  <c r="I990" i="5"/>
  <c r="H990" i="5"/>
  <c r="G990" i="5"/>
  <c r="F990" i="5"/>
  <c r="N987" i="5"/>
  <c r="M987" i="5"/>
  <c r="L987" i="5"/>
  <c r="K987" i="5"/>
  <c r="J987" i="5"/>
  <c r="I987" i="5"/>
  <c r="H987" i="5"/>
  <c r="G987" i="5"/>
  <c r="F987" i="5"/>
  <c r="N984" i="5"/>
  <c r="M984" i="5"/>
  <c r="L984" i="5"/>
  <c r="K984" i="5"/>
  <c r="J984" i="5"/>
  <c r="I984" i="5"/>
  <c r="H984" i="5"/>
  <c r="G984" i="5"/>
  <c r="F984" i="5"/>
  <c r="N981" i="5"/>
  <c r="M981" i="5"/>
  <c r="L981" i="5"/>
  <c r="K981" i="5"/>
  <c r="J981" i="5"/>
  <c r="I981" i="5"/>
  <c r="H981" i="5"/>
  <c r="G981" i="5"/>
  <c r="F981" i="5"/>
  <c r="N978" i="5"/>
  <c r="M978" i="5"/>
  <c r="L978" i="5"/>
  <c r="K978" i="5"/>
  <c r="J978" i="5"/>
  <c r="I978" i="5"/>
  <c r="H978" i="5"/>
  <c r="G978" i="5"/>
  <c r="F978" i="5"/>
  <c r="N975" i="5"/>
  <c r="M975" i="5"/>
  <c r="L975" i="5"/>
  <c r="K975" i="5"/>
  <c r="J975" i="5"/>
  <c r="I975" i="5"/>
  <c r="H975" i="5"/>
  <c r="G975" i="5"/>
  <c r="F975" i="5"/>
  <c r="N972" i="5"/>
  <c r="M972" i="5"/>
  <c r="L972" i="5"/>
  <c r="K972" i="5"/>
  <c r="J972" i="5"/>
  <c r="I972" i="5"/>
  <c r="H972" i="5"/>
  <c r="G972" i="5"/>
  <c r="F972" i="5"/>
  <c r="N969" i="5"/>
  <c r="M969" i="5"/>
  <c r="L969" i="5"/>
  <c r="K969" i="5"/>
  <c r="J969" i="5"/>
  <c r="I969" i="5"/>
  <c r="H969" i="5"/>
  <c r="G969" i="5"/>
  <c r="F969" i="5"/>
  <c r="N966" i="5"/>
  <c r="M966" i="5"/>
  <c r="L966" i="5"/>
  <c r="K966" i="5"/>
  <c r="J966" i="5"/>
  <c r="I966" i="5"/>
  <c r="H966" i="5"/>
  <c r="G966" i="5"/>
  <c r="F966" i="5"/>
  <c r="N963" i="5"/>
  <c r="M963" i="5"/>
  <c r="L963" i="5"/>
  <c r="K963" i="5"/>
  <c r="J963" i="5"/>
  <c r="I963" i="5"/>
  <c r="H963" i="5"/>
  <c r="G963" i="5"/>
  <c r="F963" i="5"/>
  <c r="N960" i="5"/>
  <c r="M960" i="5"/>
  <c r="L960" i="5"/>
  <c r="K960" i="5"/>
  <c r="J960" i="5"/>
  <c r="I960" i="5"/>
  <c r="H960" i="5"/>
  <c r="G960" i="5"/>
  <c r="F960" i="5"/>
  <c r="N957" i="5"/>
  <c r="M957" i="5"/>
  <c r="L957" i="5"/>
  <c r="K957" i="5"/>
  <c r="J957" i="5"/>
  <c r="I957" i="5"/>
  <c r="H957" i="5"/>
  <c r="G957" i="5"/>
  <c r="F957" i="5"/>
  <c r="N954" i="5"/>
  <c r="M954" i="5"/>
  <c r="L954" i="5"/>
  <c r="K954" i="5"/>
  <c r="J954" i="5"/>
  <c r="I954" i="5"/>
  <c r="H954" i="5"/>
  <c r="G954" i="5"/>
  <c r="F954" i="5"/>
  <c r="N951" i="5"/>
  <c r="M951" i="5"/>
  <c r="L951" i="5"/>
  <c r="K951" i="5"/>
  <c r="J951" i="5"/>
  <c r="I951" i="5"/>
  <c r="H951" i="5"/>
  <c r="G951" i="5"/>
  <c r="F951" i="5"/>
  <c r="N948" i="5"/>
  <c r="M948" i="5"/>
  <c r="L948" i="5"/>
  <c r="K948" i="5"/>
  <c r="J948" i="5"/>
  <c r="I948" i="5"/>
  <c r="H948" i="5"/>
  <c r="G948" i="5"/>
  <c r="F948" i="5"/>
  <c r="N945" i="5"/>
  <c r="M945" i="5"/>
  <c r="L945" i="5"/>
  <c r="K945" i="5"/>
  <c r="J945" i="5"/>
  <c r="I945" i="5"/>
  <c r="H945" i="5"/>
  <c r="G945" i="5"/>
  <c r="F945" i="5"/>
  <c r="N942" i="5"/>
  <c r="M942" i="5"/>
  <c r="L942" i="5"/>
  <c r="K942" i="5"/>
  <c r="J942" i="5"/>
  <c r="I942" i="5"/>
  <c r="H942" i="5"/>
  <c r="G942" i="5"/>
  <c r="F942" i="5"/>
  <c r="N939" i="5"/>
  <c r="M939" i="5"/>
  <c r="L939" i="5"/>
  <c r="K939" i="5"/>
  <c r="J939" i="5"/>
  <c r="I939" i="5"/>
  <c r="H939" i="5"/>
  <c r="G939" i="5"/>
  <c r="F939" i="5"/>
  <c r="N936" i="5"/>
  <c r="M936" i="5"/>
  <c r="L936" i="5"/>
  <c r="K936" i="5"/>
  <c r="J936" i="5"/>
  <c r="I936" i="5"/>
  <c r="H936" i="5"/>
  <c r="G936" i="5"/>
  <c r="F936" i="5"/>
  <c r="N933" i="5"/>
  <c r="M933" i="5"/>
  <c r="L933" i="5"/>
  <c r="K933" i="5"/>
  <c r="J933" i="5"/>
  <c r="I933" i="5"/>
  <c r="H933" i="5"/>
  <c r="G933" i="5"/>
  <c r="F933" i="5"/>
  <c r="N930" i="5"/>
  <c r="M930" i="5"/>
  <c r="L930" i="5"/>
  <c r="K930" i="5"/>
  <c r="J930" i="5"/>
  <c r="I930" i="5"/>
  <c r="H930" i="5"/>
  <c r="G930" i="5"/>
  <c r="F930" i="5"/>
  <c r="N927" i="5"/>
  <c r="M927" i="5"/>
  <c r="L927" i="5"/>
  <c r="K927" i="5"/>
  <c r="J927" i="5"/>
  <c r="I927" i="5"/>
  <c r="H927" i="5"/>
  <c r="G927" i="5"/>
  <c r="F927" i="5"/>
  <c r="N924" i="5"/>
  <c r="M924" i="5"/>
  <c r="L924" i="5"/>
  <c r="K924" i="5"/>
  <c r="J924" i="5"/>
  <c r="I924" i="5"/>
  <c r="H924" i="5"/>
  <c r="G924" i="5"/>
  <c r="F924" i="5"/>
  <c r="N921" i="5"/>
  <c r="M921" i="5"/>
  <c r="L921" i="5"/>
  <c r="K921" i="5"/>
  <c r="J921" i="5"/>
  <c r="I921" i="5"/>
  <c r="H921" i="5"/>
  <c r="G921" i="5"/>
  <c r="F921" i="5"/>
  <c r="N918" i="5"/>
  <c r="M918" i="5"/>
  <c r="L918" i="5"/>
  <c r="K918" i="5"/>
  <c r="J918" i="5"/>
  <c r="I918" i="5"/>
  <c r="H918" i="5"/>
  <c r="G918" i="5"/>
  <c r="F918" i="5"/>
  <c r="N915" i="5"/>
  <c r="M915" i="5"/>
  <c r="L915" i="5"/>
  <c r="K915" i="5"/>
  <c r="J915" i="5"/>
  <c r="I915" i="5"/>
  <c r="H915" i="5"/>
  <c r="G915" i="5"/>
  <c r="F915" i="5"/>
  <c r="N912" i="5"/>
  <c r="M912" i="5"/>
  <c r="L912" i="5"/>
  <c r="K912" i="5"/>
  <c r="J912" i="5"/>
  <c r="I912" i="5"/>
  <c r="H912" i="5"/>
  <c r="G912" i="5"/>
  <c r="F912" i="5"/>
  <c r="N909" i="5"/>
  <c r="M909" i="5"/>
  <c r="L909" i="5"/>
  <c r="K909" i="5"/>
  <c r="J909" i="5"/>
  <c r="I909" i="5"/>
  <c r="H909" i="5"/>
  <c r="G909" i="5"/>
  <c r="F909" i="5"/>
  <c r="N906" i="5"/>
  <c r="M906" i="5"/>
  <c r="L906" i="5"/>
  <c r="K906" i="5"/>
  <c r="J906" i="5"/>
  <c r="I906" i="5"/>
  <c r="H906" i="5"/>
  <c r="G906" i="5"/>
  <c r="F906" i="5"/>
  <c r="N903" i="5"/>
  <c r="M903" i="5"/>
  <c r="L903" i="5"/>
  <c r="K903" i="5"/>
  <c r="J903" i="5"/>
  <c r="I903" i="5"/>
  <c r="H903" i="5"/>
  <c r="G903" i="5"/>
  <c r="F903" i="5"/>
  <c r="N900" i="5"/>
  <c r="M900" i="5"/>
  <c r="L900" i="5"/>
  <c r="K900" i="5"/>
  <c r="J900" i="5"/>
  <c r="I900" i="5"/>
  <c r="H900" i="5"/>
  <c r="G900" i="5"/>
  <c r="F900" i="5"/>
  <c r="N897" i="5"/>
  <c r="M897" i="5"/>
  <c r="L897" i="5"/>
  <c r="K897" i="5"/>
  <c r="J897" i="5"/>
  <c r="I897" i="5"/>
  <c r="H897" i="5"/>
  <c r="G897" i="5"/>
  <c r="F897" i="5"/>
  <c r="N894" i="5"/>
  <c r="M894" i="5"/>
  <c r="L894" i="5"/>
  <c r="K894" i="5"/>
  <c r="J894" i="5"/>
  <c r="I894" i="5"/>
  <c r="H894" i="5"/>
  <c r="G894" i="5"/>
  <c r="F894" i="5"/>
  <c r="N891" i="5"/>
  <c r="M891" i="5"/>
  <c r="L891" i="5"/>
  <c r="K891" i="5"/>
  <c r="J891" i="5"/>
  <c r="I891" i="5"/>
  <c r="H891" i="5"/>
  <c r="G891" i="5"/>
  <c r="F891" i="5"/>
  <c r="N888" i="5"/>
  <c r="M888" i="5"/>
  <c r="L888" i="5"/>
  <c r="K888" i="5"/>
  <c r="J888" i="5"/>
  <c r="I888" i="5"/>
  <c r="H888" i="5"/>
  <c r="G888" i="5"/>
  <c r="F888" i="5"/>
  <c r="N885" i="5"/>
  <c r="M885" i="5"/>
  <c r="L885" i="5"/>
  <c r="K885" i="5"/>
  <c r="J885" i="5"/>
  <c r="I885" i="5"/>
  <c r="H885" i="5"/>
  <c r="G885" i="5"/>
  <c r="F885" i="5"/>
  <c r="N882" i="5"/>
  <c r="M882" i="5"/>
  <c r="L882" i="5"/>
  <c r="K882" i="5"/>
  <c r="J882" i="5"/>
  <c r="I882" i="5"/>
  <c r="H882" i="5"/>
  <c r="G882" i="5"/>
  <c r="F882" i="5"/>
  <c r="N879" i="5"/>
  <c r="M879" i="5"/>
  <c r="L879" i="5"/>
  <c r="K879" i="5"/>
  <c r="J879" i="5"/>
  <c r="I879" i="5"/>
  <c r="H879" i="5"/>
  <c r="G879" i="5"/>
  <c r="F879" i="5"/>
  <c r="N876" i="5"/>
  <c r="M876" i="5"/>
  <c r="L876" i="5"/>
  <c r="K876" i="5"/>
  <c r="J876" i="5"/>
  <c r="I876" i="5"/>
  <c r="H876" i="5"/>
  <c r="G876" i="5"/>
  <c r="F876" i="5"/>
  <c r="N873" i="5"/>
  <c r="M873" i="5"/>
  <c r="L873" i="5"/>
  <c r="K873" i="5"/>
  <c r="J873" i="5"/>
  <c r="I873" i="5"/>
  <c r="H873" i="5"/>
  <c r="G873" i="5"/>
  <c r="F873" i="5"/>
  <c r="N870" i="5"/>
  <c r="M870" i="5"/>
  <c r="L870" i="5"/>
  <c r="K870" i="5"/>
  <c r="J870" i="5"/>
  <c r="I870" i="5"/>
  <c r="H870" i="5"/>
  <c r="G870" i="5"/>
  <c r="F870" i="5"/>
  <c r="N867" i="5"/>
  <c r="M867" i="5"/>
  <c r="L867" i="5"/>
  <c r="K867" i="5"/>
  <c r="J867" i="5"/>
  <c r="I867" i="5"/>
  <c r="H867" i="5"/>
  <c r="G867" i="5"/>
  <c r="F867" i="5"/>
  <c r="N864" i="5"/>
  <c r="M864" i="5"/>
  <c r="L864" i="5"/>
  <c r="K864" i="5"/>
  <c r="J864" i="5"/>
  <c r="I864" i="5"/>
  <c r="H864" i="5"/>
  <c r="G864" i="5"/>
  <c r="F864" i="5"/>
  <c r="N861" i="5"/>
  <c r="M861" i="5"/>
  <c r="L861" i="5"/>
  <c r="K861" i="5"/>
  <c r="J861" i="5"/>
  <c r="I861" i="5"/>
  <c r="H861" i="5"/>
  <c r="G861" i="5"/>
  <c r="F861" i="5"/>
  <c r="N858" i="5"/>
  <c r="M858" i="5"/>
  <c r="L858" i="5"/>
  <c r="K858" i="5"/>
  <c r="J858" i="5"/>
  <c r="I858" i="5"/>
  <c r="H858" i="5"/>
  <c r="G858" i="5"/>
  <c r="F858" i="5"/>
  <c r="N855" i="5"/>
  <c r="M855" i="5"/>
  <c r="L855" i="5"/>
  <c r="K855" i="5"/>
  <c r="J855" i="5"/>
  <c r="I855" i="5"/>
  <c r="H855" i="5"/>
  <c r="G855" i="5"/>
  <c r="F855" i="5"/>
  <c r="N852" i="5"/>
  <c r="M852" i="5"/>
  <c r="L852" i="5"/>
  <c r="K852" i="5"/>
  <c r="J852" i="5"/>
  <c r="I852" i="5"/>
  <c r="H852" i="5"/>
  <c r="G852" i="5"/>
  <c r="F852" i="5"/>
  <c r="N849" i="5"/>
  <c r="M849" i="5"/>
  <c r="L849" i="5"/>
  <c r="K849" i="5"/>
  <c r="J849" i="5"/>
  <c r="I849" i="5"/>
  <c r="H849" i="5"/>
  <c r="G849" i="5"/>
  <c r="F849" i="5"/>
  <c r="N846" i="5"/>
  <c r="M846" i="5"/>
  <c r="L846" i="5"/>
  <c r="K846" i="5"/>
  <c r="J846" i="5"/>
  <c r="I846" i="5"/>
  <c r="H846" i="5"/>
  <c r="G846" i="5"/>
  <c r="F846" i="5"/>
  <c r="N843" i="5"/>
  <c r="M843" i="5"/>
  <c r="L843" i="5"/>
  <c r="K843" i="5"/>
  <c r="J843" i="5"/>
  <c r="I843" i="5"/>
  <c r="H843" i="5"/>
  <c r="G843" i="5"/>
  <c r="F843" i="5"/>
  <c r="N840" i="5"/>
  <c r="M840" i="5"/>
  <c r="L840" i="5"/>
  <c r="K840" i="5"/>
  <c r="J840" i="5"/>
  <c r="I840" i="5"/>
  <c r="H840" i="5"/>
  <c r="G840" i="5"/>
  <c r="F840" i="5"/>
  <c r="N837" i="5"/>
  <c r="M837" i="5"/>
  <c r="L837" i="5"/>
  <c r="K837" i="5"/>
  <c r="J837" i="5"/>
  <c r="I837" i="5"/>
  <c r="H837" i="5"/>
  <c r="G837" i="5"/>
  <c r="F837" i="5"/>
  <c r="N834" i="5"/>
  <c r="M834" i="5"/>
  <c r="L834" i="5"/>
  <c r="K834" i="5"/>
  <c r="J834" i="5"/>
  <c r="I834" i="5"/>
  <c r="H834" i="5"/>
  <c r="G834" i="5"/>
  <c r="F834" i="5"/>
  <c r="N831" i="5"/>
  <c r="M831" i="5"/>
  <c r="L831" i="5"/>
  <c r="K831" i="5"/>
  <c r="J831" i="5"/>
  <c r="I831" i="5"/>
  <c r="H831" i="5"/>
  <c r="G831" i="5"/>
  <c r="F831" i="5"/>
  <c r="N828" i="5"/>
  <c r="M828" i="5"/>
  <c r="L828" i="5"/>
  <c r="K828" i="5"/>
  <c r="J828" i="5"/>
  <c r="I828" i="5"/>
  <c r="H828" i="5"/>
  <c r="G828" i="5"/>
  <c r="F828" i="5"/>
  <c r="N825" i="5"/>
  <c r="M825" i="5"/>
  <c r="L825" i="5"/>
  <c r="K825" i="5"/>
  <c r="J825" i="5"/>
  <c r="I825" i="5"/>
  <c r="H825" i="5"/>
  <c r="G825" i="5"/>
  <c r="F825" i="5"/>
  <c r="N822" i="5"/>
  <c r="M822" i="5"/>
  <c r="L822" i="5"/>
  <c r="K822" i="5"/>
  <c r="J822" i="5"/>
  <c r="I822" i="5"/>
  <c r="H822" i="5"/>
  <c r="G822" i="5"/>
  <c r="F822" i="5"/>
  <c r="N819" i="5"/>
  <c r="M819" i="5"/>
  <c r="L819" i="5"/>
  <c r="K819" i="5"/>
  <c r="J819" i="5"/>
  <c r="I819" i="5"/>
  <c r="H819" i="5"/>
  <c r="G819" i="5"/>
  <c r="F819" i="5"/>
  <c r="N816" i="5"/>
  <c r="M816" i="5"/>
  <c r="L816" i="5"/>
  <c r="K816" i="5"/>
  <c r="J816" i="5"/>
  <c r="I816" i="5"/>
  <c r="H816" i="5"/>
  <c r="G816" i="5"/>
  <c r="F816" i="5"/>
  <c r="N813" i="5"/>
  <c r="M813" i="5"/>
  <c r="L813" i="5"/>
  <c r="K813" i="5"/>
  <c r="J813" i="5"/>
  <c r="I813" i="5"/>
  <c r="H813" i="5"/>
  <c r="G813" i="5"/>
  <c r="F813" i="5"/>
  <c r="N810" i="5"/>
  <c r="M810" i="5"/>
  <c r="L810" i="5"/>
  <c r="K810" i="5"/>
  <c r="J810" i="5"/>
  <c r="I810" i="5"/>
  <c r="H810" i="5"/>
  <c r="G810" i="5"/>
  <c r="F810" i="5"/>
  <c r="N807" i="5"/>
  <c r="M807" i="5"/>
  <c r="L807" i="5"/>
  <c r="K807" i="5"/>
  <c r="J807" i="5"/>
  <c r="I807" i="5"/>
  <c r="H807" i="5"/>
  <c r="G807" i="5"/>
  <c r="F807" i="5"/>
  <c r="N804" i="5"/>
  <c r="M804" i="5"/>
  <c r="L804" i="5"/>
  <c r="K804" i="5"/>
  <c r="J804" i="5"/>
  <c r="I804" i="5"/>
  <c r="H804" i="5"/>
  <c r="G804" i="5"/>
  <c r="F804" i="5"/>
  <c r="N801" i="5"/>
  <c r="M801" i="5"/>
  <c r="L801" i="5"/>
  <c r="K801" i="5"/>
  <c r="J801" i="5"/>
  <c r="I801" i="5"/>
  <c r="H801" i="5"/>
  <c r="G801" i="5"/>
  <c r="F801" i="5"/>
  <c r="N798" i="5"/>
  <c r="M798" i="5"/>
  <c r="L798" i="5"/>
  <c r="K798" i="5"/>
  <c r="J798" i="5"/>
  <c r="I798" i="5"/>
  <c r="H798" i="5"/>
  <c r="G798" i="5"/>
  <c r="F798" i="5"/>
  <c r="N795" i="5"/>
  <c r="M795" i="5"/>
  <c r="L795" i="5"/>
  <c r="K795" i="5"/>
  <c r="J795" i="5"/>
  <c r="I795" i="5"/>
  <c r="H795" i="5"/>
  <c r="G795" i="5"/>
  <c r="F795" i="5"/>
  <c r="N792" i="5"/>
  <c r="M792" i="5"/>
  <c r="L792" i="5"/>
  <c r="K792" i="5"/>
  <c r="J792" i="5"/>
  <c r="I792" i="5"/>
  <c r="H792" i="5"/>
  <c r="G792" i="5"/>
  <c r="F792" i="5"/>
  <c r="N789" i="5"/>
  <c r="M789" i="5"/>
  <c r="L789" i="5"/>
  <c r="K789" i="5"/>
  <c r="J789" i="5"/>
  <c r="I789" i="5"/>
  <c r="H789" i="5"/>
  <c r="G789" i="5"/>
  <c r="F789" i="5"/>
  <c r="N786" i="5"/>
  <c r="M786" i="5"/>
  <c r="L786" i="5"/>
  <c r="K786" i="5"/>
  <c r="J786" i="5"/>
  <c r="I786" i="5"/>
  <c r="H786" i="5"/>
  <c r="G786" i="5"/>
  <c r="F786" i="5"/>
  <c r="N783" i="5"/>
  <c r="M783" i="5"/>
  <c r="L783" i="5"/>
  <c r="K783" i="5"/>
  <c r="J783" i="5"/>
  <c r="I783" i="5"/>
  <c r="H783" i="5"/>
  <c r="G783" i="5"/>
  <c r="F783" i="5"/>
  <c r="N780" i="5"/>
  <c r="M780" i="5"/>
  <c r="L780" i="5"/>
  <c r="K780" i="5"/>
  <c r="J780" i="5"/>
  <c r="I780" i="5"/>
  <c r="H780" i="5"/>
  <c r="G780" i="5"/>
  <c r="F780" i="5"/>
  <c r="N777" i="5"/>
  <c r="M777" i="5"/>
  <c r="L777" i="5"/>
  <c r="K777" i="5"/>
  <c r="J777" i="5"/>
  <c r="I777" i="5"/>
  <c r="H777" i="5"/>
  <c r="G777" i="5"/>
  <c r="F777" i="5"/>
  <c r="N774" i="5"/>
  <c r="M774" i="5"/>
  <c r="L774" i="5"/>
  <c r="K774" i="5"/>
  <c r="J774" i="5"/>
  <c r="I774" i="5"/>
  <c r="H774" i="5"/>
  <c r="G774" i="5"/>
  <c r="F774" i="5"/>
  <c r="N771" i="5"/>
  <c r="M771" i="5"/>
  <c r="L771" i="5"/>
  <c r="K771" i="5"/>
  <c r="J771" i="5"/>
  <c r="I771" i="5"/>
  <c r="H771" i="5"/>
  <c r="G771" i="5"/>
  <c r="F771" i="5"/>
  <c r="N768" i="5"/>
  <c r="M768" i="5"/>
  <c r="L768" i="5"/>
  <c r="K768" i="5"/>
  <c r="J768" i="5"/>
  <c r="I768" i="5"/>
  <c r="H768" i="5"/>
  <c r="G768" i="5"/>
  <c r="F768" i="5"/>
  <c r="N765" i="5"/>
  <c r="M765" i="5"/>
  <c r="L765" i="5"/>
  <c r="K765" i="5"/>
  <c r="J765" i="5"/>
  <c r="I765" i="5"/>
  <c r="H765" i="5"/>
  <c r="G765" i="5"/>
  <c r="F765" i="5"/>
  <c r="N762" i="5"/>
  <c r="M762" i="5"/>
  <c r="L762" i="5"/>
  <c r="K762" i="5"/>
  <c r="J762" i="5"/>
  <c r="I762" i="5"/>
  <c r="H762" i="5"/>
  <c r="G762" i="5"/>
  <c r="F762" i="5"/>
  <c r="N759" i="5"/>
  <c r="M759" i="5"/>
  <c r="L759" i="5"/>
  <c r="K759" i="5"/>
  <c r="J759" i="5"/>
  <c r="I759" i="5"/>
  <c r="H759" i="5"/>
  <c r="G759" i="5"/>
  <c r="F759" i="5"/>
  <c r="N756" i="5"/>
  <c r="M756" i="5"/>
  <c r="L756" i="5"/>
  <c r="K756" i="5"/>
  <c r="J756" i="5"/>
  <c r="I756" i="5"/>
  <c r="H756" i="5"/>
  <c r="G756" i="5"/>
  <c r="F756" i="5"/>
  <c r="N753" i="5"/>
  <c r="M753" i="5"/>
  <c r="L753" i="5"/>
  <c r="K753" i="5"/>
  <c r="J753" i="5"/>
  <c r="I753" i="5"/>
  <c r="H753" i="5"/>
  <c r="G753" i="5"/>
  <c r="F753" i="5"/>
  <c r="N750" i="5"/>
  <c r="M750" i="5"/>
  <c r="L750" i="5"/>
  <c r="K750" i="5"/>
  <c r="J750" i="5"/>
  <c r="I750" i="5"/>
  <c r="H750" i="5"/>
  <c r="G750" i="5"/>
  <c r="N747" i="5"/>
  <c r="M747" i="5"/>
  <c r="L747" i="5"/>
  <c r="K747" i="5"/>
  <c r="J747" i="5"/>
  <c r="I747" i="5"/>
  <c r="H747" i="5"/>
  <c r="G747" i="5"/>
  <c r="N744" i="5"/>
  <c r="M744" i="5"/>
  <c r="L744" i="5"/>
  <c r="K744" i="5"/>
  <c r="J744" i="5"/>
  <c r="I744" i="5"/>
  <c r="H744" i="5"/>
  <c r="G744" i="5"/>
  <c r="F744" i="5"/>
  <c r="N741" i="5"/>
  <c r="M741" i="5"/>
  <c r="L741" i="5"/>
  <c r="K741" i="5"/>
  <c r="J741" i="5"/>
  <c r="I741" i="5"/>
  <c r="H741" i="5"/>
  <c r="G741" i="5"/>
  <c r="F741" i="5"/>
  <c r="N738" i="5"/>
  <c r="M738" i="5"/>
  <c r="L738" i="5"/>
  <c r="K738" i="5"/>
  <c r="J738" i="5"/>
  <c r="I738" i="5"/>
  <c r="H738" i="5"/>
  <c r="G738" i="5"/>
  <c r="F738" i="5"/>
  <c r="N735" i="5"/>
  <c r="M735" i="5"/>
  <c r="L735" i="5"/>
  <c r="K735" i="5"/>
  <c r="J735" i="5"/>
  <c r="I735" i="5"/>
  <c r="H735" i="5"/>
  <c r="G735" i="5"/>
  <c r="F735" i="5"/>
  <c r="N732" i="5"/>
  <c r="M732" i="5"/>
  <c r="L732" i="5"/>
  <c r="K732" i="5"/>
  <c r="J732" i="5"/>
  <c r="I732" i="5"/>
  <c r="H732" i="5"/>
  <c r="G732" i="5"/>
  <c r="F732" i="5"/>
  <c r="N729" i="5"/>
  <c r="M729" i="5"/>
  <c r="L729" i="5"/>
  <c r="K729" i="5"/>
  <c r="J729" i="5"/>
  <c r="I729" i="5"/>
  <c r="H729" i="5"/>
  <c r="G729" i="5"/>
  <c r="F729" i="5"/>
  <c r="N726" i="5"/>
  <c r="M726" i="5"/>
  <c r="L726" i="5"/>
  <c r="K726" i="5"/>
  <c r="J726" i="5"/>
  <c r="I726" i="5"/>
  <c r="H726" i="5"/>
  <c r="G726" i="5"/>
  <c r="F726" i="5"/>
  <c r="N723" i="5"/>
  <c r="M723" i="5"/>
  <c r="L723" i="5"/>
  <c r="K723" i="5"/>
  <c r="J723" i="5"/>
  <c r="I723" i="5"/>
  <c r="H723" i="5"/>
  <c r="G723" i="5"/>
  <c r="F723" i="5"/>
  <c r="N720" i="5"/>
  <c r="M720" i="5"/>
  <c r="L720" i="5"/>
  <c r="K720" i="5"/>
  <c r="J720" i="5"/>
  <c r="I720" i="5"/>
  <c r="H720" i="5"/>
  <c r="G720" i="5"/>
  <c r="F720" i="5"/>
  <c r="N717" i="5"/>
  <c r="M717" i="5"/>
  <c r="L717" i="5"/>
  <c r="K717" i="5"/>
  <c r="J717" i="5"/>
  <c r="I717" i="5"/>
  <c r="H717" i="5"/>
  <c r="G717" i="5"/>
  <c r="F717" i="5"/>
  <c r="N714" i="5"/>
  <c r="M714" i="5"/>
  <c r="L714" i="5"/>
  <c r="K714" i="5"/>
  <c r="J714" i="5"/>
  <c r="I714" i="5"/>
  <c r="H714" i="5"/>
  <c r="G714" i="5"/>
  <c r="F714" i="5"/>
  <c r="N711" i="5"/>
  <c r="M711" i="5"/>
  <c r="L711" i="5"/>
  <c r="K711" i="5"/>
  <c r="J711" i="5"/>
  <c r="I711" i="5"/>
  <c r="H711" i="5"/>
  <c r="G711" i="5"/>
  <c r="F711" i="5"/>
  <c r="N708" i="5"/>
  <c r="M708" i="5"/>
  <c r="L708" i="5"/>
  <c r="K708" i="5"/>
  <c r="J708" i="5"/>
  <c r="I708" i="5"/>
  <c r="H708" i="5"/>
  <c r="G708" i="5"/>
  <c r="F708" i="5"/>
  <c r="N705" i="5"/>
  <c r="M705" i="5"/>
  <c r="L705" i="5"/>
  <c r="K705" i="5"/>
  <c r="J705" i="5"/>
  <c r="I705" i="5"/>
  <c r="H705" i="5"/>
  <c r="G705" i="5"/>
  <c r="F705" i="5"/>
  <c r="N702" i="5"/>
  <c r="M702" i="5"/>
  <c r="L702" i="5"/>
  <c r="K702" i="5"/>
  <c r="J702" i="5"/>
  <c r="I702" i="5"/>
  <c r="H702" i="5"/>
  <c r="G702" i="5"/>
  <c r="F702" i="5"/>
  <c r="N699" i="5"/>
  <c r="M699" i="5"/>
  <c r="L699" i="5"/>
  <c r="K699" i="5"/>
  <c r="J699" i="5"/>
  <c r="I699" i="5"/>
  <c r="H699" i="5"/>
  <c r="G699" i="5"/>
  <c r="F699" i="5"/>
  <c r="N696" i="5"/>
  <c r="M696" i="5"/>
  <c r="L696" i="5"/>
  <c r="K696" i="5"/>
  <c r="J696" i="5"/>
  <c r="I696" i="5"/>
  <c r="H696" i="5"/>
  <c r="G696" i="5"/>
  <c r="F696" i="5"/>
  <c r="N693" i="5"/>
  <c r="M693" i="5"/>
  <c r="L693" i="5"/>
  <c r="K693" i="5"/>
  <c r="J693" i="5"/>
  <c r="I693" i="5"/>
  <c r="H693" i="5"/>
  <c r="G693" i="5"/>
  <c r="F693" i="5"/>
  <c r="N690" i="5"/>
  <c r="M690" i="5"/>
  <c r="L690" i="5"/>
  <c r="K690" i="5"/>
  <c r="J690" i="5"/>
  <c r="I690" i="5"/>
  <c r="H690" i="5"/>
  <c r="G690" i="5"/>
  <c r="F690" i="5"/>
  <c r="N687" i="5"/>
  <c r="M687" i="5"/>
  <c r="L687" i="5"/>
  <c r="K687" i="5"/>
  <c r="J687" i="5"/>
  <c r="I687" i="5"/>
  <c r="H687" i="5"/>
  <c r="G687" i="5"/>
  <c r="F687" i="5"/>
  <c r="N684" i="5"/>
  <c r="M684" i="5"/>
  <c r="L684" i="5"/>
  <c r="K684" i="5"/>
  <c r="J684" i="5"/>
  <c r="I684" i="5"/>
  <c r="H684" i="5"/>
  <c r="G684" i="5"/>
  <c r="F684" i="5"/>
  <c r="N681" i="5"/>
  <c r="M681" i="5"/>
  <c r="L681" i="5"/>
  <c r="K681" i="5"/>
  <c r="J681" i="5"/>
  <c r="I681" i="5"/>
  <c r="H681" i="5"/>
  <c r="G681" i="5"/>
  <c r="F681" i="5"/>
  <c r="N678" i="5"/>
  <c r="M678" i="5"/>
  <c r="L678" i="5"/>
  <c r="K678" i="5"/>
  <c r="J678" i="5"/>
  <c r="I678" i="5"/>
  <c r="H678" i="5"/>
  <c r="G678" i="5"/>
  <c r="F678" i="5"/>
  <c r="N675" i="5"/>
  <c r="M675" i="5"/>
  <c r="L675" i="5"/>
  <c r="K675" i="5"/>
  <c r="J675" i="5"/>
  <c r="I675" i="5"/>
  <c r="H675" i="5"/>
  <c r="G675" i="5"/>
  <c r="F675" i="5"/>
  <c r="N672" i="5"/>
  <c r="M672" i="5"/>
  <c r="L672" i="5"/>
  <c r="K672" i="5"/>
  <c r="J672" i="5"/>
  <c r="I672" i="5"/>
  <c r="H672" i="5"/>
  <c r="G672" i="5"/>
  <c r="F672" i="5"/>
  <c r="N669" i="5"/>
  <c r="M669" i="5"/>
  <c r="L669" i="5"/>
  <c r="K669" i="5"/>
  <c r="J669" i="5"/>
  <c r="I669" i="5"/>
  <c r="H669" i="5"/>
  <c r="G669" i="5"/>
  <c r="F669" i="5"/>
  <c r="N666" i="5"/>
  <c r="M666" i="5"/>
  <c r="L666" i="5"/>
  <c r="K666" i="5"/>
  <c r="J666" i="5"/>
  <c r="I666" i="5"/>
  <c r="H666" i="5"/>
  <c r="G666" i="5"/>
  <c r="F666" i="5"/>
  <c r="N663" i="5"/>
  <c r="M663" i="5"/>
  <c r="L663" i="5"/>
  <c r="K663" i="5"/>
  <c r="J663" i="5"/>
  <c r="I663" i="5"/>
  <c r="H663" i="5"/>
  <c r="G663" i="5"/>
  <c r="F663" i="5"/>
  <c r="N660" i="5"/>
  <c r="M660" i="5"/>
  <c r="L660" i="5"/>
  <c r="K660" i="5"/>
  <c r="J660" i="5"/>
  <c r="I660" i="5"/>
  <c r="H660" i="5"/>
  <c r="G660" i="5"/>
  <c r="F660" i="5"/>
  <c r="N657" i="5"/>
  <c r="M657" i="5"/>
  <c r="L657" i="5"/>
  <c r="K657" i="5"/>
  <c r="J657" i="5"/>
  <c r="I657" i="5"/>
  <c r="H657" i="5"/>
  <c r="G657" i="5"/>
  <c r="F657" i="5"/>
  <c r="N654" i="5"/>
  <c r="M654" i="5"/>
  <c r="L654" i="5"/>
  <c r="K654" i="5"/>
  <c r="J654" i="5"/>
  <c r="I654" i="5"/>
  <c r="H654" i="5"/>
  <c r="G654" i="5"/>
  <c r="F654" i="5"/>
  <c r="N651" i="5"/>
  <c r="M651" i="5"/>
  <c r="L651" i="5"/>
  <c r="K651" i="5"/>
  <c r="J651" i="5"/>
  <c r="I651" i="5"/>
  <c r="H651" i="5"/>
  <c r="G651" i="5"/>
  <c r="F651" i="5"/>
  <c r="N648" i="5"/>
  <c r="M648" i="5"/>
  <c r="L648" i="5"/>
  <c r="K648" i="5"/>
  <c r="J648" i="5"/>
  <c r="I648" i="5"/>
  <c r="H648" i="5"/>
  <c r="G648" i="5"/>
  <c r="F648" i="5"/>
  <c r="N645" i="5"/>
  <c r="M645" i="5"/>
  <c r="L645" i="5"/>
  <c r="K645" i="5"/>
  <c r="J645" i="5"/>
  <c r="I645" i="5"/>
  <c r="H645" i="5"/>
  <c r="G645" i="5"/>
  <c r="F645" i="5"/>
  <c r="N642" i="5"/>
  <c r="M642" i="5"/>
  <c r="L642" i="5"/>
  <c r="K642" i="5"/>
  <c r="J642" i="5"/>
  <c r="I642" i="5"/>
  <c r="H642" i="5"/>
  <c r="G642" i="5"/>
  <c r="F642" i="5"/>
  <c r="N639" i="5"/>
  <c r="M639" i="5"/>
  <c r="L639" i="5"/>
  <c r="K639" i="5"/>
  <c r="J639" i="5"/>
  <c r="I639" i="5"/>
  <c r="H639" i="5"/>
  <c r="G639" i="5"/>
  <c r="F639" i="5"/>
  <c r="N636" i="5"/>
  <c r="M636" i="5"/>
  <c r="L636" i="5"/>
  <c r="K636" i="5"/>
  <c r="J636" i="5"/>
  <c r="I636" i="5"/>
  <c r="H636" i="5"/>
  <c r="G636" i="5"/>
  <c r="F636" i="5"/>
  <c r="N633" i="5"/>
  <c r="M633" i="5"/>
  <c r="L633" i="5"/>
  <c r="K633" i="5"/>
  <c r="J633" i="5"/>
  <c r="I633" i="5"/>
  <c r="H633" i="5"/>
  <c r="G633" i="5"/>
  <c r="F633" i="5"/>
  <c r="N630" i="5"/>
  <c r="M630" i="5"/>
  <c r="L630" i="5"/>
  <c r="K630" i="5"/>
  <c r="J630" i="5"/>
  <c r="I630" i="5"/>
  <c r="H630" i="5"/>
  <c r="G630" i="5"/>
  <c r="F630" i="5"/>
  <c r="N627" i="5"/>
  <c r="M627" i="5"/>
  <c r="L627" i="5"/>
  <c r="K627" i="5"/>
  <c r="J627" i="5"/>
  <c r="I627" i="5"/>
  <c r="H627" i="5"/>
  <c r="G627" i="5"/>
  <c r="F627" i="5"/>
  <c r="N624" i="5"/>
  <c r="M624" i="5"/>
  <c r="L624" i="5"/>
  <c r="K624" i="5"/>
  <c r="J624" i="5"/>
  <c r="I624" i="5"/>
  <c r="H624" i="5"/>
  <c r="G624" i="5"/>
  <c r="F624" i="5"/>
  <c r="N621" i="5"/>
  <c r="M621" i="5"/>
  <c r="L621" i="5"/>
  <c r="K621" i="5"/>
  <c r="J621" i="5"/>
  <c r="I621" i="5"/>
  <c r="H621" i="5"/>
  <c r="G621" i="5"/>
  <c r="F621" i="5"/>
  <c r="N618" i="5"/>
  <c r="M618" i="5"/>
  <c r="L618" i="5"/>
  <c r="K618" i="5"/>
  <c r="J618" i="5"/>
  <c r="I618" i="5"/>
  <c r="H618" i="5"/>
  <c r="G618" i="5"/>
  <c r="F618" i="5"/>
  <c r="N615" i="5"/>
  <c r="M615" i="5"/>
  <c r="L615" i="5"/>
  <c r="K615" i="5"/>
  <c r="J615" i="5"/>
  <c r="I615" i="5"/>
  <c r="H615" i="5"/>
  <c r="G615" i="5"/>
  <c r="F615" i="5"/>
  <c r="N612" i="5"/>
  <c r="M612" i="5"/>
  <c r="L612" i="5"/>
  <c r="K612" i="5"/>
  <c r="J612" i="5"/>
  <c r="I612" i="5"/>
  <c r="H612" i="5"/>
  <c r="G612" i="5"/>
  <c r="F612" i="5"/>
  <c r="N609" i="5"/>
  <c r="M609" i="5"/>
  <c r="L609" i="5"/>
  <c r="K609" i="5"/>
  <c r="J609" i="5"/>
  <c r="I609" i="5"/>
  <c r="H609" i="5"/>
  <c r="G609" i="5"/>
  <c r="F609" i="5"/>
  <c r="N606" i="5"/>
  <c r="M606" i="5"/>
  <c r="L606" i="5"/>
  <c r="K606" i="5"/>
  <c r="J606" i="5"/>
  <c r="I606" i="5"/>
  <c r="H606" i="5"/>
  <c r="G606" i="5"/>
  <c r="F606" i="5"/>
  <c r="N603" i="5"/>
  <c r="M603" i="5"/>
  <c r="L603" i="5"/>
  <c r="K603" i="5"/>
  <c r="J603" i="5"/>
  <c r="I603" i="5"/>
  <c r="H603" i="5"/>
  <c r="G603" i="5"/>
  <c r="F603" i="5"/>
  <c r="N600" i="5"/>
  <c r="M600" i="5"/>
  <c r="L600" i="5"/>
  <c r="K600" i="5"/>
  <c r="J600" i="5"/>
  <c r="I600" i="5"/>
  <c r="H600" i="5"/>
  <c r="G600" i="5"/>
  <c r="F600" i="5"/>
  <c r="N597" i="5"/>
  <c r="M597" i="5"/>
  <c r="L597" i="5"/>
  <c r="K597" i="5"/>
  <c r="J597" i="5"/>
  <c r="I597" i="5"/>
  <c r="H597" i="5"/>
  <c r="G597" i="5"/>
  <c r="F597" i="5"/>
  <c r="N594" i="5"/>
  <c r="M594" i="5"/>
  <c r="L594" i="5"/>
  <c r="K594" i="5"/>
  <c r="J594" i="5"/>
  <c r="I594" i="5"/>
  <c r="H594" i="5"/>
  <c r="G594" i="5"/>
  <c r="F594" i="5"/>
  <c r="N591" i="5"/>
  <c r="M591" i="5"/>
  <c r="L591" i="5"/>
  <c r="K591" i="5"/>
  <c r="J591" i="5"/>
  <c r="I591" i="5"/>
  <c r="H591" i="5"/>
  <c r="G591" i="5"/>
  <c r="F591" i="5"/>
  <c r="N588" i="5"/>
  <c r="M588" i="5"/>
  <c r="L588" i="5"/>
  <c r="K588" i="5"/>
  <c r="J588" i="5"/>
  <c r="I588" i="5"/>
  <c r="H588" i="5"/>
  <c r="G588" i="5"/>
  <c r="F588" i="5"/>
  <c r="N585" i="5"/>
  <c r="M585" i="5"/>
  <c r="L585" i="5"/>
  <c r="K585" i="5"/>
  <c r="J585" i="5"/>
  <c r="I585" i="5"/>
  <c r="H585" i="5"/>
  <c r="G585" i="5"/>
  <c r="F585" i="5"/>
  <c r="N582" i="5"/>
  <c r="M582" i="5"/>
  <c r="L582" i="5"/>
  <c r="K582" i="5"/>
  <c r="J582" i="5"/>
  <c r="I582" i="5"/>
  <c r="H582" i="5"/>
  <c r="G582" i="5"/>
  <c r="F582" i="5"/>
  <c r="N579" i="5"/>
  <c r="M579" i="5"/>
  <c r="L579" i="5"/>
  <c r="K579" i="5"/>
  <c r="J579" i="5"/>
  <c r="I579" i="5"/>
  <c r="H579" i="5"/>
  <c r="G579" i="5"/>
  <c r="F579" i="5"/>
  <c r="N576" i="5"/>
  <c r="M576" i="5"/>
  <c r="L576" i="5"/>
  <c r="K576" i="5"/>
  <c r="J576" i="5"/>
  <c r="I576" i="5"/>
  <c r="H576" i="5"/>
  <c r="G576" i="5"/>
  <c r="F576" i="5"/>
  <c r="N573" i="5"/>
  <c r="M573" i="5"/>
  <c r="L573" i="5"/>
  <c r="K573" i="5"/>
  <c r="J573" i="5"/>
  <c r="I573" i="5"/>
  <c r="H573" i="5"/>
  <c r="G573" i="5"/>
  <c r="F573" i="5"/>
  <c r="N570" i="5"/>
  <c r="M570" i="5"/>
  <c r="L570" i="5"/>
  <c r="K570" i="5"/>
  <c r="J570" i="5"/>
  <c r="I570" i="5"/>
  <c r="H570" i="5"/>
  <c r="G570" i="5"/>
  <c r="F570" i="5"/>
  <c r="N567" i="5"/>
  <c r="M567" i="5"/>
  <c r="L567" i="5"/>
  <c r="K567" i="5"/>
  <c r="J567" i="5"/>
  <c r="I567" i="5"/>
  <c r="H567" i="5"/>
  <c r="G567" i="5"/>
  <c r="F567" i="5"/>
  <c r="N564" i="5"/>
  <c r="M564" i="5"/>
  <c r="L564" i="5"/>
  <c r="K564" i="5"/>
  <c r="J564" i="5"/>
  <c r="I564" i="5"/>
  <c r="H564" i="5"/>
  <c r="G564" i="5"/>
  <c r="F564" i="5"/>
  <c r="N561" i="5"/>
  <c r="M561" i="5"/>
  <c r="L561" i="5"/>
  <c r="K561" i="5"/>
  <c r="J561" i="5"/>
  <c r="I561" i="5"/>
  <c r="H561" i="5"/>
  <c r="G561" i="5"/>
  <c r="F561" i="5"/>
  <c r="N558" i="5"/>
  <c r="M558" i="5"/>
  <c r="L558" i="5"/>
  <c r="K558" i="5"/>
  <c r="J558" i="5"/>
  <c r="I558" i="5"/>
  <c r="H558" i="5"/>
  <c r="G558" i="5"/>
  <c r="F558" i="5"/>
  <c r="N555" i="5"/>
  <c r="M555" i="5"/>
  <c r="L555" i="5"/>
  <c r="K555" i="5"/>
  <c r="J555" i="5"/>
  <c r="I555" i="5"/>
  <c r="H555" i="5"/>
  <c r="G555" i="5"/>
  <c r="F555" i="5"/>
  <c r="N552" i="5"/>
  <c r="M552" i="5"/>
  <c r="L552" i="5"/>
  <c r="K552" i="5"/>
  <c r="J552" i="5"/>
  <c r="I552" i="5"/>
  <c r="H552" i="5"/>
  <c r="G552" i="5"/>
  <c r="F552" i="5"/>
  <c r="N549" i="5"/>
  <c r="M549" i="5"/>
  <c r="L549" i="5"/>
  <c r="K549" i="5"/>
  <c r="J549" i="5"/>
  <c r="I549" i="5"/>
  <c r="H549" i="5"/>
  <c r="G549" i="5"/>
  <c r="F549" i="5"/>
  <c r="N546" i="5"/>
  <c r="M546" i="5"/>
  <c r="L546" i="5"/>
  <c r="K546" i="5"/>
  <c r="J546" i="5"/>
  <c r="I546" i="5"/>
  <c r="H546" i="5"/>
  <c r="G546" i="5"/>
  <c r="F546" i="5"/>
  <c r="N543" i="5"/>
  <c r="M543" i="5"/>
  <c r="L543" i="5"/>
  <c r="K543" i="5"/>
  <c r="J543" i="5"/>
  <c r="I543" i="5"/>
  <c r="H543" i="5"/>
  <c r="G543" i="5"/>
  <c r="F543" i="5"/>
  <c r="N540" i="5"/>
  <c r="M540" i="5"/>
  <c r="L540" i="5"/>
  <c r="K540" i="5"/>
  <c r="J540" i="5"/>
  <c r="I540" i="5"/>
  <c r="H540" i="5"/>
  <c r="G540" i="5"/>
  <c r="F540" i="5"/>
  <c r="N537" i="5"/>
  <c r="M537" i="5"/>
  <c r="L537" i="5"/>
  <c r="K537" i="5"/>
  <c r="J537" i="5"/>
  <c r="I537" i="5"/>
  <c r="H537" i="5"/>
  <c r="G537" i="5"/>
  <c r="F537" i="5"/>
  <c r="N534" i="5"/>
  <c r="M534" i="5"/>
  <c r="L534" i="5"/>
  <c r="K534" i="5"/>
  <c r="J534" i="5"/>
  <c r="I534" i="5"/>
  <c r="H534" i="5"/>
  <c r="G534" i="5"/>
  <c r="F534" i="5"/>
  <c r="N531" i="5"/>
  <c r="M531" i="5"/>
  <c r="L531" i="5"/>
  <c r="K531" i="5"/>
  <c r="J531" i="5"/>
  <c r="I531" i="5"/>
  <c r="H531" i="5"/>
  <c r="G531" i="5"/>
  <c r="F531" i="5"/>
  <c r="N528" i="5"/>
  <c r="M528" i="5"/>
  <c r="L528" i="5"/>
  <c r="K528" i="5"/>
  <c r="J528" i="5"/>
  <c r="I528" i="5"/>
  <c r="H528" i="5"/>
  <c r="G528" i="5"/>
  <c r="F528" i="5"/>
  <c r="N525" i="5"/>
  <c r="M525" i="5"/>
  <c r="L525" i="5"/>
  <c r="K525" i="5"/>
  <c r="J525" i="5"/>
  <c r="I525" i="5"/>
  <c r="H525" i="5"/>
  <c r="G525" i="5"/>
  <c r="F525" i="5"/>
  <c r="N522" i="5"/>
  <c r="M522" i="5"/>
  <c r="L522" i="5"/>
  <c r="K522" i="5"/>
  <c r="J522" i="5"/>
  <c r="I522" i="5"/>
  <c r="H522" i="5"/>
  <c r="G522" i="5"/>
  <c r="F522" i="5"/>
  <c r="N519" i="5"/>
  <c r="M519" i="5"/>
  <c r="L519" i="5"/>
  <c r="K519" i="5"/>
  <c r="J519" i="5"/>
  <c r="I519" i="5"/>
  <c r="H519" i="5"/>
  <c r="G519" i="5"/>
  <c r="F519" i="5"/>
  <c r="N516" i="5"/>
  <c r="M516" i="5"/>
  <c r="L516" i="5"/>
  <c r="K516" i="5"/>
  <c r="J516" i="5"/>
  <c r="I516" i="5"/>
  <c r="H516" i="5"/>
  <c r="G516" i="5"/>
  <c r="F516" i="5"/>
  <c r="N513" i="5"/>
  <c r="M513" i="5"/>
  <c r="L513" i="5"/>
  <c r="K513" i="5"/>
  <c r="J513" i="5"/>
  <c r="I513" i="5"/>
  <c r="H513" i="5"/>
  <c r="G513" i="5"/>
  <c r="F513" i="5"/>
  <c r="N510" i="5"/>
  <c r="M510" i="5"/>
  <c r="L510" i="5"/>
  <c r="K510" i="5"/>
  <c r="J510" i="5"/>
  <c r="I510" i="5"/>
  <c r="H510" i="5"/>
  <c r="G510" i="5"/>
  <c r="F510" i="5"/>
  <c r="N507" i="5"/>
  <c r="M507" i="5"/>
  <c r="L507" i="5"/>
  <c r="K507" i="5"/>
  <c r="J507" i="5"/>
  <c r="I507" i="5"/>
  <c r="H507" i="5"/>
  <c r="G507" i="5"/>
  <c r="F507" i="5"/>
  <c r="N504" i="5"/>
  <c r="M504" i="5"/>
  <c r="L504" i="5"/>
  <c r="K504" i="5"/>
  <c r="J504" i="5"/>
  <c r="I504" i="5"/>
  <c r="H504" i="5"/>
  <c r="G504" i="5"/>
  <c r="F504" i="5"/>
  <c r="N501" i="5"/>
  <c r="M501" i="5"/>
  <c r="L501" i="5"/>
  <c r="K501" i="5"/>
  <c r="J501" i="5"/>
  <c r="I501" i="5"/>
  <c r="H501" i="5"/>
  <c r="G501" i="5"/>
  <c r="F501" i="5"/>
  <c r="N498" i="5"/>
  <c r="M498" i="5"/>
  <c r="L498" i="5"/>
  <c r="K498" i="5"/>
  <c r="J498" i="5"/>
  <c r="I498" i="5"/>
  <c r="H498" i="5"/>
  <c r="G498" i="5"/>
  <c r="F498" i="5"/>
  <c r="N495" i="5"/>
  <c r="M495" i="5"/>
  <c r="L495" i="5"/>
  <c r="K495" i="5"/>
  <c r="J495" i="5"/>
  <c r="I495" i="5"/>
  <c r="H495" i="5"/>
  <c r="G495" i="5"/>
  <c r="F495" i="5"/>
  <c r="N492" i="5"/>
  <c r="M492" i="5"/>
  <c r="L492" i="5"/>
  <c r="K492" i="5"/>
  <c r="J492" i="5"/>
  <c r="I492" i="5"/>
  <c r="H492" i="5"/>
  <c r="G492" i="5"/>
  <c r="F492" i="5"/>
  <c r="N489" i="5"/>
  <c r="M489" i="5"/>
  <c r="L489" i="5"/>
  <c r="K489" i="5"/>
  <c r="J489" i="5"/>
  <c r="I489" i="5"/>
  <c r="H489" i="5"/>
  <c r="G489" i="5"/>
  <c r="F489" i="5"/>
  <c r="N486" i="5"/>
  <c r="M486" i="5"/>
  <c r="L486" i="5"/>
  <c r="K486" i="5"/>
  <c r="J486" i="5"/>
  <c r="I486" i="5"/>
  <c r="H486" i="5"/>
  <c r="G486" i="5"/>
  <c r="F486" i="5"/>
  <c r="N483" i="5"/>
  <c r="M483" i="5"/>
  <c r="L483" i="5"/>
  <c r="K483" i="5"/>
  <c r="J483" i="5"/>
  <c r="I483" i="5"/>
  <c r="H483" i="5"/>
  <c r="G483" i="5"/>
  <c r="F483" i="5"/>
  <c r="N480" i="5"/>
  <c r="M480" i="5"/>
  <c r="L480" i="5"/>
  <c r="K480" i="5"/>
  <c r="J480" i="5"/>
  <c r="I480" i="5"/>
  <c r="H480" i="5"/>
  <c r="G480" i="5"/>
  <c r="F480" i="5"/>
  <c r="N477" i="5"/>
  <c r="M477" i="5"/>
  <c r="L477" i="5"/>
  <c r="K477" i="5"/>
  <c r="J477" i="5"/>
  <c r="I477" i="5"/>
  <c r="H477" i="5"/>
  <c r="G477" i="5"/>
  <c r="F477" i="5"/>
  <c r="N474" i="5"/>
  <c r="M474" i="5"/>
  <c r="L474" i="5"/>
  <c r="K474" i="5"/>
  <c r="J474" i="5"/>
  <c r="I474" i="5"/>
  <c r="H474" i="5"/>
  <c r="G474" i="5"/>
  <c r="F474" i="5"/>
  <c r="N471" i="5"/>
  <c r="M471" i="5"/>
  <c r="L471" i="5"/>
  <c r="K471" i="5"/>
  <c r="J471" i="5"/>
  <c r="I471" i="5"/>
  <c r="H471" i="5"/>
  <c r="G471" i="5"/>
  <c r="F471" i="5"/>
  <c r="N468" i="5"/>
  <c r="M468" i="5"/>
  <c r="L468" i="5"/>
  <c r="K468" i="5"/>
  <c r="J468" i="5"/>
  <c r="I468" i="5"/>
  <c r="H468" i="5"/>
  <c r="G468" i="5"/>
  <c r="F468" i="5"/>
  <c r="N465" i="5"/>
  <c r="M465" i="5"/>
  <c r="L465" i="5"/>
  <c r="K465" i="5"/>
  <c r="J465" i="5"/>
  <c r="I465" i="5"/>
  <c r="H465" i="5"/>
  <c r="G465" i="5"/>
  <c r="F465" i="5"/>
  <c r="N462" i="5"/>
  <c r="M462" i="5"/>
  <c r="L462" i="5"/>
  <c r="K462" i="5"/>
  <c r="J462" i="5"/>
  <c r="I462" i="5"/>
  <c r="H462" i="5"/>
  <c r="G462" i="5"/>
  <c r="F462" i="5"/>
  <c r="N459" i="5"/>
  <c r="M459" i="5"/>
  <c r="L459" i="5"/>
  <c r="K459" i="5"/>
  <c r="J459" i="5"/>
  <c r="I459" i="5"/>
  <c r="H459" i="5"/>
  <c r="G459" i="5"/>
  <c r="F459" i="5"/>
  <c r="N456" i="5"/>
  <c r="M456" i="5"/>
  <c r="L456" i="5"/>
  <c r="K456" i="5"/>
  <c r="J456" i="5"/>
  <c r="I456" i="5"/>
  <c r="H456" i="5"/>
  <c r="G456" i="5"/>
  <c r="F456" i="5"/>
  <c r="N453" i="5"/>
  <c r="M453" i="5"/>
  <c r="L453" i="5"/>
  <c r="K453" i="5"/>
  <c r="J453" i="5"/>
  <c r="I453" i="5"/>
  <c r="H453" i="5"/>
  <c r="G453" i="5"/>
  <c r="F453" i="5"/>
  <c r="N450" i="5"/>
  <c r="M450" i="5"/>
  <c r="L450" i="5"/>
  <c r="K450" i="5"/>
  <c r="J450" i="5"/>
  <c r="I450" i="5"/>
  <c r="H450" i="5"/>
  <c r="G450" i="5"/>
  <c r="F450" i="5"/>
  <c r="N447" i="5"/>
  <c r="M447" i="5"/>
  <c r="L447" i="5"/>
  <c r="K447" i="5"/>
  <c r="J447" i="5"/>
  <c r="I447" i="5"/>
  <c r="H447" i="5"/>
  <c r="G447" i="5"/>
  <c r="F447" i="5"/>
  <c r="N444" i="5"/>
  <c r="M444" i="5"/>
  <c r="L444" i="5"/>
  <c r="K444" i="5"/>
  <c r="J444" i="5"/>
  <c r="I444" i="5"/>
  <c r="H444" i="5"/>
  <c r="G444" i="5"/>
  <c r="F444" i="5"/>
  <c r="N441" i="5"/>
  <c r="M441" i="5"/>
  <c r="L441" i="5"/>
  <c r="K441" i="5"/>
  <c r="J441" i="5"/>
  <c r="I441" i="5"/>
  <c r="H441" i="5"/>
  <c r="G441" i="5"/>
  <c r="F441" i="5"/>
  <c r="N438" i="5"/>
  <c r="M438" i="5"/>
  <c r="L438" i="5"/>
  <c r="K438" i="5"/>
  <c r="J438" i="5"/>
  <c r="I438" i="5"/>
  <c r="H438" i="5"/>
  <c r="G438" i="5"/>
  <c r="F438" i="5"/>
  <c r="N435" i="5"/>
  <c r="M435" i="5"/>
  <c r="L435" i="5"/>
  <c r="K435" i="5"/>
  <c r="J435" i="5"/>
  <c r="I435" i="5"/>
  <c r="H435" i="5"/>
  <c r="G435" i="5"/>
  <c r="F435" i="5"/>
  <c r="N432" i="5"/>
  <c r="M432" i="5"/>
  <c r="L432" i="5"/>
  <c r="K432" i="5"/>
  <c r="J432" i="5"/>
  <c r="I432" i="5"/>
  <c r="H432" i="5"/>
  <c r="G432" i="5"/>
  <c r="F432" i="5"/>
  <c r="N429" i="5"/>
  <c r="M429" i="5"/>
  <c r="L429" i="5"/>
  <c r="K429" i="5"/>
  <c r="J429" i="5"/>
  <c r="I429" i="5"/>
  <c r="H429" i="5"/>
  <c r="G429" i="5"/>
  <c r="F429" i="5"/>
  <c r="N426" i="5"/>
  <c r="M426" i="5"/>
  <c r="L426" i="5"/>
  <c r="K426" i="5"/>
  <c r="J426" i="5"/>
  <c r="I426" i="5"/>
  <c r="H426" i="5"/>
  <c r="G426" i="5"/>
  <c r="F426" i="5"/>
  <c r="N423" i="5"/>
  <c r="M423" i="5"/>
  <c r="L423" i="5"/>
  <c r="K423" i="5"/>
  <c r="J423" i="5"/>
  <c r="I423" i="5"/>
  <c r="H423" i="5"/>
  <c r="G423" i="5"/>
  <c r="F423" i="5"/>
  <c r="N420" i="5"/>
  <c r="M420" i="5"/>
  <c r="L420" i="5"/>
  <c r="K420" i="5"/>
  <c r="J420" i="5"/>
  <c r="I420" i="5"/>
  <c r="H420" i="5"/>
  <c r="G420" i="5"/>
  <c r="F420" i="5"/>
  <c r="N417" i="5"/>
  <c r="M417" i="5"/>
  <c r="L417" i="5"/>
  <c r="K417" i="5"/>
  <c r="J417" i="5"/>
  <c r="I417" i="5"/>
  <c r="H417" i="5"/>
  <c r="G417" i="5"/>
  <c r="F417" i="5"/>
  <c r="N414" i="5"/>
  <c r="M414" i="5"/>
  <c r="L414" i="5"/>
  <c r="K414" i="5"/>
  <c r="J414" i="5"/>
  <c r="I414" i="5"/>
  <c r="H414" i="5"/>
  <c r="G414" i="5"/>
  <c r="F414" i="5"/>
  <c r="N411" i="5"/>
  <c r="M411" i="5"/>
  <c r="L411" i="5"/>
  <c r="K411" i="5"/>
  <c r="J411" i="5"/>
  <c r="I411" i="5"/>
  <c r="H411" i="5"/>
  <c r="G411" i="5"/>
  <c r="F411" i="5"/>
  <c r="N408" i="5"/>
  <c r="M408" i="5"/>
  <c r="L408" i="5"/>
  <c r="K408" i="5"/>
  <c r="J408" i="5"/>
  <c r="I408" i="5"/>
  <c r="H408" i="5"/>
  <c r="G408" i="5"/>
  <c r="F408" i="5"/>
  <c r="N405" i="5"/>
  <c r="M405" i="5"/>
  <c r="L405" i="5"/>
  <c r="K405" i="5"/>
  <c r="J405" i="5"/>
  <c r="I405" i="5"/>
  <c r="H405" i="5"/>
  <c r="G405" i="5"/>
  <c r="F405" i="5"/>
  <c r="N402" i="5"/>
  <c r="M402" i="5"/>
  <c r="L402" i="5"/>
  <c r="K402" i="5"/>
  <c r="J402" i="5"/>
  <c r="I402" i="5"/>
  <c r="H402" i="5"/>
  <c r="G402" i="5"/>
  <c r="F402" i="5"/>
  <c r="N399" i="5"/>
  <c r="M399" i="5"/>
  <c r="L399" i="5"/>
  <c r="K399" i="5"/>
  <c r="J399" i="5"/>
  <c r="I399" i="5"/>
  <c r="H399" i="5"/>
  <c r="G399" i="5"/>
  <c r="F399" i="5"/>
  <c r="N396" i="5"/>
  <c r="M396" i="5"/>
  <c r="L396" i="5"/>
  <c r="K396" i="5"/>
  <c r="J396" i="5"/>
  <c r="I396" i="5"/>
  <c r="H396" i="5"/>
  <c r="G396" i="5"/>
  <c r="F396" i="5"/>
  <c r="N393" i="5"/>
  <c r="M393" i="5"/>
  <c r="L393" i="5"/>
  <c r="K393" i="5"/>
  <c r="J393" i="5"/>
  <c r="I393" i="5"/>
  <c r="H393" i="5"/>
  <c r="G393" i="5"/>
  <c r="F393" i="5"/>
  <c r="N390" i="5"/>
  <c r="M390" i="5"/>
  <c r="L390" i="5"/>
  <c r="K390" i="5"/>
  <c r="J390" i="5"/>
  <c r="I390" i="5"/>
  <c r="H390" i="5"/>
  <c r="G390" i="5"/>
  <c r="F390" i="5"/>
  <c r="N387" i="5"/>
  <c r="M387" i="5"/>
  <c r="L387" i="5"/>
  <c r="K387" i="5"/>
  <c r="J387" i="5"/>
  <c r="I387" i="5"/>
  <c r="H387" i="5"/>
  <c r="G387" i="5"/>
  <c r="F387" i="5"/>
  <c r="N384" i="5"/>
  <c r="M384" i="5"/>
  <c r="L384" i="5"/>
  <c r="K384" i="5"/>
  <c r="J384" i="5"/>
  <c r="I384" i="5"/>
  <c r="H384" i="5"/>
  <c r="G384" i="5"/>
  <c r="F384" i="5"/>
  <c r="N381" i="5"/>
  <c r="M381" i="5"/>
  <c r="L381" i="5"/>
  <c r="K381" i="5"/>
  <c r="J381" i="5"/>
  <c r="I381" i="5"/>
  <c r="H381" i="5"/>
  <c r="G381" i="5"/>
  <c r="F381" i="5"/>
  <c r="N378" i="5"/>
  <c r="M378" i="5"/>
  <c r="L378" i="5"/>
  <c r="K378" i="5"/>
  <c r="J378" i="5"/>
  <c r="I378" i="5"/>
  <c r="H378" i="5"/>
  <c r="G378" i="5"/>
  <c r="F378" i="5"/>
  <c r="N375" i="5"/>
  <c r="M375" i="5"/>
  <c r="L375" i="5"/>
  <c r="K375" i="5"/>
  <c r="J375" i="5"/>
  <c r="I375" i="5"/>
  <c r="H375" i="5"/>
  <c r="G375" i="5"/>
  <c r="F375" i="5"/>
  <c r="N372" i="5"/>
  <c r="M372" i="5"/>
  <c r="L372" i="5"/>
  <c r="K372" i="5"/>
  <c r="J372" i="5"/>
  <c r="I372" i="5"/>
  <c r="H372" i="5"/>
  <c r="G372" i="5"/>
  <c r="F372" i="5"/>
  <c r="N369" i="5"/>
  <c r="M369" i="5"/>
  <c r="L369" i="5"/>
  <c r="K369" i="5"/>
  <c r="J369" i="5"/>
  <c r="I369" i="5"/>
  <c r="H369" i="5"/>
  <c r="G369" i="5"/>
  <c r="F369" i="5"/>
  <c r="N366" i="5"/>
  <c r="M366" i="5"/>
  <c r="L366" i="5"/>
  <c r="K366" i="5"/>
  <c r="J366" i="5"/>
  <c r="I366" i="5"/>
  <c r="H366" i="5"/>
  <c r="G366" i="5"/>
  <c r="F366" i="5"/>
  <c r="N363" i="5"/>
  <c r="M363" i="5"/>
  <c r="L363" i="5"/>
  <c r="K363" i="5"/>
  <c r="J363" i="5"/>
  <c r="I363" i="5"/>
  <c r="H363" i="5"/>
  <c r="G363" i="5"/>
  <c r="F363" i="5"/>
  <c r="N360" i="5"/>
  <c r="M360" i="5"/>
  <c r="L360" i="5"/>
  <c r="K360" i="5"/>
  <c r="J360" i="5"/>
  <c r="I360" i="5"/>
  <c r="H360" i="5"/>
  <c r="G360" i="5"/>
  <c r="F360" i="5"/>
  <c r="N357" i="5"/>
  <c r="M357" i="5"/>
  <c r="L357" i="5"/>
  <c r="K357" i="5"/>
  <c r="J357" i="5"/>
  <c r="I357" i="5"/>
  <c r="H357" i="5"/>
  <c r="G357" i="5"/>
  <c r="F357" i="5"/>
  <c r="N354" i="5"/>
  <c r="M354" i="5"/>
  <c r="L354" i="5"/>
  <c r="K354" i="5"/>
  <c r="J354" i="5"/>
  <c r="I354" i="5"/>
  <c r="H354" i="5"/>
  <c r="G354" i="5"/>
  <c r="F354" i="5"/>
  <c r="N351" i="5"/>
  <c r="M351" i="5"/>
  <c r="L351" i="5"/>
  <c r="K351" i="5"/>
  <c r="J351" i="5"/>
  <c r="I351" i="5"/>
  <c r="H351" i="5"/>
  <c r="G351" i="5"/>
  <c r="F351" i="5"/>
  <c r="N348" i="5"/>
  <c r="M348" i="5"/>
  <c r="L348" i="5"/>
  <c r="K348" i="5"/>
  <c r="J348" i="5"/>
  <c r="I348" i="5"/>
  <c r="H348" i="5"/>
  <c r="G348" i="5"/>
  <c r="F348" i="5"/>
  <c r="N345" i="5"/>
  <c r="M345" i="5"/>
  <c r="L345" i="5"/>
  <c r="K345" i="5"/>
  <c r="J345" i="5"/>
  <c r="I345" i="5"/>
  <c r="H345" i="5"/>
  <c r="G345" i="5"/>
  <c r="F345" i="5"/>
  <c r="N342" i="5"/>
  <c r="M342" i="5"/>
  <c r="L342" i="5"/>
  <c r="K342" i="5"/>
  <c r="J342" i="5"/>
  <c r="I342" i="5"/>
  <c r="H342" i="5"/>
  <c r="G342" i="5"/>
  <c r="F342" i="5"/>
  <c r="N339" i="5"/>
  <c r="M339" i="5"/>
  <c r="L339" i="5"/>
  <c r="K339" i="5"/>
  <c r="J339" i="5"/>
  <c r="I339" i="5"/>
  <c r="H339" i="5"/>
  <c r="G339" i="5"/>
  <c r="F339" i="5"/>
  <c r="N336" i="5"/>
  <c r="M336" i="5"/>
  <c r="L336" i="5"/>
  <c r="K336" i="5"/>
  <c r="J336" i="5"/>
  <c r="I336" i="5"/>
  <c r="H336" i="5"/>
  <c r="G336" i="5"/>
  <c r="F336" i="5"/>
  <c r="N333" i="5"/>
  <c r="M333" i="5"/>
  <c r="L333" i="5"/>
  <c r="K333" i="5"/>
  <c r="J333" i="5"/>
  <c r="I333" i="5"/>
  <c r="H333" i="5"/>
  <c r="G333" i="5"/>
  <c r="F333" i="5"/>
  <c r="N330" i="5"/>
  <c r="M330" i="5"/>
  <c r="L330" i="5"/>
  <c r="K330" i="5"/>
  <c r="J330" i="5"/>
  <c r="I330" i="5"/>
  <c r="H330" i="5"/>
  <c r="G330" i="5"/>
  <c r="F330" i="5"/>
  <c r="N327" i="5"/>
  <c r="M327" i="5"/>
  <c r="L327" i="5"/>
  <c r="K327" i="5"/>
  <c r="J327" i="5"/>
  <c r="I327" i="5"/>
  <c r="H327" i="5"/>
  <c r="G327" i="5"/>
  <c r="F327" i="5"/>
  <c r="N324" i="5"/>
  <c r="M324" i="5"/>
  <c r="L324" i="5"/>
  <c r="K324" i="5"/>
  <c r="J324" i="5"/>
  <c r="I324" i="5"/>
  <c r="H324" i="5"/>
  <c r="G324" i="5"/>
  <c r="F324" i="5"/>
  <c r="N321" i="5"/>
  <c r="M321" i="5"/>
  <c r="L321" i="5"/>
  <c r="K321" i="5"/>
  <c r="J321" i="5"/>
  <c r="I321" i="5"/>
  <c r="H321" i="5"/>
  <c r="G321" i="5"/>
  <c r="F321" i="5"/>
  <c r="N318" i="5"/>
  <c r="M318" i="5"/>
  <c r="L318" i="5"/>
  <c r="K318" i="5"/>
  <c r="J318" i="5"/>
  <c r="I318" i="5"/>
  <c r="H318" i="5"/>
  <c r="G318" i="5"/>
  <c r="F318" i="5"/>
  <c r="N315" i="5"/>
  <c r="M315" i="5"/>
  <c r="L315" i="5"/>
  <c r="K315" i="5"/>
  <c r="J315" i="5"/>
  <c r="I315" i="5"/>
  <c r="H315" i="5"/>
  <c r="G315" i="5"/>
  <c r="F315" i="5"/>
  <c r="N312" i="5"/>
  <c r="M312" i="5"/>
  <c r="L312" i="5"/>
  <c r="K312" i="5"/>
  <c r="J312" i="5"/>
  <c r="I312" i="5"/>
  <c r="H312" i="5"/>
  <c r="G312" i="5"/>
  <c r="F312" i="5"/>
  <c r="N309" i="5"/>
  <c r="M309" i="5"/>
  <c r="L309" i="5"/>
  <c r="K309" i="5"/>
  <c r="J309" i="5"/>
  <c r="I309" i="5"/>
  <c r="H309" i="5"/>
  <c r="G309" i="5"/>
  <c r="F309" i="5"/>
  <c r="N306" i="5"/>
  <c r="M306" i="5"/>
  <c r="L306" i="5"/>
  <c r="K306" i="5"/>
  <c r="J306" i="5"/>
  <c r="I306" i="5"/>
  <c r="H306" i="5"/>
  <c r="G306" i="5"/>
  <c r="F306" i="5"/>
  <c r="N303" i="5"/>
  <c r="M303" i="5"/>
  <c r="L303" i="5"/>
  <c r="K303" i="5"/>
  <c r="J303" i="5"/>
  <c r="I303" i="5"/>
  <c r="H303" i="5"/>
  <c r="G303" i="5"/>
  <c r="F303" i="5"/>
  <c r="N300" i="5"/>
  <c r="M300" i="5"/>
  <c r="L300" i="5"/>
  <c r="K300" i="5"/>
  <c r="J300" i="5"/>
  <c r="I300" i="5"/>
  <c r="H300" i="5"/>
  <c r="G300" i="5"/>
  <c r="F300" i="5"/>
  <c r="N297" i="5"/>
  <c r="M297" i="5"/>
  <c r="L297" i="5"/>
  <c r="K297" i="5"/>
  <c r="J297" i="5"/>
  <c r="I297" i="5"/>
  <c r="H297" i="5"/>
  <c r="G297" i="5"/>
  <c r="F297" i="5"/>
  <c r="N294" i="5"/>
  <c r="M294" i="5"/>
  <c r="L294" i="5"/>
  <c r="K294" i="5"/>
  <c r="J294" i="5"/>
  <c r="I294" i="5"/>
  <c r="H294" i="5"/>
  <c r="G294" i="5"/>
  <c r="F294" i="5"/>
  <c r="N291" i="5"/>
  <c r="M291" i="5"/>
  <c r="L291" i="5"/>
  <c r="K291" i="5"/>
  <c r="J291" i="5"/>
  <c r="I291" i="5"/>
  <c r="H291" i="5"/>
  <c r="G291" i="5"/>
  <c r="F291" i="5"/>
  <c r="N288" i="5"/>
  <c r="M288" i="5"/>
  <c r="L288" i="5"/>
  <c r="K288" i="5"/>
  <c r="J288" i="5"/>
  <c r="I288" i="5"/>
  <c r="H288" i="5"/>
  <c r="G288" i="5"/>
  <c r="F288" i="5"/>
  <c r="N285" i="5"/>
  <c r="M285" i="5"/>
  <c r="L285" i="5"/>
  <c r="K285" i="5"/>
  <c r="J285" i="5"/>
  <c r="I285" i="5"/>
  <c r="H285" i="5"/>
  <c r="G285" i="5"/>
  <c r="F285" i="5"/>
  <c r="N282" i="5"/>
  <c r="M282" i="5"/>
  <c r="L282" i="5"/>
  <c r="K282" i="5"/>
  <c r="J282" i="5"/>
  <c r="I282" i="5"/>
  <c r="H282" i="5"/>
  <c r="G282" i="5"/>
  <c r="F282" i="5"/>
  <c r="N279" i="5"/>
  <c r="M279" i="5"/>
  <c r="L279" i="5"/>
  <c r="K279" i="5"/>
  <c r="J279" i="5"/>
  <c r="I279" i="5"/>
  <c r="H279" i="5"/>
  <c r="G279" i="5"/>
  <c r="F279" i="5"/>
  <c r="N276" i="5"/>
  <c r="M276" i="5"/>
  <c r="L276" i="5"/>
  <c r="K276" i="5"/>
  <c r="J276" i="5"/>
  <c r="I276" i="5"/>
  <c r="H276" i="5"/>
  <c r="G276" i="5"/>
  <c r="F276" i="5"/>
  <c r="N273" i="5"/>
  <c r="M273" i="5"/>
  <c r="L273" i="5"/>
  <c r="K273" i="5"/>
  <c r="J273" i="5"/>
  <c r="I273" i="5"/>
  <c r="H273" i="5"/>
  <c r="G273" i="5"/>
  <c r="F273" i="5"/>
  <c r="N270" i="5"/>
  <c r="M270" i="5"/>
  <c r="L270" i="5"/>
  <c r="K270" i="5"/>
  <c r="J270" i="5"/>
  <c r="I270" i="5"/>
  <c r="H270" i="5"/>
  <c r="G270" i="5"/>
  <c r="F270" i="5"/>
  <c r="N267" i="5"/>
  <c r="M267" i="5"/>
  <c r="L267" i="5"/>
  <c r="K267" i="5"/>
  <c r="J267" i="5"/>
  <c r="I267" i="5"/>
  <c r="H267" i="5"/>
  <c r="G267" i="5"/>
  <c r="F267" i="5"/>
  <c r="N264" i="5"/>
  <c r="M264" i="5"/>
  <c r="L264" i="5"/>
  <c r="K264" i="5"/>
  <c r="J264" i="5"/>
  <c r="I264" i="5"/>
  <c r="H264" i="5"/>
  <c r="G264" i="5"/>
  <c r="F264" i="5"/>
  <c r="N261" i="5"/>
  <c r="M261" i="5"/>
  <c r="L261" i="5"/>
  <c r="K261" i="5"/>
  <c r="J261" i="5"/>
  <c r="I261" i="5"/>
  <c r="H261" i="5"/>
  <c r="G261" i="5"/>
  <c r="F261" i="5"/>
  <c r="N258" i="5"/>
  <c r="M258" i="5"/>
  <c r="L258" i="5"/>
  <c r="K258" i="5"/>
  <c r="J258" i="5"/>
  <c r="I258" i="5"/>
  <c r="H258" i="5"/>
  <c r="G258" i="5"/>
  <c r="F258" i="5"/>
  <c r="N255" i="5"/>
  <c r="M255" i="5"/>
  <c r="L255" i="5"/>
  <c r="K255" i="5"/>
  <c r="J255" i="5"/>
  <c r="I255" i="5"/>
  <c r="H255" i="5"/>
  <c r="G255" i="5"/>
  <c r="F255" i="5"/>
  <c r="N252" i="5"/>
  <c r="M252" i="5"/>
  <c r="L252" i="5"/>
  <c r="K252" i="5"/>
  <c r="J252" i="5"/>
  <c r="I252" i="5"/>
  <c r="H252" i="5"/>
  <c r="G252" i="5"/>
  <c r="F252" i="5"/>
  <c r="N249" i="5"/>
  <c r="M249" i="5"/>
  <c r="L249" i="5"/>
  <c r="K249" i="5"/>
  <c r="J249" i="5"/>
  <c r="I249" i="5"/>
  <c r="H249" i="5"/>
  <c r="G249" i="5"/>
  <c r="F249" i="5"/>
  <c r="N246" i="5"/>
  <c r="M246" i="5"/>
  <c r="L246" i="5"/>
  <c r="K246" i="5"/>
  <c r="J246" i="5"/>
  <c r="I246" i="5"/>
  <c r="H246" i="5"/>
  <c r="G246" i="5"/>
  <c r="F246" i="5"/>
  <c r="N243" i="5"/>
  <c r="M243" i="5"/>
  <c r="L243" i="5"/>
  <c r="K243" i="5"/>
  <c r="J243" i="5"/>
  <c r="I243" i="5"/>
  <c r="H243" i="5"/>
  <c r="G243" i="5"/>
  <c r="F243" i="5"/>
  <c r="N240" i="5"/>
  <c r="M240" i="5"/>
  <c r="L240" i="5"/>
  <c r="K240" i="5"/>
  <c r="J240" i="5"/>
  <c r="I240" i="5"/>
  <c r="H240" i="5"/>
  <c r="G240" i="5"/>
  <c r="F240" i="5"/>
  <c r="N237" i="5"/>
  <c r="M237" i="5"/>
  <c r="L237" i="5"/>
  <c r="K237" i="5"/>
  <c r="J237" i="5"/>
  <c r="I237" i="5"/>
  <c r="H237" i="5"/>
  <c r="G237" i="5"/>
  <c r="F237" i="5"/>
  <c r="N234" i="5"/>
  <c r="M234" i="5"/>
  <c r="L234" i="5"/>
  <c r="K234" i="5"/>
  <c r="J234" i="5"/>
  <c r="I234" i="5"/>
  <c r="H234" i="5"/>
  <c r="G234" i="5"/>
  <c r="F234" i="5"/>
  <c r="N231" i="5"/>
  <c r="M231" i="5"/>
  <c r="L231" i="5"/>
  <c r="K231" i="5"/>
  <c r="J231" i="5"/>
  <c r="I231" i="5"/>
  <c r="H231" i="5"/>
  <c r="G231" i="5"/>
  <c r="F231" i="5"/>
  <c r="N228" i="5"/>
  <c r="M228" i="5"/>
  <c r="L228" i="5"/>
  <c r="K228" i="5"/>
  <c r="J228" i="5"/>
  <c r="I228" i="5"/>
  <c r="H228" i="5"/>
  <c r="G228" i="5"/>
  <c r="F228" i="5"/>
  <c r="N225" i="5"/>
  <c r="M225" i="5"/>
  <c r="L225" i="5"/>
  <c r="K225" i="5"/>
  <c r="J225" i="5"/>
  <c r="I225" i="5"/>
  <c r="H225" i="5"/>
  <c r="G225" i="5"/>
  <c r="F225" i="5"/>
  <c r="N222" i="5"/>
  <c r="M222" i="5"/>
  <c r="L222" i="5"/>
  <c r="K222" i="5"/>
  <c r="J222" i="5"/>
  <c r="I222" i="5"/>
  <c r="H222" i="5"/>
  <c r="G222" i="5"/>
  <c r="F222" i="5"/>
  <c r="N219" i="5"/>
  <c r="M219" i="5"/>
  <c r="L219" i="5"/>
  <c r="K219" i="5"/>
  <c r="J219" i="5"/>
  <c r="I219" i="5"/>
  <c r="H219" i="5"/>
  <c r="G219" i="5"/>
  <c r="F219" i="5"/>
  <c r="N216" i="5"/>
  <c r="M216" i="5"/>
  <c r="L216" i="5"/>
  <c r="K216" i="5"/>
  <c r="J216" i="5"/>
  <c r="I216" i="5"/>
  <c r="H216" i="5"/>
  <c r="G216" i="5"/>
  <c r="F216" i="5"/>
  <c r="N213" i="5"/>
  <c r="M213" i="5"/>
  <c r="L213" i="5"/>
  <c r="K213" i="5"/>
  <c r="J213" i="5"/>
  <c r="I213" i="5"/>
  <c r="H213" i="5"/>
  <c r="G213" i="5"/>
  <c r="F213" i="5"/>
  <c r="N210" i="5"/>
  <c r="M210" i="5"/>
  <c r="L210" i="5"/>
  <c r="K210" i="5"/>
  <c r="J210" i="5"/>
  <c r="I210" i="5"/>
  <c r="H210" i="5"/>
  <c r="G210" i="5"/>
  <c r="F210" i="5"/>
  <c r="N207" i="5"/>
  <c r="M207" i="5"/>
  <c r="L207" i="5"/>
  <c r="K207" i="5"/>
  <c r="J207" i="5"/>
  <c r="I207" i="5"/>
  <c r="H207" i="5"/>
  <c r="G207" i="5"/>
  <c r="F207" i="5"/>
  <c r="N204" i="5"/>
  <c r="M204" i="5"/>
  <c r="L204" i="5"/>
  <c r="K204" i="5"/>
  <c r="J204" i="5"/>
  <c r="I204" i="5"/>
  <c r="H204" i="5"/>
  <c r="G204" i="5"/>
  <c r="F204" i="5"/>
  <c r="N201" i="5"/>
  <c r="M201" i="5"/>
  <c r="L201" i="5"/>
  <c r="K201" i="5"/>
  <c r="J201" i="5"/>
  <c r="I201" i="5"/>
  <c r="H201" i="5"/>
  <c r="G201" i="5"/>
  <c r="F201" i="5"/>
  <c r="N198" i="5"/>
  <c r="M198" i="5"/>
  <c r="L198" i="5"/>
  <c r="K198" i="5"/>
  <c r="J198" i="5"/>
  <c r="I198" i="5"/>
  <c r="H198" i="5"/>
  <c r="G198" i="5"/>
  <c r="F198" i="5"/>
  <c r="N195" i="5"/>
  <c r="M195" i="5"/>
  <c r="L195" i="5"/>
  <c r="K195" i="5"/>
  <c r="J195" i="5"/>
  <c r="I195" i="5"/>
  <c r="H195" i="5"/>
  <c r="G195" i="5"/>
  <c r="F195" i="5"/>
  <c r="N192" i="5"/>
  <c r="M192" i="5"/>
  <c r="L192" i="5"/>
  <c r="K192" i="5"/>
  <c r="J192" i="5"/>
  <c r="I192" i="5"/>
  <c r="H192" i="5"/>
  <c r="G192" i="5"/>
  <c r="F192" i="5"/>
  <c r="N189" i="5"/>
  <c r="M189" i="5"/>
  <c r="L189" i="5"/>
  <c r="K189" i="5"/>
  <c r="J189" i="5"/>
  <c r="I189" i="5"/>
  <c r="H189" i="5"/>
  <c r="G189" i="5"/>
  <c r="F189" i="5"/>
  <c r="N186" i="5"/>
  <c r="M186" i="5"/>
  <c r="L186" i="5"/>
  <c r="K186" i="5"/>
  <c r="J186" i="5"/>
  <c r="I186" i="5"/>
  <c r="H186" i="5"/>
  <c r="G186" i="5"/>
  <c r="F186" i="5"/>
  <c r="N183" i="5"/>
  <c r="M183" i="5"/>
  <c r="L183" i="5"/>
  <c r="K183" i="5"/>
  <c r="J183" i="5"/>
  <c r="I183" i="5"/>
  <c r="H183" i="5"/>
  <c r="G183" i="5"/>
  <c r="F183" i="5"/>
  <c r="N180" i="5"/>
  <c r="M180" i="5"/>
  <c r="L180" i="5"/>
  <c r="K180" i="5"/>
  <c r="J180" i="5"/>
  <c r="I180" i="5"/>
  <c r="H180" i="5"/>
  <c r="G180" i="5"/>
  <c r="F180" i="5"/>
  <c r="N177" i="5"/>
  <c r="M177" i="5"/>
  <c r="L177" i="5"/>
  <c r="K177" i="5"/>
  <c r="J177" i="5"/>
  <c r="I177" i="5"/>
  <c r="H177" i="5"/>
  <c r="G177" i="5"/>
  <c r="F177" i="5"/>
  <c r="N174" i="5"/>
  <c r="M174" i="5"/>
  <c r="L174" i="5"/>
  <c r="K174" i="5"/>
  <c r="J174" i="5"/>
  <c r="I174" i="5"/>
  <c r="H174" i="5"/>
  <c r="G174" i="5"/>
  <c r="F174" i="5"/>
  <c r="N171" i="5"/>
  <c r="M171" i="5"/>
  <c r="L171" i="5"/>
  <c r="K171" i="5"/>
  <c r="J171" i="5"/>
  <c r="I171" i="5"/>
  <c r="H171" i="5"/>
  <c r="G171" i="5"/>
  <c r="F171" i="5"/>
  <c r="N168" i="5"/>
  <c r="M168" i="5"/>
  <c r="L168" i="5"/>
  <c r="K168" i="5"/>
  <c r="J168" i="5"/>
  <c r="I168" i="5"/>
  <c r="H168" i="5"/>
  <c r="G168" i="5"/>
  <c r="F168" i="5"/>
  <c r="N165" i="5"/>
  <c r="M165" i="5"/>
  <c r="L165" i="5"/>
  <c r="K165" i="5"/>
  <c r="J165" i="5"/>
  <c r="I165" i="5"/>
  <c r="H165" i="5"/>
  <c r="G165" i="5"/>
  <c r="F165" i="5"/>
  <c r="N162" i="5"/>
  <c r="M162" i="5"/>
  <c r="L162" i="5"/>
  <c r="K162" i="5"/>
  <c r="J162" i="5"/>
  <c r="I162" i="5"/>
  <c r="H162" i="5"/>
  <c r="G162" i="5"/>
  <c r="F162" i="5"/>
  <c r="N159" i="5"/>
  <c r="M159" i="5"/>
  <c r="L159" i="5"/>
  <c r="K159" i="5"/>
  <c r="J159" i="5"/>
  <c r="I159" i="5"/>
  <c r="H159" i="5"/>
  <c r="G159" i="5"/>
  <c r="F159" i="5"/>
  <c r="N156" i="5"/>
  <c r="M156" i="5"/>
  <c r="L156" i="5"/>
  <c r="K156" i="5"/>
  <c r="J156" i="5"/>
  <c r="I156" i="5"/>
  <c r="H156" i="5"/>
  <c r="G156" i="5"/>
  <c r="F156" i="5"/>
  <c r="N153" i="5"/>
  <c r="M153" i="5"/>
  <c r="L153" i="5"/>
  <c r="K153" i="5"/>
  <c r="J153" i="5"/>
  <c r="I153" i="5"/>
  <c r="H153" i="5"/>
  <c r="G153" i="5"/>
  <c r="F153" i="5"/>
  <c r="N150" i="5"/>
  <c r="M150" i="5"/>
  <c r="L150" i="5"/>
  <c r="K150" i="5"/>
  <c r="J150" i="5"/>
  <c r="I150" i="5"/>
  <c r="H150" i="5"/>
  <c r="G150" i="5"/>
  <c r="F150" i="5"/>
  <c r="N147" i="5"/>
  <c r="M147" i="5"/>
  <c r="L147" i="5"/>
  <c r="K147" i="5"/>
  <c r="J147" i="5"/>
  <c r="I147" i="5"/>
  <c r="H147" i="5"/>
  <c r="G147" i="5"/>
  <c r="F147" i="5"/>
  <c r="N144" i="5"/>
  <c r="M144" i="5"/>
  <c r="L144" i="5"/>
  <c r="K144" i="5"/>
  <c r="J144" i="5"/>
  <c r="I144" i="5"/>
  <c r="H144" i="5"/>
  <c r="G144" i="5"/>
  <c r="F144" i="5"/>
  <c r="N141" i="5"/>
  <c r="M141" i="5"/>
  <c r="L141" i="5"/>
  <c r="K141" i="5"/>
  <c r="J141" i="5"/>
  <c r="I141" i="5"/>
  <c r="H141" i="5"/>
  <c r="G141" i="5"/>
  <c r="F141" i="5"/>
  <c r="N138" i="5"/>
  <c r="M138" i="5"/>
  <c r="L138" i="5"/>
  <c r="K138" i="5"/>
  <c r="J138" i="5"/>
  <c r="I138" i="5"/>
  <c r="H138" i="5"/>
  <c r="G138" i="5"/>
  <c r="F138" i="5"/>
  <c r="N135" i="5"/>
  <c r="M135" i="5"/>
  <c r="L135" i="5"/>
  <c r="K135" i="5"/>
  <c r="J135" i="5"/>
  <c r="I135" i="5"/>
  <c r="H135" i="5"/>
  <c r="G135" i="5"/>
  <c r="F135" i="5"/>
  <c r="N132" i="5"/>
  <c r="M132" i="5"/>
  <c r="L132" i="5"/>
  <c r="K132" i="5"/>
  <c r="J132" i="5"/>
  <c r="I132" i="5"/>
  <c r="H132" i="5"/>
  <c r="G132" i="5"/>
  <c r="F132" i="5"/>
  <c r="N129" i="5"/>
  <c r="M129" i="5"/>
  <c r="L129" i="5"/>
  <c r="K129" i="5"/>
  <c r="J129" i="5"/>
  <c r="I129" i="5"/>
  <c r="H129" i="5"/>
  <c r="G129" i="5"/>
  <c r="F129" i="5"/>
  <c r="N126" i="5"/>
  <c r="M126" i="5"/>
  <c r="L126" i="5"/>
  <c r="K126" i="5"/>
  <c r="J126" i="5"/>
  <c r="I126" i="5"/>
  <c r="H126" i="5"/>
  <c r="G126" i="5"/>
  <c r="F126" i="5"/>
  <c r="N123" i="5"/>
  <c r="M123" i="5"/>
  <c r="L123" i="5"/>
  <c r="K123" i="5"/>
  <c r="J123" i="5"/>
  <c r="I123" i="5"/>
  <c r="H123" i="5"/>
  <c r="G123" i="5"/>
  <c r="F123" i="5"/>
  <c r="N120" i="5"/>
  <c r="M120" i="5"/>
  <c r="L120" i="5"/>
  <c r="K120" i="5"/>
  <c r="J120" i="5"/>
  <c r="I120" i="5"/>
  <c r="H120" i="5"/>
  <c r="G120" i="5"/>
  <c r="F120" i="5"/>
  <c r="N117" i="5"/>
  <c r="M117" i="5"/>
  <c r="L117" i="5"/>
  <c r="K117" i="5"/>
  <c r="J117" i="5"/>
  <c r="I117" i="5"/>
  <c r="H117" i="5"/>
  <c r="G117" i="5"/>
  <c r="F117" i="5"/>
  <c r="N114" i="5"/>
  <c r="M114" i="5"/>
  <c r="L114" i="5"/>
  <c r="K114" i="5"/>
  <c r="J114" i="5"/>
  <c r="I114" i="5"/>
  <c r="H114" i="5"/>
  <c r="G114" i="5"/>
  <c r="F114" i="5"/>
  <c r="N111" i="5"/>
  <c r="M111" i="5"/>
  <c r="L111" i="5"/>
  <c r="K111" i="5"/>
  <c r="J111" i="5"/>
  <c r="I111" i="5"/>
  <c r="H111" i="5"/>
  <c r="G111" i="5"/>
  <c r="F111" i="5"/>
  <c r="N108" i="5"/>
  <c r="M108" i="5"/>
  <c r="L108" i="5"/>
  <c r="K108" i="5"/>
  <c r="J108" i="5"/>
  <c r="I108" i="5"/>
  <c r="H108" i="5"/>
  <c r="G108" i="5"/>
  <c r="F108" i="5"/>
  <c r="N105" i="5"/>
  <c r="M105" i="5"/>
  <c r="L105" i="5"/>
  <c r="K105" i="5"/>
  <c r="J105" i="5"/>
  <c r="I105" i="5"/>
  <c r="H105" i="5"/>
  <c r="G105" i="5"/>
  <c r="F105" i="5"/>
  <c r="N102" i="5"/>
  <c r="M102" i="5"/>
  <c r="L102" i="5"/>
  <c r="K102" i="5"/>
  <c r="J102" i="5"/>
  <c r="I102" i="5"/>
  <c r="H102" i="5"/>
  <c r="G102" i="5"/>
  <c r="F102" i="5"/>
  <c r="N99" i="5"/>
  <c r="M99" i="5"/>
  <c r="L99" i="5"/>
  <c r="K99" i="5"/>
  <c r="J99" i="5"/>
  <c r="I99" i="5"/>
  <c r="H99" i="5"/>
  <c r="G99" i="5"/>
  <c r="F99" i="5"/>
  <c r="N96" i="5"/>
  <c r="M96" i="5"/>
  <c r="L96" i="5"/>
  <c r="K96" i="5"/>
  <c r="J96" i="5"/>
  <c r="I96" i="5"/>
  <c r="H96" i="5"/>
  <c r="G96" i="5"/>
  <c r="F96" i="5"/>
  <c r="N93" i="5"/>
  <c r="M93" i="5"/>
  <c r="L93" i="5"/>
  <c r="K93" i="5"/>
  <c r="J93" i="5"/>
  <c r="I93" i="5"/>
  <c r="H93" i="5"/>
  <c r="G93" i="5"/>
  <c r="F93" i="5"/>
  <c r="N90" i="5"/>
  <c r="M90" i="5"/>
  <c r="L90" i="5"/>
  <c r="K90" i="5"/>
  <c r="J90" i="5"/>
  <c r="I90" i="5"/>
  <c r="H90" i="5"/>
  <c r="G90" i="5"/>
  <c r="F90" i="5"/>
  <c r="N87" i="5"/>
  <c r="M87" i="5"/>
  <c r="L87" i="5"/>
  <c r="K87" i="5"/>
  <c r="J87" i="5"/>
  <c r="I87" i="5"/>
  <c r="H87" i="5"/>
  <c r="G87" i="5"/>
  <c r="F87" i="5"/>
  <c r="N84" i="5"/>
  <c r="M84" i="5"/>
  <c r="L84" i="5"/>
  <c r="K84" i="5"/>
  <c r="J84" i="5"/>
  <c r="I84" i="5"/>
  <c r="H84" i="5"/>
  <c r="G84" i="5"/>
  <c r="F84" i="5"/>
  <c r="N81" i="5"/>
  <c r="M81" i="5"/>
  <c r="L81" i="5"/>
  <c r="K81" i="5"/>
  <c r="J81" i="5"/>
  <c r="I81" i="5"/>
  <c r="H81" i="5"/>
  <c r="G81" i="5"/>
  <c r="F81" i="5"/>
  <c r="N78" i="5"/>
  <c r="M78" i="5"/>
  <c r="L78" i="5"/>
  <c r="K78" i="5"/>
  <c r="J78" i="5"/>
  <c r="I78" i="5"/>
  <c r="H78" i="5"/>
  <c r="G78" i="5"/>
  <c r="F78" i="5"/>
  <c r="N75" i="5"/>
  <c r="M75" i="5"/>
  <c r="L75" i="5"/>
  <c r="K75" i="5"/>
  <c r="J75" i="5"/>
  <c r="I75" i="5"/>
  <c r="H75" i="5"/>
  <c r="G75" i="5"/>
  <c r="F75" i="5"/>
  <c r="N72" i="5"/>
  <c r="M72" i="5"/>
  <c r="L72" i="5"/>
  <c r="K72" i="5"/>
  <c r="J72" i="5"/>
  <c r="I72" i="5"/>
  <c r="H72" i="5"/>
  <c r="G72" i="5"/>
  <c r="F72" i="5"/>
  <c r="N69" i="5"/>
  <c r="M69" i="5"/>
  <c r="L69" i="5"/>
  <c r="K69" i="5"/>
  <c r="J69" i="5"/>
  <c r="I69" i="5"/>
  <c r="H69" i="5"/>
  <c r="G69" i="5"/>
  <c r="F69" i="5"/>
  <c r="N66" i="5"/>
  <c r="M66" i="5"/>
  <c r="L66" i="5"/>
  <c r="K66" i="5"/>
  <c r="J66" i="5"/>
  <c r="I66" i="5"/>
  <c r="H66" i="5"/>
  <c r="G66" i="5"/>
  <c r="F66" i="5"/>
  <c r="N63" i="5"/>
  <c r="M63" i="5"/>
  <c r="L63" i="5"/>
  <c r="K63" i="5"/>
  <c r="J63" i="5"/>
  <c r="I63" i="5"/>
  <c r="H63" i="5"/>
  <c r="G63" i="5"/>
  <c r="F63" i="5"/>
  <c r="N60" i="5"/>
  <c r="M60" i="5"/>
  <c r="L60" i="5"/>
  <c r="K60" i="5"/>
  <c r="J60" i="5"/>
  <c r="I60" i="5"/>
  <c r="H60" i="5"/>
  <c r="G60" i="5"/>
  <c r="F60" i="5"/>
  <c r="N57" i="5"/>
  <c r="M57" i="5"/>
  <c r="L57" i="5"/>
  <c r="K57" i="5"/>
  <c r="J57" i="5"/>
  <c r="I57" i="5"/>
  <c r="H57" i="5"/>
  <c r="G57" i="5"/>
  <c r="F57" i="5"/>
  <c r="N54" i="5"/>
  <c r="M54" i="5"/>
  <c r="L54" i="5"/>
  <c r="K54" i="5"/>
  <c r="J54" i="5"/>
  <c r="I54" i="5"/>
  <c r="H54" i="5"/>
  <c r="G54" i="5"/>
  <c r="F54" i="5"/>
  <c r="N51" i="5"/>
  <c r="M51" i="5"/>
  <c r="L51" i="5"/>
  <c r="K51" i="5"/>
  <c r="J51" i="5"/>
  <c r="I51" i="5"/>
  <c r="H51" i="5"/>
  <c r="G51" i="5"/>
  <c r="F51" i="5"/>
  <c r="N48" i="5"/>
  <c r="M48" i="5"/>
  <c r="L48" i="5"/>
  <c r="K48" i="5"/>
  <c r="J48" i="5"/>
  <c r="I48" i="5"/>
  <c r="H48" i="5"/>
  <c r="G48" i="5"/>
  <c r="F48" i="5"/>
  <c r="N45" i="5"/>
  <c r="M45" i="5"/>
  <c r="L45" i="5"/>
  <c r="K45" i="5"/>
  <c r="J45" i="5"/>
  <c r="I45" i="5"/>
  <c r="H45" i="5"/>
  <c r="G45" i="5"/>
  <c r="F45" i="5"/>
  <c r="N42" i="5"/>
  <c r="M42" i="5"/>
  <c r="L42" i="5"/>
  <c r="K42" i="5"/>
  <c r="J42" i="5"/>
  <c r="I42" i="5"/>
  <c r="H42" i="5"/>
  <c r="G42" i="5"/>
  <c r="F42" i="5"/>
  <c r="N39" i="5"/>
  <c r="M39" i="5"/>
  <c r="L39" i="5"/>
  <c r="K39" i="5"/>
  <c r="J39" i="5"/>
  <c r="I39" i="5"/>
  <c r="H39" i="5"/>
  <c r="G39" i="5"/>
  <c r="F39" i="5"/>
  <c r="N36" i="5"/>
  <c r="M36" i="5"/>
  <c r="L36" i="5"/>
  <c r="K36" i="5"/>
  <c r="J36" i="5"/>
  <c r="I36" i="5"/>
  <c r="H36" i="5"/>
  <c r="G36" i="5"/>
  <c r="F36" i="5"/>
  <c r="N33" i="5"/>
  <c r="M33" i="5"/>
  <c r="L33" i="5"/>
  <c r="K33" i="5"/>
  <c r="J33" i="5"/>
  <c r="I33" i="5"/>
  <c r="H33" i="5"/>
  <c r="G33" i="5"/>
  <c r="F33" i="5"/>
  <c r="N30" i="5"/>
  <c r="M30" i="5"/>
  <c r="L30" i="5"/>
  <c r="K30" i="5"/>
  <c r="J30" i="5"/>
  <c r="I30" i="5"/>
  <c r="H30" i="5"/>
  <c r="G30" i="5"/>
  <c r="F30" i="5"/>
  <c r="N27" i="5"/>
  <c r="M27" i="5"/>
  <c r="L27" i="5"/>
  <c r="K27" i="5"/>
  <c r="J27" i="5"/>
  <c r="I27" i="5"/>
  <c r="H27" i="5"/>
  <c r="G27" i="5"/>
  <c r="F27" i="5"/>
  <c r="N24" i="5"/>
  <c r="M24" i="5"/>
  <c r="L24" i="5"/>
  <c r="K24" i="5"/>
  <c r="J24" i="5"/>
  <c r="I24" i="5"/>
  <c r="H24" i="5"/>
  <c r="G24" i="5"/>
  <c r="F24" i="5"/>
  <c r="N21" i="5"/>
  <c r="M21" i="5"/>
  <c r="L21" i="5"/>
  <c r="K21" i="5"/>
  <c r="J21" i="5"/>
  <c r="I21" i="5"/>
  <c r="H21" i="5"/>
  <c r="G21" i="5"/>
  <c r="F21" i="5"/>
  <c r="N18" i="5"/>
  <c r="M18" i="5"/>
  <c r="L18" i="5"/>
  <c r="K18" i="5"/>
  <c r="J18" i="5"/>
  <c r="I18" i="5"/>
  <c r="H18" i="5"/>
  <c r="G18" i="5"/>
  <c r="F18" i="5"/>
  <c r="N15" i="5"/>
  <c r="M15" i="5"/>
  <c r="L15" i="5"/>
  <c r="K15" i="5"/>
  <c r="J15" i="5"/>
  <c r="I15" i="5"/>
  <c r="H15" i="5"/>
  <c r="G15" i="5"/>
  <c r="F15" i="5"/>
  <c r="N12" i="5"/>
  <c r="M12" i="5"/>
  <c r="L12" i="5"/>
  <c r="K12" i="5"/>
  <c r="J12" i="5"/>
  <c r="I12" i="5"/>
  <c r="H12" i="5"/>
  <c r="G12" i="5"/>
  <c r="F12" i="5"/>
  <c r="E232" i="4"/>
  <c r="G232" i="4" s="1"/>
  <c r="E231" i="4"/>
  <c r="G231" i="4" s="1"/>
  <c r="E230" i="4"/>
  <c r="G230" i="4" s="1"/>
  <c r="E229" i="4"/>
  <c r="G229" i="4" s="1"/>
  <c r="E228" i="4"/>
  <c r="G228" i="4" s="1"/>
  <c r="E227" i="4"/>
  <c r="G227" i="4" s="1"/>
  <c r="G226" i="4"/>
  <c r="E226" i="4"/>
  <c r="E225" i="4"/>
  <c r="G225" i="4" s="1"/>
  <c r="E224" i="4"/>
  <c r="G224" i="4" s="1"/>
  <c r="E223" i="4"/>
  <c r="G223" i="4" s="1"/>
  <c r="E222" i="4"/>
  <c r="G222" i="4" s="1"/>
  <c r="E221" i="4"/>
  <c r="G221" i="4" s="1"/>
  <c r="E220" i="4"/>
  <c r="G220" i="4" s="1"/>
  <c r="E219" i="4"/>
  <c r="G219" i="4" s="1"/>
  <c r="G218" i="4"/>
  <c r="E218" i="4"/>
  <c r="E217" i="4"/>
  <c r="G217" i="4" s="1"/>
  <c r="E216" i="4"/>
  <c r="G216" i="4" s="1"/>
  <c r="E215" i="4"/>
  <c r="G215" i="4" s="1"/>
  <c r="E214" i="4"/>
  <c r="G214" i="4" s="1"/>
  <c r="E213" i="4"/>
  <c r="G213" i="4" s="1"/>
  <c r="G212" i="4"/>
  <c r="E212" i="4"/>
  <c r="E211" i="4"/>
  <c r="G211" i="4" s="1"/>
  <c r="G210" i="4"/>
  <c r="E210" i="4"/>
  <c r="E209" i="4"/>
  <c r="G209" i="4" s="1"/>
  <c r="E208" i="4"/>
  <c r="G208" i="4" s="1"/>
  <c r="E207" i="4"/>
  <c r="G207" i="4" s="1"/>
  <c r="E206" i="4"/>
  <c r="G206" i="4" s="1"/>
  <c r="E205" i="4"/>
  <c r="G205" i="4" s="1"/>
  <c r="E204" i="4"/>
  <c r="G204" i="4" s="1"/>
  <c r="E203" i="4"/>
  <c r="G203" i="4" s="1"/>
  <c r="G202" i="4"/>
  <c r="E202" i="4"/>
  <c r="E201" i="4"/>
  <c r="G201" i="4" s="1"/>
  <c r="E200" i="4"/>
  <c r="G200" i="4" s="1"/>
  <c r="E199" i="4"/>
  <c r="G199" i="4" s="1"/>
  <c r="E198" i="4"/>
  <c r="G198" i="4" s="1"/>
  <c r="E197" i="4"/>
  <c r="G197" i="4" s="1"/>
  <c r="G196" i="4"/>
  <c r="E196" i="4"/>
  <c r="E195" i="4"/>
  <c r="G195" i="4" s="1"/>
  <c r="G194" i="4"/>
  <c r="E194" i="4"/>
  <c r="E193" i="4"/>
  <c r="G193" i="4" s="1"/>
  <c r="E192" i="4"/>
  <c r="G192" i="4" s="1"/>
  <c r="E191" i="4"/>
  <c r="G191" i="4" s="1"/>
  <c r="E190" i="4"/>
  <c r="G190" i="4" s="1"/>
  <c r="E189" i="4"/>
  <c r="G189" i="4" s="1"/>
  <c r="E188" i="4"/>
  <c r="G188" i="4" s="1"/>
  <c r="E187" i="4"/>
  <c r="G187" i="4" s="1"/>
  <c r="G186" i="4"/>
  <c r="E186" i="4"/>
  <c r="E185" i="4"/>
  <c r="G185" i="4" s="1"/>
  <c r="E184" i="4"/>
  <c r="G184" i="4" s="1"/>
  <c r="E183" i="4"/>
  <c r="G183" i="4" s="1"/>
  <c r="E182" i="4"/>
  <c r="G182" i="4" s="1"/>
  <c r="E181" i="4"/>
  <c r="G181" i="4" s="1"/>
  <c r="G180" i="4"/>
  <c r="E180" i="4"/>
  <c r="E179" i="4"/>
  <c r="G179" i="4" s="1"/>
  <c r="G178" i="4"/>
  <c r="E178" i="4"/>
  <c r="E177" i="4"/>
  <c r="G177" i="4" s="1"/>
  <c r="E176" i="4"/>
  <c r="G176" i="4" s="1"/>
  <c r="E175" i="4"/>
  <c r="G175" i="4" s="1"/>
  <c r="G174" i="4"/>
  <c r="E174" i="4"/>
  <c r="E173" i="4"/>
  <c r="G173" i="4" s="1"/>
  <c r="G172" i="4"/>
  <c r="E172" i="4"/>
  <c r="E171" i="4"/>
  <c r="G171" i="4" s="1"/>
  <c r="E170" i="4"/>
  <c r="G170" i="4" s="1"/>
  <c r="E169" i="4"/>
  <c r="G169" i="4" s="1"/>
  <c r="E168" i="4"/>
  <c r="G168" i="4" s="1"/>
  <c r="E167" i="4"/>
  <c r="G167" i="4" s="1"/>
  <c r="G166" i="4"/>
  <c r="E166" i="4"/>
  <c r="E165" i="4"/>
  <c r="G165" i="4" s="1"/>
  <c r="E164" i="4"/>
  <c r="G164" i="4" s="1"/>
  <c r="E163" i="4"/>
  <c r="G163" i="4" s="1"/>
  <c r="G162" i="4"/>
  <c r="E162" i="4"/>
  <c r="E161" i="4"/>
  <c r="G161" i="4" s="1"/>
  <c r="E160" i="4"/>
  <c r="G160" i="4" s="1"/>
  <c r="E159" i="4"/>
  <c r="G159" i="4" s="1"/>
  <c r="E158" i="4"/>
  <c r="G158" i="4" s="1"/>
  <c r="E157" i="4"/>
  <c r="G157" i="4" s="1"/>
  <c r="G156" i="4"/>
  <c r="E156" i="4"/>
  <c r="E155" i="4"/>
  <c r="G155" i="4" s="1"/>
  <c r="G154" i="4"/>
  <c r="E154" i="4"/>
  <c r="E153" i="4"/>
  <c r="G153" i="4" s="1"/>
  <c r="E152" i="4"/>
  <c r="G152" i="4" s="1"/>
  <c r="E151" i="4"/>
  <c r="G151" i="4" s="1"/>
  <c r="G150" i="4"/>
  <c r="E150" i="4"/>
  <c r="E149" i="4"/>
  <c r="G149" i="4" s="1"/>
  <c r="G148" i="4"/>
  <c r="E148" i="4"/>
  <c r="E147" i="4"/>
  <c r="G147" i="4" s="1"/>
  <c r="G146" i="4"/>
  <c r="E146" i="4"/>
  <c r="E145" i="4"/>
  <c r="G145" i="4" s="1"/>
  <c r="E144" i="4"/>
  <c r="G144" i="4" s="1"/>
  <c r="E143" i="4"/>
  <c r="G143" i="4" s="1"/>
  <c r="G142" i="4"/>
  <c r="E142" i="4"/>
  <c r="E141" i="4"/>
  <c r="G141" i="4" s="1"/>
  <c r="E140" i="4"/>
  <c r="G140" i="4" s="1"/>
  <c r="E139" i="4"/>
  <c r="G139" i="4" s="1"/>
  <c r="G138" i="4"/>
  <c r="E138" i="4"/>
  <c r="E137" i="4"/>
  <c r="G137" i="4" s="1"/>
  <c r="E136" i="4"/>
  <c r="G136" i="4" s="1"/>
  <c r="E135" i="4"/>
  <c r="G135" i="4" s="1"/>
  <c r="E134" i="4"/>
  <c r="G134" i="4" s="1"/>
  <c r="E133" i="4"/>
  <c r="G133" i="4" s="1"/>
  <c r="E132" i="4"/>
  <c r="G132" i="4" s="1"/>
  <c r="E131" i="4"/>
  <c r="G131" i="4" s="1"/>
  <c r="G130" i="4"/>
  <c r="E130" i="4"/>
  <c r="E129" i="4"/>
  <c r="G129" i="4" s="1"/>
  <c r="E128" i="4"/>
  <c r="G128" i="4" s="1"/>
  <c r="E127" i="4"/>
  <c r="G127" i="4" s="1"/>
  <c r="G126" i="4"/>
  <c r="E126" i="4"/>
  <c r="E125" i="4"/>
  <c r="G125" i="4" s="1"/>
  <c r="E124" i="4"/>
  <c r="G124" i="4" s="1"/>
  <c r="E123" i="4"/>
  <c r="G123" i="4" s="1"/>
  <c r="G122" i="4"/>
  <c r="E122" i="4"/>
  <c r="E121" i="4"/>
  <c r="G121" i="4" s="1"/>
  <c r="E120" i="4"/>
  <c r="G120" i="4" s="1"/>
  <c r="E119" i="4"/>
  <c r="G119" i="4" s="1"/>
  <c r="E118" i="4"/>
  <c r="G118" i="4" s="1"/>
  <c r="E117" i="4"/>
  <c r="G117" i="4" s="1"/>
  <c r="E116" i="4"/>
  <c r="G116" i="4" s="1"/>
  <c r="E115" i="4"/>
  <c r="G115" i="4" s="1"/>
  <c r="G114" i="4"/>
  <c r="E114" i="4"/>
  <c r="E113" i="4"/>
  <c r="G113" i="4" s="1"/>
  <c r="E112" i="4"/>
  <c r="G112" i="4" s="1"/>
  <c r="E111" i="4"/>
  <c r="G111" i="4" s="1"/>
  <c r="G110" i="4"/>
  <c r="E110" i="4"/>
  <c r="E109" i="4"/>
  <c r="G109" i="4" s="1"/>
  <c r="E108" i="4"/>
  <c r="G108" i="4" s="1"/>
  <c r="G107" i="4"/>
  <c r="G106" i="4"/>
  <c r="E106" i="4"/>
  <c r="G105" i="4"/>
  <c r="E105" i="4"/>
  <c r="G104" i="4"/>
  <c r="E104" i="4"/>
  <c r="G103" i="4"/>
  <c r="E103" i="4"/>
  <c r="G102" i="4"/>
  <c r="E102" i="4"/>
  <c r="G101" i="4"/>
  <c r="E101" i="4"/>
  <c r="G100" i="4"/>
  <c r="E100" i="4"/>
  <c r="G99" i="4"/>
  <c r="E99" i="4"/>
  <c r="G98" i="4"/>
  <c r="E98" i="4"/>
  <c r="G97" i="4"/>
  <c r="E97" i="4"/>
  <c r="G96" i="4"/>
  <c r="E96" i="4"/>
  <c r="G95" i="4"/>
  <c r="E95" i="4"/>
  <c r="G94" i="4"/>
  <c r="E94" i="4"/>
  <c r="G93" i="4"/>
  <c r="E93" i="4"/>
  <c r="G92" i="4"/>
  <c r="E92" i="4"/>
  <c r="G91" i="4"/>
  <c r="E91" i="4"/>
  <c r="G90" i="4"/>
  <c r="E90" i="4"/>
  <c r="G89" i="4"/>
  <c r="E89" i="4"/>
  <c r="G88" i="4"/>
  <c r="E88" i="4"/>
  <c r="G87" i="4"/>
  <c r="E87" i="4"/>
  <c r="G86" i="4"/>
  <c r="E86" i="4"/>
  <c r="G85" i="4"/>
  <c r="E85" i="4"/>
  <c r="G84" i="4"/>
  <c r="E84" i="4"/>
  <c r="G83" i="4"/>
  <c r="E83" i="4"/>
  <c r="G82" i="4"/>
  <c r="E82" i="4"/>
  <c r="G81" i="4"/>
  <c r="E81" i="4"/>
  <c r="G80" i="4"/>
  <c r="E80" i="4"/>
  <c r="G79" i="4"/>
  <c r="E79" i="4"/>
  <c r="G78" i="4"/>
  <c r="E78" i="4"/>
  <c r="G77" i="4"/>
  <c r="E77" i="4"/>
  <c r="G76" i="4"/>
  <c r="E76" i="4"/>
  <c r="G75" i="4"/>
  <c r="E75" i="4"/>
  <c r="G74" i="4"/>
  <c r="E74" i="4"/>
  <c r="G73" i="4"/>
  <c r="E73" i="4"/>
  <c r="G72" i="4"/>
  <c r="E72" i="4"/>
  <c r="G71" i="4"/>
  <c r="E71" i="4"/>
  <c r="G70" i="4"/>
  <c r="E70" i="4"/>
  <c r="G69" i="4"/>
  <c r="E69" i="4"/>
  <c r="G68" i="4"/>
  <c r="E68" i="4"/>
  <c r="G67" i="4"/>
  <c r="E67" i="4"/>
  <c r="G66" i="4"/>
  <c r="E66" i="4"/>
  <c r="G65" i="4"/>
  <c r="E65" i="4"/>
  <c r="G64" i="4"/>
  <c r="E64" i="4"/>
  <c r="G63" i="4"/>
  <c r="E63" i="4"/>
  <c r="G62" i="4"/>
  <c r="E62" i="4"/>
  <c r="G61" i="4"/>
  <c r="E61" i="4"/>
  <c r="G60" i="4"/>
  <c r="E60" i="4"/>
  <c r="G59" i="4"/>
  <c r="E59" i="4"/>
  <c r="G58" i="4"/>
  <c r="E58" i="4"/>
  <c r="G57" i="4"/>
  <c r="E57" i="4"/>
  <c r="G56" i="4"/>
  <c r="E56" i="4"/>
  <c r="G55" i="4"/>
  <c r="E55" i="4"/>
  <c r="G54" i="4"/>
  <c r="E54" i="4"/>
  <c r="G53" i="4"/>
  <c r="E53" i="4"/>
  <c r="G52" i="4"/>
  <c r="E52" i="4"/>
  <c r="G51" i="4"/>
  <c r="E51" i="4"/>
  <c r="G50" i="4"/>
  <c r="E50" i="4"/>
  <c r="G49" i="4"/>
  <c r="E49" i="4"/>
  <c r="G48" i="4"/>
  <c r="E48" i="4"/>
  <c r="G47" i="4"/>
  <c r="E47" i="4"/>
  <c r="G46" i="4"/>
  <c r="E46" i="4"/>
  <c r="G45" i="4"/>
  <c r="E45" i="4"/>
  <c r="G44" i="4"/>
  <c r="E44" i="4"/>
  <c r="G43" i="4"/>
  <c r="E43" i="4"/>
  <c r="G42" i="4"/>
  <c r="E42" i="4"/>
  <c r="G41" i="4"/>
  <c r="E41" i="4"/>
  <c r="G40" i="4"/>
  <c r="E40" i="4"/>
  <c r="G39" i="4"/>
  <c r="E39" i="4"/>
  <c r="G38" i="4"/>
  <c r="E38" i="4"/>
  <c r="G37" i="4"/>
  <c r="E37" i="4"/>
  <c r="G36" i="4"/>
  <c r="E36" i="4"/>
  <c r="G35" i="4"/>
  <c r="E35" i="4"/>
  <c r="G34" i="4"/>
  <c r="E34" i="4"/>
  <c r="G33" i="4"/>
  <c r="E33" i="4"/>
  <c r="G32" i="4"/>
  <c r="E32" i="4"/>
  <c r="G31" i="4"/>
  <c r="E31" i="4"/>
  <c r="G30" i="4"/>
  <c r="E30" i="4"/>
  <c r="G29" i="4"/>
  <c r="E29" i="4"/>
  <c r="G28" i="4"/>
  <c r="E28" i="4"/>
  <c r="G27" i="4"/>
  <c r="E27" i="4"/>
  <c r="G26" i="4"/>
  <c r="E26" i="4"/>
  <c r="G25" i="4"/>
  <c r="E25" i="4"/>
  <c r="G24" i="4"/>
  <c r="E24" i="4"/>
  <c r="G23" i="4"/>
  <c r="E23" i="4"/>
  <c r="G22" i="4"/>
  <c r="E22" i="4"/>
  <c r="G21" i="4"/>
  <c r="E21" i="4"/>
  <c r="G20" i="4"/>
  <c r="E20" i="4"/>
  <c r="G19" i="4"/>
  <c r="E19" i="4"/>
  <c r="G18" i="4"/>
  <c r="E18" i="4"/>
  <c r="G17" i="4"/>
  <c r="E17" i="4"/>
  <c r="G16" i="4"/>
  <c r="E16" i="4"/>
  <c r="G15" i="4"/>
  <c r="E15" i="4"/>
  <c r="G14" i="4"/>
  <c r="E14" i="4"/>
  <c r="G13" i="4"/>
  <c r="E13" i="4"/>
  <c r="G12" i="4"/>
  <c r="E12" i="4"/>
  <c r="G11" i="4"/>
  <c r="E11" i="4"/>
  <c r="G10" i="4"/>
  <c r="E10" i="4"/>
  <c r="T184" i="6" l="1"/>
  <c r="T334" i="6"/>
  <c r="V226" i="6"/>
  <c r="V268" i="6"/>
  <c r="S331" i="6"/>
  <c r="S355" i="6"/>
  <c r="S379" i="6"/>
  <c r="S403" i="6"/>
  <c r="R13" i="6"/>
  <c r="R25" i="6"/>
  <c r="R37" i="6"/>
  <c r="T46" i="6"/>
  <c r="T70" i="6"/>
  <c r="T118" i="6"/>
  <c r="V169" i="6"/>
  <c r="V148" i="6"/>
  <c r="T208" i="6"/>
  <c r="O832" i="5"/>
  <c r="O916" i="5"/>
  <c r="S967" i="5"/>
  <c r="P994" i="5"/>
  <c r="P997" i="5"/>
  <c r="S1000" i="5"/>
  <c r="P38" i="7"/>
  <c r="O157" i="5"/>
  <c r="O385" i="5"/>
  <c r="R88" i="6"/>
  <c r="R124" i="6"/>
  <c r="T145" i="6"/>
  <c r="T166" i="6"/>
  <c r="T232" i="6"/>
  <c r="V256" i="6"/>
  <c r="R268" i="6"/>
  <c r="T274" i="6"/>
  <c r="O25" i="5"/>
  <c r="S49" i="5"/>
  <c r="P52" i="5"/>
  <c r="S61" i="5"/>
  <c r="P64" i="5"/>
  <c r="S73" i="5"/>
  <c r="S103" i="6"/>
  <c r="V181" i="6"/>
  <c r="R202" i="6"/>
  <c r="R214" i="6"/>
  <c r="R292" i="6"/>
  <c r="S475" i="5"/>
  <c r="V38" i="7"/>
  <c r="P37" i="7"/>
  <c r="Q697" i="5"/>
  <c r="Q721" i="5"/>
  <c r="S727" i="5"/>
  <c r="P1027" i="5"/>
  <c r="S547" i="5"/>
  <c r="P658" i="5"/>
  <c r="Q673" i="5"/>
  <c r="S676" i="5"/>
  <c r="O97" i="5"/>
  <c r="O145" i="5"/>
  <c r="Q154" i="5"/>
  <c r="Q163" i="5"/>
  <c r="O241" i="5"/>
  <c r="Q247" i="5"/>
  <c r="R52" i="6"/>
  <c r="T67" i="6"/>
  <c r="T82" i="6"/>
  <c r="S136" i="6"/>
  <c r="T178" i="6"/>
  <c r="T220" i="6"/>
  <c r="W220" i="6" s="1"/>
  <c r="R226" i="6"/>
  <c r="S244" i="6"/>
  <c r="S280" i="6"/>
  <c r="S307" i="6"/>
  <c r="R328" i="6"/>
  <c r="S352" i="6"/>
  <c r="T358" i="6"/>
  <c r="T382" i="6"/>
  <c r="T406" i="6"/>
  <c r="T298" i="6"/>
  <c r="W298" i="6" s="1"/>
  <c r="S31" i="6"/>
  <c r="S55" i="6"/>
  <c r="S79" i="6"/>
  <c r="T106" i="6"/>
  <c r="T130" i="6"/>
  <c r="S160" i="6"/>
  <c r="T190" i="6"/>
  <c r="V202" i="6"/>
  <c r="V217" i="6"/>
  <c r="T256" i="6"/>
  <c r="S268" i="6"/>
  <c r="T346" i="6"/>
  <c r="S349" i="6"/>
  <c r="T370" i="6"/>
  <c r="T394" i="6"/>
  <c r="W394" i="6" s="1"/>
  <c r="T94" i="6"/>
  <c r="T310" i="6"/>
  <c r="T322" i="6"/>
  <c r="T58" i="6"/>
  <c r="R76" i="6"/>
  <c r="R100" i="6"/>
  <c r="T103" i="6"/>
  <c r="R112" i="6"/>
  <c r="S127" i="6"/>
  <c r="R154" i="6"/>
  <c r="T172" i="6"/>
  <c r="T196" i="6"/>
  <c r="V214" i="6"/>
  <c r="V229" i="6"/>
  <c r="T304" i="6"/>
  <c r="R316" i="6"/>
  <c r="R340" i="6"/>
  <c r="R352" i="6"/>
  <c r="R376" i="6"/>
  <c r="R400" i="6"/>
  <c r="Q37" i="5"/>
  <c r="S133" i="5"/>
  <c r="P136" i="5"/>
  <c r="O217" i="5"/>
  <c r="Q226" i="5"/>
  <c r="Q238" i="5"/>
  <c r="S289" i="5"/>
  <c r="S301" i="5"/>
  <c r="P304" i="5"/>
  <c r="S358" i="5"/>
  <c r="S382" i="5"/>
  <c r="Q391" i="5"/>
  <c r="P439" i="5"/>
  <c r="S571" i="5"/>
  <c r="S643" i="5"/>
  <c r="Q754" i="5"/>
  <c r="S910" i="5"/>
  <c r="S955" i="5"/>
  <c r="Q961" i="5"/>
  <c r="O964" i="5"/>
  <c r="P1018" i="5"/>
  <c r="O13" i="5"/>
  <c r="Q22" i="5"/>
  <c r="Q31" i="5"/>
  <c r="Q121" i="5"/>
  <c r="S205" i="5"/>
  <c r="S208" i="5"/>
  <c r="S277" i="5"/>
  <c r="S280" i="5"/>
  <c r="O409" i="5"/>
  <c r="S430" i="5"/>
  <c r="Q469" i="5"/>
  <c r="S523" i="5"/>
  <c r="Q637" i="5"/>
  <c r="S703" i="5"/>
  <c r="Q745" i="5"/>
  <c r="Q748" i="5"/>
  <c r="S898" i="5"/>
  <c r="P922" i="5"/>
  <c r="S1006" i="5"/>
  <c r="O1012" i="5"/>
  <c r="S1015" i="5"/>
  <c r="O1051" i="5"/>
  <c r="O1060" i="5"/>
  <c r="O85" i="5"/>
  <c r="Q94" i="5"/>
  <c r="Q103" i="5"/>
  <c r="Q115" i="5"/>
  <c r="Q169" i="5"/>
  <c r="Q181" i="5"/>
  <c r="Q193" i="5"/>
  <c r="Q253" i="5"/>
  <c r="O265" i="5"/>
  <c r="P412" i="5"/>
  <c r="O421" i="5"/>
  <c r="S424" i="5"/>
  <c r="Q493" i="5"/>
  <c r="P505" i="5"/>
  <c r="Q505" i="5"/>
  <c r="Q541" i="5"/>
  <c r="P577" i="5"/>
  <c r="P601" i="5"/>
  <c r="Q601" i="5"/>
  <c r="P625" i="5"/>
  <c r="Q625" i="5"/>
  <c r="S679" i="5"/>
  <c r="P685" i="5"/>
  <c r="Q733" i="5"/>
  <c r="S772" i="5"/>
  <c r="Q802" i="5"/>
  <c r="O808" i="5"/>
  <c r="Q817" i="5"/>
  <c r="Q826" i="5"/>
  <c r="Q829" i="5"/>
  <c r="P871" i="5"/>
  <c r="Q883" i="5"/>
  <c r="S1054" i="5"/>
  <c r="T10" i="6"/>
  <c r="S19" i="6"/>
  <c r="T19" i="6"/>
  <c r="V40" i="6"/>
  <c r="T55" i="6"/>
  <c r="T79" i="6"/>
  <c r="V88" i="6"/>
  <c r="S139" i="6"/>
  <c r="S151" i="6"/>
  <c r="S163" i="6"/>
  <c r="S166" i="6"/>
  <c r="T199" i="6"/>
  <c r="T202" i="6"/>
  <c r="S238" i="6"/>
  <c r="R256" i="6"/>
  <c r="V280" i="6"/>
  <c r="T286" i="6"/>
  <c r="S325" i="6"/>
  <c r="S328" i="6"/>
  <c r="U328" i="6" s="1"/>
  <c r="T352" i="6"/>
  <c r="W352" i="6" s="1"/>
  <c r="T355" i="6"/>
  <c r="T379" i="6"/>
  <c r="T403" i="6"/>
  <c r="T31" i="6"/>
  <c r="T139" i="6"/>
  <c r="S256" i="6"/>
  <c r="V16" i="6"/>
  <c r="T34" i="6"/>
  <c r="T43" i="6"/>
  <c r="T91" i="6"/>
  <c r="T127" i="6"/>
  <c r="T142" i="6"/>
  <c r="T148" i="6"/>
  <c r="R166" i="6"/>
  <c r="R178" i="6"/>
  <c r="R190" i="6"/>
  <c r="R244" i="6"/>
  <c r="T262" i="6"/>
  <c r="R280" i="6"/>
  <c r="T280" i="6"/>
  <c r="S301" i="6"/>
  <c r="S304" i="6"/>
  <c r="T307" i="6"/>
  <c r="W307" i="6" s="1"/>
  <c r="T22" i="6"/>
  <c r="T163" i="6"/>
  <c r="T175" i="6"/>
  <c r="T187" i="6"/>
  <c r="T7" i="6"/>
  <c r="V28" i="6"/>
  <c r="R64" i="6"/>
  <c r="T115" i="6"/>
  <c r="V127" i="6"/>
  <c r="S145" i="6"/>
  <c r="V166" i="6"/>
  <c r="V178" i="6"/>
  <c r="V190" i="6"/>
  <c r="V193" i="6"/>
  <c r="T211" i="6"/>
  <c r="T214" i="6"/>
  <c r="T226" i="6"/>
  <c r="V244" i="6"/>
  <c r="T250" i="6"/>
  <c r="T268" i="6"/>
  <c r="R304" i="6"/>
  <c r="T328" i="6"/>
  <c r="W328" i="6" s="1"/>
  <c r="T331" i="6"/>
  <c r="S13" i="5"/>
  <c r="Q61" i="5"/>
  <c r="Q73" i="5"/>
  <c r="S85" i="5"/>
  <c r="S88" i="5"/>
  <c r="Q106" i="5"/>
  <c r="Q118" i="5"/>
  <c r="O121" i="5"/>
  <c r="Q127" i="5"/>
  <c r="Q133" i="5"/>
  <c r="S145" i="5"/>
  <c r="P148" i="5"/>
  <c r="Q166" i="5"/>
  <c r="O169" i="5"/>
  <c r="Q175" i="5"/>
  <c r="Q187" i="5"/>
  <c r="Q199" i="5"/>
  <c r="Q205" i="5"/>
  <c r="S217" i="5"/>
  <c r="S220" i="5"/>
  <c r="S229" i="5"/>
  <c r="S232" i="5"/>
  <c r="Q250" i="5"/>
  <c r="O253" i="5"/>
  <c r="Q259" i="5"/>
  <c r="Q271" i="5"/>
  <c r="Q277" i="5"/>
  <c r="O313" i="5"/>
  <c r="P316" i="5"/>
  <c r="P328" i="5"/>
  <c r="Q331" i="5"/>
  <c r="O349" i="5"/>
  <c r="S352" i="5"/>
  <c r="O373" i="5"/>
  <c r="S376" i="5"/>
  <c r="S385" i="5"/>
  <c r="P388" i="5"/>
  <c r="S406" i="5"/>
  <c r="Q421" i="5"/>
  <c r="O448" i="5"/>
  <c r="Q463" i="5"/>
  <c r="S466" i="5"/>
  <c r="S487" i="5"/>
  <c r="S499" i="5"/>
  <c r="P529" i="5"/>
  <c r="Q529" i="5"/>
  <c r="S559" i="5"/>
  <c r="S595" i="5"/>
  <c r="S619" i="5"/>
  <c r="P670" i="5"/>
  <c r="Q763" i="5"/>
  <c r="S784" i="5"/>
  <c r="P799" i="5"/>
  <c r="P823" i="5"/>
  <c r="S958" i="5"/>
  <c r="S991" i="5"/>
  <c r="Q1033" i="5"/>
  <c r="Q1045" i="5"/>
  <c r="Q577" i="5"/>
  <c r="Q685" i="5"/>
  <c r="S16" i="5"/>
  <c r="Q34" i="5"/>
  <c r="O37" i="5"/>
  <c r="Q49" i="5"/>
  <c r="Q13" i="5"/>
  <c r="P28" i="5"/>
  <c r="Q55" i="5"/>
  <c r="P100" i="5"/>
  <c r="P112" i="5"/>
  <c r="Q130" i="5"/>
  <c r="Q139" i="5"/>
  <c r="P160" i="5"/>
  <c r="Q178" i="5"/>
  <c r="Q190" i="5"/>
  <c r="Q202" i="5"/>
  <c r="O205" i="5"/>
  <c r="Q211" i="5"/>
  <c r="Q217" i="5"/>
  <c r="Q229" i="5"/>
  <c r="S241" i="5"/>
  <c r="S244" i="5"/>
  <c r="Q262" i="5"/>
  <c r="Q274" i="5"/>
  <c r="O277" i="5"/>
  <c r="S283" i="5"/>
  <c r="Q307" i="5"/>
  <c r="Q313" i="5"/>
  <c r="Q328" i="5"/>
  <c r="Q349" i="5"/>
  <c r="Q373" i="5"/>
  <c r="O397" i="5"/>
  <c r="S400" i="5"/>
  <c r="Q415" i="5"/>
  <c r="Q430" i="5"/>
  <c r="S436" i="5"/>
  <c r="O445" i="5"/>
  <c r="Q457" i="5"/>
  <c r="S511" i="5"/>
  <c r="Q565" i="5"/>
  <c r="S583" i="5"/>
  <c r="S607" i="5"/>
  <c r="S631" i="5"/>
  <c r="P649" i="5"/>
  <c r="Q649" i="5"/>
  <c r="S667" i="5"/>
  <c r="P709" i="5"/>
  <c r="Q709" i="5"/>
  <c r="O760" i="5"/>
  <c r="S820" i="5"/>
  <c r="P889" i="5"/>
  <c r="S919" i="5"/>
  <c r="Q937" i="5"/>
  <c r="O988" i="5"/>
  <c r="S76" i="5"/>
  <c r="Q43" i="5"/>
  <c r="S25" i="5"/>
  <c r="Q46" i="5"/>
  <c r="O49" i="5"/>
  <c r="Q67" i="5"/>
  <c r="Q79" i="5"/>
  <c r="Q85" i="5"/>
  <c r="S97" i="5"/>
  <c r="S109" i="5"/>
  <c r="O133" i="5"/>
  <c r="Q145" i="5"/>
  <c r="S157" i="5"/>
  <c r="Q10" i="5"/>
  <c r="Q19" i="5"/>
  <c r="Q25" i="5"/>
  <c r="S37" i="5"/>
  <c r="P40" i="5"/>
  <c r="Q58" i="5"/>
  <c r="Q70" i="5"/>
  <c r="Q82" i="5"/>
  <c r="Q91" i="5"/>
  <c r="Q97" i="5"/>
  <c r="S100" i="5"/>
  <c r="Q109" i="5"/>
  <c r="S121" i="5"/>
  <c r="P124" i="5"/>
  <c r="Q142" i="5"/>
  <c r="Q151" i="5"/>
  <c r="Q157" i="5"/>
  <c r="S169" i="5"/>
  <c r="P172" i="5"/>
  <c r="S181" i="5"/>
  <c r="P184" i="5"/>
  <c r="S193" i="5"/>
  <c r="P196" i="5"/>
  <c r="Q214" i="5"/>
  <c r="Q223" i="5"/>
  <c r="Q235" i="5"/>
  <c r="Q241" i="5"/>
  <c r="S253" i="5"/>
  <c r="S256" i="5"/>
  <c r="S265" i="5"/>
  <c r="S268" i="5"/>
  <c r="O325" i="5"/>
  <c r="P340" i="5"/>
  <c r="P364" i="5"/>
  <c r="Q397" i="5"/>
  <c r="S409" i="5"/>
  <c r="P481" i="5"/>
  <c r="Q481" i="5"/>
  <c r="Q517" i="5"/>
  <c r="S535" i="5"/>
  <c r="P553" i="5"/>
  <c r="Q553" i="5"/>
  <c r="Q589" i="5"/>
  <c r="Q613" i="5"/>
  <c r="P661" i="5"/>
  <c r="S751" i="5"/>
  <c r="P838" i="5"/>
  <c r="P850" i="5"/>
  <c r="P862" i="5"/>
  <c r="P874" i="5"/>
  <c r="Q949" i="5"/>
  <c r="O952" i="5"/>
  <c r="P970" i="5"/>
  <c r="S112" i="5"/>
  <c r="S160" i="5"/>
  <c r="S172" i="5"/>
  <c r="S184" i="5"/>
  <c r="Q289" i="5"/>
  <c r="O301" i="5"/>
  <c r="Q319" i="5"/>
  <c r="P325" i="5"/>
  <c r="P331" i="5"/>
  <c r="S346" i="5"/>
  <c r="P355" i="5"/>
  <c r="Q355" i="5"/>
  <c r="S370" i="5"/>
  <c r="S394" i="5"/>
  <c r="Q433" i="5"/>
  <c r="S439" i="5"/>
  <c r="P475" i="5"/>
  <c r="O475" i="5"/>
  <c r="P499" i="5"/>
  <c r="O499" i="5"/>
  <c r="S514" i="5"/>
  <c r="P514" i="5"/>
  <c r="P523" i="5"/>
  <c r="O523" i="5"/>
  <c r="P547" i="5"/>
  <c r="O547" i="5"/>
  <c r="S562" i="5"/>
  <c r="P562" i="5"/>
  <c r="S586" i="5"/>
  <c r="P586" i="5"/>
  <c r="P595" i="5"/>
  <c r="O595" i="5"/>
  <c r="P619" i="5"/>
  <c r="O619" i="5"/>
  <c r="P643" i="5"/>
  <c r="O643" i="5"/>
  <c r="Q661" i="5"/>
  <c r="P715" i="5"/>
  <c r="O715" i="5"/>
  <c r="S715" i="5"/>
  <c r="S730" i="5"/>
  <c r="P730" i="5"/>
  <c r="P904" i="5"/>
  <c r="O904" i="5"/>
  <c r="Q904" i="5"/>
  <c r="Q940" i="5"/>
  <c r="S979" i="5"/>
  <c r="P979" i="5"/>
  <c r="P1009" i="5"/>
  <c r="Q1009" i="5"/>
  <c r="O61" i="5"/>
  <c r="O73" i="5"/>
  <c r="O109" i="5"/>
  <c r="O181" i="5"/>
  <c r="O193" i="5"/>
  <c r="S325" i="5"/>
  <c r="P739" i="5"/>
  <c r="O739" i="5"/>
  <c r="S739" i="5"/>
  <c r="S844" i="5"/>
  <c r="O844" i="5"/>
  <c r="S856" i="5"/>
  <c r="O856" i="5"/>
  <c r="P868" i="5"/>
  <c r="S868" i="5"/>
  <c r="O868" i="5"/>
  <c r="P880" i="5"/>
  <c r="S880" i="5"/>
  <c r="O880" i="5"/>
  <c r="P892" i="5"/>
  <c r="O892" i="5"/>
  <c r="Q892" i="5"/>
  <c r="O931" i="5"/>
  <c r="S931" i="5"/>
  <c r="P943" i="5"/>
  <c r="S943" i="5"/>
  <c r="P982" i="5"/>
  <c r="S982" i="5"/>
  <c r="Q1000" i="5"/>
  <c r="P1036" i="5"/>
  <c r="O1036" i="5"/>
  <c r="Q1036" i="5"/>
  <c r="S1063" i="5"/>
  <c r="O1063" i="5"/>
  <c r="S28" i="5"/>
  <c r="S40" i="5"/>
  <c r="Q52" i="5"/>
  <c r="S124" i="5"/>
  <c r="S136" i="5"/>
  <c r="S148" i="5"/>
  <c r="S196" i="5"/>
  <c r="P289" i="5"/>
  <c r="P292" i="5"/>
  <c r="Q301" i="5"/>
  <c r="S304" i="5"/>
  <c r="Q379" i="5"/>
  <c r="S418" i="5"/>
  <c r="Q436" i="5"/>
  <c r="S490" i="5"/>
  <c r="P490" i="5"/>
  <c r="S538" i="5"/>
  <c r="P538" i="5"/>
  <c r="P571" i="5"/>
  <c r="O571" i="5"/>
  <c r="S610" i="5"/>
  <c r="P610" i="5"/>
  <c r="S634" i="5"/>
  <c r="P634" i="5"/>
  <c r="O796" i="5"/>
  <c r="S796" i="5"/>
  <c r="P931" i="5"/>
  <c r="P940" i="5"/>
  <c r="O940" i="5"/>
  <c r="P13" i="5"/>
  <c r="P19" i="5"/>
  <c r="P25" i="5"/>
  <c r="P31" i="5"/>
  <c r="P37" i="5"/>
  <c r="P43" i="5"/>
  <c r="P49" i="5"/>
  <c r="P55" i="5"/>
  <c r="P67" i="5"/>
  <c r="P79" i="5"/>
  <c r="P91" i="5"/>
  <c r="P97" i="5"/>
  <c r="P103" i="5"/>
  <c r="P109" i="5"/>
  <c r="P115" i="5"/>
  <c r="P121" i="5"/>
  <c r="P127" i="5"/>
  <c r="P133" i="5"/>
  <c r="P139" i="5"/>
  <c r="P145" i="5"/>
  <c r="P151" i="5"/>
  <c r="P157" i="5"/>
  <c r="P163" i="5"/>
  <c r="P169" i="5"/>
  <c r="P175" i="5"/>
  <c r="P181" i="5"/>
  <c r="P187" i="5"/>
  <c r="P193" i="5"/>
  <c r="P199" i="5"/>
  <c r="P211" i="5"/>
  <c r="P223" i="5"/>
  <c r="P235" i="5"/>
  <c r="P247" i="5"/>
  <c r="P259" i="5"/>
  <c r="P271" i="5"/>
  <c r="P283" i="5"/>
  <c r="Q283" i="5"/>
  <c r="P286" i="5"/>
  <c r="Q304" i="5"/>
  <c r="Q337" i="5"/>
  <c r="S340" i="5"/>
  <c r="P349" i="5"/>
  <c r="S349" i="5"/>
  <c r="Q361" i="5"/>
  <c r="S364" i="5"/>
  <c r="S373" i="5"/>
  <c r="Q385" i="5"/>
  <c r="S388" i="5"/>
  <c r="Q403" i="5"/>
  <c r="Q409" i="5"/>
  <c r="S412" i="5"/>
  <c r="P427" i="5"/>
  <c r="Q427" i="5"/>
  <c r="O430" i="5"/>
  <c r="P433" i="5"/>
  <c r="O436" i="5"/>
  <c r="O451" i="5"/>
  <c r="Q454" i="5"/>
  <c r="O463" i="5"/>
  <c r="P493" i="5"/>
  <c r="P517" i="5"/>
  <c r="P541" i="5"/>
  <c r="P565" i="5"/>
  <c r="P589" i="5"/>
  <c r="P613" i="5"/>
  <c r="P637" i="5"/>
  <c r="P655" i="5"/>
  <c r="O655" i="5"/>
  <c r="S655" i="5"/>
  <c r="S664" i="5"/>
  <c r="P691" i="5"/>
  <c r="O691" i="5"/>
  <c r="S691" i="5"/>
  <c r="S706" i="5"/>
  <c r="P706" i="5"/>
  <c r="P733" i="5"/>
  <c r="Q766" i="5"/>
  <c r="O784" i="5"/>
  <c r="O820" i="5"/>
  <c r="O229" i="5"/>
  <c r="Q265" i="5"/>
  <c r="P337" i="5"/>
  <c r="S337" i="5"/>
  <c r="P361" i="5"/>
  <c r="S361" i="5"/>
  <c r="P16" i="5"/>
  <c r="Q16" i="5"/>
  <c r="S34" i="5"/>
  <c r="O40" i="5"/>
  <c r="S46" i="5"/>
  <c r="S52" i="5"/>
  <c r="S58" i="5"/>
  <c r="S64" i="5"/>
  <c r="S70" i="5"/>
  <c r="P76" i="5"/>
  <c r="O76" i="5"/>
  <c r="S82" i="5"/>
  <c r="P88" i="5"/>
  <c r="O88" i="5"/>
  <c r="S94" i="5"/>
  <c r="O100" i="5"/>
  <c r="S106" i="5"/>
  <c r="O112" i="5"/>
  <c r="R112" i="5" s="1"/>
  <c r="S118" i="5"/>
  <c r="O124" i="5"/>
  <c r="S130" i="5"/>
  <c r="O136" i="5"/>
  <c r="S142" i="5"/>
  <c r="S154" i="5"/>
  <c r="S166" i="5"/>
  <c r="O172" i="5"/>
  <c r="R172" i="5" s="1"/>
  <c r="S178" i="5"/>
  <c r="O184" i="5"/>
  <c r="S190" i="5"/>
  <c r="O196" i="5"/>
  <c r="R196" i="5" s="1"/>
  <c r="S202" i="5"/>
  <c r="P208" i="5"/>
  <c r="O208" i="5"/>
  <c r="P220" i="5"/>
  <c r="O220" i="5"/>
  <c r="S226" i="5"/>
  <c r="P232" i="5"/>
  <c r="O232" i="5"/>
  <c r="P244" i="5"/>
  <c r="Q244" i="5"/>
  <c r="P256" i="5"/>
  <c r="Q256" i="5"/>
  <c r="P268" i="5"/>
  <c r="Q268" i="5"/>
  <c r="P280" i="5"/>
  <c r="Q280" i="5"/>
  <c r="Q295" i="5"/>
  <c r="P301" i="5"/>
  <c r="R301" i="5" s="1"/>
  <c r="Q325" i="5"/>
  <c r="S328" i="5"/>
  <c r="S334" i="5"/>
  <c r="O337" i="5"/>
  <c r="P343" i="5"/>
  <c r="Q343" i="5"/>
  <c r="P352" i="5"/>
  <c r="O361" i="5"/>
  <c r="Q367" i="5"/>
  <c r="P376" i="5"/>
  <c r="S397" i="5"/>
  <c r="P400" i="5"/>
  <c r="S421" i="5"/>
  <c r="P424" i="5"/>
  <c r="Q442" i="5"/>
  <c r="S445" i="5"/>
  <c r="S478" i="5"/>
  <c r="P478" i="5"/>
  <c r="P487" i="5"/>
  <c r="O487" i="5"/>
  <c r="S502" i="5"/>
  <c r="P502" i="5"/>
  <c r="P511" i="5"/>
  <c r="O511" i="5"/>
  <c r="S526" i="5"/>
  <c r="P526" i="5"/>
  <c r="P535" i="5"/>
  <c r="O535" i="5"/>
  <c r="S550" i="5"/>
  <c r="P550" i="5"/>
  <c r="P559" i="5"/>
  <c r="O559" i="5"/>
  <c r="O574" i="5"/>
  <c r="P574" i="5"/>
  <c r="P583" i="5"/>
  <c r="O583" i="5"/>
  <c r="S598" i="5"/>
  <c r="P598" i="5"/>
  <c r="P607" i="5"/>
  <c r="O607" i="5"/>
  <c r="S622" i="5"/>
  <c r="P622" i="5"/>
  <c r="P631" i="5"/>
  <c r="O631" i="5"/>
  <c r="S646" i="5"/>
  <c r="P646" i="5"/>
  <c r="S682" i="5"/>
  <c r="P682" i="5"/>
  <c r="S760" i="5"/>
  <c r="Q778" i="5"/>
  <c r="Q790" i="5"/>
  <c r="Q340" i="5"/>
  <c r="Q352" i="5"/>
  <c r="Q364" i="5"/>
  <c r="Q376" i="5"/>
  <c r="Q388" i="5"/>
  <c r="Q400" i="5"/>
  <c r="Q412" i="5"/>
  <c r="Q424" i="5"/>
  <c r="Q439" i="5"/>
  <c r="P463" i="5"/>
  <c r="P466" i="5"/>
  <c r="O478" i="5"/>
  <c r="S484" i="5"/>
  <c r="O490" i="5"/>
  <c r="S496" i="5"/>
  <c r="O502" i="5"/>
  <c r="S508" i="5"/>
  <c r="O514" i="5"/>
  <c r="S520" i="5"/>
  <c r="O526" i="5"/>
  <c r="S532" i="5"/>
  <c r="S544" i="5"/>
  <c r="S556" i="5"/>
  <c r="S568" i="5"/>
  <c r="Q574" i="5"/>
  <c r="S580" i="5"/>
  <c r="S592" i="5"/>
  <c r="S604" i="5"/>
  <c r="S616" i="5"/>
  <c r="S628" i="5"/>
  <c r="S640" i="5"/>
  <c r="S652" i="5"/>
  <c r="S670" i="5"/>
  <c r="P679" i="5"/>
  <c r="O679" i="5"/>
  <c r="S694" i="5"/>
  <c r="P694" i="5"/>
  <c r="P703" i="5"/>
  <c r="O703" i="5"/>
  <c r="S718" i="5"/>
  <c r="P718" i="5"/>
  <c r="P727" i="5"/>
  <c r="O727" i="5"/>
  <c r="S742" i="5"/>
  <c r="P742" i="5"/>
  <c r="Q751" i="5"/>
  <c r="Q838" i="5"/>
  <c r="Q850" i="5"/>
  <c r="Q862" i="5"/>
  <c r="Q874" i="5"/>
  <c r="P886" i="5"/>
  <c r="O886" i="5"/>
  <c r="Q886" i="5"/>
  <c r="P913" i="5"/>
  <c r="Q913" i="5"/>
  <c r="S1003" i="5"/>
  <c r="P1003" i="5"/>
  <c r="O1030" i="5"/>
  <c r="S1030" i="5"/>
  <c r="Q1030" i="5"/>
  <c r="S1042" i="5"/>
  <c r="P1042" i="5"/>
  <c r="Q1042" i="5"/>
  <c r="P1057" i="5"/>
  <c r="Q1057" i="5"/>
  <c r="P367" i="5"/>
  <c r="P373" i="5"/>
  <c r="P379" i="5"/>
  <c r="P385" i="5"/>
  <c r="P391" i="5"/>
  <c r="P397" i="5"/>
  <c r="P403" i="5"/>
  <c r="P409" i="5"/>
  <c r="P415" i="5"/>
  <c r="P421" i="5"/>
  <c r="P430" i="5"/>
  <c r="P436" i="5"/>
  <c r="P442" i="5"/>
  <c r="Q475" i="5"/>
  <c r="Q484" i="5"/>
  <c r="Q487" i="5"/>
  <c r="Q496" i="5"/>
  <c r="Q499" i="5"/>
  <c r="Q508" i="5"/>
  <c r="Q511" i="5"/>
  <c r="Q520" i="5"/>
  <c r="Q523" i="5"/>
  <c r="Q532" i="5"/>
  <c r="Q535" i="5"/>
  <c r="Q544" i="5"/>
  <c r="Q547" i="5"/>
  <c r="Q556" i="5"/>
  <c r="Q559" i="5"/>
  <c r="Q568" i="5"/>
  <c r="Q571" i="5"/>
  <c r="S574" i="5"/>
  <c r="Q580" i="5"/>
  <c r="Q583" i="5"/>
  <c r="Q592" i="5"/>
  <c r="Q595" i="5"/>
  <c r="Q604" i="5"/>
  <c r="Q607" i="5"/>
  <c r="Q616" i="5"/>
  <c r="Q619" i="5"/>
  <c r="Q628" i="5"/>
  <c r="Q631" i="5"/>
  <c r="Q640" i="5"/>
  <c r="Q643" i="5"/>
  <c r="S658" i="5"/>
  <c r="P667" i="5"/>
  <c r="O667" i="5"/>
  <c r="P673" i="5"/>
  <c r="P697" i="5"/>
  <c r="P721" i="5"/>
  <c r="P745" i="5"/>
  <c r="S763" i="5"/>
  <c r="O772" i="5"/>
  <c r="P775" i="5"/>
  <c r="Q799" i="5"/>
  <c r="Q847" i="5"/>
  <c r="P847" i="5"/>
  <c r="Q859" i="5"/>
  <c r="P859" i="5"/>
  <c r="S895" i="5"/>
  <c r="P895" i="5"/>
  <c r="P898" i="5"/>
  <c r="S907" i="5"/>
  <c r="P907" i="5"/>
  <c r="O934" i="5"/>
  <c r="S934" i="5"/>
  <c r="Q934" i="5"/>
  <c r="S946" i="5"/>
  <c r="P946" i="5"/>
  <c r="Q946" i="5"/>
  <c r="P955" i="5"/>
  <c r="Q985" i="5"/>
  <c r="O1027" i="5"/>
  <c r="S1027" i="5"/>
  <c r="P1039" i="5"/>
  <c r="S1039" i="5"/>
  <c r="Q1051" i="5"/>
  <c r="S1051" i="5"/>
  <c r="P1051" i="5"/>
  <c r="P841" i="5"/>
  <c r="Q844" i="5"/>
  <c r="S847" i="5"/>
  <c r="P853" i="5"/>
  <c r="Q856" i="5"/>
  <c r="S859" i="5"/>
  <c r="P865" i="5"/>
  <c r="Q868" i="5"/>
  <c r="S871" i="5"/>
  <c r="P877" i="5"/>
  <c r="Q880" i="5"/>
  <c r="Q901" i="5"/>
  <c r="O907" i="5"/>
  <c r="O910" i="5"/>
  <c r="Q910" i="5"/>
  <c r="P916" i="5"/>
  <c r="R916" i="5" s="1"/>
  <c r="Q916" i="5"/>
  <c r="P919" i="5"/>
  <c r="S922" i="5"/>
  <c r="Q922" i="5"/>
  <c r="Q925" i="5"/>
  <c r="O928" i="5"/>
  <c r="P958" i="5"/>
  <c r="P973" i="5"/>
  <c r="S976" i="5"/>
  <c r="Q976" i="5"/>
  <c r="P985" i="5"/>
  <c r="O1003" i="5"/>
  <c r="O1006" i="5"/>
  <c r="Q1006" i="5"/>
  <c r="P1012" i="5"/>
  <c r="R1012" i="5" s="1"/>
  <c r="Q1012" i="5"/>
  <c r="P1015" i="5"/>
  <c r="S1018" i="5"/>
  <c r="Q1018" i="5"/>
  <c r="Q1021" i="5"/>
  <c r="O1024" i="5"/>
  <c r="O1048" i="5"/>
  <c r="P1060" i="5"/>
  <c r="Q1063" i="5"/>
  <c r="S688" i="5"/>
  <c r="S700" i="5"/>
  <c r="S712" i="5"/>
  <c r="S724" i="5"/>
  <c r="S736" i="5"/>
  <c r="Q781" i="5"/>
  <c r="Q796" i="5"/>
  <c r="S808" i="5"/>
  <c r="Q814" i="5"/>
  <c r="Q823" i="5"/>
  <c r="Q841" i="5"/>
  <c r="Q853" i="5"/>
  <c r="Q865" i="5"/>
  <c r="Q877" i="5"/>
  <c r="P934" i="5"/>
  <c r="P949" i="5"/>
  <c r="S952" i="5"/>
  <c r="Q952" i="5"/>
  <c r="P961" i="5"/>
  <c r="O979" i="5"/>
  <c r="O982" i="5"/>
  <c r="Q982" i="5"/>
  <c r="P988" i="5"/>
  <c r="Q988" i="5"/>
  <c r="P991" i="5"/>
  <c r="S994" i="5"/>
  <c r="Q994" i="5"/>
  <c r="Q997" i="5"/>
  <c r="O1000" i="5"/>
  <c r="P1030" i="5"/>
  <c r="Q652" i="5"/>
  <c r="Q655" i="5"/>
  <c r="Q664" i="5"/>
  <c r="Q667" i="5"/>
  <c r="Q676" i="5"/>
  <c r="Q679" i="5"/>
  <c r="Q688" i="5"/>
  <c r="Q691" i="5"/>
  <c r="Q700" i="5"/>
  <c r="Q703" i="5"/>
  <c r="Q712" i="5"/>
  <c r="Q715" i="5"/>
  <c r="Q724" i="5"/>
  <c r="Q727" i="5"/>
  <c r="Q736" i="5"/>
  <c r="Q739" i="5"/>
  <c r="Q757" i="5"/>
  <c r="Q769" i="5"/>
  <c r="Q793" i="5"/>
  <c r="Q805" i="5"/>
  <c r="P817" i="5"/>
  <c r="Q820" i="5"/>
  <c r="S832" i="5"/>
  <c r="Q871" i="5"/>
  <c r="P883" i="5"/>
  <c r="P910" i="5"/>
  <c r="P925" i="5"/>
  <c r="S928" i="5"/>
  <c r="Q928" i="5"/>
  <c r="P937" i="5"/>
  <c r="O955" i="5"/>
  <c r="O958" i="5"/>
  <c r="Q958" i="5"/>
  <c r="P964" i="5"/>
  <c r="Q964" i="5"/>
  <c r="P967" i="5"/>
  <c r="S970" i="5"/>
  <c r="Q970" i="5"/>
  <c r="Q973" i="5"/>
  <c r="O976" i="5"/>
  <c r="P1006" i="5"/>
  <c r="P1021" i="5"/>
  <c r="S1024" i="5"/>
  <c r="Q1024" i="5"/>
  <c r="P1033" i="5"/>
  <c r="P1045" i="5"/>
  <c r="S1048" i="5"/>
  <c r="P1054" i="5"/>
  <c r="O38" i="7"/>
  <c r="O37" i="7"/>
  <c r="U37" i="7"/>
  <c r="V7" i="6"/>
  <c r="R7" i="6"/>
  <c r="T13" i="6"/>
  <c r="S13" i="6"/>
  <c r="U13" i="6" s="1"/>
  <c r="R16" i="6"/>
  <c r="T25" i="6"/>
  <c r="S25" i="6"/>
  <c r="R28" i="6"/>
  <c r="T37" i="6"/>
  <c r="S37" i="6"/>
  <c r="V43" i="6"/>
  <c r="R43" i="6"/>
  <c r="S58" i="6"/>
  <c r="V58" i="6"/>
  <c r="R58" i="6"/>
  <c r="V67" i="6"/>
  <c r="S82" i="6"/>
  <c r="V82" i="6"/>
  <c r="R82" i="6"/>
  <c r="V115" i="6"/>
  <c r="S133" i="6"/>
  <c r="R133" i="6"/>
  <c r="S154" i="6"/>
  <c r="V154" i="6"/>
  <c r="S157" i="6"/>
  <c r="R157" i="6"/>
  <c r="T160" i="6"/>
  <c r="S205" i="6"/>
  <c r="R205" i="6"/>
  <c r="T253" i="6"/>
  <c r="S253" i="6"/>
  <c r="V253" i="6"/>
  <c r="R253" i="6"/>
  <c r="V259" i="6"/>
  <c r="R259" i="6"/>
  <c r="S259" i="6"/>
  <c r="T259" i="6"/>
  <c r="S22" i="6"/>
  <c r="V22" i="6"/>
  <c r="R22" i="6"/>
  <c r="S34" i="6"/>
  <c r="V34" i="6"/>
  <c r="R34" i="6"/>
  <c r="T61" i="6"/>
  <c r="S61" i="6"/>
  <c r="V61" i="6"/>
  <c r="R61" i="6"/>
  <c r="T85" i="6"/>
  <c r="S85" i="6"/>
  <c r="V85" i="6"/>
  <c r="R85" i="6"/>
  <c r="T112" i="6"/>
  <c r="S112" i="6"/>
  <c r="U112" i="6" s="1"/>
  <c r="S193" i="6"/>
  <c r="R193" i="6"/>
  <c r="T235" i="6"/>
  <c r="T271" i="6"/>
  <c r="T313" i="6"/>
  <c r="V313" i="6"/>
  <c r="R313" i="6"/>
  <c r="T409" i="6"/>
  <c r="S409" i="6"/>
  <c r="V409" i="6"/>
  <c r="R409" i="6"/>
  <c r="V91" i="6"/>
  <c r="V112" i="6"/>
  <c r="S130" i="6"/>
  <c r="V130" i="6"/>
  <c r="R130" i="6"/>
  <c r="R136" i="6"/>
  <c r="V136" i="6"/>
  <c r="T136" i="6"/>
  <c r="T154" i="6"/>
  <c r="R160" i="6"/>
  <c r="V160" i="6"/>
  <c r="S7" i="6"/>
  <c r="S16" i="6"/>
  <c r="S28" i="6"/>
  <c r="S40" i="6"/>
  <c r="S43" i="6"/>
  <c r="T49" i="6"/>
  <c r="S49" i="6"/>
  <c r="V49" i="6"/>
  <c r="R49" i="6"/>
  <c r="T52" i="6"/>
  <c r="S52" i="6"/>
  <c r="T73" i="6"/>
  <c r="S73" i="6"/>
  <c r="V73" i="6"/>
  <c r="R73" i="6"/>
  <c r="T76" i="6"/>
  <c r="S76" i="6"/>
  <c r="T97" i="6"/>
  <c r="S97" i="6"/>
  <c r="V97" i="6"/>
  <c r="R97" i="6"/>
  <c r="T100" i="6"/>
  <c r="S100" i="6"/>
  <c r="T121" i="6"/>
  <c r="S121" i="6"/>
  <c r="V121" i="6"/>
  <c r="R121" i="6"/>
  <c r="T124" i="6"/>
  <c r="S124" i="6"/>
  <c r="U124" i="6" s="1"/>
  <c r="V133" i="6"/>
  <c r="T151" i="6"/>
  <c r="V157" i="6"/>
  <c r="S169" i="6"/>
  <c r="R169" i="6"/>
  <c r="V205" i="6"/>
  <c r="S217" i="6"/>
  <c r="R217" i="6"/>
  <c r="V247" i="6"/>
  <c r="R247" i="6"/>
  <c r="S247" i="6"/>
  <c r="T247" i="6"/>
  <c r="T289" i="6"/>
  <c r="V289" i="6"/>
  <c r="R289" i="6"/>
  <c r="T388" i="6"/>
  <c r="S388" i="6"/>
  <c r="V388" i="6"/>
  <c r="R388" i="6"/>
  <c r="S10" i="6"/>
  <c r="V10" i="6"/>
  <c r="R10" i="6"/>
  <c r="T64" i="6"/>
  <c r="S64" i="6"/>
  <c r="U64" i="6" s="1"/>
  <c r="T88" i="6"/>
  <c r="S88" i="6"/>
  <c r="T109" i="6"/>
  <c r="S109" i="6"/>
  <c r="V109" i="6"/>
  <c r="R109" i="6"/>
  <c r="S235" i="6"/>
  <c r="V235" i="6"/>
  <c r="R235" i="6"/>
  <c r="T265" i="6"/>
  <c r="V265" i="6"/>
  <c r="R265" i="6"/>
  <c r="V271" i="6"/>
  <c r="R271" i="6"/>
  <c r="S271" i="6"/>
  <c r="V19" i="6"/>
  <c r="R19" i="6"/>
  <c r="V31" i="6"/>
  <c r="R31" i="6"/>
  <c r="R40" i="6"/>
  <c r="V64" i="6"/>
  <c r="S106" i="6"/>
  <c r="V106" i="6"/>
  <c r="R106" i="6"/>
  <c r="V13" i="6"/>
  <c r="T16" i="6"/>
  <c r="V25" i="6"/>
  <c r="T28" i="6"/>
  <c r="V37" i="6"/>
  <c r="T40" i="6"/>
  <c r="S46" i="6"/>
  <c r="V46" i="6"/>
  <c r="R46" i="6"/>
  <c r="V52" i="6"/>
  <c r="V55" i="6"/>
  <c r="S67" i="6"/>
  <c r="S70" i="6"/>
  <c r="V70" i="6"/>
  <c r="R70" i="6"/>
  <c r="V76" i="6"/>
  <c r="V79" i="6"/>
  <c r="S91" i="6"/>
  <c r="S94" i="6"/>
  <c r="V94" i="6"/>
  <c r="R94" i="6"/>
  <c r="V100" i="6"/>
  <c r="V103" i="6"/>
  <c r="S115" i="6"/>
  <c r="S118" i="6"/>
  <c r="V118" i="6"/>
  <c r="R118" i="6"/>
  <c r="V124" i="6"/>
  <c r="R142" i="6"/>
  <c r="V142" i="6"/>
  <c r="S148" i="6"/>
  <c r="R148" i="6"/>
  <c r="S181" i="6"/>
  <c r="R181" i="6"/>
  <c r="S229" i="6"/>
  <c r="R229" i="6"/>
  <c r="T277" i="6"/>
  <c r="V277" i="6"/>
  <c r="R277" i="6"/>
  <c r="V283" i="6"/>
  <c r="R283" i="6"/>
  <c r="S283" i="6"/>
  <c r="T283" i="6"/>
  <c r="T367" i="6"/>
  <c r="S367" i="6"/>
  <c r="V139" i="6"/>
  <c r="R139" i="6"/>
  <c r="U139" i="6" s="1"/>
  <c r="W139" i="6" s="1"/>
  <c r="V163" i="6"/>
  <c r="R163" i="6"/>
  <c r="S175" i="6"/>
  <c r="V175" i="6"/>
  <c r="R175" i="6"/>
  <c r="S178" i="6"/>
  <c r="U178" i="6" s="1"/>
  <c r="S187" i="6"/>
  <c r="V187" i="6"/>
  <c r="R187" i="6"/>
  <c r="S190" i="6"/>
  <c r="S199" i="6"/>
  <c r="V199" i="6"/>
  <c r="R199" i="6"/>
  <c r="S202" i="6"/>
  <c r="S211" i="6"/>
  <c r="V211" i="6"/>
  <c r="R211" i="6"/>
  <c r="S214" i="6"/>
  <c r="S223" i="6"/>
  <c r="V223" i="6"/>
  <c r="R223" i="6"/>
  <c r="U223" i="6" s="1"/>
  <c r="S226" i="6"/>
  <c r="U226" i="6" s="1"/>
  <c r="S241" i="6"/>
  <c r="V241" i="6"/>
  <c r="T343" i="6"/>
  <c r="W343" i="6" s="1"/>
  <c r="S343" i="6"/>
  <c r="T364" i="6"/>
  <c r="S364" i="6"/>
  <c r="V364" i="6"/>
  <c r="T385" i="6"/>
  <c r="S385" i="6"/>
  <c r="V385" i="6"/>
  <c r="R385" i="6"/>
  <c r="S142" i="6"/>
  <c r="V145" i="6"/>
  <c r="V172" i="6"/>
  <c r="R172" i="6"/>
  <c r="V184" i="6"/>
  <c r="R184" i="6"/>
  <c r="V196" i="6"/>
  <c r="R196" i="6"/>
  <c r="V208" i="6"/>
  <c r="R208" i="6"/>
  <c r="V220" i="6"/>
  <c r="R220" i="6"/>
  <c r="V232" i="6"/>
  <c r="R232" i="6"/>
  <c r="T295" i="6"/>
  <c r="S295" i="6"/>
  <c r="T319" i="6"/>
  <c r="S319" i="6"/>
  <c r="S340" i="6"/>
  <c r="V340" i="6"/>
  <c r="T361" i="6"/>
  <c r="W361" i="6" s="1"/>
  <c r="V361" i="6"/>
  <c r="R361" i="6"/>
  <c r="R364" i="6"/>
  <c r="R55" i="6"/>
  <c r="R67" i="6"/>
  <c r="R79" i="6"/>
  <c r="U79" i="6" s="1"/>
  <c r="R91" i="6"/>
  <c r="U91" i="6" s="1"/>
  <c r="W91" i="6" s="1"/>
  <c r="R103" i="6"/>
  <c r="R115" i="6"/>
  <c r="R127" i="6"/>
  <c r="T133" i="6"/>
  <c r="R145" i="6"/>
  <c r="V151" i="6"/>
  <c r="R151" i="6"/>
  <c r="U151" i="6" s="1"/>
  <c r="T157" i="6"/>
  <c r="T169" i="6"/>
  <c r="S172" i="6"/>
  <c r="T181" i="6"/>
  <c r="S184" i="6"/>
  <c r="T193" i="6"/>
  <c r="S196" i="6"/>
  <c r="T205" i="6"/>
  <c r="S208" i="6"/>
  <c r="T217" i="6"/>
  <c r="S220" i="6"/>
  <c r="T223" i="6"/>
  <c r="T229" i="6"/>
  <c r="S232" i="6"/>
  <c r="T238" i="6"/>
  <c r="V238" i="6"/>
  <c r="R238" i="6"/>
  <c r="R241" i="6"/>
  <c r="S292" i="6"/>
  <c r="V292" i="6"/>
  <c r="S316" i="6"/>
  <c r="U316" i="6" s="1"/>
  <c r="V316" i="6"/>
  <c r="T337" i="6"/>
  <c r="W337" i="6" s="1"/>
  <c r="V337" i="6"/>
  <c r="R337" i="6"/>
  <c r="T391" i="6"/>
  <c r="S391" i="6"/>
  <c r="V295" i="6"/>
  <c r="S310" i="6"/>
  <c r="V310" i="6"/>
  <c r="R310" i="6"/>
  <c r="V319" i="6"/>
  <c r="S334" i="6"/>
  <c r="V334" i="6"/>
  <c r="R334" i="6"/>
  <c r="V343" i="6"/>
  <c r="S358" i="6"/>
  <c r="V358" i="6"/>
  <c r="R358" i="6"/>
  <c r="V367" i="6"/>
  <c r="S382" i="6"/>
  <c r="V382" i="6"/>
  <c r="R382" i="6"/>
  <c r="V391" i="6"/>
  <c r="S406" i="6"/>
  <c r="V406" i="6"/>
  <c r="R406" i="6"/>
  <c r="T244" i="6"/>
  <c r="T301" i="6"/>
  <c r="V301" i="6"/>
  <c r="R301" i="6"/>
  <c r="T325" i="6"/>
  <c r="V325" i="6"/>
  <c r="R325" i="6"/>
  <c r="T349" i="6"/>
  <c r="V349" i="6"/>
  <c r="R349" i="6"/>
  <c r="U349" i="6" s="1"/>
  <c r="T373" i="6"/>
  <c r="W373" i="6" s="1"/>
  <c r="S373" i="6"/>
  <c r="V373" i="6"/>
  <c r="R373" i="6"/>
  <c r="T376" i="6"/>
  <c r="S376" i="6"/>
  <c r="T397" i="6"/>
  <c r="S397" i="6"/>
  <c r="V397" i="6"/>
  <c r="R397" i="6"/>
  <c r="T400" i="6"/>
  <c r="S400" i="6"/>
  <c r="U400" i="6" s="1"/>
  <c r="S250" i="6"/>
  <c r="V250" i="6"/>
  <c r="R250" i="6"/>
  <c r="S262" i="6"/>
  <c r="V262" i="6"/>
  <c r="R262" i="6"/>
  <c r="S265" i="6"/>
  <c r="S274" i="6"/>
  <c r="V274" i="6"/>
  <c r="R274" i="6"/>
  <c r="S277" i="6"/>
  <c r="S286" i="6"/>
  <c r="V286" i="6"/>
  <c r="R286" i="6"/>
  <c r="S289" i="6"/>
  <c r="T292" i="6"/>
  <c r="S298" i="6"/>
  <c r="V298" i="6"/>
  <c r="R298" i="6"/>
  <c r="V304" i="6"/>
  <c r="V307" i="6"/>
  <c r="S313" i="6"/>
  <c r="T316" i="6"/>
  <c r="W316" i="6" s="1"/>
  <c r="S322" i="6"/>
  <c r="V322" i="6"/>
  <c r="R322" i="6"/>
  <c r="V328" i="6"/>
  <c r="V331" i="6"/>
  <c r="S337" i="6"/>
  <c r="T340" i="6"/>
  <c r="S346" i="6"/>
  <c r="V346" i="6"/>
  <c r="R346" i="6"/>
  <c r="V352" i="6"/>
  <c r="V355" i="6"/>
  <c r="S361" i="6"/>
  <c r="S370" i="6"/>
  <c r="V370" i="6"/>
  <c r="R370" i="6"/>
  <c r="V376" i="6"/>
  <c r="V379" i="6"/>
  <c r="S394" i="6"/>
  <c r="V394" i="6"/>
  <c r="R394" i="6"/>
  <c r="V400" i="6"/>
  <c r="V403" i="6"/>
  <c r="R295" i="6"/>
  <c r="R307" i="6"/>
  <c r="U307" i="6" s="1"/>
  <c r="R319" i="6"/>
  <c r="U319" i="6" s="1"/>
  <c r="R331" i="6"/>
  <c r="R343" i="6"/>
  <c r="R355" i="6"/>
  <c r="U355" i="6" s="1"/>
  <c r="W355" i="6" s="1"/>
  <c r="R367" i="6"/>
  <c r="R379" i="6"/>
  <c r="R391" i="6"/>
  <c r="R403" i="6"/>
  <c r="U403" i="6" s="1"/>
  <c r="W403" i="6" s="1"/>
  <c r="P295" i="5"/>
  <c r="S295" i="5"/>
  <c r="P319" i="5"/>
  <c r="S319" i="5"/>
  <c r="O319" i="5"/>
  <c r="O10" i="5"/>
  <c r="S10" i="5"/>
  <c r="O22" i="5"/>
  <c r="S22" i="5"/>
  <c r="Q28" i="5"/>
  <c r="O34" i="5"/>
  <c r="Q40" i="5"/>
  <c r="O46" i="5"/>
  <c r="O58" i="5"/>
  <c r="P61" i="5"/>
  <c r="Q64" i="5"/>
  <c r="O70" i="5"/>
  <c r="P73" i="5"/>
  <c r="Q76" i="5"/>
  <c r="O82" i="5"/>
  <c r="P85" i="5"/>
  <c r="Q88" i="5"/>
  <c r="O94" i="5"/>
  <c r="Q100" i="5"/>
  <c r="O106" i="5"/>
  <c r="Q112" i="5"/>
  <c r="O118" i="5"/>
  <c r="Q124" i="5"/>
  <c r="O130" i="5"/>
  <c r="Q136" i="5"/>
  <c r="O142" i="5"/>
  <c r="Q148" i="5"/>
  <c r="O154" i="5"/>
  <c r="Q160" i="5"/>
  <c r="O166" i="5"/>
  <c r="Q172" i="5"/>
  <c r="O178" i="5"/>
  <c r="Q184" i="5"/>
  <c r="O190" i="5"/>
  <c r="Q196" i="5"/>
  <c r="O202" i="5"/>
  <c r="P205" i="5"/>
  <c r="Q208" i="5"/>
  <c r="O214" i="5"/>
  <c r="S214" i="5"/>
  <c r="P217" i="5"/>
  <c r="Q220" i="5"/>
  <c r="O226" i="5"/>
  <c r="P229" i="5"/>
  <c r="Q232" i="5"/>
  <c r="O238" i="5"/>
  <c r="S238" i="5"/>
  <c r="P241" i="5"/>
  <c r="O250" i="5"/>
  <c r="S250" i="5"/>
  <c r="P253" i="5"/>
  <c r="O262" i="5"/>
  <c r="S262" i="5"/>
  <c r="P265" i="5"/>
  <c r="O274" i="5"/>
  <c r="S274" i="5"/>
  <c r="P277" i="5"/>
  <c r="S292" i="5"/>
  <c r="S310" i="5"/>
  <c r="O310" i="5"/>
  <c r="Q310" i="5"/>
  <c r="P310" i="5"/>
  <c r="P10" i="5"/>
  <c r="O19" i="5"/>
  <c r="S19" i="5"/>
  <c r="P22" i="5"/>
  <c r="O31" i="5"/>
  <c r="S31" i="5"/>
  <c r="P34" i="5"/>
  <c r="O43" i="5"/>
  <c r="S43" i="5"/>
  <c r="P46" i="5"/>
  <c r="O55" i="5"/>
  <c r="S55" i="5"/>
  <c r="P58" i="5"/>
  <c r="O67" i="5"/>
  <c r="R67" i="5" s="1"/>
  <c r="S67" i="5"/>
  <c r="P70" i="5"/>
  <c r="O79" i="5"/>
  <c r="S79" i="5"/>
  <c r="P82" i="5"/>
  <c r="O91" i="5"/>
  <c r="S91" i="5"/>
  <c r="P94" i="5"/>
  <c r="O103" i="5"/>
  <c r="S103" i="5"/>
  <c r="P106" i="5"/>
  <c r="O115" i="5"/>
  <c r="S115" i="5"/>
  <c r="P118" i="5"/>
  <c r="O127" i="5"/>
  <c r="S127" i="5"/>
  <c r="P130" i="5"/>
  <c r="O139" i="5"/>
  <c r="S139" i="5"/>
  <c r="P142" i="5"/>
  <c r="O151" i="5"/>
  <c r="S151" i="5"/>
  <c r="P154" i="5"/>
  <c r="O163" i="5"/>
  <c r="S163" i="5"/>
  <c r="P166" i="5"/>
  <c r="O175" i="5"/>
  <c r="S175" i="5"/>
  <c r="P178" i="5"/>
  <c r="O187" i="5"/>
  <c r="S187" i="5"/>
  <c r="P190" i="5"/>
  <c r="O199" i="5"/>
  <c r="S199" i="5"/>
  <c r="P202" i="5"/>
  <c r="O211" i="5"/>
  <c r="S211" i="5"/>
  <c r="P214" i="5"/>
  <c r="O223" i="5"/>
  <c r="S223" i="5"/>
  <c r="P226" i="5"/>
  <c r="O235" i="5"/>
  <c r="S235" i="5"/>
  <c r="P238" i="5"/>
  <c r="O247" i="5"/>
  <c r="S247" i="5"/>
  <c r="P250" i="5"/>
  <c r="O259" i="5"/>
  <c r="S259" i="5"/>
  <c r="P262" i="5"/>
  <c r="O271" i="5"/>
  <c r="S271" i="5"/>
  <c r="P274" i="5"/>
  <c r="O283" i="5"/>
  <c r="S286" i="5"/>
  <c r="O286" i="5"/>
  <c r="Q286" i="5"/>
  <c r="O289" i="5"/>
  <c r="Q292" i="5"/>
  <c r="O292" i="5"/>
  <c r="O295" i="5"/>
  <c r="P307" i="5"/>
  <c r="S307" i="5"/>
  <c r="O307" i="5"/>
  <c r="S313" i="5"/>
  <c r="S316" i="5"/>
  <c r="O16" i="5"/>
  <c r="O28" i="5"/>
  <c r="O52" i="5"/>
  <c r="O64" i="5"/>
  <c r="R64" i="5" s="1"/>
  <c r="O148" i="5"/>
  <c r="O160" i="5"/>
  <c r="O244" i="5"/>
  <c r="O256" i="5"/>
  <c r="O268" i="5"/>
  <c r="O280" i="5"/>
  <c r="S298" i="5"/>
  <c r="O298" i="5"/>
  <c r="Q298" i="5"/>
  <c r="P298" i="5"/>
  <c r="P313" i="5"/>
  <c r="Q316" i="5"/>
  <c r="S322" i="5"/>
  <c r="O322" i="5"/>
  <c r="Q322" i="5"/>
  <c r="P322" i="5"/>
  <c r="O331" i="5"/>
  <c r="S331" i="5"/>
  <c r="P334" i="5"/>
  <c r="O343" i="5"/>
  <c r="S343" i="5"/>
  <c r="P346" i="5"/>
  <c r="O355" i="5"/>
  <c r="S355" i="5"/>
  <c r="P358" i="5"/>
  <c r="O367" i="5"/>
  <c r="S367" i="5"/>
  <c r="P370" i="5"/>
  <c r="O379" i="5"/>
  <c r="S379" i="5"/>
  <c r="P382" i="5"/>
  <c r="O391" i="5"/>
  <c r="S391" i="5"/>
  <c r="P394" i="5"/>
  <c r="O403" i="5"/>
  <c r="S403" i="5"/>
  <c r="P406" i="5"/>
  <c r="O415" i="5"/>
  <c r="S415" i="5"/>
  <c r="P418" i="5"/>
  <c r="O427" i="5"/>
  <c r="S427" i="5"/>
  <c r="O433" i="5"/>
  <c r="S433" i="5"/>
  <c r="O442" i="5"/>
  <c r="S442" i="5"/>
  <c r="P445" i="5"/>
  <c r="Q460" i="5"/>
  <c r="P460" i="5"/>
  <c r="O460" i="5"/>
  <c r="O304" i="5"/>
  <c r="R304" i="5" s="1"/>
  <c r="O316" i="5"/>
  <c r="R316" i="5" s="1"/>
  <c r="O328" i="5"/>
  <c r="Q334" i="5"/>
  <c r="O340" i="5"/>
  <c r="Q346" i="5"/>
  <c r="O352" i="5"/>
  <c r="Q358" i="5"/>
  <c r="O364" i="5"/>
  <c r="Q370" i="5"/>
  <c r="O376" i="5"/>
  <c r="Q382" i="5"/>
  <c r="O388" i="5"/>
  <c r="R388" i="5" s="1"/>
  <c r="Q394" i="5"/>
  <c r="O400" i="5"/>
  <c r="Q406" i="5"/>
  <c r="O412" i="5"/>
  <c r="Q418" i="5"/>
  <c r="O424" i="5"/>
  <c r="O439" i="5"/>
  <c r="Q445" i="5"/>
  <c r="P454" i="5"/>
  <c r="P457" i="5"/>
  <c r="S457" i="5"/>
  <c r="O457" i="5"/>
  <c r="S463" i="5"/>
  <c r="S472" i="5"/>
  <c r="Q448" i="5"/>
  <c r="S448" i="5"/>
  <c r="Q451" i="5"/>
  <c r="P451" i="5"/>
  <c r="R451" i="5" s="1"/>
  <c r="Q472" i="5"/>
  <c r="P472" i="5"/>
  <c r="O334" i="5"/>
  <c r="O346" i="5"/>
  <c r="O358" i="5"/>
  <c r="O370" i="5"/>
  <c r="O382" i="5"/>
  <c r="O394" i="5"/>
  <c r="O406" i="5"/>
  <c r="O418" i="5"/>
  <c r="P448" i="5"/>
  <c r="S451" i="5"/>
  <c r="S454" i="5"/>
  <c r="S460" i="5"/>
  <c r="P469" i="5"/>
  <c r="S469" i="5"/>
  <c r="O469" i="5"/>
  <c r="S787" i="5"/>
  <c r="O787" i="5"/>
  <c r="S811" i="5"/>
  <c r="O811" i="5"/>
  <c r="S835" i="5"/>
  <c r="O835" i="5"/>
  <c r="Q466" i="5"/>
  <c r="O472" i="5"/>
  <c r="Q478" i="5"/>
  <c r="O484" i="5"/>
  <c r="Q490" i="5"/>
  <c r="O496" i="5"/>
  <c r="Q502" i="5"/>
  <c r="O508" i="5"/>
  <c r="Q514" i="5"/>
  <c r="O520" i="5"/>
  <c r="Q526" i="5"/>
  <c r="O532" i="5"/>
  <c r="Q538" i="5"/>
  <c r="O544" i="5"/>
  <c r="Q550" i="5"/>
  <c r="O556" i="5"/>
  <c r="Q562" i="5"/>
  <c r="O568" i="5"/>
  <c r="O580" i="5"/>
  <c r="Q586" i="5"/>
  <c r="O592" i="5"/>
  <c r="Q598" i="5"/>
  <c r="O604" i="5"/>
  <c r="Q610" i="5"/>
  <c r="O616" i="5"/>
  <c r="Q622" i="5"/>
  <c r="T622" i="5" s="1"/>
  <c r="O628" i="5"/>
  <c r="Q634" i="5"/>
  <c r="O640" i="5"/>
  <c r="Q646" i="5"/>
  <c r="O652" i="5"/>
  <c r="Q658" i="5"/>
  <c r="O664" i="5"/>
  <c r="Q670" i="5"/>
  <c r="O676" i="5"/>
  <c r="Q682" i="5"/>
  <c r="O688" i="5"/>
  <c r="Q694" i="5"/>
  <c r="O700" i="5"/>
  <c r="Q706" i="5"/>
  <c r="O712" i="5"/>
  <c r="Q718" i="5"/>
  <c r="O724" i="5"/>
  <c r="Q730" i="5"/>
  <c r="O736" i="5"/>
  <c r="Q742" i="5"/>
  <c r="P757" i="5"/>
  <c r="S757" i="5"/>
  <c r="O757" i="5"/>
  <c r="P769" i="5"/>
  <c r="S769" i="5"/>
  <c r="O769" i="5"/>
  <c r="Q772" i="5"/>
  <c r="Q775" i="5"/>
  <c r="P778" i="5"/>
  <c r="S778" i="5"/>
  <c r="O778" i="5"/>
  <c r="P793" i="5"/>
  <c r="P802" i="5"/>
  <c r="S802" i="5"/>
  <c r="O802" i="5"/>
  <c r="P826" i="5"/>
  <c r="S826" i="5"/>
  <c r="O826" i="5"/>
  <c r="O481" i="5"/>
  <c r="S481" i="5"/>
  <c r="P484" i="5"/>
  <c r="O493" i="5"/>
  <c r="S493" i="5"/>
  <c r="P496" i="5"/>
  <c r="O505" i="5"/>
  <c r="S505" i="5"/>
  <c r="P508" i="5"/>
  <c r="O517" i="5"/>
  <c r="R517" i="5" s="1"/>
  <c r="T517" i="5" s="1"/>
  <c r="S517" i="5"/>
  <c r="P520" i="5"/>
  <c r="O529" i="5"/>
  <c r="R529" i="5" s="1"/>
  <c r="S529" i="5"/>
  <c r="P532" i="5"/>
  <c r="O541" i="5"/>
  <c r="S541" i="5"/>
  <c r="P544" i="5"/>
  <c r="O553" i="5"/>
  <c r="S553" i="5"/>
  <c r="P556" i="5"/>
  <c r="O565" i="5"/>
  <c r="S565" i="5"/>
  <c r="P568" i="5"/>
  <c r="O577" i="5"/>
  <c r="S577" i="5"/>
  <c r="P580" i="5"/>
  <c r="O589" i="5"/>
  <c r="S589" i="5"/>
  <c r="P592" i="5"/>
  <c r="O601" i="5"/>
  <c r="S601" i="5"/>
  <c r="P604" i="5"/>
  <c r="O613" i="5"/>
  <c r="R613" i="5" s="1"/>
  <c r="S613" i="5"/>
  <c r="P616" i="5"/>
  <c r="O625" i="5"/>
  <c r="S625" i="5"/>
  <c r="P628" i="5"/>
  <c r="O637" i="5"/>
  <c r="S637" i="5"/>
  <c r="P640" i="5"/>
  <c r="O649" i="5"/>
  <c r="S649" i="5"/>
  <c r="P652" i="5"/>
  <c r="O661" i="5"/>
  <c r="S661" i="5"/>
  <c r="P664" i="5"/>
  <c r="O673" i="5"/>
  <c r="S673" i="5"/>
  <c r="P676" i="5"/>
  <c r="O685" i="5"/>
  <c r="S685" i="5"/>
  <c r="P688" i="5"/>
  <c r="O697" i="5"/>
  <c r="S697" i="5"/>
  <c r="P700" i="5"/>
  <c r="O709" i="5"/>
  <c r="S709" i="5"/>
  <c r="P712" i="5"/>
  <c r="O721" i="5"/>
  <c r="S721" i="5"/>
  <c r="P724" i="5"/>
  <c r="O733" i="5"/>
  <c r="S733" i="5"/>
  <c r="P736" i="5"/>
  <c r="O745" i="5"/>
  <c r="S745" i="5"/>
  <c r="P748" i="5"/>
  <c r="S748" i="5"/>
  <c r="O748" i="5"/>
  <c r="O751" i="5"/>
  <c r="S754" i="5"/>
  <c r="O754" i="5"/>
  <c r="Q760" i="5"/>
  <c r="P760" i="5"/>
  <c r="O763" i="5"/>
  <c r="S766" i="5"/>
  <c r="O766" i="5"/>
  <c r="S775" i="5"/>
  <c r="O775" i="5"/>
  <c r="S799" i="5"/>
  <c r="O799" i="5"/>
  <c r="R799" i="5" s="1"/>
  <c r="S823" i="5"/>
  <c r="O823" i="5"/>
  <c r="O454" i="5"/>
  <c r="O466" i="5"/>
  <c r="O538" i="5"/>
  <c r="R538" i="5" s="1"/>
  <c r="O550" i="5"/>
  <c r="O562" i="5"/>
  <c r="O586" i="5"/>
  <c r="R586" i="5" s="1"/>
  <c r="O598" i="5"/>
  <c r="R598" i="5" s="1"/>
  <c r="O610" i="5"/>
  <c r="O622" i="5"/>
  <c r="O634" i="5"/>
  <c r="O646" i="5"/>
  <c r="R646" i="5" s="1"/>
  <c r="O658" i="5"/>
  <c r="O670" i="5"/>
  <c r="O682" i="5"/>
  <c r="O694" i="5"/>
  <c r="O706" i="5"/>
  <c r="O718" i="5"/>
  <c r="O730" i="5"/>
  <c r="R730" i="5" s="1"/>
  <c r="O742" i="5"/>
  <c r="P751" i="5"/>
  <c r="P754" i="5"/>
  <c r="P763" i="5"/>
  <c r="P766" i="5"/>
  <c r="P781" i="5"/>
  <c r="Q784" i="5"/>
  <c r="P787" i="5"/>
  <c r="Q787" i="5"/>
  <c r="P790" i="5"/>
  <c r="S790" i="5"/>
  <c r="O790" i="5"/>
  <c r="P805" i="5"/>
  <c r="Q808" i="5"/>
  <c r="P811" i="5"/>
  <c r="Q811" i="5"/>
  <c r="P814" i="5"/>
  <c r="S814" i="5"/>
  <c r="O814" i="5"/>
  <c r="P829" i="5"/>
  <c r="Q832" i="5"/>
  <c r="P835" i="5"/>
  <c r="Q835" i="5"/>
  <c r="Q889" i="5"/>
  <c r="S889" i="5"/>
  <c r="O889" i="5"/>
  <c r="P772" i="5"/>
  <c r="O781" i="5"/>
  <c r="S781" i="5"/>
  <c r="P784" i="5"/>
  <c r="O793" i="5"/>
  <c r="R793" i="5" s="1"/>
  <c r="S793" i="5"/>
  <c r="P796" i="5"/>
  <c r="O805" i="5"/>
  <c r="S805" i="5"/>
  <c r="P808" i="5"/>
  <c r="O817" i="5"/>
  <c r="S817" i="5"/>
  <c r="P820" i="5"/>
  <c r="O829" i="5"/>
  <c r="R829" i="5" s="1"/>
  <c r="S829" i="5"/>
  <c r="P832" i="5"/>
  <c r="O841" i="5"/>
  <c r="S841" i="5"/>
  <c r="P844" i="5"/>
  <c r="O853" i="5"/>
  <c r="S853" i="5"/>
  <c r="P856" i="5"/>
  <c r="O865" i="5"/>
  <c r="S865" i="5"/>
  <c r="O877" i="5"/>
  <c r="S877" i="5"/>
  <c r="O898" i="5"/>
  <c r="Q898" i="5"/>
  <c r="P901" i="5"/>
  <c r="O838" i="5"/>
  <c r="R838" i="5" s="1"/>
  <c r="S838" i="5"/>
  <c r="O850" i="5"/>
  <c r="S850" i="5"/>
  <c r="O862" i="5"/>
  <c r="S862" i="5"/>
  <c r="O874" i="5"/>
  <c r="S874" i="5"/>
  <c r="S886" i="5"/>
  <c r="S892" i="5"/>
  <c r="O847" i="5"/>
  <c r="O859" i="5"/>
  <c r="O871" i="5"/>
  <c r="S883" i="5"/>
  <c r="O883" i="5"/>
  <c r="Q895" i="5"/>
  <c r="S913" i="5"/>
  <c r="O913" i="5"/>
  <c r="S916" i="5"/>
  <c r="Q919" i="5"/>
  <c r="O922" i="5"/>
  <c r="S937" i="5"/>
  <c r="O937" i="5"/>
  <c r="S940" i="5"/>
  <c r="Q943" i="5"/>
  <c r="O946" i="5"/>
  <c r="S961" i="5"/>
  <c r="O961" i="5"/>
  <c r="S964" i="5"/>
  <c r="Q967" i="5"/>
  <c r="O970" i="5"/>
  <c r="S985" i="5"/>
  <c r="O985" i="5"/>
  <c r="S988" i="5"/>
  <c r="Q991" i="5"/>
  <c r="O994" i="5"/>
  <c r="S1009" i="5"/>
  <c r="O1009" i="5"/>
  <c r="S1012" i="5"/>
  <c r="Q1015" i="5"/>
  <c r="O1018" i="5"/>
  <c r="R1018" i="5" s="1"/>
  <c r="S1033" i="5"/>
  <c r="O1033" i="5"/>
  <c r="S1036" i="5"/>
  <c r="Q1039" i="5"/>
  <c r="O1042" i="5"/>
  <c r="Q1048" i="5"/>
  <c r="Q1054" i="5"/>
  <c r="S1057" i="5"/>
  <c r="O1057" i="5"/>
  <c r="S1060" i="5"/>
  <c r="O895" i="5"/>
  <c r="S901" i="5"/>
  <c r="O901" i="5"/>
  <c r="S904" i="5"/>
  <c r="Q907" i="5"/>
  <c r="O919" i="5"/>
  <c r="S925" i="5"/>
  <c r="O925" i="5"/>
  <c r="Q931" i="5"/>
  <c r="O943" i="5"/>
  <c r="S949" i="5"/>
  <c r="O949" i="5"/>
  <c r="Q955" i="5"/>
  <c r="T955" i="5" s="1"/>
  <c r="O967" i="5"/>
  <c r="S973" i="5"/>
  <c r="O973" i="5"/>
  <c r="Q979" i="5"/>
  <c r="O991" i="5"/>
  <c r="S997" i="5"/>
  <c r="O997" i="5"/>
  <c r="Q1003" i="5"/>
  <c r="O1015" i="5"/>
  <c r="S1021" i="5"/>
  <c r="O1021" i="5"/>
  <c r="Q1027" i="5"/>
  <c r="O1039" i="5"/>
  <c r="S1045" i="5"/>
  <c r="O1045" i="5"/>
  <c r="O1054" i="5"/>
  <c r="Q1060" i="5"/>
  <c r="P928" i="5"/>
  <c r="P952" i="5"/>
  <c r="P976" i="5"/>
  <c r="P1000" i="5"/>
  <c r="P1024" i="5"/>
  <c r="P1048" i="5"/>
  <c r="P1063" i="5"/>
  <c r="R907" i="5" l="1"/>
  <c r="R97" i="5"/>
  <c r="T97" i="5" s="1"/>
  <c r="R988" i="5"/>
  <c r="R514" i="5"/>
  <c r="T514" i="5" s="1"/>
  <c r="R997" i="5"/>
  <c r="T997" i="5" s="1"/>
  <c r="R850" i="5"/>
  <c r="T850" i="5" s="1"/>
  <c r="R832" i="5"/>
  <c r="T832" i="5" s="1"/>
  <c r="R658" i="5"/>
  <c r="T658" i="5" s="1"/>
  <c r="R577" i="5"/>
  <c r="T577" i="5" s="1"/>
  <c r="R328" i="5"/>
  <c r="R145" i="5"/>
  <c r="T145" i="5" s="1"/>
  <c r="R265" i="5"/>
  <c r="T265" i="5" s="1"/>
  <c r="R760" i="5"/>
  <c r="T760" i="5" s="1"/>
  <c r="R1057" i="5"/>
  <c r="R1009" i="5"/>
  <c r="T1009" i="5" s="1"/>
  <c r="R796" i="5"/>
  <c r="T796" i="5" s="1"/>
  <c r="R733" i="5"/>
  <c r="T733" i="5" s="1"/>
  <c r="R589" i="5"/>
  <c r="T589" i="5" s="1"/>
  <c r="R493" i="5"/>
  <c r="T493" i="5" s="1"/>
  <c r="R448" i="5"/>
  <c r="T448" i="5" s="1"/>
  <c r="R1039" i="5"/>
  <c r="T1039" i="5" s="1"/>
  <c r="R922" i="5"/>
  <c r="T922" i="5" s="1"/>
  <c r="R871" i="5"/>
  <c r="T871" i="5" s="1"/>
  <c r="R862" i="5"/>
  <c r="T862" i="5" s="1"/>
  <c r="T829" i="5"/>
  <c r="R808" i="5"/>
  <c r="T799" i="5"/>
  <c r="R745" i="5"/>
  <c r="T745" i="5" s="1"/>
  <c r="R649" i="5"/>
  <c r="T649" i="5" s="1"/>
  <c r="R601" i="5"/>
  <c r="T601" i="5" s="1"/>
  <c r="R505" i="5"/>
  <c r="T505" i="5" s="1"/>
  <c r="R412" i="5"/>
  <c r="T412" i="5" s="1"/>
  <c r="R670" i="5"/>
  <c r="T670" i="5" s="1"/>
  <c r="R709" i="5"/>
  <c r="T709" i="5" s="1"/>
  <c r="T613" i="5"/>
  <c r="R439" i="5"/>
  <c r="R280" i="5"/>
  <c r="T280" i="5" s="1"/>
  <c r="R28" i="5"/>
  <c r="R85" i="5"/>
  <c r="T85" i="5" s="1"/>
  <c r="R385" i="5"/>
  <c r="T385" i="5" s="1"/>
  <c r="U379" i="6"/>
  <c r="U376" i="6"/>
  <c r="U88" i="6"/>
  <c r="W88" i="6" s="1"/>
  <c r="U100" i="6"/>
  <c r="W100" i="6" s="1"/>
  <c r="U52" i="6"/>
  <c r="U160" i="6"/>
  <c r="U37" i="6"/>
  <c r="W37" i="6" s="1"/>
  <c r="U145" i="6"/>
  <c r="W145" i="6" s="1"/>
  <c r="U55" i="6"/>
  <c r="W55" i="6" s="1"/>
  <c r="U214" i="6"/>
  <c r="W214" i="6" s="1"/>
  <c r="U163" i="6"/>
  <c r="W163" i="6" s="1"/>
  <c r="U169" i="6"/>
  <c r="W169" i="6" s="1"/>
  <c r="U268" i="6"/>
  <c r="W268" i="6" s="1"/>
  <c r="U343" i="6"/>
  <c r="U340" i="6"/>
  <c r="W340" i="6" s="1"/>
  <c r="U76" i="6"/>
  <c r="W76" i="6" s="1"/>
  <c r="U331" i="6"/>
  <c r="W331" i="6" s="1"/>
  <c r="U322" i="6"/>
  <c r="W322" i="6" s="1"/>
  <c r="U286" i="6"/>
  <c r="W286" i="6" s="1"/>
  <c r="U274" i="6"/>
  <c r="W274" i="6" s="1"/>
  <c r="U262" i="6"/>
  <c r="W262" i="6" s="1"/>
  <c r="U292" i="6"/>
  <c r="U115" i="6"/>
  <c r="W115" i="6" s="1"/>
  <c r="U67" i="6"/>
  <c r="W67" i="6" s="1"/>
  <c r="U85" i="6"/>
  <c r="U61" i="6"/>
  <c r="U25" i="6"/>
  <c r="W25" i="6" s="1"/>
  <c r="U244" i="6"/>
  <c r="W244" i="6" s="1"/>
  <c r="U295" i="6"/>
  <c r="U127" i="6"/>
  <c r="W127" i="6" s="1"/>
  <c r="U166" i="6"/>
  <c r="W166" i="6" s="1"/>
  <c r="U325" i="6"/>
  <c r="W325" i="6" s="1"/>
  <c r="U103" i="6"/>
  <c r="W103" i="6" s="1"/>
  <c r="U136" i="6"/>
  <c r="U304" i="6"/>
  <c r="W304" i="6" s="1"/>
  <c r="U352" i="6"/>
  <c r="U154" i="6"/>
  <c r="R976" i="5"/>
  <c r="T976" i="5" s="1"/>
  <c r="R1054" i="5"/>
  <c r="T1054" i="5" s="1"/>
  <c r="R895" i="5"/>
  <c r="T895" i="5" s="1"/>
  <c r="R877" i="5"/>
  <c r="T877" i="5" s="1"/>
  <c r="R772" i="5"/>
  <c r="R718" i="5"/>
  <c r="T718" i="5" s="1"/>
  <c r="T439" i="5"/>
  <c r="R1063" i="5"/>
  <c r="T1063" i="5" s="1"/>
  <c r="R859" i="5"/>
  <c r="T859" i="5" s="1"/>
  <c r="R820" i="5"/>
  <c r="T820" i="5" s="1"/>
  <c r="R661" i="5"/>
  <c r="T661" i="5" s="1"/>
  <c r="R472" i="5"/>
  <c r="T472" i="5" s="1"/>
  <c r="R163" i="5"/>
  <c r="T163" i="5" s="1"/>
  <c r="R115" i="5"/>
  <c r="T115" i="5" s="1"/>
  <c r="T988" i="5"/>
  <c r="R1045" i="5"/>
  <c r="T1045" i="5" s="1"/>
  <c r="R1021" i="5"/>
  <c r="T1021" i="5" s="1"/>
  <c r="R973" i="5"/>
  <c r="T973" i="5" s="1"/>
  <c r="R949" i="5"/>
  <c r="T949" i="5" s="1"/>
  <c r="R937" i="5"/>
  <c r="T937" i="5" s="1"/>
  <c r="R853" i="5"/>
  <c r="T853" i="5" s="1"/>
  <c r="R352" i="5"/>
  <c r="T352" i="5" s="1"/>
  <c r="R1027" i="5"/>
  <c r="T1027" i="5" s="1"/>
  <c r="R52" i="5"/>
  <c r="T52" i="5" s="1"/>
  <c r="R994" i="5"/>
  <c r="T994" i="5" s="1"/>
  <c r="R160" i="5"/>
  <c r="T160" i="5" s="1"/>
  <c r="R292" i="5"/>
  <c r="T292" i="5" s="1"/>
  <c r="R241" i="5"/>
  <c r="T241" i="5" s="1"/>
  <c r="R229" i="5"/>
  <c r="T229" i="5" s="1"/>
  <c r="R319" i="5"/>
  <c r="T319" i="5" s="1"/>
  <c r="R1060" i="5"/>
  <c r="T1060" i="5" s="1"/>
  <c r="R157" i="5"/>
  <c r="T157" i="5" s="1"/>
  <c r="R325" i="5"/>
  <c r="T325" i="5" s="1"/>
  <c r="R913" i="5"/>
  <c r="T913" i="5" s="1"/>
  <c r="R898" i="5"/>
  <c r="T898" i="5" s="1"/>
  <c r="R865" i="5"/>
  <c r="T865" i="5" s="1"/>
  <c r="R817" i="5"/>
  <c r="T817" i="5" s="1"/>
  <c r="R391" i="5"/>
  <c r="T391" i="5" s="1"/>
  <c r="U118" i="6"/>
  <c r="W118" i="6" s="1"/>
  <c r="U70" i="6"/>
  <c r="W70" i="6" s="1"/>
  <c r="U31" i="6"/>
  <c r="W31" i="6" s="1"/>
  <c r="R409" i="5"/>
  <c r="T409" i="5" s="1"/>
  <c r="R184" i="5"/>
  <c r="T184" i="5" s="1"/>
  <c r="R40" i="5"/>
  <c r="T40" i="5" s="1"/>
  <c r="R13" i="5"/>
  <c r="T13" i="5" s="1"/>
  <c r="U280" i="6"/>
  <c r="W280" i="6" s="1"/>
  <c r="R61" i="5"/>
  <c r="T61" i="5" s="1"/>
  <c r="U391" i="6"/>
  <c r="U370" i="6"/>
  <c r="W370" i="6" s="1"/>
  <c r="U298" i="6"/>
  <c r="U250" i="6"/>
  <c r="W250" i="6" s="1"/>
  <c r="U373" i="6"/>
  <c r="U364" i="6"/>
  <c r="W364" i="6" s="1"/>
  <c r="W226" i="6"/>
  <c r="U202" i="6"/>
  <c r="W202" i="6" s="1"/>
  <c r="U190" i="6"/>
  <c r="W190" i="6" s="1"/>
  <c r="W178" i="6"/>
  <c r="U22" i="6"/>
  <c r="W22" i="6" s="1"/>
  <c r="R955" i="5"/>
  <c r="R169" i="5"/>
  <c r="T169" i="5" s="1"/>
  <c r="R406" i="5"/>
  <c r="T406" i="5" s="1"/>
  <c r="R358" i="5"/>
  <c r="T358" i="5" s="1"/>
  <c r="R49" i="5"/>
  <c r="T49" i="5" s="1"/>
  <c r="R25" i="5"/>
  <c r="T25" i="5" s="1"/>
  <c r="R397" i="5"/>
  <c r="T397" i="5" s="1"/>
  <c r="R37" i="5"/>
  <c r="T37" i="5" s="1"/>
  <c r="R970" i="5"/>
  <c r="T970" i="5" s="1"/>
  <c r="R784" i="5"/>
  <c r="T784" i="5" s="1"/>
  <c r="R481" i="5"/>
  <c r="T481" i="5" s="1"/>
  <c r="R430" i="5"/>
  <c r="R742" i="5"/>
  <c r="T742" i="5" s="1"/>
  <c r="R694" i="5"/>
  <c r="T694" i="5" s="1"/>
  <c r="T646" i="5"/>
  <c r="R685" i="5"/>
  <c r="T685" i="5" s="1"/>
  <c r="R637" i="5"/>
  <c r="T637" i="5" s="1"/>
  <c r="R541" i="5"/>
  <c r="T541" i="5" s="1"/>
  <c r="R286" i="5"/>
  <c r="T286" i="5" s="1"/>
  <c r="R259" i="5"/>
  <c r="T259" i="5" s="1"/>
  <c r="R211" i="5"/>
  <c r="T211" i="5" s="1"/>
  <c r="T67" i="5"/>
  <c r="R19" i="5"/>
  <c r="T19" i="5" s="1"/>
  <c r="R1051" i="5"/>
  <c r="T1051" i="5" s="1"/>
  <c r="R421" i="5"/>
  <c r="T421" i="5" s="1"/>
  <c r="R136" i="5"/>
  <c r="T136" i="5" s="1"/>
  <c r="R880" i="5"/>
  <c r="T880" i="5" s="1"/>
  <c r="R682" i="5"/>
  <c r="T682" i="5" s="1"/>
  <c r="R553" i="5"/>
  <c r="T553" i="5" s="1"/>
  <c r="T388" i="5"/>
  <c r="R340" i="5"/>
  <c r="T340" i="5" s="1"/>
  <c r="R79" i="5"/>
  <c r="T79" i="5" s="1"/>
  <c r="R964" i="5"/>
  <c r="T964" i="5" s="1"/>
  <c r="W400" i="6"/>
  <c r="U217" i="6"/>
  <c r="W217" i="6" s="1"/>
  <c r="U181" i="6"/>
  <c r="W181" i="6" s="1"/>
  <c r="U211" i="6"/>
  <c r="W211" i="6" s="1"/>
  <c r="U199" i="6"/>
  <c r="W199" i="6" s="1"/>
  <c r="U187" i="6"/>
  <c r="W187" i="6" s="1"/>
  <c r="U175" i="6"/>
  <c r="W175" i="6" s="1"/>
  <c r="R364" i="5"/>
  <c r="T364" i="5" s="1"/>
  <c r="R31" i="5"/>
  <c r="T31" i="5" s="1"/>
  <c r="T196" i="5"/>
  <c r="T172" i="5"/>
  <c r="R910" i="5"/>
  <c r="T910" i="5" s="1"/>
  <c r="R208" i="5"/>
  <c r="T208" i="5" s="1"/>
  <c r="R463" i="5"/>
  <c r="T463" i="5" s="1"/>
  <c r="R571" i="5"/>
  <c r="T571" i="5" s="1"/>
  <c r="R931" i="5"/>
  <c r="T931" i="5" s="1"/>
  <c r="R739" i="5"/>
  <c r="T739" i="5" s="1"/>
  <c r="R715" i="5"/>
  <c r="T715" i="5" s="1"/>
  <c r="R622" i="5"/>
  <c r="R454" i="5"/>
  <c r="T454" i="5" s="1"/>
  <c r="R415" i="5"/>
  <c r="T415" i="5" s="1"/>
  <c r="R367" i="5"/>
  <c r="T367" i="5" s="1"/>
  <c r="R313" i="5"/>
  <c r="T313" i="5" s="1"/>
  <c r="R283" i="5"/>
  <c r="T283" i="5" s="1"/>
  <c r="R235" i="5"/>
  <c r="T235" i="5" s="1"/>
  <c r="R982" i="5"/>
  <c r="T982" i="5" s="1"/>
  <c r="R1006" i="5"/>
  <c r="T1006" i="5" s="1"/>
  <c r="R868" i="5"/>
  <c r="T868" i="5" s="1"/>
  <c r="R121" i="5"/>
  <c r="T121" i="5" s="1"/>
  <c r="R961" i="5"/>
  <c r="T961" i="5" s="1"/>
  <c r="R883" i="5"/>
  <c r="T883" i="5" s="1"/>
  <c r="R874" i="5"/>
  <c r="T874" i="5" s="1"/>
  <c r="R550" i="5"/>
  <c r="T550" i="5" s="1"/>
  <c r="R625" i="5"/>
  <c r="T625" i="5" s="1"/>
  <c r="T451" i="5"/>
  <c r="R424" i="5"/>
  <c r="T424" i="5" s="1"/>
  <c r="R376" i="5"/>
  <c r="T376" i="5" s="1"/>
  <c r="T328" i="5"/>
  <c r="R427" i="5"/>
  <c r="R55" i="5"/>
  <c r="T55" i="5" s="1"/>
  <c r="R217" i="5"/>
  <c r="T217" i="5" s="1"/>
  <c r="T112" i="5"/>
  <c r="R886" i="5"/>
  <c r="T886" i="5" s="1"/>
  <c r="R526" i="5"/>
  <c r="T526" i="5" s="1"/>
  <c r="R502" i="5"/>
  <c r="T502" i="5" s="1"/>
  <c r="R478" i="5"/>
  <c r="T478" i="5" s="1"/>
  <c r="R892" i="5"/>
  <c r="T892" i="5" s="1"/>
  <c r="U238" i="6"/>
  <c r="W379" i="6"/>
  <c r="U367" i="6"/>
  <c r="W367" i="6" s="1"/>
  <c r="W79" i="6"/>
  <c r="U361" i="6"/>
  <c r="U19" i="6"/>
  <c r="W19" i="6" s="1"/>
  <c r="U235" i="6"/>
  <c r="W235" i="6" s="1"/>
  <c r="U130" i="6"/>
  <c r="W130" i="6" s="1"/>
  <c r="W349" i="6"/>
  <c r="U301" i="6"/>
  <c r="W301" i="6" s="1"/>
  <c r="W238" i="6"/>
  <c r="U148" i="6"/>
  <c r="W148" i="6" s="1"/>
  <c r="U106" i="6"/>
  <c r="W106" i="6" s="1"/>
  <c r="U40" i="6"/>
  <c r="W40" i="6" s="1"/>
  <c r="W136" i="6"/>
  <c r="U409" i="6"/>
  <c r="W409" i="6" s="1"/>
  <c r="U313" i="6"/>
  <c r="U253" i="6"/>
  <c r="W253" i="6" s="1"/>
  <c r="U205" i="6"/>
  <c r="W205" i="6" s="1"/>
  <c r="U16" i="6"/>
  <c r="W16" i="6" s="1"/>
  <c r="U256" i="6"/>
  <c r="W256" i="6" s="1"/>
  <c r="R952" i="5"/>
  <c r="T952" i="5" s="1"/>
  <c r="R925" i="5"/>
  <c r="T925" i="5" s="1"/>
  <c r="R1033" i="5"/>
  <c r="T1033" i="5" s="1"/>
  <c r="R856" i="5"/>
  <c r="T856" i="5" s="1"/>
  <c r="R418" i="5"/>
  <c r="T418" i="5" s="1"/>
  <c r="R370" i="5"/>
  <c r="T370" i="5" s="1"/>
  <c r="R442" i="5"/>
  <c r="T442" i="5" s="1"/>
  <c r="R331" i="5"/>
  <c r="T331" i="5" s="1"/>
  <c r="T301" i="5"/>
  <c r="R244" i="5"/>
  <c r="T244" i="5" s="1"/>
  <c r="R247" i="5"/>
  <c r="T247" i="5" s="1"/>
  <c r="R199" i="5"/>
  <c r="T199" i="5" s="1"/>
  <c r="R151" i="5"/>
  <c r="T151" i="5" s="1"/>
  <c r="R103" i="5"/>
  <c r="T103" i="5" s="1"/>
  <c r="R277" i="5"/>
  <c r="T277" i="5" s="1"/>
  <c r="R205" i="5"/>
  <c r="T205" i="5" s="1"/>
  <c r="R373" i="5"/>
  <c r="T373" i="5" s="1"/>
  <c r="R361" i="5"/>
  <c r="T361" i="5" s="1"/>
  <c r="R124" i="5"/>
  <c r="T124" i="5" s="1"/>
  <c r="R100" i="5"/>
  <c r="T100" i="5" s="1"/>
  <c r="R619" i="5"/>
  <c r="T619" i="5" s="1"/>
  <c r="R547" i="5"/>
  <c r="T547" i="5" s="1"/>
  <c r="R475" i="5"/>
  <c r="T475" i="5" s="1"/>
  <c r="R841" i="5"/>
  <c r="T841" i="5" s="1"/>
  <c r="T793" i="5"/>
  <c r="R307" i="5"/>
  <c r="T307" i="5" s="1"/>
  <c r="R469" i="5"/>
  <c r="T469" i="5" s="1"/>
  <c r="R1000" i="5"/>
  <c r="T1000" i="5" s="1"/>
  <c r="R1015" i="5"/>
  <c r="T1015" i="5" s="1"/>
  <c r="R991" i="5"/>
  <c r="T991" i="5" s="1"/>
  <c r="R943" i="5"/>
  <c r="T943" i="5" s="1"/>
  <c r="T1018" i="5"/>
  <c r="R985" i="5"/>
  <c r="T985" i="5" s="1"/>
  <c r="R805" i="5"/>
  <c r="T805" i="5" s="1"/>
  <c r="R889" i="5"/>
  <c r="T889" i="5" s="1"/>
  <c r="R706" i="5"/>
  <c r="T706" i="5" s="1"/>
  <c r="R610" i="5"/>
  <c r="T610" i="5" s="1"/>
  <c r="R823" i="5"/>
  <c r="T823" i="5" s="1"/>
  <c r="R775" i="5"/>
  <c r="T775" i="5" s="1"/>
  <c r="R721" i="5"/>
  <c r="T721" i="5" s="1"/>
  <c r="R673" i="5"/>
  <c r="T673" i="5" s="1"/>
  <c r="T529" i="5"/>
  <c r="R445" i="5"/>
  <c r="T445" i="5" s="1"/>
  <c r="R433" i="5"/>
  <c r="R403" i="5"/>
  <c r="T403" i="5" s="1"/>
  <c r="R355" i="5"/>
  <c r="T355" i="5" s="1"/>
  <c r="R268" i="5"/>
  <c r="T268" i="5" s="1"/>
  <c r="R148" i="5"/>
  <c r="T148" i="5" s="1"/>
  <c r="R175" i="5"/>
  <c r="T175" i="5" s="1"/>
  <c r="R127" i="5"/>
  <c r="T127" i="5" s="1"/>
  <c r="R253" i="5"/>
  <c r="T253" i="5" s="1"/>
  <c r="R958" i="5"/>
  <c r="T958" i="5" s="1"/>
  <c r="R934" i="5"/>
  <c r="T934" i="5" s="1"/>
  <c r="R727" i="5"/>
  <c r="T727" i="5" s="1"/>
  <c r="R703" i="5"/>
  <c r="T703" i="5" s="1"/>
  <c r="R679" i="5"/>
  <c r="T679" i="5" s="1"/>
  <c r="R349" i="5"/>
  <c r="T349" i="5" s="1"/>
  <c r="R133" i="5"/>
  <c r="T133" i="5" s="1"/>
  <c r="R643" i="5"/>
  <c r="T643" i="5" s="1"/>
  <c r="R595" i="5"/>
  <c r="T595" i="5" s="1"/>
  <c r="R523" i="5"/>
  <c r="T523" i="5" s="1"/>
  <c r="R499" i="5"/>
  <c r="T499" i="5" s="1"/>
  <c r="R1030" i="5"/>
  <c r="T1030" i="5" s="1"/>
  <c r="R847" i="5"/>
  <c r="T847" i="5" s="1"/>
  <c r="R400" i="5"/>
  <c r="T400" i="5" s="1"/>
  <c r="R16" i="5"/>
  <c r="T16" i="5" s="1"/>
  <c r="R271" i="5"/>
  <c r="T271" i="5" s="1"/>
  <c r="R223" i="5"/>
  <c r="T223" i="5" s="1"/>
  <c r="T907" i="5"/>
  <c r="T916" i="5"/>
  <c r="R337" i="5"/>
  <c r="T337" i="5" s="1"/>
  <c r="R904" i="5"/>
  <c r="T904" i="5" s="1"/>
  <c r="R1024" i="5"/>
  <c r="T1024" i="5" s="1"/>
  <c r="R928" i="5"/>
  <c r="T928" i="5" s="1"/>
  <c r="R901" i="5"/>
  <c r="T901" i="5" s="1"/>
  <c r="T1057" i="5"/>
  <c r="R1042" i="5"/>
  <c r="T1042" i="5" s="1"/>
  <c r="R946" i="5"/>
  <c r="T946" i="5" s="1"/>
  <c r="T838" i="5"/>
  <c r="R844" i="5"/>
  <c r="T844" i="5" s="1"/>
  <c r="R634" i="5"/>
  <c r="T634" i="5" s="1"/>
  <c r="T586" i="5"/>
  <c r="R466" i="5"/>
  <c r="T466" i="5" s="1"/>
  <c r="R748" i="5"/>
  <c r="T748" i="5" s="1"/>
  <c r="R697" i="5"/>
  <c r="T697" i="5" s="1"/>
  <c r="R802" i="5"/>
  <c r="T802" i="5" s="1"/>
  <c r="R778" i="5"/>
  <c r="T778" i="5" s="1"/>
  <c r="R757" i="5"/>
  <c r="T757" i="5" s="1"/>
  <c r="R394" i="5"/>
  <c r="T394" i="5" s="1"/>
  <c r="R346" i="5"/>
  <c r="T346" i="5" s="1"/>
  <c r="R379" i="5"/>
  <c r="T379" i="5" s="1"/>
  <c r="R256" i="5"/>
  <c r="T256" i="5" s="1"/>
  <c r="R289" i="5"/>
  <c r="T289" i="5" s="1"/>
  <c r="R187" i="5"/>
  <c r="T187" i="5" s="1"/>
  <c r="R139" i="5"/>
  <c r="T139" i="5" s="1"/>
  <c r="R91" i="5"/>
  <c r="T91" i="5" s="1"/>
  <c r="R43" i="5"/>
  <c r="T43" i="5" s="1"/>
  <c r="R979" i="5"/>
  <c r="T979" i="5" s="1"/>
  <c r="T1012" i="5"/>
  <c r="R1003" i="5"/>
  <c r="T1003" i="5" s="1"/>
  <c r="R667" i="5"/>
  <c r="T667" i="5" s="1"/>
  <c r="R490" i="5"/>
  <c r="T490" i="5" s="1"/>
  <c r="R574" i="5"/>
  <c r="T574" i="5" s="1"/>
  <c r="R220" i="5"/>
  <c r="T220" i="5" s="1"/>
  <c r="R76" i="5"/>
  <c r="T76" i="5" s="1"/>
  <c r="R193" i="5"/>
  <c r="T193" i="5" s="1"/>
  <c r="R1048" i="5"/>
  <c r="T1048" i="5" s="1"/>
  <c r="R967" i="5"/>
  <c r="T967" i="5" s="1"/>
  <c r="R919" i="5"/>
  <c r="T919" i="5" s="1"/>
  <c r="R814" i="5"/>
  <c r="T814" i="5" s="1"/>
  <c r="R562" i="5"/>
  <c r="T562" i="5" s="1"/>
  <c r="R565" i="5"/>
  <c r="T565" i="5" s="1"/>
  <c r="R826" i="5"/>
  <c r="T826" i="5" s="1"/>
  <c r="R769" i="5"/>
  <c r="T769" i="5" s="1"/>
  <c r="R382" i="5"/>
  <c r="T382" i="5" s="1"/>
  <c r="R334" i="5"/>
  <c r="T334" i="5" s="1"/>
  <c r="T304" i="5"/>
  <c r="R343" i="5"/>
  <c r="T343" i="5" s="1"/>
  <c r="R322" i="5"/>
  <c r="T322" i="5" s="1"/>
  <c r="R295" i="5"/>
  <c r="T295" i="5" s="1"/>
  <c r="R73" i="5"/>
  <c r="T73" i="5" s="1"/>
  <c r="R631" i="5"/>
  <c r="T631" i="5" s="1"/>
  <c r="R607" i="5"/>
  <c r="T607" i="5" s="1"/>
  <c r="R583" i="5"/>
  <c r="T583" i="5" s="1"/>
  <c r="R559" i="5"/>
  <c r="T559" i="5" s="1"/>
  <c r="R535" i="5"/>
  <c r="T535" i="5" s="1"/>
  <c r="R511" i="5"/>
  <c r="T511" i="5" s="1"/>
  <c r="R487" i="5"/>
  <c r="T487" i="5" s="1"/>
  <c r="R232" i="5"/>
  <c r="T232" i="5" s="1"/>
  <c r="R88" i="5"/>
  <c r="T88" i="5" s="1"/>
  <c r="R691" i="5"/>
  <c r="T691" i="5" s="1"/>
  <c r="R655" i="5"/>
  <c r="T655" i="5" s="1"/>
  <c r="R436" i="5"/>
  <c r="T436" i="5" s="1"/>
  <c r="R940" i="5"/>
  <c r="T940" i="5" s="1"/>
  <c r="R1036" i="5"/>
  <c r="T1036" i="5" s="1"/>
  <c r="R181" i="5"/>
  <c r="T181" i="5" s="1"/>
  <c r="R109" i="5"/>
  <c r="T109" i="5" s="1"/>
  <c r="W295" i="6"/>
  <c r="U289" i="6"/>
  <c r="W289" i="6" s="1"/>
  <c r="W124" i="6"/>
  <c r="W112" i="6"/>
  <c r="U241" i="6"/>
  <c r="W241" i="6" s="1"/>
  <c r="U232" i="6"/>
  <c r="W232" i="6" s="1"/>
  <c r="U184" i="6"/>
  <c r="W184" i="6" s="1"/>
  <c r="U229" i="6"/>
  <c r="W229" i="6" s="1"/>
  <c r="U265" i="6"/>
  <c r="W265" i="6" s="1"/>
  <c r="U247" i="6"/>
  <c r="W247" i="6" s="1"/>
  <c r="W151" i="6"/>
  <c r="U34" i="6"/>
  <c r="W34" i="6" s="1"/>
  <c r="U259" i="6"/>
  <c r="W259" i="6" s="1"/>
  <c r="W160" i="6"/>
  <c r="U43" i="6"/>
  <c r="W43" i="6" s="1"/>
  <c r="U28" i="6"/>
  <c r="W28" i="6" s="1"/>
  <c r="U346" i="6"/>
  <c r="W346" i="6" s="1"/>
  <c r="U397" i="6"/>
  <c r="W397" i="6" s="1"/>
  <c r="U382" i="6"/>
  <c r="W382" i="6" s="1"/>
  <c r="U334" i="6"/>
  <c r="W334" i="6" s="1"/>
  <c r="U337" i="6"/>
  <c r="W319" i="6"/>
  <c r="U196" i="6"/>
  <c r="W196" i="6" s="1"/>
  <c r="U385" i="6"/>
  <c r="W385" i="6" s="1"/>
  <c r="U277" i="6"/>
  <c r="W277" i="6" s="1"/>
  <c r="U109" i="6"/>
  <c r="W109" i="6" s="1"/>
  <c r="W64" i="6"/>
  <c r="U388" i="6"/>
  <c r="W388" i="6" s="1"/>
  <c r="U121" i="6"/>
  <c r="W121" i="6" s="1"/>
  <c r="U97" i="6"/>
  <c r="W97" i="6" s="1"/>
  <c r="U73" i="6"/>
  <c r="W73" i="6" s="1"/>
  <c r="U49" i="6"/>
  <c r="W49" i="6" s="1"/>
  <c r="W154" i="6"/>
  <c r="W313" i="6"/>
  <c r="U157" i="6"/>
  <c r="W157" i="6" s="1"/>
  <c r="U82" i="6"/>
  <c r="W82" i="6" s="1"/>
  <c r="U58" i="6"/>
  <c r="W58" i="6" s="1"/>
  <c r="W13" i="6"/>
  <c r="U220" i="6"/>
  <c r="U172" i="6"/>
  <c r="W172" i="6" s="1"/>
  <c r="W52" i="6"/>
  <c r="U406" i="6"/>
  <c r="W406" i="6" s="1"/>
  <c r="U358" i="6"/>
  <c r="W358" i="6" s="1"/>
  <c r="U310" i="6"/>
  <c r="W310" i="6" s="1"/>
  <c r="U394" i="6"/>
  <c r="W292" i="6"/>
  <c r="W376" i="6"/>
  <c r="W391" i="6"/>
  <c r="W223" i="6"/>
  <c r="U208" i="6"/>
  <c r="W208" i="6" s="1"/>
  <c r="U283" i="6"/>
  <c r="W283" i="6" s="1"/>
  <c r="U142" i="6"/>
  <c r="W142" i="6" s="1"/>
  <c r="U94" i="6"/>
  <c r="W94" i="6" s="1"/>
  <c r="U46" i="6"/>
  <c r="W46" i="6" s="1"/>
  <c r="U271" i="6"/>
  <c r="W271" i="6" s="1"/>
  <c r="U10" i="6"/>
  <c r="W10" i="6" s="1"/>
  <c r="U193" i="6"/>
  <c r="W193" i="6" s="1"/>
  <c r="W85" i="6"/>
  <c r="W61" i="6"/>
  <c r="U133" i="6"/>
  <c r="W133" i="6" s="1"/>
  <c r="U7" i="6"/>
  <c r="W7" i="6" s="1"/>
  <c r="T808" i="5"/>
  <c r="R754" i="5"/>
  <c r="T754" i="5" s="1"/>
  <c r="T772" i="5"/>
  <c r="R736" i="5"/>
  <c r="T736" i="5" s="1"/>
  <c r="R712" i="5"/>
  <c r="T712" i="5" s="1"/>
  <c r="R688" i="5"/>
  <c r="T688" i="5" s="1"/>
  <c r="R664" i="5"/>
  <c r="T664" i="5" s="1"/>
  <c r="R640" i="5"/>
  <c r="T640" i="5" s="1"/>
  <c r="R616" i="5"/>
  <c r="T616" i="5" s="1"/>
  <c r="R592" i="5"/>
  <c r="T592" i="5" s="1"/>
  <c r="T538" i="5"/>
  <c r="R298" i="5"/>
  <c r="T298" i="5" s="1"/>
  <c r="R274" i="5"/>
  <c r="T274" i="5" s="1"/>
  <c r="R226" i="5"/>
  <c r="T226" i="5" s="1"/>
  <c r="R214" i="5"/>
  <c r="T214" i="5" s="1"/>
  <c r="R82" i="5"/>
  <c r="T82" i="5" s="1"/>
  <c r="T64" i="5"/>
  <c r="R22" i="5"/>
  <c r="T22" i="5" s="1"/>
  <c r="R781" i="5"/>
  <c r="T781" i="5" s="1"/>
  <c r="R763" i="5"/>
  <c r="T763" i="5" s="1"/>
  <c r="T730" i="5"/>
  <c r="R556" i="5"/>
  <c r="T556" i="5" s="1"/>
  <c r="R532" i="5"/>
  <c r="T532" i="5" s="1"/>
  <c r="R508" i="5"/>
  <c r="T508" i="5" s="1"/>
  <c r="R484" i="5"/>
  <c r="T484" i="5" s="1"/>
  <c r="R460" i="5"/>
  <c r="T460" i="5" s="1"/>
  <c r="R238" i="5"/>
  <c r="T238" i="5" s="1"/>
  <c r="R190" i="5"/>
  <c r="T190" i="5" s="1"/>
  <c r="R166" i="5"/>
  <c r="T166" i="5" s="1"/>
  <c r="R142" i="5"/>
  <c r="T142" i="5" s="1"/>
  <c r="R118" i="5"/>
  <c r="T118" i="5" s="1"/>
  <c r="R94" i="5"/>
  <c r="T94" i="5" s="1"/>
  <c r="R34" i="5"/>
  <c r="T34" i="5" s="1"/>
  <c r="R790" i="5"/>
  <c r="T790" i="5" s="1"/>
  <c r="R751" i="5"/>
  <c r="T751" i="5" s="1"/>
  <c r="R724" i="5"/>
  <c r="T724" i="5" s="1"/>
  <c r="R700" i="5"/>
  <c r="T700" i="5" s="1"/>
  <c r="R676" i="5"/>
  <c r="T676" i="5" s="1"/>
  <c r="R652" i="5"/>
  <c r="T652" i="5" s="1"/>
  <c r="R628" i="5"/>
  <c r="T628" i="5" s="1"/>
  <c r="R604" i="5"/>
  <c r="T604" i="5" s="1"/>
  <c r="R580" i="5"/>
  <c r="T580" i="5" s="1"/>
  <c r="R835" i="5"/>
  <c r="T835" i="5" s="1"/>
  <c r="R310" i="5"/>
  <c r="T310" i="5" s="1"/>
  <c r="R250" i="5"/>
  <c r="T250" i="5" s="1"/>
  <c r="R58" i="5"/>
  <c r="T58" i="5" s="1"/>
  <c r="T28" i="5"/>
  <c r="R10" i="5"/>
  <c r="T10" i="5" s="1"/>
  <c r="R766" i="5"/>
  <c r="T766" i="5" s="1"/>
  <c r="T598" i="5"/>
  <c r="R568" i="5"/>
  <c r="T568" i="5" s="1"/>
  <c r="R544" i="5"/>
  <c r="T544" i="5" s="1"/>
  <c r="R520" i="5"/>
  <c r="T520" i="5" s="1"/>
  <c r="R496" i="5"/>
  <c r="T496" i="5" s="1"/>
  <c r="R811" i="5"/>
  <c r="T811" i="5" s="1"/>
  <c r="R787" i="5"/>
  <c r="T787" i="5" s="1"/>
  <c r="R457" i="5"/>
  <c r="T457" i="5" s="1"/>
  <c r="T316" i="5"/>
  <c r="R262" i="5"/>
  <c r="T262" i="5" s="1"/>
  <c r="R202" i="5"/>
  <c r="T202" i="5" s="1"/>
  <c r="R178" i="5"/>
  <c r="T178" i="5" s="1"/>
  <c r="R154" i="5"/>
  <c r="T154" i="5" s="1"/>
  <c r="R130" i="5"/>
  <c r="T130" i="5" s="1"/>
  <c r="R106" i="5"/>
  <c r="T106" i="5" s="1"/>
  <c r="R70" i="5"/>
  <c r="T70" i="5" s="1"/>
  <c r="R46" i="5"/>
  <c r="T46" i="5" s="1"/>
</calcChain>
</file>

<file path=xl/sharedStrings.xml><?xml version="1.0" encoding="utf-8"?>
<sst xmlns="http://schemas.openxmlformats.org/spreadsheetml/2006/main" count="3796" uniqueCount="272">
  <si>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</si>
  <si>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</si>
  <si>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</si>
  <si>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</si>
  <si>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</si>
  <si>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</si>
  <si>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</si>
  <si>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</si>
  <si>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</si>
  <si>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</si>
  <si>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</si>
  <si>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</si>
  <si>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</si>
  <si>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</si>
  <si>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</si>
  <si>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</si>
  <si>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</si>
  <si>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</si>
  <si>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</si>
  <si>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</si>
  <si>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</si>
  <si>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</si>
  <si>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</si>
  <si>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</si>
  <si>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</si>
  <si>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</si>
  <si>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</si>
  <si>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</si>
  <si>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</si>
  <si>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</si>
  <si>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</si>
  <si>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</si>
  <si>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</si>
  <si>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</si>
  <si>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</si>
  <si>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</si>
  <si>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</si>
  <si>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</si>
  <si>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</si>
  <si>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</si>
  <si>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</si>
  <si>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</si>
  <si>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</si>
  <si>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</si>
  <si>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</si>
  <si>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</si>
  <si>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</si>
  <si>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</si>
  <si>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</si>
  <si>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</si>
  <si>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</si>
  <si>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</si>
  <si>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</si>
  <si>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</si>
  <si>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</si>
  <si>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</si>
  <si>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</si>
  <si>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</si>
  <si>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</si>
  <si>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</si>
  <si>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</si>
  <si>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</si>
  <si>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</si>
  <si>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</si>
  <si>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</si>
  <si>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</si>
  <si>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</si>
  <si>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</si>
  <si>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</si>
  <si>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</si>
  <si>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</si>
  <si>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</si>
  <si>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</si>
  <si>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</si>
  <si>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</si>
  <si>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</si>
  <si>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</si>
  <si>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</si>
  <si>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</si>
  <si>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</si>
  <si>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</si>
  <si>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</si>
  <si>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</si>
  <si>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</si>
  <si>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</si>
  <si>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</si>
  <si>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</si>
  <si>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</si>
  <si>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</si>
  <si>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</si>
  <si>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</si>
  <si>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</si>
  <si>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</si>
  <si>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</si>
  <si>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</si>
  <si>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</si>
  <si>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</si>
  <si>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</si>
  <si>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</si>
  <si>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</si>
  <si>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</si>
  <si>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</si>
  <si>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</si>
  <si>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</si>
  <si>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</si>
  <si>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</si>
  <si>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</si>
  <si>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</si>
  <si>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</si>
  <si>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</si>
  <si>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</si>
  <si>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</si>
  <si>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</si>
  <si>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</si>
  <si>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</si>
  <si>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</si>
  <si>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</si>
  <si>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</si>
  <si>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</si>
  <si>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</si>
  <si>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</si>
  <si>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</si>
  <si>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</si>
  <si>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</si>
  <si>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</si>
  <si>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</si>
  <si>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</si>
  <si>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</si>
  <si>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</si>
  <si>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</si>
  <si>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</si>
  <si>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</si>
  <si>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</si>
  <si>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</si>
  <si>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</si>
  <si>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</si>
  <si>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</si>
  <si>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</si>
  <si>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</si>
  <si>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</si>
  <si>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</si>
  <si>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</si>
  <si>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</si>
  <si>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</si>
  <si>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</si>
  <si>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</si>
  <si>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</si>
  <si>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</si>
  <si>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</si>
  <si>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</si>
  <si>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</si>
  <si>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</si>
  <si>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</si>
  <si>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</si>
  <si>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</si>
  <si>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</si>
  <si>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</si>
  <si>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</si>
  <si>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</si>
  <si>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</si>
  <si>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</si>
  <si>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</si>
  <si>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</si>
  <si>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</si>
  <si>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</si>
  <si>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</si>
  <si>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</si>
  <si>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</si>
  <si>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</si>
  <si>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</si>
  <si>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</si>
  <si>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</si>
  <si>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</si>
  <si>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</si>
  <si>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</si>
  <si>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</si>
  <si>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</si>
  <si>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</si>
  <si>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</si>
  <si>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</si>
  <si>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</si>
  <si>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</si>
  <si>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</si>
  <si>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</si>
  <si>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</si>
  <si>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</si>
  <si>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</si>
  <si>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</si>
  <si>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</si>
  <si>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</si>
  <si>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</si>
  <si>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</si>
  <si>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</si>
  <si>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</si>
  <si>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</si>
  <si>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</si>
  <si>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</si>
  <si>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</si>
  <si>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</si>
  <si>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</si>
  <si>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</si>
  <si>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</si>
  <si>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</si>
  <si>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</si>
  <si>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</si>
  <si>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</si>
  <si>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</si>
  <si>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</si>
  <si>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</si>
  <si>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</si>
  <si>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</si>
  <si>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</si>
  <si>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</si>
  <si>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</si>
  <si>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</si>
  <si>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</si>
  <si>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</si>
  <si>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</si>
  <si>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</si>
  <si>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</si>
  <si>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</si>
  <si>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</si>
  <si>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</si>
  <si>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</si>
  <si>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</si>
  <si>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</si>
  <si>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</si>
  <si>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</si>
  <si>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</si>
  <si>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</si>
  <si>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</si>
  <si>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</si>
  <si>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</si>
  <si>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</si>
  <si>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</si>
  <si>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SIN</t>
  </si>
  <si>
    <t>SOME POST MEASUREMENTS IN mtop1 IS ZERO. SO MEASURED TWICE AND TOOK REF FROM PREVIOUS VALUES</t>
  </si>
  <si>
    <t>Q18090068.F1</t>
  </si>
  <si>
    <t>Q18220024.F1</t>
  </si>
  <si>
    <t>Q18280002.F1</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</si>
  <si>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</si>
  <si>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</si>
  <si>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</si>
  <si>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</si>
  <si>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</si>
  <si>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</si>
  <si>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</si>
  <si>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</si>
  <si>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</si>
  <si>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</si>
  <si>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</si>
  <si>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</si>
  <si>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</si>
  <si>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</si>
  <si>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</si>
  <si>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</si>
  <si>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</si>
  <si>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</si>
  <si>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</si>
  <si>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</si>
  <si>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</si>
  <si>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</si>
  <si>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 USL</t>
  </si>
  <si>
    <t>Employee Code</t>
  </si>
  <si>
    <t>Lot ID</t>
  </si>
  <si>
    <t>Thickness  (Å)</t>
  </si>
  <si>
    <t>CPX DOWN</t>
  </si>
  <si>
    <t>On DIA</t>
  </si>
  <si>
    <t>% Uni</t>
  </si>
  <si>
    <t>Q19190127.F1</t>
  </si>
  <si>
    <t>CPX (LPDN PRE 23, POST 42)</t>
  </si>
  <si>
    <t>CPX (LPDN PRE 10, POST 14)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</si>
</sst>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_);\(0.00\)"/>
    <numFmt numFmtId="166" formatCode="0_);\(0\)"/>
    <numFmt numFmtId="167" formatCode="m/d/yyyy;@"/>
    <numFmt numFmtId="168" formatCode="m/d;@"/>
  </numFmts>
  <fonts count="33"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
      <sz val="10"/>
      <color rgb="FF00B050"/>
      <name val="Calibri"/>
      <family val="2"/>
      <scheme val="minor"/>
    </font>
    <font>
      <b/>
      <sz val="10"/>
      <color rgb="FF00B050"/>
      <name val="Calibri"/>
      <family val="2"/>
      <scheme val="minor"/>
    </font>
    <font>
      <sz val="9"/>
      <color theme="1"/>
      <name val="Arial"/>
      <family val="2"/>
      <charset val="177"/>
    </font>
    <font>
      <sz val="28"/>
      <color rgb="FF000000"/>
      <name val="Calibri"/>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bottom style="medium">
        <color indexed="64"/>
      </bottom>
      <diagonal/>
    </border>
  </borders>
  <cellStyleXfs count="6">
    <xf numFmtId="0" fontId="0" fillId="0" borderId="0"/>
    <xf numFmtId="0" fontId="4" fillId="0" borderId="0"/>
    <xf numFmtId="0" fontId="1" fillId="0" borderId="0"/>
    <xf numFmtId="0" fontId="1" fillId="0" borderId="0"/>
    <xf numFmtId="0" fontId="1" fillId="0" borderId="0"/>
    <xf numFmtId="0" fontId="1" fillId="0" borderId="0"/>
  </cellStyleXfs>
  <cellXfs count="345">
    <xf numFmtId="0" fontId="0" fillId="0" borderId="0" xfId="0"/>
    <xf numFmtId="0" fontId="2" fillId="0" borderId="0" xfId="0" applyFont="1"/>
    <xf numFmtId="0" fontId="6" fillId="2" borderId="0" xfId="1" applyFont="1" applyFill="1" applyAlignment="1"/>
    <xf numFmtId="164" fontId="5" fillId="2" borderId="0" xfId="1" applyNumberFormat="1" applyFont="1" applyFill="1" applyBorder="1" applyAlignment="1">
      <alignment horizontal="left"/>
    </xf>
    <xf numFmtId="0" fontId="8" fillId="0" borderId="0" xfId="1" applyFont="1" applyBorder="1" applyAlignment="1">
      <alignment horizontal="left"/>
    </xf>
    <xf numFmtId="0" fontId="5" fillId="2" borderId="0" xfId="1" applyFont="1" applyFill="1" applyBorder="1" applyAlignment="1"/>
    <xf numFmtId="0" fontId="5" fillId="2" borderId="0" xfId="1" applyFont="1" applyFill="1" applyBorder="1" applyAlignment="1">
      <alignment horizontal="center"/>
    </xf>
    <xf numFmtId="0" fontId="7" fillId="2" borderId="0" xfId="1" applyFont="1" applyFill="1" applyBorder="1" applyAlignment="1"/>
    <xf numFmtId="0" fontId="8" fillId="0" borderId="0" xfId="1" applyFont="1" applyBorder="1" applyAlignment="1">
      <alignment horizontal="center" vertical="center"/>
    </xf>
    <xf numFmtId="0" fontId="5" fillId="2" borderId="1" xfId="1" applyFont="1" applyFill="1" applyBorder="1" applyAlignment="1">
      <alignment horizontal="right"/>
    </xf>
    <xf numFmtId="0" fontId="4" fillId="0" borderId="0" xfId="1"/>
    <xf numFmtId="0" fontId="7" fillId="2" borderId="0" xfId="1" applyFont="1" applyFill="1" applyBorder="1" applyAlignment="1">
      <alignment horizontal="left"/>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8" fillId="2" borderId="0" xfId="1" applyFont="1" applyFill="1" applyBorder="1" applyAlignment="1">
      <alignment horizontal="left"/>
    </xf>
    <xf numFmtId="0" fontId="7" fillId="2" borderId="1" xfId="1" applyFont="1" applyFill="1" applyBorder="1" applyAlignment="1"/>
    <xf numFmtId="164" fontId="7" fillId="2" borderId="2" xfId="1" applyNumberFormat="1" applyFont="1" applyFill="1" applyBorder="1" applyAlignment="1">
      <alignment horizontal="left"/>
    </xf>
    <xf numFmtId="0" fontId="8" fillId="2" borderId="2" xfId="1" applyFont="1" applyFill="1" applyBorder="1" applyAlignment="1">
      <alignment horizontal="left"/>
    </xf>
    <xf numFmtId="0" fontId="7" fillId="2" borderId="2" xfId="1" applyFont="1" applyFill="1" applyBorder="1" applyAlignment="1"/>
    <xf numFmtId="0" fontId="7" fillId="2" borderId="2" xfId="1" applyFont="1" applyFill="1" applyBorder="1" applyAlignment="1">
      <alignment horizontal="center"/>
    </xf>
    <xf numFmtId="0" fontId="7" fillId="2" borderId="2" xfId="1" applyFont="1" applyFill="1" applyBorder="1" applyAlignment="1">
      <alignment horizontal="center" vertical="center"/>
    </xf>
    <xf numFmtId="0" fontId="7" fillId="2" borderId="3" xfId="1" applyFont="1" applyFill="1" applyBorder="1" applyAlignment="1"/>
    <xf numFmtId="0" fontId="8" fillId="0" borderId="4" xfId="1" applyFont="1" applyBorder="1" applyAlignment="1">
      <alignment horizontal="center" vertical="top"/>
    </xf>
    <xf numFmtId="0" fontId="8" fillId="0" borderId="4" xfId="1" applyFont="1" applyBorder="1" applyAlignment="1">
      <alignment horizontal="center" vertical="top" wrapText="1"/>
    </xf>
    <xf numFmtId="164" fontId="9" fillId="0" borderId="4" xfId="1" applyNumberFormat="1" applyFont="1" applyBorder="1" applyAlignment="1">
      <alignment horizontal="left"/>
    </xf>
    <xf numFmtId="0" fontId="9" fillId="0" borderId="4" xfId="1" applyFont="1" applyFill="1" applyBorder="1" applyAlignment="1">
      <alignment horizontal="center" wrapText="1"/>
    </xf>
    <xf numFmtId="0" fontId="4" fillId="0" borderId="4" xfId="1" applyBorder="1" applyAlignment="1">
      <alignment horizontal="center" vertical="center"/>
    </xf>
    <xf numFmtId="0" fontId="4" fillId="0" borderId="4" xfId="1" applyBorder="1" applyAlignment="1">
      <alignment horizontal="center"/>
    </xf>
    <xf numFmtId="0" fontId="4" fillId="0" borderId="4" xfId="1" applyFill="1" applyBorder="1" applyAlignment="1">
      <alignment horizontal="center" vertical="center"/>
    </xf>
    <xf numFmtId="0" fontId="4" fillId="0" borderId="0" xfId="1" applyAlignment="1">
      <alignment horizontal="center" vertical="center"/>
    </xf>
    <xf numFmtId="0" fontId="4" fillId="0" borderId="0" xfId="1" applyAlignment="1">
      <alignment horizontal="center"/>
    </xf>
    <xf numFmtId="164" fontId="4" fillId="3" borderId="0" xfId="1" applyNumberFormat="1" applyFill="1" applyAlignment="1">
      <alignment horizontal="center" vertical="top"/>
    </xf>
    <xf numFmtId="0" fontId="4" fillId="3" borderId="0" xfId="1" applyFill="1" applyAlignment="1">
      <alignment horizontal="center" vertical="top"/>
    </xf>
    <xf numFmtId="0" fontId="4" fillId="3" borderId="0" xfId="1" applyFill="1"/>
    <xf numFmtId="0" fontId="11" fillId="0" borderId="0" xfId="1" applyFont="1"/>
    <xf numFmtId="0" fontId="4" fillId="3" borderId="0" xfId="1" applyFill="1" applyBorder="1"/>
    <xf numFmtId="0" fontId="12" fillId="0" borderId="0" xfId="1" applyFont="1"/>
    <xf numFmtId="164" fontId="4" fillId="3" borderId="0" xfId="1" applyNumberFormat="1" applyFill="1" applyBorder="1" applyAlignment="1">
      <alignment horizontal="center" vertical="top"/>
    </xf>
    <xf numFmtId="0" fontId="4" fillId="3" borderId="0" xfId="1" applyFill="1" applyBorder="1" applyAlignment="1">
      <alignment horizontal="center" vertical="top"/>
    </xf>
    <xf numFmtId="0" fontId="13" fillId="0" borderId="4" xfId="1" applyFont="1" applyBorder="1" applyAlignment="1">
      <alignment horizontal="center" vertical="top"/>
    </xf>
    <xf numFmtId="0" fontId="13" fillId="0" borderId="4" xfId="1" applyFont="1" applyBorder="1" applyAlignment="1">
      <alignment horizontal="center"/>
    </xf>
    <xf numFmtId="0" fontId="13" fillId="0" borderId="6" xfId="1" applyFont="1" applyBorder="1" applyAlignment="1"/>
    <xf numFmtId="0" fontId="13" fillId="0" borderId="7" xfId="1" applyFont="1" applyBorder="1" applyAlignment="1"/>
    <xf numFmtId="0" fontId="4" fillId="0" borderId="4" xfId="1" applyBorder="1" applyAlignment="1">
      <alignment horizontal="center" vertical="top"/>
    </xf>
    <xf numFmtId="0" fontId="4" fillId="0" borderId="6" xfId="1" applyBorder="1" applyAlignment="1"/>
    <xf numFmtId="0" fontId="4" fillId="0" borderId="7" xfId="1" applyBorder="1" applyAlignment="1"/>
    <xf numFmtId="0" fontId="8" fillId="0" borderId="16" xfId="1" applyFont="1" applyBorder="1" applyAlignment="1">
      <alignment horizontal="center" vertical="top" wrapText="1"/>
    </xf>
    <xf numFmtId="0" fontId="8" fillId="0" borderId="15" xfId="1" applyFont="1" applyBorder="1" applyAlignment="1">
      <alignment horizontal="center" vertical="top" wrapText="1"/>
    </xf>
    <xf numFmtId="0" fontId="8" fillId="0" borderId="15" xfId="1" applyFont="1" applyFill="1" applyBorder="1" applyAlignment="1">
      <alignment horizontal="center" vertical="top" wrapText="1"/>
    </xf>
    <xf numFmtId="165" fontId="8" fillId="0" borderId="15" xfId="1" applyNumberFormat="1" applyFont="1" applyFill="1" applyBorder="1" applyAlignment="1">
      <alignment horizontal="center" vertical="top" wrapText="1"/>
    </xf>
    <xf numFmtId="0" fontId="12" fillId="0" borderId="0" xfId="1" applyFont="1" applyFill="1" applyBorder="1" applyAlignment="1">
      <alignment horizontal="center" vertical="top"/>
    </xf>
    <xf numFmtId="0" fontId="4" fillId="0" borderId="9" xfId="1" applyBorder="1" applyAlignment="1">
      <alignment horizontal="center" vertical="top"/>
    </xf>
    <xf numFmtId="0" fontId="8" fillId="0" borderId="1" xfId="1" applyFont="1" applyBorder="1" applyAlignment="1">
      <alignment horizontal="center" vertical="top" wrapText="1"/>
    </xf>
    <xf numFmtId="0" fontId="8" fillId="0" borderId="9" xfId="1" applyFont="1" applyBorder="1" applyAlignment="1">
      <alignment horizontal="center" vertical="top" wrapText="1"/>
    </xf>
    <xf numFmtId="0" fontId="8" fillId="0" borderId="9" xfId="1" applyFont="1" applyFill="1" applyBorder="1" applyAlignment="1">
      <alignment horizontal="center" vertical="top" wrapText="1"/>
    </xf>
    <xf numFmtId="165" fontId="8" fillId="0" borderId="9" xfId="1" applyNumberFormat="1" applyFont="1" applyFill="1" applyBorder="1" applyAlignment="1">
      <alignment horizontal="center" vertical="top" wrapText="1"/>
    </xf>
    <xf numFmtId="0" fontId="4" fillId="0" borderId="8" xfId="1" applyBorder="1" applyAlignment="1">
      <alignment horizontal="center" vertical="top"/>
    </xf>
    <xf numFmtId="0" fontId="8" fillId="0" borderId="3" xfId="1" applyFont="1" applyBorder="1" applyAlignment="1">
      <alignment horizontal="center" vertical="top" wrapText="1"/>
    </xf>
    <xf numFmtId="0" fontId="8" fillId="0" borderId="8" xfId="1" applyFont="1" applyBorder="1" applyAlignment="1">
      <alignment horizontal="center" vertical="top" wrapText="1"/>
    </xf>
    <xf numFmtId="0" fontId="9" fillId="0" borderId="4" xfId="1" applyFont="1" applyFill="1" applyBorder="1" applyAlignment="1">
      <alignment horizontal="center" vertical="top" wrapText="1"/>
    </xf>
    <xf numFmtId="0" fontId="8" fillId="0" borderId="8" xfId="1" applyFont="1" applyFill="1" applyBorder="1" applyAlignment="1">
      <alignment horizontal="center" vertical="top" wrapText="1"/>
    </xf>
    <xf numFmtId="165" fontId="8" fillId="0" borderId="8" xfId="1" applyNumberFormat="1" applyFont="1" applyFill="1" applyBorder="1" applyAlignment="1">
      <alignment horizontal="center" vertical="top" wrapText="1"/>
    </xf>
    <xf numFmtId="0" fontId="4" fillId="0" borderId="1" xfId="1" applyBorder="1" applyAlignment="1">
      <alignment horizontal="center" vertical="top"/>
    </xf>
    <xf numFmtId="0" fontId="8" fillId="0" borderId="17" xfId="1" applyFont="1" applyBorder="1" applyAlignment="1">
      <alignment horizontal="center" vertical="top" wrapText="1"/>
    </xf>
    <xf numFmtId="0" fontId="9" fillId="0" borderId="5" xfId="1" applyFont="1" applyFill="1" applyBorder="1" applyAlignment="1">
      <alignment horizontal="center" vertical="top" wrapText="1"/>
    </xf>
    <xf numFmtId="0" fontId="8" fillId="0" borderId="5" xfId="1" applyFont="1" applyBorder="1" applyAlignment="1">
      <alignment horizontal="center" vertical="top" wrapText="1"/>
    </xf>
    <xf numFmtId="0" fontId="8" fillId="0" borderId="22" xfId="1" applyFont="1" applyBorder="1" applyAlignment="1">
      <alignment horizontal="center" vertical="top" wrapText="1"/>
    </xf>
    <xf numFmtId="0" fontId="8" fillId="0" borderId="5" xfId="1" applyFont="1" applyFill="1" applyBorder="1" applyAlignment="1">
      <alignment horizontal="center" vertical="top" wrapText="1"/>
    </xf>
    <xf numFmtId="165" fontId="8" fillId="0" borderId="5" xfId="1" applyNumberFormat="1" applyFont="1" applyFill="1" applyBorder="1" applyAlignment="1">
      <alignment horizontal="center" vertical="top" wrapText="1"/>
    </xf>
    <xf numFmtId="0" fontId="4" fillId="0" borderId="23" xfId="1" applyBorder="1" applyAlignment="1">
      <alignment horizontal="center" vertical="top"/>
    </xf>
    <xf numFmtId="0" fontId="8" fillId="0" borderId="24" xfId="1" applyFont="1" applyBorder="1" applyAlignment="1">
      <alignment horizontal="center" vertical="top" wrapText="1"/>
    </xf>
    <xf numFmtId="0" fontId="8" fillId="0" borderId="23" xfId="1" applyFont="1" applyBorder="1" applyAlignment="1">
      <alignment horizontal="center" vertical="top" wrapText="1"/>
    </xf>
    <xf numFmtId="0" fontId="9" fillId="0" borderId="25" xfId="1" applyFont="1" applyFill="1" applyBorder="1" applyAlignment="1">
      <alignment horizontal="center" vertical="top" wrapText="1"/>
    </xf>
    <xf numFmtId="0" fontId="8" fillId="0" borderId="23" xfId="1" applyFont="1" applyFill="1" applyBorder="1" applyAlignment="1">
      <alignment horizontal="center" vertical="top" wrapText="1"/>
    </xf>
    <xf numFmtId="165" fontId="8" fillId="0" borderId="23" xfId="1" applyNumberFormat="1" applyFont="1" applyFill="1" applyBorder="1" applyAlignment="1">
      <alignment horizontal="center" vertical="top" wrapText="1"/>
    </xf>
    <xf numFmtId="0" fontId="4" fillId="0" borderId="0" xfId="1" applyFill="1" applyBorder="1"/>
    <xf numFmtId="0" fontId="9" fillId="0" borderId="10" xfId="1" applyFont="1" applyFill="1" applyBorder="1" applyAlignment="1">
      <alignment horizontal="center" vertical="top" wrapText="1"/>
    </xf>
    <xf numFmtId="0" fontId="9" fillId="0" borderId="0" xfId="1" applyFont="1" applyFill="1" applyBorder="1" applyAlignment="1">
      <alignment horizontal="center" vertical="top" wrapText="1"/>
    </xf>
    <xf numFmtId="0" fontId="8" fillId="0" borderId="17" xfId="1" applyFont="1" applyFill="1" applyBorder="1" applyAlignment="1">
      <alignment horizontal="center" vertical="top" wrapText="1"/>
    </xf>
    <xf numFmtId="165" fontId="8" fillId="0" borderId="17" xfId="1" applyNumberFormat="1" applyFont="1" applyFill="1" applyBorder="1" applyAlignment="1">
      <alignment horizontal="center" vertical="top" wrapText="1"/>
    </xf>
    <xf numFmtId="0" fontId="8" fillId="0" borderId="4" xfId="1" applyFont="1" applyFill="1" applyBorder="1" applyAlignment="1">
      <alignment horizontal="center" vertical="top" wrapText="1"/>
    </xf>
    <xf numFmtId="165" fontId="8" fillId="0" borderId="4" xfId="1" applyNumberFormat="1" applyFont="1" applyFill="1" applyBorder="1" applyAlignment="1">
      <alignment horizontal="center" vertical="top" wrapText="1"/>
    </xf>
    <xf numFmtId="0" fontId="4" fillId="0" borderId="25" xfId="1" applyBorder="1" applyAlignment="1">
      <alignment horizontal="center" vertical="top"/>
    </xf>
    <xf numFmtId="0" fontId="8" fillId="0" borderId="25" xfId="1" applyFont="1" applyBorder="1" applyAlignment="1">
      <alignment horizontal="center" vertical="top" wrapText="1"/>
    </xf>
    <xf numFmtId="0" fontId="8" fillId="0" borderId="25" xfId="1" applyFont="1" applyFill="1" applyBorder="1" applyAlignment="1">
      <alignment horizontal="center" vertical="top" wrapText="1"/>
    </xf>
    <xf numFmtId="165" fontId="8" fillId="0" borderId="25" xfId="1" applyNumberFormat="1" applyFont="1" applyFill="1" applyBorder="1" applyAlignment="1">
      <alignment horizontal="center" vertical="top" wrapText="1"/>
    </xf>
    <xf numFmtId="0" fontId="4" fillId="0" borderId="5" xfId="1" applyBorder="1" applyAlignment="1">
      <alignment horizontal="center" vertical="top"/>
    </xf>
    <xf numFmtId="164" fontId="4" fillId="0" borderId="0" xfId="1" applyNumberFormat="1" applyAlignment="1">
      <alignment horizontal="center" vertical="top"/>
    </xf>
    <xf numFmtId="0" fontId="4" fillId="0" borderId="0" xfId="1" applyAlignment="1">
      <alignment horizontal="center" vertical="top"/>
    </xf>
    <xf numFmtId="14" fontId="4" fillId="3" borderId="0" xfId="1" applyNumberFormat="1" applyFill="1"/>
    <xf numFmtId="0" fontId="4" fillId="3" borderId="0" xfId="1" applyFill="1" applyAlignment="1">
      <alignment horizontal="center"/>
    </xf>
    <xf numFmtId="0" fontId="4" fillId="3" borderId="0" xfId="1" applyNumberFormat="1" applyFill="1" applyAlignment="1">
      <alignment horizontal="center" vertical="top"/>
    </xf>
    <xf numFmtId="0" fontId="4" fillId="3" borderId="1" xfId="1" applyFill="1" applyBorder="1" applyAlignment="1">
      <alignment horizontal="center" vertical="center"/>
    </xf>
    <xf numFmtId="0" fontId="16" fillId="0" borderId="0" xfId="1" applyFont="1" applyAlignment="1">
      <alignment horizontal="center" vertical="center"/>
    </xf>
    <xf numFmtId="0" fontId="4" fillId="3" borderId="4" xfId="1" applyFill="1" applyBorder="1"/>
    <xf numFmtId="0" fontId="4" fillId="3" borderId="6" xfId="1" applyFill="1" applyBorder="1" applyAlignment="1"/>
    <xf numFmtId="0" fontId="4" fillId="3" borderId="7" xfId="1" applyFill="1" applyBorder="1" applyAlignment="1"/>
    <xf numFmtId="0" fontId="4" fillId="3" borderId="3" xfId="1" applyFill="1" applyBorder="1" applyAlignment="1">
      <alignment horizontal="center" vertical="center"/>
    </xf>
    <xf numFmtId="0" fontId="17" fillId="0" borderId="8" xfId="1" applyFont="1" applyBorder="1" applyAlignment="1">
      <alignment vertical="top" wrapText="1"/>
    </xf>
    <xf numFmtId="0" fontId="17" fillId="0" borderId="4" xfId="1" applyFont="1" applyFill="1" applyBorder="1" applyAlignment="1">
      <alignment vertical="top" wrapText="1"/>
    </xf>
    <xf numFmtId="0" fontId="4" fillId="0" borderId="0" xfId="1" applyFont="1"/>
    <xf numFmtId="0" fontId="18" fillId="0" borderId="0" xfId="1" applyFont="1" applyAlignment="1">
      <alignment horizontal="center" vertical="top"/>
    </xf>
    <xf numFmtId="0" fontId="18" fillId="0" borderId="0" xfId="1" applyFont="1" applyFill="1" applyBorder="1" applyAlignment="1">
      <alignment horizontal="center" vertical="top"/>
    </xf>
    <xf numFmtId="0" fontId="17" fillId="0" borderId="9" xfId="1" applyFont="1" applyBorder="1" applyAlignment="1">
      <alignment vertical="top" wrapText="1"/>
    </xf>
    <xf numFmtId="0" fontId="11" fillId="0" borderId="4" xfId="1" applyFont="1" applyFill="1" applyBorder="1" applyAlignment="1">
      <alignment horizontal="center" vertical="top" wrapText="1"/>
    </xf>
    <xf numFmtId="0" fontId="15" fillId="0" borderId="0" xfId="1" applyFont="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4" fillId="0" borderId="0" xfId="1" applyFont="1" applyFill="1" applyBorder="1"/>
    <xf numFmtId="0" fontId="17" fillId="0" borderId="4" xfId="1" applyFont="1" applyFill="1" applyBorder="1" applyAlignment="1">
      <alignment horizontal="center" vertical="top" wrapText="1"/>
    </xf>
    <xf numFmtId="0" fontId="1" fillId="0" borderId="0" xfId="4"/>
    <xf numFmtId="0" fontId="1" fillId="0" borderId="0" xfId="5"/>
    <xf numFmtId="0" fontId="4" fillId="0" borderId="0" xfId="1" applyNumberFormat="1" applyAlignment="1">
      <alignment horizontal="center" vertical="top"/>
    </xf>
    <xf numFmtId="0" fontId="4" fillId="0" borderId="10" xfId="1" applyBorder="1" applyAlignment="1"/>
    <xf numFmtId="165" fontId="8" fillId="0" borderId="15" xfId="1" applyNumberFormat="1" applyFont="1" applyFill="1" applyBorder="1" applyAlignment="1">
      <alignment vertical="center" wrapText="1"/>
    </xf>
    <xf numFmtId="165" fontId="8" fillId="0" borderId="5" xfId="1" applyNumberFormat="1" applyFont="1" applyFill="1" applyBorder="1" applyAlignment="1">
      <alignment vertical="center" wrapText="1"/>
    </xf>
    <xf numFmtId="165" fontId="8" fillId="0" borderId="5" xfId="1" applyNumberFormat="1" applyFont="1" applyFill="1" applyBorder="1" applyAlignment="1">
      <alignment vertical="top" wrapText="1"/>
    </xf>
    <xf numFmtId="0" fontId="4" fillId="0" borderId="0" xfId="1" applyBorder="1" applyAlignment="1"/>
    <xf numFmtId="0" fontId="12" fillId="0" borderId="0" xfId="1" applyFont="1" applyBorder="1"/>
    <xf numFmtId="0" fontId="4" fillId="0" borderId="0" xfId="1" applyFill="1" applyBorder="1" applyAlignment="1"/>
    <xf numFmtId="165" fontId="8" fillId="0" borderId="10" xfId="1" applyNumberFormat="1" applyFont="1" applyFill="1" applyBorder="1" applyAlignment="1">
      <alignment vertical="center" wrapText="1"/>
    </xf>
    <xf numFmtId="165" fontId="8" fillId="0" borderId="0" xfId="1" applyNumberFormat="1" applyFont="1" applyFill="1" applyBorder="1" applyAlignment="1">
      <alignment vertical="center" wrapText="1"/>
    </xf>
    <xf numFmtId="0" fontId="4" fillId="0" borderId="37" xfId="1" applyBorder="1" applyAlignment="1"/>
    <xf numFmtId="0" fontId="20" fillId="0" borderId="0" xfId="1" applyFont="1"/>
    <xf numFmtId="165" fontId="20" fillId="0" borderId="0" xfId="1" applyNumberFormat="1" applyFont="1"/>
    <xf numFmtId="0" fontId="20" fillId="0" borderId="0" xfId="1" applyFont="1" applyFill="1" applyBorder="1"/>
    <xf numFmtId="0" fontId="4" fillId="4" borderId="0" xfId="1" applyFill="1"/>
    <xf numFmtId="164" fontId="21" fillId="0" borderId="0" xfId="0" applyNumberFormat="1" applyFont="1" applyBorder="1" applyAlignment="1">
      <alignment horizontal="left" vertical="center" wrapText="1"/>
    </xf>
    <xf numFmtId="0" fontId="21" fillId="0" borderId="39" xfId="0" applyFont="1" applyBorder="1" applyAlignment="1">
      <alignment horizontal="center" vertical="top"/>
    </xf>
    <xf numFmtId="0" fontId="21" fillId="0" borderId="39" xfId="0" applyFont="1" applyBorder="1" applyAlignment="1">
      <alignment horizontal="center" vertical="top" wrapText="1"/>
    </xf>
    <xf numFmtId="0" fontId="22" fillId="0" borderId="39" xfId="0" applyFont="1" applyBorder="1" applyAlignment="1">
      <alignment horizontal="center" vertical="center"/>
    </xf>
    <xf numFmtId="0" fontId="21" fillId="0" borderId="22" xfId="0" applyFont="1" applyFill="1" applyBorder="1" applyAlignment="1">
      <alignment horizontal="center" vertical="top"/>
    </xf>
    <xf numFmtId="0" fontId="22" fillId="0" borderId="0" xfId="0" applyFont="1"/>
    <xf numFmtId="164" fontId="23" fillId="0" borderId="40" xfId="0" applyNumberFormat="1" applyFont="1" applyBorder="1" applyAlignment="1">
      <alignment horizontal="center" vertical="top" wrapText="1"/>
    </xf>
    <xf numFmtId="0" fontId="23" fillId="0" borderId="41" xfId="0" applyFont="1" applyBorder="1" applyAlignment="1">
      <alignment horizontal="center" vertical="top" wrapText="1"/>
    </xf>
    <xf numFmtId="0" fontId="23" fillId="0" borderId="41" xfId="0" applyFont="1" applyBorder="1" applyAlignment="1">
      <alignment horizontal="center" vertical="top"/>
    </xf>
    <xf numFmtId="0" fontId="24" fillId="0" borderId="42" xfId="0" applyFont="1" applyBorder="1" applyAlignment="1">
      <alignment horizontal="center" vertical="top"/>
    </xf>
    <xf numFmtId="0" fontId="24" fillId="0" borderId="0" xfId="0" applyFont="1" applyAlignment="1">
      <alignment horizontal="center" vertical="top"/>
    </xf>
    <xf numFmtId="164" fontId="9" fillId="0" borderId="4" xfId="1" applyNumberFormat="1" applyFont="1" applyBorder="1" applyAlignment="1">
      <alignment horizontal="center"/>
    </xf>
    <xf numFmtId="0" fontId="10" fillId="0" borderId="4" xfId="1" applyFont="1" applyFill="1" applyBorder="1" applyAlignment="1">
      <alignment horizontal="center"/>
    </xf>
    <xf numFmtId="164" fontId="9" fillId="0" borderId="4" xfId="1" applyNumberFormat="1" applyFont="1" applyBorder="1" applyAlignment="1">
      <alignment horizontal="center" vertical="top"/>
    </xf>
    <xf numFmtId="0" fontId="4" fillId="0" borderId="4" xfId="1" applyFill="1" applyBorder="1" applyAlignment="1">
      <alignment horizontal="center"/>
    </xf>
    <xf numFmtId="164" fontId="21" fillId="0" borderId="13" xfId="0" applyNumberFormat="1" applyFont="1" applyBorder="1" applyAlignment="1">
      <alignment horizontal="left" vertical="center" wrapText="1"/>
    </xf>
    <xf numFmtId="164" fontId="9" fillId="0" borderId="8" xfId="1" applyNumberFormat="1" applyFont="1" applyBorder="1" applyAlignment="1">
      <alignment horizontal="center"/>
    </xf>
    <xf numFmtId="0" fontId="4" fillId="0" borderId="8" xfId="1" applyBorder="1" applyAlignment="1">
      <alignment horizontal="center"/>
    </xf>
    <xf numFmtId="0" fontId="9" fillId="0" borderId="8" xfId="1" applyFont="1" applyFill="1" applyBorder="1" applyAlignment="1">
      <alignment horizontal="center" wrapText="1"/>
    </xf>
    <xf numFmtId="0" fontId="10" fillId="0" borderId="8" xfId="1" applyFont="1" applyFill="1" applyBorder="1" applyAlignment="1">
      <alignment horizontal="center"/>
    </xf>
    <xf numFmtId="0" fontId="4" fillId="0" borderId="8" xfId="1" applyBorder="1" applyAlignment="1">
      <alignment horizontal="center" vertical="center"/>
    </xf>
    <xf numFmtId="0" fontId="4" fillId="0" borderId="43" xfId="1" applyBorder="1" applyAlignment="1">
      <alignment horizontal="center"/>
    </xf>
    <xf numFmtId="0" fontId="24" fillId="0" borderId="44" xfId="0" applyFont="1" applyBorder="1" applyAlignment="1">
      <alignment horizontal="center" vertical="top"/>
    </xf>
    <xf numFmtId="0" fontId="11" fillId="0" borderId="0" xfId="1" applyFont="1" applyBorder="1" applyAlignment="1">
      <alignment horizontal="center"/>
    </xf>
    <xf numFmtId="0" fontId="8" fillId="0" borderId="9" xfId="1" applyFont="1" applyBorder="1" applyAlignment="1">
      <alignment horizontal="center" vertical="top"/>
    </xf>
    <xf numFmtId="0" fontId="8" fillId="0" borderId="18" xfId="1" applyNumberFormat="1" applyFont="1" applyBorder="1" applyAlignment="1">
      <alignment horizontal="center" vertical="top" wrapText="1"/>
    </xf>
    <xf numFmtId="0" fontId="12" fillId="0" borderId="0" xfId="1" applyFont="1" applyAlignment="1">
      <alignment horizontal="center" vertical="top"/>
    </xf>
    <xf numFmtId="0" fontId="8" fillId="0" borderId="20" xfId="1" applyNumberFormat="1" applyFont="1" applyBorder="1" applyAlignment="1">
      <alignment horizontal="center" vertical="top" wrapText="1"/>
    </xf>
    <xf numFmtId="0" fontId="12" fillId="0" borderId="0" xfId="1" applyFont="1" applyAlignment="1">
      <alignment horizontal="center"/>
    </xf>
    <xf numFmtId="0" fontId="8" fillId="0" borderId="8" xfId="1" applyFont="1" applyBorder="1" applyAlignment="1">
      <alignment horizontal="center" vertical="top"/>
    </xf>
    <xf numFmtId="0" fontId="8" fillId="0" borderId="21" xfId="1" applyNumberFormat="1" applyFont="1" applyBorder="1" applyAlignment="1">
      <alignment horizontal="center" vertical="top" wrapText="1"/>
    </xf>
    <xf numFmtId="0" fontId="8" fillId="0" borderId="5" xfId="1" applyFont="1" applyBorder="1" applyAlignment="1">
      <alignment horizontal="center" vertical="top"/>
    </xf>
    <xf numFmtId="0" fontId="8" fillId="0" borderId="20" xfId="1" applyFont="1" applyBorder="1" applyAlignment="1">
      <alignment horizontal="center" vertical="top"/>
    </xf>
    <xf numFmtId="0" fontId="8" fillId="0" borderId="15" xfId="1" applyFont="1" applyBorder="1" applyAlignment="1">
      <alignment horizontal="center" vertical="top"/>
    </xf>
    <xf numFmtId="0" fontId="8" fillId="0" borderId="23" xfId="1" applyFont="1" applyBorder="1" applyAlignment="1">
      <alignment horizontal="center" vertical="top"/>
    </xf>
    <xf numFmtId="0" fontId="8" fillId="0" borderId="26" xfId="1" applyNumberFormat="1" applyFont="1" applyBorder="1" applyAlignment="1">
      <alignment horizontal="center" vertical="top" wrapText="1"/>
    </xf>
    <xf numFmtId="0" fontId="4" fillId="0" borderId="29" xfId="1" applyBorder="1" applyAlignment="1">
      <alignment horizontal="center"/>
    </xf>
    <xf numFmtId="0" fontId="4" fillId="0" borderId="0" xfId="1" applyBorder="1" applyAlignment="1">
      <alignment horizontal="center"/>
    </xf>
    <xf numFmtId="0" fontId="4"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1" fillId="0" borderId="29" xfId="1" applyFont="1" applyBorder="1" applyAlignment="1">
      <alignment horizontal="center"/>
    </xf>
    <xf numFmtId="0" fontId="8" fillId="0" borderId="21" xfId="1" applyFont="1" applyBorder="1" applyAlignment="1">
      <alignment horizontal="center" vertical="top"/>
    </xf>
    <xf numFmtId="0" fontId="11" fillId="0" borderId="30" xfId="1" applyFont="1" applyBorder="1" applyAlignment="1">
      <alignment horizontal="center"/>
    </xf>
    <xf numFmtId="0" fontId="11" fillId="0" borderId="2" xfId="1" applyFont="1" applyBorder="1" applyAlignment="1">
      <alignment horizontal="center"/>
    </xf>
    <xf numFmtId="14" fontId="4" fillId="0" borderId="0" xfId="1" applyNumberFormat="1" applyAlignment="1">
      <alignment horizontal="center"/>
    </xf>
    <xf numFmtId="0" fontId="4" fillId="0" borderId="17" xfId="1" applyBorder="1" applyAlignment="1">
      <alignment horizontal="center"/>
    </xf>
    <xf numFmtId="0" fontId="8" fillId="0" borderId="17" xfId="1" applyFont="1" applyBorder="1" applyAlignment="1">
      <alignment horizontal="center" vertical="top"/>
    </xf>
    <xf numFmtId="0" fontId="8" fillId="0" borderId="32" xfId="1" applyNumberFormat="1" applyFont="1" applyBorder="1" applyAlignment="1">
      <alignment horizontal="center" vertical="top" wrapText="1"/>
    </xf>
    <xf numFmtId="0" fontId="11" fillId="0" borderId="4" xfId="1" applyFont="1" applyBorder="1" applyAlignment="1">
      <alignment horizontal="center"/>
    </xf>
    <xf numFmtId="0" fontId="8" fillId="0" borderId="34" xfId="1" applyNumberFormat="1" applyFont="1" applyBorder="1" applyAlignment="1">
      <alignment horizontal="center" vertical="top" wrapText="1"/>
    </xf>
    <xf numFmtId="0" fontId="8" fillId="0" borderId="34" xfId="1" applyFont="1" applyBorder="1" applyAlignment="1">
      <alignment horizontal="center" vertical="top"/>
    </xf>
    <xf numFmtId="0" fontId="11" fillId="0" borderId="25" xfId="1" applyFont="1" applyBorder="1" applyAlignment="1">
      <alignment horizontal="center"/>
    </xf>
    <xf numFmtId="0" fontId="8" fillId="0" borderId="25" xfId="1" applyFont="1" applyBorder="1" applyAlignment="1">
      <alignment horizontal="center" vertical="top"/>
    </xf>
    <xf numFmtId="0" fontId="8" fillId="0" borderId="35" xfId="1" applyNumberFormat="1" applyFont="1" applyBorder="1" applyAlignment="1">
      <alignment horizontal="center" vertical="top" wrapText="1"/>
    </xf>
    <xf numFmtId="0" fontId="4" fillId="0" borderId="21" xfId="1" applyBorder="1" applyAlignment="1">
      <alignment horizontal="center"/>
    </xf>
    <xf numFmtId="0" fontId="4" fillId="0" borderId="34" xfId="1" applyBorder="1" applyAlignment="1">
      <alignment horizontal="center"/>
    </xf>
    <xf numFmtId="0" fontId="11" fillId="0" borderId="5" xfId="1" applyFont="1" applyBorder="1" applyAlignment="1">
      <alignment horizontal="center"/>
    </xf>
    <xf numFmtId="0" fontId="8" fillId="0" borderId="36" xfId="1" applyNumberFormat="1" applyFont="1" applyBorder="1" applyAlignment="1">
      <alignment horizontal="center" vertical="top" wrapText="1"/>
    </xf>
    <xf numFmtId="0" fontId="4" fillId="0" borderId="32" xfId="1" applyBorder="1" applyAlignment="1">
      <alignment horizontal="center"/>
    </xf>
    <xf numFmtId="0" fontId="11" fillId="0" borderId="17" xfId="1" applyFont="1" applyBorder="1" applyAlignment="1">
      <alignment horizontal="center"/>
    </xf>
    <xf numFmtId="0" fontId="11" fillId="0" borderId="8" xfId="1" applyFont="1" applyBorder="1" applyAlignment="1">
      <alignment horizontal="center"/>
    </xf>
    <xf numFmtId="0" fontId="4" fillId="0" borderId="25" xfId="1" applyBorder="1" applyAlignment="1">
      <alignment horizontal="center"/>
    </xf>
    <xf numFmtId="0" fontId="4" fillId="0" borderId="35" xfId="1" applyBorder="1" applyAlignment="1">
      <alignment horizontal="center"/>
    </xf>
    <xf numFmtId="0" fontId="4" fillId="0" borderId="5" xfId="1" applyBorder="1" applyAlignment="1">
      <alignment horizontal="center"/>
    </xf>
    <xf numFmtId="0" fontId="4" fillId="0" borderId="36" xfId="1" applyBorder="1" applyAlignment="1">
      <alignment horizontal="center"/>
    </xf>
    <xf numFmtId="0" fontId="4" fillId="0" borderId="0" xfId="1" applyAlignment="1" applyProtection="1">
      <alignment horizontal="center"/>
      <protection locked="0"/>
    </xf>
    <xf numFmtId="167" fontId="25" fillId="0" borderId="5" xfId="0" applyNumberFormat="1" applyFont="1" applyBorder="1" applyAlignment="1">
      <alignment horizontal="center" vertical="center" wrapText="1"/>
    </xf>
    <xf numFmtId="0" fontId="25" fillId="0" borderId="38" xfId="0" applyFont="1" applyBorder="1" applyAlignment="1">
      <alignment horizontal="center" vertical="top" wrapText="1"/>
    </xf>
    <xf numFmtId="0" fontId="25" fillId="0" borderId="39" xfId="0" applyFont="1" applyBorder="1" applyAlignment="1">
      <alignment vertical="top" wrapText="1"/>
    </xf>
    <xf numFmtId="0" fontId="1" fillId="0" borderId="0" xfId="0" applyFont="1"/>
    <xf numFmtId="0" fontId="25" fillId="0" borderId="5" xfId="0" applyFont="1" applyBorder="1" applyAlignment="1">
      <alignment horizontal="center" vertical="center" wrapText="1"/>
    </xf>
    <xf numFmtId="0" fontId="25" fillId="0" borderId="38" xfId="0" applyFont="1" applyBorder="1" applyAlignment="1">
      <alignment horizontal="left" vertical="top" wrapText="1"/>
    </xf>
    <xf numFmtId="0" fontId="26" fillId="2" borderId="5" xfId="0" applyFont="1" applyFill="1" applyBorder="1" applyAlignment="1">
      <alignment vertical="center"/>
    </xf>
    <xf numFmtId="0" fontId="26" fillId="2" borderId="5" xfId="0" applyFont="1" applyFill="1" applyBorder="1" applyAlignment="1">
      <alignment horizontal="center" vertical="center"/>
    </xf>
    <xf numFmtId="168" fontId="27" fillId="0" borderId="40" xfId="0" applyNumberFormat="1" applyFont="1" applyBorder="1" applyAlignment="1">
      <alignment horizontal="center" vertical="top" wrapText="1"/>
    </xf>
    <xf numFmtId="0" fontId="27" fillId="0" borderId="41" xfId="0" applyFont="1" applyBorder="1" applyAlignment="1">
      <alignment horizontal="center" vertical="top" wrapText="1"/>
    </xf>
    <xf numFmtId="0" fontId="27" fillId="0" borderId="44" xfId="0" applyFont="1" applyBorder="1" applyAlignment="1">
      <alignment horizontal="center" vertical="top" wrapText="1"/>
    </xf>
    <xf numFmtId="2" fontId="27" fillId="0" borderId="41" xfId="0" applyNumberFormat="1" applyFont="1" applyBorder="1" applyAlignment="1">
      <alignment horizontal="center" vertical="top" wrapText="1"/>
    </xf>
    <xf numFmtId="0" fontId="27" fillId="0" borderId="41" xfId="0" applyFont="1" applyBorder="1" applyAlignment="1">
      <alignment horizontal="center" vertical="top"/>
    </xf>
    <xf numFmtId="0" fontId="28" fillId="2" borderId="41" xfId="0" applyFont="1" applyFill="1" applyBorder="1" applyAlignment="1">
      <alignment horizontal="center" vertical="top"/>
    </xf>
    <xf numFmtId="0" fontId="28" fillId="2" borderId="42" xfId="0" applyFont="1" applyFill="1" applyBorder="1" applyAlignment="1">
      <alignment horizontal="center" vertical="top"/>
    </xf>
    <xf numFmtId="0" fontId="3" fillId="0" borderId="0" xfId="0" applyFont="1" applyAlignment="1">
      <alignment horizontal="center" vertical="top"/>
    </xf>
    <xf numFmtId="0" fontId="8" fillId="0" borderId="0" xfId="1" applyNumberFormat="1" applyFont="1" applyBorder="1" applyAlignment="1">
      <alignment horizontal="center" vertical="top" wrapText="1"/>
    </xf>
    <xf numFmtId="0" fontId="8" fillId="0" borderId="0" xfId="1" applyFont="1" applyBorder="1" applyAlignment="1">
      <alignment horizontal="center" vertical="top"/>
    </xf>
    <xf numFmtId="0" fontId="13" fillId="0" borderId="41" xfId="1" applyFont="1" applyBorder="1" applyAlignment="1">
      <alignment horizontal="center" vertical="top"/>
    </xf>
    <xf numFmtId="0" fontId="14" fillId="0" borderId="44" xfId="1" applyFont="1" applyBorder="1" applyAlignment="1">
      <alignment horizontal="center" vertical="top"/>
    </xf>
    <xf numFmtId="0" fontId="3" fillId="0" borderId="44" xfId="0" applyFont="1" applyBorder="1" applyAlignment="1">
      <alignment horizontal="center" vertical="top"/>
    </xf>
    <xf numFmtId="0" fontId="4" fillId="0" borderId="37" xfId="1" applyBorder="1" applyAlignment="1">
      <alignment vertical="center"/>
    </xf>
    <xf numFmtId="0" fontId="4" fillId="0" borderId="0" xfId="1" applyBorder="1" applyAlignment="1">
      <alignment vertical="center"/>
    </xf>
    <xf numFmtId="0" fontId="4" fillId="0" borderId="37" xfId="1" applyBorder="1" applyAlignment="1">
      <alignment vertical="center" wrapText="1"/>
    </xf>
    <xf numFmtId="0" fontId="4" fillId="3" borderId="0" xfId="1" applyFill="1" applyBorder="1" applyAlignment="1">
      <alignment horizontal="center" vertical="center"/>
    </xf>
    <xf numFmtId="0" fontId="15" fillId="0" borderId="0" xfId="1" applyFont="1" applyBorder="1" applyAlignment="1">
      <alignment horizontal="center" vertical="center"/>
    </xf>
    <xf numFmtId="0" fontId="15" fillId="0" borderId="0" xfId="1" applyFont="1" applyBorder="1" applyAlignment="1">
      <alignment horizontal="center" vertical="center"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0" fontId="19" fillId="0" borderId="0" xfId="1" applyFont="1" applyBorder="1" applyAlignment="1">
      <alignment horizontal="center" vertical="center"/>
    </xf>
    <xf numFmtId="0" fontId="15" fillId="0" borderId="5" xfId="1" applyFont="1" applyBorder="1" applyAlignment="1">
      <alignment vertical="center"/>
    </xf>
    <xf numFmtId="0" fontId="19" fillId="0" borderId="5" xfId="1" applyFont="1" applyBorder="1" applyAlignment="1">
      <alignment vertical="center"/>
    </xf>
    <xf numFmtId="164" fontId="9" fillId="0" borderId="14" xfId="1" applyNumberFormat="1" applyFont="1" applyBorder="1" applyAlignment="1">
      <alignment horizontal="center" vertical="top"/>
    </xf>
    <xf numFmtId="164" fontId="9" fillId="0" borderId="19" xfId="1" applyNumberFormat="1" applyFont="1" applyBorder="1" applyAlignment="1">
      <alignment horizontal="center" vertical="top"/>
    </xf>
    <xf numFmtId="0" fontId="21" fillId="0" borderId="5" xfId="0" applyFont="1" applyBorder="1" applyAlignment="1">
      <alignment horizontal="center"/>
    </xf>
    <xf numFmtId="0" fontId="21" fillId="0" borderId="5" xfId="0" applyFont="1" applyBorder="1"/>
    <xf numFmtId="0" fontId="21" fillId="0" borderId="5" xfId="0" applyFont="1" applyBorder="1" applyAlignment="1">
      <alignment horizontal="left"/>
    </xf>
    <xf numFmtId="0" fontId="21" fillId="0" borderId="22" xfId="0" applyFont="1" applyBorder="1" applyAlignment="1">
      <alignment horizontal="center" vertical="top" wrapText="1"/>
    </xf>
    <xf numFmtId="0" fontId="29" fillId="0" borderId="0" xfId="0" applyFont="1" applyBorder="1" applyAlignment="1">
      <alignment horizontal="center"/>
    </xf>
    <xf numFmtId="0" fontId="29" fillId="0" borderId="1" xfId="0" applyFont="1" applyBorder="1" applyAlignment="1">
      <alignment horizontal="center"/>
    </xf>
    <xf numFmtId="0" fontId="21" fillId="0" borderId="0" xfId="0" applyFont="1" applyBorder="1"/>
    <xf numFmtId="0" fontId="21" fillId="0" borderId="4" xfId="0" applyFont="1" applyBorder="1"/>
    <xf numFmtId="0" fontId="23" fillId="0" borderId="41" xfId="0" applyFont="1" applyBorder="1" applyAlignment="1">
      <alignment horizontal="left" vertical="top" wrapText="1"/>
    </xf>
    <xf numFmtId="2" fontId="23" fillId="0" borderId="41" xfId="0" applyNumberFormat="1" applyFont="1" applyBorder="1" applyAlignment="1">
      <alignment horizontal="center" vertical="top" wrapText="1"/>
    </xf>
    <xf numFmtId="165" fontId="23" fillId="0" borderId="41" xfId="0" applyNumberFormat="1" applyFont="1" applyBorder="1" applyAlignment="1">
      <alignment horizontal="center" vertical="top" wrapText="1"/>
    </xf>
    <xf numFmtId="0" fontId="30" fillId="0" borderId="41" xfId="0" applyFont="1" applyBorder="1" applyAlignment="1">
      <alignment horizontal="center" vertical="top"/>
    </xf>
    <xf numFmtId="0" fontId="23" fillId="0" borderId="0" xfId="0" applyFont="1" applyAlignment="1">
      <alignment vertical="top"/>
    </xf>
    <xf numFmtId="0" fontId="17" fillId="0" borderId="8" xfId="1" applyFont="1" applyFill="1" applyBorder="1" applyAlignment="1">
      <alignment vertical="top" wrapText="1"/>
    </xf>
    <xf numFmtId="0" fontId="23" fillId="0" borderId="41" xfId="0" applyFont="1" applyBorder="1" applyAlignment="1">
      <alignment vertical="top" wrapText="1"/>
    </xf>
    <xf numFmtId="0" fontId="23" fillId="0" borderId="41" xfId="0" applyFont="1" applyBorder="1" applyAlignment="1">
      <alignment vertical="top"/>
    </xf>
    <xf numFmtId="0" fontId="30" fillId="0" borderId="42" xfId="0" applyFont="1" applyBorder="1" applyAlignment="1">
      <alignment horizontal="center" vertical="top"/>
    </xf>
    <xf numFmtId="164" fontId="9" fillId="0" borderId="27" xfId="1" applyNumberFormat="1" applyFont="1" applyBorder="1" applyAlignment="1">
      <alignment horizontal="center" vertical="top"/>
    </xf>
    <xf numFmtId="164" fontId="9" fillId="0" borderId="28" xfId="1" applyNumberFormat="1" applyFont="1" applyBorder="1" applyAlignment="1">
      <alignment horizontal="center" vertical="top"/>
    </xf>
    <xf numFmtId="164" fontId="9" fillId="0" borderId="5" xfId="1" applyNumberFormat="1" applyFont="1" applyBorder="1" applyAlignment="1">
      <alignment horizontal="center" vertical="top"/>
    </xf>
    <xf numFmtId="164" fontId="9" fillId="0" borderId="31" xfId="1" applyNumberFormat="1" applyFont="1" applyBorder="1" applyAlignment="1">
      <alignment horizontal="center" vertical="top"/>
    </xf>
    <xf numFmtId="164" fontId="9" fillId="0" borderId="33" xfId="1" applyNumberFormat="1" applyFont="1" applyBorder="1" applyAlignment="1">
      <alignment horizontal="center" vertical="top"/>
    </xf>
    <xf numFmtId="164" fontId="4" fillId="0" borderId="33" xfId="1" applyNumberFormat="1" applyBorder="1" applyAlignment="1">
      <alignment horizontal="center" vertical="top"/>
    </xf>
    <xf numFmtId="0" fontId="0" fillId="0" borderId="37" xfId="0" applyBorder="1"/>
    <xf numFmtId="0" fontId="0" fillId="0" borderId="45" xfId="0" applyBorder="1"/>
    <xf numFmtId="0" fontId="31" fillId="0" borderId="9" xfId="1" applyFont="1" applyBorder="1" applyAlignment="1">
      <alignment horizontal="center" vertical="top"/>
    </xf>
    <xf numFmtId="0" fontId="31" fillId="0" borderId="1" xfId="1" applyFont="1" applyBorder="1" applyAlignment="1">
      <alignment horizontal="center" vertical="top"/>
    </xf>
    <xf numFmtId="0" fontId="31" fillId="0" borderId="15" xfId="1" applyFont="1" applyBorder="1" applyAlignment="1">
      <alignment horizontal="center" vertical="top"/>
    </xf>
    <xf numFmtId="0" fontId="31" fillId="0" borderId="17" xfId="1" applyFont="1" applyBorder="1" applyAlignment="1">
      <alignment horizontal="center" vertical="top"/>
    </xf>
    <xf numFmtId="0" fontId="31" fillId="0" borderId="4" xfId="1" applyFont="1" applyBorder="1" applyAlignment="1">
      <alignment horizontal="center" vertical="top"/>
    </xf>
    <xf numFmtId="0" fontId="31" fillId="0" borderId="8" xfId="1" applyFont="1" applyBorder="1" applyAlignment="1">
      <alignment horizontal="center" vertical="top"/>
    </xf>
    <xf numFmtId="164" fontId="17" fillId="0" borderId="9" xfId="1" applyNumberFormat="1" applyFont="1" applyBorder="1" applyAlignment="1">
      <alignment horizontal="center" vertical="top" wrapText="1"/>
    </xf>
    <xf numFmtId="0" fontId="0" fillId="0" borderId="0" xfId="0" applyAlignment="1">
      <alignment horizontal="center"/>
    </xf>
    <xf numFmtId="164" fontId="17" fillId="0" borderId="5" xfId="1" applyNumberFormat="1" applyFont="1" applyBorder="1" applyAlignment="1">
      <alignment horizontal="center" vertical="top" wrapText="1"/>
    </xf>
    <xf numFmtId="0" fontId="4" fillId="0" borderId="37" xfId="1" applyBorder="1" applyAlignment="1">
      <alignment horizontal="center" vertical="center"/>
    </xf>
    <xf numFmtId="0" fontId="4" fillId="0" borderId="0" xfId="1" applyBorder="1" applyAlignment="1">
      <alignment horizontal="center" vertical="center"/>
    </xf>
    <xf numFmtId="0" fontId="4" fillId="3" borderId="0" xfId="1" applyFill="1" applyBorder="1" applyAlignment="1">
      <alignment horizontal="center"/>
    </xf>
    <xf numFmtId="2" fontId="1" fillId="0" borderId="0" xfId="0" applyNumberFormat="1" applyFont="1" applyAlignment="1">
      <alignment horizontal="center"/>
    </xf>
    <xf numFmtId="164" fontId="17" fillId="0" borderId="5" xfId="1" applyNumberFormat="1" applyFont="1" applyFill="1" applyBorder="1" applyAlignment="1">
      <alignment horizontal="center" vertical="top" wrapText="1"/>
    </xf>
    <xf numFmtId="0" fontId="0" fillId="0" borderId="8" xfId="0" applyBorder="1" applyAlignment="1">
      <alignment horizontal="center" vertical="top"/>
    </xf>
    <xf numFmtId="0" fontId="8" fillId="0" borderId="8" xfId="0" applyFont="1" applyBorder="1" applyAlignment="1">
      <alignment horizontal="center" vertical="top" wrapText="1"/>
    </xf>
    <xf numFmtId="0" fontId="8" fillId="0" borderId="17" xfId="0" applyFont="1" applyFill="1" applyBorder="1" applyAlignment="1">
      <alignment horizontal="center" vertical="top" wrapText="1"/>
    </xf>
    <xf numFmtId="165" fontId="8" fillId="0" borderId="17" xfId="0" applyNumberFormat="1" applyFont="1" applyFill="1" applyBorder="1" applyAlignment="1">
      <alignment horizontal="center" vertical="top" wrapText="1"/>
    </xf>
    <xf numFmtId="0" fontId="11" fillId="0" borderId="0" xfId="0" applyFont="1" applyBorder="1"/>
    <xf numFmtId="0" fontId="12" fillId="0" borderId="0" xfId="0" applyFont="1" applyAlignment="1">
      <alignment vertical="top"/>
    </xf>
    <xf numFmtId="0" fontId="0" fillId="0" borderId="4" xfId="0" applyBorder="1" applyAlignment="1">
      <alignment horizontal="center" vertical="top"/>
    </xf>
    <xf numFmtId="0" fontId="8" fillId="0" borderId="4" xfId="0" applyFont="1" applyBorder="1" applyAlignment="1">
      <alignment horizontal="center" vertical="top" wrapText="1"/>
    </xf>
    <xf numFmtId="0" fontId="8" fillId="0" borderId="4" xfId="0" applyFont="1" applyFill="1" applyBorder="1" applyAlignment="1">
      <alignment vertical="top" wrapText="1"/>
    </xf>
    <xf numFmtId="0" fontId="8" fillId="0" borderId="4" xfId="0" applyFont="1" applyFill="1" applyBorder="1" applyAlignment="1">
      <alignment horizontal="center" vertical="top" wrapText="1"/>
    </xf>
    <xf numFmtId="165" fontId="8" fillId="0" borderId="4" xfId="0" applyNumberFormat="1" applyFont="1" applyFill="1" applyBorder="1" applyAlignment="1">
      <alignment horizontal="center" vertical="top" wrapText="1"/>
    </xf>
    <xf numFmtId="0" fontId="11" fillId="0" borderId="4" xfId="0" applyFont="1" applyBorder="1"/>
    <xf numFmtId="0" fontId="12" fillId="0" borderId="0" xfId="0" applyFont="1"/>
    <xf numFmtId="0" fontId="9" fillId="0" borderId="4" xfId="0" applyFont="1" applyFill="1" applyBorder="1" applyAlignment="1">
      <alignment horizontal="center" vertical="top" wrapText="1"/>
    </xf>
    <xf numFmtId="0" fontId="0" fillId="0" borderId="25" xfId="0" applyBorder="1" applyAlignment="1">
      <alignment horizontal="center" vertical="top"/>
    </xf>
    <xf numFmtId="0" fontId="8" fillId="0" borderId="25" xfId="0" applyFont="1" applyBorder="1" applyAlignment="1">
      <alignment horizontal="center" vertical="top" wrapText="1"/>
    </xf>
    <xf numFmtId="0" fontId="9" fillId="0" borderId="25" xfId="0" applyFont="1" applyFill="1" applyBorder="1" applyAlignment="1">
      <alignment horizontal="center" vertical="top" wrapText="1"/>
    </xf>
    <xf numFmtId="0" fontId="8" fillId="0" borderId="25" xfId="0" applyFont="1" applyFill="1" applyBorder="1" applyAlignment="1">
      <alignment horizontal="center" vertical="top" wrapText="1"/>
    </xf>
    <xf numFmtId="165" fontId="8" fillId="0" borderId="25" xfId="0" applyNumberFormat="1" applyFont="1" applyFill="1" applyBorder="1" applyAlignment="1">
      <alignment horizontal="center" vertical="top" wrapText="1"/>
    </xf>
    <xf numFmtId="0" fontId="11" fillId="0" borderId="25" xfId="0" applyFont="1" applyBorder="1"/>
    <xf numFmtId="0" fontId="4" fillId="3" borderId="1" xfId="1" applyFill="1" applyBorder="1" applyAlignment="1">
      <alignment horizontal="center"/>
    </xf>
    <xf numFmtId="0" fontId="4" fillId="3" borderId="3" xfId="1" applyFill="1" applyBorder="1" applyAlignment="1">
      <alignment horizontal="center"/>
    </xf>
    <xf numFmtId="0" fontId="0" fillId="0" borderId="32" xfId="0" applyBorder="1" applyAlignment="1">
      <alignment horizontal="center"/>
    </xf>
    <xf numFmtId="0" fontId="0" fillId="0" borderId="34" xfId="0" applyBorder="1" applyAlignment="1">
      <alignment horizontal="center"/>
    </xf>
    <xf numFmtId="0" fontId="8" fillId="0" borderId="34" xfId="0" applyNumberFormat="1" applyFont="1" applyBorder="1" applyAlignment="1">
      <alignment horizontal="center" vertical="top" wrapText="1"/>
    </xf>
    <xf numFmtId="0" fontId="8" fillId="0" borderId="35" xfId="0" applyNumberFormat="1" applyFont="1" applyBorder="1" applyAlignment="1">
      <alignment horizontal="center" vertical="top" wrapText="1"/>
    </xf>
    <xf numFmtId="0" fontId="5" fillId="2" borderId="0" xfId="1" applyFont="1" applyFill="1" applyBorder="1" applyAlignment="1">
      <alignment horizontal="center"/>
    </xf>
    <xf numFmtId="0" fontId="5" fillId="2" borderId="0" xfId="1" applyFont="1" applyFill="1" applyBorder="1" applyAlignment="1">
      <alignment horizontal="center" vertical="center"/>
    </xf>
    <xf numFmtId="0" fontId="5" fillId="2" borderId="1" xfId="1" applyFont="1" applyFill="1" applyBorder="1" applyAlignment="1">
      <alignment horizontal="center"/>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21" fillId="0" borderId="11" xfId="0" applyFont="1" applyBorder="1" applyAlignment="1">
      <alignment horizontal="center" vertical="top"/>
    </xf>
    <xf numFmtId="0" fontId="21" fillId="0" borderId="12" xfId="0" applyFont="1" applyBorder="1" applyAlignment="1">
      <alignment horizontal="center" vertical="top"/>
    </xf>
    <xf numFmtId="0" fontId="4" fillId="0" borderId="37" xfId="1" applyBorder="1" applyAlignment="1">
      <alignment horizontal="center" vertical="center"/>
    </xf>
    <xf numFmtId="0" fontId="4" fillId="0" borderId="37" xfId="1" applyBorder="1" applyAlignment="1">
      <alignment horizontal="center"/>
    </xf>
    <xf numFmtId="0" fontId="25" fillId="0" borderId="38" xfId="0" applyFont="1" applyBorder="1" applyAlignment="1">
      <alignment horizontal="center" vertical="top" wrapText="1"/>
    </xf>
    <xf numFmtId="0" fontId="25" fillId="0" borderId="39" xfId="0" applyFont="1" applyBorder="1" applyAlignment="1">
      <alignment horizontal="center" vertical="top" wrapText="1"/>
    </xf>
    <xf numFmtId="0" fontId="15" fillId="0" borderId="22" xfId="1" applyFont="1" applyBorder="1" applyAlignment="1">
      <alignment horizontal="center" vertical="top"/>
    </xf>
    <xf numFmtId="0" fontId="15" fillId="0" borderId="1" xfId="1" applyFont="1" applyBorder="1" applyAlignment="1">
      <alignment horizontal="center" vertical="top"/>
    </xf>
    <xf numFmtId="0" fontId="15" fillId="0" borderId="3" xfId="1" applyFont="1" applyBorder="1" applyAlignment="1">
      <alignment horizontal="center" vertical="top"/>
    </xf>
    <xf numFmtId="0" fontId="4" fillId="0" borderId="0" xfId="1" applyBorder="1" applyAlignment="1">
      <alignment horizontal="center" vertical="center"/>
    </xf>
    <xf numFmtId="0" fontId="23" fillId="0" borderId="11" xfId="0" applyFont="1" applyBorder="1" applyAlignment="1">
      <alignment horizontal="center" vertical="top" wrapText="1"/>
    </xf>
    <xf numFmtId="0" fontId="23" fillId="0" borderId="12" xfId="0" applyFont="1" applyBorder="1" applyAlignment="1">
      <alignment horizontal="center" vertical="top" wrapText="1"/>
    </xf>
    <xf numFmtId="0" fontId="17" fillId="0" borderId="5" xfId="1" applyFont="1" applyBorder="1" applyAlignment="1">
      <alignment horizontal="center" vertical="top"/>
    </xf>
    <xf numFmtId="0" fontId="17" fillId="0" borderId="9" xfId="1" applyFont="1" applyBorder="1" applyAlignment="1">
      <alignment horizontal="center" vertical="top"/>
    </xf>
    <xf numFmtId="0" fontId="17" fillId="0" borderId="8" xfId="1" applyFont="1" applyBorder="1" applyAlignment="1">
      <alignment horizontal="center" vertical="top"/>
    </xf>
    <xf numFmtId="0" fontId="17" fillId="0" borderId="5" xfId="1" applyNumberFormat="1" applyFont="1" applyFill="1" applyBorder="1" applyAlignment="1">
      <alignment horizontal="right" vertical="top" wrapText="1"/>
    </xf>
    <xf numFmtId="0" fontId="17" fillId="0" borderId="9" xfId="1" applyNumberFormat="1" applyFont="1" applyFill="1" applyBorder="1" applyAlignment="1">
      <alignment horizontal="right" vertical="top" wrapText="1"/>
    </xf>
    <xf numFmtId="0" fontId="17" fillId="0" borderId="8" xfId="1" applyNumberFormat="1" applyFont="1" applyFill="1" applyBorder="1" applyAlignment="1">
      <alignment horizontal="right" vertical="top" wrapText="1"/>
    </xf>
    <xf numFmtId="0" fontId="17" fillId="0" borderId="5" xfId="1" applyFont="1" applyFill="1" applyBorder="1" applyAlignment="1">
      <alignment horizontal="right" vertical="top" wrapText="1"/>
    </xf>
    <xf numFmtId="0" fontId="17" fillId="0" borderId="9" xfId="1" applyFont="1" applyFill="1" applyBorder="1" applyAlignment="1">
      <alignment horizontal="right" vertical="top" wrapText="1"/>
    </xf>
    <xf numFmtId="0" fontId="17" fillId="0" borderId="8" xfId="1" applyFont="1" applyFill="1" applyBorder="1" applyAlignment="1">
      <alignment horizontal="right" vertical="top" wrapText="1"/>
    </xf>
    <xf numFmtId="165" fontId="17" fillId="0" borderId="5" xfId="1" applyNumberFormat="1" applyFont="1" applyFill="1" applyBorder="1" applyAlignment="1">
      <alignment horizontal="center" vertical="top" wrapText="1"/>
    </xf>
    <xf numFmtId="165" fontId="17" fillId="0" borderId="9" xfId="1" applyNumberFormat="1" applyFont="1" applyFill="1" applyBorder="1" applyAlignment="1">
      <alignment horizontal="center" vertical="top" wrapText="1"/>
    </xf>
    <xf numFmtId="165" fontId="17" fillId="0" borderId="8" xfId="1" applyNumberFormat="1" applyFont="1" applyFill="1" applyBorder="1" applyAlignment="1">
      <alignment horizontal="center" vertical="top" wrapText="1"/>
    </xf>
    <xf numFmtId="0" fontId="15" fillId="0" borderId="9" xfId="1" applyFont="1" applyBorder="1"/>
    <xf numFmtId="0" fontId="15" fillId="0" borderId="8" xfId="1" applyFont="1" applyBorder="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15" fillId="0" borderId="5"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0" fontId="17" fillId="0" borderId="5" xfId="1" applyNumberFormat="1" applyFont="1" applyFill="1" applyBorder="1" applyAlignment="1">
      <alignment horizontal="center" vertical="top" wrapText="1"/>
    </xf>
    <xf numFmtId="0" fontId="17" fillId="0" borderId="9" xfId="1" applyNumberFormat="1" applyFont="1" applyFill="1" applyBorder="1" applyAlignment="1">
      <alignment horizontal="center" vertical="top" wrapText="1"/>
    </xf>
    <xf numFmtId="0" fontId="17" fillId="0" borderId="8" xfId="1" applyNumberFormat="1" applyFont="1" applyFill="1" applyBorder="1" applyAlignment="1">
      <alignment horizontal="center" vertical="top"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166" fontId="17" fillId="0" borderId="5" xfId="1" applyNumberFormat="1" applyFont="1" applyFill="1" applyBorder="1" applyAlignment="1">
      <alignment horizontal="right" vertical="top" wrapText="1"/>
    </xf>
    <xf numFmtId="0" fontId="17" fillId="0" borderId="18" xfId="1" applyNumberFormat="1" applyFont="1" applyBorder="1" applyAlignment="1">
      <alignment vertical="center" wrapText="1"/>
    </xf>
    <xf numFmtId="0" fontId="17" fillId="0" borderId="20" xfId="1" applyNumberFormat="1" applyFont="1" applyBorder="1" applyAlignment="1">
      <alignment vertical="center" wrapText="1"/>
    </xf>
    <xf numFmtId="0" fontId="17" fillId="0" borderId="21" xfId="1" applyNumberFormat="1" applyFont="1" applyBorder="1" applyAlignment="1">
      <alignment vertical="center" wrapText="1"/>
    </xf>
    <xf numFmtId="0" fontId="0" fillId="0" borderId="4" xfId="0" applyBorder="1"/>
  </cellXfs>
  <cellStyles count="6">
    <cellStyle name="Normal" xfId="0" builtinId="0"/>
    <cellStyle name="Normal 2" xfId="1"/>
    <cellStyle name="Normal 20" xfId="2"/>
    <cellStyle name="Normal 28" xfId="3"/>
    <cellStyle name="Normal 30" xfId="4"/>
    <cellStyle name="Normal 31" xfId="5"/>
  </cellStyles>
  <dxfs count="216">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rgb="FF33CC33"/>
        </patternFill>
      </fill>
    </dxf>
    <dxf>
      <fill>
        <patternFill>
          <bgColor rgb="FFFF5050"/>
        </patternFill>
      </fill>
    </dxf>
    <dxf>
      <fill>
        <patternFill>
          <bgColor rgb="FF33CC33"/>
        </patternFill>
      </fill>
    </dxf>
    <dxf>
      <fill>
        <patternFill>
          <bgColor rgb="FFFF5050"/>
        </patternFill>
      </fill>
    </dxf>
    <dxf>
      <fill>
        <patternFill>
          <bgColor rgb="FF33CC33"/>
        </patternFill>
      </fill>
    </dxf>
    <dxf>
      <fill>
        <patternFill>
          <bgColor rgb="FFFF5050"/>
        </patternFill>
      </fill>
    </dxf>
    <dxf>
      <font>
        <color indexed="17"/>
      </font>
      <fill>
        <patternFill>
          <bgColor indexed="11"/>
        </patternFill>
      </fill>
    </dxf>
    <dxf>
      <font>
        <condense val="0"/>
        <extend val="0"/>
        <color indexed="20"/>
      </font>
      <fill>
        <patternFill>
          <bgColor indexed="45"/>
        </patternFill>
      </fill>
    </dxf>
    <dxf>
      <fill>
        <patternFill>
          <bgColor rgb="FF33CC33"/>
        </patternFill>
      </fill>
    </dxf>
    <dxf>
      <fill>
        <patternFill>
          <bgColor rgb="FFFF5050"/>
        </patternFill>
      </fill>
    </dxf>
    <dxf>
      <fill>
        <patternFill>
          <bgColor rgb="FFFF5050"/>
        </patternFill>
      </fill>
    </dxf>
    <dxf>
      <fill>
        <patternFill>
          <bgColor rgb="FF33CC33"/>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FF505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84406</xdr:rowOff>
        </xdr:from>
        <xdr:to>
          <xdr:col>7</xdr:col>
          <xdr:colOff>126609</xdr:colOff>
          <xdr:row>9</xdr:row>
          <xdr:rowOff>14068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40"/>
  <sheetViews>
    <sheetView zoomScale="90" zoomScaleNormal="90" workbookViewId="0">
      <pane ySplit="9" topLeftCell="A221" activePane="bottomLeft" state="frozen"/>
      <selection pane="bottomLeft" activeCell="F225" sqref="F225"/>
    </sheetView>
  </sheetViews>
  <sheetFormatPr defaultColWidth="8.7265625" defaultRowHeight="12.75" x14ac:dyDescent="0.25"/>
  <cols>
    <col min="1" max="1" width="13.6328125" style="10" customWidth="1"/>
    <col min="2" max="2" width="9.6328125" style="10" customWidth="1"/>
    <col min="3" max="3" width="7.08984375" style="10" customWidth="1"/>
    <col min="4" max="4" width="9" style="10" customWidth="1"/>
    <col min="5" max="5" width="7.7265625" style="10" customWidth="1"/>
    <col min="6" max="6" width="6.08984375" style="31" customWidth="1"/>
    <col min="7" max="7" width="10.453125" style="10" customWidth="1"/>
    <col min="8" max="8" width="11.90625" style="30" customWidth="1"/>
    <col min="9" max="9" width="39.08984375" style="10" customWidth="1"/>
    <col min="10" max="10" width="28.453125" style="10" customWidth="1"/>
    <col min="11" max="16384" width="8.7265625" style="10"/>
  </cols>
  <sheetData>
    <row r="1" spans="1:10" s="2" customFormat="1" x14ac:dyDescent="0.25">
      <c r="A1" s="296" t="s">
        <v>11</v>
      </c>
      <c r="B1" s="296"/>
      <c r="C1" s="296"/>
      <c r="D1" s="296"/>
      <c r="E1" s="296"/>
      <c r="F1" s="296"/>
      <c r="G1" s="296"/>
      <c r="H1" s="297"/>
      <c r="I1" s="298"/>
    </row>
    <row r="2" spans="1:10" x14ac:dyDescent="0.25">
      <c r="A2" s="3" t="s">
        <v>12</v>
      </c>
      <c r="B2" s="4"/>
      <c r="C2" s="5"/>
      <c r="D2" s="5"/>
      <c r="E2" s="5"/>
      <c r="F2" s="6"/>
      <c r="G2" s="7"/>
      <c r="H2" s="8"/>
      <c r="I2" s="9" t="s">
        <v>13</v>
      </c>
    </row>
    <row r="3" spans="1:10" x14ac:dyDescent="0.25">
      <c r="A3" s="3" t="s">
        <v>14</v>
      </c>
      <c r="B3" s="11"/>
      <c r="C3" s="7"/>
      <c r="D3" s="7"/>
      <c r="E3" s="7"/>
      <c r="F3" s="12"/>
      <c r="G3" s="299" t="s">
        <v>15</v>
      </c>
      <c r="H3" s="300"/>
      <c r="I3" s="301"/>
    </row>
    <row r="4" spans="1:10" x14ac:dyDescent="0.25">
      <c r="A4" s="3" t="s">
        <v>16</v>
      </c>
      <c r="B4" s="11"/>
      <c r="C4" s="7"/>
      <c r="D4" s="7"/>
      <c r="E4" s="7"/>
      <c r="F4" s="12"/>
      <c r="G4" s="12"/>
      <c r="H4" s="13" t="s">
        <v>17</v>
      </c>
      <c r="I4" s="14"/>
    </row>
    <row r="5" spans="1:10" x14ac:dyDescent="0.25">
      <c r="A5" s="3" t="s">
        <v>18</v>
      </c>
      <c r="B5" s="15"/>
      <c r="C5" s="7"/>
      <c r="D5" s="7"/>
      <c r="E5" s="7"/>
      <c r="F5" s="12"/>
      <c r="G5" s="7"/>
      <c r="H5" s="13"/>
      <c r="I5" s="16"/>
    </row>
    <row r="6" spans="1:10" x14ac:dyDescent="0.25">
      <c r="A6" s="3" t="s">
        <v>19</v>
      </c>
      <c r="B6" s="15"/>
      <c r="C6" s="7"/>
      <c r="D6" s="7"/>
      <c r="E6" s="7"/>
      <c r="F6" s="12"/>
      <c r="G6" s="7"/>
      <c r="H6" s="13"/>
      <c r="I6" s="16"/>
    </row>
    <row r="7" spans="1:10" x14ac:dyDescent="0.25">
      <c r="A7" s="17"/>
      <c r="B7" s="18"/>
      <c r="C7" s="19"/>
      <c r="D7" s="19"/>
      <c r="E7" s="19"/>
      <c r="F7" s="20"/>
      <c r="G7" s="19"/>
      <c r="H7" s="21"/>
      <c r="I7" s="22"/>
    </row>
    <row r="8" spans="1:10" s="134" customFormat="1" ht="13.85" thickBot="1" x14ac:dyDescent="0.35">
      <c r="A8" s="129"/>
      <c r="B8" s="144"/>
      <c r="C8" s="302" t="s">
        <v>21</v>
      </c>
      <c r="D8" s="303"/>
      <c r="E8" s="130"/>
      <c r="F8" s="131"/>
      <c r="G8" s="130"/>
      <c r="H8" s="132"/>
      <c r="I8" s="133"/>
    </row>
    <row r="9" spans="1:10" s="139" customFormat="1" ht="32.950000000000003" customHeight="1" thickBot="1" x14ac:dyDescent="0.4">
      <c r="A9" s="135" t="s">
        <v>255</v>
      </c>
      <c r="B9" s="151" t="s">
        <v>20</v>
      </c>
      <c r="C9" s="136" t="s">
        <v>25</v>
      </c>
      <c r="D9" s="136" t="s">
        <v>26</v>
      </c>
      <c r="E9" s="137" t="s">
        <v>256</v>
      </c>
      <c r="F9" s="136" t="s">
        <v>22</v>
      </c>
      <c r="G9" s="137" t="s">
        <v>23</v>
      </c>
      <c r="H9" s="137" t="s">
        <v>258</v>
      </c>
      <c r="I9" s="137" t="s">
        <v>257</v>
      </c>
      <c r="J9" s="138" t="s">
        <v>24</v>
      </c>
    </row>
    <row r="10" spans="1:10" x14ac:dyDescent="0.25">
      <c r="A10" s="145">
        <v>42737</v>
      </c>
      <c r="B10" s="146" t="s">
        <v>27</v>
      </c>
      <c r="C10" s="147">
        <v>3</v>
      </c>
      <c r="D10" s="147">
        <v>51</v>
      </c>
      <c r="E10" s="147">
        <f t="shared" ref="E10:E73" si="0">IF(D10="","",(D10-C10))</f>
        <v>48</v>
      </c>
      <c r="F10" s="147">
        <v>50</v>
      </c>
      <c r="G10" s="148" t="str">
        <f t="shared" ref="G10:G73" si="1">IF(E10="","",IF(E10&lt;50,"Pass","Fail"))</f>
        <v>Pass</v>
      </c>
      <c r="H10" s="149">
        <v>1159</v>
      </c>
      <c r="I10" s="150" t="s">
        <v>28</v>
      </c>
      <c r="J10" s="146"/>
    </row>
    <row r="11" spans="1:10" x14ac:dyDescent="0.25">
      <c r="A11" s="140">
        <v>42740</v>
      </c>
      <c r="B11" s="28" t="s">
        <v>27</v>
      </c>
      <c r="C11" s="26">
        <v>2</v>
      </c>
      <c r="D11" s="26">
        <v>3</v>
      </c>
      <c r="E11" s="26">
        <f t="shared" si="0"/>
        <v>1</v>
      </c>
      <c r="F11" s="26"/>
      <c r="G11" s="141" t="str">
        <f t="shared" si="1"/>
        <v>Pass</v>
      </c>
      <c r="H11" s="27">
        <v>1335</v>
      </c>
      <c r="I11" s="28" t="s">
        <v>29</v>
      </c>
      <c r="J11" s="28"/>
    </row>
    <row r="12" spans="1:10" x14ac:dyDescent="0.25">
      <c r="A12" s="140">
        <v>42744</v>
      </c>
      <c r="B12" s="28" t="s">
        <v>27</v>
      </c>
      <c r="C12" s="26">
        <v>8</v>
      </c>
      <c r="D12" s="26">
        <v>8</v>
      </c>
      <c r="E12" s="26">
        <f t="shared" si="0"/>
        <v>0</v>
      </c>
      <c r="F12" s="26">
        <v>50</v>
      </c>
      <c r="G12" s="141" t="str">
        <f t="shared" si="1"/>
        <v>Pass</v>
      </c>
      <c r="H12" s="27">
        <v>1159</v>
      </c>
      <c r="I12" s="28" t="s">
        <v>30</v>
      </c>
      <c r="J12" s="28"/>
    </row>
    <row r="13" spans="1:10" x14ac:dyDescent="0.25">
      <c r="A13" s="140">
        <v>42748</v>
      </c>
      <c r="B13" s="28" t="s">
        <v>27</v>
      </c>
      <c r="C13" s="26">
        <v>10</v>
      </c>
      <c r="D13" s="26">
        <v>20</v>
      </c>
      <c r="E13" s="26">
        <f t="shared" si="0"/>
        <v>10</v>
      </c>
      <c r="F13" s="26">
        <v>50</v>
      </c>
      <c r="G13" s="141" t="str">
        <f t="shared" si="1"/>
        <v>Pass</v>
      </c>
      <c r="H13" s="27">
        <v>1159</v>
      </c>
      <c r="I13" s="28" t="s">
        <v>31</v>
      </c>
      <c r="J13" s="28"/>
    </row>
    <row r="14" spans="1:10" x14ac:dyDescent="0.25">
      <c r="A14" s="140">
        <v>42759</v>
      </c>
      <c r="B14" s="28" t="s">
        <v>27</v>
      </c>
      <c r="C14" s="26">
        <v>10</v>
      </c>
      <c r="D14" s="26">
        <v>32</v>
      </c>
      <c r="E14" s="26">
        <f t="shared" si="0"/>
        <v>22</v>
      </c>
      <c r="F14" s="26">
        <v>50</v>
      </c>
      <c r="G14" s="141" t="str">
        <f t="shared" si="1"/>
        <v>Pass</v>
      </c>
      <c r="H14" s="27">
        <v>1400</v>
      </c>
      <c r="I14" s="28" t="s">
        <v>32</v>
      </c>
      <c r="J14" s="28"/>
    </row>
    <row r="15" spans="1:10" x14ac:dyDescent="0.25">
      <c r="A15" s="140">
        <v>42762</v>
      </c>
      <c r="B15" s="28" t="s">
        <v>27</v>
      </c>
      <c r="C15" s="26">
        <v>6</v>
      </c>
      <c r="D15" s="26">
        <v>40</v>
      </c>
      <c r="E15" s="26">
        <f t="shared" si="0"/>
        <v>34</v>
      </c>
      <c r="F15" s="26">
        <v>50</v>
      </c>
      <c r="G15" s="141" t="str">
        <f t="shared" si="1"/>
        <v>Pass</v>
      </c>
      <c r="H15" s="27">
        <v>1400</v>
      </c>
      <c r="I15" s="28" t="s">
        <v>33</v>
      </c>
      <c r="J15" s="28"/>
    </row>
    <row r="16" spans="1:10" x14ac:dyDescent="0.25">
      <c r="A16" s="140">
        <v>42765</v>
      </c>
      <c r="B16" s="28" t="s">
        <v>27</v>
      </c>
      <c r="C16" s="26">
        <v>4</v>
      </c>
      <c r="D16" s="26">
        <v>4</v>
      </c>
      <c r="E16" s="26">
        <f t="shared" si="0"/>
        <v>0</v>
      </c>
      <c r="F16" s="26">
        <v>50</v>
      </c>
      <c r="G16" s="141" t="str">
        <f t="shared" si="1"/>
        <v>Pass</v>
      </c>
      <c r="H16" s="27">
        <v>1400</v>
      </c>
      <c r="I16" s="28" t="s">
        <v>34</v>
      </c>
      <c r="J16" s="28"/>
    </row>
    <row r="17" spans="1:10" x14ac:dyDescent="0.25">
      <c r="A17" s="140">
        <v>42769</v>
      </c>
      <c r="B17" s="28" t="s">
        <v>27</v>
      </c>
      <c r="C17" s="26">
        <v>15</v>
      </c>
      <c r="D17" s="26">
        <v>18</v>
      </c>
      <c r="E17" s="26">
        <f t="shared" si="0"/>
        <v>3</v>
      </c>
      <c r="F17" s="26">
        <v>50</v>
      </c>
      <c r="G17" s="141" t="str">
        <f t="shared" si="1"/>
        <v>Pass</v>
      </c>
      <c r="H17" s="27">
        <v>1159</v>
      </c>
      <c r="I17" s="28" t="s">
        <v>35</v>
      </c>
      <c r="J17" s="28"/>
    </row>
    <row r="18" spans="1:10" x14ac:dyDescent="0.25">
      <c r="A18" s="140">
        <v>42772</v>
      </c>
      <c r="B18" s="28" t="s">
        <v>27</v>
      </c>
      <c r="C18" s="26">
        <v>8</v>
      </c>
      <c r="D18" s="26">
        <v>25</v>
      </c>
      <c r="E18" s="26">
        <f t="shared" si="0"/>
        <v>17</v>
      </c>
      <c r="F18" s="26">
        <v>50</v>
      </c>
      <c r="G18" s="141" t="str">
        <f t="shared" si="1"/>
        <v>Pass</v>
      </c>
      <c r="H18" s="27">
        <v>1400</v>
      </c>
      <c r="I18" s="28" t="s">
        <v>36</v>
      </c>
      <c r="J18" s="28"/>
    </row>
    <row r="19" spans="1:10" x14ac:dyDescent="0.25">
      <c r="A19" s="140">
        <v>42775</v>
      </c>
      <c r="B19" s="28" t="s">
        <v>27</v>
      </c>
      <c r="C19" s="26">
        <v>21</v>
      </c>
      <c r="D19" s="26">
        <v>32</v>
      </c>
      <c r="E19" s="26">
        <f t="shared" si="0"/>
        <v>11</v>
      </c>
      <c r="F19" s="26">
        <v>50</v>
      </c>
      <c r="G19" s="141" t="str">
        <f t="shared" si="1"/>
        <v>Pass</v>
      </c>
      <c r="H19" s="27">
        <v>1428</v>
      </c>
      <c r="I19" s="28" t="s">
        <v>37</v>
      </c>
      <c r="J19" s="28"/>
    </row>
    <row r="20" spans="1:10" x14ac:dyDescent="0.25">
      <c r="A20" s="140">
        <v>42779</v>
      </c>
      <c r="B20" s="28" t="s">
        <v>27</v>
      </c>
      <c r="C20" s="26">
        <v>7</v>
      </c>
      <c r="D20" s="26">
        <v>25</v>
      </c>
      <c r="E20" s="26">
        <f t="shared" si="0"/>
        <v>18</v>
      </c>
      <c r="F20" s="26">
        <v>50</v>
      </c>
      <c r="G20" s="141" t="str">
        <f t="shared" si="1"/>
        <v>Pass</v>
      </c>
      <c r="H20" s="27">
        <v>1400</v>
      </c>
      <c r="I20" s="28" t="s">
        <v>38</v>
      </c>
      <c r="J20" s="28"/>
    </row>
    <row r="21" spans="1:10" x14ac:dyDescent="0.25">
      <c r="A21" s="140">
        <v>42782</v>
      </c>
      <c r="B21" s="28" t="s">
        <v>27</v>
      </c>
      <c r="C21" s="26">
        <v>7</v>
      </c>
      <c r="D21" s="26">
        <v>31</v>
      </c>
      <c r="E21" s="26">
        <f t="shared" si="0"/>
        <v>24</v>
      </c>
      <c r="F21" s="26">
        <v>50</v>
      </c>
      <c r="G21" s="141" t="str">
        <f t="shared" si="1"/>
        <v>Pass</v>
      </c>
      <c r="H21" s="27">
        <v>1400</v>
      </c>
      <c r="I21" s="28" t="s">
        <v>39</v>
      </c>
      <c r="J21" s="28"/>
    </row>
    <row r="22" spans="1:10" x14ac:dyDescent="0.25">
      <c r="A22" s="140">
        <v>42787</v>
      </c>
      <c r="B22" s="28" t="s">
        <v>27</v>
      </c>
      <c r="C22" s="26">
        <v>23</v>
      </c>
      <c r="D22" s="26">
        <v>32</v>
      </c>
      <c r="E22" s="26">
        <f t="shared" si="0"/>
        <v>9</v>
      </c>
      <c r="F22" s="26">
        <v>50</v>
      </c>
      <c r="G22" s="141" t="str">
        <f t="shared" si="1"/>
        <v>Pass</v>
      </c>
      <c r="H22" s="27">
        <v>1400</v>
      </c>
      <c r="I22" s="28" t="s">
        <v>40</v>
      </c>
      <c r="J22" s="28"/>
    </row>
    <row r="23" spans="1:10" x14ac:dyDescent="0.25">
      <c r="A23" s="140">
        <v>42796</v>
      </c>
      <c r="B23" s="28" t="s">
        <v>27</v>
      </c>
      <c r="C23" s="26">
        <v>11</v>
      </c>
      <c r="D23" s="26">
        <v>19</v>
      </c>
      <c r="E23" s="26">
        <f t="shared" si="0"/>
        <v>8</v>
      </c>
      <c r="F23" s="26">
        <v>50</v>
      </c>
      <c r="G23" s="141" t="str">
        <f t="shared" si="1"/>
        <v>Pass</v>
      </c>
      <c r="H23" s="27">
        <v>1428</v>
      </c>
      <c r="I23" s="28" t="s">
        <v>37</v>
      </c>
      <c r="J23" s="28"/>
    </row>
    <row r="24" spans="1:10" x14ac:dyDescent="0.25">
      <c r="A24" s="140">
        <v>42800</v>
      </c>
      <c r="B24" s="28" t="s">
        <v>27</v>
      </c>
      <c r="C24" s="26">
        <v>2</v>
      </c>
      <c r="D24" s="26">
        <v>20</v>
      </c>
      <c r="E24" s="26">
        <f t="shared" si="0"/>
        <v>18</v>
      </c>
      <c r="F24" s="26">
        <v>50</v>
      </c>
      <c r="G24" s="141" t="str">
        <f t="shared" si="1"/>
        <v>Pass</v>
      </c>
      <c r="H24" s="27">
        <v>1400</v>
      </c>
      <c r="I24" s="28" t="s">
        <v>41</v>
      </c>
      <c r="J24" s="28"/>
    </row>
    <row r="25" spans="1:10" x14ac:dyDescent="0.25">
      <c r="A25" s="140">
        <v>42804</v>
      </c>
      <c r="B25" s="28" t="s">
        <v>27</v>
      </c>
      <c r="C25" s="26">
        <v>17</v>
      </c>
      <c r="D25" s="26">
        <v>9</v>
      </c>
      <c r="E25" s="26">
        <f t="shared" si="0"/>
        <v>-8</v>
      </c>
      <c r="F25" s="26">
        <v>50</v>
      </c>
      <c r="G25" s="141" t="str">
        <f t="shared" si="1"/>
        <v>Pass</v>
      </c>
      <c r="H25" s="27">
        <v>1400</v>
      </c>
      <c r="I25" s="28" t="s">
        <v>42</v>
      </c>
      <c r="J25" s="28"/>
    </row>
    <row r="26" spans="1:10" x14ac:dyDescent="0.25">
      <c r="A26" s="140">
        <v>42808</v>
      </c>
      <c r="B26" s="28" t="s">
        <v>27</v>
      </c>
      <c r="C26" s="26">
        <v>12</v>
      </c>
      <c r="D26" s="26">
        <v>15</v>
      </c>
      <c r="E26" s="26">
        <f t="shared" si="0"/>
        <v>3</v>
      </c>
      <c r="F26" s="26">
        <v>50</v>
      </c>
      <c r="G26" s="141" t="str">
        <f t="shared" si="1"/>
        <v>Pass</v>
      </c>
      <c r="H26" s="27">
        <v>1400</v>
      </c>
      <c r="I26" s="28" t="s">
        <v>43</v>
      </c>
      <c r="J26" s="28"/>
    </row>
    <row r="27" spans="1:10" x14ac:dyDescent="0.25">
      <c r="A27" s="140">
        <v>42811</v>
      </c>
      <c r="B27" s="28" t="s">
        <v>27</v>
      </c>
      <c r="C27" s="26">
        <v>10</v>
      </c>
      <c r="D27" s="26">
        <v>5</v>
      </c>
      <c r="E27" s="26">
        <f t="shared" si="0"/>
        <v>-5</v>
      </c>
      <c r="F27" s="26">
        <v>50</v>
      </c>
      <c r="G27" s="141" t="str">
        <f t="shared" si="1"/>
        <v>Pass</v>
      </c>
      <c r="H27" s="27">
        <v>1400</v>
      </c>
      <c r="I27" s="28" t="s">
        <v>44</v>
      </c>
      <c r="J27" s="28"/>
    </row>
    <row r="28" spans="1:10" x14ac:dyDescent="0.25">
      <c r="A28" s="140">
        <v>42814</v>
      </c>
      <c r="B28" s="28" t="s">
        <v>27</v>
      </c>
      <c r="C28" s="26">
        <v>8</v>
      </c>
      <c r="D28" s="26">
        <v>8</v>
      </c>
      <c r="E28" s="26">
        <f t="shared" si="0"/>
        <v>0</v>
      </c>
      <c r="F28" s="26">
        <v>50</v>
      </c>
      <c r="G28" s="141" t="str">
        <f t="shared" si="1"/>
        <v>Pass</v>
      </c>
      <c r="H28" s="27">
        <v>1400</v>
      </c>
      <c r="I28" s="28" t="s">
        <v>45</v>
      </c>
      <c r="J28" s="28"/>
    </row>
    <row r="29" spans="1:10" x14ac:dyDescent="0.25">
      <c r="A29" s="140">
        <v>42817</v>
      </c>
      <c r="B29" s="28" t="s">
        <v>27</v>
      </c>
      <c r="C29" s="26">
        <v>22</v>
      </c>
      <c r="D29" s="26">
        <v>36</v>
      </c>
      <c r="E29" s="26">
        <f t="shared" si="0"/>
        <v>14</v>
      </c>
      <c r="F29" s="26">
        <v>50</v>
      </c>
      <c r="G29" s="141" t="str">
        <f t="shared" si="1"/>
        <v>Pass</v>
      </c>
      <c r="H29" s="27">
        <v>1428</v>
      </c>
      <c r="I29" s="28" t="s">
        <v>37</v>
      </c>
      <c r="J29" s="28"/>
    </row>
    <row r="30" spans="1:10" x14ac:dyDescent="0.25">
      <c r="A30" s="140">
        <v>42823</v>
      </c>
      <c r="B30" s="28" t="s">
        <v>27</v>
      </c>
      <c r="C30" s="26">
        <v>0</v>
      </c>
      <c r="D30" s="26">
        <v>20</v>
      </c>
      <c r="E30" s="26">
        <f t="shared" si="0"/>
        <v>20</v>
      </c>
      <c r="F30" s="26">
        <v>50</v>
      </c>
      <c r="G30" s="141" t="str">
        <f t="shared" si="1"/>
        <v>Pass</v>
      </c>
      <c r="H30" s="27">
        <v>1159</v>
      </c>
      <c r="I30" s="28" t="s">
        <v>46</v>
      </c>
      <c r="J30" s="28"/>
    </row>
    <row r="31" spans="1:10" x14ac:dyDescent="0.25">
      <c r="A31" s="140">
        <v>42832</v>
      </c>
      <c r="B31" s="28" t="s">
        <v>27</v>
      </c>
      <c r="C31" s="26">
        <v>44</v>
      </c>
      <c r="D31" s="26">
        <v>53</v>
      </c>
      <c r="E31" s="26">
        <f t="shared" si="0"/>
        <v>9</v>
      </c>
      <c r="F31" s="26">
        <v>50</v>
      </c>
      <c r="G31" s="141" t="str">
        <f t="shared" si="1"/>
        <v>Pass</v>
      </c>
      <c r="H31" s="27">
        <v>1335</v>
      </c>
      <c r="I31" s="28" t="s">
        <v>46</v>
      </c>
      <c r="J31" s="28"/>
    </row>
    <row r="32" spans="1:10" x14ac:dyDescent="0.25">
      <c r="A32" s="140">
        <v>42835</v>
      </c>
      <c r="B32" s="28" t="s">
        <v>27</v>
      </c>
      <c r="C32" s="26">
        <v>12</v>
      </c>
      <c r="D32" s="26">
        <v>53</v>
      </c>
      <c r="E32" s="26">
        <f t="shared" si="0"/>
        <v>41</v>
      </c>
      <c r="F32" s="26">
        <v>50</v>
      </c>
      <c r="G32" s="141" t="str">
        <f t="shared" si="1"/>
        <v>Pass</v>
      </c>
      <c r="H32" s="27">
        <v>1400</v>
      </c>
      <c r="I32" s="28" t="s">
        <v>37</v>
      </c>
      <c r="J32" s="28"/>
    </row>
    <row r="33" spans="1:10" x14ac:dyDescent="0.25">
      <c r="A33" s="140">
        <v>42838</v>
      </c>
      <c r="B33" s="28" t="s">
        <v>27</v>
      </c>
      <c r="C33" s="26">
        <v>33</v>
      </c>
      <c r="D33" s="26">
        <v>34</v>
      </c>
      <c r="E33" s="26">
        <f t="shared" si="0"/>
        <v>1</v>
      </c>
      <c r="F33" s="26">
        <v>50</v>
      </c>
      <c r="G33" s="141" t="str">
        <f t="shared" si="1"/>
        <v>Pass</v>
      </c>
      <c r="H33" s="27">
        <v>1428</v>
      </c>
      <c r="I33" s="28" t="s">
        <v>37</v>
      </c>
      <c r="J33" s="28"/>
    </row>
    <row r="34" spans="1:10" x14ac:dyDescent="0.25">
      <c r="A34" s="140">
        <v>42843</v>
      </c>
      <c r="B34" s="28" t="s">
        <v>27</v>
      </c>
      <c r="C34" s="26">
        <v>1</v>
      </c>
      <c r="D34" s="26">
        <v>49</v>
      </c>
      <c r="E34" s="26">
        <f t="shared" si="0"/>
        <v>48</v>
      </c>
      <c r="F34" s="26">
        <v>50</v>
      </c>
      <c r="G34" s="141" t="str">
        <f t="shared" si="1"/>
        <v>Pass</v>
      </c>
      <c r="H34" s="27">
        <v>1159</v>
      </c>
      <c r="I34" s="28" t="s">
        <v>37</v>
      </c>
      <c r="J34" s="28"/>
    </row>
    <row r="35" spans="1:10" x14ac:dyDescent="0.25">
      <c r="A35" s="140">
        <v>42846</v>
      </c>
      <c r="B35" s="28" t="s">
        <v>27</v>
      </c>
      <c r="C35" s="26">
        <v>4</v>
      </c>
      <c r="D35" s="26">
        <v>5</v>
      </c>
      <c r="E35" s="26">
        <f t="shared" si="0"/>
        <v>1</v>
      </c>
      <c r="F35" s="26">
        <v>50</v>
      </c>
      <c r="G35" s="141" t="str">
        <f t="shared" si="1"/>
        <v>Pass</v>
      </c>
      <c r="H35" s="27">
        <v>1159</v>
      </c>
      <c r="I35" s="28" t="s">
        <v>47</v>
      </c>
      <c r="J35" s="28"/>
    </row>
    <row r="36" spans="1:10" x14ac:dyDescent="0.25">
      <c r="A36" s="140">
        <v>42850</v>
      </c>
      <c r="B36" s="28" t="s">
        <v>27</v>
      </c>
      <c r="C36" s="26">
        <v>8</v>
      </c>
      <c r="D36" s="26">
        <v>18</v>
      </c>
      <c r="E36" s="26">
        <f t="shared" si="0"/>
        <v>10</v>
      </c>
      <c r="F36" s="26">
        <v>50</v>
      </c>
      <c r="G36" s="141" t="str">
        <f t="shared" si="1"/>
        <v>Pass</v>
      </c>
      <c r="H36" s="27">
        <v>121</v>
      </c>
      <c r="I36" s="28" t="s">
        <v>48</v>
      </c>
      <c r="J36" s="28"/>
    </row>
    <row r="37" spans="1:10" x14ac:dyDescent="0.25">
      <c r="A37" s="140">
        <v>42856</v>
      </c>
      <c r="B37" s="28" t="s">
        <v>27</v>
      </c>
      <c r="C37" s="26">
        <v>10</v>
      </c>
      <c r="D37" s="26">
        <v>36</v>
      </c>
      <c r="E37" s="26">
        <f t="shared" si="0"/>
        <v>26</v>
      </c>
      <c r="F37" s="26">
        <v>50</v>
      </c>
      <c r="G37" s="141" t="str">
        <f t="shared" si="1"/>
        <v>Pass</v>
      </c>
      <c r="H37" s="27">
        <v>1428</v>
      </c>
      <c r="I37" s="28" t="s">
        <v>37</v>
      </c>
      <c r="J37" s="28"/>
    </row>
    <row r="38" spans="1:10" x14ac:dyDescent="0.25">
      <c r="A38" s="140">
        <v>42867</v>
      </c>
      <c r="B38" s="28" t="s">
        <v>27</v>
      </c>
      <c r="C38" s="26">
        <v>6</v>
      </c>
      <c r="D38" s="26">
        <v>21</v>
      </c>
      <c r="E38" s="26">
        <f t="shared" si="0"/>
        <v>15</v>
      </c>
      <c r="F38" s="26">
        <v>50</v>
      </c>
      <c r="G38" s="141" t="str">
        <f t="shared" si="1"/>
        <v>Pass</v>
      </c>
      <c r="H38" s="27">
        <v>121</v>
      </c>
      <c r="I38" s="28" t="s">
        <v>29</v>
      </c>
      <c r="J38" s="28"/>
    </row>
    <row r="39" spans="1:10" x14ac:dyDescent="0.25">
      <c r="A39" s="140">
        <v>42870</v>
      </c>
      <c r="B39" s="28" t="s">
        <v>27</v>
      </c>
      <c r="C39" s="26">
        <v>3</v>
      </c>
      <c r="D39" s="26">
        <v>37</v>
      </c>
      <c r="E39" s="26">
        <f t="shared" si="0"/>
        <v>34</v>
      </c>
      <c r="F39" s="26">
        <v>50</v>
      </c>
      <c r="G39" s="141" t="str">
        <f t="shared" si="1"/>
        <v>Pass</v>
      </c>
      <c r="H39" s="27">
        <v>121</v>
      </c>
      <c r="I39" s="28" t="s">
        <v>49</v>
      </c>
      <c r="J39" s="28"/>
    </row>
    <row r="40" spans="1:10" x14ac:dyDescent="0.25">
      <c r="A40" s="142">
        <v>42874</v>
      </c>
      <c r="B40" s="28" t="s">
        <v>27</v>
      </c>
      <c r="C40" s="26">
        <v>3</v>
      </c>
      <c r="D40" s="26">
        <v>5</v>
      </c>
      <c r="E40" s="26">
        <f t="shared" si="0"/>
        <v>2</v>
      </c>
      <c r="F40" s="26">
        <v>50</v>
      </c>
      <c r="G40" s="141" t="str">
        <f t="shared" si="1"/>
        <v>Pass</v>
      </c>
      <c r="H40" s="27">
        <v>1159</v>
      </c>
      <c r="I40" s="28" t="s">
        <v>50</v>
      </c>
      <c r="J40" s="28"/>
    </row>
    <row r="41" spans="1:10" x14ac:dyDescent="0.25">
      <c r="A41" s="142">
        <v>42877</v>
      </c>
      <c r="B41" s="28" t="s">
        <v>27</v>
      </c>
      <c r="C41" s="26">
        <v>5</v>
      </c>
      <c r="D41" s="26">
        <v>9</v>
      </c>
      <c r="E41" s="26">
        <f t="shared" si="0"/>
        <v>4</v>
      </c>
      <c r="F41" s="26">
        <v>50</v>
      </c>
      <c r="G41" s="141" t="str">
        <f t="shared" si="1"/>
        <v>Pass</v>
      </c>
      <c r="H41" s="27" t="s">
        <v>51</v>
      </c>
      <c r="I41" s="28" t="s">
        <v>52</v>
      </c>
      <c r="J41" s="28"/>
    </row>
    <row r="42" spans="1:10" x14ac:dyDescent="0.25">
      <c r="A42" s="142">
        <v>42881</v>
      </c>
      <c r="B42" s="28" t="s">
        <v>27</v>
      </c>
      <c r="C42" s="26">
        <v>27</v>
      </c>
      <c r="D42" s="26">
        <v>55</v>
      </c>
      <c r="E42" s="26">
        <f t="shared" si="0"/>
        <v>28</v>
      </c>
      <c r="F42" s="26">
        <v>50</v>
      </c>
      <c r="G42" s="141" t="str">
        <f t="shared" si="1"/>
        <v>Pass</v>
      </c>
      <c r="H42" s="27">
        <v>1428</v>
      </c>
      <c r="I42" s="28"/>
      <c r="J42" s="28"/>
    </row>
    <row r="43" spans="1:10" x14ac:dyDescent="0.25">
      <c r="A43" s="142">
        <v>42885</v>
      </c>
      <c r="B43" s="28" t="s">
        <v>27</v>
      </c>
      <c r="C43" s="26">
        <v>3</v>
      </c>
      <c r="D43" s="26">
        <v>10</v>
      </c>
      <c r="E43" s="26">
        <f t="shared" si="0"/>
        <v>7</v>
      </c>
      <c r="F43" s="26">
        <v>50</v>
      </c>
      <c r="G43" s="141" t="str">
        <f t="shared" si="1"/>
        <v>Pass</v>
      </c>
      <c r="H43" s="27">
        <v>1159</v>
      </c>
      <c r="I43" s="28" t="s">
        <v>50</v>
      </c>
      <c r="J43" s="28"/>
    </row>
    <row r="44" spans="1:10" x14ac:dyDescent="0.25">
      <c r="A44" s="142">
        <v>42888</v>
      </c>
      <c r="B44" s="28" t="s">
        <v>27</v>
      </c>
      <c r="C44" s="26">
        <v>10</v>
      </c>
      <c r="D44" s="26">
        <v>19</v>
      </c>
      <c r="E44" s="26">
        <f t="shared" si="0"/>
        <v>9</v>
      </c>
      <c r="F44" s="26">
        <v>50</v>
      </c>
      <c r="G44" s="141" t="str">
        <f t="shared" si="1"/>
        <v>Pass</v>
      </c>
      <c r="H44" s="27" t="s">
        <v>53</v>
      </c>
      <c r="I44" s="28" t="s">
        <v>50</v>
      </c>
      <c r="J44" s="28"/>
    </row>
    <row r="45" spans="1:10" x14ac:dyDescent="0.25">
      <c r="A45" s="142">
        <v>42892</v>
      </c>
      <c r="B45" s="28" t="s">
        <v>27</v>
      </c>
      <c r="C45" s="26">
        <v>5</v>
      </c>
      <c r="D45" s="26">
        <v>26</v>
      </c>
      <c r="E45" s="26">
        <f t="shared" si="0"/>
        <v>21</v>
      </c>
      <c r="F45" s="26"/>
      <c r="G45" s="141" t="str">
        <f t="shared" si="1"/>
        <v>Pass</v>
      </c>
      <c r="H45" s="27">
        <v>121</v>
      </c>
      <c r="I45" s="28" t="s">
        <v>54</v>
      </c>
      <c r="J45" s="28"/>
    </row>
    <row r="46" spans="1:10" x14ac:dyDescent="0.25">
      <c r="A46" s="142">
        <v>42895</v>
      </c>
      <c r="B46" s="28" t="s">
        <v>27</v>
      </c>
      <c r="C46" s="26">
        <v>19</v>
      </c>
      <c r="D46" s="26">
        <v>1991</v>
      </c>
      <c r="E46" s="26">
        <f t="shared" si="0"/>
        <v>1972</v>
      </c>
      <c r="F46" s="26">
        <v>50</v>
      </c>
      <c r="G46" s="141" t="str">
        <f t="shared" si="1"/>
        <v>Fail</v>
      </c>
      <c r="H46" s="28">
        <v>1159</v>
      </c>
      <c r="I46" s="28" t="s">
        <v>55</v>
      </c>
      <c r="J46" s="28"/>
    </row>
    <row r="47" spans="1:10" x14ac:dyDescent="0.25">
      <c r="A47" s="142">
        <v>42895</v>
      </c>
      <c r="B47" s="28" t="s">
        <v>27</v>
      </c>
      <c r="C47" s="26">
        <v>7</v>
      </c>
      <c r="D47" s="26">
        <v>16</v>
      </c>
      <c r="E47" s="26">
        <f t="shared" si="0"/>
        <v>9</v>
      </c>
      <c r="F47" s="26">
        <v>50</v>
      </c>
      <c r="G47" s="141" t="str">
        <f t="shared" si="1"/>
        <v>Pass</v>
      </c>
      <c r="H47" s="27">
        <v>1159</v>
      </c>
      <c r="I47" s="28" t="s">
        <v>56</v>
      </c>
      <c r="J47" s="28"/>
    </row>
    <row r="48" spans="1:10" x14ac:dyDescent="0.25">
      <c r="A48" s="142">
        <v>42898</v>
      </c>
      <c r="B48" s="28" t="s">
        <v>27</v>
      </c>
      <c r="C48" s="26">
        <v>27</v>
      </c>
      <c r="D48" s="26">
        <v>76</v>
      </c>
      <c r="E48" s="26">
        <f t="shared" si="0"/>
        <v>49</v>
      </c>
      <c r="F48" s="26">
        <v>50</v>
      </c>
      <c r="G48" s="141" t="str">
        <f t="shared" si="1"/>
        <v>Pass</v>
      </c>
      <c r="H48" s="29">
        <v>1428</v>
      </c>
      <c r="I48" s="28"/>
      <c r="J48" s="28"/>
    </row>
    <row r="49" spans="1:10" x14ac:dyDescent="0.25">
      <c r="A49" s="142">
        <v>42905</v>
      </c>
      <c r="B49" s="28" t="s">
        <v>27</v>
      </c>
      <c r="C49" s="26">
        <v>7</v>
      </c>
      <c r="D49" s="26">
        <v>5</v>
      </c>
      <c r="E49" s="26">
        <f t="shared" si="0"/>
        <v>-2</v>
      </c>
      <c r="F49" s="26">
        <v>50</v>
      </c>
      <c r="G49" s="141" t="str">
        <f t="shared" si="1"/>
        <v>Pass</v>
      </c>
      <c r="H49" s="29">
        <v>1428</v>
      </c>
      <c r="I49" s="28"/>
      <c r="J49" s="28"/>
    </row>
    <row r="50" spans="1:10" x14ac:dyDescent="0.25">
      <c r="A50" s="140">
        <v>42909</v>
      </c>
      <c r="B50" s="28" t="s">
        <v>27</v>
      </c>
      <c r="C50" s="26">
        <v>7</v>
      </c>
      <c r="D50" s="26">
        <v>240</v>
      </c>
      <c r="E50" s="26">
        <f t="shared" si="0"/>
        <v>233</v>
      </c>
      <c r="F50" s="26">
        <v>50</v>
      </c>
      <c r="G50" s="141" t="str">
        <f t="shared" si="1"/>
        <v>Fail</v>
      </c>
      <c r="H50" s="28">
        <v>1159</v>
      </c>
      <c r="I50" s="28" t="s">
        <v>50</v>
      </c>
      <c r="J50" s="28"/>
    </row>
    <row r="51" spans="1:10" x14ac:dyDescent="0.25">
      <c r="A51" s="140">
        <v>42909</v>
      </c>
      <c r="B51" s="28" t="s">
        <v>27</v>
      </c>
      <c r="C51" s="26">
        <v>14</v>
      </c>
      <c r="D51" s="26">
        <v>732</v>
      </c>
      <c r="E51" s="26">
        <f t="shared" si="0"/>
        <v>718</v>
      </c>
      <c r="F51" s="26">
        <v>50</v>
      </c>
      <c r="G51" s="141" t="str">
        <f t="shared" si="1"/>
        <v>Fail</v>
      </c>
      <c r="H51" s="28">
        <v>1159</v>
      </c>
      <c r="I51" s="28" t="s">
        <v>57</v>
      </c>
      <c r="J51" s="28"/>
    </row>
    <row r="52" spans="1:10" x14ac:dyDescent="0.25">
      <c r="A52" s="140">
        <v>42909</v>
      </c>
      <c r="B52" s="28" t="s">
        <v>27</v>
      </c>
      <c r="C52" s="26">
        <v>3</v>
      </c>
      <c r="D52" s="26">
        <v>196</v>
      </c>
      <c r="E52" s="26">
        <f t="shared" si="0"/>
        <v>193</v>
      </c>
      <c r="F52" s="26">
        <v>50</v>
      </c>
      <c r="G52" s="141" t="str">
        <f t="shared" si="1"/>
        <v>Fail</v>
      </c>
      <c r="H52" s="28">
        <v>1159</v>
      </c>
      <c r="I52" s="28" t="s">
        <v>58</v>
      </c>
      <c r="J52" s="28"/>
    </row>
    <row r="53" spans="1:10" x14ac:dyDescent="0.25">
      <c r="A53" s="140">
        <v>42909</v>
      </c>
      <c r="B53" s="28" t="s">
        <v>27</v>
      </c>
      <c r="C53" s="26">
        <v>3</v>
      </c>
      <c r="D53" s="26">
        <v>84</v>
      </c>
      <c r="E53" s="26">
        <f t="shared" si="0"/>
        <v>81</v>
      </c>
      <c r="F53" s="26">
        <v>50</v>
      </c>
      <c r="G53" s="141" t="str">
        <f t="shared" si="1"/>
        <v>Fail</v>
      </c>
      <c r="H53" s="28">
        <v>1159</v>
      </c>
      <c r="I53" s="28" t="s">
        <v>59</v>
      </c>
      <c r="J53" s="28"/>
    </row>
    <row r="54" spans="1:10" x14ac:dyDescent="0.25">
      <c r="A54" s="140">
        <v>42909</v>
      </c>
      <c r="B54" s="28" t="s">
        <v>27</v>
      </c>
      <c r="C54" s="26">
        <v>1</v>
      </c>
      <c r="D54" s="26">
        <v>76</v>
      </c>
      <c r="E54" s="26">
        <f t="shared" si="0"/>
        <v>75</v>
      </c>
      <c r="F54" s="26">
        <v>50</v>
      </c>
      <c r="G54" s="141" t="str">
        <f t="shared" si="1"/>
        <v>Fail</v>
      </c>
      <c r="H54" s="28">
        <v>102</v>
      </c>
      <c r="I54" s="28"/>
      <c r="J54" s="28"/>
    </row>
    <row r="55" spans="1:10" x14ac:dyDescent="0.25">
      <c r="A55" s="140">
        <v>42909</v>
      </c>
      <c r="B55" s="28" t="s">
        <v>27</v>
      </c>
      <c r="C55" s="26">
        <v>0</v>
      </c>
      <c r="D55" s="26">
        <v>45</v>
      </c>
      <c r="E55" s="26">
        <f t="shared" si="0"/>
        <v>45</v>
      </c>
      <c r="F55" s="26">
        <v>50</v>
      </c>
      <c r="G55" s="141" t="str">
        <f t="shared" si="1"/>
        <v>Pass</v>
      </c>
      <c r="H55" s="27">
        <v>102</v>
      </c>
      <c r="I55" s="28"/>
      <c r="J55" s="28"/>
    </row>
    <row r="56" spans="1:10" x14ac:dyDescent="0.25">
      <c r="A56" s="140">
        <v>42912</v>
      </c>
      <c r="B56" s="28" t="s">
        <v>27</v>
      </c>
      <c r="C56" s="26">
        <v>5</v>
      </c>
      <c r="D56" s="26">
        <v>50</v>
      </c>
      <c r="E56" s="26">
        <f t="shared" si="0"/>
        <v>45</v>
      </c>
      <c r="F56" s="26">
        <v>50</v>
      </c>
      <c r="G56" s="141" t="str">
        <f t="shared" si="1"/>
        <v>Pass</v>
      </c>
      <c r="H56" s="27">
        <v>1159</v>
      </c>
      <c r="I56" s="28" t="s">
        <v>60</v>
      </c>
      <c r="J56" s="28"/>
    </row>
    <row r="57" spans="1:10" x14ac:dyDescent="0.25">
      <c r="A57" s="140">
        <v>42916</v>
      </c>
      <c r="B57" s="28" t="s">
        <v>27</v>
      </c>
      <c r="C57" s="26">
        <v>52</v>
      </c>
      <c r="D57" s="26">
        <v>69</v>
      </c>
      <c r="E57" s="26">
        <f t="shared" si="0"/>
        <v>17</v>
      </c>
      <c r="F57" s="26">
        <v>50</v>
      </c>
      <c r="G57" s="141" t="str">
        <f t="shared" si="1"/>
        <v>Pass</v>
      </c>
      <c r="H57" s="27">
        <v>102</v>
      </c>
      <c r="I57" s="28" t="s">
        <v>61</v>
      </c>
      <c r="J57" s="28"/>
    </row>
    <row r="58" spans="1:10" x14ac:dyDescent="0.25">
      <c r="A58" s="140">
        <v>42920</v>
      </c>
      <c r="B58" s="28" t="s">
        <v>27</v>
      </c>
      <c r="C58" s="26">
        <v>22</v>
      </c>
      <c r="D58" s="26">
        <v>18</v>
      </c>
      <c r="E58" s="26">
        <f t="shared" si="0"/>
        <v>-4</v>
      </c>
      <c r="F58" s="26">
        <v>50</v>
      </c>
      <c r="G58" s="141" t="str">
        <f t="shared" si="1"/>
        <v>Pass</v>
      </c>
      <c r="H58" s="27">
        <v>1335</v>
      </c>
      <c r="I58" s="28"/>
      <c r="J58" s="28"/>
    </row>
    <row r="59" spans="1:10" x14ac:dyDescent="0.25">
      <c r="A59" s="140">
        <v>42923</v>
      </c>
      <c r="B59" s="28" t="s">
        <v>27</v>
      </c>
      <c r="C59" s="26">
        <v>24</v>
      </c>
      <c r="D59" s="26">
        <v>48</v>
      </c>
      <c r="E59" s="26">
        <f t="shared" si="0"/>
        <v>24</v>
      </c>
      <c r="F59" s="26">
        <v>50</v>
      </c>
      <c r="G59" s="141" t="str">
        <f t="shared" si="1"/>
        <v>Pass</v>
      </c>
      <c r="H59" s="27">
        <v>1428</v>
      </c>
      <c r="I59" s="28" t="s">
        <v>62</v>
      </c>
      <c r="J59" s="28"/>
    </row>
    <row r="60" spans="1:10" x14ac:dyDescent="0.25">
      <c r="A60" s="140">
        <v>42926</v>
      </c>
      <c r="B60" s="28" t="s">
        <v>27</v>
      </c>
      <c r="C60" s="26">
        <v>0</v>
      </c>
      <c r="D60" s="26">
        <v>25</v>
      </c>
      <c r="E60" s="26">
        <f t="shared" si="0"/>
        <v>25</v>
      </c>
      <c r="F60" s="26">
        <v>50</v>
      </c>
      <c r="G60" s="141" t="str">
        <f t="shared" si="1"/>
        <v>Pass</v>
      </c>
      <c r="H60" s="27">
        <v>121</v>
      </c>
      <c r="I60" s="28" t="s">
        <v>62</v>
      </c>
      <c r="J60" s="28"/>
    </row>
    <row r="61" spans="1:10" x14ac:dyDescent="0.25">
      <c r="A61" s="140">
        <v>42933</v>
      </c>
      <c r="B61" s="28" t="s">
        <v>27</v>
      </c>
      <c r="C61" s="26">
        <v>1</v>
      </c>
      <c r="D61" s="26">
        <v>761</v>
      </c>
      <c r="E61" s="26">
        <f t="shared" si="0"/>
        <v>760</v>
      </c>
      <c r="F61" s="26">
        <v>50</v>
      </c>
      <c r="G61" s="141" t="str">
        <f t="shared" si="1"/>
        <v>Fail</v>
      </c>
      <c r="H61" s="28">
        <v>1335</v>
      </c>
      <c r="I61" s="28" t="s">
        <v>63</v>
      </c>
      <c r="J61" s="28"/>
    </row>
    <row r="62" spans="1:10" x14ac:dyDescent="0.25">
      <c r="A62" s="140">
        <v>42933</v>
      </c>
      <c r="B62" s="28" t="s">
        <v>27</v>
      </c>
      <c r="C62" s="26">
        <v>5</v>
      </c>
      <c r="D62" s="26">
        <v>155</v>
      </c>
      <c r="E62" s="26">
        <f t="shared" si="0"/>
        <v>150</v>
      </c>
      <c r="F62" s="26">
        <v>50</v>
      </c>
      <c r="G62" s="141" t="str">
        <f t="shared" si="1"/>
        <v>Fail</v>
      </c>
      <c r="H62" s="28">
        <v>1335</v>
      </c>
      <c r="I62" s="28" t="s">
        <v>64</v>
      </c>
      <c r="J62" s="28"/>
    </row>
    <row r="63" spans="1:10" x14ac:dyDescent="0.25">
      <c r="A63" s="140">
        <v>42933</v>
      </c>
      <c r="B63" s="28" t="s">
        <v>27</v>
      </c>
      <c r="C63" s="26">
        <v>14</v>
      </c>
      <c r="D63" s="26">
        <v>477</v>
      </c>
      <c r="E63" s="26">
        <f t="shared" si="0"/>
        <v>463</v>
      </c>
      <c r="F63" s="26">
        <v>50</v>
      </c>
      <c r="G63" s="141" t="str">
        <f t="shared" si="1"/>
        <v>Fail</v>
      </c>
      <c r="H63" s="28">
        <v>1335</v>
      </c>
      <c r="I63" s="28" t="s">
        <v>65</v>
      </c>
      <c r="J63" s="28"/>
    </row>
    <row r="64" spans="1:10" x14ac:dyDescent="0.25">
      <c r="A64" s="140">
        <v>42937</v>
      </c>
      <c r="B64" s="28" t="s">
        <v>27</v>
      </c>
      <c r="C64" s="26">
        <v>5</v>
      </c>
      <c r="D64" s="26">
        <v>21</v>
      </c>
      <c r="E64" s="26">
        <f t="shared" si="0"/>
        <v>16</v>
      </c>
      <c r="F64" s="26">
        <v>50</v>
      </c>
      <c r="G64" s="141" t="str">
        <f t="shared" si="1"/>
        <v>Pass</v>
      </c>
      <c r="H64" s="27">
        <v>1335</v>
      </c>
      <c r="I64" s="28" t="s">
        <v>66</v>
      </c>
      <c r="J64" s="28"/>
    </row>
    <row r="65" spans="1:10" x14ac:dyDescent="0.25">
      <c r="A65" s="140">
        <v>42940</v>
      </c>
      <c r="B65" s="28" t="s">
        <v>27</v>
      </c>
      <c r="C65" s="26">
        <v>6</v>
      </c>
      <c r="D65" s="26">
        <v>66</v>
      </c>
      <c r="E65" s="26">
        <f t="shared" si="0"/>
        <v>60</v>
      </c>
      <c r="F65" s="26">
        <v>50</v>
      </c>
      <c r="G65" s="141" t="str">
        <f t="shared" si="1"/>
        <v>Fail</v>
      </c>
      <c r="H65" s="28">
        <v>1159</v>
      </c>
      <c r="I65" s="28" t="s">
        <v>67</v>
      </c>
      <c r="J65" s="28"/>
    </row>
    <row r="66" spans="1:10" x14ac:dyDescent="0.25">
      <c r="A66" s="140">
        <v>42940</v>
      </c>
      <c r="B66" s="28" t="s">
        <v>27</v>
      </c>
      <c r="C66" s="26">
        <v>12</v>
      </c>
      <c r="D66" s="26">
        <v>22</v>
      </c>
      <c r="E66" s="26">
        <f t="shared" si="0"/>
        <v>10</v>
      </c>
      <c r="F66" s="26">
        <v>50</v>
      </c>
      <c r="G66" s="141" t="str">
        <f t="shared" si="1"/>
        <v>Pass</v>
      </c>
      <c r="H66" s="27">
        <v>1159</v>
      </c>
      <c r="I66" s="28" t="s">
        <v>68</v>
      </c>
      <c r="J66" s="28"/>
    </row>
    <row r="67" spans="1:10" x14ac:dyDescent="0.25">
      <c r="A67" s="140">
        <v>42947</v>
      </c>
      <c r="B67" s="28" t="s">
        <v>27</v>
      </c>
      <c r="C67" s="26">
        <v>7</v>
      </c>
      <c r="D67" s="26">
        <v>42</v>
      </c>
      <c r="E67" s="26">
        <f t="shared" si="0"/>
        <v>35</v>
      </c>
      <c r="F67" s="26">
        <v>50</v>
      </c>
      <c r="G67" s="141" t="str">
        <f t="shared" si="1"/>
        <v>Pass</v>
      </c>
      <c r="H67" s="27">
        <v>1159</v>
      </c>
      <c r="I67" s="28" t="s">
        <v>69</v>
      </c>
      <c r="J67" s="28"/>
    </row>
    <row r="68" spans="1:10" x14ac:dyDescent="0.25">
      <c r="A68" s="140">
        <v>42950</v>
      </c>
      <c r="B68" s="28" t="s">
        <v>27</v>
      </c>
      <c r="C68" s="26">
        <v>9</v>
      </c>
      <c r="D68" s="26">
        <v>9</v>
      </c>
      <c r="E68" s="26">
        <f t="shared" si="0"/>
        <v>0</v>
      </c>
      <c r="F68" s="26">
        <v>50</v>
      </c>
      <c r="G68" s="141" t="str">
        <f t="shared" si="1"/>
        <v>Pass</v>
      </c>
      <c r="H68" s="27">
        <v>1159</v>
      </c>
      <c r="I68" s="28" t="s">
        <v>70</v>
      </c>
      <c r="J68" s="28"/>
    </row>
    <row r="69" spans="1:10" x14ac:dyDescent="0.25">
      <c r="A69" s="140">
        <v>42954</v>
      </c>
      <c r="B69" s="28" t="s">
        <v>27</v>
      </c>
      <c r="C69" s="26">
        <v>18</v>
      </c>
      <c r="D69" s="26">
        <v>11</v>
      </c>
      <c r="E69" s="26">
        <f t="shared" si="0"/>
        <v>-7</v>
      </c>
      <c r="F69" s="26">
        <v>50</v>
      </c>
      <c r="G69" s="141" t="str">
        <f t="shared" si="1"/>
        <v>Pass</v>
      </c>
      <c r="H69" s="27">
        <v>121</v>
      </c>
      <c r="I69" s="28"/>
      <c r="J69" s="28"/>
    </row>
    <row r="70" spans="1:10" x14ac:dyDescent="0.25">
      <c r="A70" s="140">
        <v>42957</v>
      </c>
      <c r="B70" s="28" t="s">
        <v>27</v>
      </c>
      <c r="C70" s="26">
        <v>7</v>
      </c>
      <c r="D70" s="26">
        <v>11</v>
      </c>
      <c r="E70" s="26">
        <f t="shared" si="0"/>
        <v>4</v>
      </c>
      <c r="F70" s="26">
        <v>50</v>
      </c>
      <c r="G70" s="141" t="str">
        <f t="shared" si="1"/>
        <v>Pass</v>
      </c>
      <c r="H70" s="27">
        <v>1428</v>
      </c>
      <c r="I70" s="28" t="s">
        <v>29</v>
      </c>
      <c r="J70" s="28"/>
    </row>
    <row r="71" spans="1:10" x14ac:dyDescent="0.25">
      <c r="A71" s="140">
        <v>42961</v>
      </c>
      <c r="B71" s="28" t="s">
        <v>27</v>
      </c>
      <c r="C71" s="26">
        <v>10</v>
      </c>
      <c r="D71" s="26">
        <v>8</v>
      </c>
      <c r="E71" s="26">
        <f>IF(D71="","",(D71-C71))</f>
        <v>-2</v>
      </c>
      <c r="F71" s="26">
        <v>50</v>
      </c>
      <c r="G71" s="141" t="str">
        <f>IF(E71="","",IF(E71&lt;50,"Pass","Fail"))</f>
        <v>Pass</v>
      </c>
      <c r="H71" s="27">
        <v>1335</v>
      </c>
      <c r="I71" s="28" t="s">
        <v>71</v>
      </c>
      <c r="J71" s="28"/>
    </row>
    <row r="72" spans="1:10" x14ac:dyDescent="0.25">
      <c r="A72" s="140">
        <v>42964</v>
      </c>
      <c r="B72" s="28" t="s">
        <v>27</v>
      </c>
      <c r="C72" s="26">
        <v>11</v>
      </c>
      <c r="D72" s="26">
        <v>12</v>
      </c>
      <c r="E72" s="26">
        <f t="shared" si="0"/>
        <v>1</v>
      </c>
      <c r="F72" s="26">
        <v>50</v>
      </c>
      <c r="G72" s="141" t="str">
        <f t="shared" si="1"/>
        <v>Pass</v>
      </c>
      <c r="H72" s="27">
        <v>1335</v>
      </c>
      <c r="I72" s="28" t="s">
        <v>72</v>
      </c>
      <c r="J72" s="28"/>
    </row>
    <row r="73" spans="1:10" x14ac:dyDescent="0.25">
      <c r="A73" s="140">
        <v>42966</v>
      </c>
      <c r="B73" s="28" t="s">
        <v>27</v>
      </c>
      <c r="C73" s="26">
        <v>30</v>
      </c>
      <c r="D73" s="26">
        <v>25</v>
      </c>
      <c r="E73" s="26">
        <f t="shared" si="0"/>
        <v>-5</v>
      </c>
      <c r="F73" s="26">
        <v>50</v>
      </c>
      <c r="G73" s="141" t="str">
        <f t="shared" si="1"/>
        <v>Pass</v>
      </c>
      <c r="H73" s="27">
        <v>121</v>
      </c>
      <c r="I73" s="28" t="s">
        <v>73</v>
      </c>
      <c r="J73" s="28"/>
    </row>
    <row r="74" spans="1:10" x14ac:dyDescent="0.25">
      <c r="A74" s="140">
        <v>42970</v>
      </c>
      <c r="B74" s="28" t="s">
        <v>27</v>
      </c>
      <c r="C74" s="26">
        <v>13</v>
      </c>
      <c r="D74" s="26">
        <v>9</v>
      </c>
      <c r="E74" s="26">
        <f t="shared" ref="E74:E120" si="2">IF(D74="","",(D74-C74))</f>
        <v>-4</v>
      </c>
      <c r="F74" s="26">
        <v>50</v>
      </c>
      <c r="G74" s="141" t="str">
        <f t="shared" ref="G74:G120" si="3">IF(E74="","",IF(E74&lt;50,"Pass","Fail"))</f>
        <v>Pass</v>
      </c>
      <c r="H74" s="27">
        <v>121</v>
      </c>
      <c r="I74" s="28" t="s">
        <v>74</v>
      </c>
      <c r="J74" s="28"/>
    </row>
    <row r="75" spans="1:10" x14ac:dyDescent="0.25">
      <c r="A75" s="140">
        <v>42974</v>
      </c>
      <c r="B75" s="28" t="s">
        <v>27</v>
      </c>
      <c r="C75" s="26">
        <v>15</v>
      </c>
      <c r="D75" s="26">
        <v>8</v>
      </c>
      <c r="E75" s="26">
        <f t="shared" si="2"/>
        <v>-7</v>
      </c>
      <c r="F75" s="26">
        <v>50</v>
      </c>
      <c r="G75" s="141" t="str">
        <f t="shared" si="3"/>
        <v>Pass</v>
      </c>
      <c r="H75" s="27">
        <v>121</v>
      </c>
      <c r="I75" s="28" t="s">
        <v>75</v>
      </c>
      <c r="J75" s="28"/>
    </row>
    <row r="76" spans="1:10" x14ac:dyDescent="0.25">
      <c r="A76" s="140">
        <v>42978</v>
      </c>
      <c r="B76" s="28" t="s">
        <v>27</v>
      </c>
      <c r="C76" s="26">
        <v>31</v>
      </c>
      <c r="D76" s="26">
        <v>54</v>
      </c>
      <c r="E76" s="26">
        <f t="shared" si="2"/>
        <v>23</v>
      </c>
      <c r="F76" s="26">
        <v>50</v>
      </c>
      <c r="G76" s="141" t="str">
        <f t="shared" si="3"/>
        <v>Pass</v>
      </c>
      <c r="H76" s="27">
        <v>1428</v>
      </c>
      <c r="I76" s="28" t="s">
        <v>29</v>
      </c>
      <c r="J76" s="28"/>
    </row>
    <row r="77" spans="1:10" x14ac:dyDescent="0.25">
      <c r="A77" s="140">
        <v>42983</v>
      </c>
      <c r="B77" s="28" t="s">
        <v>27</v>
      </c>
      <c r="C77" s="26">
        <v>9</v>
      </c>
      <c r="D77" s="26">
        <v>16</v>
      </c>
      <c r="E77" s="26">
        <f t="shared" si="2"/>
        <v>7</v>
      </c>
      <c r="F77" s="26">
        <v>50</v>
      </c>
      <c r="G77" s="141" t="str">
        <f t="shared" si="3"/>
        <v>Pass</v>
      </c>
      <c r="H77" s="27">
        <v>1335</v>
      </c>
      <c r="I77" s="28" t="s">
        <v>29</v>
      </c>
      <c r="J77" s="28"/>
    </row>
    <row r="78" spans="1:10" x14ac:dyDescent="0.25">
      <c r="A78" s="140">
        <v>42992</v>
      </c>
      <c r="B78" s="28" t="s">
        <v>27</v>
      </c>
      <c r="C78" s="26">
        <v>20</v>
      </c>
      <c r="D78" s="26">
        <v>18</v>
      </c>
      <c r="E78" s="26">
        <f t="shared" si="2"/>
        <v>-2</v>
      </c>
      <c r="F78" s="26">
        <v>50</v>
      </c>
      <c r="G78" s="141" t="str">
        <f t="shared" si="3"/>
        <v>Pass</v>
      </c>
      <c r="H78" s="27">
        <v>64</v>
      </c>
      <c r="I78" s="28" t="s">
        <v>29</v>
      </c>
      <c r="J78" s="28"/>
    </row>
    <row r="79" spans="1:10" x14ac:dyDescent="0.25">
      <c r="A79" s="140">
        <v>42995</v>
      </c>
      <c r="B79" s="28" t="s">
        <v>27</v>
      </c>
      <c r="C79" s="26">
        <v>13</v>
      </c>
      <c r="D79" s="26">
        <v>17</v>
      </c>
      <c r="E79" s="26">
        <f t="shared" si="2"/>
        <v>4</v>
      </c>
      <c r="F79" s="26">
        <v>50</v>
      </c>
      <c r="G79" s="141" t="str">
        <f t="shared" si="3"/>
        <v>Pass</v>
      </c>
      <c r="H79" s="27">
        <v>121</v>
      </c>
      <c r="I79" s="28" t="s">
        <v>76</v>
      </c>
      <c r="J79" s="28"/>
    </row>
    <row r="80" spans="1:10" x14ac:dyDescent="0.25">
      <c r="A80" s="140">
        <v>42998</v>
      </c>
      <c r="B80" s="28" t="s">
        <v>27</v>
      </c>
      <c r="C80" s="26">
        <v>17</v>
      </c>
      <c r="D80" s="26">
        <v>12</v>
      </c>
      <c r="E80" s="26">
        <f t="shared" si="2"/>
        <v>-5</v>
      </c>
      <c r="F80" s="26">
        <v>50</v>
      </c>
      <c r="G80" s="141" t="str">
        <f t="shared" si="3"/>
        <v>Pass</v>
      </c>
      <c r="H80" s="27">
        <v>1519</v>
      </c>
      <c r="I80" s="28" t="s">
        <v>29</v>
      </c>
      <c r="J80" s="28"/>
    </row>
    <row r="81" spans="1:10" x14ac:dyDescent="0.25">
      <c r="A81" s="140">
        <v>43003</v>
      </c>
      <c r="B81" s="28" t="s">
        <v>27</v>
      </c>
      <c r="C81" s="26">
        <v>7</v>
      </c>
      <c r="D81" s="26">
        <v>9</v>
      </c>
      <c r="E81" s="26">
        <f t="shared" si="2"/>
        <v>2</v>
      </c>
      <c r="F81" s="26">
        <v>50</v>
      </c>
      <c r="G81" s="141" t="str">
        <f t="shared" si="3"/>
        <v>Pass</v>
      </c>
      <c r="H81" s="27">
        <v>121</v>
      </c>
      <c r="I81" s="28" t="s">
        <v>77</v>
      </c>
      <c r="J81" s="28"/>
    </row>
    <row r="82" spans="1:10" x14ac:dyDescent="0.25">
      <c r="A82" s="140">
        <v>43005</v>
      </c>
      <c r="B82" s="28" t="s">
        <v>27</v>
      </c>
      <c r="C82" s="26">
        <v>18</v>
      </c>
      <c r="D82" s="26">
        <v>15</v>
      </c>
      <c r="E82" s="26">
        <f>IF(D82="","",(D82-C82))</f>
        <v>-3</v>
      </c>
      <c r="F82" s="26">
        <v>50</v>
      </c>
      <c r="G82" s="141" t="str">
        <f>IF(E82="","",IF(E82&lt;50,"Pass","Fail"))</f>
        <v>Pass</v>
      </c>
      <c r="H82" s="27">
        <v>64</v>
      </c>
      <c r="I82" s="28" t="s">
        <v>29</v>
      </c>
      <c r="J82" s="28"/>
    </row>
    <row r="83" spans="1:10" x14ac:dyDescent="0.25">
      <c r="A83" s="140">
        <v>43011</v>
      </c>
      <c r="B83" s="28" t="s">
        <v>27</v>
      </c>
      <c r="C83" s="26">
        <v>9</v>
      </c>
      <c r="D83" s="26">
        <v>9</v>
      </c>
      <c r="E83" s="26">
        <f t="shared" si="2"/>
        <v>0</v>
      </c>
      <c r="F83" s="26">
        <v>50</v>
      </c>
      <c r="G83" s="141" t="str">
        <f t="shared" si="3"/>
        <v>Pass</v>
      </c>
      <c r="H83" s="27">
        <v>1159</v>
      </c>
      <c r="I83" s="28" t="s">
        <v>78</v>
      </c>
      <c r="J83" s="28"/>
    </row>
    <row r="84" spans="1:10" x14ac:dyDescent="0.25">
      <c r="A84" s="140">
        <v>43017</v>
      </c>
      <c r="B84" s="28" t="s">
        <v>27</v>
      </c>
      <c r="C84" s="26">
        <v>15</v>
      </c>
      <c r="D84" s="26">
        <v>5</v>
      </c>
      <c r="E84" s="26">
        <f t="shared" si="2"/>
        <v>-10</v>
      </c>
      <c r="F84" s="26">
        <v>50</v>
      </c>
      <c r="G84" s="141" t="str">
        <f t="shared" si="3"/>
        <v>Pass</v>
      </c>
      <c r="H84" s="27">
        <v>1428</v>
      </c>
      <c r="I84" s="28"/>
      <c r="J84" s="28"/>
    </row>
    <row r="85" spans="1:10" x14ac:dyDescent="0.25">
      <c r="A85" s="140">
        <v>43020</v>
      </c>
      <c r="B85" s="28" t="s">
        <v>27</v>
      </c>
      <c r="C85" s="26">
        <v>8</v>
      </c>
      <c r="D85" s="26">
        <v>19</v>
      </c>
      <c r="E85" s="26">
        <f t="shared" si="2"/>
        <v>11</v>
      </c>
      <c r="F85" s="26">
        <v>50</v>
      </c>
      <c r="G85" s="141" t="str">
        <f t="shared" si="3"/>
        <v>Pass</v>
      </c>
      <c r="H85" s="27">
        <v>1428</v>
      </c>
      <c r="I85" s="28"/>
      <c r="J85" s="28"/>
    </row>
    <row r="86" spans="1:10" x14ac:dyDescent="0.25">
      <c r="A86" s="140">
        <v>43023</v>
      </c>
      <c r="B86" s="28" t="s">
        <v>27</v>
      </c>
      <c r="C86" s="26">
        <v>13</v>
      </c>
      <c r="D86" s="26">
        <v>7</v>
      </c>
      <c r="E86" s="26">
        <f t="shared" si="2"/>
        <v>-6</v>
      </c>
      <c r="F86" s="26">
        <v>50</v>
      </c>
      <c r="G86" s="141" t="str">
        <f t="shared" si="3"/>
        <v>Pass</v>
      </c>
      <c r="H86" s="27">
        <v>121</v>
      </c>
      <c r="I86" s="28" t="s">
        <v>79</v>
      </c>
      <c r="J86" s="28"/>
    </row>
    <row r="87" spans="1:10" x14ac:dyDescent="0.25">
      <c r="A87" s="140">
        <v>43029</v>
      </c>
      <c r="B87" s="28" t="s">
        <v>27</v>
      </c>
      <c r="C87" s="26">
        <v>11</v>
      </c>
      <c r="D87" s="26">
        <v>40</v>
      </c>
      <c r="E87" s="26">
        <f>IF(D87="","",(D87-C87))</f>
        <v>29</v>
      </c>
      <c r="F87" s="26">
        <v>50</v>
      </c>
      <c r="G87" s="141" t="str">
        <f>IF(E87="","",IF(E87&lt;50,"Pass","Fail"))</f>
        <v>Pass</v>
      </c>
      <c r="H87" s="27">
        <v>102</v>
      </c>
      <c r="I87" s="28" t="s">
        <v>80</v>
      </c>
      <c r="J87" s="28"/>
    </row>
    <row r="88" spans="1:10" x14ac:dyDescent="0.25">
      <c r="A88" s="140">
        <v>43032</v>
      </c>
      <c r="B88" s="28" t="s">
        <v>27</v>
      </c>
      <c r="C88" s="26">
        <v>12</v>
      </c>
      <c r="D88" s="26">
        <v>13</v>
      </c>
      <c r="E88" s="26">
        <f t="shared" si="2"/>
        <v>1</v>
      </c>
      <c r="F88" s="26">
        <v>50</v>
      </c>
      <c r="G88" s="141" t="str">
        <f t="shared" si="3"/>
        <v>Pass</v>
      </c>
      <c r="H88" s="27">
        <v>1519</v>
      </c>
      <c r="I88" s="28" t="s">
        <v>81</v>
      </c>
      <c r="J88" s="28"/>
    </row>
    <row r="89" spans="1:10" x14ac:dyDescent="0.25">
      <c r="A89" s="140">
        <v>43035</v>
      </c>
      <c r="B89" s="28" t="s">
        <v>27</v>
      </c>
      <c r="C89" s="26">
        <v>6</v>
      </c>
      <c r="D89" s="26">
        <v>9</v>
      </c>
      <c r="E89" s="26">
        <f t="shared" si="2"/>
        <v>3</v>
      </c>
      <c r="F89" s="26">
        <v>50</v>
      </c>
      <c r="G89" s="141" t="str">
        <f t="shared" si="3"/>
        <v>Pass</v>
      </c>
      <c r="H89" s="27">
        <v>121</v>
      </c>
      <c r="I89" s="28" t="s">
        <v>82</v>
      </c>
      <c r="J89" s="28"/>
    </row>
    <row r="90" spans="1:10" x14ac:dyDescent="0.25">
      <c r="A90" s="140">
        <v>43038</v>
      </c>
      <c r="B90" s="28" t="s">
        <v>27</v>
      </c>
      <c r="C90" s="26">
        <v>8</v>
      </c>
      <c r="D90" s="26">
        <v>7</v>
      </c>
      <c r="E90" s="26">
        <f t="shared" si="2"/>
        <v>-1</v>
      </c>
      <c r="F90" s="26">
        <v>50</v>
      </c>
      <c r="G90" s="141" t="str">
        <f t="shared" si="3"/>
        <v>Pass</v>
      </c>
      <c r="H90" s="27">
        <v>1428</v>
      </c>
      <c r="I90" s="28"/>
      <c r="J90" s="28"/>
    </row>
    <row r="91" spans="1:10" x14ac:dyDescent="0.25">
      <c r="A91" s="140">
        <v>43041</v>
      </c>
      <c r="B91" s="28" t="s">
        <v>27</v>
      </c>
      <c r="C91" s="26">
        <v>7</v>
      </c>
      <c r="D91" s="26">
        <v>13</v>
      </c>
      <c r="E91" s="26">
        <f t="shared" si="2"/>
        <v>6</v>
      </c>
      <c r="F91" s="26">
        <v>50</v>
      </c>
      <c r="G91" s="141" t="str">
        <f t="shared" si="3"/>
        <v>Pass</v>
      </c>
      <c r="H91" s="27">
        <v>1428</v>
      </c>
      <c r="I91" s="28"/>
      <c r="J91" s="28"/>
    </row>
    <row r="92" spans="1:10" x14ac:dyDescent="0.25">
      <c r="A92" s="140">
        <v>43045</v>
      </c>
      <c r="B92" s="28" t="s">
        <v>27</v>
      </c>
      <c r="C92" s="26">
        <v>4</v>
      </c>
      <c r="D92" s="26">
        <v>5</v>
      </c>
      <c r="E92" s="26">
        <f t="shared" si="2"/>
        <v>1</v>
      </c>
      <c r="F92" s="26">
        <v>50</v>
      </c>
      <c r="G92" s="141" t="str">
        <f t="shared" si="3"/>
        <v>Pass</v>
      </c>
      <c r="H92" s="27">
        <v>121</v>
      </c>
      <c r="I92" s="28" t="s">
        <v>83</v>
      </c>
      <c r="J92" s="28"/>
    </row>
    <row r="93" spans="1:10" x14ac:dyDescent="0.25">
      <c r="A93" s="140">
        <v>43052</v>
      </c>
      <c r="B93" s="28" t="s">
        <v>27</v>
      </c>
      <c r="C93" s="26">
        <v>3</v>
      </c>
      <c r="D93" s="26">
        <v>9</v>
      </c>
      <c r="E93" s="26">
        <f t="shared" si="2"/>
        <v>6</v>
      </c>
      <c r="F93" s="26">
        <v>50</v>
      </c>
      <c r="G93" s="141" t="str">
        <f t="shared" si="3"/>
        <v>Pass</v>
      </c>
      <c r="H93" s="27">
        <v>121</v>
      </c>
      <c r="I93" s="28" t="s">
        <v>84</v>
      </c>
      <c r="J93" s="28"/>
    </row>
    <row r="94" spans="1:10" x14ac:dyDescent="0.25">
      <c r="A94" s="140">
        <v>43056</v>
      </c>
      <c r="B94" s="28" t="s">
        <v>27</v>
      </c>
      <c r="C94" s="26">
        <v>7</v>
      </c>
      <c r="D94" s="26">
        <v>9</v>
      </c>
      <c r="E94" s="26">
        <f>IF(D94="","",(D94-C94))</f>
        <v>2</v>
      </c>
      <c r="F94" s="26">
        <v>50</v>
      </c>
      <c r="G94" s="141" t="str">
        <f>IF(E94="","",IF(E94&lt;50,"Pass","Fail"))</f>
        <v>Pass</v>
      </c>
      <c r="H94" s="27">
        <v>1159</v>
      </c>
      <c r="I94" s="28" t="s">
        <v>85</v>
      </c>
      <c r="J94" s="28"/>
    </row>
    <row r="95" spans="1:10" x14ac:dyDescent="0.25">
      <c r="A95" s="140">
        <v>43060</v>
      </c>
      <c r="B95" s="28" t="s">
        <v>27</v>
      </c>
      <c r="C95" s="26">
        <v>16</v>
      </c>
      <c r="D95" s="26">
        <v>11</v>
      </c>
      <c r="E95" s="26">
        <f t="shared" si="2"/>
        <v>-5</v>
      </c>
      <c r="F95" s="26">
        <v>50</v>
      </c>
      <c r="G95" s="141" t="str">
        <f t="shared" si="3"/>
        <v>Pass</v>
      </c>
      <c r="H95" s="27">
        <v>102</v>
      </c>
      <c r="I95" s="28" t="s">
        <v>86</v>
      </c>
      <c r="J95" s="28"/>
    </row>
    <row r="96" spans="1:10" x14ac:dyDescent="0.25">
      <c r="A96" s="140">
        <v>43063</v>
      </c>
      <c r="B96" s="28" t="s">
        <v>27</v>
      </c>
      <c r="C96" s="26">
        <v>18</v>
      </c>
      <c r="D96" s="26">
        <v>13</v>
      </c>
      <c r="E96" s="26">
        <f t="shared" si="2"/>
        <v>-5</v>
      </c>
      <c r="F96" s="26">
        <v>50</v>
      </c>
      <c r="G96" s="141" t="str">
        <f t="shared" si="3"/>
        <v>Pass</v>
      </c>
      <c r="H96" s="27">
        <v>1335</v>
      </c>
      <c r="I96" s="28" t="s">
        <v>87</v>
      </c>
      <c r="J96" s="28"/>
    </row>
    <row r="97" spans="1:10" x14ac:dyDescent="0.25">
      <c r="A97" s="140">
        <v>43067</v>
      </c>
      <c r="B97" s="28" t="s">
        <v>27</v>
      </c>
      <c r="C97" s="26">
        <v>28</v>
      </c>
      <c r="D97" s="26">
        <v>158</v>
      </c>
      <c r="E97" s="26">
        <f t="shared" si="2"/>
        <v>130</v>
      </c>
      <c r="F97" s="26">
        <v>50</v>
      </c>
      <c r="G97" s="141" t="str">
        <f t="shared" si="3"/>
        <v>Fail</v>
      </c>
      <c r="H97" s="28">
        <v>102</v>
      </c>
      <c r="I97" s="28" t="s">
        <v>88</v>
      </c>
      <c r="J97" s="28"/>
    </row>
    <row r="98" spans="1:10" x14ac:dyDescent="0.25">
      <c r="A98" s="140">
        <v>43067</v>
      </c>
      <c r="B98" s="28" t="s">
        <v>27</v>
      </c>
      <c r="C98" s="26">
        <v>42</v>
      </c>
      <c r="D98" s="26">
        <v>181</v>
      </c>
      <c r="E98" s="26">
        <f t="shared" si="2"/>
        <v>139</v>
      </c>
      <c r="F98" s="26">
        <v>50</v>
      </c>
      <c r="G98" s="141" t="str">
        <f t="shared" si="3"/>
        <v>Fail</v>
      </c>
      <c r="H98" s="28">
        <v>102</v>
      </c>
      <c r="I98" s="28" t="s">
        <v>89</v>
      </c>
      <c r="J98" s="28"/>
    </row>
    <row r="99" spans="1:10" x14ac:dyDescent="0.25">
      <c r="A99" s="140">
        <v>43067</v>
      </c>
      <c r="B99" s="28" t="s">
        <v>27</v>
      </c>
      <c r="C99" s="26">
        <v>9</v>
      </c>
      <c r="D99" s="26">
        <v>14</v>
      </c>
      <c r="E99" s="26">
        <f t="shared" si="2"/>
        <v>5</v>
      </c>
      <c r="F99" s="26">
        <v>50</v>
      </c>
      <c r="G99" s="141" t="str">
        <f t="shared" si="3"/>
        <v>Pass</v>
      </c>
      <c r="H99" s="27">
        <v>102</v>
      </c>
      <c r="I99" s="28" t="s">
        <v>90</v>
      </c>
      <c r="J99" s="28"/>
    </row>
    <row r="100" spans="1:10" x14ac:dyDescent="0.25">
      <c r="A100" s="140">
        <v>43070</v>
      </c>
      <c r="B100" s="28" t="s">
        <v>27</v>
      </c>
      <c r="C100" s="26">
        <v>9</v>
      </c>
      <c r="D100" s="26">
        <v>8</v>
      </c>
      <c r="E100" s="26">
        <f t="shared" si="2"/>
        <v>-1</v>
      </c>
      <c r="F100" s="26">
        <v>50</v>
      </c>
      <c r="G100" s="141" t="str">
        <f t="shared" si="3"/>
        <v>Pass</v>
      </c>
      <c r="H100" s="27">
        <v>1159</v>
      </c>
      <c r="I100" s="28" t="s">
        <v>91</v>
      </c>
      <c r="J100" s="28"/>
    </row>
    <row r="101" spans="1:10" x14ac:dyDescent="0.25">
      <c r="A101" s="140">
        <v>43073</v>
      </c>
      <c r="B101" s="28" t="s">
        <v>27</v>
      </c>
      <c r="C101" s="26">
        <v>10</v>
      </c>
      <c r="D101" s="26">
        <v>113</v>
      </c>
      <c r="E101" s="26">
        <f>IF(D101="","",(D101-C101))</f>
        <v>103</v>
      </c>
      <c r="F101" s="26">
        <v>50</v>
      </c>
      <c r="G101" s="141" t="str">
        <f>IF(E101="","",IF(E101&lt;50,"Pass","Fail"))</f>
        <v>Fail</v>
      </c>
      <c r="H101" s="28">
        <v>1428</v>
      </c>
      <c r="I101" s="28" t="s">
        <v>92</v>
      </c>
      <c r="J101" s="28"/>
    </row>
    <row r="102" spans="1:10" x14ac:dyDescent="0.25">
      <c r="A102" s="140">
        <v>43073</v>
      </c>
      <c r="B102" s="28" t="s">
        <v>27</v>
      </c>
      <c r="C102" s="26">
        <v>4</v>
      </c>
      <c r="D102" s="26">
        <v>4</v>
      </c>
      <c r="E102" s="26">
        <f t="shared" si="2"/>
        <v>0</v>
      </c>
      <c r="F102" s="26">
        <v>50</v>
      </c>
      <c r="G102" s="141" t="str">
        <f t="shared" si="3"/>
        <v>Pass</v>
      </c>
      <c r="H102" s="27">
        <v>1428</v>
      </c>
      <c r="I102" s="28" t="s">
        <v>93</v>
      </c>
      <c r="J102" s="28"/>
    </row>
    <row r="103" spans="1:10" x14ac:dyDescent="0.25">
      <c r="A103" s="140">
        <v>43077</v>
      </c>
      <c r="B103" s="28" t="s">
        <v>27</v>
      </c>
      <c r="C103" s="26">
        <v>14</v>
      </c>
      <c r="D103" s="26">
        <v>16</v>
      </c>
      <c r="E103" s="26">
        <f t="shared" si="2"/>
        <v>2</v>
      </c>
      <c r="F103" s="26">
        <v>50</v>
      </c>
      <c r="G103" s="141" t="str">
        <f t="shared" si="3"/>
        <v>Pass</v>
      </c>
      <c r="H103" s="27">
        <v>102</v>
      </c>
      <c r="I103" s="28" t="s">
        <v>94</v>
      </c>
      <c r="J103" s="28"/>
    </row>
    <row r="104" spans="1:10" x14ac:dyDescent="0.25">
      <c r="A104" s="140">
        <v>43081</v>
      </c>
      <c r="B104" s="28" t="s">
        <v>27</v>
      </c>
      <c r="C104" s="26">
        <v>3</v>
      </c>
      <c r="D104" s="26">
        <v>13</v>
      </c>
      <c r="E104" s="26">
        <f t="shared" si="2"/>
        <v>10</v>
      </c>
      <c r="F104" s="26">
        <v>50</v>
      </c>
      <c r="G104" s="141" t="str">
        <f t="shared" si="3"/>
        <v>Pass</v>
      </c>
      <c r="H104" s="27">
        <v>1534</v>
      </c>
      <c r="I104" s="28" t="s">
        <v>95</v>
      </c>
      <c r="J104" s="28"/>
    </row>
    <row r="105" spans="1:10" x14ac:dyDescent="0.25">
      <c r="A105" s="140">
        <v>43084</v>
      </c>
      <c r="B105" s="28" t="s">
        <v>27</v>
      </c>
      <c r="C105" s="26">
        <v>12</v>
      </c>
      <c r="D105" s="26">
        <v>10</v>
      </c>
      <c r="E105" s="26">
        <f t="shared" si="2"/>
        <v>-2</v>
      </c>
      <c r="F105" s="26">
        <v>50</v>
      </c>
      <c r="G105" s="141" t="str">
        <f t="shared" si="3"/>
        <v>Pass</v>
      </c>
      <c r="H105" s="27">
        <v>1335</v>
      </c>
      <c r="I105" s="28" t="s">
        <v>95</v>
      </c>
      <c r="J105" s="28"/>
    </row>
    <row r="106" spans="1:10" x14ac:dyDescent="0.25">
      <c r="A106" s="140">
        <v>43088</v>
      </c>
      <c r="B106" s="28" t="s">
        <v>27</v>
      </c>
      <c r="C106" s="26">
        <v>9</v>
      </c>
      <c r="D106" s="26">
        <v>1780</v>
      </c>
      <c r="E106" s="26">
        <f t="shared" si="2"/>
        <v>1771</v>
      </c>
      <c r="F106" s="26">
        <v>50</v>
      </c>
      <c r="G106" s="141" t="str">
        <f t="shared" si="3"/>
        <v>Fail</v>
      </c>
      <c r="H106" s="28">
        <v>1335</v>
      </c>
      <c r="I106" s="28" t="s">
        <v>96</v>
      </c>
      <c r="J106" s="28"/>
    </row>
    <row r="107" spans="1:10" x14ac:dyDescent="0.25">
      <c r="A107" s="140">
        <v>43088</v>
      </c>
      <c r="B107" s="28" t="s">
        <v>27</v>
      </c>
      <c r="C107" s="26">
        <v>5</v>
      </c>
      <c r="D107" s="26">
        <v>9</v>
      </c>
      <c r="E107" s="26">
        <v>4</v>
      </c>
      <c r="F107" s="26">
        <v>50</v>
      </c>
      <c r="G107" s="141" t="str">
        <f>IF(E107="","",IF(E107&lt;50,"Pass","Fail"))</f>
        <v>Pass</v>
      </c>
      <c r="H107" s="27">
        <v>1335</v>
      </c>
      <c r="I107" s="28" t="s">
        <v>96</v>
      </c>
      <c r="J107" s="28" t="s">
        <v>259</v>
      </c>
    </row>
    <row r="108" spans="1:10" x14ac:dyDescent="0.25">
      <c r="A108" s="140">
        <v>43090</v>
      </c>
      <c r="B108" s="28" t="s">
        <v>27</v>
      </c>
      <c r="C108" s="26">
        <v>6</v>
      </c>
      <c r="D108" s="26">
        <v>11</v>
      </c>
      <c r="E108" s="26">
        <f t="shared" si="2"/>
        <v>5</v>
      </c>
      <c r="F108" s="26">
        <v>50</v>
      </c>
      <c r="G108" s="141" t="str">
        <f t="shared" si="3"/>
        <v>Pass</v>
      </c>
      <c r="H108" s="27">
        <v>1335</v>
      </c>
      <c r="I108" s="28" t="s">
        <v>97</v>
      </c>
      <c r="J108" s="28"/>
    </row>
    <row r="109" spans="1:10" x14ac:dyDescent="0.25">
      <c r="A109" s="140">
        <v>43096</v>
      </c>
      <c r="B109" s="28" t="s">
        <v>27</v>
      </c>
      <c r="C109" s="26">
        <v>21</v>
      </c>
      <c r="D109" s="26">
        <v>13</v>
      </c>
      <c r="E109" s="26">
        <f t="shared" si="2"/>
        <v>-8</v>
      </c>
      <c r="F109" s="26">
        <v>50</v>
      </c>
      <c r="G109" s="141" t="str">
        <f t="shared" si="3"/>
        <v>Pass</v>
      </c>
      <c r="H109" s="27">
        <v>1519</v>
      </c>
      <c r="I109" s="28" t="s">
        <v>95</v>
      </c>
      <c r="J109" s="28"/>
    </row>
    <row r="110" spans="1:10" x14ac:dyDescent="0.25">
      <c r="A110" s="140">
        <v>42736</v>
      </c>
      <c r="B110" s="28" t="s">
        <v>27</v>
      </c>
      <c r="C110" s="26">
        <v>5</v>
      </c>
      <c r="D110" s="26">
        <v>32</v>
      </c>
      <c r="E110" s="26">
        <f>IF(D110="","",(D110-C110))</f>
        <v>27</v>
      </c>
      <c r="F110" s="26">
        <v>50</v>
      </c>
      <c r="G110" s="141" t="str">
        <f>IF(E110="","",IF(E110&lt;50,"Pass","Fail"))</f>
        <v>Pass</v>
      </c>
      <c r="H110" s="27">
        <v>1428</v>
      </c>
      <c r="I110" s="28" t="s">
        <v>95</v>
      </c>
      <c r="J110" s="28"/>
    </row>
    <row r="111" spans="1:10" x14ac:dyDescent="0.25">
      <c r="A111" s="140">
        <v>43105</v>
      </c>
      <c r="B111" s="28" t="s">
        <v>27</v>
      </c>
      <c r="C111" s="26">
        <v>7</v>
      </c>
      <c r="D111" s="26">
        <v>10</v>
      </c>
      <c r="E111" s="26">
        <f t="shared" si="2"/>
        <v>3</v>
      </c>
      <c r="F111" s="26">
        <v>50</v>
      </c>
      <c r="G111" s="141" t="str">
        <f t="shared" si="3"/>
        <v>Pass</v>
      </c>
      <c r="H111" s="27">
        <v>1335</v>
      </c>
      <c r="I111" s="28" t="s">
        <v>98</v>
      </c>
      <c r="J111" s="28"/>
    </row>
    <row r="112" spans="1:10" x14ac:dyDescent="0.25">
      <c r="A112" s="140">
        <v>43109</v>
      </c>
      <c r="B112" s="28" t="s">
        <v>27</v>
      </c>
      <c r="C112" s="26">
        <v>14</v>
      </c>
      <c r="D112" s="26">
        <v>19</v>
      </c>
      <c r="E112" s="26">
        <f t="shared" si="2"/>
        <v>5</v>
      </c>
      <c r="F112" s="26">
        <v>50</v>
      </c>
      <c r="G112" s="141" t="str">
        <f t="shared" si="3"/>
        <v>Pass</v>
      </c>
      <c r="H112" s="27" t="s">
        <v>99</v>
      </c>
      <c r="I112" s="28" t="s">
        <v>100</v>
      </c>
      <c r="J112" s="28"/>
    </row>
    <row r="113" spans="1:10" x14ac:dyDescent="0.25">
      <c r="A113" s="140">
        <v>43112</v>
      </c>
      <c r="B113" s="28" t="s">
        <v>27</v>
      </c>
      <c r="C113" s="26">
        <v>11</v>
      </c>
      <c r="D113" s="26">
        <v>8</v>
      </c>
      <c r="E113" s="26">
        <f t="shared" si="2"/>
        <v>-3</v>
      </c>
      <c r="F113" s="26">
        <v>50</v>
      </c>
      <c r="G113" s="141" t="str">
        <f t="shared" si="3"/>
        <v>Pass</v>
      </c>
      <c r="H113" s="27">
        <v>121</v>
      </c>
      <c r="I113" s="28" t="s">
        <v>101</v>
      </c>
      <c r="J113" s="28"/>
    </row>
    <row r="114" spans="1:10" x14ac:dyDescent="0.25">
      <c r="A114" s="140">
        <v>43117</v>
      </c>
      <c r="B114" s="28" t="s">
        <v>27</v>
      </c>
      <c r="C114" s="26">
        <v>11</v>
      </c>
      <c r="D114" s="26">
        <v>12</v>
      </c>
      <c r="E114" s="26">
        <f t="shared" si="2"/>
        <v>1</v>
      </c>
      <c r="F114" s="26">
        <v>50</v>
      </c>
      <c r="G114" s="141" t="str">
        <f t="shared" si="3"/>
        <v>Pass</v>
      </c>
      <c r="H114" s="27">
        <v>1428</v>
      </c>
      <c r="I114" s="28" t="s">
        <v>95</v>
      </c>
      <c r="J114" s="28"/>
    </row>
    <row r="115" spans="1:10" x14ac:dyDescent="0.25">
      <c r="A115" s="140">
        <v>43122</v>
      </c>
      <c r="B115" s="28" t="s">
        <v>27</v>
      </c>
      <c r="C115" s="26">
        <v>7</v>
      </c>
      <c r="D115" s="26">
        <v>8</v>
      </c>
      <c r="E115" s="26">
        <f t="shared" si="2"/>
        <v>1</v>
      </c>
      <c r="F115" s="26">
        <v>50</v>
      </c>
      <c r="G115" s="141" t="str">
        <f t="shared" si="3"/>
        <v>Pass</v>
      </c>
      <c r="H115" s="27">
        <v>1428</v>
      </c>
      <c r="I115" s="28" t="s">
        <v>95</v>
      </c>
      <c r="J115" s="28"/>
    </row>
    <row r="116" spans="1:10" x14ac:dyDescent="0.25">
      <c r="A116" s="140">
        <v>43125</v>
      </c>
      <c r="B116" s="28" t="s">
        <v>27</v>
      </c>
      <c r="C116" s="26">
        <v>28</v>
      </c>
      <c r="D116" s="26">
        <v>30</v>
      </c>
      <c r="E116" s="26">
        <f t="shared" si="2"/>
        <v>2</v>
      </c>
      <c r="F116" s="26">
        <v>50</v>
      </c>
      <c r="G116" s="141" t="str">
        <f t="shared" si="3"/>
        <v>Pass</v>
      </c>
      <c r="H116" s="27">
        <v>1428</v>
      </c>
      <c r="I116" s="28" t="s">
        <v>95</v>
      </c>
      <c r="J116" s="28"/>
    </row>
    <row r="117" spans="1:10" x14ac:dyDescent="0.25">
      <c r="A117" s="140">
        <v>43125</v>
      </c>
      <c r="B117" s="28" t="s">
        <v>27</v>
      </c>
      <c r="C117" s="26">
        <v>52</v>
      </c>
      <c r="D117" s="26">
        <v>52</v>
      </c>
      <c r="E117" s="26">
        <f t="shared" si="2"/>
        <v>0</v>
      </c>
      <c r="F117" s="26">
        <v>50</v>
      </c>
      <c r="G117" s="141" t="str">
        <f t="shared" si="3"/>
        <v>Pass</v>
      </c>
      <c r="H117" s="27">
        <v>1428</v>
      </c>
      <c r="I117" s="28" t="s">
        <v>95</v>
      </c>
      <c r="J117" s="28"/>
    </row>
    <row r="118" spans="1:10" x14ac:dyDescent="0.25">
      <c r="A118" s="140">
        <v>43128</v>
      </c>
      <c r="B118" s="28" t="s">
        <v>27</v>
      </c>
      <c r="C118" s="26">
        <v>6</v>
      </c>
      <c r="D118" s="26">
        <v>9</v>
      </c>
      <c r="E118" s="26">
        <f t="shared" si="2"/>
        <v>3</v>
      </c>
      <c r="F118" s="26">
        <v>50</v>
      </c>
      <c r="G118" s="141" t="str">
        <f t="shared" si="3"/>
        <v>Pass</v>
      </c>
      <c r="H118" s="27">
        <v>1519</v>
      </c>
      <c r="I118" s="28" t="s">
        <v>95</v>
      </c>
      <c r="J118" s="28"/>
    </row>
    <row r="119" spans="1:10" x14ac:dyDescent="0.25">
      <c r="A119" s="140">
        <v>43131</v>
      </c>
      <c r="B119" s="28" t="s">
        <v>27</v>
      </c>
      <c r="C119" s="26">
        <v>8</v>
      </c>
      <c r="D119" s="26">
        <v>10</v>
      </c>
      <c r="E119" s="26">
        <f t="shared" si="2"/>
        <v>2</v>
      </c>
      <c r="F119" s="26">
        <v>50</v>
      </c>
      <c r="G119" s="141" t="str">
        <f t="shared" si="3"/>
        <v>Pass</v>
      </c>
      <c r="H119" s="27">
        <v>1335</v>
      </c>
      <c r="I119" s="28" t="s">
        <v>102</v>
      </c>
      <c r="J119" s="28"/>
    </row>
    <row r="120" spans="1:10" x14ac:dyDescent="0.25">
      <c r="A120" s="140">
        <v>43134</v>
      </c>
      <c r="B120" s="28" t="s">
        <v>27</v>
      </c>
      <c r="C120" s="26">
        <v>1</v>
      </c>
      <c r="D120" s="26">
        <v>28</v>
      </c>
      <c r="E120" s="26">
        <f t="shared" si="2"/>
        <v>27</v>
      </c>
      <c r="F120" s="26">
        <v>50</v>
      </c>
      <c r="G120" s="141" t="str">
        <f t="shared" si="3"/>
        <v>Pass</v>
      </c>
      <c r="H120" s="27">
        <v>1335</v>
      </c>
      <c r="I120" s="28" t="s">
        <v>95</v>
      </c>
      <c r="J120" s="28"/>
    </row>
    <row r="121" spans="1:10" x14ac:dyDescent="0.25">
      <c r="A121" s="140">
        <v>43137</v>
      </c>
      <c r="B121" s="28" t="s">
        <v>27</v>
      </c>
      <c r="C121" s="26">
        <v>2</v>
      </c>
      <c r="D121" s="26">
        <v>7</v>
      </c>
      <c r="E121" s="26">
        <f>IF(D121="","",(D121-C121))</f>
        <v>5</v>
      </c>
      <c r="F121" s="26">
        <v>50</v>
      </c>
      <c r="G121" s="141" t="str">
        <f>IF(E121="","",IF(E121&lt;50,"Pass","Fail"))</f>
        <v>Pass</v>
      </c>
      <c r="H121" s="27">
        <v>102</v>
      </c>
      <c r="I121" s="28" t="s">
        <v>103</v>
      </c>
      <c r="J121" s="28"/>
    </row>
    <row r="122" spans="1:10" x14ac:dyDescent="0.25">
      <c r="A122" s="140">
        <v>43140</v>
      </c>
      <c r="B122" s="28" t="s">
        <v>27</v>
      </c>
      <c r="C122" s="26">
        <v>6</v>
      </c>
      <c r="D122" s="26">
        <v>7</v>
      </c>
      <c r="E122" s="26">
        <f>IF(D122="","",(D122-C122))</f>
        <v>1</v>
      </c>
      <c r="F122" s="26">
        <v>50</v>
      </c>
      <c r="G122" s="141" t="str">
        <f>IF(E122="","",IF(E122&lt;50,"Pass","Fail"))</f>
        <v>Pass</v>
      </c>
      <c r="H122" s="27" t="s">
        <v>104</v>
      </c>
      <c r="I122" s="28" t="s">
        <v>105</v>
      </c>
      <c r="J122" s="28"/>
    </row>
    <row r="123" spans="1:10" x14ac:dyDescent="0.25">
      <c r="A123" s="140">
        <v>43143</v>
      </c>
      <c r="B123" s="28" t="s">
        <v>27</v>
      </c>
      <c r="C123" s="26">
        <v>7</v>
      </c>
      <c r="D123" s="26">
        <v>4</v>
      </c>
      <c r="E123" s="26">
        <f t="shared" ref="E123:E184" si="4">IF(D123="","",(D123-C123))</f>
        <v>-3</v>
      </c>
      <c r="F123" s="26">
        <v>50</v>
      </c>
      <c r="G123" s="141" t="str">
        <f t="shared" ref="G123:G164" si="5">IF(E123="","",IF(E123&lt;50,"Pass","Fail"))</f>
        <v>Pass</v>
      </c>
      <c r="H123" s="27">
        <v>121</v>
      </c>
      <c r="I123" s="28" t="s">
        <v>29</v>
      </c>
      <c r="J123" s="28"/>
    </row>
    <row r="124" spans="1:10" x14ac:dyDescent="0.25">
      <c r="A124" s="140">
        <v>43146</v>
      </c>
      <c r="B124" s="28" t="s">
        <v>27</v>
      </c>
      <c r="C124" s="26">
        <v>15</v>
      </c>
      <c r="D124" s="26">
        <v>9</v>
      </c>
      <c r="E124" s="26">
        <f>IF(D124="","",(D124-C124))</f>
        <v>-6</v>
      </c>
      <c r="F124" s="26">
        <v>50</v>
      </c>
      <c r="G124" s="141" t="str">
        <f>IF(E124="","",IF(E124&lt;50,"Pass","Fail"))</f>
        <v>Pass</v>
      </c>
      <c r="H124" s="27" t="s">
        <v>104</v>
      </c>
      <c r="I124" s="28" t="s">
        <v>106</v>
      </c>
      <c r="J124" s="28"/>
    </row>
    <row r="125" spans="1:10" x14ac:dyDescent="0.25">
      <c r="A125" s="140">
        <v>43159</v>
      </c>
      <c r="B125" s="28" t="s">
        <v>27</v>
      </c>
      <c r="C125" s="26">
        <v>12</v>
      </c>
      <c r="D125" s="26">
        <v>17</v>
      </c>
      <c r="E125" s="26">
        <f t="shared" si="4"/>
        <v>5</v>
      </c>
      <c r="F125" s="26">
        <v>50</v>
      </c>
      <c r="G125" s="141" t="str">
        <f t="shared" si="5"/>
        <v>Pass</v>
      </c>
      <c r="H125" s="27">
        <v>1428</v>
      </c>
      <c r="I125" s="28" t="s">
        <v>107</v>
      </c>
      <c r="J125" s="28"/>
    </row>
    <row r="126" spans="1:10" x14ac:dyDescent="0.25">
      <c r="A126" s="140">
        <v>43167</v>
      </c>
      <c r="B126" s="28" t="s">
        <v>27</v>
      </c>
      <c r="C126" s="26">
        <v>21</v>
      </c>
      <c r="D126" s="26">
        <v>21</v>
      </c>
      <c r="E126" s="26">
        <f t="shared" si="4"/>
        <v>0</v>
      </c>
      <c r="F126" s="26">
        <v>50</v>
      </c>
      <c r="G126" s="141" t="str">
        <f t="shared" si="5"/>
        <v>Pass</v>
      </c>
      <c r="H126" s="27"/>
      <c r="I126" s="28" t="s">
        <v>108</v>
      </c>
      <c r="J126" s="28"/>
    </row>
    <row r="127" spans="1:10" x14ac:dyDescent="0.25">
      <c r="A127" s="140">
        <v>43187</v>
      </c>
      <c r="B127" s="28" t="s">
        <v>27</v>
      </c>
      <c r="C127" s="26">
        <v>17</v>
      </c>
      <c r="D127" s="26">
        <v>27</v>
      </c>
      <c r="E127" s="26">
        <f t="shared" si="4"/>
        <v>10</v>
      </c>
      <c r="F127" s="26">
        <v>50</v>
      </c>
      <c r="G127" s="141" t="str">
        <f t="shared" si="5"/>
        <v>Pass</v>
      </c>
      <c r="H127" s="27">
        <v>1335</v>
      </c>
      <c r="I127" s="28" t="s">
        <v>109</v>
      </c>
      <c r="J127" s="28"/>
    </row>
    <row r="128" spans="1:10" x14ac:dyDescent="0.25">
      <c r="A128" s="140">
        <v>43192</v>
      </c>
      <c r="B128" s="28" t="s">
        <v>27</v>
      </c>
      <c r="C128" s="26">
        <v>9</v>
      </c>
      <c r="D128" s="26">
        <v>11</v>
      </c>
      <c r="E128" s="26">
        <f t="shared" si="4"/>
        <v>2</v>
      </c>
      <c r="F128" s="26">
        <v>50</v>
      </c>
      <c r="G128" s="141" t="str">
        <f t="shared" si="5"/>
        <v>Pass</v>
      </c>
      <c r="H128" s="27">
        <v>1335</v>
      </c>
      <c r="I128" s="28" t="s">
        <v>110</v>
      </c>
      <c r="J128" s="28"/>
    </row>
    <row r="129" spans="1:10" x14ac:dyDescent="0.25">
      <c r="A129" s="140">
        <v>43199</v>
      </c>
      <c r="B129" s="28" t="s">
        <v>27</v>
      </c>
      <c r="C129" s="26">
        <v>13</v>
      </c>
      <c r="D129" s="26">
        <v>22</v>
      </c>
      <c r="E129" s="26">
        <f t="shared" si="4"/>
        <v>9</v>
      </c>
      <c r="F129" s="26">
        <v>50</v>
      </c>
      <c r="G129" s="141" t="str">
        <f t="shared" si="5"/>
        <v>Pass</v>
      </c>
      <c r="H129" s="27">
        <v>74</v>
      </c>
      <c r="I129" s="28" t="s">
        <v>111</v>
      </c>
      <c r="J129" s="28"/>
    </row>
    <row r="130" spans="1:10" x14ac:dyDescent="0.25">
      <c r="A130" s="140">
        <v>43204</v>
      </c>
      <c r="B130" s="28" t="s">
        <v>27</v>
      </c>
      <c r="C130" s="26">
        <v>15</v>
      </c>
      <c r="D130" s="26">
        <v>150</v>
      </c>
      <c r="E130" s="26">
        <f>IF(D130="","",(D130-C130))</f>
        <v>135</v>
      </c>
      <c r="F130" s="26">
        <v>50</v>
      </c>
      <c r="G130" s="141" t="str">
        <f t="shared" si="5"/>
        <v>Fail</v>
      </c>
      <c r="H130" s="28">
        <v>64</v>
      </c>
      <c r="I130" s="28" t="s">
        <v>29</v>
      </c>
      <c r="J130" s="28"/>
    </row>
    <row r="131" spans="1:10" x14ac:dyDescent="0.25">
      <c r="A131" s="140">
        <v>43204</v>
      </c>
      <c r="B131" s="28" t="s">
        <v>27</v>
      </c>
      <c r="C131" s="26">
        <v>28</v>
      </c>
      <c r="D131" s="26">
        <v>112</v>
      </c>
      <c r="E131" s="26">
        <f>IF(D131="","",(D131-C131))</f>
        <v>84</v>
      </c>
      <c r="F131" s="26">
        <v>50</v>
      </c>
      <c r="G131" s="141" t="str">
        <f>IF(E131="","",IF(E131&lt;50,"Pass","Fail"))</f>
        <v>Fail</v>
      </c>
      <c r="H131" s="28">
        <v>64</v>
      </c>
      <c r="I131" s="28" t="s">
        <v>29</v>
      </c>
      <c r="J131" s="28"/>
    </row>
    <row r="132" spans="1:10" x14ac:dyDescent="0.25">
      <c r="A132" s="140">
        <v>43204</v>
      </c>
      <c r="B132" s="28" t="s">
        <v>27</v>
      </c>
      <c r="C132" s="26">
        <v>32</v>
      </c>
      <c r="D132" s="26">
        <v>29</v>
      </c>
      <c r="E132" s="26">
        <f t="shared" si="4"/>
        <v>-3</v>
      </c>
      <c r="F132" s="26">
        <v>50</v>
      </c>
      <c r="G132" s="141" t="str">
        <f t="shared" si="5"/>
        <v>Pass</v>
      </c>
      <c r="H132" s="27">
        <v>121</v>
      </c>
      <c r="I132" s="28" t="s">
        <v>112</v>
      </c>
      <c r="J132" s="28" t="s">
        <v>113</v>
      </c>
    </row>
    <row r="133" spans="1:10" x14ac:dyDescent="0.25">
      <c r="A133" s="140">
        <v>43208</v>
      </c>
      <c r="B133" s="28" t="s">
        <v>27</v>
      </c>
      <c r="C133" s="26">
        <v>19</v>
      </c>
      <c r="D133" s="26">
        <v>22</v>
      </c>
      <c r="E133" s="26">
        <f>IF(D133="","",(D133-C133))</f>
        <v>3</v>
      </c>
      <c r="F133" s="26">
        <v>50</v>
      </c>
      <c r="G133" s="141" t="str">
        <f>IF(E133="","",IF(E133&lt;50,"Pass","Fail"))</f>
        <v>Pass</v>
      </c>
      <c r="H133" s="27">
        <v>74</v>
      </c>
      <c r="I133" s="28" t="s">
        <v>114</v>
      </c>
      <c r="J133" s="28"/>
    </row>
    <row r="134" spans="1:10" x14ac:dyDescent="0.25">
      <c r="A134" s="140">
        <v>43215</v>
      </c>
      <c r="B134" s="28" t="s">
        <v>27</v>
      </c>
      <c r="C134" s="26">
        <v>27</v>
      </c>
      <c r="D134" s="26">
        <v>70</v>
      </c>
      <c r="E134" s="26">
        <f t="shared" si="4"/>
        <v>43</v>
      </c>
      <c r="F134" s="26">
        <v>50</v>
      </c>
      <c r="G134" s="141" t="str">
        <f t="shared" si="5"/>
        <v>Pass</v>
      </c>
      <c r="H134" s="27">
        <v>74</v>
      </c>
      <c r="I134" s="28" t="s">
        <v>115</v>
      </c>
      <c r="J134" s="28" t="s">
        <v>116</v>
      </c>
    </row>
    <row r="135" spans="1:10" x14ac:dyDescent="0.25">
      <c r="A135" s="140">
        <v>43220</v>
      </c>
      <c r="B135" s="28" t="s">
        <v>27</v>
      </c>
      <c r="C135" s="26">
        <v>14</v>
      </c>
      <c r="D135" s="26">
        <v>19</v>
      </c>
      <c r="E135" s="26">
        <f t="shared" si="4"/>
        <v>5</v>
      </c>
      <c r="F135" s="26">
        <v>50</v>
      </c>
      <c r="G135" s="141" t="str">
        <f t="shared" si="5"/>
        <v>Pass</v>
      </c>
      <c r="H135" s="27">
        <v>1519</v>
      </c>
      <c r="I135" s="28"/>
      <c r="J135" s="28" t="s">
        <v>116</v>
      </c>
    </row>
    <row r="136" spans="1:10" x14ac:dyDescent="0.25">
      <c r="A136" s="140">
        <v>43224</v>
      </c>
      <c r="B136" s="28" t="s">
        <v>27</v>
      </c>
      <c r="C136" s="26">
        <v>25</v>
      </c>
      <c r="D136" s="26">
        <v>68</v>
      </c>
      <c r="E136" s="26">
        <f t="shared" si="4"/>
        <v>43</v>
      </c>
      <c r="F136" s="26">
        <v>50</v>
      </c>
      <c r="G136" s="141" t="str">
        <f t="shared" si="5"/>
        <v>Pass</v>
      </c>
      <c r="H136" s="27">
        <v>1159</v>
      </c>
      <c r="I136" s="28" t="s">
        <v>117</v>
      </c>
      <c r="J136" s="28" t="s">
        <v>116</v>
      </c>
    </row>
    <row r="137" spans="1:10" x14ac:dyDescent="0.25">
      <c r="A137" s="140">
        <v>43224</v>
      </c>
      <c r="B137" s="28" t="s">
        <v>27</v>
      </c>
      <c r="C137" s="26">
        <v>22</v>
      </c>
      <c r="D137" s="26">
        <v>35</v>
      </c>
      <c r="E137" s="26">
        <f t="shared" si="4"/>
        <v>13</v>
      </c>
      <c r="F137" s="26">
        <v>50</v>
      </c>
      <c r="G137" s="141" t="str">
        <f t="shared" si="5"/>
        <v>Pass</v>
      </c>
      <c r="H137" s="27">
        <v>1335</v>
      </c>
      <c r="I137" s="28" t="s">
        <v>118</v>
      </c>
      <c r="J137" s="28"/>
    </row>
    <row r="138" spans="1:10" x14ac:dyDescent="0.25">
      <c r="A138" s="140">
        <v>43230</v>
      </c>
      <c r="B138" s="28" t="s">
        <v>27</v>
      </c>
      <c r="C138" s="26">
        <v>29</v>
      </c>
      <c r="D138" s="26">
        <v>45</v>
      </c>
      <c r="E138" s="26">
        <f t="shared" si="4"/>
        <v>16</v>
      </c>
      <c r="F138" s="26">
        <v>50</v>
      </c>
      <c r="G138" s="141" t="str">
        <f t="shared" si="5"/>
        <v>Pass</v>
      </c>
      <c r="H138" s="27">
        <v>1335</v>
      </c>
      <c r="I138" s="28" t="s">
        <v>119</v>
      </c>
      <c r="J138" s="28"/>
    </row>
    <row r="139" spans="1:10" x14ac:dyDescent="0.25">
      <c r="A139" s="140">
        <v>43234</v>
      </c>
      <c r="B139" s="28" t="s">
        <v>27</v>
      </c>
      <c r="C139" s="26">
        <v>24</v>
      </c>
      <c r="D139" s="26">
        <v>29</v>
      </c>
      <c r="E139" s="26">
        <f t="shared" si="4"/>
        <v>5</v>
      </c>
      <c r="F139" s="26">
        <v>50</v>
      </c>
      <c r="G139" s="141" t="str">
        <f t="shared" si="5"/>
        <v>Pass</v>
      </c>
      <c r="H139" s="27">
        <v>1335</v>
      </c>
      <c r="I139" s="28" t="s">
        <v>120</v>
      </c>
      <c r="J139" s="28"/>
    </row>
    <row r="140" spans="1:10" x14ac:dyDescent="0.25">
      <c r="A140" s="140">
        <v>43237</v>
      </c>
      <c r="B140" s="28" t="s">
        <v>27</v>
      </c>
      <c r="C140" s="26">
        <v>25</v>
      </c>
      <c r="D140" s="26">
        <v>39</v>
      </c>
      <c r="E140" s="26">
        <f t="shared" si="4"/>
        <v>14</v>
      </c>
      <c r="F140" s="26">
        <v>50</v>
      </c>
      <c r="G140" s="141" t="str">
        <f t="shared" si="5"/>
        <v>Pass</v>
      </c>
      <c r="H140" s="27">
        <v>121</v>
      </c>
      <c r="I140" s="28" t="s">
        <v>121</v>
      </c>
      <c r="J140" s="28" t="s">
        <v>116</v>
      </c>
    </row>
    <row r="141" spans="1:10" x14ac:dyDescent="0.25">
      <c r="A141" s="140">
        <v>43241</v>
      </c>
      <c r="B141" s="28" t="s">
        <v>27</v>
      </c>
      <c r="C141" s="26">
        <v>50</v>
      </c>
      <c r="D141" s="26">
        <v>38</v>
      </c>
      <c r="E141" s="26">
        <f>IF(D141="","",(D141-C141))</f>
        <v>-12</v>
      </c>
      <c r="F141" s="26">
        <v>50</v>
      </c>
      <c r="G141" s="141" t="str">
        <f>IF(E141="","",IF(E141&lt;50,"Pass","Fail"))</f>
        <v>Pass</v>
      </c>
      <c r="H141" s="27">
        <v>102</v>
      </c>
      <c r="I141" s="28" t="s">
        <v>122</v>
      </c>
      <c r="J141" s="28" t="s">
        <v>116</v>
      </c>
    </row>
    <row r="142" spans="1:10" x14ac:dyDescent="0.25">
      <c r="A142" s="140">
        <v>43244</v>
      </c>
      <c r="B142" s="28" t="s">
        <v>27</v>
      </c>
      <c r="C142" s="26">
        <v>32</v>
      </c>
      <c r="D142" s="26">
        <v>99</v>
      </c>
      <c r="E142" s="26">
        <f>IF(D142="","",(D142-C142))</f>
        <v>67</v>
      </c>
      <c r="F142" s="26">
        <v>50</v>
      </c>
      <c r="G142" s="141" t="str">
        <f>IF(E142="","",IF(E142&lt;50,"Pass","Fail"))</f>
        <v>Fail</v>
      </c>
      <c r="H142" s="28">
        <v>1159</v>
      </c>
      <c r="I142" s="28" t="s">
        <v>123</v>
      </c>
      <c r="J142" s="28" t="s">
        <v>116</v>
      </c>
    </row>
    <row r="143" spans="1:10" x14ac:dyDescent="0.25">
      <c r="A143" s="140">
        <v>43244</v>
      </c>
      <c r="B143" s="28" t="s">
        <v>27</v>
      </c>
      <c r="C143" s="26">
        <v>18</v>
      </c>
      <c r="D143" s="26">
        <v>32</v>
      </c>
      <c r="E143" s="26">
        <f t="shared" si="4"/>
        <v>14</v>
      </c>
      <c r="F143" s="26">
        <v>50</v>
      </c>
      <c r="G143" s="141" t="str">
        <f t="shared" si="5"/>
        <v>Pass</v>
      </c>
      <c r="H143" s="27">
        <v>1340</v>
      </c>
      <c r="I143" s="28" t="s">
        <v>124</v>
      </c>
      <c r="J143" s="28"/>
    </row>
    <row r="144" spans="1:10" x14ac:dyDescent="0.25">
      <c r="A144" s="140">
        <v>43248</v>
      </c>
      <c r="B144" s="28" t="s">
        <v>27</v>
      </c>
      <c r="C144" s="26">
        <v>10</v>
      </c>
      <c r="D144" s="26">
        <v>21</v>
      </c>
      <c r="E144" s="26">
        <f t="shared" si="4"/>
        <v>11</v>
      </c>
      <c r="F144" s="26">
        <v>50</v>
      </c>
      <c r="G144" s="141" t="str">
        <f t="shared" si="5"/>
        <v>Pass</v>
      </c>
      <c r="H144" s="27">
        <v>1428</v>
      </c>
      <c r="I144" s="28" t="s">
        <v>37</v>
      </c>
      <c r="J144" s="28"/>
    </row>
    <row r="145" spans="1:10" x14ac:dyDescent="0.25">
      <c r="A145" s="140">
        <v>43252</v>
      </c>
      <c r="B145" s="28" t="s">
        <v>27</v>
      </c>
      <c r="C145" s="26">
        <v>3</v>
      </c>
      <c r="D145" s="26">
        <v>84</v>
      </c>
      <c r="E145" s="26">
        <f t="shared" si="4"/>
        <v>81</v>
      </c>
      <c r="F145" s="26">
        <v>50</v>
      </c>
      <c r="G145" s="141" t="str">
        <f t="shared" si="5"/>
        <v>Fail</v>
      </c>
      <c r="H145" s="28">
        <v>1428</v>
      </c>
      <c r="I145" s="28" t="s">
        <v>37</v>
      </c>
      <c r="J145" s="28"/>
    </row>
    <row r="146" spans="1:10" x14ac:dyDescent="0.25">
      <c r="A146" s="140">
        <v>43252</v>
      </c>
      <c r="B146" s="28" t="s">
        <v>27</v>
      </c>
      <c r="C146" s="26">
        <v>9</v>
      </c>
      <c r="D146" s="26">
        <v>115</v>
      </c>
      <c r="E146" s="26">
        <f t="shared" si="4"/>
        <v>106</v>
      </c>
      <c r="F146" s="26">
        <v>50</v>
      </c>
      <c r="G146" s="141" t="str">
        <f t="shared" si="5"/>
        <v>Fail</v>
      </c>
      <c r="H146" s="28">
        <v>1428</v>
      </c>
      <c r="I146" s="28" t="s">
        <v>37</v>
      </c>
      <c r="J146" s="28"/>
    </row>
    <row r="147" spans="1:10" x14ac:dyDescent="0.25">
      <c r="A147" s="140">
        <v>43252</v>
      </c>
      <c r="B147" s="28" t="s">
        <v>27</v>
      </c>
      <c r="C147" s="26">
        <v>4</v>
      </c>
      <c r="D147" s="26">
        <v>18</v>
      </c>
      <c r="E147" s="26">
        <f t="shared" si="4"/>
        <v>14</v>
      </c>
      <c r="F147" s="26">
        <v>50</v>
      </c>
      <c r="G147" s="141" t="str">
        <f t="shared" si="5"/>
        <v>Pass</v>
      </c>
      <c r="H147" s="27">
        <v>1428</v>
      </c>
      <c r="I147" s="28" t="s">
        <v>83</v>
      </c>
      <c r="J147" s="28"/>
    </row>
    <row r="148" spans="1:10" x14ac:dyDescent="0.25">
      <c r="A148" s="140">
        <v>43256</v>
      </c>
      <c r="B148" s="28" t="s">
        <v>27</v>
      </c>
      <c r="C148" s="26">
        <v>11</v>
      </c>
      <c r="D148" s="26">
        <v>18</v>
      </c>
      <c r="E148" s="26">
        <f>IF(D148="","",(D148-C148))</f>
        <v>7</v>
      </c>
      <c r="F148" s="26">
        <v>50</v>
      </c>
      <c r="G148" s="141" t="str">
        <f>IF(E148="","",IF(E148&lt;50,"Pass","Fail"))</f>
        <v>Pass</v>
      </c>
      <c r="H148" s="27">
        <v>1335</v>
      </c>
      <c r="I148" s="28" t="s">
        <v>125</v>
      </c>
      <c r="J148" s="28"/>
    </row>
    <row r="149" spans="1:10" x14ac:dyDescent="0.25">
      <c r="A149" s="140">
        <v>43259</v>
      </c>
      <c r="B149" s="28" t="s">
        <v>27</v>
      </c>
      <c r="C149" s="26">
        <v>7</v>
      </c>
      <c r="D149" s="26">
        <v>12</v>
      </c>
      <c r="E149" s="26">
        <f t="shared" si="4"/>
        <v>5</v>
      </c>
      <c r="F149" s="26">
        <v>50</v>
      </c>
      <c r="G149" s="141" t="str">
        <f t="shared" si="5"/>
        <v>Pass</v>
      </c>
      <c r="H149" s="27">
        <v>1335</v>
      </c>
      <c r="I149" s="28" t="s">
        <v>126</v>
      </c>
      <c r="J149" s="28"/>
    </row>
    <row r="150" spans="1:10" x14ac:dyDescent="0.25">
      <c r="A150" s="140">
        <v>43262</v>
      </c>
      <c r="B150" s="28" t="s">
        <v>27</v>
      </c>
      <c r="C150" s="26">
        <v>7</v>
      </c>
      <c r="D150" s="26">
        <v>9</v>
      </c>
      <c r="E150" s="26">
        <f t="shared" si="4"/>
        <v>2</v>
      </c>
      <c r="F150" s="26">
        <v>50</v>
      </c>
      <c r="G150" s="141" t="str">
        <f t="shared" si="5"/>
        <v>Pass</v>
      </c>
      <c r="H150" s="27">
        <v>1159</v>
      </c>
      <c r="I150" s="28" t="s">
        <v>127</v>
      </c>
      <c r="J150" s="28"/>
    </row>
    <row r="151" spans="1:10" x14ac:dyDescent="0.25">
      <c r="A151" s="140">
        <v>43266</v>
      </c>
      <c r="B151" s="28" t="s">
        <v>27</v>
      </c>
      <c r="C151" s="26">
        <v>20</v>
      </c>
      <c r="D151" s="26">
        <v>18</v>
      </c>
      <c r="E151" s="26">
        <f t="shared" si="4"/>
        <v>-2</v>
      </c>
      <c r="F151" s="26">
        <v>50</v>
      </c>
      <c r="G151" s="141" t="str">
        <f t="shared" si="5"/>
        <v>Pass</v>
      </c>
      <c r="H151" s="27">
        <v>121</v>
      </c>
      <c r="I151" s="28" t="s">
        <v>128</v>
      </c>
      <c r="J151" s="28"/>
    </row>
    <row r="152" spans="1:10" x14ac:dyDescent="0.25">
      <c r="A152" s="140">
        <v>43270</v>
      </c>
      <c r="B152" s="28" t="s">
        <v>27</v>
      </c>
      <c r="C152" s="26">
        <v>25</v>
      </c>
      <c r="D152" s="26">
        <v>28</v>
      </c>
      <c r="E152" s="26">
        <f>IF(D152="","",(D152-C152))</f>
        <v>3</v>
      </c>
      <c r="F152" s="26">
        <v>50</v>
      </c>
      <c r="G152" s="141" t="str">
        <f>IF(E152="","",IF(E152&lt;50,"Pass","Fail"))</f>
        <v>Pass</v>
      </c>
      <c r="H152" s="27">
        <v>1159</v>
      </c>
      <c r="I152" s="28" t="s">
        <v>129</v>
      </c>
      <c r="J152" s="28"/>
    </row>
    <row r="153" spans="1:10" x14ac:dyDescent="0.25">
      <c r="A153" s="140">
        <v>43276</v>
      </c>
      <c r="B153" s="28" t="s">
        <v>27</v>
      </c>
      <c r="C153" s="26">
        <v>12</v>
      </c>
      <c r="D153" s="26">
        <v>19</v>
      </c>
      <c r="E153" s="26">
        <f>IF(D153="","",(D153-C153))</f>
        <v>7</v>
      </c>
      <c r="F153" s="26">
        <v>50</v>
      </c>
      <c r="G153" s="141" t="str">
        <f>IF(E153="","",IF(E153&lt;50,"Pass","Fail"))</f>
        <v>Pass</v>
      </c>
      <c r="H153" s="27">
        <v>1340</v>
      </c>
      <c r="I153" s="28" t="s">
        <v>130</v>
      </c>
      <c r="J153" s="28"/>
    </row>
    <row r="154" spans="1:10" x14ac:dyDescent="0.25">
      <c r="A154" s="140">
        <v>43279</v>
      </c>
      <c r="B154" s="28" t="s">
        <v>27</v>
      </c>
      <c r="C154" s="26">
        <v>14</v>
      </c>
      <c r="D154" s="26">
        <v>17</v>
      </c>
      <c r="E154" s="26">
        <f t="shared" si="4"/>
        <v>3</v>
      </c>
      <c r="F154" s="26">
        <v>50</v>
      </c>
      <c r="G154" s="141" t="str">
        <f t="shared" si="5"/>
        <v>Pass</v>
      </c>
      <c r="H154" s="27">
        <v>121</v>
      </c>
      <c r="I154" s="28" t="s">
        <v>131</v>
      </c>
      <c r="J154" s="28"/>
    </row>
    <row r="155" spans="1:10" x14ac:dyDescent="0.25">
      <c r="A155" s="140">
        <v>43283</v>
      </c>
      <c r="B155" s="28" t="s">
        <v>27</v>
      </c>
      <c r="C155" s="26">
        <v>24</v>
      </c>
      <c r="D155" s="26">
        <v>39</v>
      </c>
      <c r="E155" s="26">
        <f t="shared" si="4"/>
        <v>15</v>
      </c>
      <c r="F155" s="26">
        <v>50</v>
      </c>
      <c r="G155" s="141" t="str">
        <f t="shared" si="5"/>
        <v>Pass</v>
      </c>
      <c r="H155" s="27">
        <v>1340</v>
      </c>
      <c r="I155" s="28" t="s">
        <v>132</v>
      </c>
      <c r="J155" s="28"/>
    </row>
    <row r="156" spans="1:10" x14ac:dyDescent="0.25">
      <c r="A156" s="140">
        <v>43289</v>
      </c>
      <c r="B156" s="28" t="s">
        <v>27</v>
      </c>
      <c r="C156" s="26">
        <v>65</v>
      </c>
      <c r="D156" s="26">
        <v>193</v>
      </c>
      <c r="E156" s="26">
        <f t="shared" si="4"/>
        <v>128</v>
      </c>
      <c r="F156" s="26">
        <v>50</v>
      </c>
      <c r="G156" s="141" t="str">
        <f t="shared" si="5"/>
        <v>Fail</v>
      </c>
      <c r="H156" s="28">
        <v>1428</v>
      </c>
      <c r="I156" s="28"/>
      <c r="J156" s="28"/>
    </row>
    <row r="157" spans="1:10" x14ac:dyDescent="0.25">
      <c r="A157" s="140">
        <v>43289</v>
      </c>
      <c r="B157" s="28" t="s">
        <v>27</v>
      </c>
      <c r="C157" s="26">
        <v>40</v>
      </c>
      <c r="D157" s="26">
        <v>56</v>
      </c>
      <c r="E157" s="26">
        <f t="shared" si="4"/>
        <v>16</v>
      </c>
      <c r="F157" s="26">
        <v>50</v>
      </c>
      <c r="G157" s="141" t="str">
        <f t="shared" si="5"/>
        <v>Pass</v>
      </c>
      <c r="H157" s="27">
        <v>1428</v>
      </c>
      <c r="I157" s="28"/>
      <c r="J157" s="28"/>
    </row>
    <row r="158" spans="1:10" x14ac:dyDescent="0.25">
      <c r="A158" s="140">
        <v>43292</v>
      </c>
      <c r="B158" s="28" t="s">
        <v>27</v>
      </c>
      <c r="C158" s="26">
        <v>13</v>
      </c>
      <c r="D158" s="26">
        <v>16</v>
      </c>
      <c r="E158" s="26">
        <f t="shared" si="4"/>
        <v>3</v>
      </c>
      <c r="F158" s="26">
        <v>50</v>
      </c>
      <c r="G158" s="141" t="str">
        <f t="shared" si="5"/>
        <v>Pass</v>
      </c>
      <c r="H158" s="27">
        <v>1335</v>
      </c>
      <c r="I158" s="28" t="s">
        <v>133</v>
      </c>
      <c r="J158" s="28"/>
    </row>
    <row r="159" spans="1:10" x14ac:dyDescent="0.25">
      <c r="A159" s="140">
        <v>43296</v>
      </c>
      <c r="B159" s="28" t="s">
        <v>27</v>
      </c>
      <c r="C159" s="26">
        <v>33</v>
      </c>
      <c r="D159" s="26">
        <v>73</v>
      </c>
      <c r="E159" s="26">
        <f t="shared" si="4"/>
        <v>40</v>
      </c>
      <c r="F159" s="26">
        <v>50</v>
      </c>
      <c r="G159" s="141" t="str">
        <f t="shared" si="5"/>
        <v>Pass</v>
      </c>
      <c r="H159" s="27">
        <v>1335</v>
      </c>
      <c r="I159" s="28" t="s">
        <v>134</v>
      </c>
      <c r="J159" s="28"/>
    </row>
    <row r="160" spans="1:10" x14ac:dyDescent="0.25">
      <c r="A160" s="140">
        <v>43300</v>
      </c>
      <c r="B160" s="28" t="s">
        <v>27</v>
      </c>
      <c r="C160" s="26">
        <v>52</v>
      </c>
      <c r="D160" s="26">
        <v>32</v>
      </c>
      <c r="E160" s="26">
        <f t="shared" si="4"/>
        <v>-20</v>
      </c>
      <c r="F160" s="26">
        <v>50</v>
      </c>
      <c r="G160" s="141" t="str">
        <f t="shared" si="5"/>
        <v>Pass</v>
      </c>
      <c r="H160" s="27">
        <v>1340</v>
      </c>
      <c r="I160" s="28" t="s">
        <v>135</v>
      </c>
      <c r="J160" s="28"/>
    </row>
    <row r="161" spans="1:10" x14ac:dyDescent="0.25">
      <c r="A161" s="140">
        <v>43303</v>
      </c>
      <c r="B161" s="28" t="s">
        <v>27</v>
      </c>
      <c r="C161" s="26">
        <v>46</v>
      </c>
      <c r="D161" s="26">
        <v>52</v>
      </c>
      <c r="E161" s="26">
        <f t="shared" si="4"/>
        <v>6</v>
      </c>
      <c r="F161" s="26">
        <v>50</v>
      </c>
      <c r="G161" s="141" t="str">
        <f t="shared" si="5"/>
        <v>Pass</v>
      </c>
      <c r="H161" s="27">
        <v>1335</v>
      </c>
      <c r="I161" s="28" t="s">
        <v>136</v>
      </c>
      <c r="J161" s="28"/>
    </row>
    <row r="162" spans="1:10" x14ac:dyDescent="0.25">
      <c r="A162" s="140">
        <v>43307</v>
      </c>
      <c r="B162" s="28" t="s">
        <v>27</v>
      </c>
      <c r="C162" s="26">
        <v>21</v>
      </c>
      <c r="D162" s="26">
        <v>20</v>
      </c>
      <c r="E162" s="26">
        <f t="shared" si="4"/>
        <v>-1</v>
      </c>
      <c r="F162" s="26">
        <v>50</v>
      </c>
      <c r="G162" s="141" t="str">
        <f t="shared" si="5"/>
        <v>Pass</v>
      </c>
      <c r="H162" s="27">
        <v>1340</v>
      </c>
      <c r="I162" s="28" t="s">
        <v>137</v>
      </c>
      <c r="J162" s="28"/>
    </row>
    <row r="163" spans="1:10" x14ac:dyDescent="0.25">
      <c r="A163" s="140">
        <v>43311</v>
      </c>
      <c r="B163" s="28" t="s">
        <v>27</v>
      </c>
      <c r="C163" s="26">
        <v>25</v>
      </c>
      <c r="D163" s="26">
        <v>16</v>
      </c>
      <c r="E163" s="26">
        <f t="shared" si="4"/>
        <v>-9</v>
      </c>
      <c r="F163" s="26">
        <v>50</v>
      </c>
      <c r="G163" s="141" t="str">
        <f t="shared" si="5"/>
        <v>Pass</v>
      </c>
      <c r="H163" s="27">
        <v>1340</v>
      </c>
      <c r="I163" s="28" t="s">
        <v>138</v>
      </c>
      <c r="J163" s="28"/>
    </row>
    <row r="164" spans="1:10" x14ac:dyDescent="0.25">
      <c r="A164" s="140">
        <v>43314</v>
      </c>
      <c r="B164" s="28" t="s">
        <v>27</v>
      </c>
      <c r="C164" s="26">
        <v>7</v>
      </c>
      <c r="D164" s="26">
        <v>10</v>
      </c>
      <c r="E164" s="26">
        <f t="shared" si="4"/>
        <v>3</v>
      </c>
      <c r="F164" s="26">
        <v>50</v>
      </c>
      <c r="G164" s="141" t="str">
        <f t="shared" si="5"/>
        <v>Pass</v>
      </c>
      <c r="H164" s="27">
        <v>1340</v>
      </c>
      <c r="I164" s="28" t="s">
        <v>139</v>
      </c>
      <c r="J164" s="28"/>
    </row>
    <row r="165" spans="1:10" x14ac:dyDescent="0.25">
      <c r="A165" s="140">
        <v>43317</v>
      </c>
      <c r="B165" s="28" t="s">
        <v>27</v>
      </c>
      <c r="C165" s="26">
        <v>6</v>
      </c>
      <c r="D165" s="26">
        <v>8</v>
      </c>
      <c r="E165" s="26">
        <f t="shared" si="4"/>
        <v>2</v>
      </c>
      <c r="F165" s="28">
        <v>50</v>
      </c>
      <c r="G165" s="141" t="str">
        <f>IF(E165="","",IF(E165&lt;50,"Pass","Fail"))</f>
        <v>Pass</v>
      </c>
      <c r="H165" s="29">
        <v>1340</v>
      </c>
      <c r="I165" s="28" t="s">
        <v>140</v>
      </c>
      <c r="J165" s="28"/>
    </row>
    <row r="166" spans="1:10" x14ac:dyDescent="0.25">
      <c r="A166" s="140">
        <v>43320</v>
      </c>
      <c r="B166" s="28" t="s">
        <v>27</v>
      </c>
      <c r="C166" s="26">
        <v>6</v>
      </c>
      <c r="D166" s="26">
        <v>10</v>
      </c>
      <c r="E166" s="26">
        <f t="shared" si="4"/>
        <v>4</v>
      </c>
      <c r="F166" s="28">
        <v>50</v>
      </c>
      <c r="G166" s="141" t="str">
        <f t="shared" ref="G166:G184" si="6">IF(E166="","",IF(E166&lt;50,"Pass","Fail"))</f>
        <v>Pass</v>
      </c>
      <c r="H166" s="29">
        <v>1159</v>
      </c>
      <c r="I166" s="28" t="s">
        <v>141</v>
      </c>
      <c r="J166" s="28"/>
    </row>
    <row r="167" spans="1:10" x14ac:dyDescent="0.25">
      <c r="A167" s="140">
        <v>43322</v>
      </c>
      <c r="B167" s="28" t="s">
        <v>27</v>
      </c>
      <c r="C167" s="28">
        <v>62</v>
      </c>
      <c r="D167" s="28">
        <v>108</v>
      </c>
      <c r="E167" s="28">
        <f t="shared" si="4"/>
        <v>46</v>
      </c>
      <c r="F167" s="28">
        <v>50</v>
      </c>
      <c r="G167" s="141" t="str">
        <f t="shared" si="6"/>
        <v>Pass</v>
      </c>
      <c r="H167" s="27">
        <v>1428</v>
      </c>
      <c r="I167" s="28" t="s">
        <v>37</v>
      </c>
      <c r="J167" s="28"/>
    </row>
    <row r="168" spans="1:10" x14ac:dyDescent="0.25">
      <c r="A168" s="140">
        <v>43328</v>
      </c>
      <c r="B168" s="28" t="s">
        <v>27</v>
      </c>
      <c r="C168" s="28">
        <v>19</v>
      </c>
      <c r="D168" s="28">
        <v>43</v>
      </c>
      <c r="E168" s="28">
        <f t="shared" si="4"/>
        <v>24</v>
      </c>
      <c r="F168" s="28">
        <v>50</v>
      </c>
      <c r="G168" s="141" t="str">
        <f t="shared" si="6"/>
        <v>Pass</v>
      </c>
      <c r="H168" s="27">
        <v>1335</v>
      </c>
      <c r="I168" s="28" t="s">
        <v>142</v>
      </c>
      <c r="J168" s="28"/>
    </row>
    <row r="169" spans="1:10" x14ac:dyDescent="0.25">
      <c r="A169" s="140">
        <v>42602</v>
      </c>
      <c r="B169" s="28" t="s">
        <v>27</v>
      </c>
      <c r="C169" s="26">
        <v>10</v>
      </c>
      <c r="D169" s="26">
        <v>17</v>
      </c>
      <c r="E169" s="26">
        <f t="shared" si="4"/>
        <v>7</v>
      </c>
      <c r="F169" s="28">
        <v>50</v>
      </c>
      <c r="G169" s="141" t="str">
        <f t="shared" si="6"/>
        <v>Pass</v>
      </c>
      <c r="H169" s="29">
        <v>1340</v>
      </c>
      <c r="I169" s="28" t="s">
        <v>37</v>
      </c>
      <c r="J169" s="28"/>
    </row>
    <row r="170" spans="1:10" x14ac:dyDescent="0.25">
      <c r="A170" s="140">
        <v>42605</v>
      </c>
      <c r="B170" s="28" t="s">
        <v>27</v>
      </c>
      <c r="C170" s="26">
        <v>15</v>
      </c>
      <c r="D170" s="26">
        <v>22</v>
      </c>
      <c r="E170" s="26">
        <f t="shared" si="4"/>
        <v>7</v>
      </c>
      <c r="F170" s="26">
        <v>50</v>
      </c>
      <c r="G170" s="141" t="str">
        <f t="shared" si="6"/>
        <v>Pass</v>
      </c>
      <c r="H170" s="27">
        <v>1340</v>
      </c>
      <c r="I170" s="28" t="s">
        <v>143</v>
      </c>
      <c r="J170" s="28"/>
    </row>
    <row r="171" spans="1:10" x14ac:dyDescent="0.25">
      <c r="A171" s="140">
        <v>42608</v>
      </c>
      <c r="B171" s="28" t="s">
        <v>27</v>
      </c>
      <c r="C171" s="26">
        <v>44</v>
      </c>
      <c r="D171" s="26">
        <v>38</v>
      </c>
      <c r="E171" s="26">
        <f>IF(D171="","",(D171-C171))</f>
        <v>-6</v>
      </c>
      <c r="F171" s="26">
        <v>50</v>
      </c>
      <c r="G171" s="141" t="str">
        <f>IF(E171="","",IF(E171&lt;50,"Pass","Fail"))</f>
        <v>Pass</v>
      </c>
      <c r="H171" s="27">
        <v>102</v>
      </c>
      <c r="I171" s="28" t="s">
        <v>144</v>
      </c>
      <c r="J171" s="28"/>
    </row>
    <row r="172" spans="1:10" x14ac:dyDescent="0.25">
      <c r="A172" s="140">
        <v>43341</v>
      </c>
      <c r="B172" s="28" t="s">
        <v>27</v>
      </c>
      <c r="C172" s="26">
        <v>57</v>
      </c>
      <c r="D172" s="26">
        <v>70</v>
      </c>
      <c r="E172" s="26">
        <f t="shared" si="4"/>
        <v>13</v>
      </c>
      <c r="F172" s="26">
        <v>50</v>
      </c>
      <c r="G172" s="141" t="str">
        <f t="shared" si="6"/>
        <v>Pass</v>
      </c>
      <c r="H172" s="27">
        <v>121</v>
      </c>
      <c r="I172" s="28" t="s">
        <v>145</v>
      </c>
      <c r="J172" s="28"/>
    </row>
    <row r="173" spans="1:10" x14ac:dyDescent="0.25">
      <c r="A173" s="140">
        <v>43344</v>
      </c>
      <c r="B173" s="28" t="s">
        <v>27</v>
      </c>
      <c r="C173" s="26">
        <v>40</v>
      </c>
      <c r="D173" s="26">
        <v>49</v>
      </c>
      <c r="E173" s="26">
        <f t="shared" si="4"/>
        <v>9</v>
      </c>
      <c r="F173" s="26">
        <v>50</v>
      </c>
      <c r="G173" s="141" t="str">
        <f t="shared" si="6"/>
        <v>Pass</v>
      </c>
      <c r="H173" s="29">
        <v>1335</v>
      </c>
      <c r="I173" s="28" t="s">
        <v>146</v>
      </c>
      <c r="J173" s="28"/>
    </row>
    <row r="174" spans="1:10" x14ac:dyDescent="0.25">
      <c r="A174" s="140">
        <v>43350</v>
      </c>
      <c r="B174" s="28" t="s">
        <v>27</v>
      </c>
      <c r="C174" s="26">
        <v>39</v>
      </c>
      <c r="D174" s="26">
        <v>32</v>
      </c>
      <c r="E174" s="26">
        <f t="shared" si="4"/>
        <v>-7</v>
      </c>
      <c r="F174" s="26">
        <v>50</v>
      </c>
      <c r="G174" s="141" t="str">
        <f t="shared" si="6"/>
        <v>Pass</v>
      </c>
      <c r="H174" s="29">
        <v>1340</v>
      </c>
      <c r="I174" s="28"/>
      <c r="J174" s="28"/>
    </row>
    <row r="175" spans="1:10" x14ac:dyDescent="0.25">
      <c r="A175" s="140">
        <v>43357</v>
      </c>
      <c r="B175" s="28" t="s">
        <v>27</v>
      </c>
      <c r="C175" s="28">
        <v>14</v>
      </c>
      <c r="D175" s="28">
        <v>30</v>
      </c>
      <c r="E175" s="26">
        <f t="shared" si="4"/>
        <v>16</v>
      </c>
      <c r="F175" s="26">
        <v>50</v>
      </c>
      <c r="G175" s="141" t="str">
        <f t="shared" si="6"/>
        <v>Pass</v>
      </c>
      <c r="H175" s="27">
        <v>1335</v>
      </c>
      <c r="I175" s="28" t="s">
        <v>147</v>
      </c>
      <c r="J175" s="28"/>
    </row>
    <row r="176" spans="1:10" x14ac:dyDescent="0.25">
      <c r="A176" s="140">
        <v>43360</v>
      </c>
      <c r="B176" s="28" t="s">
        <v>27</v>
      </c>
      <c r="C176" s="28">
        <v>20</v>
      </c>
      <c r="D176" s="28">
        <v>54</v>
      </c>
      <c r="E176" s="26">
        <f t="shared" si="4"/>
        <v>34</v>
      </c>
      <c r="F176" s="26">
        <v>50</v>
      </c>
      <c r="G176" s="141" t="str">
        <f t="shared" si="6"/>
        <v>Pass</v>
      </c>
      <c r="H176" s="27">
        <v>1340</v>
      </c>
      <c r="I176" s="28"/>
      <c r="J176" s="28"/>
    </row>
    <row r="177" spans="1:10" x14ac:dyDescent="0.25">
      <c r="A177" s="140">
        <v>43363</v>
      </c>
      <c r="B177" s="28" t="s">
        <v>27</v>
      </c>
      <c r="C177" s="26">
        <v>5</v>
      </c>
      <c r="D177" s="26">
        <v>9</v>
      </c>
      <c r="E177" s="26">
        <f t="shared" si="4"/>
        <v>4</v>
      </c>
      <c r="F177" s="26">
        <v>50</v>
      </c>
      <c r="G177" s="141" t="str">
        <f t="shared" si="6"/>
        <v>Pass</v>
      </c>
      <c r="H177" s="29">
        <v>121</v>
      </c>
      <c r="I177" s="143"/>
      <c r="J177" s="28"/>
    </row>
    <row r="178" spans="1:10" x14ac:dyDescent="0.25">
      <c r="A178" s="140">
        <v>43367</v>
      </c>
      <c r="B178" s="28" t="s">
        <v>27</v>
      </c>
      <c r="C178" s="28">
        <v>11</v>
      </c>
      <c r="D178" s="28">
        <v>10</v>
      </c>
      <c r="E178" s="28">
        <f t="shared" si="4"/>
        <v>-1</v>
      </c>
      <c r="F178" s="26">
        <v>50</v>
      </c>
      <c r="G178" s="141" t="str">
        <f t="shared" si="6"/>
        <v>Pass</v>
      </c>
      <c r="H178" s="27">
        <v>1340</v>
      </c>
      <c r="I178" s="28"/>
      <c r="J178" s="28"/>
    </row>
    <row r="179" spans="1:10" x14ac:dyDescent="0.25">
      <c r="A179" s="140">
        <v>43370</v>
      </c>
      <c r="B179" s="28" t="s">
        <v>27</v>
      </c>
      <c r="C179" s="28">
        <v>6</v>
      </c>
      <c r="D179" s="28">
        <v>11</v>
      </c>
      <c r="E179" s="28">
        <f t="shared" si="4"/>
        <v>5</v>
      </c>
      <c r="F179" s="26">
        <v>50</v>
      </c>
      <c r="G179" s="141" t="str">
        <f t="shared" si="6"/>
        <v>Pass</v>
      </c>
      <c r="H179" s="27">
        <v>1340</v>
      </c>
      <c r="I179" s="28"/>
      <c r="J179" s="28"/>
    </row>
    <row r="180" spans="1:10" x14ac:dyDescent="0.25">
      <c r="A180" s="140">
        <v>43373</v>
      </c>
      <c r="B180" s="28" t="s">
        <v>27</v>
      </c>
      <c r="C180" s="28">
        <v>13</v>
      </c>
      <c r="D180" s="28">
        <v>15</v>
      </c>
      <c r="E180" s="28">
        <f t="shared" si="4"/>
        <v>2</v>
      </c>
      <c r="F180" s="26">
        <v>50</v>
      </c>
      <c r="G180" s="141" t="str">
        <f t="shared" si="6"/>
        <v>Pass</v>
      </c>
      <c r="H180" s="27">
        <v>74</v>
      </c>
      <c r="I180" s="28"/>
      <c r="J180" s="28"/>
    </row>
    <row r="181" spans="1:10" x14ac:dyDescent="0.25">
      <c r="A181" s="140">
        <v>43380</v>
      </c>
      <c r="B181" s="28" t="s">
        <v>27</v>
      </c>
      <c r="C181" s="28">
        <v>12</v>
      </c>
      <c r="D181" s="28">
        <v>13</v>
      </c>
      <c r="E181" s="28">
        <f t="shared" si="4"/>
        <v>1</v>
      </c>
      <c r="F181" s="26">
        <v>50</v>
      </c>
      <c r="G181" s="141" t="str">
        <f t="shared" si="6"/>
        <v>Pass</v>
      </c>
      <c r="H181" s="27">
        <v>1428</v>
      </c>
      <c r="I181" s="28"/>
      <c r="J181" s="28"/>
    </row>
    <row r="182" spans="1:10" x14ac:dyDescent="0.25">
      <c r="A182" s="140">
        <v>43381</v>
      </c>
      <c r="B182" s="28" t="s">
        <v>27</v>
      </c>
      <c r="C182" s="28">
        <v>22</v>
      </c>
      <c r="D182" s="28">
        <v>22</v>
      </c>
      <c r="E182" s="28">
        <f t="shared" si="4"/>
        <v>0</v>
      </c>
      <c r="F182" s="26">
        <v>50</v>
      </c>
      <c r="G182" s="141" t="str">
        <f t="shared" si="6"/>
        <v>Pass</v>
      </c>
      <c r="H182" s="27">
        <v>74</v>
      </c>
      <c r="I182" s="28"/>
      <c r="J182" s="28"/>
    </row>
    <row r="183" spans="1:10" x14ac:dyDescent="0.25">
      <c r="A183" s="140">
        <v>43383</v>
      </c>
      <c r="B183" s="28" t="s">
        <v>27</v>
      </c>
      <c r="C183" s="28">
        <v>22</v>
      </c>
      <c r="D183" s="28">
        <v>31</v>
      </c>
      <c r="E183" s="28">
        <f t="shared" si="4"/>
        <v>9</v>
      </c>
      <c r="F183" s="26">
        <v>50</v>
      </c>
      <c r="G183" s="141" t="str">
        <f t="shared" si="6"/>
        <v>Pass</v>
      </c>
      <c r="H183" s="27">
        <v>1340</v>
      </c>
      <c r="I183" s="28"/>
      <c r="J183" s="28"/>
    </row>
    <row r="184" spans="1:10" x14ac:dyDescent="0.25">
      <c r="A184" s="140">
        <v>43387</v>
      </c>
      <c r="B184" s="28" t="s">
        <v>27</v>
      </c>
      <c r="C184" s="28">
        <v>49</v>
      </c>
      <c r="D184" s="28">
        <v>48</v>
      </c>
      <c r="E184" s="28">
        <f t="shared" si="4"/>
        <v>-1</v>
      </c>
      <c r="F184" s="26">
        <v>50</v>
      </c>
      <c r="G184" s="141" t="str">
        <f t="shared" si="6"/>
        <v>Pass</v>
      </c>
      <c r="H184" s="27">
        <v>1340</v>
      </c>
      <c r="I184" s="28"/>
      <c r="J184" s="28"/>
    </row>
    <row r="185" spans="1:10" x14ac:dyDescent="0.25">
      <c r="A185" s="140">
        <v>43390</v>
      </c>
      <c r="B185" s="28" t="s">
        <v>27</v>
      </c>
      <c r="C185" s="28">
        <v>78</v>
      </c>
      <c r="D185" s="28">
        <v>76</v>
      </c>
      <c r="E185" s="28">
        <f>IF(D185="","",(D185-C185))</f>
        <v>-2</v>
      </c>
      <c r="F185" s="26">
        <v>50</v>
      </c>
      <c r="G185" s="141" t="str">
        <f>IF(E185="","",IF(E185&lt;50,"Pass","Fail"))</f>
        <v>Pass</v>
      </c>
      <c r="H185" s="27">
        <v>102</v>
      </c>
      <c r="I185" s="28" t="s">
        <v>148</v>
      </c>
      <c r="J185" s="28"/>
    </row>
    <row r="186" spans="1:10" x14ac:dyDescent="0.25">
      <c r="A186" s="140">
        <v>43394</v>
      </c>
      <c r="B186" s="28" t="s">
        <v>27</v>
      </c>
      <c r="C186" s="28">
        <v>54</v>
      </c>
      <c r="D186" s="28">
        <v>58</v>
      </c>
      <c r="E186" s="28">
        <f>IF(D186="","",(D186-C186))</f>
        <v>4</v>
      </c>
      <c r="F186" s="26">
        <v>50</v>
      </c>
      <c r="G186" s="141" t="str">
        <f>IF(E186="","",IF(E186&lt;50,"Pass","Fail"))</f>
        <v>Pass</v>
      </c>
      <c r="H186" s="27">
        <v>121</v>
      </c>
      <c r="I186" s="28"/>
      <c r="J186" s="28"/>
    </row>
    <row r="187" spans="1:10" x14ac:dyDescent="0.25">
      <c r="A187" s="140">
        <v>43397</v>
      </c>
      <c r="B187" s="28" t="s">
        <v>27</v>
      </c>
      <c r="C187" s="28">
        <v>47</v>
      </c>
      <c r="D187" s="28">
        <v>60</v>
      </c>
      <c r="E187" s="28">
        <f>IF(D187="","",(D187-C187))</f>
        <v>13</v>
      </c>
      <c r="F187" s="26">
        <v>50</v>
      </c>
      <c r="G187" s="141" t="str">
        <f t="shared" ref="G187:G200" si="7">IF(E187="","",IF(E187&lt;50,"Pass","Fail"))</f>
        <v>Pass</v>
      </c>
      <c r="H187" s="27">
        <v>1159</v>
      </c>
      <c r="I187" s="28" t="s">
        <v>149</v>
      </c>
      <c r="J187" s="28"/>
    </row>
    <row r="188" spans="1:10" x14ac:dyDescent="0.25">
      <c r="A188" s="140">
        <v>43401</v>
      </c>
      <c r="B188" s="28" t="s">
        <v>27</v>
      </c>
      <c r="C188" s="143">
        <v>35</v>
      </c>
      <c r="D188" s="143">
        <v>35</v>
      </c>
      <c r="E188" s="143">
        <f>IF(D188="","",(D188-C188))</f>
        <v>0</v>
      </c>
      <c r="F188" s="26">
        <v>50</v>
      </c>
      <c r="G188" s="141" t="str">
        <f t="shared" si="7"/>
        <v>Pass</v>
      </c>
      <c r="H188" s="27">
        <v>1335</v>
      </c>
      <c r="I188" s="28" t="s">
        <v>150</v>
      </c>
      <c r="J188" s="28"/>
    </row>
    <row r="189" spans="1:10" x14ac:dyDescent="0.25">
      <c r="A189" s="140">
        <v>43404</v>
      </c>
      <c r="B189" s="28" t="s">
        <v>27</v>
      </c>
      <c r="C189" s="143">
        <v>35</v>
      </c>
      <c r="D189" s="143">
        <v>53</v>
      </c>
      <c r="E189" s="143">
        <f t="shared" ref="E189:E234" si="8">IF(D189="","",(D189-C189))</f>
        <v>18</v>
      </c>
      <c r="F189" s="26">
        <v>50</v>
      </c>
      <c r="G189" s="141" t="str">
        <f t="shared" si="7"/>
        <v>Pass</v>
      </c>
      <c r="H189" s="27">
        <v>64</v>
      </c>
      <c r="I189" s="28"/>
      <c r="J189" s="28"/>
    </row>
    <row r="190" spans="1:10" x14ac:dyDescent="0.25">
      <c r="A190" s="140">
        <v>43408</v>
      </c>
      <c r="B190" s="28" t="s">
        <v>27</v>
      </c>
      <c r="C190" s="143">
        <v>47</v>
      </c>
      <c r="D190" s="143">
        <v>63</v>
      </c>
      <c r="E190" s="143">
        <f t="shared" si="8"/>
        <v>16</v>
      </c>
      <c r="F190" s="26">
        <v>50</v>
      </c>
      <c r="G190" s="141" t="str">
        <f t="shared" si="7"/>
        <v>Pass</v>
      </c>
      <c r="H190" s="27">
        <v>121</v>
      </c>
      <c r="I190" s="28" t="s">
        <v>151</v>
      </c>
      <c r="J190" s="28"/>
    </row>
    <row r="191" spans="1:10" x14ac:dyDescent="0.25">
      <c r="A191" s="140">
        <v>43412</v>
      </c>
      <c r="B191" s="28" t="s">
        <v>27</v>
      </c>
      <c r="C191" s="28">
        <v>50</v>
      </c>
      <c r="D191" s="28">
        <v>67</v>
      </c>
      <c r="E191" s="28">
        <f t="shared" si="8"/>
        <v>17</v>
      </c>
      <c r="F191" s="26">
        <v>50</v>
      </c>
      <c r="G191" s="141" t="str">
        <f t="shared" si="7"/>
        <v>Pass</v>
      </c>
      <c r="H191" s="27">
        <v>1335</v>
      </c>
      <c r="I191" s="28" t="s">
        <v>152</v>
      </c>
      <c r="J191" s="28"/>
    </row>
    <row r="192" spans="1:10" x14ac:dyDescent="0.25">
      <c r="A192" s="140">
        <v>43445</v>
      </c>
      <c r="B192" s="28" t="s">
        <v>27</v>
      </c>
      <c r="C192" s="28">
        <v>65</v>
      </c>
      <c r="D192" s="28">
        <v>61</v>
      </c>
      <c r="E192" s="28">
        <f t="shared" si="8"/>
        <v>-4</v>
      </c>
      <c r="F192" s="26">
        <v>50</v>
      </c>
      <c r="G192" s="141" t="str">
        <f t="shared" si="7"/>
        <v>Pass</v>
      </c>
      <c r="H192" s="27">
        <v>121</v>
      </c>
      <c r="I192" s="28" t="s">
        <v>153</v>
      </c>
      <c r="J192" s="28"/>
    </row>
    <row r="193" spans="1:10" x14ac:dyDescent="0.25">
      <c r="A193" s="140">
        <v>43424</v>
      </c>
      <c r="B193" s="28" t="s">
        <v>27</v>
      </c>
      <c r="C193" s="28">
        <v>64</v>
      </c>
      <c r="D193" s="28">
        <v>78</v>
      </c>
      <c r="E193" s="28">
        <f t="shared" si="8"/>
        <v>14</v>
      </c>
      <c r="F193" s="26">
        <v>50</v>
      </c>
      <c r="G193" s="141" t="str">
        <f t="shared" si="7"/>
        <v>Pass</v>
      </c>
      <c r="H193" s="27">
        <v>121</v>
      </c>
      <c r="I193" s="28" t="s">
        <v>154</v>
      </c>
      <c r="J193" s="28"/>
    </row>
    <row r="194" spans="1:10" x14ac:dyDescent="0.25">
      <c r="A194" s="140">
        <v>43430</v>
      </c>
      <c r="B194" s="28" t="s">
        <v>27</v>
      </c>
      <c r="C194" s="28">
        <v>33</v>
      </c>
      <c r="D194" s="28">
        <v>58</v>
      </c>
      <c r="E194" s="28">
        <f t="shared" si="8"/>
        <v>25</v>
      </c>
      <c r="F194" s="26">
        <v>50</v>
      </c>
      <c r="G194" s="141" t="str">
        <f t="shared" si="7"/>
        <v>Pass</v>
      </c>
      <c r="H194" s="27">
        <v>1340</v>
      </c>
      <c r="I194" s="28"/>
      <c r="J194" s="28"/>
    </row>
    <row r="195" spans="1:10" x14ac:dyDescent="0.25">
      <c r="A195" s="140">
        <v>43202</v>
      </c>
      <c r="B195" s="28" t="s">
        <v>27</v>
      </c>
      <c r="C195" s="28">
        <v>58</v>
      </c>
      <c r="D195" s="28">
        <v>69</v>
      </c>
      <c r="E195" s="28">
        <f t="shared" si="8"/>
        <v>11</v>
      </c>
      <c r="F195" s="26">
        <v>50</v>
      </c>
      <c r="G195" s="141" t="str">
        <f t="shared" si="7"/>
        <v>Pass</v>
      </c>
      <c r="H195" s="27">
        <v>74</v>
      </c>
      <c r="I195" s="28"/>
      <c r="J195" s="28"/>
    </row>
    <row r="196" spans="1:10" x14ac:dyDescent="0.25">
      <c r="A196" s="140">
        <v>43451</v>
      </c>
      <c r="B196" s="28" t="s">
        <v>27</v>
      </c>
      <c r="C196" s="28">
        <v>20</v>
      </c>
      <c r="D196" s="28">
        <v>112</v>
      </c>
      <c r="E196" s="28">
        <f t="shared" si="8"/>
        <v>92</v>
      </c>
      <c r="F196" s="26">
        <v>50</v>
      </c>
      <c r="G196" s="141" t="str">
        <f t="shared" si="7"/>
        <v>Fail</v>
      </c>
      <c r="H196" s="27">
        <v>1340</v>
      </c>
      <c r="I196" s="28" t="s">
        <v>50</v>
      </c>
      <c r="J196" s="28" t="s">
        <v>266</v>
      </c>
    </row>
    <row r="197" spans="1:10" x14ac:dyDescent="0.25">
      <c r="A197" s="140">
        <v>43451</v>
      </c>
      <c r="B197" s="28" t="s">
        <v>27</v>
      </c>
      <c r="C197" s="28">
        <v>12</v>
      </c>
      <c r="D197" s="28">
        <v>49</v>
      </c>
      <c r="E197" s="28">
        <f t="shared" si="8"/>
        <v>37</v>
      </c>
      <c r="F197" s="26">
        <v>50</v>
      </c>
      <c r="G197" s="141" t="str">
        <f t="shared" si="7"/>
        <v>Pass</v>
      </c>
      <c r="H197" s="27">
        <v>1340</v>
      </c>
      <c r="I197" s="28" t="s">
        <v>50</v>
      </c>
      <c r="J197" s="28" t="s">
        <v>267</v>
      </c>
    </row>
    <row r="198" spans="1:10" x14ac:dyDescent="0.25">
      <c r="A198" s="140">
        <v>43460</v>
      </c>
      <c r="B198" s="28" t="s">
        <v>27</v>
      </c>
      <c r="C198" s="28">
        <v>28</v>
      </c>
      <c r="D198" s="28">
        <v>105</v>
      </c>
      <c r="E198" s="28">
        <f t="shared" si="8"/>
        <v>77</v>
      </c>
      <c r="F198" s="26">
        <v>50</v>
      </c>
      <c r="G198" s="141" t="str">
        <f t="shared" si="7"/>
        <v>Fail</v>
      </c>
      <c r="H198" s="27">
        <v>74</v>
      </c>
      <c r="I198" s="28" t="s">
        <v>29</v>
      </c>
      <c r="J198" s="28"/>
    </row>
    <row r="199" spans="1:10" x14ac:dyDescent="0.25">
      <c r="A199" s="140">
        <v>43460</v>
      </c>
      <c r="B199" s="28" t="s">
        <v>27</v>
      </c>
      <c r="C199" s="28">
        <v>8</v>
      </c>
      <c r="D199" s="28">
        <v>62</v>
      </c>
      <c r="E199" s="28">
        <f t="shared" si="8"/>
        <v>54</v>
      </c>
      <c r="F199" s="26">
        <v>50</v>
      </c>
      <c r="G199" s="141" t="str">
        <f t="shared" si="7"/>
        <v>Fail</v>
      </c>
      <c r="H199" s="27">
        <v>102</v>
      </c>
      <c r="I199" s="28" t="s">
        <v>155</v>
      </c>
      <c r="J199" s="28"/>
    </row>
    <row r="200" spans="1:10" x14ac:dyDescent="0.25">
      <c r="A200" s="140">
        <v>43461</v>
      </c>
      <c r="B200" s="28" t="s">
        <v>27</v>
      </c>
      <c r="C200" s="28">
        <v>10</v>
      </c>
      <c r="D200" s="28">
        <v>31</v>
      </c>
      <c r="E200" s="28">
        <f t="shared" si="8"/>
        <v>21</v>
      </c>
      <c r="F200" s="26">
        <v>50</v>
      </c>
      <c r="G200" s="141" t="str">
        <f t="shared" si="7"/>
        <v>Pass</v>
      </c>
      <c r="H200" s="27">
        <v>1340</v>
      </c>
      <c r="I200" s="28"/>
      <c r="J200" s="28" t="s">
        <v>37</v>
      </c>
    </row>
    <row r="201" spans="1:10" x14ac:dyDescent="0.25">
      <c r="A201" s="140">
        <v>43465</v>
      </c>
      <c r="B201" s="28" t="s">
        <v>27</v>
      </c>
      <c r="C201" s="28">
        <v>34</v>
      </c>
      <c r="D201" s="28">
        <v>83</v>
      </c>
      <c r="E201" s="28">
        <f t="shared" si="8"/>
        <v>49</v>
      </c>
      <c r="F201" s="26">
        <v>50</v>
      </c>
      <c r="G201" s="141" t="str">
        <f t="shared" ref="G201:G234" si="9">IF(E201="","",IF(E201&lt;=50,"Pass","Fail"))</f>
        <v>Pass</v>
      </c>
      <c r="H201" s="27">
        <v>121</v>
      </c>
      <c r="I201" s="28" t="s">
        <v>156</v>
      </c>
      <c r="J201" s="28"/>
    </row>
    <row r="202" spans="1:10" x14ac:dyDescent="0.25">
      <c r="A202" s="140">
        <v>43476</v>
      </c>
      <c r="B202" s="28" t="s">
        <v>27</v>
      </c>
      <c r="C202" s="28">
        <v>29</v>
      </c>
      <c r="D202" s="28">
        <v>27</v>
      </c>
      <c r="E202" s="28">
        <f t="shared" si="8"/>
        <v>-2</v>
      </c>
      <c r="F202" s="26">
        <v>50</v>
      </c>
      <c r="G202" s="141" t="str">
        <f t="shared" si="9"/>
        <v>Pass</v>
      </c>
      <c r="H202" s="27">
        <v>74</v>
      </c>
      <c r="I202" s="28"/>
      <c r="J202" s="28"/>
    </row>
    <row r="203" spans="1:10" x14ac:dyDescent="0.25">
      <c r="A203" s="140">
        <v>43476</v>
      </c>
      <c r="B203" s="28" t="s">
        <v>27</v>
      </c>
      <c r="C203" s="28">
        <v>17</v>
      </c>
      <c r="D203" s="28">
        <v>26</v>
      </c>
      <c r="E203" s="28">
        <f t="shared" si="8"/>
        <v>9</v>
      </c>
      <c r="F203" s="26">
        <v>50</v>
      </c>
      <c r="G203" s="141" t="str">
        <f t="shared" si="9"/>
        <v>Pass</v>
      </c>
      <c r="H203" s="27">
        <v>1340</v>
      </c>
      <c r="I203" s="28"/>
      <c r="J203" s="28"/>
    </row>
    <row r="204" spans="1:10" x14ac:dyDescent="0.25">
      <c r="A204" s="140">
        <v>43480</v>
      </c>
      <c r="B204" s="28" t="s">
        <v>27</v>
      </c>
      <c r="C204" s="28">
        <v>36</v>
      </c>
      <c r="D204" s="28">
        <v>20</v>
      </c>
      <c r="E204" s="28">
        <f t="shared" si="8"/>
        <v>-16</v>
      </c>
      <c r="F204" s="26">
        <v>50</v>
      </c>
      <c r="G204" s="141" t="str">
        <f t="shared" si="9"/>
        <v>Pass</v>
      </c>
      <c r="H204" s="27">
        <v>1340</v>
      </c>
      <c r="I204" s="28"/>
      <c r="J204" s="28"/>
    </row>
    <row r="205" spans="1:10" x14ac:dyDescent="0.25">
      <c r="A205" s="140">
        <v>43486</v>
      </c>
      <c r="B205" s="28" t="s">
        <v>27</v>
      </c>
      <c r="C205" s="28">
        <v>17</v>
      </c>
      <c r="D205" s="28">
        <v>31</v>
      </c>
      <c r="E205" s="28">
        <f t="shared" si="8"/>
        <v>14</v>
      </c>
      <c r="F205" s="26">
        <v>50</v>
      </c>
      <c r="G205" s="141" t="str">
        <f t="shared" si="9"/>
        <v>Pass</v>
      </c>
      <c r="H205" s="27">
        <v>1428</v>
      </c>
      <c r="I205" s="28"/>
      <c r="J205" s="28"/>
    </row>
    <row r="206" spans="1:10" x14ac:dyDescent="0.25">
      <c r="A206" s="140">
        <v>43489</v>
      </c>
      <c r="B206" s="28" t="s">
        <v>27</v>
      </c>
      <c r="C206" s="28">
        <v>36</v>
      </c>
      <c r="D206" s="28">
        <v>45</v>
      </c>
      <c r="E206" s="28">
        <f t="shared" si="8"/>
        <v>9</v>
      </c>
      <c r="F206" s="26">
        <v>50</v>
      </c>
      <c r="G206" s="141" t="str">
        <f t="shared" si="9"/>
        <v>Pass</v>
      </c>
      <c r="H206" s="27">
        <v>1340</v>
      </c>
      <c r="I206" s="28"/>
      <c r="J206" s="28"/>
    </row>
    <row r="207" spans="1:10" x14ac:dyDescent="0.25">
      <c r="A207" s="140">
        <v>43497</v>
      </c>
      <c r="B207" s="28" t="s">
        <v>27</v>
      </c>
      <c r="C207" s="28">
        <v>11</v>
      </c>
      <c r="D207" s="28">
        <v>25</v>
      </c>
      <c r="E207" s="28">
        <f t="shared" si="8"/>
        <v>14</v>
      </c>
      <c r="F207" s="26">
        <v>50</v>
      </c>
      <c r="G207" s="141" t="str">
        <f t="shared" si="9"/>
        <v>Pass</v>
      </c>
      <c r="H207" s="27">
        <v>1159</v>
      </c>
      <c r="I207" s="28" t="s">
        <v>157</v>
      </c>
      <c r="J207" s="28"/>
    </row>
    <row r="208" spans="1:10" x14ac:dyDescent="0.25">
      <c r="A208" s="140">
        <v>43503</v>
      </c>
      <c r="B208" s="28" t="s">
        <v>27</v>
      </c>
      <c r="C208" s="143">
        <v>28</v>
      </c>
      <c r="D208" s="143">
        <v>22</v>
      </c>
      <c r="E208" s="143">
        <f t="shared" si="8"/>
        <v>-6</v>
      </c>
      <c r="F208" s="28">
        <v>50</v>
      </c>
      <c r="G208" s="141" t="str">
        <f t="shared" si="9"/>
        <v>Pass</v>
      </c>
      <c r="H208" s="27">
        <v>1340</v>
      </c>
      <c r="I208" s="28"/>
      <c r="J208" s="28"/>
    </row>
    <row r="209" spans="1:10" x14ac:dyDescent="0.25">
      <c r="A209" s="140">
        <v>43507</v>
      </c>
      <c r="B209" s="28" t="s">
        <v>27</v>
      </c>
      <c r="C209" s="28">
        <v>12</v>
      </c>
      <c r="D209" s="28">
        <v>28</v>
      </c>
      <c r="E209" s="28">
        <f t="shared" si="8"/>
        <v>16</v>
      </c>
      <c r="F209" s="26">
        <v>50</v>
      </c>
      <c r="G209" s="141" t="str">
        <f t="shared" si="9"/>
        <v>Pass</v>
      </c>
      <c r="H209" s="27">
        <v>1159</v>
      </c>
      <c r="I209" s="28" t="s">
        <v>158</v>
      </c>
      <c r="J209" s="28"/>
    </row>
    <row r="210" spans="1:10" x14ac:dyDescent="0.25">
      <c r="A210" s="140">
        <v>43510</v>
      </c>
      <c r="B210" s="28" t="s">
        <v>27</v>
      </c>
      <c r="C210" s="143">
        <v>16</v>
      </c>
      <c r="D210" s="143">
        <v>23</v>
      </c>
      <c r="E210" s="143">
        <f t="shared" si="8"/>
        <v>7</v>
      </c>
      <c r="F210" s="26">
        <v>50</v>
      </c>
      <c r="G210" s="141" t="str">
        <f t="shared" si="9"/>
        <v>Pass</v>
      </c>
      <c r="H210" s="27">
        <v>121</v>
      </c>
      <c r="I210" s="28"/>
      <c r="J210" s="28"/>
    </row>
    <row r="211" spans="1:10" x14ac:dyDescent="0.25">
      <c r="A211" s="140">
        <v>43514</v>
      </c>
      <c r="B211" s="143" t="s">
        <v>27</v>
      </c>
      <c r="C211" s="143">
        <v>7</v>
      </c>
      <c r="D211" s="143">
        <v>7</v>
      </c>
      <c r="E211" s="143">
        <f t="shared" si="8"/>
        <v>0</v>
      </c>
      <c r="F211" s="26">
        <v>50</v>
      </c>
      <c r="G211" s="141" t="str">
        <f t="shared" si="9"/>
        <v>Pass</v>
      </c>
      <c r="H211" s="27">
        <v>74</v>
      </c>
      <c r="I211" s="28"/>
      <c r="J211" s="28"/>
    </row>
    <row r="212" spans="1:10" x14ac:dyDescent="0.25">
      <c r="A212" s="140">
        <v>43517</v>
      </c>
      <c r="B212" s="143" t="s">
        <v>27</v>
      </c>
      <c r="C212" s="143">
        <v>20</v>
      </c>
      <c r="D212" s="143">
        <v>54</v>
      </c>
      <c r="E212" s="143">
        <f t="shared" si="8"/>
        <v>34</v>
      </c>
      <c r="F212" s="26">
        <v>50</v>
      </c>
      <c r="G212" s="141" t="str">
        <f t="shared" si="9"/>
        <v>Pass</v>
      </c>
      <c r="H212" s="27">
        <v>1428</v>
      </c>
      <c r="I212" s="28"/>
      <c r="J212" s="28"/>
    </row>
    <row r="213" spans="1:10" x14ac:dyDescent="0.25">
      <c r="A213" s="140">
        <v>43521</v>
      </c>
      <c r="B213" s="143" t="s">
        <v>27</v>
      </c>
      <c r="C213" s="28">
        <v>16</v>
      </c>
      <c r="D213" s="28">
        <v>17</v>
      </c>
      <c r="E213" s="143">
        <f t="shared" si="8"/>
        <v>1</v>
      </c>
      <c r="F213" s="26">
        <v>50</v>
      </c>
      <c r="G213" s="141" t="str">
        <f t="shared" si="9"/>
        <v>Pass</v>
      </c>
      <c r="H213" s="27">
        <v>121</v>
      </c>
      <c r="I213" s="28"/>
      <c r="J213" s="28"/>
    </row>
    <row r="214" spans="1:10" x14ac:dyDescent="0.25">
      <c r="A214" s="140">
        <v>43528</v>
      </c>
      <c r="B214" s="143" t="s">
        <v>27</v>
      </c>
      <c r="C214" s="28">
        <v>30</v>
      </c>
      <c r="D214" s="28">
        <v>29</v>
      </c>
      <c r="E214" s="143">
        <f t="shared" si="8"/>
        <v>-1</v>
      </c>
      <c r="F214" s="26">
        <v>50</v>
      </c>
      <c r="G214" s="141" t="str">
        <f t="shared" si="9"/>
        <v>Pass</v>
      </c>
      <c r="H214" s="27">
        <v>74</v>
      </c>
      <c r="I214" s="28"/>
      <c r="J214" s="28"/>
    </row>
    <row r="215" spans="1:10" x14ac:dyDescent="0.25">
      <c r="A215" s="140">
        <v>43531</v>
      </c>
      <c r="B215" s="143" t="s">
        <v>27</v>
      </c>
      <c r="C215" s="28">
        <v>18</v>
      </c>
      <c r="D215" s="28">
        <v>17</v>
      </c>
      <c r="E215" s="143">
        <f t="shared" si="8"/>
        <v>-1</v>
      </c>
      <c r="F215" s="26">
        <v>50</v>
      </c>
      <c r="G215" s="141" t="str">
        <f t="shared" si="9"/>
        <v>Pass</v>
      </c>
      <c r="H215" s="27">
        <v>1340</v>
      </c>
      <c r="I215" s="28"/>
      <c r="J215" s="28"/>
    </row>
    <row r="216" spans="1:10" x14ac:dyDescent="0.25">
      <c r="A216" s="140">
        <v>43535</v>
      </c>
      <c r="B216" s="143" t="s">
        <v>27</v>
      </c>
      <c r="C216" s="28">
        <v>6</v>
      </c>
      <c r="D216" s="28">
        <v>12</v>
      </c>
      <c r="E216" s="143">
        <f t="shared" si="8"/>
        <v>6</v>
      </c>
      <c r="F216" s="26">
        <v>50</v>
      </c>
      <c r="G216" s="141" t="str">
        <f t="shared" si="9"/>
        <v>Pass</v>
      </c>
      <c r="H216" s="27">
        <v>74</v>
      </c>
      <c r="I216" s="28"/>
      <c r="J216" s="28"/>
    </row>
    <row r="217" spans="1:10" x14ac:dyDescent="0.25">
      <c r="A217" s="140">
        <v>43538</v>
      </c>
      <c r="B217" s="143" t="s">
        <v>27</v>
      </c>
      <c r="C217" s="28">
        <v>10</v>
      </c>
      <c r="D217" s="28">
        <v>13</v>
      </c>
      <c r="E217" s="143">
        <f t="shared" si="8"/>
        <v>3</v>
      </c>
      <c r="F217" s="26">
        <v>50</v>
      </c>
      <c r="G217" s="141" t="str">
        <f t="shared" si="9"/>
        <v>Pass</v>
      </c>
      <c r="H217" s="27">
        <v>121</v>
      </c>
      <c r="I217" s="28"/>
      <c r="J217" s="28"/>
    </row>
    <row r="218" spans="1:10" x14ac:dyDescent="0.25">
      <c r="A218" s="140">
        <v>43542</v>
      </c>
      <c r="B218" s="143" t="s">
        <v>27</v>
      </c>
      <c r="C218" s="143">
        <v>26</v>
      </c>
      <c r="D218" s="143">
        <v>33</v>
      </c>
      <c r="E218" s="143">
        <f t="shared" si="8"/>
        <v>7</v>
      </c>
      <c r="F218" s="28">
        <v>50</v>
      </c>
      <c r="G218" s="141" t="str">
        <f t="shared" si="9"/>
        <v>Pass</v>
      </c>
      <c r="H218" s="27">
        <v>1428</v>
      </c>
      <c r="I218" s="28"/>
      <c r="J218" s="28"/>
    </row>
    <row r="219" spans="1:10" x14ac:dyDescent="0.25">
      <c r="A219" s="140">
        <v>43546</v>
      </c>
      <c r="B219" s="143" t="s">
        <v>27</v>
      </c>
      <c r="C219" s="143">
        <v>14</v>
      </c>
      <c r="D219" s="143">
        <v>21</v>
      </c>
      <c r="E219" s="143">
        <f t="shared" si="8"/>
        <v>7</v>
      </c>
      <c r="F219" s="28">
        <v>50</v>
      </c>
      <c r="G219" s="141" t="str">
        <f t="shared" si="9"/>
        <v>Pass</v>
      </c>
      <c r="H219" s="27">
        <v>1340</v>
      </c>
      <c r="I219" s="28"/>
      <c r="J219" s="28"/>
    </row>
    <row r="220" spans="1:10" x14ac:dyDescent="0.25">
      <c r="A220" s="140">
        <v>43549</v>
      </c>
      <c r="B220" s="143" t="s">
        <v>27</v>
      </c>
      <c r="C220" s="28">
        <v>35</v>
      </c>
      <c r="D220" s="28">
        <v>42</v>
      </c>
      <c r="E220" s="143">
        <f t="shared" si="8"/>
        <v>7</v>
      </c>
      <c r="F220" s="26">
        <v>50</v>
      </c>
      <c r="G220" s="141" t="str">
        <f t="shared" si="9"/>
        <v>Pass</v>
      </c>
      <c r="H220" s="27">
        <v>74</v>
      </c>
      <c r="I220" s="28" t="s">
        <v>159</v>
      </c>
      <c r="J220" s="28" t="s">
        <v>160</v>
      </c>
    </row>
    <row r="221" spans="1:10" x14ac:dyDescent="0.25">
      <c r="A221" s="140">
        <v>43552</v>
      </c>
      <c r="B221" s="143" t="s">
        <v>27</v>
      </c>
      <c r="C221" s="143">
        <v>42</v>
      </c>
      <c r="D221" s="143">
        <v>53</v>
      </c>
      <c r="E221" s="143">
        <f t="shared" si="8"/>
        <v>11</v>
      </c>
      <c r="F221" s="26">
        <v>50</v>
      </c>
      <c r="G221" s="141" t="str">
        <f t="shared" si="9"/>
        <v>Pass</v>
      </c>
      <c r="H221" s="27">
        <v>121</v>
      </c>
      <c r="I221" s="28"/>
      <c r="J221" s="28"/>
    </row>
    <row r="222" spans="1:10" x14ac:dyDescent="0.25">
      <c r="A222" s="140">
        <v>43556</v>
      </c>
      <c r="B222" s="143" t="s">
        <v>27</v>
      </c>
      <c r="C222" s="143">
        <v>22</v>
      </c>
      <c r="D222" s="143">
        <v>57</v>
      </c>
      <c r="E222" s="143">
        <f t="shared" si="8"/>
        <v>35</v>
      </c>
      <c r="F222" s="28">
        <v>50</v>
      </c>
      <c r="G222" s="141" t="str">
        <f t="shared" si="9"/>
        <v>Pass</v>
      </c>
      <c r="H222" s="27">
        <v>1340</v>
      </c>
      <c r="I222" s="28" t="s">
        <v>50</v>
      </c>
      <c r="J222" s="28"/>
    </row>
    <row r="223" spans="1:10" x14ac:dyDescent="0.25">
      <c r="A223" s="140">
        <v>43559</v>
      </c>
      <c r="B223" s="143" t="s">
        <v>27</v>
      </c>
      <c r="C223" s="143">
        <v>3</v>
      </c>
      <c r="D223" s="143">
        <v>8</v>
      </c>
      <c r="E223" s="143">
        <f t="shared" si="8"/>
        <v>5</v>
      </c>
      <c r="F223" s="28">
        <v>50</v>
      </c>
      <c r="G223" s="141" t="str">
        <f t="shared" si="9"/>
        <v>Pass</v>
      </c>
      <c r="H223" s="27">
        <v>1340</v>
      </c>
      <c r="I223" s="28" t="s">
        <v>37</v>
      </c>
      <c r="J223" s="28"/>
    </row>
    <row r="224" spans="1:10" x14ac:dyDescent="0.25">
      <c r="A224" s="140">
        <v>43563</v>
      </c>
      <c r="B224" s="143" t="s">
        <v>27</v>
      </c>
      <c r="C224" s="28">
        <v>9</v>
      </c>
      <c r="D224" s="28">
        <v>13</v>
      </c>
      <c r="E224" s="143">
        <f t="shared" si="8"/>
        <v>4</v>
      </c>
      <c r="F224" s="26">
        <v>50</v>
      </c>
      <c r="G224" s="141" t="str">
        <f t="shared" si="9"/>
        <v>Pass</v>
      </c>
      <c r="H224" s="27">
        <v>1159</v>
      </c>
      <c r="I224" s="28" t="s">
        <v>161</v>
      </c>
      <c r="J224" s="28"/>
    </row>
    <row r="225" spans="1:10" x14ac:dyDescent="0.25">
      <c r="A225" s="140">
        <v>43568</v>
      </c>
      <c r="B225" s="143" t="s">
        <v>27</v>
      </c>
      <c r="C225" s="143">
        <v>11</v>
      </c>
      <c r="D225" s="143">
        <v>13</v>
      </c>
      <c r="E225" s="143">
        <f t="shared" si="8"/>
        <v>2</v>
      </c>
      <c r="F225" s="28">
        <v>50</v>
      </c>
      <c r="G225" s="141" t="str">
        <f t="shared" si="9"/>
        <v>Pass</v>
      </c>
      <c r="H225" s="27">
        <v>1428</v>
      </c>
      <c r="I225" s="28"/>
      <c r="J225" s="28"/>
    </row>
    <row r="226" spans="1:10" x14ac:dyDescent="0.25">
      <c r="A226" s="140">
        <v>43577</v>
      </c>
      <c r="B226" s="143" t="s">
        <v>27</v>
      </c>
      <c r="C226" s="143">
        <v>27</v>
      </c>
      <c r="D226" s="143">
        <v>105</v>
      </c>
      <c r="E226" s="143">
        <f t="shared" si="8"/>
        <v>78</v>
      </c>
      <c r="F226" s="28">
        <v>50</v>
      </c>
      <c r="G226" s="141" t="str">
        <f t="shared" si="9"/>
        <v>Fail</v>
      </c>
      <c r="H226" s="27">
        <v>1428</v>
      </c>
      <c r="I226" s="28"/>
      <c r="J226" s="28"/>
    </row>
    <row r="227" spans="1:10" x14ac:dyDescent="0.25">
      <c r="A227" s="140">
        <v>43577</v>
      </c>
      <c r="B227" s="143" t="s">
        <v>27</v>
      </c>
      <c r="C227" s="143">
        <v>21</v>
      </c>
      <c r="D227" s="143">
        <v>28</v>
      </c>
      <c r="E227" s="143">
        <f t="shared" si="8"/>
        <v>7</v>
      </c>
      <c r="F227" s="28">
        <v>50</v>
      </c>
      <c r="G227" s="141" t="str">
        <f t="shared" si="9"/>
        <v>Pass</v>
      </c>
      <c r="H227" s="27">
        <v>1428</v>
      </c>
      <c r="I227" s="28"/>
      <c r="J227" s="28"/>
    </row>
    <row r="228" spans="1:10" x14ac:dyDescent="0.25">
      <c r="A228" s="140">
        <v>43577</v>
      </c>
      <c r="B228" s="143" t="s">
        <v>27</v>
      </c>
      <c r="C228" s="28">
        <v>30</v>
      </c>
      <c r="D228" s="28">
        <v>31</v>
      </c>
      <c r="E228" s="143">
        <f t="shared" si="8"/>
        <v>1</v>
      </c>
      <c r="F228" s="26">
        <v>50</v>
      </c>
      <c r="G228" s="141" t="str">
        <f t="shared" si="9"/>
        <v>Pass</v>
      </c>
      <c r="H228" s="27">
        <v>121</v>
      </c>
      <c r="I228" s="28" t="s">
        <v>162</v>
      </c>
      <c r="J228" s="28"/>
    </row>
    <row r="229" spans="1:10" x14ac:dyDescent="0.25">
      <c r="A229" s="140">
        <v>43581</v>
      </c>
      <c r="B229" s="143" t="s">
        <v>27</v>
      </c>
      <c r="C229" s="143">
        <v>19</v>
      </c>
      <c r="D229" s="143">
        <v>17</v>
      </c>
      <c r="E229" s="143">
        <f t="shared" si="8"/>
        <v>-2</v>
      </c>
      <c r="F229" s="26">
        <v>50</v>
      </c>
      <c r="G229" s="141" t="str">
        <f t="shared" si="9"/>
        <v>Pass</v>
      </c>
      <c r="H229" s="27">
        <v>74</v>
      </c>
      <c r="I229" s="28" t="s">
        <v>163</v>
      </c>
      <c r="J229" s="28"/>
    </row>
    <row r="230" spans="1:10" x14ac:dyDescent="0.25">
      <c r="A230" s="140">
        <v>43585</v>
      </c>
      <c r="B230" s="143" t="s">
        <v>27</v>
      </c>
      <c r="C230" s="143">
        <v>10</v>
      </c>
      <c r="D230" s="143">
        <v>10</v>
      </c>
      <c r="E230" s="143">
        <f t="shared" si="8"/>
        <v>0</v>
      </c>
      <c r="F230" s="26">
        <v>50</v>
      </c>
      <c r="G230" s="141" t="str">
        <f t="shared" si="9"/>
        <v>Pass</v>
      </c>
      <c r="H230" s="27">
        <v>1340</v>
      </c>
      <c r="I230" s="28" t="s">
        <v>164</v>
      </c>
      <c r="J230" s="28"/>
    </row>
    <row r="231" spans="1:10" x14ac:dyDescent="0.25">
      <c r="A231" s="140">
        <v>43588</v>
      </c>
      <c r="B231" s="143" t="s">
        <v>27</v>
      </c>
      <c r="C231" s="143">
        <v>28</v>
      </c>
      <c r="D231" s="143">
        <v>34</v>
      </c>
      <c r="E231" s="143">
        <f t="shared" si="8"/>
        <v>6</v>
      </c>
      <c r="F231" s="26">
        <v>50</v>
      </c>
      <c r="G231" s="141" t="str">
        <f t="shared" si="9"/>
        <v>Pass</v>
      </c>
      <c r="H231" s="27">
        <v>1340</v>
      </c>
      <c r="I231" s="28"/>
      <c r="J231" s="28"/>
    </row>
    <row r="232" spans="1:10" x14ac:dyDescent="0.25">
      <c r="A232" s="140">
        <v>43591</v>
      </c>
      <c r="B232" s="143" t="s">
        <v>27</v>
      </c>
      <c r="C232" s="143">
        <v>18</v>
      </c>
      <c r="D232" s="143">
        <v>20</v>
      </c>
      <c r="E232" s="143">
        <f t="shared" si="8"/>
        <v>2</v>
      </c>
      <c r="F232" s="28">
        <v>50</v>
      </c>
      <c r="G232" s="141" t="str">
        <f t="shared" si="9"/>
        <v>Pass</v>
      </c>
      <c r="H232" s="27">
        <v>121</v>
      </c>
      <c r="I232" s="28" t="s">
        <v>165</v>
      </c>
      <c r="J232" s="28"/>
    </row>
    <row r="233" spans="1:10" customFormat="1" ht="16.100000000000001" x14ac:dyDescent="0.35">
      <c r="A233" s="140">
        <v>43595</v>
      </c>
      <c r="B233" s="143" t="s">
        <v>27</v>
      </c>
      <c r="C233" s="143">
        <v>50</v>
      </c>
      <c r="D233" s="143">
        <v>49</v>
      </c>
      <c r="E233" s="143">
        <f t="shared" si="8"/>
        <v>-1</v>
      </c>
      <c r="F233" s="28">
        <v>50</v>
      </c>
      <c r="G233" s="141" t="str">
        <f t="shared" si="9"/>
        <v>Pass</v>
      </c>
      <c r="H233" s="27">
        <v>102</v>
      </c>
      <c r="I233" s="28" t="s">
        <v>270</v>
      </c>
      <c r="J233" s="344"/>
    </row>
    <row r="234" spans="1:10" customFormat="1" ht="16.100000000000001" x14ac:dyDescent="0.35">
      <c r="A234" s="140">
        <v>43605</v>
      </c>
      <c r="B234" s="143" t="s">
        <v>27</v>
      </c>
      <c r="C234" s="143">
        <v>27</v>
      </c>
      <c r="D234" s="143">
        <v>33</v>
      </c>
      <c r="E234" s="143">
        <f t="shared" si="8"/>
        <v>6</v>
      </c>
      <c r="F234" s="28">
        <v>50</v>
      </c>
      <c r="G234" s="141" t="str">
        <f t="shared" si="9"/>
        <v>Pass</v>
      </c>
      <c r="H234" s="27">
        <v>74</v>
      </c>
      <c r="I234" s="28" t="s">
        <v>271</v>
      </c>
      <c r="J234" s="344"/>
    </row>
    <row r="235" spans="1:10" x14ac:dyDescent="0.25">
      <c r="A235" s="25"/>
    </row>
    <row r="236" spans="1:10" x14ac:dyDescent="0.25">
      <c r="A236" s="25"/>
    </row>
    <row r="237" spans="1:10" x14ac:dyDescent="0.25">
      <c r="A237" s="25"/>
    </row>
    <row r="238" spans="1:10" x14ac:dyDescent="0.25">
      <c r="A238" s="25"/>
    </row>
    <row r="239" spans="1:10" x14ac:dyDescent="0.25">
      <c r="A239" s="25"/>
    </row>
    <row r="240" spans="1:10" x14ac:dyDescent="0.25">
      <c r="A240" s="25"/>
    </row>
  </sheetData>
  <autoFilter ref="A9:J9"/>
  <mergeCells count="3">
    <mergeCell ref="A1:I1"/>
    <mergeCell ref="G3:I3"/>
    <mergeCell ref="C8:D8"/>
  </mergeCells>
  <conditionalFormatting sqref="H206 G10:G216 G218">
    <cfRule type="cellIs" dxfId="215" priority="33" stopIfTrue="1" operator="equal">
      <formula>"Pass"</formula>
    </cfRule>
    <cfRule type="cellIs" dxfId="214" priority="34" stopIfTrue="1" operator="equal">
      <formula>"Fail"</formula>
    </cfRule>
  </conditionalFormatting>
  <conditionalFormatting sqref="G217">
    <cfRule type="cellIs" dxfId="213" priority="31" stopIfTrue="1" operator="equal">
      <formula>"Pass"</formula>
    </cfRule>
    <cfRule type="cellIs" dxfId="212" priority="32" stopIfTrue="1" operator="equal">
      <formula>"Fail"</formula>
    </cfRule>
  </conditionalFormatting>
  <conditionalFormatting sqref="G219">
    <cfRule type="cellIs" dxfId="211" priority="29" stopIfTrue="1" operator="equal">
      <formula>"Pass"</formula>
    </cfRule>
    <cfRule type="cellIs" dxfId="210" priority="30" stopIfTrue="1" operator="equal">
      <formula>"Fail"</formula>
    </cfRule>
  </conditionalFormatting>
  <conditionalFormatting sqref="G220">
    <cfRule type="cellIs" dxfId="209" priority="27" stopIfTrue="1" operator="equal">
      <formula>"Pass"</formula>
    </cfRule>
    <cfRule type="cellIs" dxfId="208" priority="28" stopIfTrue="1" operator="equal">
      <formula>"Fail"</formula>
    </cfRule>
  </conditionalFormatting>
  <conditionalFormatting sqref="G221">
    <cfRule type="cellIs" dxfId="207" priority="25" stopIfTrue="1" operator="equal">
      <formula>"Pass"</formula>
    </cfRule>
    <cfRule type="cellIs" dxfId="206" priority="26" stopIfTrue="1" operator="equal">
      <formula>"Fail"</formula>
    </cfRule>
  </conditionalFormatting>
  <conditionalFormatting sqref="G222">
    <cfRule type="cellIs" dxfId="205" priority="23" stopIfTrue="1" operator="equal">
      <formula>"Pass"</formula>
    </cfRule>
    <cfRule type="cellIs" dxfId="204" priority="24" stopIfTrue="1" operator="equal">
      <formula>"Fail"</formula>
    </cfRule>
  </conditionalFormatting>
  <conditionalFormatting sqref="G223">
    <cfRule type="cellIs" dxfId="203" priority="21" stopIfTrue="1" operator="equal">
      <formula>"Pass"</formula>
    </cfRule>
    <cfRule type="cellIs" dxfId="202" priority="22" stopIfTrue="1" operator="equal">
      <formula>"Fail"</formula>
    </cfRule>
  </conditionalFormatting>
  <conditionalFormatting sqref="H224">
    <cfRule type="cellIs" dxfId="201" priority="19" stopIfTrue="1" operator="equal">
      <formula>"Pass"</formula>
    </cfRule>
    <cfRule type="cellIs" dxfId="200" priority="20" stopIfTrue="1" operator="equal">
      <formula>"Fail"</formula>
    </cfRule>
  </conditionalFormatting>
  <conditionalFormatting sqref="G224:G227 G230:G232">
    <cfRule type="cellIs" dxfId="199" priority="17" stopIfTrue="1" operator="equal">
      <formula>"Pass"</formula>
    </cfRule>
    <cfRule type="cellIs" dxfId="198" priority="18" stopIfTrue="1" operator="equal">
      <formula>"Fail"</formula>
    </cfRule>
  </conditionalFormatting>
  <conditionalFormatting sqref="G226">
    <cfRule type="cellIs" dxfId="197" priority="15" stopIfTrue="1" operator="equal">
      <formula>"Pass"</formula>
    </cfRule>
    <cfRule type="cellIs" dxfId="196" priority="16" stopIfTrue="1" operator="equal">
      <formula>"Fail"</formula>
    </cfRule>
  </conditionalFormatting>
  <conditionalFormatting sqref="G227 G230:G232">
    <cfRule type="cellIs" dxfId="195" priority="13" stopIfTrue="1" operator="equal">
      <formula>"Pass"</formula>
    </cfRule>
    <cfRule type="cellIs" dxfId="194" priority="14" stopIfTrue="1" operator="equal">
      <formula>"Fail"</formula>
    </cfRule>
  </conditionalFormatting>
  <conditionalFormatting sqref="G228">
    <cfRule type="cellIs" dxfId="193" priority="11" stopIfTrue="1" operator="equal">
      <formula>"Pass"</formula>
    </cfRule>
    <cfRule type="cellIs" dxfId="192" priority="12" stopIfTrue="1" operator="equal">
      <formula>"Fail"</formula>
    </cfRule>
  </conditionalFormatting>
  <conditionalFormatting sqref="G229">
    <cfRule type="cellIs" dxfId="191" priority="9" stopIfTrue="1" operator="equal">
      <formula>"Pass"</formula>
    </cfRule>
    <cfRule type="cellIs" dxfId="190" priority="10" stopIfTrue="1" operator="equal">
      <formula>"Fail"</formula>
    </cfRule>
  </conditionalFormatting>
  <conditionalFormatting sqref="G233:G234">
    <cfRule type="cellIs" dxfId="7" priority="3" stopIfTrue="1" operator="equal">
      <formula>"Pass"</formula>
    </cfRule>
    <cfRule type="cellIs" dxfId="6" priority="4" stopIfTrue="1" operator="equal">
      <formula>"Fail"</formula>
    </cfRule>
  </conditionalFormatting>
  <conditionalFormatting sqref="G233:G234">
    <cfRule type="cellIs" dxfId="3" priority="1" stopIfTrue="1" operator="equal">
      <formula>"Pass"</formula>
    </cfRule>
    <cfRule type="cellIs" dxfId="2"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08"/>
  <sheetViews>
    <sheetView tabSelected="1" topLeftCell="F1065" zoomScale="85" zoomScaleNormal="85" workbookViewId="0">
      <selection activeCell="V1078" sqref="V1078"/>
    </sheetView>
  </sheetViews>
  <sheetFormatPr defaultColWidth="8.26953125" defaultRowHeight="12.75" x14ac:dyDescent="0.25"/>
  <cols>
    <col min="1" max="1" width="13.36328125" style="88" customWidth="1"/>
    <col min="2" max="2" width="8.26953125" style="89"/>
    <col min="3" max="3" width="9.7265625" style="89" customWidth="1"/>
    <col min="4" max="4" width="10.36328125" style="89" bestFit="1" customWidth="1"/>
    <col min="5" max="5" width="12.453125" style="10" customWidth="1"/>
    <col min="6" max="14" width="8.26953125" style="10" customWidth="1"/>
    <col min="15" max="16" width="8.26953125" style="89" customWidth="1"/>
    <col min="17" max="17" width="9.453125" style="89" customWidth="1"/>
    <col min="18" max="18" width="11.7265625" style="89" customWidth="1"/>
    <col min="19" max="19" width="8.26953125" style="35"/>
    <col min="20" max="20" width="8.26953125" style="10"/>
    <col min="21" max="21" width="11.08984375" style="31" customWidth="1"/>
    <col min="22" max="22" width="15.26953125" style="31" customWidth="1"/>
    <col min="23" max="23" width="25.26953125" style="10" customWidth="1"/>
    <col min="24" max="24" width="12.36328125" style="37" customWidth="1"/>
    <col min="25" max="27" width="8.26953125" style="37"/>
    <col min="28" max="28" width="9.36328125" style="31" customWidth="1"/>
    <col min="29" max="29" width="9.36328125" style="31" bestFit="1" customWidth="1"/>
    <col min="30" max="30" width="28.90625" style="10" bestFit="1" customWidth="1"/>
    <col min="31" max="16384" width="8.26953125" style="10"/>
  </cols>
  <sheetData>
    <row r="1" spans="1:31" x14ac:dyDescent="0.25">
      <c r="A1" s="32"/>
      <c r="B1" s="33"/>
      <c r="C1" s="33"/>
      <c r="D1" s="33"/>
      <c r="E1" s="34"/>
      <c r="F1" s="34"/>
      <c r="G1" s="34"/>
      <c r="H1" s="34"/>
      <c r="I1" s="34"/>
      <c r="J1" s="34"/>
      <c r="K1" s="34"/>
      <c r="L1" s="34"/>
      <c r="M1" s="34"/>
      <c r="N1" s="34"/>
      <c r="O1" s="33"/>
      <c r="P1" s="33"/>
      <c r="Q1" s="33"/>
      <c r="R1" s="33"/>
      <c r="T1" s="34"/>
      <c r="U1" s="290"/>
      <c r="V1" s="267"/>
      <c r="W1" s="36"/>
    </row>
    <row r="2" spans="1:31" x14ac:dyDescent="0.25">
      <c r="A2" s="38"/>
      <c r="B2" s="39"/>
      <c r="C2" s="39"/>
      <c r="D2" s="40" t="s">
        <v>166</v>
      </c>
      <c r="E2" s="41" t="s">
        <v>167</v>
      </c>
      <c r="F2" s="42" t="s">
        <v>230</v>
      </c>
      <c r="G2" s="43"/>
      <c r="H2" s="34"/>
      <c r="I2" s="34"/>
      <c r="J2" s="34"/>
      <c r="K2" s="34"/>
      <c r="L2" s="34"/>
      <c r="M2" s="34"/>
      <c r="N2" s="34"/>
      <c r="O2" s="33"/>
      <c r="P2" s="33" t="s">
        <v>168</v>
      </c>
      <c r="Q2" s="33"/>
      <c r="R2" s="33"/>
      <c r="T2" s="34"/>
      <c r="U2" s="290"/>
      <c r="V2" s="267"/>
      <c r="W2" s="36"/>
    </row>
    <row r="3" spans="1:31" x14ac:dyDescent="0.25">
      <c r="A3" s="38"/>
      <c r="B3" s="39"/>
      <c r="C3" s="39"/>
      <c r="D3" s="44" t="s">
        <v>169</v>
      </c>
      <c r="E3" s="28" t="s">
        <v>170</v>
      </c>
      <c r="F3" s="45" t="s">
        <v>171</v>
      </c>
      <c r="G3" s="46"/>
      <c r="H3" s="34"/>
      <c r="I3" s="34"/>
      <c r="J3" s="34"/>
      <c r="K3" s="34"/>
      <c r="L3" s="34"/>
      <c r="M3" s="34"/>
      <c r="N3" s="34"/>
      <c r="O3" s="33"/>
      <c r="P3" s="33"/>
      <c r="Q3" s="33"/>
      <c r="R3" s="33"/>
      <c r="T3" s="34"/>
      <c r="U3" s="290"/>
      <c r="V3" s="267"/>
      <c r="W3" s="36"/>
    </row>
    <row r="4" spans="1:31" x14ac:dyDescent="0.25">
      <c r="A4" s="38"/>
      <c r="B4" s="39"/>
      <c r="C4" s="39"/>
      <c r="D4" s="44" t="s">
        <v>172</v>
      </c>
      <c r="E4" s="28" t="s">
        <v>172</v>
      </c>
      <c r="F4" s="45" t="s">
        <v>173</v>
      </c>
      <c r="G4" s="46"/>
      <c r="H4" s="34"/>
      <c r="I4" s="34"/>
      <c r="J4" s="34"/>
      <c r="K4" s="34"/>
      <c r="L4" s="34"/>
      <c r="M4" s="34"/>
      <c r="N4" s="34"/>
      <c r="O4" s="33"/>
      <c r="P4" s="33"/>
      <c r="Q4" s="33"/>
      <c r="R4" s="33"/>
      <c r="T4" s="34"/>
      <c r="U4" s="290"/>
      <c r="V4" s="267"/>
      <c r="W4" s="36"/>
    </row>
    <row r="5" spans="1:31" x14ac:dyDescent="0.25">
      <c r="A5" s="38"/>
      <c r="B5" s="39"/>
      <c r="C5" s="39"/>
      <c r="D5" s="44" t="s">
        <v>174</v>
      </c>
      <c r="E5" s="28" t="s">
        <v>175</v>
      </c>
      <c r="F5" s="45" t="s">
        <v>176</v>
      </c>
      <c r="G5" s="46"/>
      <c r="H5" s="34"/>
      <c r="I5" s="34"/>
      <c r="J5" s="34"/>
      <c r="K5" s="34"/>
      <c r="L5" s="34"/>
      <c r="M5" s="34"/>
      <c r="N5" s="34"/>
      <c r="O5" s="33"/>
      <c r="P5" s="33"/>
      <c r="Q5" s="33"/>
      <c r="R5" s="33"/>
      <c r="T5" s="34"/>
      <c r="U5" s="290"/>
      <c r="V5" s="267"/>
      <c r="W5" s="36"/>
    </row>
    <row r="6" spans="1:31" x14ac:dyDescent="0.25">
      <c r="A6" s="38"/>
      <c r="B6" s="39"/>
      <c r="C6" s="39"/>
      <c r="D6" s="33"/>
      <c r="E6" s="34"/>
      <c r="F6" s="34"/>
      <c r="G6" s="34"/>
      <c r="H6" s="34"/>
      <c r="I6" s="34"/>
      <c r="J6" s="34"/>
      <c r="K6" s="34"/>
      <c r="L6" s="34"/>
      <c r="M6" s="34"/>
      <c r="N6" s="34"/>
      <c r="O6" s="33"/>
      <c r="P6" s="33"/>
      <c r="Q6" s="33"/>
      <c r="R6" s="33"/>
      <c r="T6" s="34"/>
      <c r="U6" s="290"/>
      <c r="V6" s="267"/>
      <c r="W6" s="36"/>
    </row>
    <row r="7" spans="1:31" x14ac:dyDescent="0.25">
      <c r="A7" s="38"/>
      <c r="B7" s="39"/>
      <c r="C7" s="39"/>
      <c r="D7" s="33"/>
      <c r="E7" s="34"/>
      <c r="F7" s="34"/>
      <c r="G7" s="34"/>
      <c r="H7" s="34"/>
      <c r="I7" s="34"/>
      <c r="J7" s="34"/>
      <c r="K7" s="34"/>
      <c r="L7" s="34"/>
      <c r="M7" s="34"/>
      <c r="N7" s="34"/>
      <c r="O7" s="33"/>
      <c r="P7" s="33"/>
      <c r="Q7" s="33"/>
      <c r="R7" s="33"/>
      <c r="T7" s="34"/>
      <c r="U7" s="291"/>
      <c r="V7" s="267"/>
      <c r="W7" s="36"/>
    </row>
    <row r="8" spans="1:31" s="199" customFormat="1" ht="14.95" thickBot="1" x14ac:dyDescent="0.35">
      <c r="A8" s="196"/>
      <c r="B8" s="197"/>
      <c r="C8" s="197"/>
      <c r="E8" s="306" t="s">
        <v>265</v>
      </c>
      <c r="F8" s="307"/>
      <c r="G8" s="307"/>
      <c r="H8" s="307"/>
      <c r="I8" s="307"/>
      <c r="J8" s="307"/>
      <c r="K8" s="307"/>
      <c r="L8" s="307"/>
      <c r="M8" s="307"/>
      <c r="N8" s="307"/>
      <c r="O8" s="198"/>
      <c r="P8" s="198"/>
      <c r="U8" s="268"/>
      <c r="V8" s="268"/>
      <c r="X8" s="200"/>
      <c r="Y8" s="201"/>
      <c r="Z8" s="202"/>
      <c r="AA8" s="202"/>
      <c r="AB8" s="202"/>
      <c r="AC8" s="202"/>
      <c r="AD8" s="203"/>
      <c r="AE8" s="203"/>
    </row>
    <row r="9" spans="1:31" s="211" customFormat="1" ht="39.9" customHeight="1" thickBot="1" x14ac:dyDescent="0.4">
      <c r="A9" s="204" t="s">
        <v>255</v>
      </c>
      <c r="B9" s="214" t="s">
        <v>166</v>
      </c>
      <c r="C9" s="214" t="s">
        <v>177</v>
      </c>
      <c r="D9" s="205" t="s">
        <v>167</v>
      </c>
      <c r="E9" s="205" t="s">
        <v>260</v>
      </c>
      <c r="F9" s="205">
        <v>1</v>
      </c>
      <c r="G9" s="205">
        <v>2</v>
      </c>
      <c r="H9" s="205">
        <v>3</v>
      </c>
      <c r="I9" s="205">
        <v>4</v>
      </c>
      <c r="J9" s="205">
        <v>5</v>
      </c>
      <c r="K9" s="205">
        <v>6</v>
      </c>
      <c r="L9" s="205">
        <v>7</v>
      </c>
      <c r="M9" s="205">
        <v>8</v>
      </c>
      <c r="N9" s="205">
        <v>9</v>
      </c>
      <c r="O9" s="206" t="s">
        <v>178</v>
      </c>
      <c r="P9" s="206" t="s">
        <v>179</v>
      </c>
      <c r="Q9" s="205" t="s">
        <v>261</v>
      </c>
      <c r="R9" s="207" t="s">
        <v>268</v>
      </c>
      <c r="S9" s="215" t="s">
        <v>180</v>
      </c>
      <c r="T9" s="216" t="s">
        <v>23</v>
      </c>
      <c r="U9" s="207" t="s">
        <v>263</v>
      </c>
      <c r="V9" s="207" t="s">
        <v>264</v>
      </c>
      <c r="W9" s="208" t="s">
        <v>24</v>
      </c>
      <c r="X9" s="209" t="s">
        <v>181</v>
      </c>
      <c r="Y9" s="209" t="s">
        <v>22</v>
      </c>
      <c r="Z9" s="209" t="s">
        <v>182</v>
      </c>
      <c r="AA9" s="209" t="s">
        <v>183</v>
      </c>
      <c r="AB9" s="210" t="s">
        <v>262</v>
      </c>
      <c r="AC9" s="209" t="s">
        <v>184</v>
      </c>
    </row>
    <row r="10" spans="1:31" x14ac:dyDescent="0.25">
      <c r="A10" s="230">
        <v>43101</v>
      </c>
      <c r="B10" s="256" t="s">
        <v>185</v>
      </c>
      <c r="C10" s="53" t="s">
        <v>173</v>
      </c>
      <c r="D10" s="54" t="s">
        <v>172</v>
      </c>
      <c r="E10" s="61" t="s">
        <v>186</v>
      </c>
      <c r="F10" s="31">
        <v>27006.2</v>
      </c>
      <c r="G10" s="31">
        <v>26900.26</v>
      </c>
      <c r="H10" s="31">
        <v>26989.47</v>
      </c>
      <c r="I10" s="31">
        <v>26872.66</v>
      </c>
      <c r="J10" s="31">
        <v>27012.05</v>
      </c>
      <c r="K10" s="31">
        <v>26909.23</v>
      </c>
      <c r="L10" s="31">
        <v>26875.09</v>
      </c>
      <c r="M10" s="31">
        <v>26868.959999999999</v>
      </c>
      <c r="N10" s="31">
        <v>27098.42</v>
      </c>
      <c r="O10" s="55">
        <f>IF((N11=""),"",MAX(F12:N12))</f>
        <v>5246.0699999999961</v>
      </c>
      <c r="P10" s="55">
        <f>IF(N11="","",MIN(F12:N12))</f>
        <v>4466.1000000000022</v>
      </c>
      <c r="Q10" s="56">
        <f>IF((N12=""),"",AVERAGE(F12:N12))</f>
        <v>4816.8533333333326</v>
      </c>
      <c r="R10" s="56">
        <f>IF((N11=""),"",(O10-P10)/(O10+P10)*100)</f>
        <v>8.0308520135046439</v>
      </c>
      <c r="S10" s="152">
        <f>STDEV(F12:N12)</f>
        <v>324.79851004122497</v>
      </c>
      <c r="T10" s="153" t="str">
        <f>IF(N11="","",IF(R10&lt;16,IF(Q10&gt;3200,IF(R10,IF(Q10&lt;5240,"Pass","Fail"),"Fail"),"Fail")))</f>
        <v>Pass</v>
      </c>
      <c r="U10" s="156">
        <v>1428</v>
      </c>
      <c r="V10" s="212"/>
      <c r="W10" s="31"/>
      <c r="X10" s="155">
        <v>4200</v>
      </c>
      <c r="Y10" s="155">
        <v>5500</v>
      </c>
      <c r="Z10" s="155">
        <v>3200</v>
      </c>
      <c r="AA10" s="155">
        <v>5240</v>
      </c>
      <c r="AC10" s="51">
        <v>16</v>
      </c>
    </row>
    <row r="11" spans="1:31" ht="16.100000000000001" x14ac:dyDescent="0.35">
      <c r="A11"/>
      <c r="B11" s="52"/>
      <c r="C11" s="53"/>
      <c r="D11" s="54"/>
      <c r="E11" s="81" t="s">
        <v>187</v>
      </c>
      <c r="F11" s="31">
        <v>25280.63</v>
      </c>
      <c r="G11" s="31">
        <v>25365.97</v>
      </c>
      <c r="H11" s="31">
        <v>25500.77</v>
      </c>
      <c r="I11" s="31">
        <v>25366.39</v>
      </c>
      <c r="J11" s="31">
        <v>25313.21</v>
      </c>
      <c r="K11" s="31">
        <v>25210.959999999999</v>
      </c>
      <c r="L11" s="31">
        <v>25351.21</v>
      </c>
      <c r="M11" s="31">
        <v>25342.91</v>
      </c>
      <c r="N11" s="31">
        <v>25349.73</v>
      </c>
      <c r="O11" s="55"/>
      <c r="P11" s="55"/>
      <c r="Q11" s="56"/>
      <c r="R11" s="56"/>
      <c r="S11" s="152"/>
      <c r="T11" s="153"/>
      <c r="U11" s="156"/>
      <c r="V11" s="212"/>
      <c r="W11" s="31"/>
      <c r="X11" s="157"/>
      <c r="Y11" s="157"/>
      <c r="Z11" s="157"/>
      <c r="AA11" s="157"/>
    </row>
    <row r="12" spans="1:31" ht="22.75" thickBot="1" x14ac:dyDescent="0.4">
      <c r="A12"/>
      <c r="B12" s="57"/>
      <c r="C12" s="58"/>
      <c r="D12" s="59"/>
      <c r="E12" s="81" t="s">
        <v>188</v>
      </c>
      <c r="F12" s="60">
        <f t="shared" ref="F12:N12" si="0">IF(((F10="")*AND(F11="")),"",(F10-F11)*3)</f>
        <v>5176.7099999999991</v>
      </c>
      <c r="G12" s="60">
        <f t="shared" si="0"/>
        <v>4602.8699999999917</v>
      </c>
      <c r="H12" s="60">
        <f t="shared" si="0"/>
        <v>4466.1000000000022</v>
      </c>
      <c r="I12" s="60">
        <f t="shared" si="0"/>
        <v>4518.8100000000013</v>
      </c>
      <c r="J12" s="60">
        <f t="shared" si="0"/>
        <v>5096.5200000000004</v>
      </c>
      <c r="K12" s="60">
        <f t="shared" si="0"/>
        <v>5094.8100000000013</v>
      </c>
      <c r="L12" s="60">
        <f t="shared" si="0"/>
        <v>4571.6400000000031</v>
      </c>
      <c r="M12" s="60">
        <f t="shared" si="0"/>
        <v>4578.1499999999978</v>
      </c>
      <c r="N12" s="60">
        <f t="shared" si="0"/>
        <v>5246.0699999999961</v>
      </c>
      <c r="O12" s="61"/>
      <c r="P12" s="61"/>
      <c r="Q12" s="62"/>
      <c r="R12" s="62"/>
      <c r="S12" s="152"/>
      <c r="T12" s="158"/>
      <c r="U12" s="159"/>
      <c r="V12" s="212"/>
      <c r="W12" s="31"/>
      <c r="X12" s="157"/>
      <c r="Y12" s="157"/>
      <c r="Z12" s="157"/>
      <c r="AA12" s="157"/>
    </row>
    <row r="13" spans="1:31" x14ac:dyDescent="0.25">
      <c r="A13" s="229">
        <v>43101</v>
      </c>
      <c r="B13" s="257" t="s">
        <v>174</v>
      </c>
      <c r="C13" s="53" t="s">
        <v>176</v>
      </c>
      <c r="D13" s="64" t="s">
        <v>175</v>
      </c>
      <c r="E13" s="61" t="s">
        <v>186</v>
      </c>
      <c r="F13" s="31">
        <v>5006.4399999999996</v>
      </c>
      <c r="G13" s="31">
        <v>4938.82</v>
      </c>
      <c r="H13" s="31">
        <v>4944.38</v>
      </c>
      <c r="I13" s="31">
        <v>4917.6899999999996</v>
      </c>
      <c r="J13" s="31">
        <v>4969.63</v>
      </c>
      <c r="K13" s="31">
        <v>5039.08</v>
      </c>
      <c r="L13" s="31">
        <v>4966.6899999999996</v>
      </c>
      <c r="M13" s="31">
        <v>4917.93</v>
      </c>
      <c r="N13" s="31">
        <v>4926.84</v>
      </c>
      <c r="O13" s="55">
        <f>IF((N14=""),"",MAX(F15:N15))</f>
        <v>4079.5000000000009</v>
      </c>
      <c r="P13" s="55">
        <f>IF(N14="","",MIN(F15:N15))</f>
        <v>3811.5</v>
      </c>
      <c r="Q13" s="56">
        <f>IF((N15=""),"",AVERAGE(F15:N15))</f>
        <v>3988.1622222222222</v>
      </c>
      <c r="R13" s="56">
        <f>IF((N14=""),"",(O13-P13)/(O13+P13)*100)</f>
        <v>3.3962742364719412</v>
      </c>
      <c r="S13" s="152">
        <f>STDEV(F15:N15)</f>
        <v>88.395009160271371</v>
      </c>
      <c r="T13" s="160" t="str">
        <f>IF(N14="","",IF(Q13&gt;3650,IF(R13&lt;6.5,IF(Q13&lt;4450,"Pass","Fail"),"Fail"),"Fail"))</f>
        <v>Pass</v>
      </c>
      <c r="U13" s="156">
        <v>1428</v>
      </c>
      <c r="V13" s="212"/>
      <c r="W13" s="31"/>
      <c r="X13" s="155">
        <v>3650</v>
      </c>
      <c r="Y13" s="155">
        <v>4450</v>
      </c>
      <c r="Z13" s="155">
        <v>3700</v>
      </c>
      <c r="AA13" s="155">
        <v>4100</v>
      </c>
      <c r="AB13" s="51">
        <v>7</v>
      </c>
      <c r="AC13" s="51">
        <v>6.5</v>
      </c>
    </row>
    <row r="14" spans="1:31" ht="16.100000000000001" x14ac:dyDescent="0.35">
      <c r="A14"/>
      <c r="B14" s="63"/>
      <c r="C14" s="53"/>
      <c r="D14" s="54"/>
      <c r="E14" s="81" t="s">
        <v>187</v>
      </c>
      <c r="F14" s="31">
        <v>3048.14</v>
      </c>
      <c r="G14" s="31">
        <v>2918.64</v>
      </c>
      <c r="H14" s="31">
        <v>2916.12</v>
      </c>
      <c r="I14" s="31">
        <v>2897.4</v>
      </c>
      <c r="J14" s="31">
        <v>3013.42</v>
      </c>
      <c r="K14" s="31">
        <v>3133.33</v>
      </c>
      <c r="L14" s="31">
        <v>2953.02</v>
      </c>
      <c r="M14" s="31">
        <v>2878.18</v>
      </c>
      <c r="N14" s="31">
        <v>2922.52</v>
      </c>
      <c r="O14" s="55"/>
      <c r="P14" s="55"/>
      <c r="Q14" s="56"/>
      <c r="R14" s="56"/>
      <c r="S14" s="152"/>
      <c r="T14" s="153"/>
      <c r="U14" s="161"/>
      <c r="V14" s="213"/>
      <c r="W14" s="31"/>
      <c r="X14" s="157"/>
      <c r="Y14" s="157"/>
      <c r="Z14" s="157"/>
      <c r="AA14" s="157"/>
    </row>
    <row r="15" spans="1:31" ht="22.75" thickBot="1" x14ac:dyDescent="0.4">
      <c r="A15"/>
      <c r="B15" s="63"/>
      <c r="C15" s="53"/>
      <c r="D15" s="54"/>
      <c r="E15" s="68" t="s">
        <v>188</v>
      </c>
      <c r="F15" s="65">
        <f t="shared" ref="F15:N15" si="1">IF(((F13="")*AND(F14="")),"",(F13-F14)*2)</f>
        <v>3916.5999999999995</v>
      </c>
      <c r="G15" s="65">
        <f t="shared" si="1"/>
        <v>4040.3599999999997</v>
      </c>
      <c r="H15" s="65">
        <f t="shared" si="1"/>
        <v>4056.5200000000004</v>
      </c>
      <c r="I15" s="65">
        <f t="shared" si="1"/>
        <v>4040.579999999999</v>
      </c>
      <c r="J15" s="65">
        <f t="shared" si="1"/>
        <v>3912.42</v>
      </c>
      <c r="K15" s="65">
        <f t="shared" si="1"/>
        <v>3811.5</v>
      </c>
      <c r="L15" s="65">
        <f t="shared" si="1"/>
        <v>4027.3399999999992</v>
      </c>
      <c r="M15" s="65">
        <f t="shared" si="1"/>
        <v>4079.5000000000009</v>
      </c>
      <c r="N15" s="65">
        <f t="shared" si="1"/>
        <v>4008.6400000000003</v>
      </c>
      <c r="O15" s="55"/>
      <c r="P15" s="55"/>
      <c r="Q15" s="56"/>
      <c r="R15" s="56"/>
      <c r="S15" s="152"/>
      <c r="T15" s="153"/>
      <c r="U15" s="161"/>
      <c r="V15" s="213"/>
      <c r="W15" s="31"/>
      <c r="X15" s="157"/>
      <c r="Y15" s="157"/>
      <c r="Z15" s="157"/>
      <c r="AA15" s="157"/>
    </row>
    <row r="16" spans="1:31" x14ac:dyDescent="0.25">
      <c r="A16" s="229">
        <v>43101</v>
      </c>
      <c r="B16" s="257" t="s">
        <v>169</v>
      </c>
      <c r="C16" s="67" t="s">
        <v>171</v>
      </c>
      <c r="D16" s="66" t="s">
        <v>189</v>
      </c>
      <c r="E16" s="81" t="s">
        <v>186</v>
      </c>
      <c r="F16" s="31">
        <v>1936.91</v>
      </c>
      <c r="G16" s="31">
        <v>1898.37</v>
      </c>
      <c r="H16" s="31">
        <v>1772.89</v>
      </c>
      <c r="I16" s="31">
        <v>1929.56</v>
      </c>
      <c r="J16" s="31">
        <v>1941.67</v>
      </c>
      <c r="K16" s="31">
        <v>1934.52</v>
      </c>
      <c r="L16" s="31">
        <v>1928.93</v>
      </c>
      <c r="M16" s="31">
        <v>1843.15</v>
      </c>
      <c r="N16" s="31">
        <v>1940.26</v>
      </c>
      <c r="O16" s="68">
        <f>IF((N17=""),"",MAX(F18:N18))</f>
        <v>2080.56</v>
      </c>
      <c r="P16" s="68">
        <f>IF(N17="","",MIN(F18:N18))</f>
        <v>1651.2000000000003</v>
      </c>
      <c r="Q16" s="69">
        <f>IF((N18=""),"",AVERAGE(F18:N18))</f>
        <v>1961.1566666666663</v>
      </c>
      <c r="R16" s="69">
        <f>IF((N17=""),"",(O16-P16)/(O16+P16)*100)</f>
        <v>11.505563058717593</v>
      </c>
      <c r="S16" s="152">
        <f>STDEV(F18:N18)</f>
        <v>138.47375617784039</v>
      </c>
      <c r="T16" s="162" t="str">
        <f>IF(N17="","",IF(Q16&gt;1940,IF(R16&lt;8.3,IF(Q16&lt;2180,"Pass","Fail"),"Fail"),"Fail"))</f>
        <v>Fail</v>
      </c>
      <c r="U16" s="156">
        <v>1428</v>
      </c>
      <c r="V16" s="212"/>
      <c r="W16" s="31"/>
      <c r="X16" s="155">
        <v>2000</v>
      </c>
      <c r="Y16" s="155">
        <v>3000</v>
      </c>
      <c r="Z16" s="155">
        <v>1940</v>
      </c>
      <c r="AA16" s="155">
        <v>2180</v>
      </c>
      <c r="AC16" s="51">
        <v>5.2</v>
      </c>
    </row>
    <row r="17" spans="1:29" ht="16.100000000000001" x14ac:dyDescent="0.35">
      <c r="A17"/>
      <c r="B17" s="52"/>
      <c r="C17" s="53"/>
      <c r="D17" s="54"/>
      <c r="E17" s="81" t="s">
        <v>187</v>
      </c>
      <c r="F17" s="31">
        <v>1263.0999999999999</v>
      </c>
      <c r="G17" s="31">
        <v>1239.42</v>
      </c>
      <c r="H17" s="31">
        <v>1222.49</v>
      </c>
      <c r="I17" s="31">
        <v>1236.04</v>
      </c>
      <c r="J17" s="31">
        <v>1277.93</v>
      </c>
      <c r="K17" s="31">
        <v>1273.8900000000001</v>
      </c>
      <c r="L17" s="31">
        <v>1238.18</v>
      </c>
      <c r="M17" s="31">
        <v>1234.1300000000001</v>
      </c>
      <c r="N17" s="31">
        <v>1257.6099999999999</v>
      </c>
      <c r="O17" s="55"/>
      <c r="P17" s="55"/>
      <c r="Q17" s="56"/>
      <c r="R17" s="56"/>
      <c r="S17" s="152"/>
      <c r="T17" s="153"/>
      <c r="U17" s="156"/>
      <c r="V17" s="212"/>
      <c r="W17" s="31"/>
      <c r="X17" s="157"/>
      <c r="Y17" s="157"/>
      <c r="Z17" s="157"/>
      <c r="AA17" s="157"/>
    </row>
    <row r="18" spans="1:29" ht="16.649999999999999" thickBot="1" x14ac:dyDescent="0.4">
      <c r="A18"/>
      <c r="B18" s="52"/>
      <c r="C18" s="53"/>
      <c r="D18" s="54"/>
      <c r="E18" s="68" t="s">
        <v>190</v>
      </c>
      <c r="F18" s="65">
        <f t="shared" ref="F18:N18" si="2">IF(((F16="")*AND(F17="")),"",(F16-F17)*3)</f>
        <v>2021.4300000000005</v>
      </c>
      <c r="G18" s="65">
        <f t="shared" si="2"/>
        <v>1976.8499999999995</v>
      </c>
      <c r="H18" s="65">
        <f t="shared" si="2"/>
        <v>1651.2000000000003</v>
      </c>
      <c r="I18" s="65">
        <f t="shared" si="2"/>
        <v>2080.56</v>
      </c>
      <c r="J18" s="65">
        <f t="shared" si="2"/>
        <v>1991.22</v>
      </c>
      <c r="K18" s="65">
        <f t="shared" si="2"/>
        <v>1981.8899999999996</v>
      </c>
      <c r="L18" s="65">
        <f t="shared" si="2"/>
        <v>2072.25</v>
      </c>
      <c r="M18" s="65">
        <f t="shared" si="2"/>
        <v>1827.06</v>
      </c>
      <c r="N18" s="65">
        <f t="shared" si="2"/>
        <v>2047.9500000000003</v>
      </c>
      <c r="O18" s="55"/>
      <c r="P18" s="55"/>
      <c r="Q18" s="56"/>
      <c r="R18" s="56"/>
      <c r="S18" s="152"/>
      <c r="T18" s="153"/>
      <c r="U18" s="156"/>
      <c r="V18" s="212"/>
      <c r="W18" s="31"/>
      <c r="X18" s="157"/>
      <c r="Y18" s="157"/>
      <c r="Z18" s="157"/>
      <c r="AA18" s="157"/>
    </row>
    <row r="19" spans="1:29" x14ac:dyDescent="0.25">
      <c r="A19" s="229">
        <v>43101</v>
      </c>
      <c r="B19" s="257" t="s">
        <v>169</v>
      </c>
      <c r="C19" s="67" t="s">
        <v>171</v>
      </c>
      <c r="D19" s="66" t="s">
        <v>189</v>
      </c>
      <c r="E19" s="81" t="s">
        <v>186</v>
      </c>
      <c r="F19" s="31">
        <v>1972.17</v>
      </c>
      <c r="G19" s="31">
        <v>1968.16</v>
      </c>
      <c r="H19" s="31">
        <v>1963.28</v>
      </c>
      <c r="I19" s="31">
        <v>1968.19</v>
      </c>
      <c r="J19" s="31">
        <v>1977.2</v>
      </c>
      <c r="K19" s="31">
        <v>1973.32</v>
      </c>
      <c r="L19" s="31">
        <v>1966.42</v>
      </c>
      <c r="M19" s="31">
        <v>1971.28</v>
      </c>
      <c r="N19" s="31">
        <v>1975.94</v>
      </c>
      <c r="O19" s="68">
        <f>IF((N20=""),"",MAX(F21:N21))</f>
        <v>2204.88</v>
      </c>
      <c r="P19" s="68">
        <f>IF(N20="","",MIN(F21:N21))</f>
        <v>2097.66</v>
      </c>
      <c r="Q19" s="69">
        <f>IF((N21=""),"",AVERAGE(F21:N21))</f>
        <v>2140.1733333333341</v>
      </c>
      <c r="R19" s="69">
        <f>IF((N20=""),"",(O19-P19)/(O19+P19)*100)</f>
        <v>2.4920163438341132</v>
      </c>
      <c r="S19" s="152">
        <f>STDEV(F21:N21)</f>
        <v>39.538968436215015</v>
      </c>
      <c r="T19" s="162" t="str">
        <f>IF(N20="","",IF(Q19&gt;1940,IF(R19&lt;8.3,IF(Q19&lt;2180,"Pass","Fail"),"Fail"),"Fail"))</f>
        <v>Pass</v>
      </c>
      <c r="U19" s="156">
        <v>1428</v>
      </c>
      <c r="V19" s="212"/>
      <c r="W19" s="31"/>
      <c r="X19" s="155">
        <v>2000</v>
      </c>
      <c r="Y19" s="155">
        <v>3000</v>
      </c>
      <c r="Z19" s="155">
        <v>1940</v>
      </c>
      <c r="AA19" s="155">
        <v>2180</v>
      </c>
      <c r="AC19" s="51">
        <v>5.2</v>
      </c>
    </row>
    <row r="20" spans="1:29" ht="16.100000000000001" x14ac:dyDescent="0.35">
      <c r="A20"/>
      <c r="B20" s="52"/>
      <c r="C20" s="53"/>
      <c r="D20" s="54"/>
      <c r="E20" s="81" t="s">
        <v>187</v>
      </c>
      <c r="F20" s="31">
        <v>1237.21</v>
      </c>
      <c r="G20" s="31">
        <v>1259.05</v>
      </c>
      <c r="H20" s="31">
        <v>1263.21</v>
      </c>
      <c r="I20" s="31">
        <v>1264.44</v>
      </c>
      <c r="J20" s="31">
        <v>1263.49</v>
      </c>
      <c r="K20" s="31">
        <v>1261.25</v>
      </c>
      <c r="L20" s="31">
        <v>1267.2</v>
      </c>
      <c r="M20" s="31">
        <v>1257.8499999999999</v>
      </c>
      <c r="N20" s="31">
        <v>1241.74</v>
      </c>
      <c r="O20" s="55"/>
      <c r="P20" s="55"/>
      <c r="Q20" s="56"/>
      <c r="R20" s="56"/>
      <c r="S20" s="152"/>
      <c r="T20" s="153"/>
      <c r="U20" s="156"/>
      <c r="V20" s="212"/>
      <c r="W20" s="31"/>
      <c r="X20" s="157"/>
      <c r="Y20" s="157"/>
      <c r="Z20" s="157"/>
      <c r="AA20" s="157"/>
    </row>
    <row r="21" spans="1:29" ht="23.3" customHeight="1" thickBot="1" x14ac:dyDescent="0.4">
      <c r="A21"/>
      <c r="B21" s="70"/>
      <c r="C21" s="71"/>
      <c r="D21" s="72"/>
      <c r="E21" s="85" t="s">
        <v>190</v>
      </c>
      <c r="F21" s="73">
        <f t="shared" ref="F21:N21" si="3">IF(((F19="")*AND(F20="")),"",(F19-F20)*3)</f>
        <v>2204.88</v>
      </c>
      <c r="G21" s="73">
        <f t="shared" si="3"/>
        <v>2127.3300000000004</v>
      </c>
      <c r="H21" s="73">
        <f t="shared" si="3"/>
        <v>2100.21</v>
      </c>
      <c r="I21" s="73">
        <f t="shared" si="3"/>
        <v>2111.25</v>
      </c>
      <c r="J21" s="73">
        <f t="shared" si="3"/>
        <v>2141.13</v>
      </c>
      <c r="K21" s="73">
        <f t="shared" si="3"/>
        <v>2136.21</v>
      </c>
      <c r="L21" s="73">
        <f t="shared" si="3"/>
        <v>2097.66</v>
      </c>
      <c r="M21" s="73">
        <f t="shared" si="3"/>
        <v>2140.29</v>
      </c>
      <c r="N21" s="73">
        <f t="shared" si="3"/>
        <v>2202.6000000000004</v>
      </c>
      <c r="O21" s="74"/>
      <c r="P21" s="74"/>
      <c r="Q21" s="75"/>
      <c r="R21" s="75"/>
      <c r="S21" s="152"/>
      <c r="T21" s="163"/>
      <c r="U21" s="164"/>
      <c r="V21" s="212"/>
      <c r="W21" s="31"/>
      <c r="X21" s="157"/>
      <c r="Y21" s="157"/>
      <c r="Z21" s="157"/>
      <c r="AA21" s="157"/>
    </row>
    <row r="22" spans="1:29" x14ac:dyDescent="0.25">
      <c r="A22" s="248">
        <v>43105</v>
      </c>
      <c r="B22" s="258" t="s">
        <v>185</v>
      </c>
      <c r="C22" s="47" t="s">
        <v>173</v>
      </c>
      <c r="D22" s="48" t="s">
        <v>172</v>
      </c>
      <c r="E22" s="79" t="s">
        <v>186</v>
      </c>
      <c r="F22" s="31">
        <v>25260.86</v>
      </c>
      <c r="G22" s="31">
        <v>25351.360000000001</v>
      </c>
      <c r="H22" s="31">
        <v>25483.759999999998</v>
      </c>
      <c r="I22" s="31">
        <v>25362.28</v>
      </c>
      <c r="J22" s="31">
        <v>25302.81</v>
      </c>
      <c r="K22" s="31">
        <v>25201.439999999999</v>
      </c>
      <c r="L22" s="31">
        <v>25346.43</v>
      </c>
      <c r="M22" s="31">
        <v>25338.68</v>
      </c>
      <c r="N22" s="31">
        <v>25332.61</v>
      </c>
      <c r="O22" s="49">
        <f>IF((N23=""),"",MAX(F24:N24))</f>
        <v>5096.6699999999983</v>
      </c>
      <c r="P22" s="49">
        <f>IF(N23="","",MIN(F24:N24))</f>
        <v>4356.8399999999965</v>
      </c>
      <c r="Q22" s="50">
        <f>IF((N24=""),"",AVERAGE(F24:N24))</f>
        <v>4705.3766666666652</v>
      </c>
      <c r="R22" s="50">
        <f>IF((N23=""),"",(O22-P22)/(O22+P22)*100)</f>
        <v>7.8259820955391399</v>
      </c>
      <c r="S22" s="152">
        <f>STDEV(F24:N24)</f>
        <v>318.91898242343859</v>
      </c>
      <c r="T22" s="153" t="str">
        <f>IF(N23="","",IF(R22&lt;16,IF(Q22&gt;3200,IF(R22,IF(Q22&lt;5240,"Pass","Fail"),"Fail"),"Fail")))</f>
        <v>Pass</v>
      </c>
      <c r="U22" s="154" t="s">
        <v>191</v>
      </c>
      <c r="V22" s="212"/>
      <c r="W22" s="31"/>
      <c r="X22" s="155">
        <v>4200</v>
      </c>
      <c r="Y22" s="155">
        <v>5500</v>
      </c>
      <c r="Z22" s="155">
        <v>3200</v>
      </c>
      <c r="AA22" s="155">
        <v>5240</v>
      </c>
      <c r="AC22" s="51">
        <v>16</v>
      </c>
    </row>
    <row r="23" spans="1:29" ht="16.100000000000001" x14ac:dyDescent="0.35">
      <c r="A23"/>
      <c r="B23" s="52"/>
      <c r="C23" s="53"/>
      <c r="D23" s="54"/>
      <c r="E23" s="81" t="s">
        <v>187</v>
      </c>
      <c r="F23" s="31">
        <v>23564.799999999999</v>
      </c>
      <c r="G23" s="31">
        <v>23853.91</v>
      </c>
      <c r="H23" s="31">
        <v>24031.48</v>
      </c>
      <c r="I23" s="31">
        <v>23890.7</v>
      </c>
      <c r="J23" s="31">
        <v>23646.93</v>
      </c>
      <c r="K23" s="31">
        <v>23537.17</v>
      </c>
      <c r="L23" s="31">
        <v>23858.9</v>
      </c>
      <c r="M23" s="31">
        <v>23846.49</v>
      </c>
      <c r="N23" s="31">
        <v>23633.72</v>
      </c>
      <c r="O23" s="55"/>
      <c r="P23" s="55"/>
      <c r="Q23" s="56"/>
      <c r="R23" s="56"/>
      <c r="S23" s="152"/>
      <c r="T23" s="153"/>
      <c r="U23" s="156"/>
      <c r="V23" s="212"/>
      <c r="W23" s="31"/>
      <c r="X23" s="157"/>
      <c r="Y23" s="157"/>
      <c r="Z23" s="157"/>
      <c r="AA23" s="157"/>
    </row>
    <row r="24" spans="1:29" ht="22.75" thickBot="1" x14ac:dyDescent="0.4">
      <c r="A24"/>
      <c r="B24" s="57"/>
      <c r="C24" s="58"/>
      <c r="D24" s="59"/>
      <c r="E24" s="81" t="s">
        <v>188</v>
      </c>
      <c r="F24" s="60">
        <f t="shared" ref="F24:N24" si="4">IF(((F22="")*AND(F23="")),"",(F22-F23)*3)</f>
        <v>5088.1800000000039</v>
      </c>
      <c r="G24" s="60">
        <f t="shared" si="4"/>
        <v>4492.3500000000022</v>
      </c>
      <c r="H24" s="60">
        <f t="shared" si="4"/>
        <v>4356.8399999999965</v>
      </c>
      <c r="I24" s="60">
        <f t="shared" si="4"/>
        <v>4414.7399999999943</v>
      </c>
      <c r="J24" s="60">
        <f t="shared" si="4"/>
        <v>4967.6400000000031</v>
      </c>
      <c r="K24" s="60">
        <f t="shared" si="4"/>
        <v>4992.8100000000013</v>
      </c>
      <c r="L24" s="60">
        <f t="shared" si="4"/>
        <v>4462.5899999999965</v>
      </c>
      <c r="M24" s="60">
        <f t="shared" si="4"/>
        <v>4476.5699999999961</v>
      </c>
      <c r="N24" s="60">
        <f t="shared" si="4"/>
        <v>5096.6699999999983</v>
      </c>
      <c r="O24" s="61"/>
      <c r="P24" s="61"/>
      <c r="Q24" s="62"/>
      <c r="R24" s="62"/>
      <c r="S24" s="152"/>
      <c r="T24" s="158"/>
      <c r="U24" s="159"/>
      <c r="V24" s="212"/>
      <c r="W24" s="31"/>
      <c r="X24" s="157"/>
      <c r="Y24" s="157"/>
      <c r="Z24" s="157"/>
      <c r="AA24" s="157"/>
    </row>
    <row r="25" spans="1:29" x14ac:dyDescent="0.25">
      <c r="A25" s="229">
        <v>43105</v>
      </c>
      <c r="B25" s="257" t="s">
        <v>174</v>
      </c>
      <c r="C25" s="53" t="s">
        <v>176</v>
      </c>
      <c r="D25" s="64" t="s">
        <v>175</v>
      </c>
      <c r="E25" s="61" t="s">
        <v>186</v>
      </c>
      <c r="F25" s="31">
        <v>6871.91</v>
      </c>
      <c r="G25" s="31">
        <v>6867.18</v>
      </c>
      <c r="H25" s="31">
        <v>6881.18</v>
      </c>
      <c r="I25" s="31">
        <v>6844.27</v>
      </c>
      <c r="J25" s="31">
        <v>6838.7</v>
      </c>
      <c r="K25" s="31">
        <v>6864.9</v>
      </c>
      <c r="L25" s="31">
        <v>6891.75</v>
      </c>
      <c r="M25" s="31">
        <v>6866.4</v>
      </c>
      <c r="N25" s="31">
        <v>6838.22</v>
      </c>
      <c r="O25" s="55">
        <f>IF((N26=""),"",MAX(F27:N27))</f>
        <v>4037.3599999999988</v>
      </c>
      <c r="P25" s="55">
        <f>IF(N26="","",MIN(F27:N27))</f>
        <v>3787.16</v>
      </c>
      <c r="Q25" s="56">
        <f>IF((N27=""),"",AVERAGE(F27:N27))</f>
        <v>3951.6644444444441</v>
      </c>
      <c r="R25" s="56">
        <f>IF((N26=""),"",(O25-P25)/(O25+P25)*100)</f>
        <v>3.1976402386344334</v>
      </c>
      <c r="S25" s="152">
        <f>STDEV(F27:N27)</f>
        <v>83.9048644464539</v>
      </c>
      <c r="T25" s="160" t="str">
        <f>IF(N26="","",IF(Q25&gt;3650,IF(R25&lt;6.5,IF(Q25&lt;4450,"Pass","Fail"),"Fail"),"Fail"))</f>
        <v>Pass</v>
      </c>
      <c r="U25" s="154" t="s">
        <v>191</v>
      </c>
      <c r="V25" s="212"/>
      <c r="W25" s="31"/>
      <c r="X25" s="155">
        <v>3650</v>
      </c>
      <c r="Y25" s="155">
        <v>4450</v>
      </c>
      <c r="Z25" s="155">
        <v>3700</v>
      </c>
      <c r="AA25" s="155">
        <v>4100</v>
      </c>
      <c r="AB25" s="51">
        <v>7</v>
      </c>
      <c r="AC25" s="51">
        <v>6.5</v>
      </c>
    </row>
    <row r="26" spans="1:29" ht="16.100000000000001" x14ac:dyDescent="0.35">
      <c r="A26"/>
      <c r="B26" s="63"/>
      <c r="C26" s="53"/>
      <c r="D26" s="54"/>
      <c r="E26" s="81" t="s">
        <v>187</v>
      </c>
      <c r="F26" s="31">
        <v>4927.8999999999996</v>
      </c>
      <c r="G26" s="31">
        <v>4862.95</v>
      </c>
      <c r="H26" s="31">
        <v>4871.5600000000004</v>
      </c>
      <c r="I26" s="31">
        <v>4846.37</v>
      </c>
      <c r="J26" s="31">
        <v>4901.8900000000003</v>
      </c>
      <c r="K26" s="31">
        <v>4971.32</v>
      </c>
      <c r="L26" s="31">
        <v>4893.6899999999996</v>
      </c>
      <c r="M26" s="31">
        <v>4847.72</v>
      </c>
      <c r="N26" s="31">
        <v>4858.62</v>
      </c>
      <c r="O26" s="55"/>
      <c r="P26" s="55"/>
      <c r="Q26" s="56"/>
      <c r="R26" s="56"/>
      <c r="S26" s="152"/>
      <c r="T26" s="153"/>
      <c r="U26" s="161"/>
      <c r="V26" s="213"/>
      <c r="W26" s="31"/>
      <c r="X26" s="157"/>
      <c r="Y26" s="157"/>
      <c r="Z26" s="157"/>
      <c r="AA26" s="157"/>
    </row>
    <row r="27" spans="1:29" ht="22.75" thickBot="1" x14ac:dyDescent="0.4">
      <c r="A27"/>
      <c r="B27" s="63"/>
      <c r="C27" s="53"/>
      <c r="D27" s="54"/>
      <c r="E27" s="68" t="s">
        <v>188</v>
      </c>
      <c r="F27" s="65">
        <f t="shared" ref="F27:N27" si="5">IF(((F25="")*AND(F26="")),"",(F25-F26)*2)</f>
        <v>3888.0200000000004</v>
      </c>
      <c r="G27" s="65">
        <f t="shared" si="5"/>
        <v>4008.4600000000009</v>
      </c>
      <c r="H27" s="65">
        <f t="shared" si="5"/>
        <v>4019.24</v>
      </c>
      <c r="I27" s="65">
        <f t="shared" si="5"/>
        <v>3995.8000000000011</v>
      </c>
      <c r="J27" s="65">
        <f t="shared" si="5"/>
        <v>3873.619999999999</v>
      </c>
      <c r="K27" s="65">
        <f t="shared" si="5"/>
        <v>3787.16</v>
      </c>
      <c r="L27" s="65">
        <f t="shared" si="5"/>
        <v>3996.1200000000008</v>
      </c>
      <c r="M27" s="65">
        <f t="shared" si="5"/>
        <v>4037.3599999999988</v>
      </c>
      <c r="N27" s="65">
        <f t="shared" si="5"/>
        <v>3959.2000000000007</v>
      </c>
      <c r="O27" s="55"/>
      <c r="P27" s="55"/>
      <c r="Q27" s="56"/>
      <c r="R27" s="56"/>
      <c r="S27" s="152"/>
      <c r="T27" s="153"/>
      <c r="U27" s="161"/>
      <c r="V27" s="213"/>
      <c r="W27" s="31"/>
      <c r="X27" s="157"/>
      <c r="Y27" s="157"/>
      <c r="Z27" s="157"/>
      <c r="AA27" s="157"/>
    </row>
    <row r="28" spans="1:29" x14ac:dyDescent="0.25">
      <c r="A28" s="229">
        <v>43105</v>
      </c>
      <c r="B28" s="257" t="s">
        <v>169</v>
      </c>
      <c r="C28" s="67" t="s">
        <v>171</v>
      </c>
      <c r="D28" s="66" t="s">
        <v>189</v>
      </c>
      <c r="E28" s="81" t="s">
        <v>186</v>
      </c>
      <c r="F28" s="31">
        <v>1241.3499999999999</v>
      </c>
      <c r="G28" s="31">
        <v>1261.3</v>
      </c>
      <c r="H28" s="31">
        <v>1260.69</v>
      </c>
      <c r="I28" s="31">
        <v>1267.1199999999999</v>
      </c>
      <c r="J28" s="31">
        <v>1264.3399999999999</v>
      </c>
      <c r="K28" s="31">
        <v>1257.9100000000001</v>
      </c>
      <c r="L28" s="31">
        <v>1268.75</v>
      </c>
      <c r="M28" s="31">
        <v>1258.72</v>
      </c>
      <c r="N28" s="31">
        <v>1246.2</v>
      </c>
      <c r="O28" s="68">
        <f>IF((N29=""),"",MAX(F30:N30))</f>
        <v>2102.52</v>
      </c>
      <c r="P28" s="68">
        <f>IF(N29="","",MIN(F30:N30))</f>
        <v>1969.29</v>
      </c>
      <c r="Q28" s="69">
        <f>IF((N30=""),"",AVERAGE(F30:N30))</f>
        <v>2059.5233333333326</v>
      </c>
      <c r="R28" s="69">
        <f>IF((N29=""),"",(O28-P28)/(O28+P28)*100)</f>
        <v>3.2720092538699008</v>
      </c>
      <c r="S28" s="152">
        <f>STDEV(F30:N30)</f>
        <v>44.640410224369525</v>
      </c>
      <c r="T28" s="162" t="str">
        <f>IF(N29="","",IF(Q28&gt;1940,IF(R28&lt;8.3,IF(Q28&lt;2180,"Pass","Fail"),"Fail"),"Fail"))</f>
        <v>Pass</v>
      </c>
      <c r="U28" s="154" t="s">
        <v>191</v>
      </c>
      <c r="V28" s="212"/>
      <c r="W28" s="31"/>
      <c r="X28" s="155">
        <v>2000</v>
      </c>
      <c r="Y28" s="155">
        <v>3000</v>
      </c>
      <c r="Z28" s="155">
        <v>1940</v>
      </c>
      <c r="AA28" s="155">
        <v>2180</v>
      </c>
      <c r="AC28" s="51">
        <v>5.2</v>
      </c>
    </row>
    <row r="29" spans="1:29" ht="16.100000000000001" x14ac:dyDescent="0.35">
      <c r="A29"/>
      <c r="B29" s="52"/>
      <c r="C29" s="53"/>
      <c r="D29" s="54"/>
      <c r="E29" s="81" t="s">
        <v>187</v>
      </c>
      <c r="F29" s="31">
        <v>554.39</v>
      </c>
      <c r="G29" s="31">
        <v>561.47</v>
      </c>
      <c r="H29" s="31">
        <v>567.94000000000005</v>
      </c>
      <c r="I29" s="31">
        <v>572.88</v>
      </c>
      <c r="J29" s="31">
        <v>607.91</v>
      </c>
      <c r="K29" s="31">
        <v>586.49</v>
      </c>
      <c r="L29" s="31">
        <v>571.97</v>
      </c>
      <c r="M29" s="31">
        <v>557.88</v>
      </c>
      <c r="N29" s="31">
        <v>566.88</v>
      </c>
      <c r="O29" s="55"/>
      <c r="P29" s="55"/>
      <c r="Q29" s="56"/>
      <c r="R29" s="56"/>
      <c r="S29" s="152"/>
      <c r="T29" s="153"/>
      <c r="U29" s="156"/>
      <c r="V29" s="212"/>
      <c r="W29" s="31"/>
      <c r="X29" s="157"/>
      <c r="Y29" s="157"/>
      <c r="Z29" s="157"/>
      <c r="AA29" s="157"/>
    </row>
    <row r="30" spans="1:29" ht="16.649999999999999" thickBot="1" x14ac:dyDescent="0.4">
      <c r="A30"/>
      <c r="B30" s="70"/>
      <c r="C30" s="71"/>
      <c r="D30" s="72"/>
      <c r="E30" s="85" t="s">
        <v>190</v>
      </c>
      <c r="F30" s="73">
        <f t="shared" ref="F30:N30" si="6">IF(((F28="")*AND(F29="")),"",(F28-F29)*3)</f>
        <v>2060.8799999999997</v>
      </c>
      <c r="G30" s="73">
        <f t="shared" si="6"/>
        <v>2099.4899999999998</v>
      </c>
      <c r="H30" s="73">
        <f t="shared" si="6"/>
        <v>2078.25</v>
      </c>
      <c r="I30" s="73">
        <f t="shared" si="6"/>
        <v>2082.7199999999998</v>
      </c>
      <c r="J30" s="73">
        <f t="shared" si="6"/>
        <v>1969.29</v>
      </c>
      <c r="K30" s="73">
        <f t="shared" si="6"/>
        <v>2014.2600000000002</v>
      </c>
      <c r="L30" s="73">
        <f t="shared" si="6"/>
        <v>2090.34</v>
      </c>
      <c r="M30" s="73">
        <f t="shared" si="6"/>
        <v>2102.52</v>
      </c>
      <c r="N30" s="73">
        <f t="shared" si="6"/>
        <v>2037.96</v>
      </c>
      <c r="O30" s="74"/>
      <c r="P30" s="74"/>
      <c r="Q30" s="75"/>
      <c r="R30" s="75"/>
      <c r="S30" s="152"/>
      <c r="T30" s="163"/>
      <c r="U30" s="164"/>
      <c r="V30" s="212"/>
      <c r="W30" s="31"/>
      <c r="X30" s="157"/>
      <c r="Y30" s="157"/>
      <c r="Z30" s="157"/>
      <c r="AA30" s="157"/>
    </row>
    <row r="31" spans="1:29" x14ac:dyDescent="0.25">
      <c r="A31" s="229">
        <v>43109</v>
      </c>
      <c r="B31" s="258" t="s">
        <v>185</v>
      </c>
      <c r="C31" s="47" t="s">
        <v>173</v>
      </c>
      <c r="D31" s="48" t="s">
        <v>172</v>
      </c>
      <c r="E31" s="79" t="s">
        <v>186</v>
      </c>
      <c r="F31" s="31">
        <v>23520.94</v>
      </c>
      <c r="G31" s="31">
        <v>23817.93</v>
      </c>
      <c r="H31" s="31">
        <v>24001.83</v>
      </c>
      <c r="I31" s="31">
        <v>23862.7</v>
      </c>
      <c r="J31" s="31">
        <v>23608.01</v>
      </c>
      <c r="K31" s="31">
        <v>23501.75</v>
      </c>
      <c r="L31" s="31">
        <v>23830</v>
      </c>
      <c r="M31" s="31">
        <v>23811</v>
      </c>
      <c r="N31" s="31">
        <v>23587.06</v>
      </c>
      <c r="O31" s="49">
        <f>IF((N32=""),"",MAX(F33:N33))</f>
        <v>5027.6699999999983</v>
      </c>
      <c r="P31" s="49">
        <f>IF(N32="","",MIN(F33:N33))</f>
        <v>4368.96000000001</v>
      </c>
      <c r="Q31" s="50">
        <f>IF((N33=""),"",AVERAGE(F33:N33))</f>
        <v>4673.4600000000028</v>
      </c>
      <c r="R31" s="50">
        <f>IF((N32=""),"",(O31-P31)/(O31+P31)*100)</f>
        <v>7.0100663748597913</v>
      </c>
      <c r="S31" s="152">
        <f>STDEV(F33:N33)</f>
        <v>302.75820525627074</v>
      </c>
      <c r="T31" s="153" t="str">
        <f>IF(N32="","",IF(R31&lt;16,IF(Q31&gt;3200,IF(R31,IF(Q31&lt;5240,"Pass","Fail"),"Fail"),"Fail")))</f>
        <v>Pass</v>
      </c>
      <c r="U31" s="154">
        <v>1335</v>
      </c>
      <c r="V31" s="212"/>
      <c r="W31" s="31"/>
      <c r="X31" s="155">
        <v>4200</v>
      </c>
      <c r="Y31" s="155">
        <v>5500</v>
      </c>
      <c r="Z31" s="155">
        <v>3200</v>
      </c>
      <c r="AA31" s="155">
        <v>5240</v>
      </c>
      <c r="AC31" s="51">
        <v>16</v>
      </c>
    </row>
    <row r="32" spans="1:29" ht="16.100000000000001" x14ac:dyDescent="0.35">
      <c r="A32"/>
      <c r="B32" s="52"/>
      <c r="C32" s="53"/>
      <c r="D32" s="54"/>
      <c r="E32" s="81" t="s">
        <v>187</v>
      </c>
      <c r="F32" s="31">
        <v>21873.14</v>
      </c>
      <c r="G32" s="31">
        <v>22341.01</v>
      </c>
      <c r="H32" s="31">
        <v>22545.51</v>
      </c>
      <c r="I32" s="31">
        <v>22384.92</v>
      </c>
      <c r="J32" s="31">
        <v>21932.12</v>
      </c>
      <c r="K32" s="31">
        <v>21840.16</v>
      </c>
      <c r="L32" s="31">
        <v>22342.75</v>
      </c>
      <c r="M32" s="31">
        <v>22343.119999999999</v>
      </c>
      <c r="N32" s="31">
        <v>21918.11</v>
      </c>
      <c r="O32" s="55"/>
      <c r="P32" s="55"/>
      <c r="Q32" s="56"/>
      <c r="R32" s="56"/>
      <c r="S32" s="152"/>
      <c r="T32" s="153"/>
      <c r="U32" s="156"/>
      <c r="V32" s="212"/>
      <c r="W32" s="31"/>
      <c r="X32" s="157"/>
      <c r="Y32" s="157"/>
      <c r="Z32" s="157"/>
      <c r="AA32" s="157"/>
    </row>
    <row r="33" spans="1:29" ht="22.75" thickBot="1" x14ac:dyDescent="0.4">
      <c r="A33"/>
      <c r="B33" s="57"/>
      <c r="C33" s="58"/>
      <c r="D33" s="59"/>
      <c r="E33" s="81" t="s">
        <v>188</v>
      </c>
      <c r="F33" s="60">
        <f t="shared" ref="F33:N33" si="7">IF(((F31="")*AND(F32="")),"",(F31-F32)*3)</f>
        <v>4943.3999999999978</v>
      </c>
      <c r="G33" s="60">
        <f t="shared" si="7"/>
        <v>4430.7600000000057</v>
      </c>
      <c r="H33" s="60">
        <f t="shared" si="7"/>
        <v>4368.96000000001</v>
      </c>
      <c r="I33" s="60">
        <f t="shared" si="7"/>
        <v>4433.3400000000074</v>
      </c>
      <c r="J33" s="60">
        <f t="shared" si="7"/>
        <v>5027.6699999999983</v>
      </c>
      <c r="K33" s="60">
        <f t="shared" si="7"/>
        <v>4984.7700000000004</v>
      </c>
      <c r="L33" s="60">
        <f t="shared" si="7"/>
        <v>4461.75</v>
      </c>
      <c r="M33" s="60">
        <f t="shared" si="7"/>
        <v>4403.6400000000031</v>
      </c>
      <c r="N33" s="60">
        <f t="shared" si="7"/>
        <v>5006.8500000000022</v>
      </c>
      <c r="O33" s="61"/>
      <c r="P33" s="61"/>
      <c r="Q33" s="62"/>
      <c r="R33" s="62"/>
      <c r="S33" s="152"/>
      <c r="T33" s="158"/>
      <c r="U33" s="159"/>
      <c r="V33" s="212"/>
      <c r="W33" s="31"/>
      <c r="X33" s="157"/>
      <c r="Y33" s="157"/>
      <c r="Z33" s="157"/>
      <c r="AA33" s="157"/>
    </row>
    <row r="34" spans="1:29" x14ac:dyDescent="0.25">
      <c r="A34" s="229">
        <v>43109</v>
      </c>
      <c r="B34" s="257" t="s">
        <v>174</v>
      </c>
      <c r="C34" s="53" t="s">
        <v>176</v>
      </c>
      <c r="D34" s="64" t="s">
        <v>175</v>
      </c>
      <c r="E34" s="61" t="s">
        <v>186</v>
      </c>
      <c r="F34" s="31">
        <v>4934.08</v>
      </c>
      <c r="G34" s="31">
        <v>4870.7</v>
      </c>
      <c r="H34" s="31">
        <v>4878.93</v>
      </c>
      <c r="I34" s="31">
        <v>4854.3500000000004</v>
      </c>
      <c r="J34" s="31">
        <v>4908.2</v>
      </c>
      <c r="K34" s="31">
        <v>4976.6400000000003</v>
      </c>
      <c r="L34" s="31">
        <v>4900.54</v>
      </c>
      <c r="M34" s="31">
        <v>4855.75</v>
      </c>
      <c r="N34" s="31">
        <v>4866.63</v>
      </c>
      <c r="O34" s="55">
        <f>IF((N35=""),"",MAX(F36:N36))</f>
        <v>4034.0600000000004</v>
      </c>
      <c r="P34" s="55">
        <f>IF(N35="","",MIN(F36:N36))</f>
        <v>3787.6000000000004</v>
      </c>
      <c r="Q34" s="56">
        <f>IF((N36=""),"",AVERAGE(F36:N36))</f>
        <v>3954.4000000000005</v>
      </c>
      <c r="R34" s="56">
        <f>IF((N35=""),"",(O34-P34)/(O34+P34)*100)</f>
        <v>3.1509935231140194</v>
      </c>
      <c r="S34" s="152">
        <f>STDEV(F36:N36)</f>
        <v>87.898112607723334</v>
      </c>
      <c r="T34" s="160" t="str">
        <f>IF(N35="","",IF(Q34&gt;3650,IF(R34&lt;6.5,IF(Q34&lt;4450,"Pass","Fail"),"Fail"),"Fail"))</f>
        <v>Pass</v>
      </c>
      <c r="U34" s="156">
        <v>1335</v>
      </c>
      <c r="V34" s="212"/>
      <c r="W34" s="31"/>
      <c r="X34" s="155">
        <v>3650</v>
      </c>
      <c r="Y34" s="155">
        <v>4450</v>
      </c>
      <c r="Z34" s="155">
        <v>3700</v>
      </c>
      <c r="AA34" s="155">
        <v>4100</v>
      </c>
      <c r="AB34" s="51">
        <v>7</v>
      </c>
      <c r="AC34" s="51">
        <v>6.5</v>
      </c>
    </row>
    <row r="35" spans="1:29" ht="16.100000000000001" x14ac:dyDescent="0.35">
      <c r="A35"/>
      <c r="B35" s="63"/>
      <c r="C35" s="53"/>
      <c r="D35" s="54"/>
      <c r="E35" s="81" t="s">
        <v>187</v>
      </c>
      <c r="F35" s="31">
        <v>2994.16</v>
      </c>
      <c r="G35" s="31">
        <v>2863.28</v>
      </c>
      <c r="H35" s="31">
        <v>2864.1</v>
      </c>
      <c r="I35" s="31">
        <v>2848.08</v>
      </c>
      <c r="J35" s="31">
        <v>2970.88</v>
      </c>
      <c r="K35" s="31">
        <v>3082.84</v>
      </c>
      <c r="L35" s="31">
        <v>2896.07</v>
      </c>
      <c r="M35" s="31">
        <v>2838.72</v>
      </c>
      <c r="N35" s="31">
        <v>2892.89</v>
      </c>
      <c r="O35" s="55"/>
      <c r="P35" s="55"/>
      <c r="Q35" s="56"/>
      <c r="R35" s="56"/>
      <c r="S35" s="152"/>
      <c r="T35" s="153"/>
      <c r="U35" s="161"/>
      <c r="V35" s="213"/>
      <c r="W35" s="31"/>
      <c r="X35" s="157"/>
      <c r="Y35" s="157"/>
      <c r="Z35" s="157"/>
      <c r="AA35" s="157"/>
    </row>
    <row r="36" spans="1:29" ht="22.75" thickBot="1" x14ac:dyDescent="0.4">
      <c r="A36"/>
      <c r="B36" s="63"/>
      <c r="C36" s="53"/>
      <c r="D36" s="54"/>
      <c r="E36" s="68" t="s">
        <v>188</v>
      </c>
      <c r="F36" s="65">
        <f t="shared" ref="F36:N36" si="8">IF(((F34="")*AND(F35="")),"",(F34-F35)*2)</f>
        <v>3879.84</v>
      </c>
      <c r="G36" s="65">
        <f t="shared" si="8"/>
        <v>4014.8399999999992</v>
      </c>
      <c r="H36" s="65">
        <f t="shared" si="8"/>
        <v>4029.6600000000008</v>
      </c>
      <c r="I36" s="65">
        <f t="shared" si="8"/>
        <v>4012.5400000000009</v>
      </c>
      <c r="J36" s="65">
        <f t="shared" si="8"/>
        <v>3874.6399999999994</v>
      </c>
      <c r="K36" s="65">
        <f t="shared" si="8"/>
        <v>3787.6000000000004</v>
      </c>
      <c r="L36" s="65">
        <f t="shared" si="8"/>
        <v>4008.9399999999996</v>
      </c>
      <c r="M36" s="65">
        <f t="shared" si="8"/>
        <v>4034.0600000000004</v>
      </c>
      <c r="N36" s="65">
        <f t="shared" si="8"/>
        <v>3947.4800000000005</v>
      </c>
      <c r="O36" s="55"/>
      <c r="P36" s="55"/>
      <c r="Q36" s="56"/>
      <c r="R36" s="56"/>
      <c r="S36" s="152"/>
      <c r="T36" s="153"/>
      <c r="U36" s="161"/>
      <c r="V36" s="213"/>
      <c r="W36" s="31"/>
      <c r="X36" s="157"/>
      <c r="Y36" s="157"/>
      <c r="Z36" s="157"/>
      <c r="AA36" s="157"/>
    </row>
    <row r="37" spans="1:29" x14ac:dyDescent="0.25">
      <c r="A37" s="229">
        <v>43109</v>
      </c>
      <c r="B37" s="257" t="s">
        <v>169</v>
      </c>
      <c r="C37" s="67" t="s">
        <v>171</v>
      </c>
      <c r="D37" s="66" t="s">
        <v>189</v>
      </c>
      <c r="E37" s="81" t="s">
        <v>186</v>
      </c>
      <c r="F37" s="31">
        <v>1997.29</v>
      </c>
      <c r="G37" s="31">
        <v>1984.86</v>
      </c>
      <c r="H37" s="31">
        <v>1983.45</v>
      </c>
      <c r="I37" s="31">
        <v>1985.15</v>
      </c>
      <c r="J37" s="31">
        <v>2004.59</v>
      </c>
      <c r="K37" s="31">
        <v>2001.53</v>
      </c>
      <c r="L37" s="31">
        <v>1988.45</v>
      </c>
      <c r="M37" s="31">
        <v>1986.23</v>
      </c>
      <c r="N37" s="31">
        <v>2003.12</v>
      </c>
      <c r="O37" s="68">
        <f>IF((N38=""),"",MAX(F39:N39))</f>
        <v>2192.6699999999996</v>
      </c>
      <c r="P37" s="68">
        <f>IF(N38="","",MIN(F39:N39))</f>
        <v>2127.21</v>
      </c>
      <c r="Q37" s="69">
        <f>IF((N39=""),"",AVERAGE(F39:N39))</f>
        <v>2164.8033333333328</v>
      </c>
      <c r="R37" s="69">
        <f>IF((N38=""),"",(O37-P37)/(O37+P37)*100)</f>
        <v>1.5153198699963792</v>
      </c>
      <c r="S37" s="152">
        <f>STDEV(F39:N39)</f>
        <v>23.04076387622597</v>
      </c>
      <c r="T37" s="162" t="str">
        <f>IF(N38="","",IF(Q37&gt;1940,IF(R37&lt;8.3,IF(Q37&lt;2180,"Pass","Fail"),"Fail"),"Fail"))</f>
        <v>Pass</v>
      </c>
      <c r="U37" s="156">
        <v>1335</v>
      </c>
      <c r="V37" s="212"/>
      <c r="W37" s="31"/>
      <c r="X37" s="155">
        <v>2000</v>
      </c>
      <c r="Y37" s="155">
        <v>3000</v>
      </c>
      <c r="Z37" s="155">
        <v>1940</v>
      </c>
      <c r="AA37" s="155">
        <v>2180</v>
      </c>
      <c r="AC37" s="51">
        <v>5.2</v>
      </c>
    </row>
    <row r="38" spans="1:29" ht="16.100000000000001" x14ac:dyDescent="0.35">
      <c r="A38"/>
      <c r="B38" s="52"/>
      <c r="C38" s="53"/>
      <c r="D38" s="54"/>
      <c r="E38" s="81" t="s">
        <v>187</v>
      </c>
      <c r="F38" s="31">
        <v>1271.5899999999999</v>
      </c>
      <c r="G38" s="31">
        <v>1260.22</v>
      </c>
      <c r="H38" s="31">
        <v>1261.3699999999999</v>
      </c>
      <c r="I38" s="31">
        <v>1263.42</v>
      </c>
      <c r="J38" s="31">
        <v>1295.4000000000001</v>
      </c>
      <c r="K38" s="31">
        <v>1292.46</v>
      </c>
      <c r="L38" s="31">
        <v>1265.81</v>
      </c>
      <c r="M38" s="31">
        <v>1257.76</v>
      </c>
      <c r="N38" s="31">
        <v>1272.23</v>
      </c>
      <c r="O38" s="55"/>
      <c r="P38" s="55"/>
      <c r="Q38" s="56"/>
      <c r="R38" s="56"/>
      <c r="S38" s="152"/>
      <c r="T38" s="153"/>
      <c r="U38" s="156"/>
      <c r="V38" s="212"/>
      <c r="W38" s="31"/>
      <c r="X38" s="157"/>
      <c r="Y38" s="157"/>
      <c r="Z38" s="157"/>
      <c r="AA38" s="157"/>
    </row>
    <row r="39" spans="1:29" ht="16.649999999999999" thickBot="1" x14ac:dyDescent="0.4">
      <c r="A39"/>
      <c r="B39" s="70"/>
      <c r="C39" s="71"/>
      <c r="D39" s="72"/>
      <c r="E39" s="85" t="s">
        <v>190</v>
      </c>
      <c r="F39" s="73">
        <f t="shared" ref="F39:N39" si="9">IF(((F37="")*AND(F38="")),"",(F37-F38)*3)</f>
        <v>2177.1000000000004</v>
      </c>
      <c r="G39" s="73">
        <f t="shared" si="9"/>
        <v>2173.9199999999996</v>
      </c>
      <c r="H39" s="73">
        <f t="shared" si="9"/>
        <v>2166.2400000000007</v>
      </c>
      <c r="I39" s="73">
        <f t="shared" si="9"/>
        <v>2165.19</v>
      </c>
      <c r="J39" s="73">
        <f t="shared" si="9"/>
        <v>2127.5699999999997</v>
      </c>
      <c r="K39" s="73">
        <f t="shared" si="9"/>
        <v>2127.21</v>
      </c>
      <c r="L39" s="73">
        <f t="shared" si="9"/>
        <v>2167.92</v>
      </c>
      <c r="M39" s="73">
        <f t="shared" si="9"/>
        <v>2185.41</v>
      </c>
      <c r="N39" s="73">
        <f t="shared" si="9"/>
        <v>2192.6699999999996</v>
      </c>
      <c r="O39" s="74"/>
      <c r="P39" s="74"/>
      <c r="Q39" s="75"/>
      <c r="R39" s="75"/>
      <c r="S39" s="152"/>
      <c r="T39" s="163"/>
      <c r="U39" s="164"/>
      <c r="V39" s="212"/>
      <c r="W39" s="31"/>
      <c r="X39" s="157"/>
      <c r="Y39" s="157"/>
      <c r="Z39" s="157"/>
      <c r="AA39" s="157"/>
    </row>
    <row r="40" spans="1:29" x14ac:dyDescent="0.25">
      <c r="A40" s="229">
        <v>43112</v>
      </c>
      <c r="B40" s="258" t="s">
        <v>185</v>
      </c>
      <c r="C40" s="47" t="s">
        <v>173</v>
      </c>
      <c r="D40" s="48" t="s">
        <v>172</v>
      </c>
      <c r="E40" s="79" t="s">
        <v>186</v>
      </c>
      <c r="F40" s="31">
        <v>21825.39</v>
      </c>
      <c r="G40" s="31">
        <v>22306.080000000002</v>
      </c>
      <c r="H40" s="31">
        <v>22519.56</v>
      </c>
      <c r="I40" s="31">
        <v>22359.25</v>
      </c>
      <c r="J40" s="31">
        <v>21896.59</v>
      </c>
      <c r="K40" s="31">
        <v>21794.63</v>
      </c>
      <c r="L40" s="31">
        <v>22316.19</v>
      </c>
      <c r="M40" s="31">
        <v>22309.51</v>
      </c>
      <c r="N40" s="31">
        <v>21884.23</v>
      </c>
      <c r="O40" s="49">
        <f>IF((N41=""),"",MAX(F42:N42))</f>
        <v>5004.0899999999965</v>
      </c>
      <c r="P40" s="49">
        <f>IF(N41="","",MIN(F42:N42))</f>
        <v>4278.8400000000074</v>
      </c>
      <c r="Q40" s="50">
        <f>IF((N42=""),"",AVERAGE(F42:N42))</f>
        <v>4611.786666666665</v>
      </c>
      <c r="R40" s="50">
        <f>IF((N41=""),"",(O40-P40)/(O40+P40)*100)</f>
        <v>7.8127272315959377</v>
      </c>
      <c r="S40" s="152">
        <f>STDEV(F42:N42)</f>
        <v>316.7750784862958</v>
      </c>
      <c r="T40" s="153" t="str">
        <f>IF(N41="","",IF(R40&lt;16,IF(Q40&gt;3200,IF(R40,IF(Q40&lt;5240,"Pass","Fail"),"Fail"),"Fail")))</f>
        <v>Pass</v>
      </c>
      <c r="U40" s="154" t="s">
        <v>99</v>
      </c>
      <c r="V40" s="212"/>
      <c r="W40" s="31"/>
      <c r="X40" s="155">
        <v>4200</v>
      </c>
      <c r="Y40" s="155">
        <v>5500</v>
      </c>
      <c r="Z40" s="155">
        <v>3200</v>
      </c>
      <c r="AA40" s="155">
        <v>5240</v>
      </c>
      <c r="AC40" s="51">
        <v>16</v>
      </c>
    </row>
    <row r="41" spans="1:29" ht="16.100000000000001" x14ac:dyDescent="0.35">
      <c r="A41"/>
      <c r="B41" s="52"/>
      <c r="C41" s="53"/>
      <c r="D41" s="54"/>
      <c r="E41" s="81" t="s">
        <v>187</v>
      </c>
      <c r="F41" s="31">
        <v>20181.59</v>
      </c>
      <c r="G41" s="31">
        <v>20838.59</v>
      </c>
      <c r="H41" s="31">
        <v>21093.279999999999</v>
      </c>
      <c r="I41" s="31">
        <v>20915.11</v>
      </c>
      <c r="J41" s="31">
        <v>20245.740000000002</v>
      </c>
      <c r="K41" s="31">
        <v>20167.560000000001</v>
      </c>
      <c r="L41" s="31">
        <v>20864.150000000001</v>
      </c>
      <c r="M41" s="31">
        <v>20853.849999999999</v>
      </c>
      <c r="N41" s="31">
        <v>20216.2</v>
      </c>
      <c r="O41" s="55"/>
      <c r="P41" s="55"/>
      <c r="Q41" s="56"/>
      <c r="R41" s="56"/>
      <c r="S41" s="152"/>
      <c r="T41" s="153"/>
      <c r="U41" s="156"/>
      <c r="V41" s="212"/>
      <c r="W41" s="31"/>
      <c r="X41" s="157"/>
      <c r="Y41" s="157"/>
      <c r="Z41" s="157"/>
      <c r="AA41" s="157"/>
    </row>
    <row r="42" spans="1:29" ht="22.75" thickBot="1" x14ac:dyDescent="0.4">
      <c r="A42"/>
      <c r="B42" s="57"/>
      <c r="C42" s="58"/>
      <c r="D42" s="59"/>
      <c r="E42" s="81" t="s">
        <v>188</v>
      </c>
      <c r="F42" s="60">
        <f t="shared" ref="F42:N42" si="10">IF(((F40="")*AND(F41="")),"",(F40-F41)*3)</f>
        <v>4931.3999999999978</v>
      </c>
      <c r="G42" s="60">
        <f t="shared" si="10"/>
        <v>4402.4700000000048</v>
      </c>
      <c r="H42" s="60">
        <f t="shared" si="10"/>
        <v>4278.8400000000074</v>
      </c>
      <c r="I42" s="60">
        <f t="shared" si="10"/>
        <v>4332.4199999999983</v>
      </c>
      <c r="J42" s="60">
        <f t="shared" si="10"/>
        <v>4952.5499999999956</v>
      </c>
      <c r="K42" s="60">
        <f t="shared" si="10"/>
        <v>4881.2099999999991</v>
      </c>
      <c r="L42" s="60">
        <f t="shared" si="10"/>
        <v>4356.1199999999917</v>
      </c>
      <c r="M42" s="60">
        <f t="shared" si="10"/>
        <v>4366.9799999999996</v>
      </c>
      <c r="N42" s="60">
        <f t="shared" si="10"/>
        <v>5004.0899999999965</v>
      </c>
      <c r="O42" s="61"/>
      <c r="P42" s="61"/>
      <c r="Q42" s="62"/>
      <c r="R42" s="62"/>
      <c r="S42" s="152"/>
      <c r="T42" s="158"/>
      <c r="U42" s="159"/>
      <c r="V42" s="212"/>
      <c r="W42" s="31"/>
      <c r="X42" s="157"/>
      <c r="Y42" s="157"/>
      <c r="Z42" s="157"/>
      <c r="AA42" s="157"/>
    </row>
    <row r="43" spans="1:29" x14ac:dyDescent="0.25">
      <c r="A43" s="229">
        <v>43112</v>
      </c>
      <c r="B43" s="257" t="s">
        <v>174</v>
      </c>
      <c r="C43" s="53" t="s">
        <v>176</v>
      </c>
      <c r="D43" s="64" t="s">
        <v>175</v>
      </c>
      <c r="E43" s="61" t="s">
        <v>186</v>
      </c>
      <c r="F43" s="31">
        <v>3000.74</v>
      </c>
      <c r="G43" s="31">
        <v>2869.49</v>
      </c>
      <c r="H43" s="31">
        <v>2870.67</v>
      </c>
      <c r="I43" s="31">
        <v>2853.94</v>
      </c>
      <c r="J43" s="31">
        <v>2976.28</v>
      </c>
      <c r="K43" s="31">
        <v>3089.63</v>
      </c>
      <c r="L43" s="31">
        <v>2902.31</v>
      </c>
      <c r="M43" s="31">
        <v>2844.48</v>
      </c>
      <c r="N43" s="31">
        <v>2898.61</v>
      </c>
      <c r="O43" s="55">
        <f>IF((N44=""),"",MAX(F45:N45))</f>
        <v>3993.1000000000004</v>
      </c>
      <c r="P43" s="55">
        <f>IF(N44="","",MIN(F45:N45))</f>
        <v>3760.2200000000003</v>
      </c>
      <c r="Q43" s="56">
        <f>IF((N45=""),"",AVERAGE(F45:N45))</f>
        <v>3917.0911111111118</v>
      </c>
      <c r="R43" s="56">
        <f>IF((N44=""),"",(O43-P43)/(O43+P43)*100)</f>
        <v>3.0036165152476628</v>
      </c>
      <c r="S43" s="152">
        <f>STDEV(F45:N45)</f>
        <v>82.911870749073671</v>
      </c>
      <c r="T43" s="160" t="str">
        <f>IF(N44="","",IF(Q43&gt;3650,IF(R43&lt;6.5,IF(Q43&lt;4450,"Pass","Fail"),"Fail"),"Fail"))</f>
        <v>Pass</v>
      </c>
      <c r="U43" s="154" t="s">
        <v>99</v>
      </c>
      <c r="V43" s="212"/>
      <c r="W43" s="31"/>
      <c r="X43" s="155">
        <v>3650</v>
      </c>
      <c r="Y43" s="155">
        <v>4450</v>
      </c>
      <c r="Z43" s="155">
        <v>3700</v>
      </c>
      <c r="AA43" s="155">
        <v>4100</v>
      </c>
      <c r="AB43" s="51">
        <v>7</v>
      </c>
      <c r="AC43" s="51">
        <v>6.5</v>
      </c>
    </row>
    <row r="44" spans="1:29" ht="16.100000000000001" x14ac:dyDescent="0.35">
      <c r="A44"/>
      <c r="B44" s="63"/>
      <c r="C44" s="53"/>
      <c r="D44" s="54"/>
      <c r="E44" s="81" t="s">
        <v>187</v>
      </c>
      <c r="F44" s="31">
        <v>1076.27</v>
      </c>
      <c r="G44" s="31">
        <v>884.29</v>
      </c>
      <c r="H44" s="31">
        <v>874.12</v>
      </c>
      <c r="I44" s="31">
        <v>869.47</v>
      </c>
      <c r="J44" s="31">
        <v>1055.02</v>
      </c>
      <c r="K44" s="31">
        <v>1209.52</v>
      </c>
      <c r="L44" s="31">
        <v>914.63</v>
      </c>
      <c r="M44" s="31">
        <v>849.48</v>
      </c>
      <c r="N44" s="31">
        <v>946.44</v>
      </c>
      <c r="O44" s="55"/>
      <c r="P44" s="55"/>
      <c r="Q44" s="56"/>
      <c r="R44" s="56"/>
      <c r="S44" s="152"/>
      <c r="T44" s="153"/>
      <c r="U44" s="161"/>
      <c r="V44" s="213"/>
      <c r="W44" s="31"/>
      <c r="X44" s="157"/>
      <c r="Y44" s="157"/>
      <c r="Z44" s="157"/>
      <c r="AA44" s="157"/>
    </row>
    <row r="45" spans="1:29" ht="22.75" thickBot="1" x14ac:dyDescent="0.4">
      <c r="A45"/>
      <c r="B45" s="63"/>
      <c r="C45" s="53"/>
      <c r="D45" s="54"/>
      <c r="E45" s="68" t="s">
        <v>188</v>
      </c>
      <c r="F45" s="65">
        <f t="shared" ref="F45:N45" si="11">IF(((F43="")*AND(F44="")),"",(F43-F44)*2)</f>
        <v>3848.9399999999996</v>
      </c>
      <c r="G45" s="65">
        <f t="shared" si="11"/>
        <v>3970.3999999999996</v>
      </c>
      <c r="H45" s="65">
        <f t="shared" si="11"/>
        <v>3993.1000000000004</v>
      </c>
      <c r="I45" s="65">
        <f t="shared" si="11"/>
        <v>3968.94</v>
      </c>
      <c r="J45" s="65">
        <f t="shared" si="11"/>
        <v>3842.5200000000004</v>
      </c>
      <c r="K45" s="65">
        <f t="shared" si="11"/>
        <v>3760.2200000000003</v>
      </c>
      <c r="L45" s="65">
        <f t="shared" si="11"/>
        <v>3975.3599999999997</v>
      </c>
      <c r="M45" s="65">
        <f t="shared" si="11"/>
        <v>3990</v>
      </c>
      <c r="N45" s="65">
        <f t="shared" si="11"/>
        <v>3904.34</v>
      </c>
      <c r="O45" s="55"/>
      <c r="P45" s="55"/>
      <c r="Q45" s="56"/>
      <c r="R45" s="56"/>
      <c r="S45" s="152"/>
      <c r="T45" s="153"/>
      <c r="U45" s="161"/>
      <c r="V45" s="213"/>
      <c r="W45" s="31"/>
      <c r="X45" s="157"/>
      <c r="Y45" s="157"/>
      <c r="Z45" s="157"/>
      <c r="AA45" s="157"/>
    </row>
    <row r="46" spans="1:29" x14ac:dyDescent="0.25">
      <c r="A46" s="229">
        <v>43112</v>
      </c>
      <c r="B46" s="257" t="s">
        <v>169</v>
      </c>
      <c r="C46" s="67" t="s">
        <v>171</v>
      </c>
      <c r="D46" s="66" t="s">
        <v>189</v>
      </c>
      <c r="E46" s="81" t="s">
        <v>186</v>
      </c>
      <c r="F46" s="31">
        <v>1272.6600000000001</v>
      </c>
      <c r="G46" s="31">
        <v>1263.22</v>
      </c>
      <c r="H46" s="31">
        <v>1258.07</v>
      </c>
      <c r="I46" s="31">
        <v>1264.29</v>
      </c>
      <c r="J46" s="31">
        <v>1298.04</v>
      </c>
      <c r="K46" s="31">
        <v>1295.42</v>
      </c>
      <c r="L46" s="31">
        <v>1270.83</v>
      </c>
      <c r="M46" s="31">
        <v>1260.01</v>
      </c>
      <c r="N46" s="31">
        <v>1275.19</v>
      </c>
      <c r="O46" s="68">
        <f>IF((N47=""),"",MAX(F48:N48))</f>
        <v>2093.67</v>
      </c>
      <c r="P46" s="68">
        <f>IF(N47="","",MIN(F48:N48))</f>
        <v>1981.98</v>
      </c>
      <c r="Q46" s="69">
        <f>IF((N48=""),"",AVERAGE(F48:N48))</f>
        <v>2046.7799999999997</v>
      </c>
      <c r="R46" s="69">
        <f>IF((N47=""),"",(O46-P46)/(O46+P46)*100)</f>
        <v>2.7404217732140896</v>
      </c>
      <c r="S46" s="152">
        <f>STDEV(F48:N48)</f>
        <v>43.927865586663643</v>
      </c>
      <c r="T46" s="162" t="str">
        <f>IF(N47="","",IF(Q46&gt;1940,IF(R46&lt;8.3,IF(Q46&lt;2180,"Pass","Fail"),"Fail"),"Fail"))</f>
        <v>Pass</v>
      </c>
      <c r="U46" s="154" t="s">
        <v>99</v>
      </c>
      <c r="V46" s="212"/>
      <c r="W46" s="31"/>
      <c r="X46" s="155">
        <v>2000</v>
      </c>
      <c r="Y46" s="155">
        <v>3000</v>
      </c>
      <c r="Z46" s="155">
        <v>1940</v>
      </c>
      <c r="AA46" s="155">
        <v>2180</v>
      </c>
      <c r="AC46" s="51">
        <v>5.2</v>
      </c>
    </row>
    <row r="47" spans="1:29" ht="16.100000000000001" x14ac:dyDescent="0.35">
      <c r="A47"/>
      <c r="B47" s="52"/>
      <c r="C47" s="53"/>
      <c r="D47" s="54"/>
      <c r="E47" s="81" t="s">
        <v>187</v>
      </c>
      <c r="F47" s="31">
        <v>602.71</v>
      </c>
      <c r="G47" s="31">
        <v>569.46</v>
      </c>
      <c r="H47" s="31">
        <v>569.15</v>
      </c>
      <c r="I47" s="31">
        <v>568.32000000000005</v>
      </c>
      <c r="J47" s="31">
        <v>637.38</v>
      </c>
      <c r="K47" s="31">
        <v>631.23</v>
      </c>
      <c r="L47" s="31">
        <v>577.62</v>
      </c>
      <c r="M47" s="31">
        <v>562.12</v>
      </c>
      <c r="N47" s="31">
        <v>599.4</v>
      </c>
      <c r="O47" s="55"/>
      <c r="P47" s="55"/>
      <c r="Q47" s="56"/>
      <c r="R47" s="56"/>
      <c r="S47" s="152"/>
      <c r="T47" s="153"/>
      <c r="U47" s="156"/>
      <c r="V47" s="212"/>
      <c r="W47" s="31"/>
      <c r="X47" s="157"/>
      <c r="Y47" s="157"/>
      <c r="Z47" s="157"/>
      <c r="AA47" s="157"/>
    </row>
    <row r="48" spans="1:29" ht="16.649999999999999" thickBot="1" x14ac:dyDescent="0.4">
      <c r="A48"/>
      <c r="B48" s="70"/>
      <c r="C48" s="71"/>
      <c r="D48" s="72"/>
      <c r="E48" s="85" t="s">
        <v>190</v>
      </c>
      <c r="F48" s="73">
        <f t="shared" ref="F48:N48" si="12">IF(((F46="")*AND(F47="")),"",(F46-F47)*3)</f>
        <v>2009.8500000000001</v>
      </c>
      <c r="G48" s="73">
        <f t="shared" si="12"/>
        <v>2081.2799999999997</v>
      </c>
      <c r="H48" s="73">
        <f t="shared" si="12"/>
        <v>2066.7599999999998</v>
      </c>
      <c r="I48" s="73">
        <f t="shared" si="12"/>
        <v>2087.91</v>
      </c>
      <c r="J48" s="73">
        <f t="shared" si="12"/>
        <v>1981.98</v>
      </c>
      <c r="K48" s="73">
        <f t="shared" si="12"/>
        <v>1992.5700000000002</v>
      </c>
      <c r="L48" s="73">
        <f t="shared" si="12"/>
        <v>2079.6299999999997</v>
      </c>
      <c r="M48" s="73">
        <f t="shared" si="12"/>
        <v>2093.67</v>
      </c>
      <c r="N48" s="73">
        <f t="shared" si="12"/>
        <v>2027.3700000000003</v>
      </c>
      <c r="O48" s="74"/>
      <c r="P48" s="74"/>
      <c r="Q48" s="75"/>
      <c r="R48" s="75"/>
      <c r="S48" s="152"/>
      <c r="T48" s="163"/>
      <c r="U48" s="164"/>
      <c r="V48" s="212"/>
      <c r="W48" s="31"/>
      <c r="X48" s="157"/>
      <c r="Y48" s="157"/>
      <c r="Z48" s="157"/>
      <c r="AA48" s="157"/>
    </row>
    <row r="49" spans="1:29" x14ac:dyDescent="0.25">
      <c r="A49" s="229">
        <v>43117</v>
      </c>
      <c r="B49" s="258" t="s">
        <v>185</v>
      </c>
      <c r="C49" s="47" t="s">
        <v>173</v>
      </c>
      <c r="D49" s="48" t="s">
        <v>172</v>
      </c>
      <c r="E49" s="79" t="s">
        <v>186</v>
      </c>
      <c r="F49" s="31">
        <v>29273.24</v>
      </c>
      <c r="G49" s="31">
        <v>29088.080000000002</v>
      </c>
      <c r="H49" s="31">
        <v>29090.71</v>
      </c>
      <c r="I49" s="31">
        <v>29105.9</v>
      </c>
      <c r="J49" s="31">
        <v>29320.54</v>
      </c>
      <c r="K49" s="31">
        <v>29262.65</v>
      </c>
      <c r="L49" s="31">
        <v>29079.57</v>
      </c>
      <c r="M49" s="31">
        <v>29085.07</v>
      </c>
      <c r="N49" s="31">
        <v>29309.11</v>
      </c>
      <c r="O49" s="49">
        <f>IF((N50=""),"",MAX(F51:N51))</f>
        <v>4665.9599999999991</v>
      </c>
      <c r="P49" s="49">
        <f>IF(N50="","",MIN(F51:N51))</f>
        <v>3969.75</v>
      </c>
      <c r="Q49" s="50">
        <f>IF((N51=""),"",AVERAGE(F51:N51))</f>
        <v>4287.3100000000013</v>
      </c>
      <c r="R49" s="50">
        <f>IF((N50=""),"",(O49-P49)/(O49+P49)*100)</f>
        <v>8.061989112649675</v>
      </c>
      <c r="S49" s="152">
        <f>STDEV(F51:N51)</f>
        <v>293.31326286923996</v>
      </c>
      <c r="T49" s="153" t="str">
        <f>IF(N50="","",IF(R49&lt;16,IF(Q49&gt;3200,IF(R49,IF(Q49&lt;5240,"Pass","Fail"),"Fail"),"Fail")))</f>
        <v>Pass</v>
      </c>
      <c r="U49" s="154">
        <v>1428</v>
      </c>
      <c r="V49" s="212"/>
      <c r="W49" s="31"/>
      <c r="X49" s="155">
        <v>4200</v>
      </c>
      <c r="Y49" s="155">
        <v>5500</v>
      </c>
      <c r="Z49" s="155">
        <v>3200</v>
      </c>
      <c r="AA49" s="155">
        <v>5240</v>
      </c>
      <c r="AC49" s="51">
        <v>16</v>
      </c>
    </row>
    <row r="50" spans="1:29" ht="16.100000000000001" x14ac:dyDescent="0.35">
      <c r="A50"/>
      <c r="B50" s="52"/>
      <c r="C50" s="53"/>
      <c r="D50" s="54"/>
      <c r="E50" s="81" t="s">
        <v>187</v>
      </c>
      <c r="F50" s="31">
        <v>27768.29</v>
      </c>
      <c r="G50" s="31">
        <v>27739.24</v>
      </c>
      <c r="H50" s="31">
        <v>27767.46</v>
      </c>
      <c r="I50" s="31">
        <v>27741.91</v>
      </c>
      <c r="J50" s="31">
        <v>27767.84</v>
      </c>
      <c r="K50" s="31">
        <v>27755.81</v>
      </c>
      <c r="L50" s="31">
        <v>27728.39</v>
      </c>
      <c r="M50" s="31">
        <v>27730.21</v>
      </c>
      <c r="N50" s="31">
        <v>27753.79</v>
      </c>
      <c r="O50" s="55"/>
      <c r="P50" s="55"/>
      <c r="Q50" s="56"/>
      <c r="R50" s="56"/>
      <c r="S50" s="152"/>
      <c r="T50" s="153"/>
      <c r="U50" s="156"/>
      <c r="V50" s="212"/>
      <c r="W50" s="31"/>
      <c r="X50" s="157"/>
      <c r="Y50" s="157"/>
      <c r="Z50" s="157"/>
      <c r="AA50" s="157"/>
    </row>
    <row r="51" spans="1:29" ht="22.75" thickBot="1" x14ac:dyDescent="0.4">
      <c r="A51"/>
      <c r="B51" s="57"/>
      <c r="C51" s="58"/>
      <c r="D51" s="59"/>
      <c r="E51" s="81" t="s">
        <v>188</v>
      </c>
      <c r="F51" s="60">
        <f t="shared" ref="F51:N51" si="13">IF(((F49="")*AND(F50="")),"",(F49-F50)*3)</f>
        <v>4514.8500000000022</v>
      </c>
      <c r="G51" s="60">
        <f t="shared" si="13"/>
        <v>4046.5200000000004</v>
      </c>
      <c r="H51" s="60">
        <f t="shared" si="13"/>
        <v>3969.75</v>
      </c>
      <c r="I51" s="60">
        <f t="shared" si="13"/>
        <v>4091.9700000000048</v>
      </c>
      <c r="J51" s="60">
        <f t="shared" si="13"/>
        <v>4658.1000000000022</v>
      </c>
      <c r="K51" s="60">
        <f t="shared" si="13"/>
        <v>4520.5200000000004</v>
      </c>
      <c r="L51" s="60">
        <f t="shared" si="13"/>
        <v>4053.5400000000009</v>
      </c>
      <c r="M51" s="60">
        <f t="shared" si="13"/>
        <v>4064.5800000000017</v>
      </c>
      <c r="N51" s="60">
        <f t="shared" si="13"/>
        <v>4665.9599999999991</v>
      </c>
      <c r="O51" s="61"/>
      <c r="P51" s="61"/>
      <c r="Q51" s="62"/>
      <c r="R51" s="62"/>
      <c r="S51" s="152"/>
      <c r="T51" s="158"/>
      <c r="U51" s="159"/>
      <c r="V51" s="212"/>
      <c r="W51" s="31"/>
      <c r="X51" s="157"/>
      <c r="Y51" s="157"/>
      <c r="Z51" s="157"/>
      <c r="AA51" s="157"/>
    </row>
    <row r="52" spans="1:29" x14ac:dyDescent="0.25">
      <c r="A52" s="229">
        <v>43117</v>
      </c>
      <c r="B52" s="257" t="s">
        <v>174</v>
      </c>
      <c r="C52" s="53" t="s">
        <v>176</v>
      </c>
      <c r="D52" s="64" t="s">
        <v>175</v>
      </c>
      <c r="E52" s="61" t="s">
        <v>186</v>
      </c>
      <c r="F52" s="31">
        <v>7011.87</v>
      </c>
      <c r="G52" s="31">
        <v>6985.21</v>
      </c>
      <c r="H52" s="31">
        <v>7001.31</v>
      </c>
      <c r="I52" s="31">
        <v>6976.16</v>
      </c>
      <c r="J52" s="31">
        <v>7008.16</v>
      </c>
      <c r="K52" s="31">
        <v>7025.95</v>
      </c>
      <c r="L52" s="31">
        <v>7020.98</v>
      </c>
      <c r="M52" s="31">
        <v>6989.85</v>
      </c>
      <c r="N52" s="31">
        <v>6990.55</v>
      </c>
      <c r="O52" s="55">
        <f>IF((N53=""),"",MAX(F54:N54))</f>
        <v>4046.1000000000004</v>
      </c>
      <c r="P52" s="55">
        <f>IF(N53="","",MIN(F54:N54))</f>
        <v>3776.8799999999992</v>
      </c>
      <c r="Q52" s="56">
        <f>IF((N54=""),"",AVERAGE(F54:N54))</f>
        <v>3953.8844444444444</v>
      </c>
      <c r="R52" s="56">
        <f>IF((N53=""),"",(O52-P52)/(O52+P52)*100)</f>
        <v>3.4413995689622263</v>
      </c>
      <c r="S52" s="152">
        <f>STDEV(F54:N54)</f>
        <v>90.811766185763773</v>
      </c>
      <c r="T52" s="160" t="str">
        <f>IF(N53="","",IF(Q52&gt;3650,IF(R52&lt;6.5,IF(Q52&lt;4450,"Pass","Fail"),"Fail"),"Fail"))</f>
        <v>Pass</v>
      </c>
      <c r="U52" s="156">
        <v>1428</v>
      </c>
      <c r="V52" s="212"/>
      <c r="W52" s="31"/>
      <c r="X52" s="155">
        <v>3650</v>
      </c>
      <c r="Y52" s="155">
        <v>4450</v>
      </c>
      <c r="Z52" s="155">
        <v>3700</v>
      </c>
      <c r="AA52" s="155">
        <v>4100</v>
      </c>
      <c r="AB52" s="51">
        <v>7</v>
      </c>
      <c r="AC52" s="51">
        <v>6.5</v>
      </c>
    </row>
    <row r="53" spans="1:29" ht="16.100000000000001" x14ac:dyDescent="0.35">
      <c r="A53"/>
      <c r="B53" s="63"/>
      <c r="C53" s="53"/>
      <c r="D53" s="54"/>
      <c r="E53" s="81" t="s">
        <v>187</v>
      </c>
      <c r="F53" s="31">
        <v>5077.16</v>
      </c>
      <c r="G53" s="31">
        <v>4983.58</v>
      </c>
      <c r="H53" s="31">
        <v>4985.83</v>
      </c>
      <c r="I53" s="31">
        <v>4969.2700000000004</v>
      </c>
      <c r="J53" s="31">
        <v>5065.67</v>
      </c>
      <c r="K53" s="31">
        <v>5137.51</v>
      </c>
      <c r="L53" s="31">
        <v>5020.1899999999996</v>
      </c>
      <c r="M53" s="31">
        <v>4966.8</v>
      </c>
      <c r="N53" s="31">
        <v>5011.55</v>
      </c>
      <c r="O53" s="55"/>
      <c r="P53" s="55"/>
      <c r="Q53" s="56"/>
      <c r="R53" s="56"/>
      <c r="S53" s="152"/>
      <c r="T53" s="153"/>
      <c r="U53" s="161"/>
      <c r="V53" s="213"/>
      <c r="W53" s="31"/>
      <c r="X53" s="157"/>
      <c r="Y53" s="157"/>
      <c r="Z53" s="157"/>
      <c r="AA53" s="157"/>
    </row>
    <row r="54" spans="1:29" ht="22.75" thickBot="1" x14ac:dyDescent="0.4">
      <c r="A54"/>
      <c r="B54" s="63"/>
      <c r="C54" s="53"/>
      <c r="D54" s="54"/>
      <c r="E54" s="68" t="s">
        <v>188</v>
      </c>
      <c r="F54" s="65">
        <f t="shared" ref="F54:N54" si="14">IF(((F52="")*AND(F53="")),"",(F52-F53)*2)</f>
        <v>3869.42</v>
      </c>
      <c r="G54" s="65">
        <f t="shared" si="14"/>
        <v>4003.26</v>
      </c>
      <c r="H54" s="65">
        <f t="shared" si="14"/>
        <v>4030.9600000000009</v>
      </c>
      <c r="I54" s="65">
        <f t="shared" si="14"/>
        <v>4013.7799999999988</v>
      </c>
      <c r="J54" s="65">
        <f t="shared" si="14"/>
        <v>3884.9799999999996</v>
      </c>
      <c r="K54" s="65">
        <f t="shared" si="14"/>
        <v>3776.8799999999992</v>
      </c>
      <c r="L54" s="65">
        <f t="shared" si="14"/>
        <v>4001.58</v>
      </c>
      <c r="M54" s="65">
        <f t="shared" si="14"/>
        <v>4046.1000000000004</v>
      </c>
      <c r="N54" s="65">
        <f t="shared" si="14"/>
        <v>3958</v>
      </c>
      <c r="O54" s="55"/>
      <c r="P54" s="55"/>
      <c r="Q54" s="56"/>
      <c r="R54" s="56"/>
      <c r="S54" s="152"/>
      <c r="T54" s="153"/>
      <c r="U54" s="161"/>
      <c r="V54" s="213"/>
      <c r="W54" s="31"/>
      <c r="X54" s="157"/>
      <c r="Y54" s="157"/>
      <c r="Z54" s="157"/>
      <c r="AA54" s="157"/>
    </row>
    <row r="55" spans="1:29" x14ac:dyDescent="0.25">
      <c r="A55" s="229">
        <v>43117</v>
      </c>
      <c r="B55" s="257" t="s">
        <v>169</v>
      </c>
      <c r="C55" s="67" t="s">
        <v>171</v>
      </c>
      <c r="D55" s="66" t="s">
        <v>189</v>
      </c>
      <c r="E55" s="81" t="s">
        <v>186</v>
      </c>
      <c r="F55" s="31">
        <v>1947.66</v>
      </c>
      <c r="G55" s="31">
        <v>1939.62</v>
      </c>
      <c r="H55" s="31">
        <v>1926.84</v>
      </c>
      <c r="I55" s="31">
        <v>1937.07</v>
      </c>
      <c r="J55" s="31">
        <v>1942.13</v>
      </c>
      <c r="K55" s="31">
        <v>1949.39</v>
      </c>
      <c r="L55" s="31">
        <v>1939.63</v>
      </c>
      <c r="M55" s="31">
        <v>1935.65</v>
      </c>
      <c r="N55" s="31">
        <v>1947.1</v>
      </c>
      <c r="O55" s="68">
        <f>IF((N56=""),"",MAX(F57:N57))</f>
        <v>2092.3199999999997</v>
      </c>
      <c r="P55" s="68">
        <f>IF(N56="","",MIN(F57:N57))</f>
        <v>1965.8700000000006</v>
      </c>
      <c r="Q55" s="69">
        <f>IF((N57=""),"",AVERAGE(F57:N57))</f>
        <v>2048.6566666666672</v>
      </c>
      <c r="R55" s="69">
        <f>IF((N56=""),"",(O55-P55)/(O55+P55)*100)</f>
        <v>3.11592113725575</v>
      </c>
      <c r="S55" s="152">
        <f>STDEV(F57:N57)</f>
        <v>45.486933288582811</v>
      </c>
      <c r="T55" s="162" t="str">
        <f>IF(N56="","",IF(Q55&gt;1940,IF(R55&lt;8.3,IF(Q55&lt;2180,"Pass","Fail"),"Fail"),"Fail"))</f>
        <v>Pass</v>
      </c>
      <c r="U55" s="156">
        <v>1428</v>
      </c>
      <c r="V55" s="212"/>
      <c r="W55" s="31"/>
      <c r="X55" s="155">
        <v>2000</v>
      </c>
      <c r="Y55" s="155">
        <v>3000</v>
      </c>
      <c r="Z55" s="155">
        <v>1940</v>
      </c>
      <c r="AA55" s="155">
        <v>2180</v>
      </c>
      <c r="AC55" s="51">
        <v>5.2</v>
      </c>
    </row>
    <row r="56" spans="1:29" ht="16.100000000000001" x14ac:dyDescent="0.35">
      <c r="A56"/>
      <c r="B56" s="52"/>
      <c r="C56" s="53"/>
      <c r="D56" s="54"/>
      <c r="E56" s="81" t="s">
        <v>187</v>
      </c>
      <c r="F56" s="31">
        <v>1267</v>
      </c>
      <c r="G56" s="31">
        <v>1242.18</v>
      </c>
      <c r="H56" s="31">
        <v>1235.92</v>
      </c>
      <c r="I56" s="31">
        <v>1242.42</v>
      </c>
      <c r="J56" s="31">
        <v>1286.8399999999999</v>
      </c>
      <c r="K56" s="31">
        <v>1281.5999999999999</v>
      </c>
      <c r="L56" s="31">
        <v>1243.58</v>
      </c>
      <c r="M56" s="31">
        <v>1242.81</v>
      </c>
      <c r="N56" s="31">
        <v>1276.77</v>
      </c>
      <c r="O56" s="55"/>
      <c r="P56" s="55"/>
      <c r="Q56" s="56"/>
      <c r="R56" s="56"/>
      <c r="S56" s="152"/>
      <c r="T56" s="153"/>
      <c r="U56" s="156"/>
      <c r="V56" s="212"/>
      <c r="W56" s="31"/>
      <c r="X56" s="157"/>
      <c r="Y56" s="157"/>
      <c r="Z56" s="157"/>
      <c r="AA56" s="157"/>
    </row>
    <row r="57" spans="1:29" ht="16.649999999999999" thickBot="1" x14ac:dyDescent="0.4">
      <c r="A57"/>
      <c r="B57" s="70"/>
      <c r="C57" s="71"/>
      <c r="D57" s="72"/>
      <c r="E57" s="85" t="s">
        <v>190</v>
      </c>
      <c r="F57" s="73">
        <f t="shared" ref="F57:N57" si="15">IF(((F55="")*AND(F56="")),"",(F55-F56)*3)</f>
        <v>2041.9800000000002</v>
      </c>
      <c r="G57" s="73">
        <f t="shared" si="15"/>
        <v>2092.3199999999997</v>
      </c>
      <c r="H57" s="73">
        <f t="shared" si="15"/>
        <v>2072.7599999999993</v>
      </c>
      <c r="I57" s="73">
        <f t="shared" si="15"/>
        <v>2083.9499999999998</v>
      </c>
      <c r="J57" s="73">
        <f t="shared" si="15"/>
        <v>1965.8700000000006</v>
      </c>
      <c r="K57" s="73">
        <f t="shared" si="15"/>
        <v>2003.3700000000006</v>
      </c>
      <c r="L57" s="73">
        <f t="shared" si="15"/>
        <v>2088.1500000000005</v>
      </c>
      <c r="M57" s="73">
        <f t="shared" si="15"/>
        <v>2078.5200000000004</v>
      </c>
      <c r="N57" s="73">
        <f t="shared" si="15"/>
        <v>2010.9899999999998</v>
      </c>
      <c r="O57" s="74"/>
      <c r="P57" s="74"/>
      <c r="Q57" s="75"/>
      <c r="R57" s="75"/>
      <c r="S57" s="152"/>
      <c r="T57" s="163"/>
      <c r="U57" s="164"/>
      <c r="V57" s="212"/>
      <c r="W57" s="31"/>
      <c r="X57" s="157"/>
      <c r="Y57" s="157"/>
      <c r="Z57" s="157"/>
      <c r="AA57" s="157"/>
    </row>
    <row r="58" spans="1:29" x14ac:dyDescent="0.25">
      <c r="A58" s="229">
        <v>43122</v>
      </c>
      <c r="B58" s="258" t="s">
        <v>185</v>
      </c>
      <c r="C58" s="47" t="s">
        <v>173</v>
      </c>
      <c r="D58" s="48" t="s">
        <v>172</v>
      </c>
      <c r="E58" s="79" t="s">
        <v>186</v>
      </c>
      <c r="F58" s="31">
        <v>27705.279999999999</v>
      </c>
      <c r="G58" s="31">
        <v>27686.35</v>
      </c>
      <c r="H58" s="31">
        <v>27708.09</v>
      </c>
      <c r="I58" s="31">
        <v>27675.91</v>
      </c>
      <c r="J58" s="31">
        <v>27697.54</v>
      </c>
      <c r="K58" s="31">
        <v>27694.9</v>
      </c>
      <c r="L58" s="31">
        <v>27670.02</v>
      </c>
      <c r="M58" s="31">
        <v>27670.22</v>
      </c>
      <c r="N58" s="31">
        <v>27693.45</v>
      </c>
      <c r="O58" s="49">
        <f>IF((N59=""),"",MAX(F60:N60))</f>
        <v>4892.1899999999987</v>
      </c>
      <c r="P58" s="49">
        <f>IF(N59="","",MIN(F60:N60))</f>
        <v>4114.2000000000044</v>
      </c>
      <c r="Q58" s="50">
        <f>IF((N60=""),"",AVERAGE(F60:N60))</f>
        <v>4439.9733333333361</v>
      </c>
      <c r="R58" s="50">
        <f>IF((N59=""),"",(O58-P58)/(O58+P58)*100)</f>
        <v>8.638200211183328</v>
      </c>
      <c r="S58" s="152">
        <f>STDEV(F60:N60)</f>
        <v>318.49842499610492</v>
      </c>
      <c r="T58" s="153" t="str">
        <f>IF(N59="","",IF(R58&lt;16,IF(Q58&gt;3200,IF(R58,IF(Q58&lt;5240,"Pass","Fail"),"Fail"),"Fail")))</f>
        <v>Pass</v>
      </c>
      <c r="U58" s="154"/>
      <c r="V58" s="212"/>
      <c r="W58" s="31"/>
      <c r="X58" s="155">
        <v>4200</v>
      </c>
      <c r="Y58" s="155">
        <v>5500</v>
      </c>
      <c r="Z58" s="155">
        <v>3200</v>
      </c>
      <c r="AA58" s="155">
        <v>5240</v>
      </c>
      <c r="AC58" s="51">
        <v>16</v>
      </c>
    </row>
    <row r="59" spans="1:29" ht="16.100000000000001" x14ac:dyDescent="0.35">
      <c r="A59"/>
      <c r="B59" s="52"/>
      <c r="C59" s="53"/>
      <c r="D59" s="54"/>
      <c r="E59" s="81" t="s">
        <v>187</v>
      </c>
      <c r="F59" s="31">
        <v>26161.55</v>
      </c>
      <c r="G59" s="31">
        <v>26296.38</v>
      </c>
      <c r="H59" s="31">
        <v>26336.69</v>
      </c>
      <c r="I59" s="31">
        <v>26275.01</v>
      </c>
      <c r="J59" s="31">
        <v>26082.29</v>
      </c>
      <c r="K59" s="31">
        <v>26132.21</v>
      </c>
      <c r="L59" s="31">
        <v>26275.42</v>
      </c>
      <c r="M59" s="31">
        <v>26259.57</v>
      </c>
      <c r="N59" s="31">
        <v>26062.720000000001</v>
      </c>
      <c r="O59" s="55"/>
      <c r="P59" s="55"/>
      <c r="Q59" s="56"/>
      <c r="R59" s="56"/>
      <c r="S59" s="152"/>
      <c r="T59" s="153"/>
      <c r="U59" s="156"/>
      <c r="V59" s="212"/>
      <c r="W59" s="31"/>
      <c r="X59" s="157"/>
      <c r="Y59" s="157"/>
      <c r="Z59" s="157"/>
      <c r="AA59" s="157"/>
    </row>
    <row r="60" spans="1:29" ht="22.75" thickBot="1" x14ac:dyDescent="0.4">
      <c r="A60"/>
      <c r="B60" s="57"/>
      <c r="C60" s="58"/>
      <c r="D60" s="59"/>
      <c r="E60" s="81" t="s">
        <v>188</v>
      </c>
      <c r="F60" s="60">
        <f t="shared" ref="F60:N60" si="16">IF(((F58="")*AND(F59="")),"",(F58-F59)*3)</f>
        <v>4631.1899999999987</v>
      </c>
      <c r="G60" s="60">
        <f t="shared" si="16"/>
        <v>4169.9099999999926</v>
      </c>
      <c r="H60" s="60">
        <f t="shared" si="16"/>
        <v>4114.2000000000044</v>
      </c>
      <c r="I60" s="60">
        <f t="shared" si="16"/>
        <v>4202.7000000000044</v>
      </c>
      <c r="J60" s="60">
        <f t="shared" si="16"/>
        <v>4845.75</v>
      </c>
      <c r="K60" s="60">
        <f t="shared" si="16"/>
        <v>4688.070000000007</v>
      </c>
      <c r="L60" s="60">
        <f t="shared" si="16"/>
        <v>4183.8000000000065</v>
      </c>
      <c r="M60" s="60">
        <f t="shared" si="16"/>
        <v>4231.9500000000044</v>
      </c>
      <c r="N60" s="60">
        <f t="shared" si="16"/>
        <v>4892.1899999999987</v>
      </c>
      <c r="O60" s="61"/>
      <c r="P60" s="61"/>
      <c r="Q60" s="62"/>
      <c r="R60" s="62"/>
      <c r="S60" s="152"/>
      <c r="T60" s="158"/>
      <c r="U60" s="159"/>
      <c r="V60" s="212"/>
      <c r="W60" s="31"/>
      <c r="X60" s="157"/>
      <c r="Y60" s="157"/>
      <c r="Z60" s="157"/>
      <c r="AA60" s="157"/>
    </row>
    <row r="61" spans="1:29" x14ac:dyDescent="0.25">
      <c r="A61" s="229">
        <v>43122</v>
      </c>
      <c r="B61" s="257" t="s">
        <v>174</v>
      </c>
      <c r="C61" s="53" t="s">
        <v>176</v>
      </c>
      <c r="D61" s="64" t="s">
        <v>175</v>
      </c>
      <c r="E61" s="61" t="s">
        <v>186</v>
      </c>
      <c r="F61" s="31">
        <v>5077.16</v>
      </c>
      <c r="G61" s="31">
        <v>4983.58</v>
      </c>
      <c r="H61" s="31">
        <v>4985.83</v>
      </c>
      <c r="I61" s="31">
        <v>4969.2700000000004</v>
      </c>
      <c r="J61" s="31">
        <v>5065.67</v>
      </c>
      <c r="K61" s="31">
        <v>5137.51</v>
      </c>
      <c r="L61" s="31">
        <v>5020.1899999999996</v>
      </c>
      <c r="M61" s="31">
        <v>4966.8</v>
      </c>
      <c r="N61" s="31">
        <v>5011.55</v>
      </c>
      <c r="O61" s="55">
        <f>IF((N62=""),"",MAX(F63:N63))</f>
        <v>4059.9000000000005</v>
      </c>
      <c r="P61" s="55">
        <f>IF(N62="","",MIN(F63:N63))</f>
        <v>3748.5800000000008</v>
      </c>
      <c r="Q61" s="56">
        <f>IF((N63=""),"",AVERAGE(F63:N63))</f>
        <v>3968.9244444444444</v>
      </c>
      <c r="R61" s="56">
        <f>IF((N62=""),"",(O61-P61)/(O61+P61)*100)</f>
        <v>3.9869475237178</v>
      </c>
      <c r="S61" s="152">
        <f>STDEV(F63:N63)</f>
        <v>101.97547537411985</v>
      </c>
      <c r="T61" s="160" t="str">
        <f>IF(N62="","",IF(Q61&gt;3650,IF(R61&lt;6.5,IF(Q61&lt;4450,"Pass","Fail"),"Fail"),"Fail"))</f>
        <v>Pass</v>
      </c>
      <c r="U61" s="156"/>
      <c r="V61" s="212"/>
      <c r="W61" s="31"/>
      <c r="X61" s="155">
        <v>3650</v>
      </c>
      <c r="Y61" s="155">
        <v>4450</v>
      </c>
      <c r="Z61" s="155">
        <v>3700</v>
      </c>
      <c r="AA61" s="155">
        <v>4100</v>
      </c>
      <c r="AB61" s="51">
        <v>7</v>
      </c>
      <c r="AC61" s="51">
        <v>6.5</v>
      </c>
    </row>
    <row r="62" spans="1:29" ht="16.100000000000001" x14ac:dyDescent="0.35">
      <c r="A62"/>
      <c r="B62" s="63"/>
      <c r="C62" s="53"/>
      <c r="D62" s="54"/>
      <c r="E62" s="81" t="s">
        <v>187</v>
      </c>
      <c r="F62" s="31">
        <v>3137.12</v>
      </c>
      <c r="G62" s="31">
        <v>2972.23</v>
      </c>
      <c r="H62" s="31">
        <v>2961.51</v>
      </c>
      <c r="I62" s="31">
        <v>2952.67</v>
      </c>
      <c r="J62" s="31">
        <v>3105.95</v>
      </c>
      <c r="K62" s="31">
        <v>3263.22</v>
      </c>
      <c r="L62" s="31">
        <v>3013.26</v>
      </c>
      <c r="M62" s="31">
        <v>2936.85</v>
      </c>
      <c r="N62" s="31">
        <v>3014.59</v>
      </c>
      <c r="O62" s="55"/>
      <c r="P62" s="55"/>
      <c r="Q62" s="56"/>
      <c r="R62" s="56"/>
      <c r="S62" s="152"/>
      <c r="T62" s="153"/>
      <c r="U62" s="161"/>
      <c r="V62" s="213"/>
      <c r="W62" s="31"/>
      <c r="X62" s="157"/>
      <c r="Y62" s="157"/>
      <c r="Z62" s="157"/>
      <c r="AA62" s="157"/>
    </row>
    <row r="63" spans="1:29" ht="22.75" thickBot="1" x14ac:dyDescent="0.4">
      <c r="A63"/>
      <c r="B63" s="63"/>
      <c r="C63" s="53"/>
      <c r="D63" s="54"/>
      <c r="E63" s="68" t="s">
        <v>188</v>
      </c>
      <c r="F63" s="65">
        <f t="shared" ref="F63:N63" si="17">IF(((F61="")*AND(F62="")),"",(F61-F62)*2)</f>
        <v>3880.08</v>
      </c>
      <c r="G63" s="65">
        <f t="shared" si="17"/>
        <v>4022.7</v>
      </c>
      <c r="H63" s="65">
        <f t="shared" si="17"/>
        <v>4048.6399999999994</v>
      </c>
      <c r="I63" s="65">
        <f t="shared" si="17"/>
        <v>4033.2000000000007</v>
      </c>
      <c r="J63" s="65">
        <f t="shared" si="17"/>
        <v>3919.4400000000005</v>
      </c>
      <c r="K63" s="65">
        <f t="shared" si="17"/>
        <v>3748.5800000000008</v>
      </c>
      <c r="L63" s="65">
        <f t="shared" si="17"/>
        <v>4013.8599999999988</v>
      </c>
      <c r="M63" s="65">
        <f t="shared" si="17"/>
        <v>4059.9000000000005</v>
      </c>
      <c r="N63" s="65">
        <f t="shared" si="17"/>
        <v>3993.92</v>
      </c>
      <c r="O63" s="55"/>
      <c r="P63" s="55"/>
      <c r="Q63" s="56"/>
      <c r="R63" s="56"/>
      <c r="S63" s="152"/>
      <c r="T63" s="153"/>
      <c r="U63" s="161"/>
      <c r="V63" s="213"/>
      <c r="W63" s="31"/>
      <c r="X63" s="157"/>
      <c r="Y63" s="157"/>
      <c r="Z63" s="157"/>
      <c r="AA63" s="157"/>
    </row>
    <row r="64" spans="1:29" x14ac:dyDescent="0.25">
      <c r="A64" s="229">
        <v>43122</v>
      </c>
      <c r="B64" s="257" t="s">
        <v>169</v>
      </c>
      <c r="C64" s="67" t="s">
        <v>171</v>
      </c>
      <c r="D64" s="66" t="s">
        <v>189</v>
      </c>
      <c r="E64" s="81" t="s">
        <v>186</v>
      </c>
      <c r="F64" s="31">
        <v>1270.03</v>
      </c>
      <c r="G64" s="31">
        <v>1243.93</v>
      </c>
      <c r="H64" s="31">
        <v>1239.57</v>
      </c>
      <c r="I64" s="31">
        <v>1246.3399999999999</v>
      </c>
      <c r="J64" s="31">
        <v>1289.8499999999999</v>
      </c>
      <c r="K64" s="31">
        <v>1286.8499999999999</v>
      </c>
      <c r="L64" s="31">
        <v>1245.51</v>
      </c>
      <c r="M64" s="31">
        <v>1242.6199999999999</v>
      </c>
      <c r="N64" s="31">
        <v>1276.4000000000001</v>
      </c>
      <c r="O64" s="68">
        <f>IF((N65=""),"",MAX(F66:N66))</f>
        <v>2107.77</v>
      </c>
      <c r="P64" s="68">
        <f>IF(N65="","",MIN(F66:N66))</f>
        <v>1977.8399999999997</v>
      </c>
      <c r="Q64" s="69">
        <f>IF((N66=""),"",AVERAGE(F66:N66))</f>
        <v>2063.41</v>
      </c>
      <c r="R64" s="69">
        <f>IF((N65=""),"",(O64-P64)/(O64+P64)*100)</f>
        <v>3.1801860676863503</v>
      </c>
      <c r="S64" s="152">
        <f>STDEV(F66:N66)</f>
        <v>44.62619494198448</v>
      </c>
      <c r="T64" s="162" t="str">
        <f>IF(N65="","",IF(Q64&gt;1940,IF(R64&lt;8.3,IF(Q64&lt;2180,"Pass","Fail"),"Fail"),"Fail"))</f>
        <v>Pass</v>
      </c>
      <c r="U64" s="156"/>
      <c r="V64" s="212"/>
      <c r="W64" s="31"/>
      <c r="X64" s="155">
        <v>2000</v>
      </c>
      <c r="Y64" s="155">
        <v>3000</v>
      </c>
      <c r="Z64" s="155">
        <v>1940</v>
      </c>
      <c r="AA64" s="155">
        <v>2180</v>
      </c>
      <c r="AC64" s="51">
        <v>5.2</v>
      </c>
    </row>
    <row r="65" spans="1:29" ht="16.100000000000001" x14ac:dyDescent="0.35">
      <c r="A65"/>
      <c r="B65" s="52"/>
      <c r="C65" s="53"/>
      <c r="D65" s="54"/>
      <c r="E65" s="81" t="s">
        <v>187</v>
      </c>
      <c r="F65" s="31">
        <v>585.41</v>
      </c>
      <c r="G65" s="31">
        <v>541.34</v>
      </c>
      <c r="H65" s="31">
        <v>539.26</v>
      </c>
      <c r="I65" s="31">
        <v>550.66</v>
      </c>
      <c r="J65" s="31">
        <v>630.57000000000005</v>
      </c>
      <c r="K65" s="31">
        <v>610.30999999999995</v>
      </c>
      <c r="L65" s="31">
        <v>550.20000000000005</v>
      </c>
      <c r="M65" s="31">
        <v>541.9</v>
      </c>
      <c r="N65" s="31">
        <v>601.22</v>
      </c>
      <c r="O65" s="55"/>
      <c r="P65" s="55"/>
      <c r="Q65" s="56"/>
      <c r="R65" s="56"/>
      <c r="S65" s="152"/>
      <c r="T65" s="153"/>
      <c r="U65" s="156"/>
      <c r="V65" s="212"/>
      <c r="W65" s="31"/>
      <c r="X65" s="157"/>
      <c r="Y65" s="157"/>
      <c r="Z65" s="157"/>
      <c r="AA65" s="157"/>
    </row>
    <row r="66" spans="1:29" ht="16.649999999999999" thickBot="1" x14ac:dyDescent="0.4">
      <c r="A66"/>
      <c r="B66" s="70"/>
      <c r="C66" s="71"/>
      <c r="D66" s="72"/>
      <c r="E66" s="85" t="s">
        <v>190</v>
      </c>
      <c r="F66" s="73">
        <f t="shared" ref="F66:N66" si="18">IF(((F64="")*AND(F65="")),"",(F64-F65)*3)</f>
        <v>2053.86</v>
      </c>
      <c r="G66" s="73">
        <f t="shared" si="18"/>
        <v>2107.77</v>
      </c>
      <c r="H66" s="73">
        <f t="shared" si="18"/>
        <v>2100.9299999999998</v>
      </c>
      <c r="I66" s="73">
        <f t="shared" si="18"/>
        <v>2087.04</v>
      </c>
      <c r="J66" s="73">
        <f t="shared" si="18"/>
        <v>1977.8399999999997</v>
      </c>
      <c r="K66" s="73">
        <f t="shared" si="18"/>
        <v>2029.62</v>
      </c>
      <c r="L66" s="73">
        <f t="shared" si="18"/>
        <v>2085.9299999999998</v>
      </c>
      <c r="M66" s="73">
        <f t="shared" si="18"/>
        <v>2102.16</v>
      </c>
      <c r="N66" s="73">
        <f t="shared" si="18"/>
        <v>2025.5400000000002</v>
      </c>
      <c r="O66" s="74"/>
      <c r="P66" s="74"/>
      <c r="Q66" s="75"/>
      <c r="R66" s="75"/>
      <c r="S66" s="152"/>
      <c r="T66" s="163"/>
      <c r="U66" s="164"/>
      <c r="V66" s="212"/>
      <c r="W66" s="31"/>
      <c r="X66" s="157"/>
      <c r="Y66" s="157"/>
      <c r="Z66" s="157"/>
      <c r="AA66" s="157"/>
    </row>
    <row r="67" spans="1:29" x14ac:dyDescent="0.25">
      <c r="A67" s="229">
        <v>43125</v>
      </c>
      <c r="B67" s="258" t="s">
        <v>185</v>
      </c>
      <c r="C67" s="47" t="s">
        <v>173</v>
      </c>
      <c r="D67" s="48" t="s">
        <v>172</v>
      </c>
      <c r="E67" s="79" t="s">
        <v>186</v>
      </c>
      <c r="F67" s="31">
        <v>29187.08</v>
      </c>
      <c r="G67" s="31">
        <v>29020.92</v>
      </c>
      <c r="H67" s="31">
        <v>29039.75</v>
      </c>
      <c r="I67" s="31">
        <v>29061.119999999999</v>
      </c>
      <c r="J67" s="31">
        <v>29208.66</v>
      </c>
      <c r="K67" s="31">
        <v>29194.57</v>
      </c>
      <c r="L67" s="31">
        <v>29008.81</v>
      </c>
      <c r="M67" s="31">
        <v>29014.94</v>
      </c>
      <c r="N67" s="31">
        <v>29240.11</v>
      </c>
      <c r="O67" s="49">
        <f>IF((N68=""),"",MAX(F69:N69))</f>
        <v>4543.4399999999987</v>
      </c>
      <c r="P67" s="49">
        <f>IF(N68="","",MIN(F69:N69))</f>
        <v>3897.75</v>
      </c>
      <c r="Q67" s="50">
        <f>IF((N69=""),"",AVERAGE(F69:N69))</f>
        <v>4198.4333333333325</v>
      </c>
      <c r="R67" s="50">
        <f>IF((N68=""),"",(O67-P67)/(O67+P67)*100)</f>
        <v>7.6492769384411297</v>
      </c>
      <c r="S67" s="152">
        <f>STDEV(F69:N69)</f>
        <v>260.02913730964917</v>
      </c>
      <c r="T67" s="153" t="str">
        <f>IF(N68="","",IF(R67&lt;16,IF(Q67&gt;3200,IF(R67,IF(Q67&lt;5240,"Pass","Fail"),"Fail"),"Fail")))</f>
        <v>Pass</v>
      </c>
      <c r="U67" s="154">
        <v>1428</v>
      </c>
      <c r="V67" s="212"/>
      <c r="W67" s="31"/>
      <c r="X67" s="155">
        <v>4200</v>
      </c>
      <c r="Y67" s="155">
        <v>5500</v>
      </c>
      <c r="Z67" s="155">
        <v>3200</v>
      </c>
      <c r="AA67" s="155">
        <v>5240</v>
      </c>
      <c r="AC67" s="51">
        <v>16</v>
      </c>
    </row>
    <row r="68" spans="1:29" ht="16.100000000000001" x14ac:dyDescent="0.35">
      <c r="A68"/>
      <c r="B68" s="52"/>
      <c r="C68" s="53"/>
      <c r="D68" s="54"/>
      <c r="E68" s="81" t="s">
        <v>187</v>
      </c>
      <c r="F68" s="31">
        <v>27713.51</v>
      </c>
      <c r="G68" s="31">
        <v>27681.78</v>
      </c>
      <c r="H68" s="31">
        <v>27720.28</v>
      </c>
      <c r="I68" s="31">
        <v>27696.92</v>
      </c>
      <c r="J68" s="31">
        <v>27695.43</v>
      </c>
      <c r="K68" s="31">
        <v>27750.49</v>
      </c>
      <c r="L68" s="31">
        <v>27709.56</v>
      </c>
      <c r="M68" s="31">
        <v>27687.06</v>
      </c>
      <c r="N68" s="31">
        <v>27725.63</v>
      </c>
      <c r="O68" s="55"/>
      <c r="P68" s="55"/>
      <c r="Q68" s="56"/>
      <c r="R68" s="56"/>
      <c r="S68" s="152"/>
      <c r="T68" s="153"/>
      <c r="U68" s="156"/>
      <c r="V68" s="212"/>
      <c r="W68" s="31"/>
      <c r="X68" s="157"/>
      <c r="Y68" s="157"/>
      <c r="Z68" s="157"/>
      <c r="AA68" s="157"/>
    </row>
    <row r="69" spans="1:29" ht="22.75" thickBot="1" x14ac:dyDescent="0.4">
      <c r="A69"/>
      <c r="B69" s="57"/>
      <c r="C69" s="58"/>
      <c r="D69" s="59"/>
      <c r="E69" s="81" t="s">
        <v>188</v>
      </c>
      <c r="F69" s="60">
        <f t="shared" ref="F69:N69" si="19">IF(((F67="")*AND(F68="")),"",(F67-F68)*3)</f>
        <v>4420.71000000001</v>
      </c>
      <c r="G69" s="60">
        <f t="shared" si="19"/>
        <v>4017.4199999999983</v>
      </c>
      <c r="H69" s="60">
        <f t="shared" si="19"/>
        <v>3958.4100000000035</v>
      </c>
      <c r="I69" s="60">
        <f t="shared" si="19"/>
        <v>4092.6000000000022</v>
      </c>
      <c r="J69" s="60">
        <f t="shared" si="19"/>
        <v>4539.6899999999987</v>
      </c>
      <c r="K69" s="60">
        <f t="shared" si="19"/>
        <v>4332.2399999999943</v>
      </c>
      <c r="L69" s="60">
        <f t="shared" si="19"/>
        <v>3897.75</v>
      </c>
      <c r="M69" s="60">
        <f t="shared" si="19"/>
        <v>3983.6399999999921</v>
      </c>
      <c r="N69" s="60">
        <f t="shared" si="19"/>
        <v>4543.4399999999987</v>
      </c>
      <c r="O69" s="61"/>
      <c r="P69" s="61"/>
      <c r="Q69" s="62"/>
      <c r="R69" s="62"/>
      <c r="S69" s="152"/>
      <c r="T69" s="158"/>
      <c r="U69" s="159"/>
      <c r="V69" s="212"/>
      <c r="W69" s="31"/>
      <c r="X69" s="157"/>
      <c r="Y69" s="157"/>
      <c r="Z69" s="157"/>
      <c r="AA69" s="157"/>
    </row>
    <row r="70" spans="1:29" x14ac:dyDescent="0.25">
      <c r="A70" s="229">
        <v>43125</v>
      </c>
      <c r="B70" s="257" t="s">
        <v>174</v>
      </c>
      <c r="C70" s="53" t="s">
        <v>176</v>
      </c>
      <c r="D70" s="64" t="s">
        <v>175</v>
      </c>
      <c r="E70" s="61" t="s">
        <v>186</v>
      </c>
      <c r="F70" s="31">
        <v>6882.67</v>
      </c>
      <c r="G70" s="31">
        <v>6881.03</v>
      </c>
      <c r="H70" s="31">
        <v>6899.28</v>
      </c>
      <c r="I70" s="31">
        <v>6863.66</v>
      </c>
      <c r="J70" s="31">
        <v>6863.4</v>
      </c>
      <c r="K70" s="31">
        <v>6887.16</v>
      </c>
      <c r="L70" s="31">
        <v>6910.22</v>
      </c>
      <c r="M70" s="31">
        <v>6881.89</v>
      </c>
      <c r="N70" s="31">
        <v>6859.54</v>
      </c>
      <c r="O70" s="55">
        <f>IF((N71=""),"",MAX(F72:N72))</f>
        <v>3961.1200000000008</v>
      </c>
      <c r="P70" s="55">
        <f>IF(N71="","",MIN(F72:N72))</f>
        <v>3670.8600000000006</v>
      </c>
      <c r="Q70" s="56">
        <f>IF((N72=""),"",AVERAGE(F72:N72))</f>
        <v>3869.6244444444446</v>
      </c>
      <c r="R70" s="56">
        <f>IF((N71=""),"",(O70-P70)/(O70+P70)*100)</f>
        <v>3.8032070314649697</v>
      </c>
      <c r="S70" s="152">
        <f>STDEV(F72:N72)</f>
        <v>97.870439243817515</v>
      </c>
      <c r="T70" s="160" t="str">
        <f>IF(N71="","",IF(Q70&gt;3650,IF(R70&lt;6.5,IF(Q70&lt;4450,"Pass","Fail"),"Fail"),"Fail"))</f>
        <v>Pass</v>
      </c>
      <c r="U70" s="156">
        <v>1428</v>
      </c>
      <c r="V70" s="212"/>
      <c r="W70" s="31"/>
      <c r="X70" s="155">
        <v>3650</v>
      </c>
      <c r="Y70" s="155">
        <v>4450</v>
      </c>
      <c r="Z70" s="155">
        <v>3700</v>
      </c>
      <c r="AA70" s="155">
        <v>4100</v>
      </c>
      <c r="AB70" s="51">
        <v>7</v>
      </c>
      <c r="AC70" s="51">
        <v>6.5</v>
      </c>
    </row>
    <row r="71" spans="1:29" ht="16.100000000000001" x14ac:dyDescent="0.35">
      <c r="A71"/>
      <c r="B71" s="63"/>
      <c r="C71" s="53"/>
      <c r="D71" s="54"/>
      <c r="E71" s="81" t="s">
        <v>187</v>
      </c>
      <c r="F71" s="31">
        <v>4988.84</v>
      </c>
      <c r="G71" s="31">
        <v>4917.51</v>
      </c>
      <c r="H71" s="31">
        <v>4923.53</v>
      </c>
      <c r="I71" s="31">
        <v>4900.67</v>
      </c>
      <c r="J71" s="31">
        <v>4967.01</v>
      </c>
      <c r="K71" s="31">
        <v>5051.7299999999996</v>
      </c>
      <c r="L71" s="31">
        <v>4950.13</v>
      </c>
      <c r="M71" s="31">
        <v>4901.33</v>
      </c>
      <c r="N71" s="31">
        <v>4914.79</v>
      </c>
      <c r="O71" s="55"/>
      <c r="P71" s="55"/>
      <c r="Q71" s="56"/>
      <c r="R71" s="56"/>
      <c r="S71" s="152"/>
      <c r="T71" s="153"/>
      <c r="U71" s="161"/>
      <c r="V71" s="213"/>
      <c r="W71" s="31"/>
      <c r="X71" s="157"/>
      <c r="Y71" s="157"/>
      <c r="Z71" s="157"/>
      <c r="AA71" s="157"/>
    </row>
    <row r="72" spans="1:29" ht="22.75" thickBot="1" x14ac:dyDescent="0.4">
      <c r="A72"/>
      <c r="B72" s="63"/>
      <c r="C72" s="53"/>
      <c r="D72" s="54"/>
      <c r="E72" s="68" t="s">
        <v>188</v>
      </c>
      <c r="F72" s="65">
        <f t="shared" ref="F72:N72" si="20">IF(((F70="")*AND(F71="")),"",(F70-F71)*2)</f>
        <v>3787.66</v>
      </c>
      <c r="G72" s="65">
        <f t="shared" si="20"/>
        <v>3927.0399999999991</v>
      </c>
      <c r="H72" s="65">
        <f t="shared" si="20"/>
        <v>3951.5</v>
      </c>
      <c r="I72" s="65">
        <f t="shared" si="20"/>
        <v>3925.9799999999996</v>
      </c>
      <c r="J72" s="65">
        <f t="shared" si="20"/>
        <v>3792.7799999999988</v>
      </c>
      <c r="K72" s="65">
        <f t="shared" si="20"/>
        <v>3670.8600000000006</v>
      </c>
      <c r="L72" s="65">
        <f t="shared" si="20"/>
        <v>3920.1800000000003</v>
      </c>
      <c r="M72" s="65">
        <f t="shared" si="20"/>
        <v>3961.1200000000008</v>
      </c>
      <c r="N72" s="65">
        <f t="shared" si="20"/>
        <v>3889.5</v>
      </c>
      <c r="O72" s="55"/>
      <c r="P72" s="55"/>
      <c r="Q72" s="56"/>
      <c r="R72" s="56"/>
      <c r="S72" s="152"/>
      <c r="T72" s="153"/>
      <c r="U72" s="161"/>
      <c r="V72" s="213"/>
      <c r="W72" s="31"/>
      <c r="X72" s="157"/>
      <c r="Y72" s="157"/>
      <c r="Z72" s="157"/>
      <c r="AA72" s="157"/>
    </row>
    <row r="73" spans="1:29" x14ac:dyDescent="0.25">
      <c r="A73" s="229">
        <v>43125</v>
      </c>
      <c r="B73" s="257" t="s">
        <v>169</v>
      </c>
      <c r="C73" s="67" t="s">
        <v>171</v>
      </c>
      <c r="D73" s="66" t="s">
        <v>189</v>
      </c>
      <c r="E73" s="81" t="s">
        <v>186</v>
      </c>
      <c r="F73" s="31">
        <v>1938.78</v>
      </c>
      <c r="G73" s="31">
        <v>1927.01</v>
      </c>
      <c r="H73" s="31">
        <v>1921.77</v>
      </c>
      <c r="I73" s="31">
        <v>1928.63</v>
      </c>
      <c r="J73" s="31">
        <v>1941.29</v>
      </c>
      <c r="K73" s="31">
        <v>1944.77</v>
      </c>
      <c r="L73" s="31">
        <v>1925.85</v>
      </c>
      <c r="M73" s="31">
        <v>1928.22</v>
      </c>
      <c r="N73" s="31">
        <v>1944.22</v>
      </c>
      <c r="O73" s="68">
        <f>IF((N74=""),"",MAX(F75:N75))</f>
        <v>2073</v>
      </c>
      <c r="P73" s="68">
        <f>IF(N74="","",MIN(F75:N75))</f>
        <v>1966.7999999999997</v>
      </c>
      <c r="Q73" s="69">
        <f>IF((N75=""),"",AVERAGE(F75:N75))</f>
        <v>2037.2699999999995</v>
      </c>
      <c r="R73" s="69">
        <f>IF((N74=""),"",(O73-P73)/(O73+P73)*100)</f>
        <v>2.6288430120303055</v>
      </c>
      <c r="S73" s="152">
        <f>STDEV(F75:N75)</f>
        <v>40.111755758131679</v>
      </c>
      <c r="T73" s="162" t="str">
        <f>IF(N74="","",IF(Q73&gt;1940,IF(R73&lt;8.3,IF(Q73&lt;2180,"Pass","Fail"),"Fail"),"Fail"))</f>
        <v>Pass</v>
      </c>
      <c r="U73" s="156">
        <v>1428</v>
      </c>
      <c r="V73" s="212"/>
      <c r="W73" s="31"/>
      <c r="X73" s="155">
        <v>2000</v>
      </c>
      <c r="Y73" s="155">
        <v>3000</v>
      </c>
      <c r="Z73" s="155">
        <v>1940</v>
      </c>
      <c r="AA73" s="155">
        <v>2180</v>
      </c>
      <c r="AC73" s="51">
        <v>5.2</v>
      </c>
    </row>
    <row r="74" spans="1:29" ht="16.100000000000001" x14ac:dyDescent="0.35">
      <c r="A74"/>
      <c r="B74" s="52"/>
      <c r="C74" s="53"/>
      <c r="D74" s="54"/>
      <c r="E74" s="81" t="s">
        <v>187</v>
      </c>
      <c r="F74" s="31">
        <v>1262</v>
      </c>
      <c r="G74" s="31">
        <v>1237.27</v>
      </c>
      <c r="H74" s="31">
        <v>1232.0999999999999</v>
      </c>
      <c r="I74" s="31">
        <v>1238.17</v>
      </c>
      <c r="J74" s="31">
        <v>1285.69</v>
      </c>
      <c r="K74" s="31">
        <v>1282.73</v>
      </c>
      <c r="L74" s="31">
        <v>1241.0899999999999</v>
      </c>
      <c r="M74" s="31">
        <v>1237.22</v>
      </c>
      <c r="N74" s="31">
        <v>1272.46</v>
      </c>
      <c r="O74" s="55"/>
      <c r="P74" s="55"/>
      <c r="Q74" s="56"/>
      <c r="R74" s="56"/>
      <c r="S74" s="152"/>
      <c r="T74" s="153"/>
      <c r="U74" s="156"/>
      <c r="V74" s="212"/>
      <c r="W74" s="31"/>
      <c r="X74" s="157"/>
      <c r="Y74" s="157"/>
      <c r="Z74" s="157"/>
      <c r="AA74" s="157"/>
    </row>
    <row r="75" spans="1:29" ht="16.649999999999999" thickBot="1" x14ac:dyDescent="0.4">
      <c r="A75"/>
      <c r="B75" s="70"/>
      <c r="C75" s="71"/>
      <c r="D75" s="72"/>
      <c r="E75" s="85" t="s">
        <v>190</v>
      </c>
      <c r="F75" s="73">
        <f t="shared" ref="F75:N75" si="21">IF(((F73="")*AND(F74="")),"",(F73-F74)*3)</f>
        <v>2030.34</v>
      </c>
      <c r="G75" s="73">
        <f t="shared" si="21"/>
        <v>2069.2200000000003</v>
      </c>
      <c r="H75" s="73">
        <f t="shared" si="21"/>
        <v>2069.0100000000002</v>
      </c>
      <c r="I75" s="73">
        <f t="shared" si="21"/>
        <v>2071.38</v>
      </c>
      <c r="J75" s="73">
        <f t="shared" si="21"/>
        <v>1966.7999999999997</v>
      </c>
      <c r="K75" s="73">
        <f t="shared" si="21"/>
        <v>1986.12</v>
      </c>
      <c r="L75" s="73">
        <f t="shared" si="21"/>
        <v>2054.2799999999997</v>
      </c>
      <c r="M75" s="73">
        <f t="shared" si="21"/>
        <v>2073</v>
      </c>
      <c r="N75" s="73">
        <f t="shared" si="21"/>
        <v>2015.28</v>
      </c>
      <c r="O75" s="74"/>
      <c r="P75" s="74"/>
      <c r="Q75" s="75"/>
      <c r="R75" s="75"/>
      <c r="S75" s="152"/>
      <c r="T75" s="163"/>
      <c r="U75" s="164"/>
      <c r="V75" s="212"/>
      <c r="W75" s="31"/>
      <c r="X75" s="157"/>
      <c r="Y75" s="157"/>
      <c r="Z75" s="157"/>
      <c r="AA75" s="157"/>
    </row>
    <row r="76" spans="1:29" x14ac:dyDescent="0.25">
      <c r="A76" s="229">
        <v>43128</v>
      </c>
      <c r="B76" s="258" t="s">
        <v>185</v>
      </c>
      <c r="C76" s="47" t="s">
        <v>173</v>
      </c>
      <c r="D76" s="48" t="s">
        <v>172</v>
      </c>
      <c r="E76" s="79" t="s">
        <v>186</v>
      </c>
      <c r="F76" s="31">
        <v>27660.14</v>
      </c>
      <c r="G76" s="31">
        <v>27686.12</v>
      </c>
      <c r="H76" s="31">
        <v>27705.87</v>
      </c>
      <c r="I76" s="31">
        <v>27651.54</v>
      </c>
      <c r="J76" s="31">
        <v>27683.34</v>
      </c>
      <c r="K76" s="31">
        <v>27702.41</v>
      </c>
      <c r="L76" s="31">
        <v>27639.07</v>
      </c>
      <c r="M76" s="31">
        <v>27626.49</v>
      </c>
      <c r="N76" s="31">
        <v>27696.89</v>
      </c>
      <c r="O76" s="49">
        <f>IF((N77=""),"",MAX(F78:N78))</f>
        <v>4848.6000000000022</v>
      </c>
      <c r="P76" s="49">
        <f>IF(N77="","",MIN(F78:N78))</f>
        <v>4073.4599999999991</v>
      </c>
      <c r="Q76" s="50">
        <f>IF((N78=""),"",AVERAGE(F78:N78))</f>
        <v>4376.8133333333326</v>
      </c>
      <c r="R76" s="50">
        <f>IF((N77=""),"",(O76-P76)/(O76+P76)*100)</f>
        <v>8.6879039145668475</v>
      </c>
      <c r="S76" s="152">
        <f>STDEV(F78:N78)</f>
        <v>301.10140883097773</v>
      </c>
      <c r="T76" s="153" t="str">
        <f>IF(N77="","",IF(R76&lt;16,IF(Q76&gt;3200,IF(R76,IF(Q76&lt;5240,"Pass","Fail"),"Fail"),"Fail")))</f>
        <v>Pass</v>
      </c>
      <c r="U76" s="154"/>
      <c r="V76" s="212"/>
      <c r="W76" s="31"/>
      <c r="X76" s="155">
        <v>4200</v>
      </c>
      <c r="Y76" s="155">
        <v>5500</v>
      </c>
      <c r="Z76" s="155">
        <v>3200</v>
      </c>
      <c r="AA76" s="155">
        <v>5240</v>
      </c>
      <c r="AC76" s="51">
        <v>16</v>
      </c>
    </row>
    <row r="77" spans="1:29" ht="16.100000000000001" x14ac:dyDescent="0.35">
      <c r="A77"/>
      <c r="B77" s="52"/>
      <c r="C77" s="53"/>
      <c r="D77" s="54"/>
      <c r="E77" s="81" t="s">
        <v>187</v>
      </c>
      <c r="F77" s="31">
        <v>26182.52</v>
      </c>
      <c r="G77" s="31">
        <v>26289.57</v>
      </c>
      <c r="H77" s="31">
        <v>26348.05</v>
      </c>
      <c r="I77" s="31">
        <v>26233.61</v>
      </c>
      <c r="J77" s="31">
        <v>26067.14</v>
      </c>
      <c r="K77" s="31">
        <v>26144.63</v>
      </c>
      <c r="L77" s="31">
        <v>26275.52</v>
      </c>
      <c r="M77" s="31">
        <v>26256.3</v>
      </c>
      <c r="N77" s="31">
        <v>26124.09</v>
      </c>
      <c r="O77" s="55"/>
      <c r="P77" s="55"/>
      <c r="Q77" s="56"/>
      <c r="R77" s="56"/>
      <c r="S77" s="152"/>
      <c r="T77" s="153"/>
      <c r="U77" s="156"/>
      <c r="V77" s="212"/>
      <c r="W77" s="31"/>
      <c r="X77" s="157"/>
      <c r="Y77" s="157"/>
      <c r="Z77" s="157"/>
      <c r="AA77" s="157"/>
    </row>
    <row r="78" spans="1:29" ht="22.75" thickBot="1" x14ac:dyDescent="0.4">
      <c r="A78"/>
      <c r="B78" s="57"/>
      <c r="C78" s="58"/>
      <c r="D78" s="59"/>
      <c r="E78" s="81" t="s">
        <v>188</v>
      </c>
      <c r="F78" s="60">
        <f t="shared" ref="F78:N78" si="22">IF(((F76="")*AND(F77="")),"",(F76-F77)*3)</f>
        <v>4432.8599999999969</v>
      </c>
      <c r="G78" s="60">
        <f t="shared" si="22"/>
        <v>4189.6499999999978</v>
      </c>
      <c r="H78" s="60">
        <f t="shared" si="22"/>
        <v>4073.4599999999991</v>
      </c>
      <c r="I78" s="60">
        <f t="shared" si="22"/>
        <v>4253.7900000000009</v>
      </c>
      <c r="J78" s="60">
        <f t="shared" si="22"/>
        <v>4848.6000000000022</v>
      </c>
      <c r="K78" s="60">
        <f t="shared" si="22"/>
        <v>4673.3399999999965</v>
      </c>
      <c r="L78" s="60">
        <f t="shared" si="22"/>
        <v>4090.6499999999978</v>
      </c>
      <c r="M78" s="60">
        <f t="shared" si="22"/>
        <v>4110.570000000007</v>
      </c>
      <c r="N78" s="60">
        <f t="shared" si="22"/>
        <v>4718.3999999999978</v>
      </c>
      <c r="O78" s="61"/>
      <c r="P78" s="61"/>
      <c r="Q78" s="62"/>
      <c r="R78" s="62"/>
      <c r="S78" s="152"/>
      <c r="T78" s="158"/>
      <c r="U78" s="159"/>
      <c r="V78" s="212"/>
      <c r="W78" s="31"/>
      <c r="X78" s="157"/>
      <c r="Y78" s="157"/>
      <c r="Z78" s="157"/>
      <c r="AA78" s="157"/>
    </row>
    <row r="79" spans="1:29" x14ac:dyDescent="0.25">
      <c r="A79" s="229">
        <v>43128</v>
      </c>
      <c r="B79" s="257" t="s">
        <v>174</v>
      </c>
      <c r="C79" s="53" t="s">
        <v>176</v>
      </c>
      <c r="D79" s="64" t="s">
        <v>175</v>
      </c>
      <c r="E79" s="61" t="s">
        <v>186</v>
      </c>
      <c r="F79" s="31">
        <v>3074.32</v>
      </c>
      <c r="G79" s="31">
        <v>2939.89</v>
      </c>
      <c r="H79" s="31">
        <v>2937.74</v>
      </c>
      <c r="I79" s="31">
        <v>2919.62</v>
      </c>
      <c r="J79" s="31">
        <v>3034.45</v>
      </c>
      <c r="K79" s="31">
        <v>3180.34</v>
      </c>
      <c r="L79" s="31">
        <v>2976.15</v>
      </c>
      <c r="M79" s="31">
        <v>2900.09</v>
      </c>
      <c r="N79" s="31">
        <v>2938.64</v>
      </c>
      <c r="O79" s="55">
        <f>IF((N80=""),"",MAX(F81:N81))</f>
        <v>3992.6400000000003</v>
      </c>
      <c r="P79" s="55">
        <f>IF(N80="","",MIN(F81:N81))</f>
        <v>3796.9600000000005</v>
      </c>
      <c r="Q79" s="56">
        <f>IF((N81=""),"",AVERAGE(F81:N81))</f>
        <v>3920.815555555555</v>
      </c>
      <c r="R79" s="56">
        <f>IF((N80=""),"",(O79-P79)/(O79+P79)*100)</f>
        <v>2.5120673718804536</v>
      </c>
      <c r="S79" s="152">
        <f>STDEV(F81:N81)</f>
        <v>75.042685038434982</v>
      </c>
      <c r="T79" s="160" t="str">
        <f>IF(N80="","",IF(Q79&gt;3650,IF(R79&lt;6.5,IF(Q79&lt;4450,"Pass","Fail"),"Fail"),"Fail"))</f>
        <v>Pass</v>
      </c>
      <c r="U79" s="156"/>
      <c r="V79" s="212"/>
      <c r="W79" s="31"/>
      <c r="X79" s="155">
        <v>3650</v>
      </c>
      <c r="Y79" s="155">
        <v>4450</v>
      </c>
      <c r="Z79" s="155">
        <v>3700</v>
      </c>
      <c r="AA79" s="155">
        <v>4100</v>
      </c>
      <c r="AB79" s="51">
        <v>7</v>
      </c>
      <c r="AC79" s="51">
        <v>6.5</v>
      </c>
    </row>
    <row r="80" spans="1:29" ht="16.100000000000001" x14ac:dyDescent="0.35">
      <c r="A80"/>
      <c r="B80" s="63"/>
      <c r="C80" s="53"/>
      <c r="D80" s="54"/>
      <c r="E80" s="81" t="s">
        <v>187</v>
      </c>
      <c r="F80" s="31">
        <v>1144.08</v>
      </c>
      <c r="G80" s="31">
        <v>951.15</v>
      </c>
      <c r="H80" s="31">
        <v>943.58</v>
      </c>
      <c r="I80" s="31">
        <v>937.56</v>
      </c>
      <c r="J80" s="31">
        <v>1121.57</v>
      </c>
      <c r="K80" s="31">
        <v>1281.8599999999999</v>
      </c>
      <c r="L80" s="31">
        <v>992.36</v>
      </c>
      <c r="M80" s="31">
        <v>903.77</v>
      </c>
      <c r="N80" s="31">
        <v>981.64</v>
      </c>
      <c r="O80" s="55"/>
      <c r="P80" s="55"/>
      <c r="Q80" s="56"/>
      <c r="R80" s="56"/>
      <c r="S80" s="152"/>
      <c r="T80" s="153"/>
      <c r="U80" s="161"/>
      <c r="V80" s="213"/>
      <c r="W80" s="31"/>
      <c r="X80" s="157"/>
      <c r="Y80" s="157"/>
      <c r="Z80" s="157"/>
      <c r="AA80" s="157"/>
    </row>
    <row r="81" spans="1:29" ht="22.75" thickBot="1" x14ac:dyDescent="0.4">
      <c r="A81"/>
      <c r="B81" s="63"/>
      <c r="C81" s="53"/>
      <c r="D81" s="54"/>
      <c r="E81" s="68" t="s">
        <v>188</v>
      </c>
      <c r="F81" s="65">
        <f t="shared" ref="F81:N81" si="23">IF(((F79="")*AND(F80="")),"",(F79-F80)*2)</f>
        <v>3860.4800000000005</v>
      </c>
      <c r="G81" s="65">
        <f t="shared" si="23"/>
        <v>3977.4799999999996</v>
      </c>
      <c r="H81" s="65">
        <f t="shared" si="23"/>
        <v>3988.3199999999997</v>
      </c>
      <c r="I81" s="65">
        <f t="shared" si="23"/>
        <v>3964.12</v>
      </c>
      <c r="J81" s="65">
        <f t="shared" si="23"/>
        <v>3825.7599999999998</v>
      </c>
      <c r="K81" s="65">
        <f t="shared" si="23"/>
        <v>3796.9600000000005</v>
      </c>
      <c r="L81" s="65">
        <f t="shared" si="23"/>
        <v>3967.58</v>
      </c>
      <c r="M81" s="65">
        <f t="shared" si="23"/>
        <v>3992.6400000000003</v>
      </c>
      <c r="N81" s="65">
        <f t="shared" si="23"/>
        <v>3914</v>
      </c>
      <c r="O81" s="55"/>
      <c r="P81" s="55"/>
      <c r="Q81" s="56"/>
      <c r="R81" s="56"/>
      <c r="S81" s="152"/>
      <c r="T81" s="153"/>
      <c r="U81" s="161"/>
      <c r="V81" s="213"/>
      <c r="W81" s="31"/>
      <c r="X81" s="157"/>
      <c r="Y81" s="157"/>
      <c r="Z81" s="157"/>
      <c r="AA81" s="157"/>
    </row>
    <row r="82" spans="1:29" x14ac:dyDescent="0.25">
      <c r="A82" s="229">
        <v>43128</v>
      </c>
      <c r="B82" s="257" t="s">
        <v>169</v>
      </c>
      <c r="C82" s="67" t="s">
        <v>171</v>
      </c>
      <c r="D82" s="66" t="s">
        <v>189</v>
      </c>
      <c r="E82" s="81" t="s">
        <v>186</v>
      </c>
      <c r="F82" s="31">
        <v>1266.6099999999999</v>
      </c>
      <c r="G82" s="31">
        <v>1241.1300000000001</v>
      </c>
      <c r="H82" s="31">
        <v>1233.74</v>
      </c>
      <c r="I82" s="31">
        <v>1242.04</v>
      </c>
      <c r="J82" s="31">
        <v>1286.7</v>
      </c>
      <c r="K82" s="31">
        <v>1286.8699999999999</v>
      </c>
      <c r="L82" s="31">
        <v>1241.55</v>
      </c>
      <c r="M82" s="31">
        <v>1240.3699999999999</v>
      </c>
      <c r="N82" s="31">
        <v>1274.46</v>
      </c>
      <c r="O82" s="68">
        <f>IF((N83=""),"",MAX(F84:N84))</f>
        <v>2087.85</v>
      </c>
      <c r="P82" s="68">
        <f>IF(N83="","",MIN(F84:N84))</f>
        <v>1993.83</v>
      </c>
      <c r="Q82" s="69">
        <f>IF((N84=""),"",AVERAGE(F84:N84))</f>
        <v>2053.8666666666668</v>
      </c>
      <c r="R82" s="69">
        <f>IF((N83=""),"",(O82-P82)/(O82+P82)*100)</f>
        <v>2.3034632798259538</v>
      </c>
      <c r="S82" s="152">
        <f>STDEV(F84:N84)</f>
        <v>35.908354529273609</v>
      </c>
      <c r="T82" s="162" t="str">
        <f>IF(N83="","",IF(Q82&gt;1940,IF(R82&lt;8.3,IF(Q82&lt;2180,"Pass","Fail"),"Fail"),"Fail"))</f>
        <v>Pass</v>
      </c>
      <c r="U82" s="156"/>
      <c r="V82" s="212"/>
      <c r="W82" s="31"/>
      <c r="X82" s="155">
        <v>2000</v>
      </c>
      <c r="Y82" s="155">
        <v>3000</v>
      </c>
      <c r="Z82" s="155">
        <v>1940</v>
      </c>
      <c r="AA82" s="155">
        <v>2180</v>
      </c>
      <c r="AC82" s="51">
        <v>5.2</v>
      </c>
    </row>
    <row r="83" spans="1:29" ht="16.100000000000001" x14ac:dyDescent="0.35">
      <c r="A83"/>
      <c r="B83" s="52"/>
      <c r="C83" s="53"/>
      <c r="D83" s="54"/>
      <c r="E83" s="81" t="s">
        <v>187</v>
      </c>
      <c r="F83" s="31">
        <v>584.76</v>
      </c>
      <c r="G83" s="31">
        <v>547.04999999999995</v>
      </c>
      <c r="H83" s="31">
        <v>539.99</v>
      </c>
      <c r="I83" s="31">
        <v>548.38</v>
      </c>
      <c r="J83" s="31">
        <v>622.09</v>
      </c>
      <c r="K83" s="31">
        <v>607.91999999999996</v>
      </c>
      <c r="L83" s="31">
        <v>550.6</v>
      </c>
      <c r="M83" s="31">
        <v>544.41999999999996</v>
      </c>
      <c r="N83" s="31">
        <v>606.66</v>
      </c>
      <c r="O83" s="55"/>
      <c r="P83" s="55"/>
      <c r="Q83" s="56"/>
      <c r="R83" s="56"/>
      <c r="S83" s="152"/>
      <c r="T83" s="153"/>
      <c r="U83" s="156"/>
      <c r="V83" s="212"/>
      <c r="W83" s="31"/>
      <c r="X83" s="157"/>
      <c r="Y83" s="157"/>
      <c r="Z83" s="157"/>
      <c r="AA83" s="157"/>
    </row>
    <row r="84" spans="1:29" ht="16.649999999999999" thickBot="1" x14ac:dyDescent="0.4">
      <c r="A84"/>
      <c r="B84" s="70"/>
      <c r="C84" s="71"/>
      <c r="D84" s="72"/>
      <c r="E84" s="85" t="s">
        <v>190</v>
      </c>
      <c r="F84" s="73">
        <f t="shared" ref="F84:N84" si="24">IF(((F82="")*AND(F83="")),"",(F82-F83)*3)</f>
        <v>2045.5499999999997</v>
      </c>
      <c r="G84" s="73">
        <f t="shared" si="24"/>
        <v>2082.2400000000007</v>
      </c>
      <c r="H84" s="73">
        <f t="shared" si="24"/>
        <v>2081.25</v>
      </c>
      <c r="I84" s="73">
        <f t="shared" si="24"/>
        <v>2080.98</v>
      </c>
      <c r="J84" s="73">
        <f t="shared" si="24"/>
        <v>1993.83</v>
      </c>
      <c r="K84" s="73">
        <f t="shared" si="24"/>
        <v>2036.85</v>
      </c>
      <c r="L84" s="73">
        <f t="shared" si="24"/>
        <v>2072.85</v>
      </c>
      <c r="M84" s="73">
        <f t="shared" si="24"/>
        <v>2087.85</v>
      </c>
      <c r="N84" s="73">
        <f t="shared" si="24"/>
        <v>2003.4</v>
      </c>
      <c r="O84" s="74"/>
      <c r="P84" s="74"/>
      <c r="Q84" s="75"/>
      <c r="R84" s="75"/>
      <c r="S84" s="152"/>
      <c r="T84" s="163"/>
      <c r="U84" s="164"/>
      <c r="V84" s="212"/>
      <c r="W84" s="31"/>
      <c r="X84" s="157"/>
      <c r="Y84" s="157"/>
      <c r="Z84" s="157"/>
      <c r="AA84" s="157"/>
    </row>
    <row r="85" spans="1:29" x14ac:dyDescent="0.25">
      <c r="A85" s="229">
        <v>43131</v>
      </c>
      <c r="B85" s="258" t="s">
        <v>185</v>
      </c>
      <c r="C85" s="47" t="s">
        <v>173</v>
      </c>
      <c r="D85" s="48" t="s">
        <v>172</v>
      </c>
      <c r="E85" s="79" t="s">
        <v>186</v>
      </c>
      <c r="F85" s="31">
        <v>26143.84</v>
      </c>
      <c r="G85" s="31">
        <v>26227.17</v>
      </c>
      <c r="H85" s="31">
        <v>26282.78</v>
      </c>
      <c r="I85" s="31">
        <v>26218.12</v>
      </c>
      <c r="J85" s="31">
        <v>26011.71</v>
      </c>
      <c r="K85" s="31">
        <v>26106.21</v>
      </c>
      <c r="L85" s="31">
        <v>26221.81</v>
      </c>
      <c r="M85" s="31">
        <v>26207.24</v>
      </c>
      <c r="N85" s="31">
        <v>26036.55</v>
      </c>
      <c r="O85" s="49">
        <f>IF((N86=""),"",MAX(F87:N87))</f>
        <v>4803.6000000000022</v>
      </c>
      <c r="P85" s="49">
        <f>IF(N86="","",MIN(F87:N87))</f>
        <v>3947.7299999999996</v>
      </c>
      <c r="Q85" s="50">
        <f>IF((N87=""),"",AVERAGE(F87:N87))</f>
        <v>4366.319999999997</v>
      </c>
      <c r="R85" s="50">
        <f>IF((N86=""),"",(O85-P85)/(O85+P85)*100)</f>
        <v>9.779884886068773</v>
      </c>
      <c r="S85" s="152">
        <f>STDEV(F87:N87)</f>
        <v>357.41635857218358</v>
      </c>
      <c r="T85" s="153" t="str">
        <f>IF(N86="","",IF(R85&lt;16,IF(Q85&gt;3200,IF(R85,IF(Q85&lt;5240,"Pass","Fail"),"Fail"),"Fail")))</f>
        <v>Pass</v>
      </c>
      <c r="U85" s="154">
        <v>1335</v>
      </c>
      <c r="V85" s="212"/>
      <c r="W85" s="31"/>
      <c r="X85" s="155">
        <v>4200</v>
      </c>
      <c r="Y85" s="155">
        <v>5500</v>
      </c>
      <c r="Z85" s="155">
        <v>3200</v>
      </c>
      <c r="AA85" s="155">
        <v>5240</v>
      </c>
      <c r="AC85" s="51">
        <v>16</v>
      </c>
    </row>
    <row r="86" spans="1:29" ht="16.100000000000001" x14ac:dyDescent="0.35">
      <c r="A86"/>
      <c r="B86" s="52"/>
      <c r="C86" s="53"/>
      <c r="D86" s="54"/>
      <c r="E86" s="81" t="s">
        <v>187</v>
      </c>
      <c r="F86" s="31">
        <v>24615.63</v>
      </c>
      <c r="G86" s="31">
        <v>24892.5</v>
      </c>
      <c r="H86" s="31">
        <v>24966.87</v>
      </c>
      <c r="I86" s="31">
        <v>24794.31</v>
      </c>
      <c r="J86" s="31">
        <v>24420.52</v>
      </c>
      <c r="K86" s="31">
        <v>24527.49</v>
      </c>
      <c r="L86" s="31">
        <v>24835.72</v>
      </c>
      <c r="M86" s="31">
        <v>24868.080000000002</v>
      </c>
      <c r="N86" s="31">
        <v>24435.35</v>
      </c>
      <c r="O86" s="55"/>
      <c r="P86" s="55"/>
      <c r="Q86" s="56"/>
      <c r="R86" s="56"/>
      <c r="S86" s="152"/>
      <c r="T86" s="153"/>
      <c r="U86" s="156"/>
      <c r="V86" s="212"/>
      <c r="W86" s="31"/>
      <c r="X86" s="157"/>
      <c r="Y86" s="157"/>
      <c r="Z86" s="157"/>
      <c r="AA86" s="157"/>
    </row>
    <row r="87" spans="1:29" ht="22.75" thickBot="1" x14ac:dyDescent="0.4">
      <c r="A87"/>
      <c r="B87" s="57"/>
      <c r="C87" s="58"/>
      <c r="D87" s="59"/>
      <c r="E87" s="81" t="s">
        <v>188</v>
      </c>
      <c r="F87" s="60">
        <f t="shared" ref="F87:N87" si="25">IF(((F85="")*AND(F86="")),"",(F85-F86)*3)</f>
        <v>4584.6299999999974</v>
      </c>
      <c r="G87" s="60">
        <f t="shared" si="25"/>
        <v>4004.0099999999948</v>
      </c>
      <c r="H87" s="60">
        <f t="shared" si="25"/>
        <v>3947.7299999999996</v>
      </c>
      <c r="I87" s="60">
        <f t="shared" si="25"/>
        <v>4271.429999999993</v>
      </c>
      <c r="J87" s="60">
        <f t="shared" si="25"/>
        <v>4773.5699999999961</v>
      </c>
      <c r="K87" s="60">
        <f t="shared" si="25"/>
        <v>4736.1599999999926</v>
      </c>
      <c r="L87" s="60">
        <f t="shared" si="25"/>
        <v>4158.2700000000004</v>
      </c>
      <c r="M87" s="60">
        <f t="shared" si="25"/>
        <v>4017.4799999999996</v>
      </c>
      <c r="N87" s="60">
        <f t="shared" si="25"/>
        <v>4803.6000000000022</v>
      </c>
      <c r="O87" s="61"/>
      <c r="P87" s="61"/>
      <c r="Q87" s="62"/>
      <c r="R87" s="62"/>
      <c r="S87" s="152"/>
      <c r="T87" s="158"/>
      <c r="U87" s="159"/>
      <c r="V87" s="212"/>
      <c r="W87" s="31"/>
      <c r="X87" s="157"/>
      <c r="Y87" s="157"/>
      <c r="Z87" s="157"/>
      <c r="AA87" s="157"/>
    </row>
    <row r="88" spans="1:29" x14ac:dyDescent="0.25">
      <c r="A88" s="229">
        <v>43131</v>
      </c>
      <c r="B88" s="257" t="s">
        <v>174</v>
      </c>
      <c r="C88" s="53" t="s">
        <v>176</v>
      </c>
      <c r="D88" s="64" t="s">
        <v>175</v>
      </c>
      <c r="E88" s="61" t="s">
        <v>186</v>
      </c>
      <c r="F88" s="31">
        <v>6774.82</v>
      </c>
      <c r="G88" s="31">
        <v>6669.36</v>
      </c>
      <c r="H88" s="31">
        <v>6780.36</v>
      </c>
      <c r="I88" s="31">
        <v>6778.2</v>
      </c>
      <c r="J88" s="31">
        <v>6985.17</v>
      </c>
      <c r="K88" s="31">
        <v>6859.91</v>
      </c>
      <c r="L88" s="31">
        <v>6748.62</v>
      </c>
      <c r="M88" s="31">
        <v>6761.48</v>
      </c>
      <c r="N88" s="31">
        <v>6886.79</v>
      </c>
      <c r="O88" s="55">
        <f>IF((N89=""),"",MAX(F90:N90))</f>
        <v>4026.66</v>
      </c>
      <c r="P88" s="55">
        <f>IF(N89="","",MIN(F90:N90))</f>
        <v>3780.8600000000006</v>
      </c>
      <c r="Q88" s="56">
        <f>IF((N90=""),"",AVERAGE(F90:N90))</f>
        <v>3944.3088888888888</v>
      </c>
      <c r="R88" s="56">
        <f>IF((N89=""),"",(O88-P88)/(O88+P88)*100)</f>
        <v>3.1482468184519448</v>
      </c>
      <c r="S88" s="152">
        <f>STDEV(F90:N90)</f>
        <v>85.209581686046661</v>
      </c>
      <c r="T88" s="160" t="str">
        <f>IF(N89="","",IF(Q88&gt;3650,IF(R88&lt;6.5,IF(Q88&lt;4450,"Pass","Fail"),"Fail"),"Fail"))</f>
        <v>Pass</v>
      </c>
      <c r="U88" s="156">
        <v>1335</v>
      </c>
      <c r="V88" s="212"/>
      <c r="W88" s="31"/>
      <c r="X88" s="155">
        <v>3650</v>
      </c>
      <c r="Y88" s="155">
        <v>4450</v>
      </c>
      <c r="Z88" s="155">
        <v>3700</v>
      </c>
      <c r="AA88" s="155">
        <v>4100</v>
      </c>
      <c r="AB88" s="51">
        <v>7</v>
      </c>
      <c r="AC88" s="51">
        <v>6.5</v>
      </c>
    </row>
    <row r="89" spans="1:29" ht="16.100000000000001" x14ac:dyDescent="0.35">
      <c r="A89"/>
      <c r="B89" s="63"/>
      <c r="C89" s="53"/>
      <c r="D89" s="54"/>
      <c r="E89" s="81" t="s">
        <v>187</v>
      </c>
      <c r="F89" s="31">
        <v>4849.42</v>
      </c>
      <c r="G89" s="31">
        <v>4683.1099999999997</v>
      </c>
      <c r="H89" s="31">
        <v>4767.03</v>
      </c>
      <c r="I89" s="31">
        <v>4777.05</v>
      </c>
      <c r="J89" s="31">
        <v>5040.78</v>
      </c>
      <c r="K89" s="31">
        <v>4969.4799999999996</v>
      </c>
      <c r="L89" s="31">
        <v>4748.2</v>
      </c>
      <c r="M89" s="31">
        <v>4753.3900000000003</v>
      </c>
      <c r="N89" s="31">
        <v>4906.8599999999997</v>
      </c>
      <c r="O89" s="55"/>
      <c r="P89" s="55"/>
      <c r="Q89" s="56"/>
      <c r="R89" s="56"/>
      <c r="S89" s="152"/>
      <c r="T89" s="153"/>
      <c r="U89" s="161"/>
      <c r="V89" s="213"/>
      <c r="W89" s="31"/>
      <c r="X89" s="157"/>
      <c r="Y89" s="157"/>
      <c r="Z89" s="157"/>
      <c r="AA89" s="157"/>
    </row>
    <row r="90" spans="1:29" ht="22.75" thickBot="1" x14ac:dyDescent="0.4">
      <c r="A90"/>
      <c r="B90" s="63"/>
      <c r="C90" s="53"/>
      <c r="D90" s="54"/>
      <c r="E90" s="68" t="s">
        <v>188</v>
      </c>
      <c r="F90" s="65">
        <f t="shared" ref="F90:N90" si="26">IF(((F88="")*AND(F89="")),"",(F88-F89)*2)</f>
        <v>3850.7999999999993</v>
      </c>
      <c r="G90" s="65">
        <f t="shared" si="26"/>
        <v>3972.5</v>
      </c>
      <c r="H90" s="65">
        <f t="shared" si="26"/>
        <v>4026.66</v>
      </c>
      <c r="I90" s="65">
        <f t="shared" si="26"/>
        <v>4002.2999999999993</v>
      </c>
      <c r="J90" s="65">
        <f t="shared" si="26"/>
        <v>3888.7800000000007</v>
      </c>
      <c r="K90" s="65">
        <f t="shared" si="26"/>
        <v>3780.8600000000006</v>
      </c>
      <c r="L90" s="65">
        <f t="shared" si="26"/>
        <v>4000.84</v>
      </c>
      <c r="M90" s="65">
        <f t="shared" si="26"/>
        <v>4016.1799999999985</v>
      </c>
      <c r="N90" s="65">
        <f t="shared" si="26"/>
        <v>3959.8600000000006</v>
      </c>
      <c r="O90" s="55"/>
      <c r="P90" s="55"/>
      <c r="Q90" s="56"/>
      <c r="R90" s="56"/>
      <c r="S90" s="152"/>
      <c r="T90" s="153"/>
      <c r="U90" s="161"/>
      <c r="V90" s="213"/>
      <c r="W90" s="31"/>
      <c r="X90" s="157"/>
      <c r="Y90" s="157"/>
      <c r="Z90" s="157"/>
      <c r="AA90" s="157"/>
    </row>
    <row r="91" spans="1:29" x14ac:dyDescent="0.25">
      <c r="A91" s="229">
        <v>43131</v>
      </c>
      <c r="B91" s="257" t="s">
        <v>169</v>
      </c>
      <c r="C91" s="67" t="s">
        <v>171</v>
      </c>
      <c r="D91" s="66" t="s">
        <v>189</v>
      </c>
      <c r="E91" s="81" t="s">
        <v>186</v>
      </c>
      <c r="F91" s="31">
        <v>1938.04</v>
      </c>
      <c r="G91" s="31">
        <v>1926.12</v>
      </c>
      <c r="H91" s="31">
        <v>1915.2</v>
      </c>
      <c r="I91" s="31">
        <v>1927.06</v>
      </c>
      <c r="J91" s="31">
        <v>1939.87</v>
      </c>
      <c r="K91" s="31">
        <v>1937.44</v>
      </c>
      <c r="L91" s="31">
        <v>1927.09</v>
      </c>
      <c r="M91" s="31">
        <v>1925.33</v>
      </c>
      <c r="N91" s="31">
        <v>1934.06</v>
      </c>
      <c r="O91" s="68">
        <f>IF((N92=""),"",MAX(F93:N93))</f>
        <v>2072.31</v>
      </c>
      <c r="P91" s="68">
        <f>IF(N92="","",MIN(F93:N93))</f>
        <v>1969.1399999999996</v>
      </c>
      <c r="Q91" s="69">
        <f>IF((N93=""),"",AVERAGE(F93:N93))</f>
        <v>2041.9366666666663</v>
      </c>
      <c r="R91" s="69">
        <f>IF((N92=""),"",(O91-P91)/(O91+P91)*100)</f>
        <v>2.552796644768593</v>
      </c>
      <c r="S91" s="152">
        <f>STDEV(F93:N93)</f>
        <v>37.764742816547816</v>
      </c>
      <c r="T91" s="162" t="str">
        <f>IF(N92="","",IF(Q91&gt;1940,IF(R91&lt;8.3,IF(Q91&lt;2180,"Pass","Fail"),"Fail"),"Fail"))</f>
        <v>Pass</v>
      </c>
      <c r="U91" s="156">
        <v>1335</v>
      </c>
      <c r="V91" s="212"/>
      <c r="W91" s="31"/>
      <c r="X91" s="155">
        <v>2000</v>
      </c>
      <c r="Y91" s="155">
        <v>3000</v>
      </c>
      <c r="Z91" s="155">
        <v>1940</v>
      </c>
      <c r="AA91" s="155">
        <v>2180</v>
      </c>
      <c r="AC91" s="51">
        <v>5.2</v>
      </c>
    </row>
    <row r="92" spans="1:29" ht="16.100000000000001" x14ac:dyDescent="0.35">
      <c r="A92"/>
      <c r="B92" s="52"/>
      <c r="C92" s="53"/>
      <c r="D92" s="54"/>
      <c r="E92" s="81" t="s">
        <v>187</v>
      </c>
      <c r="F92" s="31">
        <v>1256.92</v>
      </c>
      <c r="G92" s="31">
        <v>1235.8900000000001</v>
      </c>
      <c r="H92" s="31">
        <v>1226.31</v>
      </c>
      <c r="I92" s="31">
        <v>1236.29</v>
      </c>
      <c r="J92" s="31">
        <v>1283.49</v>
      </c>
      <c r="K92" s="31">
        <v>1269.8599999999999</v>
      </c>
      <c r="L92" s="31">
        <v>1238.3599999999999</v>
      </c>
      <c r="M92" s="31">
        <v>1234.79</v>
      </c>
      <c r="N92" s="31">
        <v>1262.49</v>
      </c>
      <c r="O92" s="55"/>
      <c r="P92" s="55"/>
      <c r="Q92" s="56"/>
      <c r="R92" s="56"/>
      <c r="S92" s="152"/>
      <c r="T92" s="153"/>
      <c r="U92" s="156"/>
      <c r="V92" s="212"/>
      <c r="W92" s="31"/>
      <c r="X92" s="157"/>
      <c r="Y92" s="157"/>
      <c r="Z92" s="157"/>
      <c r="AA92" s="157"/>
    </row>
    <row r="93" spans="1:29" ht="16.649999999999999" thickBot="1" x14ac:dyDescent="0.4">
      <c r="A93"/>
      <c r="B93" s="52"/>
      <c r="C93" s="53"/>
      <c r="D93" s="54"/>
      <c r="E93" s="68" t="s">
        <v>190</v>
      </c>
      <c r="F93" s="65">
        <f t="shared" ref="F93:N93" si="27">IF(((F91="")*AND(F92="")),"",(F91-F92)*3)</f>
        <v>2043.3599999999997</v>
      </c>
      <c r="G93" s="65">
        <f t="shared" si="27"/>
        <v>2070.6899999999996</v>
      </c>
      <c r="H93" s="65">
        <f t="shared" si="27"/>
        <v>2066.67</v>
      </c>
      <c r="I93" s="65">
        <f t="shared" si="27"/>
        <v>2072.31</v>
      </c>
      <c r="J93" s="65">
        <f t="shared" si="27"/>
        <v>1969.1399999999996</v>
      </c>
      <c r="K93" s="65">
        <f t="shared" si="27"/>
        <v>2002.7400000000005</v>
      </c>
      <c r="L93" s="65">
        <f t="shared" si="27"/>
        <v>2066.19</v>
      </c>
      <c r="M93" s="65">
        <f t="shared" si="27"/>
        <v>2071.62</v>
      </c>
      <c r="N93" s="65">
        <f t="shared" si="27"/>
        <v>2014.7099999999998</v>
      </c>
      <c r="O93" s="55"/>
      <c r="P93" s="55"/>
      <c r="Q93" s="56"/>
      <c r="R93" s="56"/>
      <c r="S93" s="152"/>
      <c r="T93" s="153"/>
      <c r="U93" s="156"/>
      <c r="V93" s="212"/>
      <c r="W93" s="31"/>
      <c r="X93" s="157"/>
      <c r="Y93" s="157"/>
      <c r="Z93" s="157"/>
      <c r="AA93" s="157"/>
    </row>
    <row r="94" spans="1:29" x14ac:dyDescent="0.25">
      <c r="A94" s="248">
        <v>43134</v>
      </c>
      <c r="B94" s="258" t="s">
        <v>185</v>
      </c>
      <c r="C94" s="47" t="s">
        <v>173</v>
      </c>
      <c r="D94" s="48" t="s">
        <v>172</v>
      </c>
      <c r="E94" s="79" t="s">
        <v>186</v>
      </c>
      <c r="F94" s="165">
        <v>24521.43</v>
      </c>
      <c r="G94" s="165">
        <v>24797.03</v>
      </c>
      <c r="H94" s="165">
        <v>24887.55</v>
      </c>
      <c r="I94" s="165">
        <v>24812.57</v>
      </c>
      <c r="J94" s="165">
        <v>24417.43</v>
      </c>
      <c r="K94" s="165">
        <v>24466.959999999999</v>
      </c>
      <c r="L94" s="165">
        <v>24811.26</v>
      </c>
      <c r="M94" s="165">
        <v>24798.66</v>
      </c>
      <c r="N94" s="165">
        <v>24408.43</v>
      </c>
      <c r="O94" s="49">
        <f>IF((N95=""),"",MAX(F96:N96))</f>
        <v>4984.2600000000057</v>
      </c>
      <c r="P94" s="49">
        <f>IF(N95="","",MIN(F96:N96))</f>
        <v>4108.2599999999948</v>
      </c>
      <c r="Q94" s="50">
        <f>IF((N96=""),"",AVERAGE(F96:N96))</f>
        <v>4525.1866666666647</v>
      </c>
      <c r="R94" s="50">
        <f>IF((N95=""),"",(O94-P94)/(O94+P94)*100)</f>
        <v>9.6342928033153719</v>
      </c>
      <c r="S94" s="152">
        <f>STDEV(F96:N96)</f>
        <v>349.61423598017547</v>
      </c>
      <c r="T94" s="153" t="str">
        <f>IF(N95="","",IF(R94&lt;16,IF(Q94&gt;3200,IF(R94,IF(Q94&lt;5240,"Pass","Fail"),"Fail"),"Fail")))</f>
        <v>Pass</v>
      </c>
      <c r="U94" s="154">
        <v>1335</v>
      </c>
      <c r="V94" s="212"/>
      <c r="W94" s="31"/>
      <c r="X94" s="155">
        <v>4200</v>
      </c>
      <c r="Y94" s="155">
        <v>5500</v>
      </c>
      <c r="Z94" s="155">
        <v>3200</v>
      </c>
      <c r="AA94" s="155">
        <v>5240</v>
      </c>
      <c r="AC94" s="51">
        <v>16</v>
      </c>
    </row>
    <row r="95" spans="1:29" ht="16.100000000000001" x14ac:dyDescent="0.35">
      <c r="A95"/>
      <c r="B95" s="52"/>
      <c r="C95" s="53"/>
      <c r="D95" s="54"/>
      <c r="E95" s="81" t="s">
        <v>187</v>
      </c>
      <c r="F95" s="166">
        <v>22900.54</v>
      </c>
      <c r="G95" s="166">
        <v>23414.9</v>
      </c>
      <c r="H95" s="166">
        <v>23518.13</v>
      </c>
      <c r="I95" s="166">
        <v>23357.01</v>
      </c>
      <c r="J95" s="166">
        <v>22756.01</v>
      </c>
      <c r="K95" s="166">
        <v>22882.47</v>
      </c>
      <c r="L95" s="166">
        <v>23370.400000000001</v>
      </c>
      <c r="M95" s="166">
        <v>23375.99</v>
      </c>
      <c r="N95" s="166">
        <v>22770.31</v>
      </c>
      <c r="O95" s="55"/>
      <c r="P95" s="55"/>
      <c r="Q95" s="56"/>
      <c r="R95" s="56"/>
      <c r="S95" s="152"/>
      <c r="T95" s="153"/>
      <c r="U95" s="156"/>
      <c r="V95" s="212"/>
      <c r="W95" s="31"/>
      <c r="X95" s="157"/>
      <c r="Y95" s="157"/>
      <c r="Z95" s="157"/>
      <c r="AA95" s="157"/>
    </row>
    <row r="96" spans="1:29" ht="22.75" thickBot="1" x14ac:dyDescent="0.4">
      <c r="A96"/>
      <c r="B96" s="57"/>
      <c r="C96" s="58"/>
      <c r="D96" s="59"/>
      <c r="E96" s="81" t="s">
        <v>188</v>
      </c>
      <c r="F96" s="60">
        <f t="shared" ref="F96:N96" si="28">IF(((F94="")*AND(F95="")),"",(F94-F95)*3)</f>
        <v>4862.6699999999983</v>
      </c>
      <c r="G96" s="60">
        <f t="shared" si="28"/>
        <v>4146.3899999999921</v>
      </c>
      <c r="H96" s="60">
        <f t="shared" si="28"/>
        <v>4108.2599999999948</v>
      </c>
      <c r="I96" s="60">
        <f t="shared" si="28"/>
        <v>4366.6800000000039</v>
      </c>
      <c r="J96" s="60">
        <f t="shared" si="28"/>
        <v>4984.2600000000057</v>
      </c>
      <c r="K96" s="60">
        <f t="shared" si="28"/>
        <v>4753.4699999999939</v>
      </c>
      <c r="L96" s="60">
        <f t="shared" si="28"/>
        <v>4322.5799999999908</v>
      </c>
      <c r="M96" s="60">
        <f t="shared" si="28"/>
        <v>4268.0099999999948</v>
      </c>
      <c r="N96" s="60">
        <f t="shared" si="28"/>
        <v>4914.3599999999969</v>
      </c>
      <c r="O96" s="61"/>
      <c r="P96" s="61"/>
      <c r="Q96" s="62"/>
      <c r="R96" s="62"/>
      <c r="S96" s="152"/>
      <c r="T96" s="158"/>
      <c r="U96" s="159"/>
      <c r="V96" s="212"/>
      <c r="W96" s="31"/>
      <c r="X96" s="157"/>
      <c r="Y96" s="157"/>
      <c r="Z96" s="157"/>
      <c r="AA96" s="157"/>
    </row>
    <row r="97" spans="1:29" x14ac:dyDescent="0.25">
      <c r="A97" s="229">
        <v>43134</v>
      </c>
      <c r="B97" s="257" t="s">
        <v>174</v>
      </c>
      <c r="C97" s="53" t="s">
        <v>176</v>
      </c>
      <c r="D97" s="64" t="s">
        <v>175</v>
      </c>
      <c r="E97" s="61" t="s">
        <v>186</v>
      </c>
      <c r="F97" s="166">
        <v>4862.43</v>
      </c>
      <c r="G97" s="166">
        <v>4702.49</v>
      </c>
      <c r="H97" s="166">
        <v>4785.13</v>
      </c>
      <c r="I97" s="166">
        <v>4795.45</v>
      </c>
      <c r="J97" s="166">
        <v>5046.18</v>
      </c>
      <c r="K97" s="166">
        <v>4975.95</v>
      </c>
      <c r="L97" s="166">
        <v>4766.88</v>
      </c>
      <c r="M97" s="166">
        <v>4772.4799999999996</v>
      </c>
      <c r="N97" s="166">
        <v>4918.28</v>
      </c>
      <c r="O97" s="55">
        <f>IF((N98=""),"",MAX(F99:N99))</f>
        <v>4059.5199999999995</v>
      </c>
      <c r="P97" s="55">
        <f>IF(N98="","",MIN(F99:N99))</f>
        <v>3760.2199999999993</v>
      </c>
      <c r="Q97" s="56">
        <f>IF((N99=""),"",AVERAGE(F99:N99))</f>
        <v>3960.3511111111115</v>
      </c>
      <c r="R97" s="56">
        <f>IF((N98=""),"",(O97-P97)/(O97+P97)*100)</f>
        <v>3.8274929857002946</v>
      </c>
      <c r="S97" s="152">
        <f>STDEV(F99:N99)</f>
        <v>99.947547299126327</v>
      </c>
      <c r="T97" s="160" t="str">
        <f>IF(N98="","",IF(Q97&gt;3650,IF(R97&lt;6.5,IF(Q97&lt;4450,"Pass","Fail"),"Fail"),"Fail"))</f>
        <v>Pass</v>
      </c>
      <c r="U97" s="156">
        <v>1335</v>
      </c>
      <c r="V97" s="212"/>
      <c r="W97" s="31"/>
      <c r="X97" s="155">
        <v>3650</v>
      </c>
      <c r="Y97" s="155">
        <v>4450</v>
      </c>
      <c r="Z97" s="155">
        <v>3700</v>
      </c>
      <c r="AA97" s="155">
        <v>4100</v>
      </c>
      <c r="AB97" s="51">
        <v>7</v>
      </c>
      <c r="AC97" s="51">
        <v>6.5</v>
      </c>
    </row>
    <row r="98" spans="1:29" ht="16.100000000000001" x14ac:dyDescent="0.35">
      <c r="A98"/>
      <c r="B98" s="63"/>
      <c r="C98" s="53"/>
      <c r="D98" s="54"/>
      <c r="E98" s="81" t="s">
        <v>187</v>
      </c>
      <c r="F98" s="166">
        <v>2928.16</v>
      </c>
      <c r="G98" s="166">
        <v>2697.02</v>
      </c>
      <c r="H98" s="166">
        <v>2765.78</v>
      </c>
      <c r="I98" s="166">
        <v>2781.36</v>
      </c>
      <c r="J98" s="166">
        <v>3101.84</v>
      </c>
      <c r="K98" s="166">
        <v>3095.84</v>
      </c>
      <c r="L98" s="166">
        <v>2759.33</v>
      </c>
      <c r="M98" s="166">
        <v>2742.72</v>
      </c>
      <c r="N98" s="166">
        <v>2931.64</v>
      </c>
      <c r="O98" s="55"/>
      <c r="P98" s="55"/>
      <c r="Q98" s="56"/>
      <c r="R98" s="56"/>
      <c r="S98" s="152"/>
      <c r="T98" s="153"/>
      <c r="U98" s="161"/>
      <c r="V98" s="213"/>
      <c r="W98" s="31"/>
      <c r="X98" s="157"/>
      <c r="Y98" s="157"/>
      <c r="Z98" s="157"/>
      <c r="AA98" s="157"/>
    </row>
    <row r="99" spans="1:29" ht="22.75" thickBot="1" x14ac:dyDescent="0.4">
      <c r="A99"/>
      <c r="B99" s="63"/>
      <c r="C99" s="53"/>
      <c r="D99" s="54"/>
      <c r="E99" s="68" t="s">
        <v>188</v>
      </c>
      <c r="F99" s="65">
        <f t="shared" ref="F99:N99" si="29">IF(((F97="")*AND(F98="")),"",(F97-F98)*2)</f>
        <v>3868.5400000000009</v>
      </c>
      <c r="G99" s="65">
        <f t="shared" si="29"/>
        <v>4010.9399999999996</v>
      </c>
      <c r="H99" s="65">
        <f t="shared" si="29"/>
        <v>4038.7</v>
      </c>
      <c r="I99" s="65">
        <f t="shared" si="29"/>
        <v>4028.1799999999994</v>
      </c>
      <c r="J99" s="65">
        <f t="shared" si="29"/>
        <v>3888.6800000000003</v>
      </c>
      <c r="K99" s="65">
        <f t="shared" si="29"/>
        <v>3760.2199999999993</v>
      </c>
      <c r="L99" s="65">
        <f t="shared" si="29"/>
        <v>4015.1000000000004</v>
      </c>
      <c r="M99" s="65">
        <f t="shared" si="29"/>
        <v>4059.5199999999995</v>
      </c>
      <c r="N99" s="65">
        <f t="shared" si="29"/>
        <v>3973.2799999999997</v>
      </c>
      <c r="O99" s="55"/>
      <c r="P99" s="55"/>
      <c r="Q99" s="56"/>
      <c r="R99" s="56"/>
      <c r="S99" s="152"/>
      <c r="T99" s="153"/>
      <c r="U99" s="161"/>
      <c r="V99" s="213"/>
      <c r="W99" s="31"/>
      <c r="X99" s="157"/>
      <c r="Y99" s="157"/>
      <c r="Z99" s="157"/>
      <c r="AA99" s="157"/>
    </row>
    <row r="100" spans="1:29" x14ac:dyDescent="0.25">
      <c r="A100" s="229">
        <v>43134</v>
      </c>
      <c r="B100" s="257" t="s">
        <v>169</v>
      </c>
      <c r="C100" s="67" t="s">
        <v>171</v>
      </c>
      <c r="D100" s="66" t="s">
        <v>189</v>
      </c>
      <c r="E100" s="81" t="s">
        <v>186</v>
      </c>
      <c r="F100" s="166">
        <v>1259.6199999999999</v>
      </c>
      <c r="G100" s="166">
        <v>1237.4100000000001</v>
      </c>
      <c r="H100" s="166">
        <v>1228.43</v>
      </c>
      <c r="I100" s="166">
        <v>1238.28</v>
      </c>
      <c r="J100" s="166">
        <v>1280.6500000000001</v>
      </c>
      <c r="K100" s="166">
        <v>1266.95</v>
      </c>
      <c r="L100" s="166">
        <v>1239.3399999999999</v>
      </c>
      <c r="M100" s="166">
        <v>1236.94</v>
      </c>
      <c r="N100" s="166">
        <v>1269.83</v>
      </c>
      <c r="O100" s="68">
        <f>IF((N101=""),"",MAX(F102:N102))</f>
        <v>2100.2400000000002</v>
      </c>
      <c r="P100" s="68">
        <f>IF(N101="","",MIN(F102:N102))</f>
        <v>1945.0500000000004</v>
      </c>
      <c r="Q100" s="69">
        <f>IF((N102=""),"",AVERAGE(F102:N102))</f>
        <v>2053.0633333333335</v>
      </c>
      <c r="R100" s="69">
        <f>IF((N101=""),"",(O100-P100)/(O100+P100)*100)</f>
        <v>3.8363133421831264</v>
      </c>
      <c r="S100" s="152">
        <f>STDEV(F102:N102)</f>
        <v>58.121829806020287</v>
      </c>
      <c r="T100" s="162" t="str">
        <f>IF(N101="","",IF(Q100&gt;1940,IF(R100&lt;8.3,IF(Q100&lt;2180,"Pass","Fail"),"Fail"),"Fail"))</f>
        <v>Pass</v>
      </c>
      <c r="U100" s="156"/>
      <c r="V100" s="212"/>
      <c r="W100" s="31"/>
      <c r="X100" s="155">
        <v>2000</v>
      </c>
      <c r="Y100" s="155">
        <v>3000</v>
      </c>
      <c r="Z100" s="155">
        <v>1940</v>
      </c>
      <c r="AA100" s="155">
        <v>2180</v>
      </c>
      <c r="AC100" s="51">
        <v>5.2</v>
      </c>
    </row>
    <row r="101" spans="1:29" ht="16.100000000000001" x14ac:dyDescent="0.35">
      <c r="A101"/>
      <c r="B101" s="52"/>
      <c r="C101" s="53"/>
      <c r="D101" s="54"/>
      <c r="E101" s="81" t="s">
        <v>187</v>
      </c>
      <c r="F101" s="166">
        <v>572.25</v>
      </c>
      <c r="G101" s="166">
        <v>541.33000000000004</v>
      </c>
      <c r="H101" s="166">
        <v>531.35</v>
      </c>
      <c r="I101" s="166">
        <v>544.49</v>
      </c>
      <c r="J101" s="166">
        <v>632.29999999999995</v>
      </c>
      <c r="K101" s="166">
        <v>613.52</v>
      </c>
      <c r="L101" s="166">
        <v>546.6</v>
      </c>
      <c r="M101" s="166">
        <v>536.86</v>
      </c>
      <c r="N101" s="166">
        <v>579.55999999999995</v>
      </c>
      <c r="O101" s="55"/>
      <c r="P101" s="55"/>
      <c r="Q101" s="56"/>
      <c r="R101" s="56"/>
      <c r="S101" s="152"/>
      <c r="T101" s="153"/>
      <c r="U101" s="156">
        <v>1335</v>
      </c>
      <c r="V101" s="212"/>
      <c r="W101" s="31"/>
      <c r="X101" s="157"/>
      <c r="Y101" s="157"/>
      <c r="Z101" s="157"/>
      <c r="AA101" s="157"/>
    </row>
    <row r="102" spans="1:29" ht="16.649999999999999" thickBot="1" x14ac:dyDescent="0.4">
      <c r="A102"/>
      <c r="B102" s="70"/>
      <c r="C102" s="71"/>
      <c r="D102" s="72"/>
      <c r="E102" s="85" t="s">
        <v>190</v>
      </c>
      <c r="F102" s="73">
        <f t="shared" ref="F102:N102" si="30">IF(((F100="")*AND(F101="")),"",(F100-F101)*3)</f>
        <v>2062.1099999999997</v>
      </c>
      <c r="G102" s="73">
        <f t="shared" si="30"/>
        <v>2088.2400000000002</v>
      </c>
      <c r="H102" s="73">
        <f t="shared" si="30"/>
        <v>2091.2400000000002</v>
      </c>
      <c r="I102" s="73">
        <f t="shared" si="30"/>
        <v>2081.37</v>
      </c>
      <c r="J102" s="73">
        <f t="shared" si="30"/>
        <v>1945.0500000000004</v>
      </c>
      <c r="K102" s="73">
        <f t="shared" si="30"/>
        <v>1960.2900000000002</v>
      </c>
      <c r="L102" s="73">
        <f t="shared" si="30"/>
        <v>2078.2199999999998</v>
      </c>
      <c r="M102" s="73">
        <f t="shared" si="30"/>
        <v>2100.2400000000002</v>
      </c>
      <c r="N102" s="73">
        <f t="shared" si="30"/>
        <v>2070.81</v>
      </c>
      <c r="O102" s="74"/>
      <c r="P102" s="74"/>
      <c r="Q102" s="75"/>
      <c r="R102" s="75"/>
      <c r="S102" s="152"/>
      <c r="T102" s="163"/>
      <c r="U102" s="164"/>
      <c r="V102" s="212"/>
      <c r="W102" s="31"/>
      <c r="X102" s="157"/>
      <c r="Y102" s="157"/>
      <c r="Z102" s="157"/>
      <c r="AA102" s="157"/>
    </row>
    <row r="103" spans="1:29" x14ac:dyDescent="0.25">
      <c r="A103" s="248">
        <v>43137</v>
      </c>
      <c r="B103" s="258" t="s">
        <v>185</v>
      </c>
      <c r="C103" s="47" t="s">
        <v>173</v>
      </c>
      <c r="D103" s="48" t="s">
        <v>172</v>
      </c>
      <c r="E103" s="79" t="s">
        <v>186</v>
      </c>
      <c r="F103" s="31">
        <v>23328.78</v>
      </c>
      <c r="G103" s="31">
        <v>23328.78</v>
      </c>
      <c r="H103" s="31">
        <v>23457.48</v>
      </c>
      <c r="I103" s="31">
        <v>23289.3</v>
      </c>
      <c r="J103" s="31">
        <v>22713.78</v>
      </c>
      <c r="K103" s="31">
        <v>22821.3</v>
      </c>
      <c r="L103" s="31">
        <v>23285.67</v>
      </c>
      <c r="M103" s="31">
        <v>23296.65</v>
      </c>
      <c r="N103" s="31">
        <v>22729.33</v>
      </c>
      <c r="O103" s="49">
        <f>IF((N104=""),"",MAX(F105:N105))</f>
        <v>5127.4799999999996</v>
      </c>
      <c r="P103" s="49">
        <f>IF(N104="","",MIN(F105:N105))</f>
        <v>4315.1999999999935</v>
      </c>
      <c r="Q103" s="50">
        <f>IF((N105=""),"",AVERAGE(F105:N105))</f>
        <v>4691.0433333333303</v>
      </c>
      <c r="R103" s="50">
        <f>IF((N104=""),"",(O103-P103)/(O103+P103)*100)</f>
        <v>8.6022188615944497</v>
      </c>
      <c r="S103" s="152">
        <f>STDEV(F105:N105)</f>
        <v>380.43292003979053</v>
      </c>
      <c r="T103" s="153" t="str">
        <f>IF(N104="","",IF(R103&lt;16,IF(Q103&gt;3200,IF(R103,IF(Q103&lt;5240,"Pass","Fail"),"Fail"),"Fail")))</f>
        <v>Pass</v>
      </c>
      <c r="U103" s="154">
        <v>102</v>
      </c>
      <c r="V103" s="212"/>
      <c r="W103" s="31"/>
      <c r="X103" s="155">
        <v>4200</v>
      </c>
      <c r="Y103" s="155">
        <v>5500</v>
      </c>
      <c r="Z103" s="155">
        <v>3200</v>
      </c>
      <c r="AA103" s="155">
        <v>5240</v>
      </c>
      <c r="AC103" s="51">
        <v>16</v>
      </c>
    </row>
    <row r="104" spans="1:29" ht="16.100000000000001" x14ac:dyDescent="0.35">
      <c r="A104"/>
      <c r="B104" s="52"/>
      <c r="C104" s="53"/>
      <c r="D104" s="54"/>
      <c r="E104" s="81" t="s">
        <v>187</v>
      </c>
      <c r="F104" s="31">
        <v>21619.62</v>
      </c>
      <c r="G104" s="31">
        <v>21890.38</v>
      </c>
      <c r="H104" s="31">
        <v>22003.24</v>
      </c>
      <c r="I104" s="31">
        <v>21817.02</v>
      </c>
      <c r="J104" s="31">
        <v>21008.91</v>
      </c>
      <c r="K104" s="31">
        <v>21158.43</v>
      </c>
      <c r="L104" s="31">
        <v>21818.400000000001</v>
      </c>
      <c r="M104" s="31">
        <v>21840.560000000001</v>
      </c>
      <c r="N104" s="31">
        <v>21021.38</v>
      </c>
      <c r="O104" s="55"/>
      <c r="P104" s="55"/>
      <c r="Q104" s="56"/>
      <c r="R104" s="56"/>
      <c r="S104" s="152"/>
      <c r="T104" s="153"/>
      <c r="U104" s="156"/>
      <c r="V104" s="212"/>
      <c r="W104" s="31"/>
      <c r="X104" s="157"/>
      <c r="Y104" s="157"/>
      <c r="Z104" s="157"/>
      <c r="AA104" s="157"/>
    </row>
    <row r="105" spans="1:29" ht="22.75" thickBot="1" x14ac:dyDescent="0.4">
      <c r="A105"/>
      <c r="B105" s="57"/>
      <c r="C105" s="58"/>
      <c r="D105" s="59"/>
      <c r="E105" s="81" t="s">
        <v>188</v>
      </c>
      <c r="F105" s="60">
        <f t="shared" ref="F105:N105" si="31">IF(((F103="")*AND(F104="")),"",(F103-F104)*3)</f>
        <v>5127.4799999999996</v>
      </c>
      <c r="G105" s="60">
        <f t="shared" si="31"/>
        <v>4315.1999999999935</v>
      </c>
      <c r="H105" s="60">
        <f t="shared" si="31"/>
        <v>4362.7199999999939</v>
      </c>
      <c r="I105" s="60">
        <f t="shared" si="31"/>
        <v>4416.8399999999965</v>
      </c>
      <c r="J105" s="60">
        <f t="shared" si="31"/>
        <v>5114.6099999999969</v>
      </c>
      <c r="K105" s="60">
        <f t="shared" si="31"/>
        <v>4988.6099999999969</v>
      </c>
      <c r="L105" s="60">
        <f t="shared" si="31"/>
        <v>4401.8099999999904</v>
      </c>
      <c r="M105" s="60">
        <f t="shared" si="31"/>
        <v>4368.2700000000004</v>
      </c>
      <c r="N105" s="60">
        <f t="shared" si="31"/>
        <v>5123.8500000000022</v>
      </c>
      <c r="O105" s="61"/>
      <c r="P105" s="61"/>
      <c r="Q105" s="62"/>
      <c r="R105" s="62"/>
      <c r="S105" s="152"/>
      <c r="T105" s="158"/>
      <c r="U105" s="159"/>
      <c r="V105" s="212"/>
      <c r="W105" s="31"/>
      <c r="X105" s="157"/>
      <c r="Y105" s="157"/>
      <c r="Z105" s="157"/>
      <c r="AA105" s="157"/>
    </row>
    <row r="106" spans="1:29" x14ac:dyDescent="0.25">
      <c r="A106" s="250">
        <v>43137</v>
      </c>
      <c r="B106" s="257" t="s">
        <v>174</v>
      </c>
      <c r="C106" s="53" t="s">
        <v>176</v>
      </c>
      <c r="D106" s="64" t="s">
        <v>175</v>
      </c>
      <c r="E106" s="61" t="s">
        <v>186</v>
      </c>
      <c r="F106" s="31">
        <v>6720.03</v>
      </c>
      <c r="G106" s="31">
        <v>6637.98</v>
      </c>
      <c r="H106" s="31">
        <v>6738.71</v>
      </c>
      <c r="I106" s="31">
        <v>6747.14</v>
      </c>
      <c r="J106" s="31">
        <v>6897.17</v>
      </c>
      <c r="K106" s="31">
        <v>6766.19</v>
      </c>
      <c r="L106" s="31">
        <v>6712.1</v>
      </c>
      <c r="M106" s="31">
        <v>6728.93</v>
      </c>
      <c r="N106" s="31">
        <v>6824.22</v>
      </c>
      <c r="O106" s="55">
        <f>IF((N107=""),"",MAX(F108:N108))</f>
        <v>3983.08</v>
      </c>
      <c r="P106" s="55">
        <f>IF(N107="","",MIN(F108:N108))</f>
        <v>3708.24</v>
      </c>
      <c r="Q106" s="56">
        <f>IF((N108=""),"",AVERAGE(F108:N108))</f>
        <v>3895.7488888888888</v>
      </c>
      <c r="R106" s="56">
        <f>IF((N107=""),"",(O106-P106)/(O106+P106)*100)</f>
        <v>3.5733788218407265</v>
      </c>
      <c r="S106" s="152">
        <f>STDEV(F108:N108)</f>
        <v>90.483122244488925</v>
      </c>
      <c r="T106" s="160" t="str">
        <f>IF(N107="","",IF(Q106&gt;3650,IF(R106&lt;6.5,IF(Q106&lt;4450,"Pass","Fail"),"Fail"),"Fail"))</f>
        <v>Pass</v>
      </c>
      <c r="U106" s="156">
        <v>102</v>
      </c>
      <c r="V106" s="212"/>
      <c r="W106" s="31"/>
      <c r="X106" s="155">
        <v>3650</v>
      </c>
      <c r="Y106" s="155">
        <v>4450</v>
      </c>
      <c r="Z106" s="155">
        <v>3700</v>
      </c>
      <c r="AA106" s="155">
        <v>4100</v>
      </c>
      <c r="AB106" s="51">
        <v>7</v>
      </c>
      <c r="AC106" s="51">
        <v>6.5</v>
      </c>
    </row>
    <row r="107" spans="1:29" ht="16.100000000000001" x14ac:dyDescent="0.35">
      <c r="A107"/>
      <c r="B107" s="63"/>
      <c r="C107" s="53"/>
      <c r="D107" s="54"/>
      <c r="E107" s="81" t="s">
        <v>187</v>
      </c>
      <c r="F107" s="31">
        <v>4811.45</v>
      </c>
      <c r="G107" s="31">
        <v>4669.2</v>
      </c>
      <c r="H107" s="31">
        <v>4752.8100000000004</v>
      </c>
      <c r="I107" s="31">
        <v>4770.95</v>
      </c>
      <c r="J107" s="31">
        <v>4978.59</v>
      </c>
      <c r="K107" s="31">
        <v>4912.07</v>
      </c>
      <c r="L107" s="31">
        <v>4741.55</v>
      </c>
      <c r="M107" s="31">
        <v>4737.3900000000003</v>
      </c>
      <c r="N107" s="31">
        <v>4867.59</v>
      </c>
      <c r="O107" s="55"/>
      <c r="P107" s="55"/>
      <c r="Q107" s="56"/>
      <c r="R107" s="56"/>
      <c r="S107" s="152"/>
      <c r="T107" s="153"/>
      <c r="U107" s="161"/>
      <c r="V107" s="213"/>
      <c r="W107" s="31"/>
      <c r="X107" s="157"/>
      <c r="Y107" s="157"/>
      <c r="Z107" s="157"/>
      <c r="AA107" s="157"/>
    </row>
    <row r="108" spans="1:29" ht="22.75" thickBot="1" x14ac:dyDescent="0.4">
      <c r="A108"/>
      <c r="B108" s="63"/>
      <c r="C108" s="53"/>
      <c r="D108" s="54"/>
      <c r="E108" s="68" t="s">
        <v>188</v>
      </c>
      <c r="F108" s="65">
        <f t="shared" ref="F108:N108" si="32">IF(((F106="")*AND(F107="")),"",(F106-F107)*2)</f>
        <v>3817.16</v>
      </c>
      <c r="G108" s="65">
        <f t="shared" si="32"/>
        <v>3937.5599999999995</v>
      </c>
      <c r="H108" s="65">
        <f t="shared" si="32"/>
        <v>3971.7999999999993</v>
      </c>
      <c r="I108" s="65">
        <f t="shared" si="32"/>
        <v>3952.380000000001</v>
      </c>
      <c r="J108" s="65">
        <f t="shared" si="32"/>
        <v>3837.16</v>
      </c>
      <c r="K108" s="65">
        <f t="shared" si="32"/>
        <v>3708.24</v>
      </c>
      <c r="L108" s="65">
        <f t="shared" si="32"/>
        <v>3941.1000000000004</v>
      </c>
      <c r="M108" s="65">
        <f t="shared" si="32"/>
        <v>3983.08</v>
      </c>
      <c r="N108" s="65">
        <f t="shared" si="32"/>
        <v>3913.26</v>
      </c>
      <c r="O108" s="55"/>
      <c r="P108" s="55"/>
      <c r="Q108" s="56"/>
      <c r="R108" s="56"/>
      <c r="S108" s="152"/>
      <c r="T108" s="153"/>
      <c r="U108" s="161"/>
      <c r="V108" s="213"/>
      <c r="W108" s="31"/>
      <c r="X108" s="157"/>
      <c r="Y108" s="157"/>
      <c r="Z108" s="157"/>
      <c r="AA108" s="157"/>
    </row>
    <row r="109" spans="1:29" x14ac:dyDescent="0.25">
      <c r="A109" s="230">
        <v>43137</v>
      </c>
      <c r="B109" s="257" t="s">
        <v>169</v>
      </c>
      <c r="C109" s="67" t="s">
        <v>171</v>
      </c>
      <c r="D109" s="66" t="s">
        <v>189</v>
      </c>
      <c r="E109" s="81" t="s">
        <v>186</v>
      </c>
      <c r="F109" s="31">
        <v>1918.72</v>
      </c>
      <c r="G109" s="31">
        <v>1914.06</v>
      </c>
      <c r="H109" s="31">
        <v>1907.01</v>
      </c>
      <c r="I109" s="31">
        <v>1913.87</v>
      </c>
      <c r="J109" s="31">
        <v>1925.23</v>
      </c>
      <c r="K109" s="31">
        <v>1917.95</v>
      </c>
      <c r="L109" s="31">
        <v>1912.51</v>
      </c>
      <c r="M109" s="31">
        <v>1917.88</v>
      </c>
      <c r="N109" s="31">
        <v>1924.66</v>
      </c>
      <c r="O109" s="68">
        <f>IF((N110=""),"",MAX(F111:N111))</f>
        <v>2103.7200000000003</v>
      </c>
      <c r="P109" s="68">
        <f>IF(N110="","",MIN(F111:N111))</f>
        <v>1963.62</v>
      </c>
      <c r="Q109" s="69">
        <f>IF((N111=""),"",AVERAGE(F111:N111))</f>
        <v>2042.5833333333333</v>
      </c>
      <c r="R109" s="69">
        <f>IF((N110=""),"",(O109-P109)/(O109+P109)*100)</f>
        <v>3.4445116464323209</v>
      </c>
      <c r="S109" s="152">
        <f>STDEV(F111:N111)</f>
        <v>50.785304961179456</v>
      </c>
      <c r="T109" s="162" t="str">
        <f>IF(N110="","",IF(Q109&gt;1940,IF(R109&lt;8.3,IF(Q109&lt;2180,"Pass","Fail"),"Fail"),"Fail"))</f>
        <v>Pass</v>
      </c>
      <c r="U109" s="156">
        <v>102</v>
      </c>
      <c r="V109" s="212"/>
      <c r="W109" s="31"/>
      <c r="X109" s="155">
        <v>2000</v>
      </c>
      <c r="Y109" s="155">
        <v>3000</v>
      </c>
      <c r="Z109" s="155">
        <v>1940</v>
      </c>
      <c r="AA109" s="155">
        <v>2180</v>
      </c>
      <c r="AC109" s="51">
        <v>5.2</v>
      </c>
    </row>
    <row r="110" spans="1:29" ht="16.100000000000001" x14ac:dyDescent="0.35">
      <c r="A110"/>
      <c r="B110" s="52"/>
      <c r="C110" s="53"/>
      <c r="D110" s="54"/>
      <c r="E110" s="81" t="s">
        <v>187</v>
      </c>
      <c r="F110" s="31">
        <v>1249.28</v>
      </c>
      <c r="G110" s="31">
        <v>1217.54</v>
      </c>
      <c r="H110" s="31">
        <v>1212.1099999999999</v>
      </c>
      <c r="I110" s="31">
        <v>1222.6500000000001</v>
      </c>
      <c r="J110" s="31">
        <v>1270.69</v>
      </c>
      <c r="K110" s="31">
        <v>1256.45</v>
      </c>
      <c r="L110" s="31">
        <v>1225.44</v>
      </c>
      <c r="M110" s="31">
        <v>1216.6400000000001</v>
      </c>
      <c r="N110" s="31">
        <v>1253.3399999999999</v>
      </c>
      <c r="O110" s="55"/>
      <c r="P110" s="55"/>
      <c r="Q110" s="56"/>
      <c r="R110" s="56"/>
      <c r="S110" s="152"/>
      <c r="T110" s="153"/>
      <c r="U110" s="156"/>
      <c r="V110" s="212"/>
      <c r="W110" s="31"/>
      <c r="X110" s="157"/>
      <c r="Y110" s="157"/>
      <c r="Z110" s="157"/>
      <c r="AA110" s="157"/>
    </row>
    <row r="111" spans="1:29" ht="16.649999999999999" thickBot="1" x14ac:dyDescent="0.4">
      <c r="A111"/>
      <c r="B111" s="70"/>
      <c r="C111" s="71"/>
      <c r="D111" s="72"/>
      <c r="E111" s="85" t="s">
        <v>190</v>
      </c>
      <c r="F111" s="73">
        <f t="shared" ref="F111:N111" si="33">IF(((F109="")*AND(F110="")),"",(F109-F110)*3)</f>
        <v>2008.3200000000002</v>
      </c>
      <c r="G111" s="73">
        <f t="shared" si="33"/>
        <v>2089.56</v>
      </c>
      <c r="H111" s="73">
        <f t="shared" si="33"/>
        <v>2084.7000000000003</v>
      </c>
      <c r="I111" s="73">
        <f t="shared" si="33"/>
        <v>2073.6599999999994</v>
      </c>
      <c r="J111" s="73">
        <f t="shared" si="33"/>
        <v>1963.62</v>
      </c>
      <c r="K111" s="73">
        <f t="shared" si="33"/>
        <v>1984.5</v>
      </c>
      <c r="L111" s="73">
        <f t="shared" si="33"/>
        <v>2061.21</v>
      </c>
      <c r="M111" s="73">
        <f t="shared" si="33"/>
        <v>2103.7200000000003</v>
      </c>
      <c r="N111" s="73">
        <f t="shared" si="33"/>
        <v>2013.9600000000005</v>
      </c>
      <c r="O111" s="74"/>
      <c r="P111" s="74"/>
      <c r="Q111" s="75"/>
      <c r="R111" s="75"/>
      <c r="S111" s="152"/>
      <c r="T111" s="163"/>
      <c r="U111" s="164"/>
      <c r="V111" s="212"/>
      <c r="W111" s="31"/>
      <c r="X111" s="157"/>
      <c r="Y111" s="157"/>
      <c r="Z111" s="157"/>
      <c r="AA111" s="157"/>
    </row>
    <row r="112" spans="1:29" x14ac:dyDescent="0.25">
      <c r="A112" s="248">
        <v>43140</v>
      </c>
      <c r="B112" s="256" t="s">
        <v>185</v>
      </c>
      <c r="C112" s="53" t="s">
        <v>173</v>
      </c>
      <c r="D112" s="54" t="s">
        <v>172</v>
      </c>
      <c r="E112" s="61" t="s">
        <v>186</v>
      </c>
      <c r="F112" s="31">
        <v>26905.74</v>
      </c>
      <c r="G112" s="31">
        <v>26810.880000000001</v>
      </c>
      <c r="H112" s="31">
        <v>26951.52</v>
      </c>
      <c r="I112" s="31">
        <v>26800.22</v>
      </c>
      <c r="J112" s="31">
        <v>26884.82</v>
      </c>
      <c r="K112" s="31">
        <v>26787.59</v>
      </c>
      <c r="L112" s="31">
        <v>26788.959999999999</v>
      </c>
      <c r="M112" s="31">
        <v>26775.83</v>
      </c>
      <c r="N112" s="31">
        <v>26963</v>
      </c>
      <c r="O112" s="55">
        <f>IF((N113=""),"",MAX(F114:N114))</f>
        <v>5222.7299999999996</v>
      </c>
      <c r="P112" s="55">
        <f>IF(N113="","",MIN(F114:N114))</f>
        <v>4415.0100000000057</v>
      </c>
      <c r="Q112" s="56">
        <f>IF((N114=""),"",AVERAGE(F114:N114))</f>
        <v>4743.3100000000022</v>
      </c>
      <c r="R112" s="56">
        <f>IF((N113=""),"",(O112-P112)/(O112+P112)*100)</f>
        <v>8.3808029683306824</v>
      </c>
      <c r="S112" s="152">
        <f>STDEV(F114:N114)</f>
        <v>333.73809787766123</v>
      </c>
      <c r="T112" s="153" t="str">
        <f>IF(N113="","",IF(R112&lt;16,IF(Q112&gt;3200,IF(R112,IF(Q112&lt;5240,"Pass","Fail"),"Fail"),"Fail")))</f>
        <v>Pass</v>
      </c>
      <c r="U112" s="156"/>
      <c r="V112" s="212"/>
      <c r="W112" s="31"/>
      <c r="X112" s="155">
        <v>4200</v>
      </c>
      <c r="Y112" s="155">
        <v>5500</v>
      </c>
      <c r="Z112" s="155">
        <v>3200</v>
      </c>
      <c r="AA112" s="155">
        <v>5240</v>
      </c>
      <c r="AC112" s="51">
        <v>16</v>
      </c>
    </row>
    <row r="113" spans="1:29" ht="16.100000000000001" x14ac:dyDescent="0.35">
      <c r="A113"/>
      <c r="B113" s="52"/>
      <c r="C113" s="53"/>
      <c r="D113" s="54"/>
      <c r="E113" s="81" t="s">
        <v>187</v>
      </c>
      <c r="F113" s="31">
        <v>25246.89</v>
      </c>
      <c r="G113" s="31">
        <v>25318.62</v>
      </c>
      <c r="H113" s="31">
        <v>25479.85</v>
      </c>
      <c r="I113" s="31">
        <v>25303.759999999998</v>
      </c>
      <c r="J113" s="31">
        <v>25163.43</v>
      </c>
      <c r="K113" s="31">
        <v>25130.28</v>
      </c>
      <c r="L113" s="31">
        <v>25304.81</v>
      </c>
      <c r="M113" s="31">
        <v>25268.9</v>
      </c>
      <c r="N113" s="31">
        <v>25222.09</v>
      </c>
      <c r="O113" s="55"/>
      <c r="P113" s="55"/>
      <c r="Q113" s="56"/>
      <c r="R113" s="56"/>
      <c r="S113" s="152"/>
      <c r="T113" s="153"/>
      <c r="U113" s="156"/>
      <c r="V113" s="212"/>
      <c r="W113" s="31"/>
      <c r="X113" s="157"/>
      <c r="Y113" s="157"/>
      <c r="Z113" s="157"/>
      <c r="AA113" s="157"/>
    </row>
    <row r="114" spans="1:29" ht="22.75" thickBot="1" x14ac:dyDescent="0.4">
      <c r="A114"/>
      <c r="B114" s="57"/>
      <c r="C114" s="58"/>
      <c r="D114" s="59"/>
      <c r="E114" s="81" t="s">
        <v>188</v>
      </c>
      <c r="F114" s="60">
        <f t="shared" ref="F114:N114" si="34">IF(((F112="")*AND(F113="")),"",(F112-F113)*3)</f>
        <v>4976.5500000000065</v>
      </c>
      <c r="G114" s="60">
        <f t="shared" si="34"/>
        <v>4476.7800000000061</v>
      </c>
      <c r="H114" s="60">
        <f t="shared" si="34"/>
        <v>4415.0100000000057</v>
      </c>
      <c r="I114" s="60">
        <f t="shared" si="34"/>
        <v>4489.3800000000083</v>
      </c>
      <c r="J114" s="60">
        <f t="shared" si="34"/>
        <v>5164.1699999999983</v>
      </c>
      <c r="K114" s="60">
        <f t="shared" si="34"/>
        <v>4971.9300000000039</v>
      </c>
      <c r="L114" s="60">
        <f t="shared" si="34"/>
        <v>4452.4499999999935</v>
      </c>
      <c r="M114" s="60">
        <f t="shared" si="34"/>
        <v>4520.7900000000009</v>
      </c>
      <c r="N114" s="60">
        <f t="shared" si="34"/>
        <v>5222.7299999999996</v>
      </c>
      <c r="O114" s="61"/>
      <c r="P114" s="61"/>
      <c r="Q114" s="62"/>
      <c r="R114" s="62"/>
      <c r="S114" s="152"/>
      <c r="T114" s="158"/>
      <c r="U114" s="159"/>
      <c r="V114" s="212"/>
      <c r="W114" s="31"/>
      <c r="X114" s="157"/>
      <c r="Y114" s="157"/>
      <c r="Z114" s="157"/>
      <c r="AA114" s="157"/>
    </row>
    <row r="115" spans="1:29" x14ac:dyDescent="0.25">
      <c r="A115" s="229">
        <v>43140</v>
      </c>
      <c r="B115" s="257" t="s">
        <v>174</v>
      </c>
      <c r="C115" s="53" t="s">
        <v>176</v>
      </c>
      <c r="D115" s="64" t="s">
        <v>175</v>
      </c>
      <c r="E115" s="61" t="s">
        <v>186</v>
      </c>
      <c r="F115" s="31">
        <v>4823.32</v>
      </c>
      <c r="G115" s="31">
        <v>4683.57</v>
      </c>
      <c r="H115" s="31">
        <v>4766.54</v>
      </c>
      <c r="I115" s="31">
        <v>4783.84</v>
      </c>
      <c r="J115" s="31">
        <v>4983.95</v>
      </c>
      <c r="K115" s="31">
        <v>4919.51</v>
      </c>
      <c r="L115" s="31">
        <v>4755.2299999999996</v>
      </c>
      <c r="M115" s="31">
        <v>4751.1899999999996</v>
      </c>
      <c r="N115" s="31">
        <v>4877.05</v>
      </c>
      <c r="O115" s="55">
        <f>IF((N116=""),"",MAX(F117:N117))</f>
        <v>4044.5199999999995</v>
      </c>
      <c r="P115" s="55">
        <f>IF(N116="","",MIN(F117:N117))</f>
        <v>3763.1200000000008</v>
      </c>
      <c r="Q115" s="56">
        <f>IF((N117=""),"",AVERAGE(F117:N117))</f>
        <v>3954.7866666666669</v>
      </c>
      <c r="R115" s="56">
        <f>IF((N116=""),"",(O115-P115)/(O115+P115)*100)</f>
        <v>3.6041620771449336</v>
      </c>
      <c r="S115" s="152">
        <f>STDEV(F117:N117)</f>
        <v>96.488510196810253</v>
      </c>
      <c r="T115" s="160" t="str">
        <f>IF(N116="","",IF(Q115&gt;3650,IF(R115&lt;6.5,IF(Q115&lt;4450,"Pass","Fail"),"Fail"),"Fail"))</f>
        <v>Pass</v>
      </c>
      <c r="U115" s="156"/>
      <c r="V115" s="212"/>
      <c r="W115" s="31"/>
      <c r="X115" s="155">
        <v>3650</v>
      </c>
      <c r="Y115" s="155">
        <v>4450</v>
      </c>
      <c r="Z115" s="155">
        <v>3700</v>
      </c>
      <c r="AA115" s="155">
        <v>4100</v>
      </c>
      <c r="AB115" s="51">
        <v>7</v>
      </c>
      <c r="AC115" s="51">
        <v>6.5</v>
      </c>
    </row>
    <row r="116" spans="1:29" ht="16.100000000000001" x14ac:dyDescent="0.35">
      <c r="A116"/>
      <c r="B116" s="63"/>
      <c r="C116" s="53"/>
      <c r="D116" s="54"/>
      <c r="E116" s="81" t="s">
        <v>187</v>
      </c>
      <c r="F116" s="31">
        <v>2886.01</v>
      </c>
      <c r="G116" s="31">
        <v>2678.26</v>
      </c>
      <c r="H116" s="31">
        <v>2748.94</v>
      </c>
      <c r="I116" s="31">
        <v>2773.39</v>
      </c>
      <c r="J116" s="31">
        <v>3043.51</v>
      </c>
      <c r="K116" s="31">
        <v>3037.95</v>
      </c>
      <c r="L116" s="31">
        <v>2747.07</v>
      </c>
      <c r="M116" s="31">
        <v>2728.93</v>
      </c>
      <c r="N116" s="31">
        <v>2903.6</v>
      </c>
      <c r="O116" s="55"/>
      <c r="P116" s="55"/>
      <c r="Q116" s="56"/>
      <c r="R116" s="56"/>
      <c r="S116" s="152"/>
      <c r="T116" s="153"/>
      <c r="U116" s="161"/>
      <c r="V116" s="213"/>
      <c r="W116" s="31"/>
      <c r="X116" s="157"/>
      <c r="Y116" s="157"/>
      <c r="Z116" s="157"/>
      <c r="AA116" s="157"/>
    </row>
    <row r="117" spans="1:29" ht="22.75" thickBot="1" x14ac:dyDescent="0.4">
      <c r="A117"/>
      <c r="B117" s="63"/>
      <c r="C117" s="53"/>
      <c r="D117" s="54"/>
      <c r="E117" s="68" t="s">
        <v>188</v>
      </c>
      <c r="F117" s="65">
        <f t="shared" ref="F117:N117" si="35">IF(((F115="")*AND(F116="")),"",(F115-F116)*2)</f>
        <v>3874.619999999999</v>
      </c>
      <c r="G117" s="65">
        <f t="shared" si="35"/>
        <v>4010.619999999999</v>
      </c>
      <c r="H117" s="65">
        <f t="shared" si="35"/>
        <v>4035.2</v>
      </c>
      <c r="I117" s="65">
        <f t="shared" si="35"/>
        <v>4020.9000000000005</v>
      </c>
      <c r="J117" s="65">
        <f t="shared" si="35"/>
        <v>3880.8799999999992</v>
      </c>
      <c r="K117" s="65">
        <f t="shared" si="35"/>
        <v>3763.1200000000008</v>
      </c>
      <c r="L117" s="65">
        <f t="shared" si="35"/>
        <v>4016.3199999999988</v>
      </c>
      <c r="M117" s="65">
        <f t="shared" si="35"/>
        <v>4044.5199999999995</v>
      </c>
      <c r="N117" s="65">
        <f t="shared" si="35"/>
        <v>3946.9000000000005</v>
      </c>
      <c r="O117" s="55"/>
      <c r="P117" s="55"/>
      <c r="Q117" s="56"/>
      <c r="R117" s="56"/>
      <c r="S117" s="152"/>
      <c r="T117" s="153"/>
      <c r="U117" s="161"/>
      <c r="V117" s="213"/>
      <c r="W117" s="31"/>
      <c r="X117" s="157"/>
      <c r="Y117" s="157"/>
      <c r="Z117" s="157"/>
      <c r="AA117" s="157"/>
    </row>
    <row r="118" spans="1:29" x14ac:dyDescent="0.25">
      <c r="A118" s="229">
        <v>43140</v>
      </c>
      <c r="B118" s="257" t="s">
        <v>169</v>
      </c>
      <c r="C118" s="67" t="s">
        <v>171</v>
      </c>
      <c r="D118" s="66" t="s">
        <v>189</v>
      </c>
      <c r="E118" s="81" t="s">
        <v>186</v>
      </c>
      <c r="F118" s="31">
        <v>1248.46</v>
      </c>
      <c r="G118" s="31">
        <v>1219.57</v>
      </c>
      <c r="H118" s="31">
        <v>1219.21</v>
      </c>
      <c r="I118" s="31">
        <v>1225.98</v>
      </c>
      <c r="J118" s="31">
        <v>1276.04</v>
      </c>
      <c r="K118" s="31">
        <v>1262.8699999999999</v>
      </c>
      <c r="L118" s="31">
        <v>1226.0999999999999</v>
      </c>
      <c r="M118" s="31">
        <v>1220.23</v>
      </c>
      <c r="N118" s="31">
        <v>1250.2</v>
      </c>
      <c r="O118" s="68">
        <f>IF((N119=""),"",MAX(F120:N120))</f>
        <v>2114.1</v>
      </c>
      <c r="P118" s="68">
        <f>IF(N119="","",MIN(F120:N120))</f>
        <v>1985.04</v>
      </c>
      <c r="Q118" s="69">
        <f>IF((N120=""),"",AVERAGE(F120:N120))</f>
        <v>2068.9433333333341</v>
      </c>
      <c r="R118" s="69">
        <f>IF((N119=""),"",(O118-P118)/(O118+P118)*100)</f>
        <v>3.1484652878408634</v>
      </c>
      <c r="S118" s="152">
        <f>STDEV(F120:N120)</f>
        <v>48.110031958002331</v>
      </c>
      <c r="T118" s="162" t="str">
        <f>IF(N119="","",IF(Q118&gt;1940,IF(R118&lt;8.3,IF(Q118&lt;2180,"Pass","Fail"),"Fail"),"Fail"))</f>
        <v>Pass</v>
      </c>
      <c r="U118" s="156"/>
      <c r="V118" s="212"/>
      <c r="W118" s="31"/>
      <c r="X118" s="155">
        <v>2000</v>
      </c>
      <c r="Y118" s="155">
        <v>3000</v>
      </c>
      <c r="Z118" s="155">
        <v>1940</v>
      </c>
      <c r="AA118" s="155">
        <v>2180</v>
      </c>
      <c r="AC118" s="51">
        <v>5.2</v>
      </c>
    </row>
    <row r="119" spans="1:29" ht="16.100000000000001" x14ac:dyDescent="0.35">
      <c r="A119"/>
      <c r="B119" s="52"/>
      <c r="C119" s="53"/>
      <c r="D119" s="54"/>
      <c r="E119" s="81" t="s">
        <v>187</v>
      </c>
      <c r="F119" s="31">
        <v>562.24</v>
      </c>
      <c r="G119" s="31">
        <v>514.87</v>
      </c>
      <c r="H119" s="31">
        <v>516.17999999999995</v>
      </c>
      <c r="I119" s="31">
        <v>525.87</v>
      </c>
      <c r="J119" s="31">
        <v>614.36</v>
      </c>
      <c r="K119" s="31">
        <v>583.08000000000004</v>
      </c>
      <c r="L119" s="31">
        <v>528.41999999999996</v>
      </c>
      <c r="M119" s="31">
        <v>516.53</v>
      </c>
      <c r="N119" s="31">
        <v>580.28</v>
      </c>
      <c r="O119" s="55"/>
      <c r="P119" s="55"/>
      <c r="Q119" s="56"/>
      <c r="R119" s="56"/>
      <c r="S119" s="152"/>
      <c r="T119" s="153"/>
      <c r="U119" s="156"/>
      <c r="V119" s="212"/>
      <c r="W119" s="31"/>
      <c r="X119" s="157"/>
      <c r="Y119" s="157"/>
      <c r="Z119" s="157"/>
      <c r="AA119" s="157"/>
    </row>
    <row r="120" spans="1:29" ht="16.649999999999999" thickBot="1" x14ac:dyDescent="0.4">
      <c r="A120"/>
      <c r="B120" s="70"/>
      <c r="C120" s="71"/>
      <c r="D120" s="72"/>
      <c r="E120" s="85" t="s">
        <v>190</v>
      </c>
      <c r="F120" s="73">
        <f t="shared" ref="F120:N120" si="36">IF(((F118="")*AND(F119="")),"",(F118-F119)*3)</f>
        <v>2058.66</v>
      </c>
      <c r="G120" s="73">
        <f t="shared" si="36"/>
        <v>2114.1</v>
      </c>
      <c r="H120" s="73">
        <f t="shared" si="36"/>
        <v>2109.09</v>
      </c>
      <c r="I120" s="73">
        <f t="shared" si="36"/>
        <v>2100.33</v>
      </c>
      <c r="J120" s="73">
        <f t="shared" si="36"/>
        <v>1985.04</v>
      </c>
      <c r="K120" s="73">
        <f t="shared" si="36"/>
        <v>2039.3699999999994</v>
      </c>
      <c r="L120" s="73">
        <f t="shared" si="36"/>
        <v>2093.04</v>
      </c>
      <c r="M120" s="73">
        <f t="shared" si="36"/>
        <v>2111.1000000000004</v>
      </c>
      <c r="N120" s="73">
        <f t="shared" si="36"/>
        <v>2009.7600000000002</v>
      </c>
      <c r="O120" s="74"/>
      <c r="P120" s="74"/>
      <c r="Q120" s="75"/>
      <c r="R120" s="75"/>
      <c r="S120" s="152"/>
      <c r="T120" s="163"/>
      <c r="U120" s="164"/>
      <c r="V120" s="212"/>
      <c r="W120" s="31"/>
      <c r="X120" s="157"/>
      <c r="Y120" s="157"/>
      <c r="Z120" s="157"/>
      <c r="AA120" s="157"/>
    </row>
    <row r="121" spans="1:29" x14ac:dyDescent="0.25">
      <c r="A121" s="229">
        <v>43143</v>
      </c>
      <c r="B121" s="258" t="s">
        <v>185</v>
      </c>
      <c r="C121" s="47" t="s">
        <v>173</v>
      </c>
      <c r="D121" s="48" t="s">
        <v>172</v>
      </c>
      <c r="E121" s="79" t="s">
        <v>186</v>
      </c>
      <c r="F121" s="31">
        <v>25235.25</v>
      </c>
      <c r="G121" s="31">
        <v>25311.72</v>
      </c>
      <c r="H121" s="31">
        <v>25477.94</v>
      </c>
      <c r="I121" s="31">
        <v>25293.69</v>
      </c>
      <c r="J121" s="31">
        <v>25156.6</v>
      </c>
      <c r="K121" s="31">
        <v>25123.42</v>
      </c>
      <c r="L121" s="31">
        <v>25294.87</v>
      </c>
      <c r="M121" s="31">
        <v>25264.95</v>
      </c>
      <c r="N121" s="31">
        <v>25211.17</v>
      </c>
      <c r="O121" s="49">
        <f>IF((N122=""),"",MAX(F123:N123))</f>
        <v>5090.8199999999961</v>
      </c>
      <c r="P121" s="49">
        <f>IF(N122="","",MIN(F123:N123))</f>
        <v>4358.6399999999921</v>
      </c>
      <c r="Q121" s="50">
        <f>IF((N123=""),"",AVERAGE(F123:N123))</f>
        <v>4678.9899999999971</v>
      </c>
      <c r="R121" s="50">
        <f>IF((N122=""),"",(O121-P121)/(O121+P121)*100)</f>
        <v>7.7483792724664147</v>
      </c>
      <c r="S121" s="152">
        <f>STDEV(F123:N123)</f>
        <v>308.41336729298826</v>
      </c>
      <c r="T121" s="153" t="str">
        <f>IF(N122="","",IF(R121&lt;16,IF(Q121&gt;3200,IF(R121,IF(Q121&lt;5240,"Pass","Fail"),"Fail"),"Fail")))</f>
        <v>Pass</v>
      </c>
      <c r="U121" s="154"/>
      <c r="V121" s="212"/>
      <c r="W121" s="31"/>
      <c r="X121" s="155">
        <v>4200</v>
      </c>
      <c r="Y121" s="155">
        <v>5500</v>
      </c>
      <c r="Z121" s="155">
        <v>3200</v>
      </c>
      <c r="AA121" s="155">
        <v>5240</v>
      </c>
      <c r="AC121" s="51">
        <v>16</v>
      </c>
    </row>
    <row r="122" spans="1:29" ht="16.100000000000001" x14ac:dyDescent="0.35">
      <c r="A122"/>
      <c r="B122" s="52"/>
      <c r="C122" s="53"/>
      <c r="D122" s="54"/>
      <c r="E122" s="81" t="s">
        <v>187</v>
      </c>
      <c r="F122" s="31">
        <v>23601.63</v>
      </c>
      <c r="G122" s="31">
        <v>23839.279999999999</v>
      </c>
      <c r="H122" s="31">
        <v>24025.06</v>
      </c>
      <c r="I122" s="31">
        <v>23803.11</v>
      </c>
      <c r="J122" s="31">
        <v>23469.23</v>
      </c>
      <c r="K122" s="31">
        <v>23478.92</v>
      </c>
      <c r="L122" s="31">
        <v>23819.8</v>
      </c>
      <c r="M122" s="31">
        <v>23781.38</v>
      </c>
      <c r="N122" s="31">
        <v>23514.23</v>
      </c>
      <c r="O122" s="55"/>
      <c r="P122" s="55"/>
      <c r="Q122" s="56"/>
      <c r="R122" s="56"/>
      <c r="S122" s="152"/>
      <c r="T122" s="153"/>
      <c r="U122" s="156"/>
      <c r="V122" s="212"/>
      <c r="W122" s="31"/>
      <c r="X122" s="157"/>
      <c r="Y122" s="157"/>
      <c r="Z122" s="157"/>
      <c r="AA122" s="157"/>
    </row>
    <row r="123" spans="1:29" ht="22.75" thickBot="1" x14ac:dyDescent="0.4">
      <c r="A123"/>
      <c r="B123" s="57"/>
      <c r="C123" s="58"/>
      <c r="D123" s="59"/>
      <c r="E123" s="81" t="s">
        <v>188</v>
      </c>
      <c r="F123" s="60">
        <f t="shared" ref="F123:N123" si="37">IF(((F121="")*AND(F122="")),"",(F121-F122)*3)</f>
        <v>4900.8599999999969</v>
      </c>
      <c r="G123" s="60">
        <f t="shared" si="37"/>
        <v>4417.320000000007</v>
      </c>
      <c r="H123" s="60">
        <f t="shared" si="37"/>
        <v>4358.6399999999921</v>
      </c>
      <c r="I123" s="60">
        <f t="shared" si="37"/>
        <v>4471.7399999999943</v>
      </c>
      <c r="J123" s="60">
        <f t="shared" si="37"/>
        <v>5062.1099999999969</v>
      </c>
      <c r="K123" s="60">
        <f t="shared" si="37"/>
        <v>4933.5</v>
      </c>
      <c r="L123" s="60">
        <f t="shared" si="37"/>
        <v>4425.2099999999991</v>
      </c>
      <c r="M123" s="60">
        <f t="shared" si="37"/>
        <v>4450.7099999999991</v>
      </c>
      <c r="N123" s="60">
        <f t="shared" si="37"/>
        <v>5090.8199999999961</v>
      </c>
      <c r="O123" s="61"/>
      <c r="P123" s="61"/>
      <c r="Q123" s="62"/>
      <c r="R123" s="62"/>
      <c r="S123" s="152"/>
      <c r="T123" s="158"/>
      <c r="U123" s="159"/>
      <c r="V123" s="212"/>
      <c r="W123" s="31"/>
      <c r="X123" s="157"/>
      <c r="Y123" s="157"/>
      <c r="Z123" s="157"/>
      <c r="AA123" s="157"/>
    </row>
    <row r="124" spans="1:29" x14ac:dyDescent="0.25">
      <c r="A124" s="229">
        <v>43143</v>
      </c>
      <c r="B124" s="257" t="s">
        <v>174</v>
      </c>
      <c r="C124" s="53" t="s">
        <v>176</v>
      </c>
      <c r="D124" s="64" t="s">
        <v>175</v>
      </c>
      <c r="E124" s="61" t="s">
        <v>186</v>
      </c>
      <c r="F124" s="31">
        <v>2889</v>
      </c>
      <c r="G124" s="31">
        <v>2679</v>
      </c>
      <c r="H124" s="167">
        <v>2752</v>
      </c>
      <c r="I124" s="167">
        <v>2777</v>
      </c>
      <c r="J124" s="167">
        <v>3050</v>
      </c>
      <c r="K124" s="167">
        <v>3044</v>
      </c>
      <c r="L124" s="167">
        <v>2750</v>
      </c>
      <c r="M124" s="167">
        <v>2732</v>
      </c>
      <c r="N124" s="167">
        <v>2908</v>
      </c>
      <c r="O124" s="55">
        <f>IF((N125=""),"",MAX(F126:N126))</f>
        <v>4017.38</v>
      </c>
      <c r="P124" s="55">
        <f>IF(N125="","",MIN(F126:N126))</f>
        <v>3840.34</v>
      </c>
      <c r="Q124" s="56">
        <f>IF((N126=""),"",AVERAGE(F126:N126))</f>
        <v>3944.8333333333339</v>
      </c>
      <c r="R124" s="56">
        <f>IF((N125=""),"",(O124-P124)/(O124+P124)*100)</f>
        <v>2.2530708653400726</v>
      </c>
      <c r="S124" s="152">
        <f>STDEV(F126:N126)</f>
        <v>64.388099832189496</v>
      </c>
      <c r="T124" s="160" t="str">
        <f>IF(N125="","",IF(Q124&gt;3650,IF(R124&lt;6.5,IF(Q124&lt;4450,"Pass","Fail"),"Fail"),"Fail"))</f>
        <v>Pass</v>
      </c>
      <c r="U124" s="156"/>
      <c r="V124" s="212"/>
      <c r="W124" s="31"/>
      <c r="X124" s="155">
        <v>3650</v>
      </c>
      <c r="Y124" s="155">
        <v>4450</v>
      </c>
      <c r="Z124" s="155">
        <v>3700</v>
      </c>
      <c r="AA124" s="155">
        <v>4100</v>
      </c>
      <c r="AB124" s="51">
        <v>7</v>
      </c>
      <c r="AC124" s="51">
        <v>6.5</v>
      </c>
    </row>
    <row r="125" spans="1:29" ht="16.100000000000001" x14ac:dyDescent="0.35">
      <c r="A125"/>
      <c r="B125" s="63"/>
      <c r="C125" s="53"/>
      <c r="D125" s="54"/>
      <c r="E125" s="81" t="s">
        <v>187</v>
      </c>
      <c r="F125" s="31">
        <v>951.05</v>
      </c>
      <c r="G125" s="31">
        <v>692.74</v>
      </c>
      <c r="H125" s="31">
        <v>752.74</v>
      </c>
      <c r="I125" s="31">
        <v>777.1</v>
      </c>
      <c r="J125" s="31">
        <v>1111.98</v>
      </c>
      <c r="K125" s="31">
        <v>1123.83</v>
      </c>
      <c r="L125" s="31">
        <v>763.39</v>
      </c>
      <c r="M125" s="31">
        <v>723.31</v>
      </c>
      <c r="N125" s="31">
        <v>933.11</v>
      </c>
      <c r="O125" s="55"/>
      <c r="P125" s="55"/>
      <c r="Q125" s="56"/>
      <c r="R125" s="56"/>
      <c r="S125" s="152"/>
      <c r="T125" s="153"/>
      <c r="U125" s="161"/>
      <c r="V125" s="213"/>
      <c r="W125" s="31"/>
      <c r="X125" s="157"/>
      <c r="Y125" s="157"/>
      <c r="Z125" s="157"/>
      <c r="AA125" s="157"/>
    </row>
    <row r="126" spans="1:29" ht="22.75" thickBot="1" x14ac:dyDescent="0.4">
      <c r="A126"/>
      <c r="B126" s="63"/>
      <c r="C126" s="53"/>
      <c r="D126" s="54"/>
      <c r="E126" s="68" t="s">
        <v>188</v>
      </c>
      <c r="F126" s="65">
        <f t="shared" ref="F126:N126" si="38">IF(((F124="")*AND(F125="")),"",(F124-F125)*2)</f>
        <v>3875.9</v>
      </c>
      <c r="G126" s="65">
        <f t="shared" si="38"/>
        <v>3972.52</v>
      </c>
      <c r="H126" s="65">
        <f t="shared" si="38"/>
        <v>3998.52</v>
      </c>
      <c r="I126" s="65">
        <f t="shared" si="38"/>
        <v>3999.8</v>
      </c>
      <c r="J126" s="65">
        <f t="shared" si="38"/>
        <v>3876.04</v>
      </c>
      <c r="K126" s="65">
        <f t="shared" si="38"/>
        <v>3840.34</v>
      </c>
      <c r="L126" s="65">
        <f t="shared" si="38"/>
        <v>3973.2200000000003</v>
      </c>
      <c r="M126" s="65">
        <f t="shared" si="38"/>
        <v>4017.38</v>
      </c>
      <c r="N126" s="65">
        <f t="shared" si="38"/>
        <v>3949.7799999999997</v>
      </c>
      <c r="O126" s="55"/>
      <c r="P126" s="55"/>
      <c r="Q126" s="56"/>
      <c r="R126" s="56"/>
      <c r="S126" s="152"/>
      <c r="T126" s="153"/>
      <c r="U126" s="161"/>
      <c r="V126" s="213"/>
      <c r="W126" s="31"/>
      <c r="X126" s="157"/>
      <c r="Y126" s="157"/>
      <c r="Z126" s="157"/>
      <c r="AA126" s="157"/>
    </row>
    <row r="127" spans="1:29" x14ac:dyDescent="0.25">
      <c r="A127" s="229">
        <v>43143</v>
      </c>
      <c r="B127" s="257" t="s">
        <v>169</v>
      </c>
      <c r="C127" s="67" t="s">
        <v>171</v>
      </c>
      <c r="D127" s="66" t="s">
        <v>189</v>
      </c>
      <c r="E127" s="81" t="s">
        <v>186</v>
      </c>
      <c r="F127" s="31">
        <v>1949.67</v>
      </c>
      <c r="G127" s="31">
        <v>1945.36</v>
      </c>
      <c r="H127" s="31">
        <v>1931.4</v>
      </c>
      <c r="I127" s="31">
        <v>1943.13</v>
      </c>
      <c r="J127" s="31">
        <v>1949.69</v>
      </c>
      <c r="K127" s="31">
        <v>1951.23</v>
      </c>
      <c r="L127" s="31">
        <v>1943.53</v>
      </c>
      <c r="M127" s="31">
        <v>1942.29</v>
      </c>
      <c r="N127" s="31">
        <v>1949.09</v>
      </c>
      <c r="O127" s="68">
        <f>IF((N128=""),"",MAX(F129:N129))</f>
        <v>2112.69</v>
      </c>
      <c r="P127" s="68">
        <f>IF(N128="","",MIN(F129:N129))</f>
        <v>2044.7100000000005</v>
      </c>
      <c r="Q127" s="69">
        <f>IF((N129=""),"",AVERAGE(F129:N129))</f>
        <v>2085.2366666666667</v>
      </c>
      <c r="R127" s="69">
        <f>IF((N128=""),"",(O127-P127)/(O127+P127)*100)</f>
        <v>1.6351565882522623</v>
      </c>
      <c r="S127" s="152">
        <f>STDEV(F129:N129)</f>
        <v>20.305603906311013</v>
      </c>
      <c r="T127" s="162" t="str">
        <f>IF(N128="","",IF(Q127&gt;1940,IF(R127&lt;8.3,IF(Q127&lt;2180,"Pass","Fail"),"Fail"),"Fail"))</f>
        <v>Pass</v>
      </c>
      <c r="U127" s="156"/>
      <c r="V127" s="212"/>
      <c r="W127" s="31"/>
      <c r="X127" s="155">
        <v>2000</v>
      </c>
      <c r="Y127" s="155">
        <v>3000</v>
      </c>
      <c r="Z127" s="155">
        <v>1940</v>
      </c>
      <c r="AA127" s="155">
        <v>2180</v>
      </c>
      <c r="AC127" s="51">
        <v>5.2</v>
      </c>
    </row>
    <row r="128" spans="1:29" ht="16.100000000000001" x14ac:dyDescent="0.35">
      <c r="A128"/>
      <c r="B128" s="52"/>
      <c r="C128" s="53"/>
      <c r="D128" s="54"/>
      <c r="E128" s="81" t="s">
        <v>187</v>
      </c>
      <c r="F128" s="31">
        <v>1245.44</v>
      </c>
      <c r="G128" s="31">
        <v>1243.05</v>
      </c>
      <c r="H128" s="31">
        <v>1237.25</v>
      </c>
      <c r="I128" s="31">
        <v>1246.57</v>
      </c>
      <c r="J128" s="31">
        <v>1268.1199999999999</v>
      </c>
      <c r="K128" s="31">
        <v>1260.8499999999999</v>
      </c>
      <c r="L128" s="31">
        <v>1245.97</v>
      </c>
      <c r="M128" s="31">
        <v>1244.99</v>
      </c>
      <c r="N128" s="31">
        <v>1257.44</v>
      </c>
      <c r="O128" s="55"/>
      <c r="P128" s="55"/>
      <c r="Q128" s="56"/>
      <c r="R128" s="56"/>
      <c r="S128" s="152"/>
      <c r="T128" s="153"/>
      <c r="U128" s="156"/>
      <c r="V128" s="212"/>
      <c r="W128" s="31"/>
      <c r="X128" s="157"/>
      <c r="Y128" s="157"/>
      <c r="Z128" s="157"/>
      <c r="AA128" s="157"/>
    </row>
    <row r="129" spans="1:29" ht="16.649999999999999" thickBot="1" x14ac:dyDescent="0.4">
      <c r="A129"/>
      <c r="B129" s="70"/>
      <c r="C129" s="71"/>
      <c r="D129" s="72"/>
      <c r="E129" s="85" t="s">
        <v>190</v>
      </c>
      <c r="F129" s="73">
        <f t="shared" ref="F129:N129" si="39">IF(((F127="")*AND(F128="")),"",(F127-F128)*3)</f>
        <v>2112.69</v>
      </c>
      <c r="G129" s="73">
        <f t="shared" si="39"/>
        <v>2106.9299999999998</v>
      </c>
      <c r="H129" s="73">
        <f t="shared" si="39"/>
        <v>2082.4500000000003</v>
      </c>
      <c r="I129" s="73">
        <f t="shared" si="39"/>
        <v>2089.6800000000003</v>
      </c>
      <c r="J129" s="73">
        <f t="shared" si="39"/>
        <v>2044.7100000000005</v>
      </c>
      <c r="K129" s="73">
        <f t="shared" si="39"/>
        <v>2071.1400000000003</v>
      </c>
      <c r="L129" s="73">
        <f t="shared" si="39"/>
        <v>2092.6799999999998</v>
      </c>
      <c r="M129" s="73">
        <f t="shared" si="39"/>
        <v>2091.8999999999996</v>
      </c>
      <c r="N129" s="73">
        <f t="shared" si="39"/>
        <v>2074.9499999999998</v>
      </c>
      <c r="O129" s="74"/>
      <c r="P129" s="74"/>
      <c r="Q129" s="75"/>
      <c r="R129" s="75"/>
      <c r="S129" s="152"/>
      <c r="T129" s="163"/>
      <c r="U129" s="164"/>
      <c r="V129" s="212"/>
      <c r="W129" s="31"/>
      <c r="X129" s="157"/>
      <c r="Y129" s="157"/>
      <c r="Z129" s="157"/>
      <c r="AA129" s="157"/>
    </row>
    <row r="130" spans="1:29" x14ac:dyDescent="0.25">
      <c r="A130" s="229">
        <v>43146</v>
      </c>
      <c r="B130" s="258" t="s">
        <v>185</v>
      </c>
      <c r="C130" s="47" t="s">
        <v>173</v>
      </c>
      <c r="D130" s="48" t="s">
        <v>172</v>
      </c>
      <c r="E130" s="79" t="s">
        <v>186</v>
      </c>
      <c r="F130" s="31">
        <v>23577.86</v>
      </c>
      <c r="G130" s="31">
        <v>23818.720000000001</v>
      </c>
      <c r="H130" s="31">
        <v>24011.09</v>
      </c>
      <c r="I130" s="31">
        <v>23789.65</v>
      </c>
      <c r="J130" s="31">
        <v>23445.84</v>
      </c>
      <c r="K130" s="31">
        <v>23458.89</v>
      </c>
      <c r="L130" s="31">
        <v>23802.58</v>
      </c>
      <c r="M130" s="31">
        <v>23762.63</v>
      </c>
      <c r="N130" s="31">
        <v>23489.48</v>
      </c>
      <c r="O130" s="49">
        <f>IF((N131=""),"",MAX(F132:N132))</f>
        <v>4974.75</v>
      </c>
      <c r="P130" s="49">
        <f>IF(N131="","",MIN(F132:N132))</f>
        <v>4274.5200000000004</v>
      </c>
      <c r="Q130" s="50">
        <f>IF((N132=""),"",AVERAGE(F132:N132))</f>
        <v>4569.96</v>
      </c>
      <c r="R130" s="50">
        <f>IF((N131=""),"",(O130-P130)/(O130+P130)*100)</f>
        <v>7.570651521687652</v>
      </c>
      <c r="S130" s="152">
        <f>STDEV(F132:N132)</f>
        <v>296.48876150707429</v>
      </c>
      <c r="T130" s="153" t="str">
        <f>IF(N131="","",IF(R130&lt;16,IF(Q130&gt;3200,IF(R130,IF(Q130&lt;5240,"Pass","Fail"),"Fail"),"Fail")))</f>
        <v>Pass</v>
      </c>
      <c r="U130" s="154" t="s">
        <v>104</v>
      </c>
      <c r="V130" s="212"/>
      <c r="W130" s="31"/>
      <c r="X130" s="155">
        <v>4200</v>
      </c>
      <c r="Y130" s="155">
        <v>5500</v>
      </c>
      <c r="Z130" s="155">
        <v>3200</v>
      </c>
      <c r="AA130" s="155">
        <v>5240</v>
      </c>
      <c r="AC130" s="51">
        <v>16</v>
      </c>
    </row>
    <row r="131" spans="1:29" ht="16.100000000000001" x14ac:dyDescent="0.35">
      <c r="A131"/>
      <c r="B131" s="52"/>
      <c r="C131" s="53"/>
      <c r="D131" s="54"/>
      <c r="E131" s="81" t="s">
        <v>187</v>
      </c>
      <c r="F131" s="31">
        <v>21990.880000000001</v>
      </c>
      <c r="G131" s="31">
        <v>22380.74</v>
      </c>
      <c r="H131" s="31">
        <v>22586.25</v>
      </c>
      <c r="I131" s="31">
        <v>22336.11</v>
      </c>
      <c r="J131" s="31">
        <v>21787.59</v>
      </c>
      <c r="K131" s="31">
        <v>21862.73</v>
      </c>
      <c r="L131" s="31">
        <v>22360.13</v>
      </c>
      <c r="M131" s="31">
        <v>22308.28</v>
      </c>
      <c r="N131" s="31">
        <v>21834.15</v>
      </c>
      <c r="O131" s="55"/>
      <c r="P131" s="55"/>
      <c r="Q131" s="56"/>
      <c r="R131" s="56"/>
      <c r="S131" s="152"/>
      <c r="T131" s="153"/>
      <c r="U131" s="156"/>
      <c r="V131" s="212"/>
      <c r="W131" s="31"/>
      <c r="X131" s="157"/>
      <c r="Y131" s="157"/>
      <c r="Z131" s="157"/>
      <c r="AA131" s="157"/>
    </row>
    <row r="132" spans="1:29" ht="22.75" thickBot="1" x14ac:dyDescent="0.4">
      <c r="A132"/>
      <c r="B132" s="57"/>
      <c r="C132" s="58"/>
      <c r="D132" s="59"/>
      <c r="E132" s="81" t="s">
        <v>188</v>
      </c>
      <c r="F132" s="60">
        <f t="shared" ref="F132:N132" si="40">IF(((F130="")*AND(F131="")),"",(F130-F131)*3)</f>
        <v>4760.9399999999987</v>
      </c>
      <c r="G132" s="60">
        <f t="shared" si="40"/>
        <v>4313.9399999999987</v>
      </c>
      <c r="H132" s="60">
        <f t="shared" si="40"/>
        <v>4274.5200000000004</v>
      </c>
      <c r="I132" s="60">
        <f t="shared" si="40"/>
        <v>4360.6200000000026</v>
      </c>
      <c r="J132" s="60">
        <f t="shared" si="40"/>
        <v>4974.75</v>
      </c>
      <c r="K132" s="60">
        <f t="shared" si="40"/>
        <v>4788.4799999999996</v>
      </c>
      <c r="L132" s="60">
        <f t="shared" si="40"/>
        <v>4327.3500000000022</v>
      </c>
      <c r="M132" s="60">
        <f t="shared" si="40"/>
        <v>4363.0500000000065</v>
      </c>
      <c r="N132" s="60">
        <f t="shared" si="40"/>
        <v>4965.9899999999943</v>
      </c>
      <c r="O132" s="61"/>
      <c r="P132" s="61"/>
      <c r="Q132" s="62"/>
      <c r="R132" s="62"/>
      <c r="S132" s="152"/>
      <c r="T132" s="158"/>
      <c r="U132" s="159"/>
      <c r="V132" s="212"/>
      <c r="W132" s="31"/>
      <c r="X132" s="157"/>
      <c r="Y132" s="157"/>
      <c r="Z132" s="157"/>
      <c r="AA132" s="157"/>
    </row>
    <row r="133" spans="1:29" x14ac:dyDescent="0.25">
      <c r="A133" s="229">
        <v>43146</v>
      </c>
      <c r="B133" s="257" t="s">
        <v>174</v>
      </c>
      <c r="C133" s="53" t="s">
        <v>176</v>
      </c>
      <c r="D133" s="64" t="s">
        <v>175</v>
      </c>
      <c r="E133" s="61" t="s">
        <v>186</v>
      </c>
      <c r="F133" s="31">
        <v>6754.54</v>
      </c>
      <c r="G133" s="31">
        <v>6663.66</v>
      </c>
      <c r="H133" s="31">
        <v>6768.7</v>
      </c>
      <c r="I133" s="31">
        <v>6776.49</v>
      </c>
      <c r="J133" s="31">
        <v>6961.24</v>
      </c>
      <c r="K133" s="31">
        <v>6830.94</v>
      </c>
      <c r="L133" s="31">
        <v>6740.29</v>
      </c>
      <c r="M133" s="31">
        <v>6759.85</v>
      </c>
      <c r="N133" s="31">
        <v>6854.33</v>
      </c>
      <c r="O133" s="55">
        <f>IF((N134=""),"",MAX(F135:N135))</f>
        <v>3976.9000000000015</v>
      </c>
      <c r="P133" s="55">
        <f>IF(N134="","",MIN(F135:N135))</f>
        <v>3711.9799999999996</v>
      </c>
      <c r="Q133" s="56">
        <f>IF((N135=""),"",AVERAGE(F135:N135))</f>
        <v>3903.2488888888888</v>
      </c>
      <c r="R133" s="56">
        <f>IF((N134=""),"",(O133-P133)/(O133+P133)*100)</f>
        <v>3.4454953127113686</v>
      </c>
      <c r="S133" s="152">
        <f>STDEV(F135:N135)</f>
        <v>86.466291762230483</v>
      </c>
      <c r="T133" s="160" t="str">
        <f>IF(N134="","",IF(Q133&gt;3650,IF(R133&lt;6.5,IF(Q133&lt;4450,"Pass","Fail"),"Fail"),"Fail"))</f>
        <v>Pass</v>
      </c>
      <c r="U133" s="156" t="s">
        <v>104</v>
      </c>
      <c r="V133" s="212"/>
      <c r="W133" s="31"/>
      <c r="X133" s="155">
        <v>3650</v>
      </c>
      <c r="Y133" s="155">
        <v>4450</v>
      </c>
      <c r="Z133" s="155">
        <v>3700</v>
      </c>
      <c r="AA133" s="155">
        <v>4100</v>
      </c>
      <c r="AB133" s="51">
        <v>7</v>
      </c>
      <c r="AC133" s="51">
        <v>6.5</v>
      </c>
    </row>
    <row r="134" spans="1:29" ht="16.100000000000001" x14ac:dyDescent="0.35">
      <c r="A134"/>
      <c r="B134" s="63"/>
      <c r="C134" s="53"/>
      <c r="D134" s="54"/>
      <c r="E134" s="81" t="s">
        <v>187</v>
      </c>
      <c r="F134" s="31">
        <v>4838.3500000000004</v>
      </c>
      <c r="G134" s="31">
        <v>4693.93</v>
      </c>
      <c r="H134" s="31">
        <v>4783.54</v>
      </c>
      <c r="I134" s="31">
        <v>4797.28</v>
      </c>
      <c r="J134" s="31">
        <v>5028.22</v>
      </c>
      <c r="K134" s="31">
        <v>4974.95</v>
      </c>
      <c r="L134" s="31">
        <v>4765.92</v>
      </c>
      <c r="M134" s="31">
        <v>4771.3999999999996</v>
      </c>
      <c r="N134" s="31">
        <v>4891.83</v>
      </c>
      <c r="O134" s="55"/>
      <c r="P134" s="55"/>
      <c r="Q134" s="56"/>
      <c r="R134" s="56"/>
      <c r="S134" s="152"/>
      <c r="T134" s="153"/>
      <c r="U134" s="161"/>
      <c r="V134" s="213"/>
      <c r="W134" s="31"/>
      <c r="X134" s="157"/>
      <c r="Y134" s="157"/>
      <c r="Z134" s="157"/>
      <c r="AA134" s="157"/>
    </row>
    <row r="135" spans="1:29" ht="22.75" thickBot="1" x14ac:dyDescent="0.4">
      <c r="A135"/>
      <c r="B135" s="63"/>
      <c r="C135" s="53"/>
      <c r="D135" s="54"/>
      <c r="E135" s="68" t="s">
        <v>188</v>
      </c>
      <c r="F135" s="65">
        <f t="shared" ref="F135:N135" si="41">IF(((F133="")*AND(F134="")),"",(F133-F134)*2)</f>
        <v>3832.3799999999992</v>
      </c>
      <c r="G135" s="65">
        <f t="shared" si="41"/>
        <v>3939.4599999999991</v>
      </c>
      <c r="H135" s="65">
        <f t="shared" si="41"/>
        <v>3970.3199999999997</v>
      </c>
      <c r="I135" s="65">
        <f t="shared" si="41"/>
        <v>3958.42</v>
      </c>
      <c r="J135" s="65">
        <f t="shared" si="41"/>
        <v>3866.0399999999991</v>
      </c>
      <c r="K135" s="65">
        <f t="shared" si="41"/>
        <v>3711.9799999999996</v>
      </c>
      <c r="L135" s="65">
        <f t="shared" si="41"/>
        <v>3948.74</v>
      </c>
      <c r="M135" s="65">
        <f t="shared" si="41"/>
        <v>3976.9000000000015</v>
      </c>
      <c r="N135" s="65">
        <f t="shared" si="41"/>
        <v>3925</v>
      </c>
      <c r="O135" s="55"/>
      <c r="P135" s="55"/>
      <c r="Q135" s="56"/>
      <c r="R135" s="56"/>
      <c r="S135" s="152"/>
      <c r="T135" s="153"/>
      <c r="U135" s="161"/>
      <c r="V135" s="213"/>
      <c r="W135" s="31"/>
      <c r="X135" s="157"/>
      <c r="Y135" s="157"/>
      <c r="Z135" s="157"/>
      <c r="AA135" s="157"/>
    </row>
    <row r="136" spans="1:29" x14ac:dyDescent="0.25">
      <c r="A136" s="229">
        <v>43146</v>
      </c>
      <c r="B136" s="257" t="s">
        <v>169</v>
      </c>
      <c r="C136" s="67" t="s">
        <v>171</v>
      </c>
      <c r="D136" s="66" t="s">
        <v>189</v>
      </c>
      <c r="E136" s="81" t="s">
        <v>186</v>
      </c>
      <c r="F136" s="31">
        <v>1246.55</v>
      </c>
      <c r="G136" s="31">
        <v>1244.57</v>
      </c>
      <c r="H136" s="31">
        <v>1236.49</v>
      </c>
      <c r="I136" s="31">
        <v>1247.48</v>
      </c>
      <c r="J136" s="31">
        <v>1274.3399999999999</v>
      </c>
      <c r="K136" s="31">
        <v>1267.01</v>
      </c>
      <c r="L136" s="31">
        <v>1247.3699999999999</v>
      </c>
      <c r="M136" s="31">
        <v>1246.02</v>
      </c>
      <c r="N136" s="31">
        <v>1252.23</v>
      </c>
      <c r="O136" s="68">
        <f>IF((N137=""),"",MAX(F138:N138))</f>
        <v>2117.04</v>
      </c>
      <c r="P136" s="68">
        <f>IF(N137="","",MIN(F138:N138))</f>
        <v>2062.0499999999997</v>
      </c>
      <c r="Q136" s="69">
        <f>IF((N138=""),"",AVERAGE(F138:N138))</f>
        <v>2095.6566666666663</v>
      </c>
      <c r="R136" s="69">
        <f>IF((N137=""),"",(O136-P136)/(O136+P136)*100)</f>
        <v>1.3158367012914352</v>
      </c>
      <c r="S136" s="152">
        <f>STDEV(F138:N138)</f>
        <v>16.415351808596789</v>
      </c>
      <c r="T136" s="162" t="str">
        <f>IF(N137="","",IF(Q136&gt;1940,IF(R136&lt;8.3,IF(Q136&lt;2180,"Pass","Fail"),"Fail"),"Fail"))</f>
        <v>Pass</v>
      </c>
      <c r="U136" s="156" t="s">
        <v>104</v>
      </c>
      <c r="V136" s="212"/>
      <c r="W136" s="31"/>
      <c r="X136" s="155">
        <v>2000</v>
      </c>
      <c r="Y136" s="155">
        <v>3000</v>
      </c>
      <c r="Z136" s="155">
        <v>1940</v>
      </c>
      <c r="AA136" s="155">
        <v>2180</v>
      </c>
      <c r="AC136" s="51">
        <v>5.2</v>
      </c>
    </row>
    <row r="137" spans="1:29" ht="16.100000000000001" x14ac:dyDescent="0.35">
      <c r="A137"/>
      <c r="B137" s="52"/>
      <c r="C137" s="53"/>
      <c r="D137" s="54"/>
      <c r="E137" s="81" t="s">
        <v>187</v>
      </c>
      <c r="F137" s="31">
        <v>549.09</v>
      </c>
      <c r="G137" s="31">
        <v>543.52</v>
      </c>
      <c r="H137" s="31">
        <v>533.91</v>
      </c>
      <c r="I137" s="31">
        <v>545.96</v>
      </c>
      <c r="J137" s="31">
        <v>586.99</v>
      </c>
      <c r="K137" s="31">
        <v>571.22</v>
      </c>
      <c r="L137" s="31">
        <v>546.29</v>
      </c>
      <c r="M137" s="31">
        <v>540.34</v>
      </c>
      <c r="N137" s="31">
        <v>557.77</v>
      </c>
      <c r="O137" s="55"/>
      <c r="P137" s="55"/>
      <c r="Q137" s="56"/>
      <c r="R137" s="56"/>
      <c r="S137" s="152"/>
      <c r="T137" s="153"/>
      <c r="U137" s="156"/>
      <c r="V137" s="212"/>
      <c r="W137" s="31"/>
      <c r="X137" s="157"/>
      <c r="Y137" s="157"/>
      <c r="Z137" s="157"/>
      <c r="AA137" s="157"/>
    </row>
    <row r="138" spans="1:29" ht="16.649999999999999" thickBot="1" x14ac:dyDescent="0.4">
      <c r="A138"/>
      <c r="B138" s="70"/>
      <c r="C138" s="71"/>
      <c r="D138" s="72"/>
      <c r="E138" s="85" t="s">
        <v>190</v>
      </c>
      <c r="F138" s="73">
        <f t="shared" ref="F138:N138" si="42">IF(((F136="")*AND(F137="")),"",(F136-F137)*3)</f>
        <v>2092.3799999999997</v>
      </c>
      <c r="G138" s="73">
        <f t="shared" si="42"/>
        <v>2103.1499999999996</v>
      </c>
      <c r="H138" s="73">
        <f t="shared" si="42"/>
        <v>2107.7400000000002</v>
      </c>
      <c r="I138" s="73">
        <f t="shared" si="42"/>
        <v>2104.56</v>
      </c>
      <c r="J138" s="73">
        <f t="shared" si="42"/>
        <v>2062.0499999999997</v>
      </c>
      <c r="K138" s="73">
        <f t="shared" si="42"/>
        <v>2087.37</v>
      </c>
      <c r="L138" s="73">
        <f t="shared" si="42"/>
        <v>2103.2399999999998</v>
      </c>
      <c r="M138" s="73">
        <f t="shared" si="42"/>
        <v>2117.04</v>
      </c>
      <c r="N138" s="73">
        <f t="shared" si="42"/>
        <v>2083.38</v>
      </c>
      <c r="O138" s="74"/>
      <c r="P138" s="74"/>
      <c r="Q138" s="75"/>
      <c r="R138" s="75"/>
      <c r="S138" s="152"/>
      <c r="T138" s="163"/>
      <c r="U138" s="164"/>
      <c r="V138" s="212"/>
      <c r="W138" s="31"/>
      <c r="X138" s="157"/>
      <c r="Y138" s="157"/>
      <c r="Z138" s="157"/>
      <c r="AA138" s="157"/>
    </row>
    <row r="139" spans="1:29" x14ac:dyDescent="0.25">
      <c r="A139" s="229">
        <v>43159</v>
      </c>
      <c r="B139" s="258" t="s">
        <v>185</v>
      </c>
      <c r="C139" s="47" t="s">
        <v>173</v>
      </c>
      <c r="D139" s="48" t="s">
        <v>172</v>
      </c>
      <c r="E139" s="79" t="s">
        <v>186</v>
      </c>
      <c r="F139" s="31">
        <v>29326.97</v>
      </c>
      <c r="G139" s="31">
        <v>29113.95</v>
      </c>
      <c r="H139" s="31">
        <v>29186.53</v>
      </c>
      <c r="I139" s="31">
        <v>29134.27</v>
      </c>
      <c r="J139" s="31">
        <v>29349.23</v>
      </c>
      <c r="K139" s="31">
        <v>29292.25</v>
      </c>
      <c r="L139" s="31">
        <v>29117.23</v>
      </c>
      <c r="M139" s="31">
        <v>29118</v>
      </c>
      <c r="N139" s="31">
        <v>29375.759999999998</v>
      </c>
      <c r="O139" s="49">
        <f>IF((N140=""),"",MAX(F141:N141))</f>
        <v>4901.7299999999996</v>
      </c>
      <c r="P139" s="49">
        <f>IF(N140="","",MIN(F141:N141))</f>
        <v>4217.5200000000004</v>
      </c>
      <c r="Q139" s="50">
        <f>IF((N141=""),"",AVERAGE(F141:N141))</f>
        <v>4525.8900000000012</v>
      </c>
      <c r="R139" s="50">
        <f>IF((N140=""),"",(O139-P139)/(O139+P139)*100)</f>
        <v>7.5029196479973583</v>
      </c>
      <c r="S139" s="152">
        <f>STDEV(F141:N141)</f>
        <v>298.32927001888328</v>
      </c>
      <c r="T139" s="153" t="str">
        <f>IF(N140="","",IF(R139&lt;16,IF(Q139&gt;3200,IF(R139,IF(Q139&lt;5240,"Pass","Fail"),"Fail"),"Fail")))</f>
        <v>Pass</v>
      </c>
      <c r="U139" s="154">
        <v>1428</v>
      </c>
      <c r="V139" s="212"/>
      <c r="W139" s="31"/>
      <c r="X139" s="155">
        <v>4200</v>
      </c>
      <c r="Y139" s="155">
        <v>5500</v>
      </c>
      <c r="Z139" s="155">
        <v>3200</v>
      </c>
      <c r="AA139" s="155">
        <v>5240</v>
      </c>
      <c r="AC139" s="51">
        <v>16</v>
      </c>
    </row>
    <row r="140" spans="1:29" ht="16.100000000000001" x14ac:dyDescent="0.35">
      <c r="A140"/>
      <c r="B140" s="52"/>
      <c r="C140" s="53"/>
      <c r="D140" s="54"/>
      <c r="E140" s="81" t="s">
        <v>187</v>
      </c>
      <c r="F140" s="31">
        <v>27698.61</v>
      </c>
      <c r="G140" s="31">
        <v>27668.35</v>
      </c>
      <c r="H140" s="31">
        <v>27780.69</v>
      </c>
      <c r="I140" s="31">
        <v>27717.11</v>
      </c>
      <c r="J140" s="31">
        <v>27758.66</v>
      </c>
      <c r="K140" s="31">
        <v>27697.84</v>
      </c>
      <c r="L140" s="31">
        <v>27682.959999999999</v>
      </c>
      <c r="M140" s="31">
        <v>27690.45</v>
      </c>
      <c r="N140" s="31">
        <v>27741.85</v>
      </c>
      <c r="O140" s="55"/>
      <c r="P140" s="55"/>
      <c r="Q140" s="56"/>
      <c r="R140" s="56"/>
      <c r="S140" s="152"/>
      <c r="T140" s="153"/>
      <c r="U140" s="156"/>
      <c r="V140" s="212"/>
      <c r="W140" s="31"/>
      <c r="X140" s="157"/>
      <c r="Y140" s="157"/>
      <c r="Z140" s="157"/>
      <c r="AA140" s="157"/>
    </row>
    <row r="141" spans="1:29" ht="22.75" thickBot="1" x14ac:dyDescent="0.4">
      <c r="A141"/>
      <c r="B141" s="57"/>
      <c r="C141" s="58"/>
      <c r="D141" s="59"/>
      <c r="E141" s="81" t="s">
        <v>188</v>
      </c>
      <c r="F141" s="60">
        <f t="shared" ref="F141:N141" si="43">IF(((F139="")*AND(F140="")),"",(F139-F140)*3)</f>
        <v>4885.0800000000017</v>
      </c>
      <c r="G141" s="60">
        <f t="shared" si="43"/>
        <v>4336.8000000000065</v>
      </c>
      <c r="H141" s="60">
        <f t="shared" si="43"/>
        <v>4217.5200000000004</v>
      </c>
      <c r="I141" s="60">
        <f t="shared" si="43"/>
        <v>4251.4799999999996</v>
      </c>
      <c r="J141" s="60">
        <f t="shared" si="43"/>
        <v>4771.7099999999991</v>
      </c>
      <c r="K141" s="60">
        <f t="shared" si="43"/>
        <v>4783.2299999999996</v>
      </c>
      <c r="L141" s="60">
        <f t="shared" si="43"/>
        <v>4302.8100000000013</v>
      </c>
      <c r="M141" s="60">
        <f t="shared" si="43"/>
        <v>4282.6499999999978</v>
      </c>
      <c r="N141" s="60">
        <f t="shared" si="43"/>
        <v>4901.7299999999996</v>
      </c>
      <c r="O141" s="61"/>
      <c r="P141" s="61"/>
      <c r="Q141" s="62"/>
      <c r="R141" s="62"/>
      <c r="S141" s="152"/>
      <c r="T141" s="158"/>
      <c r="U141" s="159"/>
      <c r="V141" s="212"/>
      <c r="W141" s="31"/>
      <c r="X141" s="157"/>
      <c r="Y141" s="157"/>
      <c r="Z141" s="157"/>
      <c r="AA141" s="157"/>
    </row>
    <row r="142" spans="1:29" x14ac:dyDescent="0.25">
      <c r="A142" s="229">
        <v>43159</v>
      </c>
      <c r="B142" s="257" t="s">
        <v>174</v>
      </c>
      <c r="C142" s="53" t="s">
        <v>176</v>
      </c>
      <c r="D142" s="64" t="s">
        <v>175</v>
      </c>
      <c r="E142" s="61" t="s">
        <v>186</v>
      </c>
      <c r="F142" s="31">
        <v>6769.72</v>
      </c>
      <c r="G142" s="31">
        <v>6666.42</v>
      </c>
      <c r="H142" s="31">
        <v>6769.02</v>
      </c>
      <c r="I142" s="31">
        <v>6775.98</v>
      </c>
      <c r="J142" s="31">
        <v>6979</v>
      </c>
      <c r="K142" s="31">
        <v>6853.84</v>
      </c>
      <c r="L142" s="31">
        <v>6742.09</v>
      </c>
      <c r="M142" s="31">
        <v>6761.4</v>
      </c>
      <c r="N142" s="31">
        <v>6870.12</v>
      </c>
      <c r="O142" s="55">
        <f>IF((N143=""),"",MAX(F144:N144))</f>
        <v>4041.5999999999985</v>
      </c>
      <c r="P142" s="55">
        <f>IF(N143="","",MIN(F144:N144))</f>
        <v>3755.4799999999996</v>
      </c>
      <c r="Q142" s="56">
        <f>IF((N144=""),"",AVERAGE(F144:N144))</f>
        <v>3955.7644444444441</v>
      </c>
      <c r="R142" s="56">
        <f>IF((N143=""),"",(O142-P142)/(O142+P142)*100)</f>
        <v>3.6695788679864649</v>
      </c>
      <c r="S142" s="152">
        <f>STDEV(F144:N144)</f>
        <v>91.969765563351004</v>
      </c>
      <c r="T142" s="160" t="str">
        <f>IF(N143="","",IF(Q142&gt;3650,IF(R142&lt;6.5,IF(Q142&lt;4450,"Pass","Fail"),"Fail"),"Fail"))</f>
        <v>Pass</v>
      </c>
      <c r="U142" s="156">
        <v>1428</v>
      </c>
      <c r="V142" s="212"/>
      <c r="W142" s="31"/>
      <c r="X142" s="155">
        <v>3650</v>
      </c>
      <c r="Y142" s="155">
        <v>4450</v>
      </c>
      <c r="Z142" s="155">
        <v>3700</v>
      </c>
      <c r="AA142" s="155">
        <v>4100</v>
      </c>
      <c r="AB142" s="51">
        <v>7</v>
      </c>
      <c r="AC142" s="51">
        <v>6.5</v>
      </c>
    </row>
    <row r="143" spans="1:29" ht="16.100000000000001" x14ac:dyDescent="0.35">
      <c r="A143"/>
      <c r="B143" s="63"/>
      <c r="C143" s="53"/>
      <c r="D143" s="54"/>
      <c r="E143" s="81" t="s">
        <v>187</v>
      </c>
      <c r="F143" s="31">
        <v>4834.59</v>
      </c>
      <c r="G143" s="31">
        <v>4675.22</v>
      </c>
      <c r="H143" s="31">
        <v>4757.25</v>
      </c>
      <c r="I143" s="31">
        <v>4768.5200000000004</v>
      </c>
      <c r="J143" s="31">
        <v>5017.03</v>
      </c>
      <c r="K143" s="31">
        <v>4976.1000000000004</v>
      </c>
      <c r="L143" s="31">
        <v>4744.26</v>
      </c>
      <c r="M143" s="31">
        <v>4740.6000000000004</v>
      </c>
      <c r="N143" s="31">
        <v>4873.08</v>
      </c>
      <c r="O143" s="55"/>
      <c r="P143" s="55"/>
      <c r="Q143" s="56"/>
      <c r="R143" s="56"/>
      <c r="S143" s="152"/>
      <c r="T143" s="153"/>
      <c r="U143" s="161"/>
      <c r="V143" s="213"/>
      <c r="W143" s="31"/>
      <c r="X143" s="157"/>
      <c r="Y143" s="157"/>
      <c r="Z143" s="157"/>
      <c r="AA143" s="157"/>
    </row>
    <row r="144" spans="1:29" ht="22.75" thickBot="1" x14ac:dyDescent="0.4">
      <c r="A144"/>
      <c r="B144" s="63"/>
      <c r="C144" s="53"/>
      <c r="D144" s="54"/>
      <c r="E144" s="68" t="s">
        <v>188</v>
      </c>
      <c r="F144" s="65">
        <f t="shared" ref="F144:N144" si="44">IF(((F142="")*AND(F143="")),"",(F142-F143)*2)</f>
        <v>3870.26</v>
      </c>
      <c r="G144" s="65">
        <f t="shared" si="44"/>
        <v>3982.3999999999996</v>
      </c>
      <c r="H144" s="65">
        <f t="shared" si="44"/>
        <v>4023.5400000000009</v>
      </c>
      <c r="I144" s="65">
        <f t="shared" si="44"/>
        <v>4014.9199999999983</v>
      </c>
      <c r="J144" s="65">
        <f t="shared" si="44"/>
        <v>3923.9400000000005</v>
      </c>
      <c r="K144" s="65">
        <f t="shared" si="44"/>
        <v>3755.4799999999996</v>
      </c>
      <c r="L144" s="65">
        <f t="shared" si="44"/>
        <v>3995.66</v>
      </c>
      <c r="M144" s="65">
        <f t="shared" si="44"/>
        <v>4041.5999999999985</v>
      </c>
      <c r="N144" s="65">
        <f t="shared" si="44"/>
        <v>3994.08</v>
      </c>
      <c r="O144" s="55"/>
      <c r="P144" s="55"/>
      <c r="Q144" s="56"/>
      <c r="R144" s="56"/>
      <c r="S144" s="152"/>
      <c r="T144" s="153"/>
      <c r="U144" s="161"/>
      <c r="V144" s="213"/>
      <c r="W144" s="31"/>
      <c r="X144" s="157"/>
      <c r="Y144" s="157"/>
      <c r="Z144" s="157"/>
      <c r="AA144" s="157"/>
    </row>
    <row r="145" spans="1:29" x14ac:dyDescent="0.25">
      <c r="A145" s="229">
        <v>43159</v>
      </c>
      <c r="B145" s="257" t="s">
        <v>169</v>
      </c>
      <c r="C145" s="67" t="s">
        <v>171</v>
      </c>
      <c r="D145" s="66" t="s">
        <v>189</v>
      </c>
      <c r="E145" s="81" t="s">
        <v>186</v>
      </c>
      <c r="F145" s="31">
        <v>1949.44</v>
      </c>
      <c r="G145" s="31">
        <v>1940.18</v>
      </c>
      <c r="H145" s="31">
        <v>1939.08</v>
      </c>
      <c r="I145" s="31">
        <v>1937.95</v>
      </c>
      <c r="J145" s="31">
        <v>1947</v>
      </c>
      <c r="K145" s="31">
        <v>1944.99</v>
      </c>
      <c r="L145" s="31">
        <v>1938.72</v>
      </c>
      <c r="M145" s="31">
        <v>1941.03</v>
      </c>
      <c r="N145" s="31">
        <v>1948.23</v>
      </c>
      <c r="O145" s="68">
        <f>IF((N146=""),"",MAX(F147:N147))</f>
        <v>2097.84</v>
      </c>
      <c r="P145" s="68">
        <f>IF(N146="","",MIN(F147:N147))</f>
        <v>1954.7399999999998</v>
      </c>
      <c r="Q145" s="69">
        <f>IF((N147=""),"",AVERAGE(F147:N147))</f>
        <v>2044.5233333333335</v>
      </c>
      <c r="R145" s="69">
        <f>IF((N146=""),"",(O145-P145)/(O145+P145)*100)</f>
        <v>3.5310839021068152</v>
      </c>
      <c r="S145" s="152">
        <f>STDEV(F147:N147)</f>
        <v>50.332364836156948</v>
      </c>
      <c r="T145" s="162" t="str">
        <f>IF(N146="","",IF(Q145&gt;1940,IF(R145&lt;8.3,IF(Q145&lt;2180,"Pass","Fail"),"Fail"),"Fail"))</f>
        <v>Pass</v>
      </c>
      <c r="U145" s="156">
        <v>1428</v>
      </c>
      <c r="V145" s="212"/>
      <c r="W145" s="31"/>
      <c r="X145" s="155">
        <v>2000</v>
      </c>
      <c r="Y145" s="155">
        <v>3000</v>
      </c>
      <c r="Z145" s="155">
        <v>1940</v>
      </c>
      <c r="AA145" s="155">
        <v>2180</v>
      </c>
      <c r="AC145" s="51">
        <v>5.2</v>
      </c>
    </row>
    <row r="146" spans="1:29" ht="16.100000000000001" x14ac:dyDescent="0.35">
      <c r="A146"/>
      <c r="B146" s="52"/>
      <c r="C146" s="53"/>
      <c r="D146" s="54"/>
      <c r="E146" s="81" t="s">
        <v>187</v>
      </c>
      <c r="F146" s="31">
        <v>1270.28</v>
      </c>
      <c r="G146" s="31">
        <v>1243.48</v>
      </c>
      <c r="H146" s="31">
        <v>1244.55</v>
      </c>
      <c r="I146" s="31">
        <v>1248.24</v>
      </c>
      <c r="J146" s="31">
        <v>1295.42</v>
      </c>
      <c r="K146" s="31">
        <v>1283.28</v>
      </c>
      <c r="L146" s="31">
        <v>1248.97</v>
      </c>
      <c r="M146" s="31">
        <v>1241.75</v>
      </c>
      <c r="N146" s="31">
        <v>1277.08</v>
      </c>
      <c r="O146" s="55"/>
      <c r="P146" s="55"/>
      <c r="Q146" s="56"/>
      <c r="R146" s="56"/>
      <c r="S146" s="152"/>
      <c r="T146" s="153"/>
      <c r="U146" s="156"/>
      <c r="V146" s="212"/>
      <c r="W146" s="31"/>
      <c r="X146" s="157"/>
      <c r="Y146" s="157"/>
      <c r="Z146" s="157"/>
      <c r="AA146" s="157"/>
    </row>
    <row r="147" spans="1:29" ht="16.649999999999999" thickBot="1" x14ac:dyDescent="0.4">
      <c r="A147"/>
      <c r="B147" s="70"/>
      <c r="C147" s="71"/>
      <c r="D147" s="72"/>
      <c r="E147" s="85" t="s">
        <v>190</v>
      </c>
      <c r="F147" s="73">
        <f t="shared" ref="F147:N147" si="45">IF(((F145="")*AND(F146="")),"",(F145-F146)*3)</f>
        <v>2037.4800000000002</v>
      </c>
      <c r="G147" s="73">
        <f t="shared" si="45"/>
        <v>2090.1000000000004</v>
      </c>
      <c r="H147" s="73">
        <f t="shared" si="45"/>
        <v>2083.59</v>
      </c>
      <c r="I147" s="73">
        <f t="shared" si="45"/>
        <v>2069.13</v>
      </c>
      <c r="J147" s="73">
        <f t="shared" si="45"/>
        <v>1954.7399999999998</v>
      </c>
      <c r="K147" s="73">
        <f t="shared" si="45"/>
        <v>1985.13</v>
      </c>
      <c r="L147" s="73">
        <f t="shared" si="45"/>
        <v>2069.25</v>
      </c>
      <c r="M147" s="73">
        <f t="shared" si="45"/>
        <v>2097.84</v>
      </c>
      <c r="N147" s="73">
        <f t="shared" si="45"/>
        <v>2013.4500000000003</v>
      </c>
      <c r="O147" s="74"/>
      <c r="P147" s="74"/>
      <c r="Q147" s="75"/>
      <c r="R147" s="75"/>
      <c r="S147" s="152"/>
      <c r="T147" s="163"/>
      <c r="U147" s="164"/>
      <c r="V147" s="212"/>
      <c r="W147" s="31"/>
      <c r="X147" s="157"/>
      <c r="Y147" s="157"/>
      <c r="Z147" s="157"/>
      <c r="AA147" s="157"/>
    </row>
    <row r="148" spans="1:29" x14ac:dyDescent="0.25">
      <c r="A148" s="229">
        <v>43167</v>
      </c>
      <c r="B148" s="258" t="s">
        <v>185</v>
      </c>
      <c r="C148" s="47" t="s">
        <v>173</v>
      </c>
      <c r="D148" s="48" t="s">
        <v>172</v>
      </c>
      <c r="E148" s="79" t="s">
        <v>186</v>
      </c>
      <c r="F148" s="31">
        <v>27525.37</v>
      </c>
      <c r="G148" s="31">
        <v>27513.41</v>
      </c>
      <c r="H148" s="31">
        <v>27610.41</v>
      </c>
      <c r="I148" s="31">
        <v>27537.54</v>
      </c>
      <c r="J148" s="31">
        <v>27568.26</v>
      </c>
      <c r="K148" s="31">
        <v>27518.13</v>
      </c>
      <c r="L148" s="31">
        <v>27519.35</v>
      </c>
      <c r="M148" s="31">
        <v>27523.89</v>
      </c>
      <c r="N148" s="31">
        <v>27553.48</v>
      </c>
      <c r="O148" s="49">
        <f>IF((N149=""),"",MAX(F150:N150))</f>
        <v>4887.0600000000013</v>
      </c>
      <c r="P148" s="49">
        <f>IF(N149="","",MIN(F150:N150))</f>
        <v>4166.7900000000009</v>
      </c>
      <c r="Q148" s="50">
        <f>IF((N150=""),"",AVERAGE(F150:N150))</f>
        <v>4512.2533333333304</v>
      </c>
      <c r="R148" s="50">
        <f>IF((N149=""),"",(O148-P148)/(O148+P148)*100)</f>
        <v>7.9554001888699304</v>
      </c>
      <c r="S148" s="152">
        <f>STDEV(F150:N150)</f>
        <v>312.42770375720397</v>
      </c>
      <c r="T148" s="153" t="str">
        <f>IF(N149="","",IF(R148&lt;16,IF(Q148&gt;3200,IF(R148,IF(Q148&lt;5240,"Pass","Fail"),"Fail"),"Fail")))</f>
        <v>Pass</v>
      </c>
      <c r="U148" s="154">
        <v>121</v>
      </c>
      <c r="V148" s="212"/>
      <c r="W148" s="31"/>
      <c r="X148" s="155">
        <v>4200</v>
      </c>
      <c r="Y148" s="155">
        <v>5500</v>
      </c>
      <c r="Z148" s="155">
        <v>3200</v>
      </c>
      <c r="AA148" s="155">
        <v>5240</v>
      </c>
      <c r="AC148" s="51">
        <v>16</v>
      </c>
    </row>
    <row r="149" spans="1:29" ht="16.100000000000001" x14ac:dyDescent="0.35">
      <c r="A149"/>
      <c r="B149" s="52"/>
      <c r="C149" s="53"/>
      <c r="D149" s="54"/>
      <c r="E149" s="81" t="s">
        <v>187</v>
      </c>
      <c r="F149" s="31">
        <v>25911.24</v>
      </c>
      <c r="G149" s="31">
        <v>26075.52</v>
      </c>
      <c r="H149" s="31">
        <v>26221.48</v>
      </c>
      <c r="I149" s="31">
        <v>26130.07</v>
      </c>
      <c r="J149" s="31">
        <v>25963.65</v>
      </c>
      <c r="K149" s="31">
        <v>25915.31</v>
      </c>
      <c r="L149" s="31">
        <v>26091.95</v>
      </c>
      <c r="M149" s="31">
        <v>26099.4</v>
      </c>
      <c r="N149" s="31">
        <v>25924.46</v>
      </c>
      <c r="O149" s="55"/>
      <c r="P149" s="55"/>
      <c r="Q149" s="56"/>
      <c r="R149" s="56"/>
      <c r="S149" s="152"/>
      <c r="T149" s="153"/>
      <c r="U149" s="156"/>
      <c r="V149" s="212"/>
      <c r="W149" s="31"/>
      <c r="X149" s="157"/>
      <c r="Y149" s="157"/>
      <c r="Z149" s="157"/>
      <c r="AA149" s="157"/>
    </row>
    <row r="150" spans="1:29" ht="22.75" thickBot="1" x14ac:dyDescent="0.4">
      <c r="A150"/>
      <c r="B150" s="57"/>
      <c r="C150" s="58"/>
      <c r="D150" s="59"/>
      <c r="E150" s="81" t="s">
        <v>188</v>
      </c>
      <c r="F150" s="60">
        <f t="shared" ref="F150:N150" si="46">IF(((F148="")*AND(F149="")),"",(F148-F149)*3)</f>
        <v>4842.3899999999921</v>
      </c>
      <c r="G150" s="60">
        <f t="shared" si="46"/>
        <v>4313.6699999999983</v>
      </c>
      <c r="H150" s="60">
        <f t="shared" si="46"/>
        <v>4166.7900000000009</v>
      </c>
      <c r="I150" s="60">
        <f t="shared" si="46"/>
        <v>4222.4100000000035</v>
      </c>
      <c r="J150" s="60">
        <f t="shared" si="46"/>
        <v>4813.8299999999908</v>
      </c>
      <c r="K150" s="60">
        <f t="shared" si="46"/>
        <v>4808.4599999999991</v>
      </c>
      <c r="L150" s="60">
        <f t="shared" si="46"/>
        <v>4282.1999999999935</v>
      </c>
      <c r="M150" s="60">
        <f t="shared" si="46"/>
        <v>4273.4699999999939</v>
      </c>
      <c r="N150" s="60">
        <f t="shared" si="46"/>
        <v>4887.0600000000013</v>
      </c>
      <c r="O150" s="61"/>
      <c r="P150" s="61"/>
      <c r="Q150" s="62"/>
      <c r="R150" s="62"/>
      <c r="S150" s="152"/>
      <c r="T150" s="158"/>
      <c r="U150" s="159"/>
      <c r="V150" s="212"/>
      <c r="W150" s="31"/>
      <c r="X150" s="157"/>
      <c r="Y150" s="157"/>
      <c r="Z150" s="157"/>
      <c r="AA150" s="157"/>
    </row>
    <row r="151" spans="1:29" x14ac:dyDescent="0.25">
      <c r="A151" s="229">
        <v>43167</v>
      </c>
      <c r="B151" s="257" t="s">
        <v>174</v>
      </c>
      <c r="C151" s="53" t="s">
        <v>176</v>
      </c>
      <c r="D151" s="64" t="s">
        <v>175</v>
      </c>
      <c r="E151" s="61" t="s">
        <v>186</v>
      </c>
      <c r="F151" s="31">
        <v>4855.3</v>
      </c>
      <c r="G151" s="31">
        <v>4699.79</v>
      </c>
      <c r="H151" s="31">
        <v>4781.28</v>
      </c>
      <c r="I151" s="31">
        <v>4792.9399999999996</v>
      </c>
      <c r="J151" s="31">
        <v>5030.82</v>
      </c>
      <c r="K151" s="31">
        <v>4989.47</v>
      </c>
      <c r="L151" s="31">
        <v>4768.6099999999997</v>
      </c>
      <c r="M151" s="31">
        <v>4765.3</v>
      </c>
      <c r="N151" s="31">
        <v>4893.57</v>
      </c>
      <c r="O151" s="55">
        <f>IF((N152=""),"",MAX(F153:N153))</f>
        <v>3801.5600000000004</v>
      </c>
      <c r="P151" s="55">
        <f>IF(N152="","",MIN(F153:N153))</f>
        <v>3505.9599999999991</v>
      </c>
      <c r="Q151" s="56">
        <f>IF((N153=""),"",AVERAGE(F153:N153))</f>
        <v>3651.8666666666663</v>
      </c>
      <c r="R151" s="56">
        <f>IF((N152=""),"",(O151-P151)/(O151+P151)*100)</f>
        <v>4.045148011911035</v>
      </c>
      <c r="S151" s="152">
        <f>STDEV(F153:N153)</f>
        <v>90.549827167146105</v>
      </c>
      <c r="T151" s="160" t="str">
        <f>IF(N152="","",IF(Q151&gt;3650,IF(R151&lt;6.5,IF(Q151&lt;4450,"Pass","Fail"),"Fail"),"Fail"))</f>
        <v>Pass</v>
      </c>
      <c r="U151" s="156">
        <v>121</v>
      </c>
      <c r="V151" s="212"/>
      <c r="W151" s="31"/>
      <c r="X151" s="155">
        <v>3650</v>
      </c>
      <c r="Y151" s="155">
        <v>4450</v>
      </c>
      <c r="Z151" s="155">
        <v>3700</v>
      </c>
      <c r="AA151" s="155">
        <v>4100</v>
      </c>
      <c r="AB151" s="51">
        <v>7</v>
      </c>
      <c r="AC151" s="51">
        <v>6.5</v>
      </c>
    </row>
    <row r="152" spans="1:29" ht="16.100000000000001" x14ac:dyDescent="0.35">
      <c r="A152"/>
      <c r="B152" s="63"/>
      <c r="C152" s="53"/>
      <c r="D152" s="54"/>
      <c r="E152" s="81" t="s">
        <v>187</v>
      </c>
      <c r="F152" s="31">
        <v>3088.69</v>
      </c>
      <c r="G152" s="31">
        <v>2865.98</v>
      </c>
      <c r="H152" s="31">
        <v>2934.46</v>
      </c>
      <c r="I152" s="31">
        <v>2956.28</v>
      </c>
      <c r="J152" s="31">
        <v>3277.84</v>
      </c>
      <c r="K152" s="31">
        <v>3088.69</v>
      </c>
      <c r="L152" s="31">
        <v>2934.14</v>
      </c>
      <c r="M152" s="31">
        <v>2909.92</v>
      </c>
      <c r="N152" s="31">
        <v>3087.68</v>
      </c>
      <c r="O152" s="55"/>
      <c r="P152" s="55"/>
      <c r="Q152" s="56"/>
      <c r="R152" s="56"/>
      <c r="S152" s="152"/>
      <c r="T152" s="153"/>
      <c r="U152" s="161"/>
      <c r="V152" s="213"/>
      <c r="W152" s="31"/>
      <c r="X152" s="157"/>
      <c r="Y152" s="157"/>
      <c r="Z152" s="157"/>
      <c r="AA152" s="157"/>
    </row>
    <row r="153" spans="1:29" ht="22.75" thickBot="1" x14ac:dyDescent="0.4">
      <c r="A153"/>
      <c r="B153" s="63"/>
      <c r="C153" s="53"/>
      <c r="D153" s="54"/>
      <c r="E153" s="68" t="s">
        <v>188</v>
      </c>
      <c r="F153" s="65">
        <f t="shared" ref="F153:N153" si="47">IF(((F151="")*AND(F152="")),"",(F151-F152)*2)</f>
        <v>3533.2200000000003</v>
      </c>
      <c r="G153" s="65">
        <f t="shared" si="47"/>
        <v>3667.62</v>
      </c>
      <c r="H153" s="65">
        <f t="shared" si="47"/>
        <v>3693.6399999999994</v>
      </c>
      <c r="I153" s="65">
        <f t="shared" si="47"/>
        <v>3673.3199999999988</v>
      </c>
      <c r="J153" s="65">
        <f t="shared" si="47"/>
        <v>3505.9599999999991</v>
      </c>
      <c r="K153" s="65">
        <f t="shared" si="47"/>
        <v>3801.5600000000004</v>
      </c>
      <c r="L153" s="65">
        <f t="shared" si="47"/>
        <v>3668.9399999999996</v>
      </c>
      <c r="M153" s="65">
        <f t="shared" si="47"/>
        <v>3710.76</v>
      </c>
      <c r="N153" s="65">
        <f t="shared" si="47"/>
        <v>3611.7799999999997</v>
      </c>
      <c r="O153" s="55"/>
      <c r="P153" s="55"/>
      <c r="Q153" s="56"/>
      <c r="R153" s="56"/>
      <c r="S153" s="152"/>
      <c r="T153" s="153"/>
      <c r="U153" s="161"/>
      <c r="V153" s="213"/>
      <c r="W153" s="31"/>
      <c r="X153" s="157"/>
      <c r="Y153" s="157"/>
      <c r="Z153" s="157"/>
      <c r="AA153" s="157"/>
    </row>
    <row r="154" spans="1:29" x14ac:dyDescent="0.25">
      <c r="A154" s="229">
        <v>43167</v>
      </c>
      <c r="B154" s="257" t="s">
        <v>169</v>
      </c>
      <c r="C154" s="67" t="s">
        <v>171</v>
      </c>
      <c r="D154" s="66" t="s">
        <v>189</v>
      </c>
      <c r="E154" s="81" t="s">
        <v>186</v>
      </c>
      <c r="F154" s="31">
        <v>1273.96</v>
      </c>
      <c r="G154" s="31">
        <v>1247.06</v>
      </c>
      <c r="H154" s="31">
        <v>1242.6400000000001</v>
      </c>
      <c r="I154" s="31">
        <v>1252.6199999999999</v>
      </c>
      <c r="J154" s="31">
        <v>1297.99</v>
      </c>
      <c r="K154" s="31">
        <v>1285.97</v>
      </c>
      <c r="L154" s="31">
        <v>1251.3499999999999</v>
      </c>
      <c r="M154" s="31">
        <v>1244.8800000000001</v>
      </c>
      <c r="N154" s="31">
        <v>1281.26</v>
      </c>
      <c r="O154" s="68">
        <f>IF((N155=""),"",MAX(F156:N156))</f>
        <v>2136.0000000000005</v>
      </c>
      <c r="P154" s="68">
        <f>IF(N155="","",MIN(F156:N156))</f>
        <v>1992.48</v>
      </c>
      <c r="Q154" s="69">
        <f>IF((N156=""),"",AVERAGE(F156:N156))</f>
        <v>2079.3233333333328</v>
      </c>
      <c r="R154" s="69">
        <f>IF((N155=""),"",(O154-P154)/(O154+P154)*100)</f>
        <v>3.4763399604697232</v>
      </c>
      <c r="S154" s="152">
        <f>STDEV(F156:N156)</f>
        <v>49.159356942498732</v>
      </c>
      <c r="T154" s="162" t="str">
        <f>IF(N155="","",IF(Q154&gt;1940,IF(R154&lt;8.3,IF(Q154&lt;2180,"Pass","Fail"),"Fail"),"Fail"))</f>
        <v>Pass</v>
      </c>
      <c r="U154" s="156"/>
      <c r="V154" s="212"/>
      <c r="W154" s="31"/>
      <c r="X154" s="155">
        <v>2000</v>
      </c>
      <c r="Y154" s="155">
        <v>3000</v>
      </c>
      <c r="Z154" s="155">
        <v>1940</v>
      </c>
      <c r="AA154" s="155">
        <v>2180</v>
      </c>
      <c r="AC154" s="51">
        <v>5.2</v>
      </c>
    </row>
    <row r="155" spans="1:29" ht="16.100000000000001" x14ac:dyDescent="0.35">
      <c r="A155"/>
      <c r="B155" s="52"/>
      <c r="C155" s="53"/>
      <c r="D155" s="54"/>
      <c r="E155" s="81" t="s">
        <v>187</v>
      </c>
      <c r="F155" s="31">
        <v>587.74</v>
      </c>
      <c r="G155" s="31">
        <v>541.69000000000005</v>
      </c>
      <c r="H155" s="31">
        <v>542.69000000000005</v>
      </c>
      <c r="I155" s="31">
        <v>546.42999999999995</v>
      </c>
      <c r="J155" s="31">
        <v>633.83000000000004</v>
      </c>
      <c r="K155" s="31">
        <v>614.80999999999995</v>
      </c>
      <c r="L155" s="31">
        <v>550.80999999999995</v>
      </c>
      <c r="M155" s="31">
        <v>532.88</v>
      </c>
      <c r="N155" s="31">
        <v>588.88</v>
      </c>
      <c r="O155" s="55"/>
      <c r="P155" s="55"/>
      <c r="Q155" s="56"/>
      <c r="R155" s="56"/>
      <c r="S155" s="152"/>
      <c r="T155" s="153"/>
      <c r="U155" s="156">
        <v>121</v>
      </c>
      <c r="V155" s="212"/>
      <c r="W155" s="31"/>
      <c r="X155" s="157"/>
      <c r="Y155" s="157"/>
      <c r="Z155" s="157"/>
      <c r="AA155" s="157"/>
    </row>
    <row r="156" spans="1:29" ht="16.649999999999999" thickBot="1" x14ac:dyDescent="0.4">
      <c r="A156"/>
      <c r="B156" s="52"/>
      <c r="C156" s="53"/>
      <c r="D156" s="54"/>
      <c r="E156" s="68" t="s">
        <v>190</v>
      </c>
      <c r="F156" s="73">
        <f t="shared" ref="F156:N156" si="48">IF(((F154="")*AND(F155="")),"",(F154-F155)*3)</f>
        <v>2058.66</v>
      </c>
      <c r="G156" s="73">
        <f t="shared" si="48"/>
        <v>2116.1099999999997</v>
      </c>
      <c r="H156" s="73">
        <f t="shared" si="48"/>
        <v>2099.8500000000004</v>
      </c>
      <c r="I156" s="73">
        <f t="shared" si="48"/>
        <v>2118.5699999999997</v>
      </c>
      <c r="J156" s="73">
        <f t="shared" si="48"/>
        <v>1992.48</v>
      </c>
      <c r="K156" s="73">
        <f t="shared" si="48"/>
        <v>2013.4800000000002</v>
      </c>
      <c r="L156" s="73">
        <f t="shared" si="48"/>
        <v>2101.62</v>
      </c>
      <c r="M156" s="73">
        <f t="shared" si="48"/>
        <v>2136.0000000000005</v>
      </c>
      <c r="N156" s="73">
        <f t="shared" si="48"/>
        <v>2077.14</v>
      </c>
      <c r="O156" s="55"/>
      <c r="P156" s="55"/>
      <c r="Q156" s="56"/>
      <c r="R156" s="56"/>
      <c r="S156" s="152"/>
      <c r="T156" s="153"/>
      <c r="U156" s="156"/>
      <c r="V156" s="212"/>
      <c r="W156" s="31"/>
      <c r="X156" s="157"/>
      <c r="Y156" s="157"/>
      <c r="Z156" s="157"/>
      <c r="AA156" s="157"/>
    </row>
    <row r="157" spans="1:29" x14ac:dyDescent="0.25">
      <c r="A157" s="248">
        <v>43173</v>
      </c>
      <c r="B157" s="258" t="s">
        <v>185</v>
      </c>
      <c r="C157" s="47" t="s">
        <v>173</v>
      </c>
      <c r="D157" s="48" t="s">
        <v>172</v>
      </c>
      <c r="E157" s="79" t="s">
        <v>186</v>
      </c>
      <c r="F157" s="31">
        <v>25845.02</v>
      </c>
      <c r="G157" s="31">
        <v>26024.39</v>
      </c>
      <c r="H157" s="31">
        <v>26172.28</v>
      </c>
      <c r="I157" s="31">
        <v>26062.31</v>
      </c>
      <c r="J157" s="31">
        <v>25899.5</v>
      </c>
      <c r="K157" s="31">
        <v>25844.19</v>
      </c>
      <c r="L157" s="31">
        <v>26036</v>
      </c>
      <c r="M157" s="31">
        <v>26043.38</v>
      </c>
      <c r="N157" s="31">
        <v>25869.33</v>
      </c>
      <c r="O157" s="49">
        <f>IF((N158=""),"",MAX(F159:N159))</f>
        <v>4874.4000000000087</v>
      </c>
      <c r="P157" s="49">
        <f>IF(N158="","",MIN(F159:N159))</f>
        <v>4188.9599999999991</v>
      </c>
      <c r="Q157" s="50">
        <f>IF((N159=""),"",AVERAGE(F159:N159))</f>
        <v>4498.92</v>
      </c>
      <c r="R157" s="50">
        <f>IF((N158=""),"",(O157-P157)/(O157+P157)*100)</f>
        <v>7.5627581823960313</v>
      </c>
      <c r="S157" s="152">
        <f>STDEV(F159:N159)</f>
        <v>298.41105898575614</v>
      </c>
      <c r="T157" s="153" t="str">
        <f>IF(N158="","",IF(R157&lt;16,IF(Q157&gt;3200,IF(R157,IF(Q157&lt;5240,"Pass","Fail"),"Fail"),"Fail")))</f>
        <v>Pass</v>
      </c>
      <c r="U157" s="154">
        <v>121</v>
      </c>
      <c r="V157" s="212"/>
      <c r="W157" s="31"/>
      <c r="X157" s="155">
        <v>4200</v>
      </c>
      <c r="Y157" s="155">
        <v>5500</v>
      </c>
      <c r="Z157" s="155">
        <v>3200</v>
      </c>
      <c r="AA157" s="155">
        <v>5240</v>
      </c>
      <c r="AC157" s="51">
        <v>16</v>
      </c>
    </row>
    <row r="158" spans="1:29" ht="16.100000000000001" x14ac:dyDescent="0.35">
      <c r="A158"/>
      <c r="B158" s="52"/>
      <c r="C158" s="53"/>
      <c r="D158" s="54"/>
      <c r="E158" s="81" t="s">
        <v>187</v>
      </c>
      <c r="F158" s="31">
        <v>24268.13</v>
      </c>
      <c r="G158" s="31">
        <v>24606.21</v>
      </c>
      <c r="H158" s="31">
        <v>24775.96</v>
      </c>
      <c r="I158" s="31">
        <v>24642.080000000002</v>
      </c>
      <c r="J158" s="31">
        <v>24281.59</v>
      </c>
      <c r="K158" s="31">
        <v>24251.38</v>
      </c>
      <c r="L158" s="31">
        <v>24606.83</v>
      </c>
      <c r="M158" s="31">
        <v>24622.93</v>
      </c>
      <c r="N158" s="31">
        <v>24244.53</v>
      </c>
      <c r="O158" s="55"/>
      <c r="P158" s="55"/>
      <c r="Q158" s="56"/>
      <c r="R158" s="56"/>
      <c r="S158" s="152"/>
      <c r="T158" s="153"/>
      <c r="U158" s="156"/>
      <c r="V158" s="212"/>
      <c r="W158" s="31"/>
      <c r="X158" s="157"/>
      <c r="Y158" s="157"/>
      <c r="Z158" s="157"/>
      <c r="AA158" s="157"/>
    </row>
    <row r="159" spans="1:29" ht="22.75" thickBot="1" x14ac:dyDescent="0.4">
      <c r="A159"/>
      <c r="B159" s="57"/>
      <c r="C159" s="58"/>
      <c r="D159" s="59"/>
      <c r="E159" s="81" t="s">
        <v>188</v>
      </c>
      <c r="F159" s="60">
        <f t="shared" ref="F159:N159" si="49">IF(((F157="")*AND(F158="")),"",(F157-F158)*3)</f>
        <v>4730.6699999999983</v>
      </c>
      <c r="G159" s="60">
        <f t="shared" si="49"/>
        <v>4254.5400000000009</v>
      </c>
      <c r="H159" s="60">
        <f t="shared" si="49"/>
        <v>4188.9599999999991</v>
      </c>
      <c r="I159" s="60">
        <f t="shared" si="49"/>
        <v>4260.6899999999987</v>
      </c>
      <c r="J159" s="60">
        <f t="shared" si="49"/>
        <v>4853.7299999999996</v>
      </c>
      <c r="K159" s="60">
        <f t="shared" si="49"/>
        <v>4778.429999999993</v>
      </c>
      <c r="L159" s="60">
        <f t="shared" si="49"/>
        <v>4287.5099999999948</v>
      </c>
      <c r="M159" s="60">
        <f t="shared" si="49"/>
        <v>4261.3500000000022</v>
      </c>
      <c r="N159" s="60">
        <f t="shared" si="49"/>
        <v>4874.4000000000087</v>
      </c>
      <c r="O159" s="61"/>
      <c r="P159" s="61"/>
      <c r="Q159" s="62"/>
      <c r="R159" s="62"/>
      <c r="S159" s="152"/>
      <c r="T159" s="158"/>
      <c r="U159" s="159"/>
      <c r="V159" s="212"/>
      <c r="W159" s="31"/>
      <c r="X159" s="157"/>
      <c r="Y159" s="157"/>
      <c r="Z159" s="157"/>
      <c r="AA159" s="157"/>
    </row>
    <row r="160" spans="1:29" x14ac:dyDescent="0.25">
      <c r="A160" s="229">
        <v>43173</v>
      </c>
      <c r="B160" s="257" t="s">
        <v>174</v>
      </c>
      <c r="C160" s="53" t="s">
        <v>176</v>
      </c>
      <c r="D160" s="64" t="s">
        <v>175</v>
      </c>
      <c r="E160" s="61" t="s">
        <v>186</v>
      </c>
      <c r="F160" s="31">
        <v>3104.76</v>
      </c>
      <c r="G160" s="31">
        <v>2880.54</v>
      </c>
      <c r="H160" s="31">
        <v>2949.87</v>
      </c>
      <c r="I160" s="31">
        <v>2971.38</v>
      </c>
      <c r="J160" s="31">
        <v>3293.55</v>
      </c>
      <c r="K160" s="31">
        <v>3324.66</v>
      </c>
      <c r="L160" s="31">
        <v>2949.43</v>
      </c>
      <c r="M160" s="31">
        <v>2924.63</v>
      </c>
      <c r="N160" s="31">
        <v>3104.16</v>
      </c>
      <c r="O160" s="55">
        <f>IF((N161=""),"",MAX(F162:N162))</f>
        <v>3944.1800000000003</v>
      </c>
      <c r="P160" s="55">
        <f>IF(N161="","",MIN(F162:N162))</f>
        <v>3634.2599999999998</v>
      </c>
      <c r="Q160" s="56">
        <f>IF((N162=""),"",AVERAGE(F162:N162))</f>
        <v>3852.5533333333328</v>
      </c>
      <c r="R160" s="56">
        <f>IF((N161=""),"",(O160-P160)/(O160+P160)*100)</f>
        <v>4.0894959912594215</v>
      </c>
      <c r="S160" s="152">
        <f>STDEV(F162:N162)</f>
        <v>100.22380854866765</v>
      </c>
      <c r="T160" s="160" t="str">
        <f>IF(N161="","",IF(Q160&gt;3650,IF(R160&lt;6.5,IF(Q160&lt;4450,"Pass","Fail"),"Fail"),"Fail"))</f>
        <v>Pass</v>
      </c>
      <c r="U160" s="154">
        <v>121</v>
      </c>
      <c r="V160" s="212"/>
      <c r="W160" s="31"/>
      <c r="X160" s="155">
        <v>3650</v>
      </c>
      <c r="Y160" s="155">
        <v>4450</v>
      </c>
      <c r="Z160" s="155">
        <v>3700</v>
      </c>
      <c r="AA160" s="155">
        <v>4100</v>
      </c>
      <c r="AB160" s="51">
        <v>7</v>
      </c>
      <c r="AC160" s="51">
        <v>6.5</v>
      </c>
    </row>
    <row r="161" spans="1:29" ht="16.100000000000001" x14ac:dyDescent="0.35">
      <c r="A161"/>
      <c r="B161" s="63"/>
      <c r="C161" s="53"/>
      <c r="D161" s="54"/>
      <c r="E161" s="81" t="s">
        <v>187</v>
      </c>
      <c r="F161" s="31">
        <v>1219.3900000000001</v>
      </c>
      <c r="G161" s="31">
        <v>937.24</v>
      </c>
      <c r="H161" s="31">
        <v>985.38</v>
      </c>
      <c r="I161" s="31">
        <v>1011.32</v>
      </c>
      <c r="J161" s="31">
        <v>1392.59</v>
      </c>
      <c r="K161" s="31">
        <v>1507.53</v>
      </c>
      <c r="L161" s="31">
        <v>997.86</v>
      </c>
      <c r="M161" s="31">
        <v>952.54</v>
      </c>
      <c r="N161" s="31">
        <v>1162.6400000000001</v>
      </c>
      <c r="O161" s="55"/>
      <c r="P161" s="55"/>
      <c r="Q161" s="56"/>
      <c r="R161" s="56"/>
      <c r="S161" s="152"/>
      <c r="T161" s="153"/>
      <c r="U161" s="161"/>
      <c r="V161" s="213"/>
      <c r="W161" s="31"/>
      <c r="X161" s="157"/>
      <c r="Y161" s="157"/>
      <c r="Z161" s="157"/>
      <c r="AA161" s="157"/>
    </row>
    <row r="162" spans="1:29" ht="22.75" thickBot="1" x14ac:dyDescent="0.4">
      <c r="A162"/>
      <c r="B162" s="63"/>
      <c r="C162" s="53"/>
      <c r="D162" s="54"/>
      <c r="E162" s="68" t="s">
        <v>188</v>
      </c>
      <c r="F162" s="65">
        <f t="shared" ref="F162:N162" si="50">IF(((F160="")*AND(F161="")),"",(F160-F161)*2)</f>
        <v>3770.7400000000002</v>
      </c>
      <c r="G162" s="65">
        <f t="shared" si="50"/>
        <v>3886.6</v>
      </c>
      <c r="H162" s="65">
        <f t="shared" si="50"/>
        <v>3928.9799999999996</v>
      </c>
      <c r="I162" s="65">
        <f t="shared" si="50"/>
        <v>3920.12</v>
      </c>
      <c r="J162" s="65">
        <f t="shared" si="50"/>
        <v>3801.9200000000005</v>
      </c>
      <c r="K162" s="65">
        <f t="shared" si="50"/>
        <v>3634.2599999999998</v>
      </c>
      <c r="L162" s="65">
        <f t="shared" si="50"/>
        <v>3903.1399999999994</v>
      </c>
      <c r="M162" s="65">
        <f t="shared" si="50"/>
        <v>3944.1800000000003</v>
      </c>
      <c r="N162" s="65">
        <f t="shared" si="50"/>
        <v>3883.0399999999995</v>
      </c>
      <c r="O162" s="55"/>
      <c r="P162" s="55"/>
      <c r="Q162" s="56"/>
      <c r="R162" s="56"/>
      <c r="S162" s="152"/>
      <c r="T162" s="153"/>
      <c r="U162" s="161"/>
      <c r="V162" s="213"/>
      <c r="W162" s="31"/>
      <c r="X162" s="157"/>
      <c r="Y162" s="157"/>
      <c r="Z162" s="157"/>
      <c r="AA162" s="157"/>
    </row>
    <row r="163" spans="1:29" x14ac:dyDescent="0.25">
      <c r="A163" s="229">
        <v>43173</v>
      </c>
      <c r="B163" s="257" t="s">
        <v>169</v>
      </c>
      <c r="C163" s="67" t="s">
        <v>171</v>
      </c>
      <c r="D163" s="66" t="s">
        <v>189</v>
      </c>
      <c r="E163" s="81" t="s">
        <v>186</v>
      </c>
      <c r="F163" s="31">
        <v>1970.14</v>
      </c>
      <c r="G163" s="31">
        <v>1974.8</v>
      </c>
      <c r="H163" s="31">
        <v>1975.38</v>
      </c>
      <c r="I163" s="31">
        <v>1974.52</v>
      </c>
      <c r="J163" s="31">
        <v>1969.11</v>
      </c>
      <c r="K163" s="31">
        <v>1967.62</v>
      </c>
      <c r="L163" s="31">
        <v>1976.33</v>
      </c>
      <c r="M163" s="31">
        <v>1980.92</v>
      </c>
      <c r="N163" s="31">
        <v>1972.79</v>
      </c>
      <c r="O163" s="68">
        <f>IF((N164=""),"",MAX(F165:N165))</f>
        <v>2115.9600000000005</v>
      </c>
      <c r="P163" s="68">
        <f>IF(N164="","",MIN(F165:N165))</f>
        <v>1970.6999999999996</v>
      </c>
      <c r="Q163" s="69">
        <f>IF((N165=""),"",AVERAGE(F165:N165))</f>
        <v>2055.8966666666665</v>
      </c>
      <c r="R163" s="69">
        <f>IF((N164=""),"",(O163-P163)/(O163+P163)*100)</f>
        <v>3.5544919322870245</v>
      </c>
      <c r="S163" s="152">
        <f>STDEV(F165:N165)</f>
        <v>45.758798607481133</v>
      </c>
      <c r="T163" s="162" t="str">
        <f>IF(N164="","",IF(Q163&gt;1940,IF(R163&lt;8.3,IF(Q163&lt;2180,"Pass","Fail"),"Fail"),"Fail"))</f>
        <v>Pass</v>
      </c>
      <c r="U163" s="154">
        <v>121</v>
      </c>
      <c r="V163" s="212"/>
      <c r="W163" s="31"/>
      <c r="X163" s="155">
        <v>2000</v>
      </c>
      <c r="Y163" s="155">
        <v>3000</v>
      </c>
      <c r="Z163" s="155">
        <v>1940</v>
      </c>
      <c r="AA163" s="155">
        <v>2180</v>
      </c>
      <c r="AC163" s="51">
        <v>5.2</v>
      </c>
    </row>
    <row r="164" spans="1:29" ht="16.100000000000001" x14ac:dyDescent="0.35">
      <c r="A164"/>
      <c r="B164" s="52"/>
      <c r="C164" s="53"/>
      <c r="D164" s="54"/>
      <c r="E164" s="81" t="s">
        <v>187</v>
      </c>
      <c r="F164" s="31">
        <v>1287.27</v>
      </c>
      <c r="G164" s="31">
        <v>1280.17</v>
      </c>
      <c r="H164" s="31">
        <v>1280.21</v>
      </c>
      <c r="I164" s="31">
        <v>1282.74</v>
      </c>
      <c r="J164" s="31">
        <v>1312.21</v>
      </c>
      <c r="K164" s="31">
        <v>1300.25</v>
      </c>
      <c r="L164" s="31">
        <v>1282.5999999999999</v>
      </c>
      <c r="M164" s="31">
        <v>1275.5999999999999</v>
      </c>
      <c r="N164" s="31">
        <v>1292.8699999999999</v>
      </c>
      <c r="O164" s="55"/>
      <c r="P164" s="55"/>
      <c r="Q164" s="56"/>
      <c r="R164" s="56"/>
      <c r="S164" s="152"/>
      <c r="T164" s="153"/>
      <c r="U164" s="156"/>
      <c r="V164" s="212"/>
      <c r="W164" s="31"/>
      <c r="X164" s="157"/>
      <c r="Y164" s="157"/>
      <c r="Z164" s="157"/>
      <c r="AA164" s="157"/>
    </row>
    <row r="165" spans="1:29" ht="16.649999999999999" thickBot="1" x14ac:dyDescent="0.4">
      <c r="A165"/>
      <c r="B165" s="70"/>
      <c r="C165" s="71"/>
      <c r="D165" s="72"/>
      <c r="E165" s="85" t="s">
        <v>190</v>
      </c>
      <c r="F165" s="73">
        <f t="shared" ref="F165:N165" si="51">IF(((F163="")*AND(F164="")),"",(F163-F164)*3)</f>
        <v>2048.6100000000006</v>
      </c>
      <c r="G165" s="73">
        <f t="shared" si="51"/>
        <v>2083.8899999999994</v>
      </c>
      <c r="H165" s="73">
        <f t="shared" si="51"/>
        <v>2085.5100000000002</v>
      </c>
      <c r="I165" s="73">
        <f t="shared" si="51"/>
        <v>2075.34</v>
      </c>
      <c r="J165" s="73">
        <f t="shared" si="51"/>
        <v>1970.6999999999996</v>
      </c>
      <c r="K165" s="73">
        <f t="shared" si="51"/>
        <v>2002.1099999999997</v>
      </c>
      <c r="L165" s="73">
        <f t="shared" si="51"/>
        <v>2081.19</v>
      </c>
      <c r="M165" s="73">
        <f t="shared" si="51"/>
        <v>2115.9600000000005</v>
      </c>
      <c r="N165" s="73">
        <f t="shared" si="51"/>
        <v>2039.7600000000002</v>
      </c>
      <c r="O165" s="74"/>
      <c r="P165" s="74"/>
      <c r="Q165" s="75"/>
      <c r="R165" s="75"/>
      <c r="S165" s="152"/>
      <c r="T165" s="163"/>
      <c r="U165" s="164"/>
      <c r="V165" s="212"/>
      <c r="W165" s="31"/>
      <c r="X165" s="157"/>
      <c r="Y165" s="157"/>
      <c r="Z165" s="157"/>
      <c r="AA165" s="157"/>
    </row>
    <row r="166" spans="1:29" x14ac:dyDescent="0.25">
      <c r="A166" s="248">
        <v>43187</v>
      </c>
      <c r="B166" s="258" t="s">
        <v>185</v>
      </c>
      <c r="C166" s="47" t="s">
        <v>173</v>
      </c>
      <c r="D166" s="48" t="s">
        <v>172</v>
      </c>
      <c r="E166" s="79" t="s">
        <v>186</v>
      </c>
      <c r="F166" s="31">
        <v>24165.21</v>
      </c>
      <c r="G166" s="31">
        <v>24516.17</v>
      </c>
      <c r="H166" s="31">
        <v>24690.11</v>
      </c>
      <c r="I166" s="31">
        <v>24542.51</v>
      </c>
      <c r="J166" s="31">
        <v>24176.959999999999</v>
      </c>
      <c r="K166" s="31">
        <v>24152.51</v>
      </c>
      <c r="L166" s="31">
        <v>24516.43</v>
      </c>
      <c r="M166" s="31">
        <v>24527.54</v>
      </c>
      <c r="N166" s="31">
        <v>24147.360000000001</v>
      </c>
      <c r="O166" s="49">
        <f>IF((N167=""),"",MAX(F168:N168))</f>
        <v>4470.8700000000026</v>
      </c>
      <c r="P166" s="49">
        <f>IF(N167="","",MIN(F168:N168))</f>
        <v>3910.1699999999983</v>
      </c>
      <c r="Q166" s="50">
        <f>IF((N168=""),"",AVERAGE(F168:N168))</f>
        <v>4166.6066666666638</v>
      </c>
      <c r="R166" s="50">
        <f>IF((N167=""),"",(O166-P166)/(O166+P166)*100)</f>
        <v>6.6901005125856017</v>
      </c>
      <c r="S166" s="152">
        <f>STDEV(F168:N168)</f>
        <v>246.57043364929169</v>
      </c>
      <c r="T166" s="153" t="str">
        <f>IF(N167="","",IF(R166&lt;16,IF(Q166&gt;3200,IF(R166,IF(Q166&lt;5240,"Pass","Fail"),"Fail"),"Fail")))</f>
        <v>Pass</v>
      </c>
      <c r="U166" s="154">
        <v>1335</v>
      </c>
      <c r="V166" s="212"/>
      <c r="W166" s="31"/>
      <c r="X166" s="155">
        <v>4200</v>
      </c>
      <c r="Y166" s="155">
        <v>5500</v>
      </c>
      <c r="Z166" s="155">
        <v>3200</v>
      </c>
      <c r="AA166" s="155">
        <v>5240</v>
      </c>
      <c r="AC166" s="51">
        <v>16</v>
      </c>
    </row>
    <row r="167" spans="1:29" ht="16.100000000000001" x14ac:dyDescent="0.35">
      <c r="A167"/>
      <c r="B167" s="52"/>
      <c r="C167" s="53"/>
      <c r="D167" s="54"/>
      <c r="E167" s="81" t="s">
        <v>187</v>
      </c>
      <c r="F167" s="31">
        <v>22674.92</v>
      </c>
      <c r="G167" s="31">
        <v>23172.15</v>
      </c>
      <c r="H167" s="31">
        <v>23386.720000000001</v>
      </c>
      <c r="I167" s="31">
        <v>23234.639999999999</v>
      </c>
      <c r="J167" s="31">
        <v>22717.24</v>
      </c>
      <c r="K167" s="31">
        <v>22685.13</v>
      </c>
      <c r="L167" s="31">
        <v>23189.66</v>
      </c>
      <c r="M167" s="31">
        <v>23206.66</v>
      </c>
      <c r="N167" s="31">
        <v>22667.86</v>
      </c>
      <c r="O167" s="55"/>
      <c r="P167" s="55"/>
      <c r="Q167" s="56"/>
      <c r="R167" s="56"/>
      <c r="S167" s="152"/>
      <c r="T167" s="153"/>
      <c r="U167" s="156"/>
      <c r="V167" s="212"/>
      <c r="W167" s="31"/>
      <c r="X167" s="157"/>
      <c r="Y167" s="157"/>
      <c r="Z167" s="157"/>
      <c r="AA167" s="157"/>
    </row>
    <row r="168" spans="1:29" ht="22.75" thickBot="1" x14ac:dyDescent="0.4">
      <c r="A168"/>
      <c r="B168" s="57"/>
      <c r="C168" s="58"/>
      <c r="D168" s="59"/>
      <c r="E168" s="81" t="s">
        <v>188</v>
      </c>
      <c r="F168" s="60">
        <f t="shared" ref="F168:N168" si="52">IF(((F166="")*AND(F167="")),"",(F166-F167)*3)</f>
        <v>4470.8700000000026</v>
      </c>
      <c r="G168" s="60">
        <f t="shared" si="52"/>
        <v>4032.0599999999904</v>
      </c>
      <c r="H168" s="60">
        <f t="shared" si="52"/>
        <v>3910.1699999999983</v>
      </c>
      <c r="I168" s="60">
        <f t="shared" si="52"/>
        <v>3923.6099999999969</v>
      </c>
      <c r="J168" s="60">
        <f t="shared" si="52"/>
        <v>4379.1599999999926</v>
      </c>
      <c r="K168" s="60">
        <f t="shared" si="52"/>
        <v>4402.1399999999921</v>
      </c>
      <c r="L168" s="60">
        <f t="shared" si="52"/>
        <v>3980.3100000000013</v>
      </c>
      <c r="M168" s="60">
        <f t="shared" si="52"/>
        <v>3962.6400000000031</v>
      </c>
      <c r="N168" s="60">
        <f t="shared" si="52"/>
        <v>4438.5</v>
      </c>
      <c r="O168" s="61"/>
      <c r="P168" s="61"/>
      <c r="Q168" s="62"/>
      <c r="R168" s="62"/>
      <c r="S168" s="152"/>
      <c r="T168" s="158"/>
      <c r="U168" s="159"/>
      <c r="V168" s="212"/>
      <c r="W168" s="31"/>
      <c r="X168" s="157"/>
      <c r="Y168" s="157"/>
      <c r="Z168" s="157"/>
      <c r="AA168" s="157"/>
    </row>
    <row r="169" spans="1:29" x14ac:dyDescent="0.25">
      <c r="A169" s="229">
        <v>43187</v>
      </c>
      <c r="B169" s="257" t="s">
        <v>174</v>
      </c>
      <c r="C169" s="53" t="s">
        <v>176</v>
      </c>
      <c r="D169" s="64" t="s">
        <v>175</v>
      </c>
      <c r="E169" s="61" t="s">
        <v>186</v>
      </c>
      <c r="F169" s="31">
        <v>6926.6</v>
      </c>
      <c r="G169" s="31">
        <v>6815.11</v>
      </c>
      <c r="H169" s="31">
        <v>6921.39</v>
      </c>
      <c r="I169" s="31">
        <v>6923.23</v>
      </c>
      <c r="J169" s="31">
        <v>6923.23</v>
      </c>
      <c r="K169" s="31">
        <v>6923.23</v>
      </c>
      <c r="L169" s="31">
        <v>6888.62</v>
      </c>
      <c r="M169" s="31">
        <v>6909.03</v>
      </c>
      <c r="N169" s="31">
        <v>6923.23</v>
      </c>
      <c r="O169" s="55">
        <f>IF((N170=""),"",MAX(F171:N171))</f>
        <v>3960.1999999999989</v>
      </c>
      <c r="P169" s="55">
        <f>IF(N170="","",MIN(F171:N171))</f>
        <v>3463.619999999999</v>
      </c>
      <c r="Q169" s="56">
        <f>IF((N171=""),"",AVERAGE(F171:N171))</f>
        <v>3793.3422222222216</v>
      </c>
      <c r="R169" s="56">
        <f>IF((N170=""),"",(O169-P169)/(O169+P169)*100)</f>
        <v>6.6890091623988734</v>
      </c>
      <c r="S169" s="152">
        <f>STDEV(F171:N171)</f>
        <v>183.93572693863601</v>
      </c>
      <c r="T169" s="160" t="str">
        <f>IF(N170="","",IF(Q169&gt;3650,IF(R169&lt;6.5,IF(Q169&lt;4450,"Pass","Fail"),"Fail"),"Fail"))</f>
        <v>Fail</v>
      </c>
      <c r="U169" s="154">
        <v>1335</v>
      </c>
      <c r="V169" s="212"/>
      <c r="W169" s="31"/>
      <c r="X169" s="155">
        <v>3650</v>
      </c>
      <c r="Y169" s="155">
        <v>4450</v>
      </c>
      <c r="Z169" s="155">
        <v>3700</v>
      </c>
      <c r="AA169" s="155">
        <v>4100</v>
      </c>
      <c r="AB169" s="51">
        <v>7</v>
      </c>
      <c r="AC169" s="51">
        <v>6.5</v>
      </c>
    </row>
    <row r="170" spans="1:29" ht="16.100000000000001" x14ac:dyDescent="0.35">
      <c r="A170"/>
      <c r="B170" s="63"/>
      <c r="C170" s="53"/>
      <c r="D170" s="54"/>
      <c r="E170" s="81" t="s">
        <v>187</v>
      </c>
      <c r="F170" s="31">
        <v>5034.4399999999996</v>
      </c>
      <c r="G170" s="31">
        <v>4863.7700000000004</v>
      </c>
      <c r="H170" s="31">
        <v>4949.54</v>
      </c>
      <c r="I170" s="31">
        <v>4960.96</v>
      </c>
      <c r="J170" s="31">
        <v>5148.53</v>
      </c>
      <c r="K170" s="31">
        <v>5191.42</v>
      </c>
      <c r="L170" s="31">
        <v>4932.7700000000004</v>
      </c>
      <c r="M170" s="31">
        <v>4928.93</v>
      </c>
      <c r="N170" s="31">
        <v>5073.2700000000004</v>
      </c>
      <c r="O170" s="55"/>
      <c r="P170" s="55"/>
      <c r="Q170" s="56"/>
      <c r="R170" s="56"/>
      <c r="S170" s="152"/>
      <c r="T170" s="153"/>
      <c r="U170" s="161"/>
      <c r="V170" s="213"/>
      <c r="W170" s="31"/>
      <c r="X170" s="157"/>
      <c r="Y170" s="157"/>
      <c r="Z170" s="157"/>
      <c r="AA170" s="157"/>
    </row>
    <row r="171" spans="1:29" ht="22.75" thickBot="1" x14ac:dyDescent="0.4">
      <c r="A171"/>
      <c r="B171" s="63"/>
      <c r="C171" s="53"/>
      <c r="D171" s="54"/>
      <c r="E171" s="68" t="s">
        <v>188</v>
      </c>
      <c r="F171" s="65">
        <f t="shared" ref="F171:N171" si="53">IF(((F169="")*AND(F170="")),"",(F169-F170)*2)</f>
        <v>3784.3200000000015</v>
      </c>
      <c r="G171" s="65">
        <f t="shared" si="53"/>
        <v>3902.6799999999985</v>
      </c>
      <c r="H171" s="65">
        <f t="shared" si="53"/>
        <v>3943.7000000000007</v>
      </c>
      <c r="I171" s="65">
        <f t="shared" si="53"/>
        <v>3924.5399999999991</v>
      </c>
      <c r="J171" s="65">
        <f t="shared" si="53"/>
        <v>3549.3999999999996</v>
      </c>
      <c r="K171" s="65">
        <f t="shared" si="53"/>
        <v>3463.619999999999</v>
      </c>
      <c r="L171" s="65">
        <f t="shared" si="53"/>
        <v>3911.6999999999989</v>
      </c>
      <c r="M171" s="65">
        <f t="shared" si="53"/>
        <v>3960.1999999999989</v>
      </c>
      <c r="N171" s="65">
        <f t="shared" si="53"/>
        <v>3699.9199999999983</v>
      </c>
      <c r="O171" s="55"/>
      <c r="P171" s="55"/>
      <c r="Q171" s="56"/>
      <c r="R171" s="56"/>
      <c r="S171" s="152"/>
      <c r="T171" s="153"/>
      <c r="U171" s="161"/>
      <c r="V171" s="213"/>
      <c r="W171" s="31"/>
      <c r="X171" s="157"/>
      <c r="Y171" s="157"/>
      <c r="Z171" s="157"/>
      <c r="AA171" s="157"/>
    </row>
    <row r="172" spans="1:29" x14ac:dyDescent="0.25">
      <c r="A172" s="229">
        <v>43187</v>
      </c>
      <c r="B172" s="257" t="s">
        <v>169</v>
      </c>
      <c r="C172" s="67" t="s">
        <v>171</v>
      </c>
      <c r="D172" s="66" t="s">
        <v>189</v>
      </c>
      <c r="E172" s="81" t="s">
        <v>186</v>
      </c>
      <c r="F172" s="31">
        <v>1288.24</v>
      </c>
      <c r="G172" s="31">
        <v>1283.99</v>
      </c>
      <c r="H172" s="31">
        <v>1283.72</v>
      </c>
      <c r="I172" s="31">
        <v>1284.43</v>
      </c>
      <c r="J172" s="31">
        <v>1319.14</v>
      </c>
      <c r="K172" s="31">
        <v>1309.94</v>
      </c>
      <c r="L172" s="31">
        <v>1285.75</v>
      </c>
      <c r="M172" s="31">
        <v>1276.6600000000001</v>
      </c>
      <c r="N172" s="31">
        <v>1293.27</v>
      </c>
      <c r="O172" s="68">
        <f>IF((N173=""),"",MAX(F174:N174))</f>
        <v>2116.56</v>
      </c>
      <c r="P172" s="68">
        <f>IF(N173="","",MIN(F174:N174))</f>
        <v>1932.15</v>
      </c>
      <c r="Q172" s="69">
        <f>IF((N174=""),"",AVERAGE(F174:N174))</f>
        <v>2061.23</v>
      </c>
      <c r="R172" s="69">
        <f>IF((N173=""),"",(O172-P172)/(O172+P172)*100)</f>
        <v>4.5547841164222644</v>
      </c>
      <c r="S172" s="152">
        <f>STDEV(F174:N174)</f>
        <v>64.160053576972643</v>
      </c>
      <c r="T172" s="162" t="str">
        <f>IF(N173="","",IF(Q172&gt;1940,IF(R172&lt;8.3,IF(Q172&lt;2180,"Pass","Fail"),"Fail"),"Fail"))</f>
        <v>Pass</v>
      </c>
      <c r="U172" s="154">
        <v>1335</v>
      </c>
      <c r="V172" s="212"/>
      <c r="W172" s="31"/>
      <c r="X172" s="155">
        <v>2000</v>
      </c>
      <c r="Y172" s="155">
        <v>3000</v>
      </c>
      <c r="Z172" s="155">
        <v>1940</v>
      </c>
      <c r="AA172" s="155">
        <v>2180</v>
      </c>
      <c r="AC172" s="51">
        <v>5.2</v>
      </c>
    </row>
    <row r="173" spans="1:29" ht="16.100000000000001" x14ac:dyDescent="0.35">
      <c r="A173"/>
      <c r="B173" s="52"/>
      <c r="C173" s="53"/>
      <c r="D173" s="54"/>
      <c r="E173" s="81" t="s">
        <v>187</v>
      </c>
      <c r="F173" s="31">
        <v>600.28</v>
      </c>
      <c r="G173" s="31">
        <v>578.47</v>
      </c>
      <c r="H173" s="31">
        <v>582.45000000000005</v>
      </c>
      <c r="I173" s="31">
        <v>587.47</v>
      </c>
      <c r="J173" s="31">
        <v>675.09</v>
      </c>
      <c r="K173" s="31">
        <v>649.95000000000005</v>
      </c>
      <c r="L173" s="31">
        <v>588.45000000000005</v>
      </c>
      <c r="M173" s="31">
        <v>571.5</v>
      </c>
      <c r="N173" s="31">
        <v>607.79</v>
      </c>
      <c r="O173" s="55"/>
      <c r="P173" s="55"/>
      <c r="Q173" s="56"/>
      <c r="R173" s="56"/>
      <c r="S173" s="152"/>
      <c r="T173" s="153"/>
      <c r="U173" s="156"/>
      <c r="V173" s="212"/>
      <c r="W173" s="31"/>
      <c r="X173" s="157"/>
      <c r="Y173" s="157"/>
      <c r="Z173" s="157"/>
      <c r="AA173" s="157"/>
    </row>
    <row r="174" spans="1:29" ht="16.649999999999999" thickBot="1" x14ac:dyDescent="0.4">
      <c r="A174"/>
      <c r="B174" s="70"/>
      <c r="C174" s="71"/>
      <c r="D174" s="72"/>
      <c r="E174" s="85" t="s">
        <v>190</v>
      </c>
      <c r="F174" s="73">
        <f t="shared" ref="F174:N174" si="54">IF(((F172="")*AND(F173="")),"",(F172-F173)*3)</f>
        <v>2063.88</v>
      </c>
      <c r="G174" s="73">
        <f t="shared" si="54"/>
        <v>2116.56</v>
      </c>
      <c r="H174" s="73">
        <f t="shared" si="54"/>
        <v>2103.81</v>
      </c>
      <c r="I174" s="73">
        <f t="shared" si="54"/>
        <v>2090.88</v>
      </c>
      <c r="J174" s="73">
        <f t="shared" si="54"/>
        <v>1932.15</v>
      </c>
      <c r="K174" s="73">
        <f t="shared" si="54"/>
        <v>1979.97</v>
      </c>
      <c r="L174" s="73">
        <f t="shared" si="54"/>
        <v>2091.8999999999996</v>
      </c>
      <c r="M174" s="73">
        <f t="shared" si="54"/>
        <v>2115.4800000000005</v>
      </c>
      <c r="N174" s="73">
        <f t="shared" si="54"/>
        <v>2056.44</v>
      </c>
      <c r="O174" s="74"/>
      <c r="P174" s="74"/>
      <c r="Q174" s="75"/>
      <c r="R174" s="75"/>
      <c r="S174" s="152"/>
      <c r="T174" s="163"/>
      <c r="U174" s="164"/>
      <c r="V174" s="212"/>
      <c r="W174" s="31"/>
      <c r="X174" s="157"/>
      <c r="Y174" s="157"/>
      <c r="Z174" s="157"/>
      <c r="AA174" s="157"/>
    </row>
    <row r="175" spans="1:29" x14ac:dyDescent="0.25">
      <c r="A175" s="229">
        <v>43192</v>
      </c>
      <c r="B175" s="258" t="s">
        <v>185</v>
      </c>
      <c r="C175" s="47" t="s">
        <v>173</v>
      </c>
      <c r="D175" s="48" t="s">
        <v>172</v>
      </c>
      <c r="E175" s="79" t="s">
        <v>186</v>
      </c>
      <c r="F175" s="31">
        <v>22642.58</v>
      </c>
      <c r="G175" s="31">
        <v>23137.08</v>
      </c>
      <c r="H175" s="31">
        <v>23350.14</v>
      </c>
      <c r="I175" s="31">
        <v>23199.040000000001</v>
      </c>
      <c r="J175" s="31">
        <v>22692.46</v>
      </c>
      <c r="K175" s="31">
        <v>22651.69</v>
      </c>
      <c r="L175" s="31">
        <v>23157.79</v>
      </c>
      <c r="M175" s="31">
        <v>23171.46</v>
      </c>
      <c r="N175" s="31">
        <v>22629.99</v>
      </c>
      <c r="O175" s="49">
        <f>IF((N176=""),"",MAX(F177:N177))</f>
        <v>4564.5900000000074</v>
      </c>
      <c r="P175" s="49">
        <f>IF(N176="","",MIN(F177:N177))</f>
        <v>3902.6400000000031</v>
      </c>
      <c r="Q175" s="50">
        <f>IF((N177=""),"",AVERAGE(F177:N177))</f>
        <v>4181.0266666666703</v>
      </c>
      <c r="R175" s="50">
        <f>IF((N176=""),"",(O175-P175)/(O175+P175)*100)</f>
        <v>7.8177869267753861</v>
      </c>
      <c r="S175" s="152">
        <f>STDEV(F177:N177)</f>
        <v>250.53190714956924</v>
      </c>
      <c r="T175" s="153" t="str">
        <f>IF(N176="","",IF(R175&lt;16,IF(Q175&gt;3200,IF(R175,IF(Q175&lt;5240,"Pass","Fail"),"Fail"),"Fail")))</f>
        <v>Pass</v>
      </c>
      <c r="U175" s="154">
        <v>1335</v>
      </c>
      <c r="V175" s="212"/>
      <c r="W175" s="31"/>
      <c r="X175" s="155">
        <v>4200</v>
      </c>
      <c r="Y175" s="155">
        <v>5500</v>
      </c>
      <c r="Z175" s="155">
        <v>3200</v>
      </c>
      <c r="AA175" s="155">
        <v>5240</v>
      </c>
      <c r="AC175" s="51">
        <v>16</v>
      </c>
    </row>
    <row r="176" spans="1:29" ht="16.100000000000001" x14ac:dyDescent="0.35">
      <c r="A176"/>
      <c r="B176" s="52"/>
      <c r="C176" s="53"/>
      <c r="D176" s="54"/>
      <c r="E176" s="81" t="s">
        <v>187</v>
      </c>
      <c r="F176" s="31">
        <v>21151.69</v>
      </c>
      <c r="G176" s="31">
        <v>21790.22</v>
      </c>
      <c r="H176" s="31">
        <v>22049.26</v>
      </c>
      <c r="I176" s="31">
        <v>21878.91</v>
      </c>
      <c r="J176" s="31">
        <v>21234.23</v>
      </c>
      <c r="K176" s="31">
        <v>21212.91</v>
      </c>
      <c r="L176" s="31">
        <v>21834.69</v>
      </c>
      <c r="M176" s="31">
        <v>21828.78</v>
      </c>
      <c r="N176" s="31">
        <v>21108.46</v>
      </c>
      <c r="O176" s="55"/>
      <c r="P176" s="55"/>
      <c r="Q176" s="56"/>
      <c r="R176" s="56"/>
      <c r="S176" s="152"/>
      <c r="T176" s="153"/>
      <c r="U176" s="156"/>
      <c r="V176" s="212"/>
      <c r="W176" s="31"/>
      <c r="X176" s="157"/>
      <c r="Y176" s="157"/>
      <c r="Z176" s="157"/>
      <c r="AA176" s="157"/>
    </row>
    <row r="177" spans="1:29" ht="22.75" thickBot="1" x14ac:dyDescent="0.4">
      <c r="A177"/>
      <c r="B177" s="57"/>
      <c r="C177" s="58"/>
      <c r="D177" s="59"/>
      <c r="E177" s="81" t="s">
        <v>188</v>
      </c>
      <c r="F177" s="60">
        <f t="shared" ref="F177:N177" si="55">IF(((F175="")*AND(F176="")),"",(F175-F176)*3)</f>
        <v>4472.6700000000092</v>
      </c>
      <c r="G177" s="60">
        <f t="shared" si="55"/>
        <v>4040.5800000000017</v>
      </c>
      <c r="H177" s="60">
        <f t="shared" si="55"/>
        <v>3902.6400000000031</v>
      </c>
      <c r="I177" s="60">
        <f t="shared" si="55"/>
        <v>3960.3900000000031</v>
      </c>
      <c r="J177" s="60">
        <f t="shared" si="55"/>
        <v>4374.6899999999987</v>
      </c>
      <c r="K177" s="60">
        <f t="shared" si="55"/>
        <v>4316.3399999999965</v>
      </c>
      <c r="L177" s="60">
        <f t="shared" si="55"/>
        <v>3969.3000000000065</v>
      </c>
      <c r="M177" s="60">
        <f t="shared" si="55"/>
        <v>4028.0400000000009</v>
      </c>
      <c r="N177" s="60">
        <f t="shared" si="55"/>
        <v>4564.5900000000074</v>
      </c>
      <c r="O177" s="61"/>
      <c r="P177" s="61"/>
      <c r="Q177" s="62"/>
      <c r="R177" s="62"/>
      <c r="S177" s="152"/>
      <c r="T177" s="158"/>
      <c r="U177" s="159"/>
      <c r="V177" s="212"/>
      <c r="W177" s="31"/>
      <c r="X177" s="157"/>
      <c r="Y177" s="157"/>
      <c r="Z177" s="157"/>
      <c r="AA177" s="157"/>
    </row>
    <row r="178" spans="1:29" x14ac:dyDescent="0.25">
      <c r="A178" s="229">
        <v>43192</v>
      </c>
      <c r="B178" s="257" t="s">
        <v>174</v>
      </c>
      <c r="C178" s="53" t="s">
        <v>176</v>
      </c>
      <c r="D178" s="64" t="s">
        <v>175</v>
      </c>
      <c r="E178" s="61" t="s">
        <v>186</v>
      </c>
      <c r="F178" s="31">
        <v>5043.41</v>
      </c>
      <c r="G178" s="31">
        <v>4875.82</v>
      </c>
      <c r="H178" s="31">
        <v>4959.53</v>
      </c>
      <c r="I178" s="31">
        <v>4970.3999999999996</v>
      </c>
      <c r="J178" s="31">
        <v>5257.94</v>
      </c>
      <c r="K178" s="31">
        <v>5199.42</v>
      </c>
      <c r="L178" s="31">
        <v>4943.2700000000004</v>
      </c>
      <c r="M178" s="31">
        <v>4939.13</v>
      </c>
      <c r="N178" s="31">
        <v>5082.3100000000004</v>
      </c>
      <c r="O178" s="55">
        <f>IF((N179=""),"",MAX(F180:N180))</f>
        <v>4046.8200000000006</v>
      </c>
      <c r="P178" s="55">
        <f>IF(N179="","",MIN(F180:N180))</f>
        <v>3738.3199999999997</v>
      </c>
      <c r="Q178" s="56">
        <f>IF((N180=""),"",AVERAGE(F180:N180))</f>
        <v>3960.9755555555553</v>
      </c>
      <c r="R178" s="56">
        <f>IF((N179=""),"",(O178-P178)/(O178+P178)*100)</f>
        <v>3.9626776140185136</v>
      </c>
      <c r="S178" s="152">
        <f>STDEV(F180:N180)</f>
        <v>104.95246913616569</v>
      </c>
      <c r="T178" s="160" t="str">
        <f>IF(N179="","",IF(Q178&gt;3650,IF(R178&lt;6.5,IF(Q178&lt;4450,"Pass","Fail"),"Fail"),"Fail"))</f>
        <v>Pass</v>
      </c>
      <c r="U178" s="154">
        <v>1335</v>
      </c>
      <c r="V178" s="212"/>
      <c r="W178" s="31"/>
      <c r="X178" s="155">
        <v>3650</v>
      </c>
      <c r="Y178" s="155">
        <v>4450</v>
      </c>
      <c r="Z178" s="155">
        <v>3700</v>
      </c>
      <c r="AA178" s="155">
        <v>4100</v>
      </c>
      <c r="AB178" s="51">
        <v>7</v>
      </c>
      <c r="AC178" s="51">
        <v>6.5</v>
      </c>
    </row>
    <row r="179" spans="1:29" ht="16.100000000000001" x14ac:dyDescent="0.35">
      <c r="A179"/>
      <c r="B179" s="63"/>
      <c r="C179" s="53"/>
      <c r="D179" s="54"/>
      <c r="E179" s="81" t="s">
        <v>187</v>
      </c>
      <c r="F179" s="31">
        <v>3090.66</v>
      </c>
      <c r="G179" s="31">
        <v>2860.18</v>
      </c>
      <c r="H179" s="31">
        <v>2937.45</v>
      </c>
      <c r="I179" s="31">
        <v>2957.81</v>
      </c>
      <c r="J179" s="31">
        <v>3320.95</v>
      </c>
      <c r="K179" s="31">
        <v>3330.26</v>
      </c>
      <c r="L179" s="31">
        <v>2929.19</v>
      </c>
      <c r="M179" s="31">
        <v>2915.72</v>
      </c>
      <c r="N179" s="31">
        <v>3104.62</v>
      </c>
      <c r="O179" s="55"/>
      <c r="P179" s="55"/>
      <c r="Q179" s="56"/>
      <c r="R179" s="56"/>
      <c r="S179" s="152"/>
      <c r="T179" s="153"/>
      <c r="U179" s="161"/>
      <c r="V179" s="213"/>
      <c r="W179" s="31"/>
      <c r="X179" s="157"/>
      <c r="Y179" s="157"/>
      <c r="Z179" s="157"/>
      <c r="AA179" s="157"/>
    </row>
    <row r="180" spans="1:29" ht="22.75" thickBot="1" x14ac:dyDescent="0.4">
      <c r="A180"/>
      <c r="B180" s="63"/>
      <c r="C180" s="53"/>
      <c r="D180" s="54"/>
      <c r="E180" s="68" t="s">
        <v>188</v>
      </c>
      <c r="F180" s="65">
        <f t="shared" ref="F180:N180" si="56">IF(((F178="")*AND(F179="")),"",(F178-F179)*2)</f>
        <v>3905.5</v>
      </c>
      <c r="G180" s="65">
        <f t="shared" si="56"/>
        <v>4031.2799999999997</v>
      </c>
      <c r="H180" s="65">
        <f t="shared" si="56"/>
        <v>4044.16</v>
      </c>
      <c r="I180" s="65">
        <f t="shared" si="56"/>
        <v>4025.1799999999994</v>
      </c>
      <c r="J180" s="65">
        <f t="shared" si="56"/>
        <v>3873.9799999999996</v>
      </c>
      <c r="K180" s="65">
        <f t="shared" si="56"/>
        <v>3738.3199999999997</v>
      </c>
      <c r="L180" s="65">
        <f t="shared" si="56"/>
        <v>4028.1600000000008</v>
      </c>
      <c r="M180" s="65">
        <f t="shared" si="56"/>
        <v>4046.8200000000006</v>
      </c>
      <c r="N180" s="65">
        <f t="shared" si="56"/>
        <v>3955.380000000001</v>
      </c>
      <c r="O180" s="55"/>
      <c r="P180" s="55"/>
      <c r="Q180" s="56"/>
      <c r="R180" s="56"/>
      <c r="S180" s="152"/>
      <c r="T180" s="153"/>
      <c r="U180" s="161"/>
      <c r="V180" s="213"/>
      <c r="W180" s="31"/>
      <c r="X180" s="157"/>
      <c r="Y180" s="157"/>
      <c r="Z180" s="157"/>
      <c r="AA180" s="157"/>
    </row>
    <row r="181" spans="1:29" x14ac:dyDescent="0.25">
      <c r="A181" s="229">
        <v>43192</v>
      </c>
      <c r="B181" s="257" t="s">
        <v>169</v>
      </c>
      <c r="C181" s="67" t="s">
        <v>171</v>
      </c>
      <c r="D181" s="66" t="s">
        <v>189</v>
      </c>
      <c r="E181" s="81" t="s">
        <v>186</v>
      </c>
      <c r="F181" s="31">
        <v>1972.45</v>
      </c>
      <c r="G181" s="31">
        <v>1954.27</v>
      </c>
      <c r="H181" s="31">
        <v>1950.72</v>
      </c>
      <c r="I181" s="31">
        <v>1958.19</v>
      </c>
      <c r="J181" s="31">
        <v>1982.22</v>
      </c>
      <c r="K181" s="31">
        <v>1978.04</v>
      </c>
      <c r="L181" s="31">
        <v>1956.83</v>
      </c>
      <c r="M181" s="31">
        <v>1956.39</v>
      </c>
      <c r="N181" s="31">
        <v>1968.15</v>
      </c>
      <c r="O181" s="68">
        <f>IF((N182=""),"",MAX(F183:N183))</f>
        <v>2188.9500000000003</v>
      </c>
      <c r="P181" s="68">
        <f>IF(N182="","",MIN(F183:N183))</f>
        <v>2103.7200000000003</v>
      </c>
      <c r="Q181" s="69">
        <f>IF((N183=""),"",AVERAGE(F183:N183))</f>
        <v>2154.66</v>
      </c>
      <c r="R181" s="69">
        <f>IF((N182=""),"",(O181-P181)/(O181+P181)*100)</f>
        <v>1.9854775699040463</v>
      </c>
      <c r="S181" s="152">
        <f>STDEV(F183:N183)</f>
        <v>33.245895235351789</v>
      </c>
      <c r="T181" s="162" t="str">
        <f>IF(N182="","",IF(Q181&gt;1940,IF(R181&lt;8.3,IF(Q181&lt;2180,"Pass","Fail"),"Fail"),"Fail"))</f>
        <v>Pass</v>
      </c>
      <c r="U181" s="154">
        <v>1335</v>
      </c>
      <c r="V181" s="212"/>
      <c r="W181" s="31"/>
      <c r="X181" s="155">
        <v>2000</v>
      </c>
      <c r="Y181" s="155">
        <v>3000</v>
      </c>
      <c r="Z181" s="155">
        <v>1940</v>
      </c>
      <c r="AA181" s="155">
        <v>2180</v>
      </c>
      <c r="AC181" s="51">
        <v>5.2</v>
      </c>
    </row>
    <row r="182" spans="1:29" ht="16.100000000000001" x14ac:dyDescent="0.35">
      <c r="A182"/>
      <c r="B182" s="52"/>
      <c r="C182" s="53"/>
      <c r="D182" s="54"/>
      <c r="E182" s="81" t="s">
        <v>187</v>
      </c>
      <c r="F182" s="31">
        <v>1256.31</v>
      </c>
      <c r="G182" s="31">
        <v>1229.8399999999999</v>
      </c>
      <c r="H182" s="31">
        <v>1226.46</v>
      </c>
      <c r="I182" s="31">
        <v>1228.54</v>
      </c>
      <c r="J182" s="31">
        <v>1280.98</v>
      </c>
      <c r="K182" s="31">
        <v>1270.8499999999999</v>
      </c>
      <c r="L182" s="31">
        <v>1229.3800000000001</v>
      </c>
      <c r="M182" s="31">
        <v>1227.8900000000001</v>
      </c>
      <c r="N182" s="31">
        <v>1263.03</v>
      </c>
      <c r="O182" s="55"/>
      <c r="P182" s="55"/>
      <c r="Q182" s="56"/>
      <c r="R182" s="56"/>
      <c r="S182" s="152"/>
      <c r="T182" s="153"/>
      <c r="U182" s="156"/>
      <c r="V182" s="212"/>
      <c r="W182" s="31"/>
      <c r="X182" s="157"/>
      <c r="Y182" s="157"/>
      <c r="Z182" s="157"/>
      <c r="AA182" s="157"/>
    </row>
    <row r="183" spans="1:29" ht="16.649999999999999" thickBot="1" x14ac:dyDescent="0.4">
      <c r="A183"/>
      <c r="B183" s="70"/>
      <c r="C183" s="71"/>
      <c r="D183" s="72"/>
      <c r="E183" s="85" t="s">
        <v>190</v>
      </c>
      <c r="F183" s="73">
        <f t="shared" ref="F183:N183" si="57">IF(((F181="")*AND(F182="")),"",(F181-F182)*3)</f>
        <v>2148.42</v>
      </c>
      <c r="G183" s="73">
        <f t="shared" si="57"/>
        <v>2173.29</v>
      </c>
      <c r="H183" s="73">
        <f t="shared" si="57"/>
        <v>2172.7799999999997</v>
      </c>
      <c r="I183" s="73">
        <f t="shared" si="57"/>
        <v>2188.9500000000003</v>
      </c>
      <c r="J183" s="73">
        <f t="shared" si="57"/>
        <v>2103.7200000000003</v>
      </c>
      <c r="K183" s="73">
        <f t="shared" si="57"/>
        <v>2121.5700000000002</v>
      </c>
      <c r="L183" s="73">
        <f t="shared" si="57"/>
        <v>2182.3499999999995</v>
      </c>
      <c r="M183" s="73">
        <f t="shared" si="57"/>
        <v>2185.5</v>
      </c>
      <c r="N183" s="73">
        <f t="shared" si="57"/>
        <v>2115.3600000000006</v>
      </c>
      <c r="O183" s="74"/>
      <c r="P183" s="74"/>
      <c r="Q183" s="75"/>
      <c r="R183" s="75"/>
      <c r="S183" s="152"/>
      <c r="T183" s="163"/>
      <c r="U183" s="164"/>
      <c r="V183" s="212"/>
      <c r="W183" s="31"/>
      <c r="X183" s="157"/>
      <c r="Y183" s="157"/>
      <c r="Z183" s="157"/>
      <c r="AA183" s="157"/>
    </row>
    <row r="184" spans="1:29" x14ac:dyDescent="0.25">
      <c r="A184" s="248">
        <v>43199</v>
      </c>
      <c r="B184" s="258" t="s">
        <v>185</v>
      </c>
      <c r="C184" s="47" t="s">
        <v>173</v>
      </c>
      <c r="D184" s="48" t="s">
        <v>172</v>
      </c>
      <c r="E184" s="79" t="s">
        <v>186</v>
      </c>
      <c r="F184" s="31">
        <v>29368.28</v>
      </c>
      <c r="G184" s="31">
        <v>29182.09</v>
      </c>
      <c r="H184" s="31">
        <v>29226.47</v>
      </c>
      <c r="I184" s="31">
        <v>29165.39</v>
      </c>
      <c r="J184" s="31">
        <v>29358.97</v>
      </c>
      <c r="K184" s="31">
        <v>29348.42</v>
      </c>
      <c r="L184" s="31">
        <v>29161.21</v>
      </c>
      <c r="M184" s="31">
        <v>29153.48</v>
      </c>
      <c r="N184" s="31">
        <v>29363.919999999998</v>
      </c>
      <c r="O184" s="49">
        <f>IF((N185=""),"",MAX(F186:N186))</f>
        <v>4607.9099999999926</v>
      </c>
      <c r="P184" s="49">
        <f>IF(N185="","",MIN(F186:N186))</f>
        <v>3945.9900000000052</v>
      </c>
      <c r="Q184" s="50">
        <f>IF((N186=""),"",AVERAGE(F186:N186))</f>
        <v>4240.2533333333331</v>
      </c>
      <c r="R184" s="50">
        <f>IF((N185=""),"",(O184-P184)/(O184+P184)*100)</f>
        <v>7.7382246694488774</v>
      </c>
      <c r="S184" s="152">
        <f>STDEV(F186:N186)</f>
        <v>282.51905559625317</v>
      </c>
      <c r="T184" s="153" t="str">
        <f>IF(N185="","",IF(R184&lt;16,IF(Q184&gt;3200,IF(R184,IF(Q184&lt;5240,"Pass","Fail"),"Fail"),"Fail")))</f>
        <v>Pass</v>
      </c>
      <c r="U184" s="154"/>
      <c r="V184" s="212"/>
      <c r="W184" s="31"/>
      <c r="X184" s="155">
        <v>4200</v>
      </c>
      <c r="Y184" s="155">
        <v>5500</v>
      </c>
      <c r="Z184" s="155">
        <v>3200</v>
      </c>
      <c r="AA184" s="155">
        <v>5240</v>
      </c>
      <c r="AC184" s="51">
        <v>16</v>
      </c>
    </row>
    <row r="185" spans="1:29" ht="16.100000000000001" x14ac:dyDescent="0.35">
      <c r="A185"/>
      <c r="B185" s="52"/>
      <c r="C185" s="53"/>
      <c r="D185" s="54"/>
      <c r="E185" s="81" t="s">
        <v>187</v>
      </c>
      <c r="F185" s="31">
        <v>27849.59</v>
      </c>
      <c r="G185" s="31">
        <v>27828.16</v>
      </c>
      <c r="H185" s="31">
        <v>27911.14</v>
      </c>
      <c r="I185" s="31">
        <v>27832.91</v>
      </c>
      <c r="J185" s="31">
        <v>27848.69</v>
      </c>
      <c r="K185" s="31">
        <v>27869.94</v>
      </c>
      <c r="L185" s="31">
        <v>27829.919999999998</v>
      </c>
      <c r="M185" s="31">
        <v>27809.17</v>
      </c>
      <c r="N185" s="31">
        <v>27827.95</v>
      </c>
      <c r="O185" s="55"/>
      <c r="P185" s="55"/>
      <c r="Q185" s="56"/>
      <c r="R185" s="56"/>
      <c r="S185" s="152"/>
      <c r="T185" s="153"/>
      <c r="U185" s="156"/>
      <c r="V185" s="212"/>
      <c r="W185" s="31"/>
      <c r="X185" s="157"/>
      <c r="Y185" s="157"/>
      <c r="Z185" s="157"/>
      <c r="AA185" s="157"/>
    </row>
    <row r="186" spans="1:29" ht="22.75" thickBot="1" x14ac:dyDescent="0.4">
      <c r="A186"/>
      <c r="B186" s="57"/>
      <c r="C186" s="58"/>
      <c r="D186" s="59"/>
      <c r="E186" s="81" t="s">
        <v>188</v>
      </c>
      <c r="F186" s="60">
        <f t="shared" ref="F186:N186" si="58">IF(((F184="")*AND(F185="")),"",(F184-F185)*3)</f>
        <v>4556.0699999999961</v>
      </c>
      <c r="G186" s="60">
        <f t="shared" si="58"/>
        <v>4061.7900000000009</v>
      </c>
      <c r="H186" s="60">
        <f t="shared" si="58"/>
        <v>3945.9900000000052</v>
      </c>
      <c r="I186" s="60">
        <f t="shared" si="58"/>
        <v>3997.4399999999987</v>
      </c>
      <c r="J186" s="60">
        <f t="shared" si="58"/>
        <v>4530.8400000000074</v>
      </c>
      <c r="K186" s="60">
        <f t="shared" si="58"/>
        <v>4435.4399999999987</v>
      </c>
      <c r="L186" s="60">
        <f t="shared" si="58"/>
        <v>3993.8700000000026</v>
      </c>
      <c r="M186" s="60">
        <f t="shared" si="58"/>
        <v>4032.9300000000039</v>
      </c>
      <c r="N186" s="60">
        <f t="shared" si="58"/>
        <v>4607.9099999999926</v>
      </c>
      <c r="O186" s="61"/>
      <c r="P186" s="61"/>
      <c r="Q186" s="62"/>
      <c r="R186" s="62"/>
      <c r="S186" s="152"/>
      <c r="T186" s="158"/>
      <c r="U186" s="159"/>
      <c r="V186" s="212"/>
      <c r="W186" s="31"/>
      <c r="X186" s="157"/>
      <c r="Y186" s="157"/>
      <c r="Z186" s="157"/>
      <c r="AA186" s="157"/>
    </row>
    <row r="187" spans="1:29" ht="14.4" x14ac:dyDescent="0.3">
      <c r="A187" s="248">
        <v>43199</v>
      </c>
      <c r="B187" s="257" t="s">
        <v>174</v>
      </c>
      <c r="C187" s="53" t="s">
        <v>176</v>
      </c>
      <c r="D187" s="64" t="s">
        <v>175</v>
      </c>
      <c r="E187" s="61" t="s">
        <v>186</v>
      </c>
      <c r="F187" s="168">
        <v>3105.97</v>
      </c>
      <c r="G187" s="168">
        <v>2870.93</v>
      </c>
      <c r="H187" s="168">
        <v>2948.58</v>
      </c>
      <c r="I187" s="168">
        <v>2969.01</v>
      </c>
      <c r="J187" s="168">
        <v>3339.9</v>
      </c>
      <c r="K187" s="168">
        <v>3348.87</v>
      </c>
      <c r="L187" s="168">
        <v>2940.72</v>
      </c>
      <c r="M187" s="168">
        <v>2926.4</v>
      </c>
      <c r="N187" s="168">
        <v>3118.88</v>
      </c>
      <c r="O187" s="55">
        <f>IF((N188=""),"",MAX(F189:N189))</f>
        <v>4029.32</v>
      </c>
      <c r="P187" s="55">
        <f>IF(N188="","",MIN(F189:N189))</f>
        <v>3776.66</v>
      </c>
      <c r="Q187" s="56">
        <f>IF((N189=""),"",AVERAGE(F189:N189))</f>
        <v>3960.3133333333335</v>
      </c>
      <c r="R187" s="56">
        <f>IF((N188=""),"",(O187-P187)/(O187+P187)*100)</f>
        <v>3.2367492614636513</v>
      </c>
      <c r="S187" s="152">
        <f>STDEV(F189:N189)</f>
        <v>83.248212593424569</v>
      </c>
      <c r="T187" s="153" t="str">
        <f>IF(N188="","",IF(Q187&gt;3650,IF(R187&lt;7,IF(Q187&lt;4450,"Pass","Fail"),"Fail"),"Fail"))</f>
        <v>Pass</v>
      </c>
      <c r="U187" s="154"/>
      <c r="V187" s="212"/>
      <c r="W187" s="31"/>
      <c r="X187" s="155">
        <v>3650</v>
      </c>
      <c r="Y187" s="155">
        <v>4450</v>
      </c>
      <c r="Z187" s="155">
        <v>3700</v>
      </c>
      <c r="AA187" s="155">
        <v>4100</v>
      </c>
      <c r="AB187" s="51">
        <v>7</v>
      </c>
      <c r="AC187" s="51">
        <v>6.5</v>
      </c>
    </row>
    <row r="188" spans="1:29" ht="16.100000000000001" x14ac:dyDescent="0.35">
      <c r="A188"/>
      <c r="B188" s="63"/>
      <c r="C188" s="53"/>
      <c r="D188" s="54"/>
      <c r="E188" s="81" t="s">
        <v>187</v>
      </c>
      <c r="F188" s="169">
        <v>1155.95</v>
      </c>
      <c r="G188" s="169">
        <v>867.99</v>
      </c>
      <c r="H188" s="169">
        <v>935.01</v>
      </c>
      <c r="I188" s="169">
        <v>962.87</v>
      </c>
      <c r="J188" s="169">
        <v>1378.4</v>
      </c>
      <c r="K188" s="169">
        <v>1460.54</v>
      </c>
      <c r="L188" s="169">
        <v>934.73</v>
      </c>
      <c r="M188" s="169">
        <v>911.74</v>
      </c>
      <c r="N188" s="169">
        <v>1140.6199999999999</v>
      </c>
      <c r="O188" s="55"/>
      <c r="P188" s="55"/>
      <c r="Q188" s="56"/>
      <c r="R188" s="56"/>
      <c r="S188" s="152"/>
      <c r="T188" s="153"/>
      <c r="U188" s="161"/>
      <c r="V188" s="213"/>
      <c r="W188" s="31"/>
      <c r="X188" s="157"/>
      <c r="Y188" s="157"/>
      <c r="Z188" s="157"/>
      <c r="AA188" s="157"/>
    </row>
    <row r="189" spans="1:29" ht="22.75" thickBot="1" x14ac:dyDescent="0.4">
      <c r="A189"/>
      <c r="B189" s="63"/>
      <c r="C189" s="53"/>
      <c r="D189" s="54"/>
      <c r="E189" s="68" t="s">
        <v>188</v>
      </c>
      <c r="F189" s="65">
        <f t="shared" ref="F189:N189" si="59">IF(((F187="")*AND(F188="")),"",(F187-F188)*2)</f>
        <v>3900.0399999999995</v>
      </c>
      <c r="G189" s="65">
        <f t="shared" si="59"/>
        <v>4005.8799999999997</v>
      </c>
      <c r="H189" s="65">
        <f t="shared" si="59"/>
        <v>4027.14</v>
      </c>
      <c r="I189" s="65">
        <f t="shared" si="59"/>
        <v>4012.2800000000007</v>
      </c>
      <c r="J189" s="65">
        <f t="shared" si="59"/>
        <v>3923</v>
      </c>
      <c r="K189" s="65">
        <f t="shared" si="59"/>
        <v>3776.66</v>
      </c>
      <c r="L189" s="65">
        <f t="shared" si="59"/>
        <v>4011.9799999999996</v>
      </c>
      <c r="M189" s="65">
        <f t="shared" si="59"/>
        <v>4029.32</v>
      </c>
      <c r="N189" s="65">
        <f t="shared" si="59"/>
        <v>3956.5200000000004</v>
      </c>
      <c r="O189" s="55"/>
      <c r="P189" s="55"/>
      <c r="Q189" s="56"/>
      <c r="R189" s="56"/>
      <c r="S189" s="152"/>
      <c r="T189" s="153"/>
      <c r="U189" s="161"/>
      <c r="V189" s="213"/>
      <c r="W189" s="31"/>
      <c r="X189" s="157"/>
      <c r="Y189" s="157"/>
      <c r="Z189" s="157"/>
      <c r="AA189" s="157"/>
    </row>
    <row r="190" spans="1:29" x14ac:dyDescent="0.25">
      <c r="A190" s="248">
        <v>43199</v>
      </c>
      <c r="B190" s="257" t="s">
        <v>169</v>
      </c>
      <c r="C190" s="67" t="s">
        <v>171</v>
      </c>
      <c r="D190" s="66" t="s">
        <v>189</v>
      </c>
      <c r="E190" s="81" t="s">
        <v>186</v>
      </c>
      <c r="F190" s="31">
        <v>1258.24</v>
      </c>
      <c r="G190" s="31">
        <v>1231.49</v>
      </c>
      <c r="H190" s="31">
        <v>1231.49</v>
      </c>
      <c r="I190" s="31">
        <v>1232.3699999999999</v>
      </c>
      <c r="J190" s="31">
        <v>1285.1500000000001</v>
      </c>
      <c r="K190" s="31">
        <v>1274.46</v>
      </c>
      <c r="L190" s="31">
        <v>1232.44</v>
      </c>
      <c r="M190" s="31">
        <v>1229.8599999999999</v>
      </c>
      <c r="N190" s="31">
        <v>1263.57</v>
      </c>
      <c r="O190" s="68">
        <f>IF((N191=""),"",MAX(F192:N192))</f>
        <v>2099.91</v>
      </c>
      <c r="P190" s="68">
        <f>IF(N191="","",MIN(F192:N192))</f>
        <v>1974.42</v>
      </c>
      <c r="Q190" s="69">
        <f>IF((N192=""),"",AVERAGE(F192:N192))</f>
        <v>2048.4866666666667</v>
      </c>
      <c r="R190" s="69">
        <f>IF((N191=""),"",(O190-P190)/(O190+P190)*100)</f>
        <v>3.0800156099284983</v>
      </c>
      <c r="S190" s="152">
        <f>STDEV(F192:N192)</f>
        <v>49.547580415192776</v>
      </c>
      <c r="T190" s="162" t="str">
        <f>IF(N191="","",IF(Q190&gt;1940,IF(R190&lt;8.3,IF(Q190&lt;2180,"Pass","Fail"),"Fail"),"Fail"))</f>
        <v>Pass</v>
      </c>
      <c r="U190" s="154"/>
      <c r="V190" s="212"/>
      <c r="W190" s="31"/>
      <c r="X190" s="155">
        <v>2000</v>
      </c>
      <c r="Y190" s="155">
        <v>3000</v>
      </c>
      <c r="Z190" s="155">
        <v>1940</v>
      </c>
      <c r="AA190" s="155">
        <v>2180</v>
      </c>
      <c r="AC190" s="51">
        <v>5.2</v>
      </c>
    </row>
    <row r="191" spans="1:29" ht="16.100000000000001" x14ac:dyDescent="0.35">
      <c r="A191"/>
      <c r="B191" s="52"/>
      <c r="C191" s="53"/>
      <c r="D191" s="54"/>
      <c r="E191" s="81" t="s">
        <v>187</v>
      </c>
      <c r="F191" s="31">
        <v>586.99</v>
      </c>
      <c r="G191" s="31">
        <v>535.49</v>
      </c>
      <c r="H191" s="31">
        <v>531.52</v>
      </c>
      <c r="I191" s="31">
        <v>537.54</v>
      </c>
      <c r="J191" s="31">
        <v>624.5</v>
      </c>
      <c r="K191" s="31">
        <v>616.32000000000005</v>
      </c>
      <c r="L191" s="31">
        <v>538.77</v>
      </c>
      <c r="M191" s="31">
        <v>534.29</v>
      </c>
      <c r="N191" s="31">
        <v>588.19000000000005</v>
      </c>
      <c r="O191" s="55"/>
      <c r="P191" s="55"/>
      <c r="Q191" s="56"/>
      <c r="R191" s="56"/>
      <c r="S191" s="152"/>
      <c r="T191" s="153"/>
      <c r="U191" s="156"/>
      <c r="V191" s="212"/>
      <c r="W191" s="31"/>
      <c r="X191" s="157"/>
      <c r="Y191" s="157"/>
      <c r="Z191" s="157"/>
      <c r="AA191" s="157"/>
    </row>
    <row r="192" spans="1:29" ht="16.649999999999999" thickBot="1" x14ac:dyDescent="0.4">
      <c r="A192"/>
      <c r="B192" s="70"/>
      <c r="C192" s="71"/>
      <c r="D192" s="72"/>
      <c r="E192" s="85" t="s">
        <v>190</v>
      </c>
      <c r="F192" s="73">
        <f t="shared" ref="F192:N192" si="60">IF(((F190="")*AND(F191="")),"",(F190-F191)*3)</f>
        <v>2013.75</v>
      </c>
      <c r="G192" s="73">
        <f t="shared" si="60"/>
        <v>2088</v>
      </c>
      <c r="H192" s="73">
        <f t="shared" si="60"/>
        <v>2099.91</v>
      </c>
      <c r="I192" s="73">
        <f t="shared" si="60"/>
        <v>2084.4899999999998</v>
      </c>
      <c r="J192" s="73">
        <f t="shared" si="60"/>
        <v>1981.9500000000003</v>
      </c>
      <c r="K192" s="73">
        <f t="shared" si="60"/>
        <v>1974.42</v>
      </c>
      <c r="L192" s="73">
        <f t="shared" si="60"/>
        <v>2081.0100000000002</v>
      </c>
      <c r="M192" s="73">
        <f t="shared" si="60"/>
        <v>2086.71</v>
      </c>
      <c r="N192" s="73">
        <f t="shared" si="60"/>
        <v>2026.1399999999996</v>
      </c>
      <c r="O192" s="74"/>
      <c r="P192" s="74"/>
      <c r="Q192" s="75"/>
      <c r="R192" s="75"/>
      <c r="S192" s="152"/>
      <c r="T192" s="163"/>
      <c r="U192" s="164"/>
      <c r="V192" s="212"/>
      <c r="W192" s="31"/>
      <c r="X192" s="157"/>
      <c r="Y192" s="157"/>
      <c r="Z192" s="157"/>
      <c r="AA192" s="157"/>
    </row>
    <row r="193" spans="1:29" x14ac:dyDescent="0.25">
      <c r="A193" s="248">
        <v>43203</v>
      </c>
      <c r="B193" s="258" t="s">
        <v>185</v>
      </c>
      <c r="C193" s="47" t="s">
        <v>173</v>
      </c>
      <c r="D193" s="48" t="s">
        <v>172</v>
      </c>
      <c r="E193" s="79" t="s">
        <v>186</v>
      </c>
      <c r="F193" s="31">
        <v>27776.080000000002</v>
      </c>
      <c r="G193" s="31">
        <v>27751.71</v>
      </c>
      <c r="H193" s="31">
        <v>27842.959999999999</v>
      </c>
      <c r="I193" s="31">
        <v>27762.91</v>
      </c>
      <c r="J193" s="31">
        <v>27773.5</v>
      </c>
      <c r="K193" s="31">
        <v>27793.56</v>
      </c>
      <c r="L193" s="31">
        <v>27761.71</v>
      </c>
      <c r="M193" s="31">
        <v>27742.33</v>
      </c>
      <c r="N193" s="31">
        <v>27749.14</v>
      </c>
      <c r="O193" s="49">
        <f>IF((N194=""),"",MAX(F195:N195))</f>
        <v>4760.25</v>
      </c>
      <c r="P193" s="49">
        <f>IF(N194="","",MIN(F195:N195))</f>
        <v>4045.0200000000004</v>
      </c>
      <c r="Q193" s="50">
        <f>IF((N195=""),"",AVERAGE(F195:N195))</f>
        <v>4329.3933333333343</v>
      </c>
      <c r="R193" s="50">
        <f>IF((N194=""),"",(O193-P193)/(O193+P193)*100)</f>
        <v>8.1227492172301314</v>
      </c>
      <c r="S193" s="152">
        <f>STDEV(F195:N195)</f>
        <v>291.69601754223658</v>
      </c>
      <c r="T193" s="153" t="str">
        <f>IF(N194="","",IF(R193&lt;16,IF(Q193&gt;3200,IF(R193,IF(Q193&lt;5240,"Pass","Fail"),"Fail"),"Fail")))</f>
        <v>Pass</v>
      </c>
      <c r="U193" s="154">
        <v>1428</v>
      </c>
      <c r="V193" s="212"/>
      <c r="W193" s="31"/>
      <c r="X193" s="155">
        <v>4200</v>
      </c>
      <c r="Y193" s="155">
        <v>5500</v>
      </c>
      <c r="Z193" s="155">
        <v>3200</v>
      </c>
      <c r="AA193" s="155">
        <v>5240</v>
      </c>
      <c r="AC193" s="51">
        <v>16</v>
      </c>
    </row>
    <row r="194" spans="1:29" ht="16.100000000000001" x14ac:dyDescent="0.35">
      <c r="A194"/>
      <c r="B194" s="52"/>
      <c r="C194" s="53"/>
      <c r="D194" s="54"/>
      <c r="E194" s="81" t="s">
        <v>187</v>
      </c>
      <c r="F194" s="31">
        <v>26222.36</v>
      </c>
      <c r="G194" s="31">
        <v>26382.2</v>
      </c>
      <c r="H194" s="31">
        <v>26494.62</v>
      </c>
      <c r="I194" s="31">
        <v>26402.94</v>
      </c>
      <c r="J194" s="31">
        <v>26252.76</v>
      </c>
      <c r="K194" s="31">
        <v>26284.68</v>
      </c>
      <c r="L194" s="31">
        <v>26406.61</v>
      </c>
      <c r="M194" s="31">
        <v>26357.16</v>
      </c>
      <c r="N194" s="31">
        <v>26162.39</v>
      </c>
      <c r="O194" s="55"/>
      <c r="P194" s="55"/>
      <c r="Q194" s="56"/>
      <c r="R194" s="56"/>
      <c r="S194" s="152"/>
      <c r="T194" s="153"/>
      <c r="U194" s="156"/>
      <c r="V194" s="212"/>
      <c r="W194" s="31"/>
      <c r="X194" s="157"/>
      <c r="Y194" s="157"/>
      <c r="Z194" s="157"/>
      <c r="AA194" s="157"/>
    </row>
    <row r="195" spans="1:29" ht="22.75" thickBot="1" x14ac:dyDescent="0.4">
      <c r="A195"/>
      <c r="B195" s="57"/>
      <c r="C195" s="58"/>
      <c r="D195" s="59"/>
      <c r="E195" s="81" t="s">
        <v>188</v>
      </c>
      <c r="F195" s="60">
        <f t="shared" ref="F195:N195" si="61">IF(((F193="")*AND(F194="")),"",(F193-F194)*3)</f>
        <v>4661.1600000000035</v>
      </c>
      <c r="G195" s="60">
        <f t="shared" si="61"/>
        <v>4108.5299999999952</v>
      </c>
      <c r="H195" s="60">
        <f t="shared" si="61"/>
        <v>4045.0200000000004</v>
      </c>
      <c r="I195" s="60">
        <f t="shared" si="61"/>
        <v>4079.9100000000035</v>
      </c>
      <c r="J195" s="60">
        <f t="shared" si="61"/>
        <v>4562.2200000000048</v>
      </c>
      <c r="K195" s="60">
        <f t="shared" si="61"/>
        <v>4526.6400000000031</v>
      </c>
      <c r="L195" s="60">
        <f t="shared" si="61"/>
        <v>4065.2999999999956</v>
      </c>
      <c r="M195" s="60">
        <f t="shared" si="61"/>
        <v>4155.5100000000057</v>
      </c>
      <c r="N195" s="60">
        <f t="shared" si="61"/>
        <v>4760.25</v>
      </c>
      <c r="O195" s="61"/>
      <c r="P195" s="61"/>
      <c r="Q195" s="62"/>
      <c r="R195" s="62"/>
      <c r="S195" s="152"/>
      <c r="T195" s="158"/>
      <c r="U195" s="159"/>
      <c r="V195" s="212"/>
      <c r="W195" s="31"/>
      <c r="X195" s="157"/>
      <c r="Y195" s="157"/>
      <c r="Z195" s="157"/>
      <c r="AA195" s="157"/>
    </row>
    <row r="196" spans="1:29" x14ac:dyDescent="0.25">
      <c r="A196" s="248">
        <v>43203</v>
      </c>
      <c r="B196" s="257" t="s">
        <v>174</v>
      </c>
      <c r="C196" s="53" t="s">
        <v>176</v>
      </c>
      <c r="D196" s="64" t="s">
        <v>175</v>
      </c>
      <c r="E196" s="61" t="s">
        <v>186</v>
      </c>
      <c r="F196" s="31">
        <v>4966.41</v>
      </c>
      <c r="G196" s="31">
        <v>4917.5</v>
      </c>
      <c r="H196" s="31">
        <v>5021.6400000000003</v>
      </c>
      <c r="I196" s="31">
        <v>5033.07</v>
      </c>
      <c r="J196" s="31">
        <v>5171.09</v>
      </c>
      <c r="K196" s="31">
        <v>5006.6099999999997</v>
      </c>
      <c r="L196" s="31">
        <v>4992.93</v>
      </c>
      <c r="M196" s="31">
        <v>5015.71</v>
      </c>
      <c r="N196" s="31">
        <v>5092.57</v>
      </c>
      <c r="O196" s="55">
        <f>IF((N197=""),"",MAX(F198:N198))</f>
        <v>4028.76</v>
      </c>
      <c r="P196" s="55">
        <f>IF(N197="","",MIN(F198:N198))</f>
        <v>3698.9599999999991</v>
      </c>
      <c r="Q196" s="56">
        <f>IF((N198=""),"",AVERAGE(F198:N198))</f>
        <v>3930.6755555555555</v>
      </c>
      <c r="R196" s="56">
        <f>IF((N197=""),"",(O196-P196)/(O196+P196)*100)</f>
        <v>4.2677529724161989</v>
      </c>
      <c r="S196" s="152">
        <f>STDEV(F198:N198)</f>
        <v>105.84754167092321</v>
      </c>
      <c r="T196" s="153" t="str">
        <f>IF(N197="","",IF(Q196&gt;3650,IF(R196&lt;7,IF(Q196&lt;4450,"Pass","Fail"),"Fail"),"Fail"))</f>
        <v>Pass</v>
      </c>
      <c r="U196" s="154">
        <v>1428</v>
      </c>
      <c r="V196" s="212"/>
      <c r="W196" s="31"/>
      <c r="X196" s="155">
        <v>3650</v>
      </c>
      <c r="Y196" s="155">
        <v>4450</v>
      </c>
      <c r="Z196" s="155">
        <v>3700</v>
      </c>
      <c r="AA196" s="155">
        <v>4100</v>
      </c>
      <c r="AB196" s="51">
        <v>7</v>
      </c>
      <c r="AC196" s="51">
        <v>6.5</v>
      </c>
    </row>
    <row r="197" spans="1:29" ht="16.100000000000001" x14ac:dyDescent="0.35">
      <c r="A197"/>
      <c r="B197" s="63"/>
      <c r="C197" s="53"/>
      <c r="D197" s="54"/>
      <c r="E197" s="81" t="s">
        <v>187</v>
      </c>
      <c r="F197" s="31">
        <v>3034.86</v>
      </c>
      <c r="G197" s="31">
        <v>2919.61</v>
      </c>
      <c r="H197" s="31">
        <v>3018.03</v>
      </c>
      <c r="I197" s="31">
        <v>3038.4</v>
      </c>
      <c r="J197" s="31">
        <v>3241.74</v>
      </c>
      <c r="K197" s="31">
        <v>3157.13</v>
      </c>
      <c r="L197" s="31">
        <v>3002.52</v>
      </c>
      <c r="M197" s="31">
        <v>3001.33</v>
      </c>
      <c r="N197" s="31">
        <v>3115.87</v>
      </c>
      <c r="O197" s="55"/>
      <c r="P197" s="55"/>
      <c r="Q197" s="56"/>
      <c r="R197" s="56"/>
      <c r="S197" s="152"/>
      <c r="T197" s="153"/>
      <c r="U197" s="161"/>
      <c r="V197" s="213"/>
      <c r="W197" s="31"/>
      <c r="X197" s="157"/>
      <c r="Y197" s="157"/>
      <c r="Z197" s="157"/>
      <c r="AA197" s="157"/>
    </row>
    <row r="198" spans="1:29" ht="22.75" thickBot="1" x14ac:dyDescent="0.4">
      <c r="A198"/>
      <c r="B198" s="63"/>
      <c r="C198" s="53"/>
      <c r="D198" s="54"/>
      <c r="E198" s="68" t="s">
        <v>188</v>
      </c>
      <c r="F198" s="65">
        <f t="shared" ref="F198:N198" si="62">IF(((F196="")*AND(F197="")),"",(F196-F197)*2)</f>
        <v>3863.0999999999995</v>
      </c>
      <c r="G198" s="65">
        <f t="shared" si="62"/>
        <v>3995.7799999999997</v>
      </c>
      <c r="H198" s="65">
        <f t="shared" si="62"/>
        <v>4007.2200000000003</v>
      </c>
      <c r="I198" s="65">
        <f t="shared" si="62"/>
        <v>3989.3399999999992</v>
      </c>
      <c r="J198" s="65">
        <f t="shared" si="62"/>
        <v>3858.7000000000007</v>
      </c>
      <c r="K198" s="65">
        <f t="shared" si="62"/>
        <v>3698.9599999999991</v>
      </c>
      <c r="L198" s="65">
        <f t="shared" si="62"/>
        <v>3980.8200000000006</v>
      </c>
      <c r="M198" s="65">
        <f t="shared" si="62"/>
        <v>4028.76</v>
      </c>
      <c r="N198" s="65">
        <f t="shared" si="62"/>
        <v>3953.3999999999996</v>
      </c>
      <c r="O198" s="55"/>
      <c r="P198" s="55"/>
      <c r="Q198" s="56"/>
      <c r="R198" s="56"/>
      <c r="S198" s="152"/>
      <c r="T198" s="153"/>
      <c r="U198" s="161"/>
      <c r="V198" s="213"/>
      <c r="W198" s="31"/>
      <c r="X198" s="157"/>
      <c r="Y198" s="157"/>
      <c r="Z198" s="157"/>
      <c r="AA198" s="157"/>
    </row>
    <row r="199" spans="1:29" x14ac:dyDescent="0.25">
      <c r="A199" s="248">
        <v>43203</v>
      </c>
      <c r="B199" s="257" t="s">
        <v>169</v>
      </c>
      <c r="C199" s="67" t="s">
        <v>171</v>
      </c>
      <c r="D199" s="66" t="s">
        <v>189</v>
      </c>
      <c r="E199" s="81" t="s">
        <v>186</v>
      </c>
      <c r="F199" s="31">
        <v>1946.05</v>
      </c>
      <c r="G199" s="31">
        <v>1943.2</v>
      </c>
      <c r="H199" s="31">
        <v>1938.97</v>
      </c>
      <c r="I199" s="31">
        <v>1945.66</v>
      </c>
      <c r="J199" s="31">
        <v>1955.16</v>
      </c>
      <c r="K199" s="31">
        <v>1950.97</v>
      </c>
      <c r="L199" s="31">
        <v>1941.95</v>
      </c>
      <c r="M199" s="31">
        <v>1944</v>
      </c>
      <c r="N199" s="31">
        <v>1946.29</v>
      </c>
      <c r="O199" s="68">
        <f>IF((N200=""),"",MAX(F201:N201))</f>
        <v>2090.4300000000003</v>
      </c>
      <c r="P199" s="68">
        <f>IF(N200="","",MIN(F201:N201))</f>
        <v>1966.2900000000002</v>
      </c>
      <c r="Q199" s="69">
        <f>IF((N201=""),"",AVERAGE(F201:N201))</f>
        <v>2041.3333333333333</v>
      </c>
      <c r="R199" s="69">
        <f>IF((N200=""),"",(O199-P199)/(O199+P199)*100)</f>
        <v>3.0601076731941101</v>
      </c>
      <c r="S199" s="152">
        <f>STDEV(F201:N201)</f>
        <v>52.608355562590958</v>
      </c>
      <c r="T199" s="162" t="str">
        <f>IF(N200="","",IF(Q199&gt;1940,IF(R199&lt;8.3,IF(Q199&lt;2180,"Pass","Fail"),"Fail"),"Fail"))</f>
        <v>Pass</v>
      </c>
      <c r="U199" s="154">
        <v>1428</v>
      </c>
      <c r="V199" s="212"/>
      <c r="W199" s="31"/>
      <c r="X199" s="155">
        <v>2000</v>
      </c>
      <c r="Y199" s="155">
        <v>3000</v>
      </c>
      <c r="Z199" s="155">
        <v>1940</v>
      </c>
      <c r="AA199" s="155">
        <v>2180</v>
      </c>
      <c r="AC199" s="51">
        <v>5.2</v>
      </c>
    </row>
    <row r="200" spans="1:29" ht="16.100000000000001" x14ac:dyDescent="0.35">
      <c r="A200"/>
      <c r="B200" s="52"/>
      <c r="C200" s="53"/>
      <c r="D200" s="54"/>
      <c r="E200" s="81" t="s">
        <v>187</v>
      </c>
      <c r="F200" s="31">
        <v>1277.68</v>
      </c>
      <c r="G200" s="31">
        <v>1247.5899999999999</v>
      </c>
      <c r="H200" s="31">
        <v>1246.6300000000001</v>
      </c>
      <c r="I200" s="31">
        <v>1248.8499999999999</v>
      </c>
      <c r="J200" s="31">
        <v>1297.0999999999999</v>
      </c>
      <c r="K200" s="31">
        <v>1282.73</v>
      </c>
      <c r="L200" s="31">
        <v>1247.7</v>
      </c>
      <c r="M200" s="31">
        <v>1249.1099999999999</v>
      </c>
      <c r="N200" s="31">
        <v>1290.8599999999999</v>
      </c>
      <c r="O200" s="55"/>
      <c r="P200" s="55"/>
      <c r="Q200" s="56"/>
      <c r="R200" s="56"/>
      <c r="S200" s="152"/>
      <c r="T200" s="153"/>
      <c r="U200" s="156"/>
      <c r="V200" s="212"/>
      <c r="W200" s="31"/>
      <c r="X200" s="157"/>
      <c r="Y200" s="157"/>
      <c r="Z200" s="157"/>
      <c r="AA200" s="157"/>
    </row>
    <row r="201" spans="1:29" ht="16.649999999999999" thickBot="1" x14ac:dyDescent="0.4">
      <c r="A201"/>
      <c r="B201" s="52"/>
      <c r="C201" s="53"/>
      <c r="D201" s="54"/>
      <c r="E201" s="68" t="s">
        <v>190</v>
      </c>
      <c r="F201" s="65">
        <f t="shared" ref="F201:N201" si="63">IF(((F199="")*AND(F200="")),"",(F199-F200)*3)</f>
        <v>2005.1099999999997</v>
      </c>
      <c r="G201" s="65">
        <f t="shared" si="63"/>
        <v>2086.8300000000004</v>
      </c>
      <c r="H201" s="65">
        <f t="shared" si="63"/>
        <v>2077.0199999999995</v>
      </c>
      <c r="I201" s="65">
        <f t="shared" si="63"/>
        <v>2090.4300000000003</v>
      </c>
      <c r="J201" s="65">
        <f t="shared" si="63"/>
        <v>1974.1800000000005</v>
      </c>
      <c r="K201" s="65">
        <f t="shared" si="63"/>
        <v>2004.72</v>
      </c>
      <c r="L201" s="65">
        <f t="shared" si="63"/>
        <v>2082.75</v>
      </c>
      <c r="M201" s="65">
        <f t="shared" si="63"/>
        <v>2084.67</v>
      </c>
      <c r="N201" s="65">
        <f t="shared" si="63"/>
        <v>1966.2900000000002</v>
      </c>
      <c r="O201" s="55"/>
      <c r="P201" s="55"/>
      <c r="Q201" s="56"/>
      <c r="R201" s="56"/>
      <c r="S201" s="152"/>
      <c r="T201" s="153"/>
      <c r="U201" s="156"/>
      <c r="V201" s="212"/>
      <c r="W201" s="31"/>
      <c r="X201" s="157"/>
      <c r="Y201" s="157"/>
      <c r="Z201" s="157"/>
      <c r="AA201" s="157"/>
    </row>
    <row r="202" spans="1:29" x14ac:dyDescent="0.25">
      <c r="A202" s="248">
        <v>43208</v>
      </c>
      <c r="B202" s="258" t="s">
        <v>185</v>
      </c>
      <c r="C202" s="47" t="s">
        <v>173</v>
      </c>
      <c r="D202" s="48" t="s">
        <v>172</v>
      </c>
      <c r="E202" s="79" t="s">
        <v>186</v>
      </c>
      <c r="F202" s="165">
        <v>26148.94</v>
      </c>
      <c r="G202" s="165">
        <v>26317.08</v>
      </c>
      <c r="H202" s="165">
        <v>26438.720000000001</v>
      </c>
      <c r="I202" s="165">
        <v>26334.09</v>
      </c>
      <c r="J202" s="165">
        <v>26179.7</v>
      </c>
      <c r="K202" s="165">
        <v>26215.77</v>
      </c>
      <c r="L202" s="165">
        <v>26337.34</v>
      </c>
      <c r="M202" s="165">
        <v>26288.87</v>
      </c>
      <c r="N202" s="165">
        <v>26078.62</v>
      </c>
      <c r="O202" s="49">
        <f>IF((N203=""),"",MAX(F204:N204))</f>
        <v>4905.5400000000009</v>
      </c>
      <c r="P202" s="49">
        <f>IF(N203="","",MIN(F204:N204))</f>
        <v>4190.7000000000044</v>
      </c>
      <c r="Q202" s="50">
        <f>IF((N204=""),"",AVERAGE(F204:N204))</f>
        <v>4539.7333333333336</v>
      </c>
      <c r="R202" s="50">
        <f>IF((N203=""),"",(O202-P202)/(O202+P202)*100)</f>
        <v>7.8586316983720312</v>
      </c>
      <c r="S202" s="170">
        <f>STDEV(F204:N204)</f>
        <v>317.32517517524468</v>
      </c>
      <c r="T202" s="162" t="str">
        <f>IF(N203="","",IF(R202&lt;16,IF(Q202&gt;3200,IF(R202,IF(Q202&lt;5240,"Pass","Fail"),"Fail"),"Fail")))</f>
        <v>Pass</v>
      </c>
      <c r="U202" s="154">
        <v>74</v>
      </c>
      <c r="V202" s="212"/>
      <c r="W202" s="31"/>
      <c r="X202" s="155">
        <v>4200</v>
      </c>
      <c r="Y202" s="155">
        <v>5500</v>
      </c>
      <c r="Z202" s="155">
        <v>3200</v>
      </c>
      <c r="AA202" s="155">
        <v>5240</v>
      </c>
      <c r="AC202" s="51">
        <v>16</v>
      </c>
    </row>
    <row r="203" spans="1:29" ht="16.100000000000001" x14ac:dyDescent="0.35">
      <c r="A203"/>
      <c r="B203" s="52"/>
      <c r="C203" s="53"/>
      <c r="D203" s="54"/>
      <c r="E203" s="81" t="s">
        <v>187</v>
      </c>
      <c r="F203" s="166">
        <v>24513.759999999998</v>
      </c>
      <c r="G203" s="166">
        <v>24873.71</v>
      </c>
      <c r="H203" s="166">
        <v>25041.82</v>
      </c>
      <c r="I203" s="166">
        <v>24918.3</v>
      </c>
      <c r="J203" s="166">
        <v>24573.17</v>
      </c>
      <c r="K203" s="166">
        <v>24596.48</v>
      </c>
      <c r="L203" s="166">
        <v>24906.16</v>
      </c>
      <c r="M203" s="166">
        <v>24850.99</v>
      </c>
      <c r="N203" s="166">
        <v>24445.54</v>
      </c>
      <c r="O203" s="55"/>
      <c r="P203" s="55"/>
      <c r="Q203" s="56"/>
      <c r="R203" s="56"/>
      <c r="S203" s="152"/>
      <c r="T203" s="153"/>
      <c r="U203" s="156"/>
      <c r="V203" s="212"/>
      <c r="W203" s="31"/>
      <c r="X203" s="157"/>
      <c r="Y203" s="157"/>
      <c r="Z203" s="157"/>
      <c r="AA203" s="157"/>
    </row>
    <row r="204" spans="1:29" ht="22.75" thickBot="1" x14ac:dyDescent="0.4">
      <c r="A204"/>
      <c r="B204" s="57"/>
      <c r="C204" s="58"/>
      <c r="D204" s="59"/>
      <c r="E204" s="81" t="s">
        <v>188</v>
      </c>
      <c r="F204" s="60">
        <f t="shared" ref="F204:N204" si="64">IF(((F202="")*AND(F203="")),"",(F202-F203)*3)</f>
        <v>4905.5400000000009</v>
      </c>
      <c r="G204" s="60">
        <f t="shared" si="64"/>
        <v>4330.1100000000079</v>
      </c>
      <c r="H204" s="60">
        <f t="shared" si="64"/>
        <v>4190.7000000000044</v>
      </c>
      <c r="I204" s="60">
        <f t="shared" si="64"/>
        <v>4247.3700000000026</v>
      </c>
      <c r="J204" s="60">
        <f t="shared" si="64"/>
        <v>4819.5900000000074</v>
      </c>
      <c r="K204" s="60">
        <f t="shared" si="64"/>
        <v>4857.8700000000026</v>
      </c>
      <c r="L204" s="60">
        <f t="shared" si="64"/>
        <v>4293.5400000000009</v>
      </c>
      <c r="M204" s="60">
        <f t="shared" si="64"/>
        <v>4313.6399999999921</v>
      </c>
      <c r="N204" s="60">
        <f t="shared" si="64"/>
        <v>4899.2399999999943</v>
      </c>
      <c r="O204" s="61"/>
      <c r="P204" s="61"/>
      <c r="Q204" s="62"/>
      <c r="R204" s="62"/>
      <c r="S204" s="152"/>
      <c r="T204" s="158"/>
      <c r="U204" s="159"/>
      <c r="V204" s="212"/>
      <c r="W204" s="31"/>
      <c r="X204" s="157"/>
      <c r="Y204" s="157"/>
      <c r="Z204" s="157"/>
      <c r="AA204" s="157"/>
    </row>
    <row r="205" spans="1:29" x14ac:dyDescent="0.25">
      <c r="A205" s="229">
        <v>43208</v>
      </c>
      <c r="B205" s="257" t="s">
        <v>174</v>
      </c>
      <c r="C205" s="53" t="s">
        <v>176</v>
      </c>
      <c r="D205" s="64" t="s">
        <v>175</v>
      </c>
      <c r="E205" s="61" t="s">
        <v>186</v>
      </c>
      <c r="F205" s="166">
        <v>3043.9</v>
      </c>
      <c r="G205" s="166">
        <v>2927.89</v>
      </c>
      <c r="H205" s="166">
        <v>3027.23</v>
      </c>
      <c r="I205" s="166">
        <v>3047.56</v>
      </c>
      <c r="J205" s="166">
        <v>3251.96</v>
      </c>
      <c r="K205" s="166">
        <v>3166.29</v>
      </c>
      <c r="L205" s="166">
        <v>3011.57</v>
      </c>
      <c r="M205" s="166">
        <v>3010.15</v>
      </c>
      <c r="N205" s="166">
        <v>3125.35</v>
      </c>
      <c r="O205" s="55">
        <f>IF((N206=""),"",MAX(F207:N207))</f>
        <v>3992.84</v>
      </c>
      <c r="P205" s="55">
        <f>IF(N206="","",MIN(F207:N207))</f>
        <v>3691.46</v>
      </c>
      <c r="Q205" s="56">
        <f>IF((N207=""),"",AVERAGE(F207:N207))</f>
        <v>3906.1199999999994</v>
      </c>
      <c r="R205" s="56">
        <f>IF((N206=""),"",(O205-P205)/(O205+P205)*100)</f>
        <v>3.9220228257616196</v>
      </c>
      <c r="S205" s="152">
        <f>STDEV(F207:N207)</f>
        <v>95.496132905997797</v>
      </c>
      <c r="T205" s="153" t="str">
        <f>IF(N206="","",IF(Q205&gt;3650,IF(R205&lt;7,IF(Q205&lt;4450,"Pass","Fail"),"Fail"),"Fail"))</f>
        <v>Pass</v>
      </c>
      <c r="U205" s="156">
        <v>74</v>
      </c>
      <c r="V205" s="212"/>
      <c r="W205" s="31"/>
      <c r="X205" s="155">
        <v>3650</v>
      </c>
      <c r="Y205" s="155">
        <v>4450</v>
      </c>
      <c r="Z205" s="155">
        <v>3700</v>
      </c>
      <c r="AA205" s="155">
        <v>4100</v>
      </c>
      <c r="AB205" s="51">
        <v>7</v>
      </c>
      <c r="AC205" s="51">
        <v>6.5</v>
      </c>
    </row>
    <row r="206" spans="1:29" ht="16.100000000000001" x14ac:dyDescent="0.35">
      <c r="A206"/>
      <c r="B206" s="63"/>
      <c r="C206" s="53"/>
      <c r="D206" s="54"/>
      <c r="E206" s="81" t="s">
        <v>187</v>
      </c>
      <c r="F206" s="166">
        <v>1123.8599999999999</v>
      </c>
      <c r="G206" s="166">
        <v>951.13</v>
      </c>
      <c r="H206" s="166">
        <v>1040.49</v>
      </c>
      <c r="I206" s="166">
        <v>1067.99</v>
      </c>
      <c r="J206" s="166">
        <v>1323.69</v>
      </c>
      <c r="K206" s="166">
        <v>1320.56</v>
      </c>
      <c r="L206" s="166">
        <v>1036.5899999999999</v>
      </c>
      <c r="M206" s="166">
        <v>1013.73</v>
      </c>
      <c r="N206" s="166">
        <v>1156.32</v>
      </c>
      <c r="O206" s="55"/>
      <c r="P206" s="55"/>
      <c r="Q206" s="56"/>
      <c r="R206" s="56"/>
      <c r="S206" s="152"/>
      <c r="T206" s="153"/>
      <c r="U206" s="161"/>
      <c r="V206" s="213"/>
      <c r="W206" s="31"/>
      <c r="X206" s="157"/>
      <c r="Y206" s="157"/>
      <c r="Z206" s="157"/>
      <c r="AA206" s="157"/>
    </row>
    <row r="207" spans="1:29" ht="22.15" x14ac:dyDescent="0.35">
      <c r="A207"/>
      <c r="B207" s="63"/>
      <c r="C207" s="53"/>
      <c r="D207" s="54"/>
      <c r="E207" s="68" t="s">
        <v>188</v>
      </c>
      <c r="F207" s="65">
        <f t="shared" ref="F207:N207" si="65">IF(((F205="")*AND(F206="")),"",(F205-F206)*2)</f>
        <v>3840.0800000000004</v>
      </c>
      <c r="G207" s="65">
        <f t="shared" si="65"/>
        <v>3953.5199999999995</v>
      </c>
      <c r="H207" s="65">
        <f t="shared" si="65"/>
        <v>3973.48</v>
      </c>
      <c r="I207" s="65">
        <f t="shared" si="65"/>
        <v>3959.14</v>
      </c>
      <c r="J207" s="65">
        <f t="shared" si="65"/>
        <v>3856.54</v>
      </c>
      <c r="K207" s="65">
        <f t="shared" si="65"/>
        <v>3691.46</v>
      </c>
      <c r="L207" s="65">
        <f t="shared" si="65"/>
        <v>3949.9600000000005</v>
      </c>
      <c r="M207" s="65">
        <f t="shared" si="65"/>
        <v>3992.84</v>
      </c>
      <c r="N207" s="65">
        <f t="shared" si="65"/>
        <v>3938.06</v>
      </c>
      <c r="O207" s="55"/>
      <c r="P207" s="55"/>
      <c r="Q207" s="56"/>
      <c r="R207" s="56"/>
      <c r="S207" s="152"/>
      <c r="T207" s="158"/>
      <c r="U207" s="171"/>
      <c r="V207" s="213"/>
      <c r="W207" s="31"/>
      <c r="X207" s="157"/>
      <c r="Y207" s="157"/>
      <c r="Z207" s="157"/>
      <c r="AA207" s="157"/>
    </row>
    <row r="208" spans="1:29" x14ac:dyDescent="0.25">
      <c r="A208" s="230">
        <v>43208</v>
      </c>
      <c r="B208" s="257" t="s">
        <v>169</v>
      </c>
      <c r="C208" s="67" t="s">
        <v>171</v>
      </c>
      <c r="D208" s="66" t="s">
        <v>189</v>
      </c>
      <c r="E208" s="81" t="s">
        <v>186</v>
      </c>
      <c r="F208" s="166">
        <v>1279.25</v>
      </c>
      <c r="G208" s="166">
        <v>1251.8800000000001</v>
      </c>
      <c r="H208" s="166">
        <v>1247.6500000000001</v>
      </c>
      <c r="I208" s="166">
        <v>1251.77</v>
      </c>
      <c r="J208" s="166">
        <v>1304.1400000000001</v>
      </c>
      <c r="K208" s="166">
        <v>1289.47</v>
      </c>
      <c r="L208" s="166">
        <v>1251.22</v>
      </c>
      <c r="M208" s="166">
        <v>1253.1300000000001</v>
      </c>
      <c r="N208" s="166">
        <v>1289.9000000000001</v>
      </c>
      <c r="O208" s="68">
        <f>IF((N209=""),"",MAX(F210:N210))</f>
        <v>2120.1900000000005</v>
      </c>
      <c r="P208" s="68">
        <f>IF(N209="","",MIN(F210:N210))</f>
        <v>1961.7300000000002</v>
      </c>
      <c r="Q208" s="69">
        <f>IF((N210=""),"",AVERAGE(F210:N210))</f>
        <v>2062.0033333333336</v>
      </c>
      <c r="R208" s="69">
        <f>IF((N209=""),"",(O208-P208)/(O208+P208)*100)</f>
        <v>3.881996707431802</v>
      </c>
      <c r="S208" s="152">
        <f>STDEV(F210:N210)</f>
        <v>57.155186991208453</v>
      </c>
      <c r="T208" s="153" t="str">
        <f>IF(N209="","",IF(Q208&gt;1940,IF(R208&lt;8.3,IF(Q208&lt;2180,"Pass","Fail"),"Fail"),"Fail"))</f>
        <v>Pass</v>
      </c>
      <c r="U208" s="156">
        <v>74</v>
      </c>
      <c r="V208" s="212"/>
      <c r="W208" s="31"/>
      <c r="X208" s="155">
        <v>2000</v>
      </c>
      <c r="Y208" s="155">
        <v>3000</v>
      </c>
      <c r="Z208" s="155">
        <v>1940</v>
      </c>
      <c r="AA208" s="155">
        <v>2180</v>
      </c>
      <c r="AC208" s="51">
        <v>5.2</v>
      </c>
    </row>
    <row r="209" spans="1:29" ht="16.100000000000001" x14ac:dyDescent="0.35">
      <c r="A209"/>
      <c r="B209" s="52"/>
      <c r="C209" s="53"/>
      <c r="D209" s="54"/>
      <c r="E209" s="81" t="s">
        <v>187</v>
      </c>
      <c r="F209" s="166">
        <v>597.71</v>
      </c>
      <c r="G209" s="166">
        <v>545.15</v>
      </c>
      <c r="H209" s="166">
        <v>548.24</v>
      </c>
      <c r="I209" s="166">
        <v>553.41999999999996</v>
      </c>
      <c r="J209" s="166">
        <v>650.23</v>
      </c>
      <c r="K209" s="166">
        <v>613.79999999999995</v>
      </c>
      <c r="L209" s="166">
        <v>552.54</v>
      </c>
      <c r="M209" s="166">
        <v>546.77</v>
      </c>
      <c r="N209" s="166">
        <v>624.54</v>
      </c>
      <c r="O209" s="55"/>
      <c r="P209" s="55"/>
      <c r="Q209" s="56"/>
      <c r="R209" s="56"/>
      <c r="S209" s="152"/>
      <c r="T209" s="153"/>
      <c r="U209" s="156"/>
      <c r="V209" s="212"/>
      <c r="W209" s="31"/>
      <c r="X209" s="157"/>
      <c r="Y209" s="157"/>
      <c r="Z209" s="157"/>
      <c r="AA209" s="157"/>
    </row>
    <row r="210" spans="1:29" ht="16.649999999999999" thickBot="1" x14ac:dyDescent="0.4">
      <c r="A210"/>
      <c r="B210" s="70"/>
      <c r="C210" s="71"/>
      <c r="D210" s="72"/>
      <c r="E210" s="85" t="s">
        <v>190</v>
      </c>
      <c r="F210" s="73">
        <f t="shared" ref="F210:N210" si="66">IF(((F208="")*AND(F209="")),"",(F208-F209)*3)</f>
        <v>2044.62</v>
      </c>
      <c r="G210" s="73">
        <f t="shared" si="66"/>
        <v>2120.1900000000005</v>
      </c>
      <c r="H210" s="73">
        <f t="shared" si="66"/>
        <v>2098.2300000000005</v>
      </c>
      <c r="I210" s="73">
        <f t="shared" si="66"/>
        <v>2095.0500000000002</v>
      </c>
      <c r="J210" s="73">
        <f t="shared" si="66"/>
        <v>1961.7300000000002</v>
      </c>
      <c r="K210" s="73">
        <f t="shared" si="66"/>
        <v>2027.0100000000002</v>
      </c>
      <c r="L210" s="73">
        <f t="shared" si="66"/>
        <v>2096.04</v>
      </c>
      <c r="M210" s="73">
        <f t="shared" si="66"/>
        <v>2119.0800000000004</v>
      </c>
      <c r="N210" s="73">
        <f t="shared" si="66"/>
        <v>1996.0800000000004</v>
      </c>
      <c r="O210" s="74"/>
      <c r="P210" s="74"/>
      <c r="Q210" s="75"/>
      <c r="R210" s="75"/>
      <c r="S210" s="172"/>
      <c r="T210" s="163"/>
      <c r="U210" s="164"/>
      <c r="V210" s="212"/>
      <c r="W210" s="31"/>
      <c r="X210" s="157"/>
      <c r="Y210" s="157"/>
      <c r="Z210" s="157"/>
      <c r="AA210" s="157"/>
    </row>
    <row r="211" spans="1:29" ht="12.75" customHeight="1" x14ac:dyDescent="0.25">
      <c r="A211" s="230">
        <v>43215</v>
      </c>
      <c r="B211" s="256" t="s">
        <v>185</v>
      </c>
      <c r="C211" s="53" t="s">
        <v>173</v>
      </c>
      <c r="D211" s="54" t="s">
        <v>172</v>
      </c>
      <c r="E211" s="61" t="s">
        <v>186</v>
      </c>
      <c r="F211" s="31">
        <v>24445.45</v>
      </c>
      <c r="G211" s="31">
        <v>24800.19</v>
      </c>
      <c r="H211" s="31">
        <v>24973.75</v>
      </c>
      <c r="I211" s="31">
        <v>24849.72</v>
      </c>
      <c r="J211" s="31">
        <v>24494.51</v>
      </c>
      <c r="K211" s="31">
        <v>24521.09</v>
      </c>
      <c r="L211" s="31">
        <v>24837.73</v>
      </c>
      <c r="M211" s="31">
        <v>24788.61</v>
      </c>
      <c r="N211" s="31">
        <v>24368.02</v>
      </c>
      <c r="O211" s="55">
        <f>IF((N212=""),"",MAX(F213:N213))</f>
        <v>5072.3399999999965</v>
      </c>
      <c r="P211" s="55">
        <f>IF(N212="","",MIN(F213:N213))</f>
        <v>4341.5699999999961</v>
      </c>
      <c r="Q211" s="56">
        <f>IF((N213=""),"",AVERAGE(F213:N213))</f>
        <v>4672.8466666666664</v>
      </c>
      <c r="R211" s="56">
        <f>IF((N212=""),"",(O211-P211)/(O211+P211)*100)</f>
        <v>7.7626618482649716</v>
      </c>
      <c r="S211" s="152">
        <f>STDEV(F213:N213)</f>
        <v>310.5894404193412</v>
      </c>
      <c r="T211" s="153" t="str">
        <f>IF(N212="","",IF(R211&lt;16,IF(Q211&gt;3200,IF(R211,IF(Q211&lt;5240,"Pass","Fail"),"Fail"),"Fail")))</f>
        <v>Pass</v>
      </c>
      <c r="U211" s="156">
        <v>121</v>
      </c>
      <c r="V211" s="212"/>
      <c r="W211" s="31" t="s">
        <v>192</v>
      </c>
      <c r="X211" s="155">
        <v>4200</v>
      </c>
      <c r="Y211" s="155">
        <v>5500</v>
      </c>
      <c r="Z211" s="155">
        <v>3200</v>
      </c>
      <c r="AA211" s="155">
        <v>5240</v>
      </c>
      <c r="AC211" s="51">
        <v>16</v>
      </c>
    </row>
    <row r="212" spans="1:29" ht="12.75" customHeight="1" x14ac:dyDescent="0.35">
      <c r="A212"/>
      <c r="B212" s="52"/>
      <c r="C212" s="53"/>
      <c r="D212" s="54"/>
      <c r="E212" s="81" t="s">
        <v>187</v>
      </c>
      <c r="F212" s="31">
        <v>22801.19</v>
      </c>
      <c r="G212" s="31">
        <v>23336.3</v>
      </c>
      <c r="H212" s="31">
        <v>23526.560000000001</v>
      </c>
      <c r="I212" s="31">
        <v>23364.21</v>
      </c>
      <c r="J212" s="31">
        <v>22816.68</v>
      </c>
      <c r="K212" s="31">
        <v>22873.65</v>
      </c>
      <c r="L212" s="31">
        <v>23359.63</v>
      </c>
      <c r="M212" s="31">
        <v>23305.07</v>
      </c>
      <c r="N212" s="31">
        <v>22677.24</v>
      </c>
      <c r="O212" s="55"/>
      <c r="P212" s="55"/>
      <c r="Q212" s="56"/>
      <c r="R212" s="56"/>
      <c r="S212" s="152"/>
      <c r="T212" s="153"/>
      <c r="U212" s="156"/>
      <c r="V212" s="212"/>
      <c r="W212" s="31"/>
      <c r="X212" s="157"/>
      <c r="Y212" s="157"/>
      <c r="Z212" s="157"/>
      <c r="AA212" s="157"/>
    </row>
    <row r="213" spans="1:29" ht="22.75" thickBot="1" x14ac:dyDescent="0.4">
      <c r="A213"/>
      <c r="B213" s="57"/>
      <c r="C213" s="58"/>
      <c r="D213" s="59"/>
      <c r="E213" s="81" t="s">
        <v>188</v>
      </c>
      <c r="F213" s="60">
        <f t="shared" ref="F213:N213" si="67">IF(((F211="")*AND(F212="")),"",(F211-F212)*3)</f>
        <v>4932.7800000000061</v>
      </c>
      <c r="G213" s="60">
        <f t="shared" si="67"/>
        <v>4391.6699999999983</v>
      </c>
      <c r="H213" s="60">
        <f t="shared" si="67"/>
        <v>4341.5699999999961</v>
      </c>
      <c r="I213" s="60">
        <f t="shared" si="67"/>
        <v>4456.5300000000061</v>
      </c>
      <c r="J213" s="60">
        <f t="shared" si="67"/>
        <v>5033.4899999999943</v>
      </c>
      <c r="K213" s="60">
        <f t="shared" si="67"/>
        <v>4942.3199999999961</v>
      </c>
      <c r="L213" s="60">
        <f t="shared" si="67"/>
        <v>4434.2999999999956</v>
      </c>
      <c r="M213" s="60">
        <f t="shared" si="67"/>
        <v>4450.6200000000026</v>
      </c>
      <c r="N213" s="60">
        <f t="shared" si="67"/>
        <v>5072.3399999999965</v>
      </c>
      <c r="O213" s="61"/>
      <c r="P213" s="61"/>
      <c r="Q213" s="62"/>
      <c r="R213" s="62"/>
      <c r="S213" s="152"/>
      <c r="T213" s="158"/>
      <c r="U213" s="159"/>
      <c r="V213" s="212"/>
      <c r="W213" s="31"/>
      <c r="X213" s="157"/>
      <c r="Y213" s="157"/>
      <c r="Z213" s="157"/>
      <c r="AA213" s="157"/>
    </row>
    <row r="214" spans="1:29" ht="12.75" customHeight="1" x14ac:dyDescent="0.25">
      <c r="A214" s="229">
        <v>43215</v>
      </c>
      <c r="B214" s="257" t="s">
        <v>174</v>
      </c>
      <c r="C214" s="53" t="s">
        <v>176</v>
      </c>
      <c r="D214" s="64" t="s">
        <v>175</v>
      </c>
      <c r="E214" s="61" t="s">
        <v>186</v>
      </c>
      <c r="F214" s="31">
        <v>6818.35</v>
      </c>
      <c r="G214" s="31">
        <v>6711.59</v>
      </c>
      <c r="H214" s="31">
        <v>6816.14</v>
      </c>
      <c r="I214" s="31">
        <v>6820.52</v>
      </c>
      <c r="J214" s="31">
        <v>7000</v>
      </c>
      <c r="K214" s="31">
        <v>6902.34</v>
      </c>
      <c r="L214" s="31">
        <v>6787.37</v>
      </c>
      <c r="M214" s="31">
        <v>6806.13</v>
      </c>
      <c r="N214" s="31">
        <v>6923.55</v>
      </c>
      <c r="O214" s="55">
        <f>IF((N215=""),"",MAX(F216:N216))</f>
        <v>4007.0599999999995</v>
      </c>
      <c r="P214" s="55">
        <f>IF(N215="","",MIN(F216:N216))</f>
        <v>3733.8000000000011</v>
      </c>
      <c r="Q214" s="56">
        <f>IF((N216=""),"",AVERAGE(F216:N216))</f>
        <v>3923.4066666666672</v>
      </c>
      <c r="R214" s="56">
        <f>IF((N215=""),"",(O214-P214)/(O214+P214)*100)</f>
        <v>3.5300987228808993</v>
      </c>
      <c r="S214" s="152">
        <f>STDEV(F216:N216)</f>
        <v>91.060989452124574</v>
      </c>
      <c r="T214" s="153" t="str">
        <f>IF(N215="","",IF(Q214&gt;3650,IF(R214&lt;7,IF(Q214&lt;4450,"Pass","Fail"),"Fail"),"Fail"))</f>
        <v>Pass</v>
      </c>
      <c r="U214" s="154">
        <v>121</v>
      </c>
      <c r="V214" s="212"/>
      <c r="W214" s="31" t="s">
        <v>192</v>
      </c>
      <c r="X214" s="155">
        <v>3650</v>
      </c>
      <c r="Y214" s="155">
        <v>4450</v>
      </c>
      <c r="Z214" s="155">
        <v>3700</v>
      </c>
      <c r="AA214" s="155">
        <v>4100</v>
      </c>
      <c r="AB214" s="51">
        <v>7</v>
      </c>
      <c r="AC214" s="51">
        <v>6.5</v>
      </c>
    </row>
    <row r="215" spans="1:29" ht="12.75" customHeight="1" x14ac:dyDescent="0.35">
      <c r="A215"/>
      <c r="B215" s="63"/>
      <c r="C215" s="53"/>
      <c r="D215" s="54"/>
      <c r="E215" s="81" t="s">
        <v>187</v>
      </c>
      <c r="F215" s="31">
        <v>4882.7700000000004</v>
      </c>
      <c r="G215" s="31">
        <v>4731.0200000000004</v>
      </c>
      <c r="H215" s="31">
        <v>4820.93</v>
      </c>
      <c r="I215" s="31">
        <v>4830.8900000000003</v>
      </c>
      <c r="J215" s="31">
        <v>5082.7</v>
      </c>
      <c r="K215" s="31">
        <v>5035.4399999999996</v>
      </c>
      <c r="L215" s="31">
        <v>4804.83</v>
      </c>
      <c r="M215" s="31">
        <v>4802.6000000000004</v>
      </c>
      <c r="N215" s="31">
        <v>4939.4799999999996</v>
      </c>
      <c r="O215" s="55"/>
      <c r="P215" s="55"/>
      <c r="Q215" s="56"/>
      <c r="R215" s="56"/>
      <c r="S215" s="152"/>
      <c r="T215" s="153"/>
      <c r="U215" s="161"/>
      <c r="V215" s="213"/>
      <c r="W215" s="31"/>
      <c r="X215" s="157"/>
      <c r="Y215" s="157"/>
      <c r="Z215" s="157"/>
      <c r="AA215" s="157"/>
    </row>
    <row r="216" spans="1:29" ht="22.75" thickBot="1" x14ac:dyDescent="0.4">
      <c r="A216"/>
      <c r="B216" s="63"/>
      <c r="C216" s="53"/>
      <c r="D216" s="54"/>
      <c r="E216" s="68" t="s">
        <v>188</v>
      </c>
      <c r="F216" s="65">
        <f t="shared" ref="F216:N216" si="68">IF(((F214="")*AND(F215="")),"",(F214-F215)*2)</f>
        <v>3871.16</v>
      </c>
      <c r="G216" s="65">
        <f t="shared" si="68"/>
        <v>3961.1399999999994</v>
      </c>
      <c r="H216" s="65">
        <f t="shared" si="68"/>
        <v>3990.42</v>
      </c>
      <c r="I216" s="65">
        <f t="shared" si="68"/>
        <v>3979.26</v>
      </c>
      <c r="J216" s="65">
        <f t="shared" si="68"/>
        <v>3834.6000000000004</v>
      </c>
      <c r="K216" s="65">
        <f t="shared" si="68"/>
        <v>3733.8000000000011</v>
      </c>
      <c r="L216" s="65">
        <f t="shared" si="68"/>
        <v>3965.08</v>
      </c>
      <c r="M216" s="65">
        <f t="shared" si="68"/>
        <v>4007.0599999999995</v>
      </c>
      <c r="N216" s="65">
        <f t="shared" si="68"/>
        <v>3968.1400000000012</v>
      </c>
      <c r="O216" s="55"/>
      <c r="P216" s="55"/>
      <c r="Q216" s="56"/>
      <c r="R216" s="56"/>
      <c r="S216" s="152"/>
      <c r="T216" s="153"/>
      <c r="U216" s="161"/>
      <c r="V216" s="213"/>
      <c r="W216" s="31"/>
      <c r="X216" s="157"/>
      <c r="Y216" s="157"/>
      <c r="Z216" s="157"/>
      <c r="AA216" s="157"/>
    </row>
    <row r="217" spans="1:29" ht="12.75" customHeight="1" x14ac:dyDescent="0.25">
      <c r="A217" s="229">
        <v>43215</v>
      </c>
      <c r="B217" s="257" t="s">
        <v>169</v>
      </c>
      <c r="C217" s="67" t="s">
        <v>171</v>
      </c>
      <c r="D217" s="66" t="s">
        <v>189</v>
      </c>
      <c r="E217" s="81" t="s">
        <v>186</v>
      </c>
      <c r="F217" s="31">
        <v>1953.17</v>
      </c>
      <c r="G217" s="31">
        <v>1961.87</v>
      </c>
      <c r="H217" s="31">
        <v>1968.17</v>
      </c>
      <c r="I217" s="31">
        <v>1965.54</v>
      </c>
      <c r="J217" s="31">
        <v>1960.68</v>
      </c>
      <c r="K217" s="31">
        <v>1959.03</v>
      </c>
      <c r="L217" s="31">
        <v>1960.99</v>
      </c>
      <c r="M217" s="31">
        <v>1964.59</v>
      </c>
      <c r="N217" s="31">
        <v>1956.12</v>
      </c>
      <c r="O217" s="68">
        <f>IF((N218=""),"",MAX(F219:N219))</f>
        <v>2170.7699999999995</v>
      </c>
      <c r="P217" s="68">
        <f>IF(N218="","",MIN(F219:N219))</f>
        <v>2024.5200000000004</v>
      </c>
      <c r="Q217" s="69">
        <f>IF((N219=""),"",AVERAGE(F219:N219))</f>
        <v>2114.6733333333332</v>
      </c>
      <c r="R217" s="69">
        <f>IF((N218=""),"",(O217-P217)/(O217+P217)*100)</f>
        <v>3.4860522156990119</v>
      </c>
      <c r="S217" s="152">
        <f>STDEV(F219:N219)</f>
        <v>53.788043281011582</v>
      </c>
      <c r="T217" s="162" t="str">
        <f>IF(N218="","",IF(Q217&gt;1940,IF(R217&lt;8.3,IF(Q217&lt;2180,"Pass","Fail"),"Fail"),"Fail"))</f>
        <v>Pass</v>
      </c>
      <c r="U217" s="154">
        <v>121</v>
      </c>
      <c r="V217" s="212"/>
      <c r="W217" s="31" t="s">
        <v>192</v>
      </c>
      <c r="X217" s="155">
        <v>2000</v>
      </c>
      <c r="Y217" s="155">
        <v>3000</v>
      </c>
      <c r="Z217" s="155">
        <v>1940</v>
      </c>
      <c r="AA217" s="155">
        <v>2180</v>
      </c>
      <c r="AC217" s="51">
        <v>5.2</v>
      </c>
    </row>
    <row r="218" spans="1:29" ht="12.75" customHeight="1" x14ac:dyDescent="0.35">
      <c r="A218"/>
      <c r="B218" s="52"/>
      <c r="C218" s="53"/>
      <c r="D218" s="54"/>
      <c r="E218" s="81" t="s">
        <v>187</v>
      </c>
      <c r="F218" s="31">
        <v>1259.8900000000001</v>
      </c>
      <c r="G218" s="31">
        <v>1243.1300000000001</v>
      </c>
      <c r="H218" s="31">
        <v>1247.4000000000001</v>
      </c>
      <c r="I218" s="31">
        <v>1247.23</v>
      </c>
      <c r="J218" s="31">
        <v>1285.8399999999999</v>
      </c>
      <c r="K218" s="31">
        <v>1267.04</v>
      </c>
      <c r="L218" s="31">
        <v>1246.19</v>
      </c>
      <c r="M218" s="31">
        <v>1241</v>
      </c>
      <c r="N218" s="31">
        <v>1268.42</v>
      </c>
      <c r="O218" s="55"/>
      <c r="P218" s="55"/>
      <c r="Q218" s="56"/>
      <c r="R218" s="56"/>
      <c r="S218" s="152"/>
      <c r="T218" s="153"/>
      <c r="U218" s="156"/>
      <c r="V218" s="212"/>
      <c r="W218" s="31"/>
      <c r="X218" s="157"/>
      <c r="Y218" s="157"/>
      <c r="Z218" s="157"/>
      <c r="AA218" s="157"/>
    </row>
    <row r="219" spans="1:29" ht="16.649999999999999" thickBot="1" x14ac:dyDescent="0.4">
      <c r="A219"/>
      <c r="B219" s="70"/>
      <c r="C219" s="71"/>
      <c r="D219" s="72"/>
      <c r="E219" s="85" t="s">
        <v>190</v>
      </c>
      <c r="F219" s="73">
        <f t="shared" ref="F219:N219" si="69">IF(((F217="")*AND(F218="")),"",(F217-F218)*3)</f>
        <v>2079.84</v>
      </c>
      <c r="G219" s="73">
        <f t="shared" si="69"/>
        <v>2156.2199999999993</v>
      </c>
      <c r="H219" s="73">
        <f t="shared" si="69"/>
        <v>2162.31</v>
      </c>
      <c r="I219" s="73">
        <f t="shared" si="69"/>
        <v>2154.9299999999998</v>
      </c>
      <c r="J219" s="73">
        <f t="shared" si="69"/>
        <v>2024.5200000000004</v>
      </c>
      <c r="K219" s="73">
        <f t="shared" si="69"/>
        <v>2075.9700000000003</v>
      </c>
      <c r="L219" s="73">
        <f t="shared" si="69"/>
        <v>2144.3999999999996</v>
      </c>
      <c r="M219" s="73">
        <f t="shared" si="69"/>
        <v>2170.7699999999995</v>
      </c>
      <c r="N219" s="73">
        <f t="shared" si="69"/>
        <v>2063.0999999999995</v>
      </c>
      <c r="O219" s="74"/>
      <c r="P219" s="74"/>
      <c r="Q219" s="75"/>
      <c r="R219" s="75"/>
      <c r="S219" s="152"/>
      <c r="T219" s="163"/>
      <c r="U219" s="164"/>
      <c r="V219" s="212"/>
      <c r="W219" s="31"/>
      <c r="X219" s="157"/>
      <c r="Y219" s="157"/>
      <c r="Z219" s="157"/>
      <c r="AA219" s="157"/>
    </row>
    <row r="220" spans="1:29" x14ac:dyDescent="0.25">
      <c r="A220" s="229">
        <v>43220</v>
      </c>
      <c r="B220" s="258" t="s">
        <v>185</v>
      </c>
      <c r="C220" s="47" t="s">
        <v>173</v>
      </c>
      <c r="D220" s="48" t="s">
        <v>172</v>
      </c>
      <c r="E220" s="79" t="s">
        <v>186</v>
      </c>
      <c r="F220" s="31">
        <v>22737.97</v>
      </c>
      <c r="G220" s="31">
        <v>23274.84</v>
      </c>
      <c r="H220" s="31">
        <v>23468.9</v>
      </c>
      <c r="I220" s="31">
        <v>23308.87</v>
      </c>
      <c r="J220" s="31">
        <v>22755.88</v>
      </c>
      <c r="K220" s="31">
        <v>22820.27</v>
      </c>
      <c r="L220" s="31">
        <v>23307.96</v>
      </c>
      <c r="M220" s="31">
        <v>23251.09</v>
      </c>
      <c r="N220" s="31">
        <v>22613.599999999999</v>
      </c>
      <c r="O220" s="49">
        <f>IF((N221=""),"",MAX(F222:N222))</f>
        <v>4553.9100000000035</v>
      </c>
      <c r="P220" s="49">
        <f>IF(N221="","",MIN(F222:N222))</f>
        <v>3812.7600000000057</v>
      </c>
      <c r="Q220" s="50">
        <f>IF((N222=""),"",AVERAGE(F222:N222))</f>
        <v>4174.2400000000016</v>
      </c>
      <c r="R220" s="50">
        <f>IF((N221=""),"",(O220-P220)/(O220+P220)*100)</f>
        <v>8.8583630046362174</v>
      </c>
      <c r="S220" s="152">
        <f>STDEV(F222:N222)</f>
        <v>296.78276411375452</v>
      </c>
      <c r="T220" s="153" t="str">
        <f>IF(N221="","",IF(R220&lt;16,IF(Q220&gt;3200,IF(R220,IF(Q220&lt;5240,"Pass","Fail"),"Fail"),"Fail")))</f>
        <v>Pass</v>
      </c>
      <c r="U220" s="154"/>
      <c r="V220" s="212"/>
      <c r="W220" s="31"/>
      <c r="X220" s="155">
        <v>4200</v>
      </c>
      <c r="Y220" s="155">
        <v>5500</v>
      </c>
      <c r="Z220" s="155">
        <v>3200</v>
      </c>
      <c r="AA220" s="155">
        <v>5240</v>
      </c>
      <c r="AC220" s="51">
        <v>16</v>
      </c>
    </row>
    <row r="221" spans="1:29" ht="16.100000000000001" x14ac:dyDescent="0.35">
      <c r="A221"/>
      <c r="B221" s="52"/>
      <c r="C221" s="53"/>
      <c r="D221" s="54"/>
      <c r="E221" s="81" t="s">
        <v>187</v>
      </c>
      <c r="F221" s="31">
        <v>21277.71</v>
      </c>
      <c r="G221" s="31">
        <v>21963.78</v>
      </c>
      <c r="H221" s="31">
        <v>22197.98</v>
      </c>
      <c r="I221" s="31">
        <v>21980.240000000002</v>
      </c>
      <c r="J221" s="31">
        <v>21237.91</v>
      </c>
      <c r="K221" s="31">
        <v>21345.94</v>
      </c>
      <c r="L221" s="31">
        <v>21994.27</v>
      </c>
      <c r="M221" s="31">
        <v>21922.28</v>
      </c>
      <c r="N221" s="31">
        <v>21096.55</v>
      </c>
      <c r="O221" s="55"/>
      <c r="P221" s="55"/>
      <c r="Q221" s="56"/>
      <c r="R221" s="56"/>
      <c r="S221" s="152"/>
      <c r="T221" s="153"/>
      <c r="U221" s="156"/>
      <c r="V221" s="212"/>
      <c r="W221" s="31"/>
      <c r="X221" s="157"/>
      <c r="Y221" s="157"/>
      <c r="Z221" s="157"/>
      <c r="AA221" s="157"/>
    </row>
    <row r="222" spans="1:29" ht="22.75" thickBot="1" x14ac:dyDescent="0.4">
      <c r="A222"/>
      <c r="B222" s="57"/>
      <c r="C222" s="58"/>
      <c r="D222" s="59"/>
      <c r="E222" s="81" t="s">
        <v>188</v>
      </c>
      <c r="F222" s="60">
        <f t="shared" ref="F222:N222" si="70">IF(((F220="")*AND(F221="")),"",(F220-F221)*3)</f>
        <v>4380.7800000000061</v>
      </c>
      <c r="G222" s="60">
        <f t="shared" si="70"/>
        <v>3933.1800000000039</v>
      </c>
      <c r="H222" s="60">
        <f t="shared" si="70"/>
        <v>3812.7600000000057</v>
      </c>
      <c r="I222" s="60">
        <f t="shared" si="70"/>
        <v>3985.8899999999921</v>
      </c>
      <c r="J222" s="60">
        <f t="shared" si="70"/>
        <v>4553.9100000000035</v>
      </c>
      <c r="K222" s="60">
        <f t="shared" si="70"/>
        <v>4422.9900000000052</v>
      </c>
      <c r="L222" s="60">
        <f t="shared" si="70"/>
        <v>3941.0699999999961</v>
      </c>
      <c r="M222" s="60">
        <f t="shared" si="70"/>
        <v>3986.4300000000039</v>
      </c>
      <c r="N222" s="60">
        <f t="shared" si="70"/>
        <v>4551.1499999999978</v>
      </c>
      <c r="O222" s="61"/>
      <c r="P222" s="61"/>
      <c r="Q222" s="62"/>
      <c r="R222" s="62"/>
      <c r="S222" s="152"/>
      <c r="T222" s="158"/>
      <c r="U222" s="159"/>
      <c r="V222" s="212"/>
      <c r="W222" s="31"/>
      <c r="X222" s="157"/>
      <c r="Y222" s="157"/>
      <c r="Z222" s="157"/>
      <c r="AA222" s="157"/>
    </row>
    <row r="223" spans="1:29" x14ac:dyDescent="0.25">
      <c r="A223" s="229">
        <v>43220</v>
      </c>
      <c r="B223" s="257" t="s">
        <v>174</v>
      </c>
      <c r="C223" s="53" t="s">
        <v>176</v>
      </c>
      <c r="D223" s="64" t="s">
        <v>175</v>
      </c>
      <c r="E223" s="61" t="s">
        <v>186</v>
      </c>
      <c r="F223" s="31">
        <v>6674.81</v>
      </c>
      <c r="G223" s="31">
        <v>6695.13</v>
      </c>
      <c r="H223" s="31">
        <v>6763.6</v>
      </c>
      <c r="I223" s="31">
        <v>6743.99</v>
      </c>
      <c r="J223" s="31">
        <v>6820.87</v>
      </c>
      <c r="K223" s="31">
        <v>6722.84</v>
      </c>
      <c r="L223" s="31">
        <v>6742.74</v>
      </c>
      <c r="M223" s="31">
        <v>6738.08</v>
      </c>
      <c r="N223" s="31">
        <v>6788.84</v>
      </c>
      <c r="O223" s="55">
        <f>IF((N224=""),"",MAX(F225:N225))</f>
        <v>3988.2800000000007</v>
      </c>
      <c r="P223" s="55">
        <f>IF(N224="","",MIN(F225:N225))</f>
        <v>3749.24</v>
      </c>
      <c r="Q223" s="56">
        <f>IF((N225=""),"",AVERAGE(F225:N225))</f>
        <v>3923.5422222222228</v>
      </c>
      <c r="R223" s="56">
        <f>IF((N224=""),"",(O223-P223)/(O223+P223)*100)</f>
        <v>3.0893619661080147</v>
      </c>
      <c r="S223" s="152">
        <f>STDEV(F225:N225)</f>
        <v>79.444793060618181</v>
      </c>
      <c r="T223" s="153" t="str">
        <f>IF(N224="","",IF(Q223&gt;3650,IF(R223&lt;7,IF(Q223&lt;4450,"Pass","Fail"),"Fail"),"Fail"))</f>
        <v>Pass</v>
      </c>
      <c r="U223" s="154"/>
      <c r="V223" s="212"/>
      <c r="W223" s="31"/>
      <c r="X223" s="155">
        <v>3650</v>
      </c>
      <c r="Y223" s="155">
        <v>4450</v>
      </c>
      <c r="Z223" s="155">
        <v>3700</v>
      </c>
      <c r="AA223" s="155">
        <v>4100</v>
      </c>
      <c r="AB223" s="51">
        <v>7</v>
      </c>
      <c r="AC223" s="51">
        <v>6.5</v>
      </c>
    </row>
    <row r="224" spans="1:29" ht="16.100000000000001" x14ac:dyDescent="0.35">
      <c r="A224"/>
      <c r="B224" s="63"/>
      <c r="C224" s="53"/>
      <c r="D224" s="54"/>
      <c r="E224" s="81" t="s">
        <v>187</v>
      </c>
      <c r="F224" s="31">
        <v>4749.42</v>
      </c>
      <c r="G224" s="31">
        <v>4718.3100000000004</v>
      </c>
      <c r="H224" s="31">
        <v>4771.46</v>
      </c>
      <c r="I224" s="31">
        <v>4756.41</v>
      </c>
      <c r="J224" s="31">
        <v>4873.6499999999996</v>
      </c>
      <c r="K224" s="31">
        <v>4848.22</v>
      </c>
      <c r="L224" s="31">
        <v>4759.54</v>
      </c>
      <c r="M224" s="31">
        <v>4743.9399999999996</v>
      </c>
      <c r="N224" s="31">
        <v>4814.01</v>
      </c>
      <c r="O224" s="55"/>
      <c r="P224" s="55"/>
      <c r="Q224" s="56"/>
      <c r="R224" s="56"/>
      <c r="S224" s="152"/>
      <c r="T224" s="153"/>
      <c r="U224" s="161"/>
      <c r="V224" s="213"/>
      <c r="W224" s="31"/>
      <c r="X224" s="157"/>
      <c r="Y224" s="157"/>
      <c r="Z224" s="157"/>
      <c r="AA224" s="157"/>
    </row>
    <row r="225" spans="1:29" ht="22.75" thickBot="1" x14ac:dyDescent="0.4">
      <c r="A225"/>
      <c r="B225" s="63"/>
      <c r="C225" s="53"/>
      <c r="D225" s="54"/>
      <c r="E225" s="68" t="s">
        <v>188</v>
      </c>
      <c r="F225" s="65">
        <f t="shared" ref="F225:N225" si="71">IF(((F223="")*AND(F224="")),"",(F223-F224)*2)</f>
        <v>3850.7800000000007</v>
      </c>
      <c r="G225" s="65">
        <f t="shared" si="71"/>
        <v>3953.6399999999994</v>
      </c>
      <c r="H225" s="65">
        <f t="shared" si="71"/>
        <v>3984.2800000000007</v>
      </c>
      <c r="I225" s="65">
        <f t="shared" si="71"/>
        <v>3975.16</v>
      </c>
      <c r="J225" s="65">
        <f t="shared" si="71"/>
        <v>3894.4400000000005</v>
      </c>
      <c r="K225" s="65">
        <f t="shared" si="71"/>
        <v>3749.24</v>
      </c>
      <c r="L225" s="65">
        <f t="shared" si="71"/>
        <v>3966.3999999999996</v>
      </c>
      <c r="M225" s="65">
        <f t="shared" si="71"/>
        <v>3988.2800000000007</v>
      </c>
      <c r="N225" s="65">
        <f t="shared" si="71"/>
        <v>3949.66</v>
      </c>
      <c r="O225" s="55"/>
      <c r="P225" s="55"/>
      <c r="Q225" s="56"/>
      <c r="R225" s="56"/>
      <c r="S225" s="152"/>
      <c r="T225" s="153"/>
      <c r="U225" s="161"/>
      <c r="V225" s="213"/>
      <c r="W225" s="31"/>
      <c r="X225" s="157"/>
      <c r="Y225" s="157"/>
      <c r="Z225" s="157"/>
      <c r="AA225" s="157"/>
    </row>
    <row r="226" spans="1:29" x14ac:dyDescent="0.25">
      <c r="A226" s="229">
        <v>43220</v>
      </c>
      <c r="B226" s="257" t="s">
        <v>169</v>
      </c>
      <c r="C226" s="67" t="s">
        <v>171</v>
      </c>
      <c r="D226" s="66" t="s">
        <v>189</v>
      </c>
      <c r="E226" s="81" t="s">
        <v>186</v>
      </c>
      <c r="F226" s="31">
        <v>1897.29</v>
      </c>
      <c r="G226" s="31">
        <v>1920.05</v>
      </c>
      <c r="H226" s="31">
        <v>1919.57</v>
      </c>
      <c r="I226" s="31">
        <v>1919.92</v>
      </c>
      <c r="J226" s="31">
        <v>1916</v>
      </c>
      <c r="K226" s="31">
        <v>1912.88</v>
      </c>
      <c r="L226" s="31">
        <v>1916.93</v>
      </c>
      <c r="M226" s="31">
        <v>1918.73</v>
      </c>
      <c r="N226" s="31">
        <v>1911.24</v>
      </c>
      <c r="O226" s="68">
        <f>IF((N227=""),"",MAX(F228:N228))</f>
        <v>2085.1499999999996</v>
      </c>
      <c r="P226" s="68">
        <f>IF(N227="","",MIN(F228:N228))</f>
        <v>1957.9500000000003</v>
      </c>
      <c r="Q226" s="69">
        <f>IF((N228=""),"",AVERAGE(F228:N228))</f>
        <v>2029.7066666666667</v>
      </c>
      <c r="R226" s="69">
        <f>IF((N227=""),"",(O226-P226)/(O226+P226)*100)</f>
        <v>3.1461007642650287</v>
      </c>
      <c r="S226" s="152">
        <f>STDEV(F228:N228)</f>
        <v>50.587874041117665</v>
      </c>
      <c r="T226" s="162" t="str">
        <f>IF(N227="","",IF(Q226&gt;1940,IF(R226&lt;8.3,IF(Q226&lt;2180,"Pass","Fail"),"Fail"),"Fail"))</f>
        <v>Pass</v>
      </c>
      <c r="U226" s="154"/>
      <c r="V226" s="212"/>
      <c r="W226" s="31"/>
      <c r="X226" s="155">
        <v>2000</v>
      </c>
      <c r="Y226" s="155">
        <v>3000</v>
      </c>
      <c r="Z226" s="155">
        <v>1940</v>
      </c>
      <c r="AA226" s="155">
        <v>2180</v>
      </c>
      <c r="AC226" s="51">
        <v>5.2</v>
      </c>
    </row>
    <row r="227" spans="1:29" ht="16.100000000000001" x14ac:dyDescent="0.35">
      <c r="A227"/>
      <c r="B227" s="52"/>
      <c r="C227" s="53"/>
      <c r="D227" s="54"/>
      <c r="E227" s="81" t="s">
        <v>187</v>
      </c>
      <c r="F227" s="31">
        <v>1241.96</v>
      </c>
      <c r="G227" s="31">
        <v>1228.18</v>
      </c>
      <c r="H227" s="31">
        <v>1231.18</v>
      </c>
      <c r="I227" s="31">
        <v>1228.48</v>
      </c>
      <c r="J227" s="31">
        <v>1263.3499999999999</v>
      </c>
      <c r="K227" s="31">
        <v>1252.19</v>
      </c>
      <c r="L227" s="31">
        <v>1234.48</v>
      </c>
      <c r="M227" s="31">
        <v>1223.68</v>
      </c>
      <c r="N227" s="31">
        <v>1239.99</v>
      </c>
      <c r="O227" s="55"/>
      <c r="P227" s="55"/>
      <c r="Q227" s="56"/>
      <c r="R227" s="56"/>
      <c r="S227" s="152"/>
      <c r="T227" s="153"/>
      <c r="U227" s="156"/>
      <c r="V227" s="212"/>
      <c r="W227" s="31"/>
      <c r="X227" s="157"/>
      <c r="Y227" s="157"/>
      <c r="Z227" s="157"/>
      <c r="AA227" s="157"/>
    </row>
    <row r="228" spans="1:29" ht="16.649999999999999" thickBot="1" x14ac:dyDescent="0.4">
      <c r="A228"/>
      <c r="B228" s="70"/>
      <c r="C228" s="71"/>
      <c r="D228" s="72"/>
      <c r="E228" s="85" t="s">
        <v>190</v>
      </c>
      <c r="F228" s="73">
        <f t="shared" ref="F228:N228" si="72">IF(((F226="")*AND(F227="")),"",(F226-F227)*3)</f>
        <v>1965.9899999999998</v>
      </c>
      <c r="G228" s="73">
        <f t="shared" si="72"/>
        <v>2075.6099999999997</v>
      </c>
      <c r="H228" s="73">
        <f t="shared" si="72"/>
        <v>2065.1699999999996</v>
      </c>
      <c r="I228" s="73">
        <f t="shared" si="72"/>
        <v>2074.3200000000002</v>
      </c>
      <c r="J228" s="73">
        <f t="shared" si="72"/>
        <v>1957.9500000000003</v>
      </c>
      <c r="K228" s="73">
        <f t="shared" si="72"/>
        <v>1982.0700000000002</v>
      </c>
      <c r="L228" s="73">
        <f t="shared" si="72"/>
        <v>2047.3500000000001</v>
      </c>
      <c r="M228" s="73">
        <f t="shared" si="72"/>
        <v>2085.1499999999996</v>
      </c>
      <c r="N228" s="73">
        <f t="shared" si="72"/>
        <v>2013.75</v>
      </c>
      <c r="O228" s="74"/>
      <c r="P228" s="74"/>
      <c r="Q228" s="75"/>
      <c r="R228" s="75"/>
      <c r="S228" s="152"/>
      <c r="T228" s="163"/>
      <c r="U228" s="164"/>
      <c r="V228" s="212"/>
      <c r="W228" s="31"/>
      <c r="X228" s="157"/>
      <c r="Y228" s="157"/>
      <c r="Z228" s="157"/>
      <c r="AA228" s="157"/>
    </row>
    <row r="229" spans="1:29" x14ac:dyDescent="0.25">
      <c r="A229" s="248">
        <v>43224</v>
      </c>
      <c r="B229" s="258" t="s">
        <v>185</v>
      </c>
      <c r="C229" s="47" t="s">
        <v>173</v>
      </c>
      <c r="D229" s="48" t="s">
        <v>172</v>
      </c>
      <c r="E229" s="79" t="s">
        <v>186</v>
      </c>
      <c r="F229" s="31">
        <v>29190.7</v>
      </c>
      <c r="G229" s="31">
        <v>29031.79</v>
      </c>
      <c r="H229" s="31">
        <v>29008.53</v>
      </c>
      <c r="I229" s="31">
        <v>29033.75</v>
      </c>
      <c r="J229" s="31">
        <v>29265</v>
      </c>
      <c r="K229" s="31">
        <v>29159.42</v>
      </c>
      <c r="L229" s="31">
        <v>29014.240000000002</v>
      </c>
      <c r="M229" s="31">
        <v>29035.48</v>
      </c>
      <c r="N229" s="31">
        <v>29277.88</v>
      </c>
      <c r="O229" s="49">
        <f>IF((N230=""),"",MAX(F231:N231))</f>
        <v>4659.3900000000031</v>
      </c>
      <c r="P229" s="49">
        <f>IF(N230="","",MIN(F231:N231))</f>
        <v>4019.3100000000013</v>
      </c>
      <c r="Q229" s="50">
        <f>IF((N231=""),"",AVERAGE(F231:N231))</f>
        <v>4294.1966666666667</v>
      </c>
      <c r="R229" s="50">
        <f>IF((N230=""),"",(O229-P229)/(O229+P229)*100)</f>
        <v>7.3752981437312206</v>
      </c>
      <c r="S229" s="152">
        <f>STDEV(F231:N231)</f>
        <v>254.34448573735693</v>
      </c>
      <c r="T229" s="153" t="str">
        <f>IF(N230="","",IF(R229&lt;16,IF(Q229&gt;3200,IF(R229,IF(Q229&lt;5240,"Pass","Fail"),"Fail"),"Fail")))</f>
        <v>Pass</v>
      </c>
      <c r="U229" s="154">
        <v>1159</v>
      </c>
      <c r="V229" s="31" t="s">
        <v>193</v>
      </c>
      <c r="X229" s="155">
        <v>4200</v>
      </c>
      <c r="Y229" s="155">
        <v>5500</v>
      </c>
      <c r="Z229" s="155">
        <v>3200</v>
      </c>
      <c r="AA229" s="155">
        <v>5240</v>
      </c>
      <c r="AC229" s="51">
        <v>16</v>
      </c>
    </row>
    <row r="230" spans="1:29" ht="16.100000000000001" x14ac:dyDescent="0.35">
      <c r="A230"/>
      <c r="B230" s="52"/>
      <c r="C230" s="53"/>
      <c r="D230" s="54"/>
      <c r="E230" s="81" t="s">
        <v>187</v>
      </c>
      <c r="F230" s="31">
        <v>27652.35</v>
      </c>
      <c r="G230" s="31">
        <v>27640</v>
      </c>
      <c r="H230" s="31">
        <v>27668.76</v>
      </c>
      <c r="I230" s="31">
        <v>27683.24</v>
      </c>
      <c r="J230" s="31">
        <v>27778.5</v>
      </c>
      <c r="K230" s="31">
        <v>27671.29</v>
      </c>
      <c r="L230" s="31">
        <v>27658.04</v>
      </c>
      <c r="M230" s="31">
        <v>27657.27</v>
      </c>
      <c r="N230" s="31">
        <v>27724.75</v>
      </c>
      <c r="O230" s="55"/>
      <c r="P230" s="55"/>
      <c r="Q230" s="56"/>
      <c r="R230" s="56"/>
      <c r="S230" s="152"/>
      <c r="T230" s="153"/>
      <c r="U230" s="156"/>
      <c r="X230" s="157"/>
      <c r="Y230" s="157"/>
      <c r="Z230" s="157"/>
      <c r="AA230" s="157"/>
    </row>
    <row r="231" spans="1:29" ht="22.75" thickBot="1" x14ac:dyDescent="0.4">
      <c r="A231"/>
      <c r="B231" s="57"/>
      <c r="C231" s="58"/>
      <c r="D231" s="59"/>
      <c r="E231" s="81" t="s">
        <v>188</v>
      </c>
      <c r="F231" s="60">
        <f t="shared" ref="F231:N231" si="73">IF(((F229="")*AND(F230="")),"",(F229-F230)*3)</f>
        <v>4615.0500000000065</v>
      </c>
      <c r="G231" s="60">
        <f t="shared" si="73"/>
        <v>4175.3700000000026</v>
      </c>
      <c r="H231" s="60">
        <f t="shared" si="73"/>
        <v>4019.3100000000013</v>
      </c>
      <c r="I231" s="60">
        <f t="shared" si="73"/>
        <v>4051.5299999999952</v>
      </c>
      <c r="J231" s="60">
        <f t="shared" si="73"/>
        <v>4459.5</v>
      </c>
      <c r="K231" s="60">
        <f t="shared" si="73"/>
        <v>4464.3899999999921</v>
      </c>
      <c r="L231" s="60">
        <f t="shared" si="73"/>
        <v>4068.6000000000022</v>
      </c>
      <c r="M231" s="60">
        <f t="shared" si="73"/>
        <v>4134.6299999999974</v>
      </c>
      <c r="N231" s="60">
        <f t="shared" si="73"/>
        <v>4659.3900000000031</v>
      </c>
      <c r="O231" s="61"/>
      <c r="P231" s="61"/>
      <c r="Q231" s="62"/>
      <c r="R231" s="62"/>
      <c r="S231" s="152"/>
      <c r="T231" s="158"/>
      <c r="U231" s="159"/>
      <c r="X231" s="157"/>
      <c r="Y231" s="157"/>
      <c r="Z231" s="157"/>
      <c r="AA231" s="157"/>
    </row>
    <row r="232" spans="1:29" x14ac:dyDescent="0.25">
      <c r="A232" s="248">
        <v>43224</v>
      </c>
      <c r="B232" s="257" t="s">
        <v>174</v>
      </c>
      <c r="C232" s="53" t="s">
        <v>176</v>
      </c>
      <c r="D232" s="64" t="s">
        <v>175</v>
      </c>
      <c r="E232" s="61" t="s">
        <v>186</v>
      </c>
      <c r="F232" s="31">
        <v>4766.8500000000004</v>
      </c>
      <c r="G232" s="31">
        <v>4736.25</v>
      </c>
      <c r="H232" s="31">
        <v>4787.97</v>
      </c>
      <c r="I232" s="31">
        <v>4773.7299999999996</v>
      </c>
      <c r="J232" s="31">
        <v>4884.82</v>
      </c>
      <c r="K232" s="31">
        <v>4861.59</v>
      </c>
      <c r="L232" s="31">
        <v>4776.5200000000004</v>
      </c>
      <c r="M232" s="31">
        <v>4761.55</v>
      </c>
      <c r="N232" s="31">
        <v>4829.58</v>
      </c>
      <c r="O232" s="55">
        <f>IF((N233=""),"",MAX(F234:N234))</f>
        <v>4054.88</v>
      </c>
      <c r="P232" s="55">
        <f>IF(N233="","",MIN(F234:N234))</f>
        <v>3749.9000000000005</v>
      </c>
      <c r="Q232" s="56">
        <f>IF((N234=""),"",AVERAGE(F234:N234))</f>
        <v>3960.9333333333343</v>
      </c>
      <c r="R232" s="56">
        <f>IF((N233=""),"",(O232-P232)/(O232+P232)*100)</f>
        <v>3.9076053392920689</v>
      </c>
      <c r="S232" s="152">
        <f>STDEV(F234:N234)</f>
        <v>103.92545742021062</v>
      </c>
      <c r="T232" s="153" t="str">
        <f>IF(N233="","",IF(Q232&gt;3650,IF(R232&lt;7,IF(Q232&lt;4450,"Pass","Fail"),"Fail"),"Fail"))</f>
        <v>Pass</v>
      </c>
      <c r="U232" s="154">
        <v>1159</v>
      </c>
      <c r="V232" s="31" t="s">
        <v>193</v>
      </c>
      <c r="X232" s="155">
        <v>3650</v>
      </c>
      <c r="Y232" s="155">
        <v>4450</v>
      </c>
      <c r="Z232" s="155">
        <v>3700</v>
      </c>
      <c r="AA232" s="155">
        <v>4100</v>
      </c>
      <c r="AB232" s="51">
        <v>7</v>
      </c>
      <c r="AC232" s="51">
        <v>6.5</v>
      </c>
    </row>
    <row r="233" spans="1:29" ht="16.100000000000001" x14ac:dyDescent="0.35">
      <c r="A233"/>
      <c r="B233" s="63"/>
      <c r="C233" s="53"/>
      <c r="D233" s="54"/>
      <c r="E233" s="81" t="s">
        <v>187</v>
      </c>
      <c r="F233" s="31">
        <v>2827.07</v>
      </c>
      <c r="G233" s="31">
        <v>2727.89</v>
      </c>
      <c r="H233" s="31">
        <v>2767.06</v>
      </c>
      <c r="I233" s="31">
        <v>2756.47</v>
      </c>
      <c r="J233" s="31">
        <v>2946.76</v>
      </c>
      <c r="K233" s="31">
        <v>2986.64</v>
      </c>
      <c r="L233" s="31">
        <v>2764.14</v>
      </c>
      <c r="M233" s="31">
        <v>2734.11</v>
      </c>
      <c r="N233" s="31">
        <v>2844.52</v>
      </c>
      <c r="O233" s="55"/>
      <c r="P233" s="55"/>
      <c r="Q233" s="56"/>
      <c r="R233" s="56"/>
      <c r="S233" s="152"/>
      <c r="T233" s="153"/>
      <c r="U233" s="161"/>
      <c r="X233" s="157"/>
      <c r="Y233" s="157"/>
      <c r="Z233" s="157"/>
      <c r="AA233" s="157"/>
    </row>
    <row r="234" spans="1:29" ht="22.75" thickBot="1" x14ac:dyDescent="0.4">
      <c r="A234"/>
      <c r="B234" s="63"/>
      <c r="C234" s="53"/>
      <c r="D234" s="54"/>
      <c r="E234" s="68" t="s">
        <v>188</v>
      </c>
      <c r="F234" s="65">
        <f t="shared" ref="F234:N234" si="74">IF(((F232="")*AND(F233="")),"",(F232-F233)*2)</f>
        <v>3879.5600000000004</v>
      </c>
      <c r="G234" s="65">
        <f t="shared" si="74"/>
        <v>4016.7200000000003</v>
      </c>
      <c r="H234" s="65">
        <f t="shared" si="74"/>
        <v>4041.8200000000006</v>
      </c>
      <c r="I234" s="65">
        <f t="shared" si="74"/>
        <v>4034.5199999999995</v>
      </c>
      <c r="J234" s="65">
        <f t="shared" si="74"/>
        <v>3876.119999999999</v>
      </c>
      <c r="K234" s="65">
        <f t="shared" si="74"/>
        <v>3749.9000000000005</v>
      </c>
      <c r="L234" s="65">
        <f t="shared" si="74"/>
        <v>4024.7600000000011</v>
      </c>
      <c r="M234" s="65">
        <f t="shared" si="74"/>
        <v>4054.88</v>
      </c>
      <c r="N234" s="65">
        <f t="shared" si="74"/>
        <v>3970.12</v>
      </c>
      <c r="O234" s="55"/>
      <c r="P234" s="55"/>
      <c r="Q234" s="56"/>
      <c r="R234" s="56"/>
      <c r="S234" s="152"/>
      <c r="T234" s="153"/>
      <c r="U234" s="161"/>
      <c r="X234" s="157"/>
      <c r="Y234" s="157"/>
      <c r="Z234" s="157"/>
      <c r="AA234" s="157"/>
    </row>
    <row r="235" spans="1:29" x14ac:dyDescent="0.25">
      <c r="A235" s="248">
        <v>43224</v>
      </c>
      <c r="B235" s="257" t="s">
        <v>169</v>
      </c>
      <c r="C235" s="67" t="s">
        <v>171</v>
      </c>
      <c r="D235" s="66" t="s">
        <v>189</v>
      </c>
      <c r="E235" s="81" t="s">
        <v>186</v>
      </c>
      <c r="F235" s="31">
        <v>1244.54</v>
      </c>
      <c r="G235" s="31">
        <v>1230.57</v>
      </c>
      <c r="H235" s="31">
        <v>1233.68</v>
      </c>
      <c r="I235" s="31">
        <v>1231.43</v>
      </c>
      <c r="J235" s="31">
        <v>1266.32</v>
      </c>
      <c r="K235" s="31">
        <v>1256.6099999999999</v>
      </c>
      <c r="L235" s="31">
        <v>1236.9100000000001</v>
      </c>
      <c r="M235" s="31">
        <v>1224.79</v>
      </c>
      <c r="N235" s="31">
        <v>1242.81</v>
      </c>
      <c r="O235" s="68">
        <f>IF((N236=""),"",MAX(F237:N237))</f>
        <v>2126.79</v>
      </c>
      <c r="P235" s="68">
        <f>IF(N236="","",MIN(F237:N237))</f>
        <v>1920.3899999999996</v>
      </c>
      <c r="Q235" s="69">
        <f>IF((N237=""),"",AVERAGE(F237:N237))</f>
        <v>2064.5299999999997</v>
      </c>
      <c r="R235" s="69">
        <f>IF((N236=""),"",(O235-P235)/(O235+P235)*100)</f>
        <v>5.0998473010837264</v>
      </c>
      <c r="S235" s="152">
        <f>STDEV(F237:N237)</f>
        <v>75.123369533055566</v>
      </c>
      <c r="T235" s="162" t="str">
        <f>IF(N236="","",IF(Q235&gt;1940,IF(R235&lt;8.3,IF(Q235&lt;2180,"Pass","Fail"),"Fail"),"Fail"))</f>
        <v>Pass</v>
      </c>
      <c r="U235" s="154">
        <v>1159</v>
      </c>
      <c r="V235" s="31" t="s">
        <v>193</v>
      </c>
      <c r="X235" s="155">
        <v>2000</v>
      </c>
      <c r="Y235" s="155">
        <v>3000</v>
      </c>
      <c r="Z235" s="155">
        <v>1940</v>
      </c>
      <c r="AA235" s="155">
        <v>2180</v>
      </c>
      <c r="AC235" s="51">
        <v>5.2</v>
      </c>
    </row>
    <row r="236" spans="1:29" ht="16.100000000000001" x14ac:dyDescent="0.35">
      <c r="A236"/>
      <c r="B236" s="52"/>
      <c r="C236" s="53"/>
      <c r="D236" s="54"/>
      <c r="E236" s="81" t="s">
        <v>187</v>
      </c>
      <c r="F236" s="31">
        <v>558.58000000000004</v>
      </c>
      <c r="G236" s="31">
        <v>521.65</v>
      </c>
      <c r="H236" s="31">
        <v>527.51</v>
      </c>
      <c r="I236" s="31">
        <v>527.63</v>
      </c>
      <c r="J236" s="31">
        <v>626.19000000000005</v>
      </c>
      <c r="K236" s="31">
        <v>599.29</v>
      </c>
      <c r="L236" s="31">
        <v>533.4</v>
      </c>
      <c r="M236" s="31">
        <v>515.86</v>
      </c>
      <c r="N236" s="31">
        <v>563.96</v>
      </c>
      <c r="O236" s="55"/>
      <c r="P236" s="55"/>
      <c r="Q236" s="56"/>
      <c r="R236" s="56"/>
      <c r="S236" s="152"/>
      <c r="T236" s="153"/>
      <c r="U236" s="156"/>
      <c r="X236" s="157"/>
      <c r="Y236" s="157"/>
      <c r="Z236" s="157"/>
      <c r="AA236" s="157"/>
    </row>
    <row r="237" spans="1:29" ht="16.649999999999999" thickBot="1" x14ac:dyDescent="0.4">
      <c r="A237"/>
      <c r="B237" s="70"/>
      <c r="C237" s="71"/>
      <c r="D237" s="72"/>
      <c r="E237" s="85" t="s">
        <v>190</v>
      </c>
      <c r="F237" s="73">
        <f t="shared" ref="F237:N237" si="75">IF(((F235="")*AND(F236="")),"",(F235-F236)*3)</f>
        <v>2057.8799999999997</v>
      </c>
      <c r="G237" s="73">
        <f t="shared" si="75"/>
        <v>2126.7599999999998</v>
      </c>
      <c r="H237" s="73">
        <f t="shared" si="75"/>
        <v>2118.5100000000002</v>
      </c>
      <c r="I237" s="73">
        <f t="shared" si="75"/>
        <v>2111.4</v>
      </c>
      <c r="J237" s="73">
        <f t="shared" si="75"/>
        <v>1920.3899999999996</v>
      </c>
      <c r="K237" s="73">
        <f t="shared" si="75"/>
        <v>1971.9599999999998</v>
      </c>
      <c r="L237" s="73">
        <f t="shared" si="75"/>
        <v>2110.5300000000002</v>
      </c>
      <c r="M237" s="73">
        <f t="shared" si="75"/>
        <v>2126.79</v>
      </c>
      <c r="N237" s="73">
        <f t="shared" si="75"/>
        <v>2036.5499999999997</v>
      </c>
      <c r="O237" s="74"/>
      <c r="P237" s="74"/>
      <c r="Q237" s="75"/>
      <c r="R237" s="75"/>
      <c r="S237" s="152"/>
      <c r="T237" s="163"/>
      <c r="U237" s="164"/>
      <c r="X237" s="157"/>
      <c r="Y237" s="157"/>
      <c r="Z237" s="157"/>
      <c r="AA237" s="157"/>
    </row>
    <row r="238" spans="1:29" x14ac:dyDescent="0.25">
      <c r="A238" s="248">
        <v>43227</v>
      </c>
      <c r="B238" s="258" t="s">
        <v>185</v>
      </c>
      <c r="C238" s="47" t="s">
        <v>173</v>
      </c>
      <c r="D238" s="48" t="s">
        <v>172</v>
      </c>
      <c r="E238" s="79" t="s">
        <v>186</v>
      </c>
      <c r="F238" s="31">
        <v>29011.78</v>
      </c>
      <c r="G238" s="31">
        <v>28861.73</v>
      </c>
      <c r="H238" s="31">
        <v>28932.7</v>
      </c>
      <c r="I238" s="31">
        <v>28896.83</v>
      </c>
      <c r="J238" s="31">
        <v>29018.63</v>
      </c>
      <c r="K238" s="31">
        <v>28907.61</v>
      </c>
      <c r="L238" s="31">
        <v>28865.71</v>
      </c>
      <c r="M238" s="31">
        <v>28869.32</v>
      </c>
      <c r="N238" s="31">
        <v>29032.83</v>
      </c>
      <c r="O238" s="49">
        <f>IF((N239=""),"",MAX(F240:N240))</f>
        <v>4587.7200000000048</v>
      </c>
      <c r="P238" s="49">
        <f>IF(N239="","",MIN(F240:N240))</f>
        <v>4052.4900000000052</v>
      </c>
      <c r="Q238" s="50">
        <f>IF((N240=""),"",AVERAGE(F240:N240))</f>
        <v>4305.7266666666656</v>
      </c>
      <c r="R238" s="50">
        <f>IF((N239=""),"",(O238-P238)/(O238+P238)*100)</f>
        <v>6.1946411024731916</v>
      </c>
      <c r="S238" s="152">
        <f>STDEV(F240:N240)</f>
        <v>232.4621034168793</v>
      </c>
      <c r="T238" s="153" t="str">
        <f>IF(N239="","",IF(R238&lt;16,IF(Q238&gt;3200,IF(R238,IF(Q238&lt;5240,"Pass","Fail"),"Fail"),"Fail")))</f>
        <v>Pass</v>
      </c>
      <c r="U238" s="154" t="s">
        <v>194</v>
      </c>
      <c r="V238" s="212"/>
      <c r="W238" s="31"/>
      <c r="X238" s="155">
        <v>4200</v>
      </c>
      <c r="Y238" s="155">
        <v>5500</v>
      </c>
      <c r="Z238" s="155">
        <v>3200</v>
      </c>
      <c r="AA238" s="155">
        <v>5240</v>
      </c>
      <c r="AC238" s="51">
        <v>16</v>
      </c>
    </row>
    <row r="239" spans="1:29" ht="16.100000000000001" x14ac:dyDescent="0.35">
      <c r="A239"/>
      <c r="B239" s="52"/>
      <c r="C239" s="53"/>
      <c r="D239" s="54"/>
      <c r="E239" s="81" t="s">
        <v>187</v>
      </c>
      <c r="F239" s="31">
        <v>27522.33</v>
      </c>
      <c r="G239" s="31">
        <v>27485.74</v>
      </c>
      <c r="H239" s="31">
        <v>27581.87</v>
      </c>
      <c r="I239" s="31">
        <v>27513.33</v>
      </c>
      <c r="J239" s="31">
        <v>27504.86</v>
      </c>
      <c r="K239" s="31">
        <v>27380.58</v>
      </c>
      <c r="L239" s="31">
        <v>27472.32</v>
      </c>
      <c r="M239" s="31">
        <v>27515.34</v>
      </c>
      <c r="N239" s="31">
        <v>27503.59</v>
      </c>
      <c r="O239" s="55"/>
      <c r="P239" s="55"/>
      <c r="Q239" s="56"/>
      <c r="R239" s="56"/>
      <c r="S239" s="152"/>
      <c r="T239" s="153"/>
      <c r="U239" s="156"/>
      <c r="V239" s="212"/>
      <c r="W239" s="31"/>
      <c r="X239" s="157"/>
      <c r="Y239" s="157"/>
      <c r="Z239" s="157"/>
      <c r="AA239" s="157"/>
    </row>
    <row r="240" spans="1:29" ht="22.75" thickBot="1" x14ac:dyDescent="0.4">
      <c r="A240"/>
      <c r="B240" s="57"/>
      <c r="C240" s="58"/>
      <c r="D240" s="59"/>
      <c r="E240" s="81" t="s">
        <v>188</v>
      </c>
      <c r="F240" s="60">
        <f t="shared" ref="F240:N240" si="76">IF(((F238="")*AND(F239="")),"",(F238-F239)*3)</f>
        <v>4468.3499999999913</v>
      </c>
      <c r="G240" s="60">
        <f t="shared" si="76"/>
        <v>4127.9699999999939</v>
      </c>
      <c r="H240" s="60">
        <f t="shared" si="76"/>
        <v>4052.4900000000052</v>
      </c>
      <c r="I240" s="60">
        <f t="shared" si="76"/>
        <v>4150.5</v>
      </c>
      <c r="J240" s="60">
        <f t="shared" si="76"/>
        <v>4541.3100000000013</v>
      </c>
      <c r="K240" s="60">
        <f t="shared" si="76"/>
        <v>4581.0899999999965</v>
      </c>
      <c r="L240" s="60">
        <f t="shared" si="76"/>
        <v>4180.1699999999983</v>
      </c>
      <c r="M240" s="60">
        <f t="shared" si="76"/>
        <v>4061.9399999999987</v>
      </c>
      <c r="N240" s="60">
        <f t="shared" si="76"/>
        <v>4587.7200000000048</v>
      </c>
      <c r="O240" s="61"/>
      <c r="P240" s="61"/>
      <c r="Q240" s="62"/>
      <c r="R240" s="62"/>
      <c r="S240" s="173"/>
      <c r="T240" s="158"/>
      <c r="U240" s="159"/>
      <c r="V240" s="212"/>
      <c r="W240" s="31"/>
      <c r="X240" s="157"/>
      <c r="Y240" s="157"/>
      <c r="Z240" s="157"/>
      <c r="AA240" s="157"/>
    </row>
    <row r="241" spans="1:29" x14ac:dyDescent="0.25">
      <c r="A241" s="248">
        <v>43227</v>
      </c>
      <c r="B241" s="257" t="s">
        <v>174</v>
      </c>
      <c r="C241" s="53" t="s">
        <v>176</v>
      </c>
      <c r="D241" s="64" t="s">
        <v>175</v>
      </c>
      <c r="E241" s="61" t="s">
        <v>186</v>
      </c>
      <c r="F241" s="31">
        <v>6822.34</v>
      </c>
      <c r="G241" s="31">
        <v>6816.37</v>
      </c>
      <c r="H241" s="31">
        <v>6884.97</v>
      </c>
      <c r="I241" s="31">
        <v>6861.31</v>
      </c>
      <c r="J241" s="31">
        <v>6992.8</v>
      </c>
      <c r="K241" s="31">
        <v>6904.45</v>
      </c>
      <c r="L241" s="31">
        <v>6865.48</v>
      </c>
      <c r="M241" s="31">
        <v>6856.36</v>
      </c>
      <c r="N241" s="31">
        <v>6941.24</v>
      </c>
      <c r="O241" s="55">
        <f>IF((N242=""),"",MAX(F243:N243))</f>
        <v>4057.6799999999985</v>
      </c>
      <c r="P241" s="55">
        <f>IF(N242="","",MIN(F243:N243))</f>
        <v>3767.0399999999991</v>
      </c>
      <c r="Q241" s="56">
        <f>IF((N243=""),"",AVERAGE(F243:N243))</f>
        <v>3966.8777777777786</v>
      </c>
      <c r="R241" s="56">
        <f>IF((N242=""),"",(O241-P241)/(O241+P241)*100)</f>
        <v>3.7143821120755698</v>
      </c>
      <c r="S241" s="152">
        <f>STDEV(F243:N243)</f>
        <v>96.126456527037547</v>
      </c>
      <c r="T241" s="153" t="str">
        <f>IF(N242="","",IF(Q241&gt;3650,IF(R241&lt;7,IF(Q241&lt;4450,"Pass","Fail"),"Fail"),"Fail"))</f>
        <v>Pass</v>
      </c>
      <c r="U241" s="154"/>
      <c r="V241" s="212"/>
      <c r="W241" s="31"/>
      <c r="X241" s="155">
        <v>3650</v>
      </c>
      <c r="Y241" s="155">
        <v>4450</v>
      </c>
      <c r="Z241" s="155">
        <v>3700</v>
      </c>
      <c r="AA241" s="155">
        <v>4100</v>
      </c>
      <c r="AB241" s="51">
        <v>7</v>
      </c>
      <c r="AC241" s="51">
        <v>6.5</v>
      </c>
    </row>
    <row r="242" spans="1:29" ht="16.100000000000001" x14ac:dyDescent="0.35">
      <c r="A242"/>
      <c r="B242" s="63"/>
      <c r="C242" s="53"/>
      <c r="D242" s="54"/>
      <c r="E242" s="81" t="s">
        <v>187</v>
      </c>
      <c r="F242" s="31">
        <v>4878.49</v>
      </c>
      <c r="G242" s="31">
        <v>4812.32</v>
      </c>
      <c r="H242" s="31">
        <v>4862.92</v>
      </c>
      <c r="I242" s="31">
        <v>4848.26</v>
      </c>
      <c r="J242" s="31">
        <v>5044.38</v>
      </c>
      <c r="K242" s="31">
        <v>5020.93</v>
      </c>
      <c r="L242" s="31">
        <v>4857.55</v>
      </c>
      <c r="M242" s="31">
        <v>4827.5200000000004</v>
      </c>
      <c r="N242" s="31">
        <v>4942</v>
      </c>
      <c r="O242" s="55"/>
      <c r="P242" s="55"/>
      <c r="Q242" s="56"/>
      <c r="R242" s="56"/>
      <c r="S242" s="152"/>
      <c r="T242" s="153"/>
      <c r="U242" s="161" t="s">
        <v>194</v>
      </c>
      <c r="V242" s="213"/>
      <c r="W242" s="31"/>
      <c r="X242" s="157"/>
      <c r="Y242" s="157"/>
      <c r="Z242" s="157"/>
      <c r="AA242" s="157"/>
    </row>
    <row r="243" spans="1:29" ht="22.75" thickBot="1" x14ac:dyDescent="0.4">
      <c r="A243"/>
      <c r="B243" s="63"/>
      <c r="C243" s="53"/>
      <c r="D243" s="54"/>
      <c r="E243" s="68" t="s">
        <v>188</v>
      </c>
      <c r="F243" s="65">
        <f t="shared" ref="F243:N243" si="77">IF(((F241="")*AND(F242="")),"",(F241-F242)*2)</f>
        <v>3887.7000000000007</v>
      </c>
      <c r="G243" s="65">
        <f t="shared" si="77"/>
        <v>4008.1000000000004</v>
      </c>
      <c r="H243" s="65">
        <f t="shared" si="77"/>
        <v>4044.1000000000004</v>
      </c>
      <c r="I243" s="65">
        <f t="shared" si="77"/>
        <v>4026.1000000000004</v>
      </c>
      <c r="J243" s="65">
        <f t="shared" si="77"/>
        <v>3896.84</v>
      </c>
      <c r="K243" s="65">
        <f t="shared" si="77"/>
        <v>3767.0399999999991</v>
      </c>
      <c r="L243" s="65">
        <f t="shared" si="77"/>
        <v>4015.8599999999988</v>
      </c>
      <c r="M243" s="65">
        <f t="shared" si="77"/>
        <v>4057.6799999999985</v>
      </c>
      <c r="N243" s="65">
        <f t="shared" si="77"/>
        <v>3998.4799999999996</v>
      </c>
      <c r="O243" s="55"/>
      <c r="P243" s="55"/>
      <c r="Q243" s="56"/>
      <c r="R243" s="56"/>
      <c r="S243" s="152"/>
      <c r="T243" s="153"/>
      <c r="U243" s="161"/>
      <c r="V243" s="213"/>
      <c r="W243" s="31"/>
      <c r="X243" s="157"/>
      <c r="Y243" s="157"/>
      <c r="Z243" s="157"/>
      <c r="AA243" s="157"/>
    </row>
    <row r="244" spans="1:29" x14ac:dyDescent="0.25">
      <c r="A244" s="248">
        <v>43227</v>
      </c>
      <c r="B244" s="257" t="s">
        <v>169</v>
      </c>
      <c r="C244" s="67" t="s">
        <v>171</v>
      </c>
      <c r="D244" s="66" t="s">
        <v>189</v>
      </c>
      <c r="E244" s="81" t="s">
        <v>186</v>
      </c>
      <c r="F244" s="31">
        <v>1933.24</v>
      </c>
      <c r="G244" s="31">
        <v>1938.35</v>
      </c>
      <c r="H244" s="31">
        <v>1944.65</v>
      </c>
      <c r="I244" s="31">
        <v>1940.78</v>
      </c>
      <c r="J244" s="31">
        <v>1937.24</v>
      </c>
      <c r="K244" s="31">
        <v>1934.04</v>
      </c>
      <c r="L244" s="31">
        <v>1940.9</v>
      </c>
      <c r="M244" s="31">
        <v>1940.78</v>
      </c>
      <c r="N244" s="31">
        <v>1937.57</v>
      </c>
      <c r="O244" s="68">
        <f>IF((N245=""),"",MAX(F246:N246))</f>
        <v>2113.6799999999998</v>
      </c>
      <c r="P244" s="68">
        <f>IF(N245="","",MIN(F246:N246))</f>
        <v>1944.06</v>
      </c>
      <c r="Q244" s="69">
        <f>IF((N246=""),"",AVERAGE(F246:N246))</f>
        <v>2050.2133333333331</v>
      </c>
      <c r="R244" s="69">
        <f>IF((N245=""),"",(O244-P244)/(O244+P244)*100)</f>
        <v>4.1801593990743591</v>
      </c>
      <c r="S244" s="152">
        <f>STDEV(F246:N246)</f>
        <v>65.841542926939397</v>
      </c>
      <c r="T244" s="162" t="str">
        <f>IF(N245="","",IF(Q244&gt;1940,IF(R244&lt;8.3,IF(Q244&lt;2180,"Pass","Fail"),"Fail"),"Fail"))</f>
        <v>Pass</v>
      </c>
      <c r="U244" s="154"/>
      <c r="V244" s="212"/>
      <c r="W244" s="31"/>
      <c r="X244" s="155">
        <v>2000</v>
      </c>
      <c r="Y244" s="155">
        <v>3000</v>
      </c>
      <c r="Z244" s="155">
        <v>1940</v>
      </c>
      <c r="AA244" s="155">
        <v>2180</v>
      </c>
      <c r="AC244" s="51">
        <v>5.2</v>
      </c>
    </row>
    <row r="245" spans="1:29" ht="16.100000000000001" x14ac:dyDescent="0.35">
      <c r="A245"/>
      <c r="B245" s="52"/>
      <c r="C245" s="53"/>
      <c r="D245" s="54"/>
      <c r="E245" s="81" t="s">
        <v>187</v>
      </c>
      <c r="F245" s="31">
        <v>1257.22</v>
      </c>
      <c r="G245" s="31">
        <v>1236.8900000000001</v>
      </c>
      <c r="H245" s="31">
        <v>1243.31</v>
      </c>
      <c r="I245" s="31">
        <v>1244.25</v>
      </c>
      <c r="J245" s="31">
        <v>1289.22</v>
      </c>
      <c r="K245" s="31">
        <v>1282.02</v>
      </c>
      <c r="L245" s="31">
        <v>1243.58</v>
      </c>
      <c r="M245" s="31">
        <v>1236.22</v>
      </c>
      <c r="N245" s="31">
        <v>1264.2</v>
      </c>
      <c r="O245" s="55"/>
      <c r="P245" s="55"/>
      <c r="Q245" s="56"/>
      <c r="R245" s="56"/>
      <c r="S245" s="152"/>
      <c r="T245" s="153"/>
      <c r="U245" s="156" t="s">
        <v>194</v>
      </c>
      <c r="V245" s="212"/>
      <c r="W245" s="31"/>
      <c r="X245" s="157"/>
      <c r="Y245" s="157"/>
      <c r="Z245" s="157"/>
      <c r="AA245" s="157"/>
    </row>
    <row r="246" spans="1:29" ht="16.649999999999999" thickBot="1" x14ac:dyDescent="0.4">
      <c r="A246"/>
      <c r="B246" s="70"/>
      <c r="C246" s="71"/>
      <c r="D246" s="72"/>
      <c r="E246" s="85" t="s">
        <v>190</v>
      </c>
      <c r="F246" s="73">
        <f t="shared" ref="F246:N246" si="78">IF(((F244="")*AND(F245="")),"",(F244-F245)*3)</f>
        <v>2028.06</v>
      </c>
      <c r="G246" s="73">
        <f t="shared" si="78"/>
        <v>2104.3799999999992</v>
      </c>
      <c r="H246" s="73">
        <f t="shared" si="78"/>
        <v>2104.0200000000004</v>
      </c>
      <c r="I246" s="73">
        <f t="shared" si="78"/>
        <v>2089.59</v>
      </c>
      <c r="J246" s="73">
        <f t="shared" si="78"/>
        <v>1944.06</v>
      </c>
      <c r="K246" s="73">
        <f t="shared" si="78"/>
        <v>1956.06</v>
      </c>
      <c r="L246" s="73">
        <f t="shared" si="78"/>
        <v>2091.9600000000005</v>
      </c>
      <c r="M246" s="73">
        <f t="shared" si="78"/>
        <v>2113.6799999999998</v>
      </c>
      <c r="N246" s="73">
        <f t="shared" si="78"/>
        <v>2020.1099999999997</v>
      </c>
      <c r="O246" s="74"/>
      <c r="P246" s="74"/>
      <c r="Q246" s="75"/>
      <c r="R246" s="75"/>
      <c r="S246" s="172"/>
      <c r="T246" s="163"/>
      <c r="U246" s="164"/>
      <c r="V246" s="212"/>
      <c r="W246" s="31"/>
      <c r="X246" s="157"/>
      <c r="Y246" s="157"/>
      <c r="Z246" s="157"/>
      <c r="AA246" s="157"/>
    </row>
    <row r="247" spans="1:29" x14ac:dyDescent="0.25">
      <c r="A247" s="248">
        <v>43230</v>
      </c>
      <c r="B247" s="258" t="s">
        <v>185</v>
      </c>
      <c r="C247" s="47" t="s">
        <v>173</v>
      </c>
      <c r="D247" s="48" t="s">
        <v>172</v>
      </c>
      <c r="E247" s="79" t="s">
        <v>186</v>
      </c>
      <c r="F247" s="31">
        <v>27488.76</v>
      </c>
      <c r="G247" s="31">
        <v>27506.080000000002</v>
      </c>
      <c r="H247" s="31">
        <v>27584.39</v>
      </c>
      <c r="I247" s="31">
        <v>27474.07</v>
      </c>
      <c r="J247" s="31">
        <v>27452.87</v>
      </c>
      <c r="K247" s="31">
        <v>27393.52</v>
      </c>
      <c r="L247" s="31">
        <v>27482.34</v>
      </c>
      <c r="M247" s="31">
        <v>27485.79</v>
      </c>
      <c r="N247" s="31">
        <v>27488.11</v>
      </c>
      <c r="O247" s="49">
        <f>IF((N248=""),"",MAX(F249:N249))</f>
        <v>4449.3900000000031</v>
      </c>
      <c r="P247" s="49">
        <f>IF(N248="","",MIN(F249:N249))</f>
        <v>3864.5699999999961</v>
      </c>
      <c r="Q247" s="50">
        <f>IF((N249=""),"",AVERAGE(F249:N249))</f>
        <v>4107.1833333333343</v>
      </c>
      <c r="R247" s="50">
        <f>IF((N248=""),"",(O247-P247)/(O247+P247)*100)</f>
        <v>7.0341930921006002</v>
      </c>
      <c r="S247" s="152">
        <f>STDEV(F249:N249)</f>
        <v>223.23718664236995</v>
      </c>
      <c r="T247" s="153" t="str">
        <f>IF(N248="","",IF(R247&lt;16,IF(Q247&gt;3200,IF(R247,IF(Q247&lt;5240,"Pass","Fail"),"Fail"),"Fail")))</f>
        <v>Pass</v>
      </c>
      <c r="U247" s="154">
        <v>1335</v>
      </c>
      <c r="V247" s="212"/>
      <c r="W247" s="31"/>
      <c r="X247" s="155">
        <v>4200</v>
      </c>
      <c r="Y247" s="155">
        <v>5500</v>
      </c>
      <c r="Z247" s="155">
        <v>3200</v>
      </c>
      <c r="AA247" s="155">
        <v>5240</v>
      </c>
      <c r="AC247" s="51">
        <v>16</v>
      </c>
    </row>
    <row r="248" spans="1:29" ht="16.100000000000001" x14ac:dyDescent="0.35">
      <c r="A248"/>
      <c r="B248" s="52"/>
      <c r="C248" s="53"/>
      <c r="D248" s="54"/>
      <c r="E248" s="81" t="s">
        <v>187</v>
      </c>
      <c r="F248" s="31">
        <v>26061.73</v>
      </c>
      <c r="G248" s="31">
        <v>26183.1</v>
      </c>
      <c r="H248" s="31">
        <v>26296.2</v>
      </c>
      <c r="I248" s="31">
        <v>26164.15</v>
      </c>
      <c r="J248" s="31">
        <v>26006.55</v>
      </c>
      <c r="K248" s="31">
        <v>25971.67</v>
      </c>
      <c r="L248" s="31">
        <v>26159.41</v>
      </c>
      <c r="M248" s="31">
        <v>26186.59</v>
      </c>
      <c r="N248" s="31">
        <v>26004.98</v>
      </c>
      <c r="O248" s="55"/>
      <c r="P248" s="55"/>
      <c r="Q248" s="56"/>
      <c r="R248" s="56"/>
      <c r="S248" s="152"/>
      <c r="T248" s="153"/>
      <c r="U248" s="156"/>
      <c r="V248" s="212"/>
      <c r="W248" s="31"/>
      <c r="X248" s="157"/>
      <c r="Y248" s="157"/>
      <c r="Z248" s="157"/>
      <c r="AA248" s="157"/>
    </row>
    <row r="249" spans="1:29" ht="22.75" thickBot="1" x14ac:dyDescent="0.4">
      <c r="A249"/>
      <c r="B249" s="57"/>
      <c r="C249" s="58"/>
      <c r="D249" s="59"/>
      <c r="E249" s="81" t="s">
        <v>188</v>
      </c>
      <c r="F249" s="60">
        <f t="shared" ref="F249:N249" si="79">IF(((F247="")*AND(F248="")),"",(F247-F248)*3)</f>
        <v>4281.0899999999965</v>
      </c>
      <c r="G249" s="60">
        <f t="shared" si="79"/>
        <v>3968.9400000000096</v>
      </c>
      <c r="H249" s="60">
        <f t="shared" si="79"/>
        <v>3864.5699999999961</v>
      </c>
      <c r="I249" s="60">
        <f t="shared" si="79"/>
        <v>3929.7599999999948</v>
      </c>
      <c r="J249" s="60">
        <f t="shared" si="79"/>
        <v>4338.9599999999991</v>
      </c>
      <c r="K249" s="60">
        <f t="shared" si="79"/>
        <v>4265.5500000000065</v>
      </c>
      <c r="L249" s="60">
        <f t="shared" si="79"/>
        <v>3968.7900000000009</v>
      </c>
      <c r="M249" s="60">
        <f t="shared" si="79"/>
        <v>3897.6000000000022</v>
      </c>
      <c r="N249" s="60">
        <f t="shared" si="79"/>
        <v>4449.3900000000031</v>
      </c>
      <c r="O249" s="61"/>
      <c r="P249" s="61"/>
      <c r="Q249" s="62"/>
      <c r="R249" s="62"/>
      <c r="S249" s="173"/>
      <c r="T249" s="158"/>
      <c r="U249" s="159"/>
      <c r="V249" s="212"/>
      <c r="W249" s="31"/>
      <c r="X249" s="157"/>
      <c r="Y249" s="157"/>
      <c r="Z249" s="157"/>
      <c r="AA249" s="157"/>
    </row>
    <row r="250" spans="1:29" x14ac:dyDescent="0.25">
      <c r="A250" s="248">
        <v>43230</v>
      </c>
      <c r="B250" s="257" t="s">
        <v>174</v>
      </c>
      <c r="C250" s="53" t="s">
        <v>176</v>
      </c>
      <c r="D250" s="64" t="s">
        <v>175</v>
      </c>
      <c r="E250" s="61" t="s">
        <v>186</v>
      </c>
      <c r="F250" s="31">
        <v>4892.07</v>
      </c>
      <c r="G250" s="31">
        <v>4827.83</v>
      </c>
      <c r="H250" s="31">
        <v>4876.88</v>
      </c>
      <c r="I250" s="31">
        <v>4862.62</v>
      </c>
      <c r="J250" s="31">
        <v>5052.88</v>
      </c>
      <c r="K250" s="31">
        <v>5028.8999999999996</v>
      </c>
      <c r="L250" s="31">
        <v>4871.62</v>
      </c>
      <c r="M250" s="31">
        <v>4842.83</v>
      </c>
      <c r="N250" s="31">
        <v>4953.4399999999996</v>
      </c>
      <c r="O250" s="55">
        <f>IF((N251=""),"",MAX(F252:N252))</f>
        <v>4083.8599999999997</v>
      </c>
      <c r="P250" s="55">
        <f>IF(N251="","",MIN(F252:N252))</f>
        <v>3755.079999999999</v>
      </c>
      <c r="Q250" s="56">
        <f>IF((N252=""),"",AVERAGE(F252:N252))</f>
        <v>3979.1888888888884</v>
      </c>
      <c r="R250" s="56">
        <f>IF((N251=""),"",(O250-P250)/(O250+P250)*100)</f>
        <v>4.194189520521916</v>
      </c>
      <c r="S250" s="152">
        <f>STDEV(F252:N252)</f>
        <v>112.15670426288008</v>
      </c>
      <c r="T250" s="153" t="str">
        <f>IF(N251="","",IF(Q250&gt;3650,IF(R250&lt;7,IF(Q250&lt;4450,"Pass","Fail"),"Fail"),"Fail"))</f>
        <v>Pass</v>
      </c>
      <c r="U250" s="154">
        <v>1335</v>
      </c>
      <c r="V250" s="212"/>
      <c r="W250" s="31"/>
      <c r="X250" s="155">
        <v>3650</v>
      </c>
      <c r="Y250" s="155">
        <v>4450</v>
      </c>
      <c r="Z250" s="155">
        <v>3700</v>
      </c>
      <c r="AA250" s="155">
        <v>4100</v>
      </c>
      <c r="AB250" s="51">
        <v>7</v>
      </c>
      <c r="AC250" s="51">
        <v>6.5</v>
      </c>
    </row>
    <row r="251" spans="1:29" ht="16.100000000000001" x14ac:dyDescent="0.35">
      <c r="A251"/>
      <c r="B251" s="63"/>
      <c r="C251" s="53"/>
      <c r="D251" s="54"/>
      <c r="E251" s="81" t="s">
        <v>187</v>
      </c>
      <c r="F251" s="31">
        <v>2935.9</v>
      </c>
      <c r="G251" s="31">
        <v>2804.31</v>
      </c>
      <c r="H251" s="31">
        <v>2843.61</v>
      </c>
      <c r="I251" s="31">
        <v>2834.13</v>
      </c>
      <c r="J251" s="31">
        <v>3119.6</v>
      </c>
      <c r="K251" s="31">
        <v>3151.36</v>
      </c>
      <c r="L251" s="31">
        <v>2850.38</v>
      </c>
      <c r="M251" s="31">
        <v>2800.9</v>
      </c>
      <c r="N251" s="31">
        <v>2962.53</v>
      </c>
      <c r="O251" s="55"/>
      <c r="P251" s="55"/>
      <c r="Q251" s="56"/>
      <c r="R251" s="56"/>
      <c r="S251" s="152"/>
      <c r="T251" s="153"/>
      <c r="U251" s="161"/>
      <c r="V251" s="213"/>
      <c r="W251" s="31"/>
      <c r="X251" s="157"/>
      <c r="Y251" s="157"/>
      <c r="Z251" s="157"/>
      <c r="AA251" s="157"/>
    </row>
    <row r="252" spans="1:29" ht="22.75" thickBot="1" x14ac:dyDescent="0.4">
      <c r="A252"/>
      <c r="B252" s="63"/>
      <c r="C252" s="53"/>
      <c r="D252" s="54"/>
      <c r="E252" s="68" t="s">
        <v>188</v>
      </c>
      <c r="F252" s="65">
        <f t="shared" ref="F252:N252" si="80">IF(((F250="")*AND(F251="")),"",(F250-F251)*2)</f>
        <v>3912.3399999999992</v>
      </c>
      <c r="G252" s="65">
        <f t="shared" si="80"/>
        <v>4047.04</v>
      </c>
      <c r="H252" s="65">
        <f t="shared" si="80"/>
        <v>4066.54</v>
      </c>
      <c r="I252" s="65">
        <f t="shared" si="80"/>
        <v>4056.9799999999996</v>
      </c>
      <c r="J252" s="65">
        <f t="shared" si="80"/>
        <v>3866.5600000000004</v>
      </c>
      <c r="K252" s="65">
        <f t="shared" si="80"/>
        <v>3755.079999999999</v>
      </c>
      <c r="L252" s="65">
        <f t="shared" si="80"/>
        <v>4042.4799999999996</v>
      </c>
      <c r="M252" s="65">
        <f t="shared" si="80"/>
        <v>4083.8599999999997</v>
      </c>
      <c r="N252" s="65">
        <f t="shared" si="80"/>
        <v>3981.8199999999988</v>
      </c>
      <c r="O252" s="55"/>
      <c r="P252" s="55"/>
      <c r="Q252" s="56"/>
      <c r="R252" s="56"/>
      <c r="S252" s="152"/>
      <c r="T252" s="153"/>
      <c r="U252" s="161"/>
      <c r="V252" s="213"/>
      <c r="W252" s="31"/>
      <c r="X252" s="157"/>
      <c r="Y252" s="157"/>
      <c r="Z252" s="157"/>
      <c r="AA252" s="157"/>
    </row>
    <row r="253" spans="1:29" x14ac:dyDescent="0.25">
      <c r="A253" s="248">
        <v>43230</v>
      </c>
      <c r="B253" s="257" t="s">
        <v>169</v>
      </c>
      <c r="C253" s="67" t="s">
        <v>171</v>
      </c>
      <c r="D253" s="66" t="s">
        <v>189</v>
      </c>
      <c r="E253" s="81" t="s">
        <v>186</v>
      </c>
      <c r="F253" s="31">
        <v>1263.1300000000001</v>
      </c>
      <c r="G253" s="31">
        <v>1241.54</v>
      </c>
      <c r="H253" s="31">
        <v>1246.29</v>
      </c>
      <c r="I253" s="31">
        <v>1247.3</v>
      </c>
      <c r="J253" s="31">
        <v>1293.4000000000001</v>
      </c>
      <c r="K253" s="31">
        <v>1284.27</v>
      </c>
      <c r="L253" s="31">
        <v>1249.56</v>
      </c>
      <c r="M253" s="31">
        <v>1239.75</v>
      </c>
      <c r="N253" s="31">
        <v>1265.07</v>
      </c>
      <c r="O253" s="68">
        <f>IF((N254=""),"",MAX(F255:N255))</f>
        <v>2129.2200000000003</v>
      </c>
      <c r="P253" s="68">
        <f>IF(N254="","",MIN(F255:N255))</f>
        <v>1957.7400000000002</v>
      </c>
      <c r="Q253" s="69">
        <f>IF((N255=""),"",AVERAGE(F255:N255))</f>
        <v>2068.4299999999998</v>
      </c>
      <c r="R253" s="69">
        <f>IF((N254=""),"",(O253-P253)/(O253+P253)*100)</f>
        <v>4.1957836631628398</v>
      </c>
      <c r="S253" s="152">
        <f>STDEV(F255:N255)</f>
        <v>66.008590350044528</v>
      </c>
      <c r="T253" s="162" t="str">
        <f>IF(N254="","",IF(Q253&gt;1940,IF(R253&lt;8.3,IF(Q253&lt;2180,"Pass","Fail"),"Fail"),"Fail"))</f>
        <v>Pass</v>
      </c>
      <c r="U253" s="154"/>
      <c r="V253" s="212"/>
      <c r="W253" s="31"/>
      <c r="X253" s="155">
        <v>2000</v>
      </c>
      <c r="Y253" s="155">
        <v>3000</v>
      </c>
      <c r="Z253" s="155">
        <v>1940</v>
      </c>
      <c r="AA253" s="155">
        <v>2180</v>
      </c>
      <c r="AC253" s="51">
        <v>5.2</v>
      </c>
    </row>
    <row r="254" spans="1:29" ht="16.100000000000001" x14ac:dyDescent="0.35">
      <c r="A254"/>
      <c r="B254" s="52"/>
      <c r="C254" s="53"/>
      <c r="D254" s="54"/>
      <c r="E254" s="81" t="s">
        <v>187</v>
      </c>
      <c r="F254" s="31">
        <v>579</v>
      </c>
      <c r="G254" s="31">
        <v>531.79999999999995</v>
      </c>
      <c r="H254" s="31">
        <v>539.62</v>
      </c>
      <c r="I254" s="31">
        <v>544.83000000000004</v>
      </c>
      <c r="J254" s="31">
        <v>640.82000000000005</v>
      </c>
      <c r="K254" s="31">
        <v>617.96</v>
      </c>
      <c r="L254" s="31">
        <v>544.54999999999995</v>
      </c>
      <c r="M254" s="31">
        <v>530.19000000000005</v>
      </c>
      <c r="N254" s="31">
        <v>596.25</v>
      </c>
      <c r="O254" s="55"/>
      <c r="P254" s="55"/>
      <c r="Q254" s="56"/>
      <c r="R254" s="56"/>
      <c r="S254" s="152"/>
      <c r="T254" s="153"/>
      <c r="U254" s="156">
        <v>1335</v>
      </c>
      <c r="V254" s="212"/>
      <c r="W254" s="31"/>
      <c r="X254" s="157"/>
      <c r="Y254" s="157"/>
      <c r="Z254" s="157"/>
      <c r="AA254" s="157"/>
    </row>
    <row r="255" spans="1:29" ht="16.649999999999999" thickBot="1" x14ac:dyDescent="0.4">
      <c r="A255"/>
      <c r="B255" s="70"/>
      <c r="C255" s="71"/>
      <c r="D255" s="72"/>
      <c r="E255" s="85" t="s">
        <v>190</v>
      </c>
      <c r="F255" s="73">
        <f t="shared" ref="F255:N255" si="81">IF(((F253="")*AND(F254="")),"",(F253-F254)*3)</f>
        <v>2052.3900000000003</v>
      </c>
      <c r="G255" s="73">
        <f t="shared" si="81"/>
        <v>2129.2200000000003</v>
      </c>
      <c r="H255" s="73">
        <f t="shared" si="81"/>
        <v>2120.0099999999998</v>
      </c>
      <c r="I255" s="73">
        <f t="shared" si="81"/>
        <v>2107.41</v>
      </c>
      <c r="J255" s="73">
        <f t="shared" si="81"/>
        <v>1957.7400000000002</v>
      </c>
      <c r="K255" s="73">
        <f t="shared" si="81"/>
        <v>1998.9299999999998</v>
      </c>
      <c r="L255" s="73">
        <f t="shared" si="81"/>
        <v>2115.0299999999997</v>
      </c>
      <c r="M255" s="73">
        <f t="shared" si="81"/>
        <v>2128.6799999999998</v>
      </c>
      <c r="N255" s="73">
        <f t="shared" si="81"/>
        <v>2006.4599999999998</v>
      </c>
      <c r="O255" s="74"/>
      <c r="P255" s="74"/>
      <c r="Q255" s="75"/>
      <c r="R255" s="75"/>
      <c r="S255" s="172"/>
      <c r="T255" s="163"/>
      <c r="U255" s="164"/>
      <c r="V255" s="212"/>
      <c r="W255" s="31"/>
      <c r="X255" s="157"/>
      <c r="Y255" s="157"/>
      <c r="Z255" s="157"/>
      <c r="AA255" s="157"/>
    </row>
    <row r="256" spans="1:29" x14ac:dyDescent="0.25">
      <c r="A256" s="248">
        <v>43234</v>
      </c>
      <c r="B256" s="258" t="s">
        <v>185</v>
      </c>
      <c r="C256" s="47" t="s">
        <v>173</v>
      </c>
      <c r="D256" s="48" t="s">
        <v>172</v>
      </c>
      <c r="E256" s="79" t="s">
        <v>186</v>
      </c>
      <c r="F256" s="31">
        <v>29312.080000000002</v>
      </c>
      <c r="G256" s="31">
        <v>29194.47</v>
      </c>
      <c r="H256" s="31">
        <v>29251.5</v>
      </c>
      <c r="I256" s="31">
        <v>29160.23</v>
      </c>
      <c r="J256" s="31">
        <v>29373.65</v>
      </c>
      <c r="K256" s="31">
        <v>29317.1</v>
      </c>
      <c r="L256" s="31">
        <v>29127.09</v>
      </c>
      <c r="M256" s="31">
        <v>29215.58</v>
      </c>
      <c r="N256" s="31">
        <v>29436.59</v>
      </c>
      <c r="O256" s="49">
        <f>IF((N257=""),"",MAX(F258:N258))</f>
        <v>4378.5300000000061</v>
      </c>
      <c r="P256" s="49">
        <f>IF(N257="","",MIN(F258:N258))</f>
        <v>3795.6299999999974</v>
      </c>
      <c r="Q256" s="50">
        <f>IF((N258=""),"",AVERAGE(F258:N258))</f>
        <v>4075.6666666666683</v>
      </c>
      <c r="R256" s="50">
        <f>IF((N257=""),"",(O256-P256)/(O256+P256)*100)</f>
        <v>7.1310079567809836</v>
      </c>
      <c r="S256" s="152">
        <f>STDEV(F258:N258)</f>
        <v>213.64811682998857</v>
      </c>
      <c r="T256" s="162" t="str">
        <f>IF(N257="","",IF(Q256&gt;3200,IF(R256,IF(Q256&lt;5240,"Pass","Fail"),"Fail"),"Fail"))</f>
        <v>Pass</v>
      </c>
      <c r="U256" s="154">
        <v>1335</v>
      </c>
      <c r="V256" s="212"/>
      <c r="W256" s="31"/>
      <c r="X256" s="155">
        <v>4200</v>
      </c>
      <c r="Y256" s="155">
        <v>5500</v>
      </c>
      <c r="Z256" s="155">
        <v>3200</v>
      </c>
      <c r="AA256" s="155">
        <v>5240</v>
      </c>
      <c r="AC256" s="51">
        <v>16</v>
      </c>
    </row>
    <row r="257" spans="1:29" ht="16.100000000000001" x14ac:dyDescent="0.35">
      <c r="A257"/>
      <c r="B257" s="52"/>
      <c r="C257" s="53"/>
      <c r="D257" s="54"/>
      <c r="E257" s="81" t="s">
        <v>187</v>
      </c>
      <c r="F257" s="31">
        <v>27919.19</v>
      </c>
      <c r="G257" s="31">
        <v>27872.82</v>
      </c>
      <c r="H257" s="31">
        <v>27936.99</v>
      </c>
      <c r="I257" s="31">
        <v>27856.59</v>
      </c>
      <c r="J257" s="31">
        <v>27914.14</v>
      </c>
      <c r="K257" s="31">
        <v>27907.119999999999</v>
      </c>
      <c r="L257" s="31">
        <v>27861.88</v>
      </c>
      <c r="M257" s="31">
        <v>27908.66</v>
      </c>
      <c r="N257" s="31">
        <v>27983.9</v>
      </c>
      <c r="O257" s="55"/>
      <c r="P257" s="55"/>
      <c r="Q257" s="56"/>
      <c r="R257" s="56"/>
      <c r="S257" s="152"/>
      <c r="T257" s="153"/>
      <c r="U257" s="156"/>
      <c r="V257" s="212"/>
      <c r="W257" s="31"/>
      <c r="X257" s="157"/>
      <c r="Y257" s="157"/>
      <c r="Z257" s="157"/>
      <c r="AA257" s="157"/>
    </row>
    <row r="258" spans="1:29" ht="22.75" thickBot="1" x14ac:dyDescent="0.4">
      <c r="A258"/>
      <c r="B258" s="57"/>
      <c r="C258" s="58"/>
      <c r="D258" s="59"/>
      <c r="E258" s="81" t="s">
        <v>188</v>
      </c>
      <c r="F258" s="60">
        <f t="shared" ref="F258:N258" si="82">IF(((F256="")*AND(F257="")),"",(F256-F257)*3)</f>
        <v>4178.6700000000092</v>
      </c>
      <c r="G258" s="60">
        <f t="shared" si="82"/>
        <v>3964.9500000000044</v>
      </c>
      <c r="H258" s="60">
        <f t="shared" si="82"/>
        <v>3943.5299999999952</v>
      </c>
      <c r="I258" s="60">
        <f t="shared" si="82"/>
        <v>3910.9199999999983</v>
      </c>
      <c r="J258" s="60">
        <f t="shared" si="82"/>
        <v>4378.5300000000061</v>
      </c>
      <c r="K258" s="60">
        <f t="shared" si="82"/>
        <v>4229.9399999999987</v>
      </c>
      <c r="L258" s="60">
        <f t="shared" si="82"/>
        <v>3795.6299999999974</v>
      </c>
      <c r="M258" s="60">
        <f t="shared" si="82"/>
        <v>3920.7600000000057</v>
      </c>
      <c r="N258" s="60">
        <f t="shared" si="82"/>
        <v>4358.0699999999961</v>
      </c>
      <c r="O258" s="61"/>
      <c r="P258" s="61"/>
      <c r="Q258" s="62"/>
      <c r="R258" s="62"/>
      <c r="S258" s="173"/>
      <c r="T258" s="158"/>
      <c r="U258" s="159"/>
      <c r="V258" s="212"/>
      <c r="W258" s="31"/>
      <c r="X258" s="157"/>
      <c r="Y258" s="157"/>
      <c r="Z258" s="157"/>
      <c r="AA258" s="157"/>
    </row>
    <row r="259" spans="1:29" x14ac:dyDescent="0.25">
      <c r="A259" s="248">
        <v>43234</v>
      </c>
      <c r="B259" s="257" t="s">
        <v>174</v>
      </c>
      <c r="C259" s="53" t="s">
        <v>176</v>
      </c>
      <c r="D259" s="64" t="s">
        <v>175</v>
      </c>
      <c r="E259" s="61" t="s">
        <v>186</v>
      </c>
      <c r="F259" s="31">
        <v>6868.33</v>
      </c>
      <c r="G259" s="31">
        <v>6885.98</v>
      </c>
      <c r="H259" s="31">
        <v>6956.29</v>
      </c>
      <c r="I259" s="31">
        <v>6921.16</v>
      </c>
      <c r="J259" s="31">
        <v>7000</v>
      </c>
      <c r="K259" s="31">
        <v>6930.7</v>
      </c>
      <c r="L259" s="31">
        <v>6923.27</v>
      </c>
      <c r="M259" s="31">
        <v>6925.92</v>
      </c>
      <c r="N259" s="31">
        <v>6981.98</v>
      </c>
      <c r="O259" s="55">
        <f>IF((N260=""),"",MAX(F261:N261))</f>
        <v>4051.2199999999993</v>
      </c>
      <c r="P259" s="55">
        <f>IF(N260="","",MIN(F261:N261))</f>
        <v>3764.8799999999992</v>
      </c>
      <c r="Q259" s="56">
        <f>IF((N261=""),"",AVERAGE(F261:N261))</f>
        <v>3960.4466666666663</v>
      </c>
      <c r="R259" s="56">
        <f>IF((N260=""),"",(O259-P259)/(O259+P259)*100)</f>
        <v>3.6634638758460127</v>
      </c>
      <c r="S259" s="152">
        <f>STDEV(F261:N261)</f>
        <v>97.536987855890047</v>
      </c>
      <c r="T259" s="153" t="str">
        <f>IF(N260="","",IF(Q259&gt;3650,IF(R259&lt;7,IF(Q259&lt;4450,"Pass","Fail"),"Fail"),"Fail"))</f>
        <v>Pass</v>
      </c>
      <c r="U259" s="154">
        <v>1335</v>
      </c>
      <c r="V259" s="212"/>
      <c r="W259" s="31"/>
      <c r="X259" s="155">
        <v>3650</v>
      </c>
      <c r="Y259" s="155">
        <v>4450</v>
      </c>
      <c r="Z259" s="155">
        <v>3700</v>
      </c>
      <c r="AA259" s="155">
        <v>4100</v>
      </c>
      <c r="AB259" s="51">
        <v>7</v>
      </c>
      <c r="AC259" s="51">
        <v>6.5</v>
      </c>
    </row>
    <row r="260" spans="1:29" ht="16.100000000000001" x14ac:dyDescent="0.35">
      <c r="A260"/>
      <c r="B260" s="63"/>
      <c r="C260" s="53"/>
      <c r="D260" s="54"/>
      <c r="E260" s="81" t="s">
        <v>187</v>
      </c>
      <c r="F260" s="31">
        <v>4927.3100000000004</v>
      </c>
      <c r="G260" s="31">
        <v>4883.28</v>
      </c>
      <c r="H260" s="31">
        <v>4935.4399999999996</v>
      </c>
      <c r="I260" s="31">
        <v>4907.59</v>
      </c>
      <c r="J260" s="31">
        <v>5061.82</v>
      </c>
      <c r="K260" s="31">
        <v>5048.26</v>
      </c>
      <c r="L260" s="31">
        <v>4916.04</v>
      </c>
      <c r="M260" s="31">
        <v>4900.3100000000004</v>
      </c>
      <c r="N260" s="31">
        <v>4991.57</v>
      </c>
      <c r="O260" s="55"/>
      <c r="P260" s="55"/>
      <c r="Q260" s="56"/>
      <c r="R260" s="56"/>
      <c r="S260" s="152"/>
      <c r="T260" s="153"/>
      <c r="U260" s="161"/>
      <c r="V260" s="213"/>
      <c r="W260" s="31"/>
      <c r="X260" s="157"/>
      <c r="Y260" s="157"/>
      <c r="Z260" s="157"/>
      <c r="AA260" s="157"/>
    </row>
    <row r="261" spans="1:29" ht="22.75" thickBot="1" x14ac:dyDescent="0.4">
      <c r="A261"/>
      <c r="B261" s="63"/>
      <c r="C261" s="53"/>
      <c r="D261" s="54"/>
      <c r="E261" s="68" t="s">
        <v>188</v>
      </c>
      <c r="F261" s="65">
        <f t="shared" ref="F261:N261" si="83">IF(((F259="")*AND(F260="")),"",(F259-F260)*2)</f>
        <v>3882.0399999999991</v>
      </c>
      <c r="G261" s="65">
        <f t="shared" si="83"/>
        <v>4005.3999999999996</v>
      </c>
      <c r="H261" s="65">
        <f t="shared" si="83"/>
        <v>4041.7000000000007</v>
      </c>
      <c r="I261" s="65">
        <f t="shared" si="83"/>
        <v>4027.1399999999994</v>
      </c>
      <c r="J261" s="65">
        <f t="shared" si="83"/>
        <v>3876.3600000000006</v>
      </c>
      <c r="K261" s="65">
        <f t="shared" si="83"/>
        <v>3764.8799999999992</v>
      </c>
      <c r="L261" s="65">
        <f t="shared" si="83"/>
        <v>4014.4600000000009</v>
      </c>
      <c r="M261" s="65">
        <f t="shared" si="83"/>
        <v>4051.2199999999993</v>
      </c>
      <c r="N261" s="65">
        <f t="shared" si="83"/>
        <v>3980.8199999999997</v>
      </c>
      <c r="O261" s="55"/>
      <c r="P261" s="55"/>
      <c r="Q261" s="56"/>
      <c r="R261" s="56"/>
      <c r="S261" s="152"/>
      <c r="T261" s="153"/>
      <c r="U261" s="161"/>
      <c r="V261" s="213"/>
      <c r="W261" s="31"/>
      <c r="X261" s="157"/>
      <c r="Y261" s="157"/>
      <c r="Z261" s="157"/>
      <c r="AA261" s="157"/>
    </row>
    <row r="262" spans="1:29" x14ac:dyDescent="0.25">
      <c r="A262" s="248">
        <v>43234</v>
      </c>
      <c r="B262" s="257" t="s">
        <v>169</v>
      </c>
      <c r="C262" s="67" t="s">
        <v>171</v>
      </c>
      <c r="D262" s="66" t="s">
        <v>189</v>
      </c>
      <c r="E262" s="81" t="s">
        <v>186</v>
      </c>
      <c r="F262" s="31">
        <v>1955.25</v>
      </c>
      <c r="G262" s="31">
        <v>1955.12</v>
      </c>
      <c r="H262" s="31">
        <v>1954.01</v>
      </c>
      <c r="I262" s="31">
        <v>1952.64</v>
      </c>
      <c r="J262" s="31">
        <v>1953.18</v>
      </c>
      <c r="K262" s="31">
        <v>1950.18</v>
      </c>
      <c r="L262" s="31">
        <v>1950.44</v>
      </c>
      <c r="M262" s="31">
        <v>1954.85</v>
      </c>
      <c r="N262" s="31">
        <v>1960.13</v>
      </c>
      <c r="O262" s="68">
        <f>IF((N263=""),"",MAX(F264:N264))</f>
        <v>2095.83</v>
      </c>
      <c r="P262" s="68">
        <f>IF(N263="","",MIN(F264:N264))</f>
        <v>1947.78</v>
      </c>
      <c r="Q262" s="69">
        <f>IF((N264=""),"",AVERAGE(F264:N264))</f>
        <v>2044.846666666667</v>
      </c>
      <c r="R262" s="69">
        <f>IF((N263=""),"",(O262-P262)/(O262+P262)*100)</f>
        <v>3.6613323243339484</v>
      </c>
      <c r="S262" s="152">
        <f>STDEV(F264:N264)</f>
        <v>54.219649344126125</v>
      </c>
      <c r="T262" s="160" t="str">
        <f>IF(N263="","",IF(Q262&gt;2000,IF(R262&lt;5.5,IF(Q262&lt;3000,"Pass","Fail"),"Fail"),"Fail"))</f>
        <v>Pass</v>
      </c>
      <c r="U262" s="154">
        <v>1335</v>
      </c>
      <c r="V262" s="212"/>
      <c r="W262" s="31"/>
      <c r="X262" s="155">
        <v>2000</v>
      </c>
      <c r="Y262" s="155">
        <v>3000</v>
      </c>
      <c r="Z262" s="155">
        <v>1940</v>
      </c>
      <c r="AA262" s="155">
        <v>2180</v>
      </c>
      <c r="AC262" s="51">
        <v>5.2</v>
      </c>
    </row>
    <row r="263" spans="1:29" ht="16.100000000000001" x14ac:dyDescent="0.35">
      <c r="A263"/>
      <c r="B263" s="52"/>
      <c r="C263" s="53"/>
      <c r="D263" s="54"/>
      <c r="E263" s="81" t="s">
        <v>187</v>
      </c>
      <c r="F263" s="31">
        <v>1279.17</v>
      </c>
      <c r="G263" s="31">
        <v>1260.78</v>
      </c>
      <c r="H263" s="31">
        <v>1255.4000000000001</v>
      </c>
      <c r="I263" s="31">
        <v>1259.4000000000001</v>
      </c>
      <c r="J263" s="31">
        <v>1303.92</v>
      </c>
      <c r="K263" s="31">
        <v>1293.93</v>
      </c>
      <c r="L263" s="31">
        <v>1262.8</v>
      </c>
      <c r="M263" s="31">
        <v>1256.81</v>
      </c>
      <c r="N263" s="31">
        <v>1279.05</v>
      </c>
      <c r="O263" s="55"/>
      <c r="P263" s="55"/>
      <c r="Q263" s="56"/>
      <c r="R263" s="56"/>
      <c r="S263" s="152"/>
      <c r="T263" s="153"/>
      <c r="U263" s="156"/>
      <c r="V263" s="212"/>
      <c r="W263" s="31"/>
      <c r="X263" s="157"/>
      <c r="Y263" s="157"/>
      <c r="Z263" s="157"/>
      <c r="AA263" s="157"/>
    </row>
    <row r="264" spans="1:29" ht="16.649999999999999" thickBot="1" x14ac:dyDescent="0.4">
      <c r="A264"/>
      <c r="B264" s="70"/>
      <c r="C264" s="71"/>
      <c r="D264" s="72"/>
      <c r="E264" s="85" t="s">
        <v>190</v>
      </c>
      <c r="F264" s="73">
        <f t="shared" ref="F264:N264" si="84">IF(((F262="")*AND(F263="")),"",(F262-F263)*3)</f>
        <v>2028.2399999999998</v>
      </c>
      <c r="G264" s="73">
        <f t="shared" si="84"/>
        <v>2083.0199999999995</v>
      </c>
      <c r="H264" s="73">
        <f t="shared" si="84"/>
        <v>2095.83</v>
      </c>
      <c r="I264" s="73">
        <f t="shared" si="84"/>
        <v>2079.7200000000003</v>
      </c>
      <c r="J264" s="73">
        <f t="shared" si="84"/>
        <v>1947.78</v>
      </c>
      <c r="K264" s="73">
        <f t="shared" si="84"/>
        <v>1968.75</v>
      </c>
      <c r="L264" s="73">
        <f t="shared" si="84"/>
        <v>2062.92</v>
      </c>
      <c r="M264" s="73">
        <f t="shared" si="84"/>
        <v>2094.12</v>
      </c>
      <c r="N264" s="73">
        <f t="shared" si="84"/>
        <v>2043.2400000000005</v>
      </c>
      <c r="O264" s="74"/>
      <c r="P264" s="74"/>
      <c r="Q264" s="75"/>
      <c r="R264" s="75"/>
      <c r="S264" s="172"/>
      <c r="T264" s="163"/>
      <c r="U264" s="164"/>
      <c r="V264" s="212"/>
      <c r="W264" s="31"/>
      <c r="X264" s="157"/>
      <c r="Y264" s="157"/>
      <c r="Z264" s="157"/>
      <c r="AA264" s="157"/>
    </row>
    <row r="265" spans="1:29" x14ac:dyDescent="0.25">
      <c r="A265" s="248">
        <v>43237</v>
      </c>
      <c r="B265" s="258" t="s">
        <v>185</v>
      </c>
      <c r="C265" s="47" t="s">
        <v>173</v>
      </c>
      <c r="D265" s="48" t="s">
        <v>172</v>
      </c>
      <c r="E265" s="79" t="s">
        <v>186</v>
      </c>
      <c r="F265" s="31">
        <v>27885</v>
      </c>
      <c r="G265" s="31">
        <v>27893</v>
      </c>
      <c r="H265" s="167">
        <v>27940</v>
      </c>
      <c r="I265" s="167">
        <v>27846</v>
      </c>
      <c r="J265" s="167">
        <v>27839</v>
      </c>
      <c r="K265" s="167">
        <v>27865</v>
      </c>
      <c r="L265" s="167">
        <v>27850</v>
      </c>
      <c r="M265" s="167">
        <v>27840</v>
      </c>
      <c r="N265" s="167">
        <v>27934</v>
      </c>
      <c r="O265" s="49">
        <f>IF((N266=""),"",MAX(F267:N267))</f>
        <v>4851</v>
      </c>
      <c r="P265" s="49">
        <f>IF(N266="","",MIN(F267:N267))</f>
        <v>4170</v>
      </c>
      <c r="Q265" s="50">
        <f>IF((N267=""),"",AVERAGE(F267:N267))</f>
        <v>4470</v>
      </c>
      <c r="R265" s="50">
        <f>IF((N266=""),"",(O265-P265)/(O265+P265)*100)</f>
        <v>7.5490522115064849</v>
      </c>
      <c r="S265" s="152">
        <f>STDEV(F267:N267)</f>
        <v>289.57770977753103</v>
      </c>
      <c r="T265" s="153" t="str">
        <f>IF(N266="","",IF(R265&lt;16,IF(Q265&gt;3200,IF(R265,IF(Q265&lt;5240,"Pass","Fail"),"Fail"),"Fail")))</f>
        <v>Pass</v>
      </c>
      <c r="U265" s="154">
        <v>121</v>
      </c>
      <c r="V265" s="212"/>
      <c r="W265" s="31"/>
      <c r="X265" s="155">
        <v>4200</v>
      </c>
      <c r="Y265" s="155">
        <v>5500</v>
      </c>
      <c r="Z265" s="155">
        <v>3200</v>
      </c>
      <c r="AA265" s="155">
        <v>5240</v>
      </c>
      <c r="AC265" s="51">
        <v>16</v>
      </c>
    </row>
    <row r="266" spans="1:29" ht="16.100000000000001" x14ac:dyDescent="0.35">
      <c r="A266"/>
      <c r="B266" s="52"/>
      <c r="C266" s="53"/>
      <c r="D266" s="54"/>
      <c r="E266" s="81" t="s">
        <v>187</v>
      </c>
      <c r="F266" s="31">
        <v>26268</v>
      </c>
      <c r="G266" s="31">
        <v>26444</v>
      </c>
      <c r="H266" s="167">
        <v>26543</v>
      </c>
      <c r="I266" s="167">
        <v>26419</v>
      </c>
      <c r="J266" s="167">
        <v>26280</v>
      </c>
      <c r="K266" s="167">
        <v>26289</v>
      </c>
      <c r="L266" s="167">
        <v>26457</v>
      </c>
      <c r="M266" s="167">
        <v>26450</v>
      </c>
      <c r="N266" s="167">
        <v>26332</v>
      </c>
      <c r="O266" s="55"/>
      <c r="P266" s="55"/>
      <c r="Q266" s="56"/>
      <c r="R266" s="56"/>
      <c r="S266" s="152"/>
      <c r="T266" s="153"/>
      <c r="U266" s="156"/>
      <c r="V266" s="212"/>
      <c r="W266" s="174"/>
      <c r="X266" s="157"/>
      <c r="Y266" s="157"/>
      <c r="Z266" s="157"/>
      <c r="AA266" s="157"/>
    </row>
    <row r="267" spans="1:29" ht="22.75" thickBot="1" x14ac:dyDescent="0.4">
      <c r="A267"/>
      <c r="B267" s="57"/>
      <c r="C267" s="58"/>
      <c r="D267" s="59"/>
      <c r="E267" s="81" t="s">
        <v>188</v>
      </c>
      <c r="F267" s="60">
        <f t="shared" ref="F267:N267" si="85">IF(((F265="")*AND(F266="")),"",(F265-F266)*3)</f>
        <v>4851</v>
      </c>
      <c r="G267" s="60">
        <f t="shared" si="85"/>
        <v>4347</v>
      </c>
      <c r="H267" s="60">
        <f t="shared" si="85"/>
        <v>4191</v>
      </c>
      <c r="I267" s="60">
        <f t="shared" si="85"/>
        <v>4281</v>
      </c>
      <c r="J267" s="60">
        <f t="shared" si="85"/>
        <v>4677</v>
      </c>
      <c r="K267" s="60">
        <f t="shared" si="85"/>
        <v>4728</v>
      </c>
      <c r="L267" s="60">
        <f t="shared" si="85"/>
        <v>4179</v>
      </c>
      <c r="M267" s="60">
        <f t="shared" si="85"/>
        <v>4170</v>
      </c>
      <c r="N267" s="60">
        <f t="shared" si="85"/>
        <v>4806</v>
      </c>
      <c r="O267" s="61"/>
      <c r="P267" s="61"/>
      <c r="Q267" s="62"/>
      <c r="R267" s="62"/>
      <c r="S267" s="173"/>
      <c r="T267" s="158"/>
      <c r="U267" s="159"/>
      <c r="V267" s="212"/>
      <c r="W267" s="31"/>
      <c r="X267" s="157"/>
      <c r="Y267" s="157"/>
      <c r="Z267" s="157"/>
      <c r="AA267" s="157"/>
    </row>
    <row r="268" spans="1:29" x14ac:dyDescent="0.25">
      <c r="A268" s="248">
        <v>43237</v>
      </c>
      <c r="B268" s="257" t="s">
        <v>174</v>
      </c>
      <c r="C268" s="53" t="s">
        <v>176</v>
      </c>
      <c r="D268" s="64" t="s">
        <v>175</v>
      </c>
      <c r="E268" s="61" t="s">
        <v>186</v>
      </c>
      <c r="F268" s="31">
        <v>4942</v>
      </c>
      <c r="G268" s="31">
        <v>4898</v>
      </c>
      <c r="H268" s="167">
        <v>4950</v>
      </c>
      <c r="I268" s="167">
        <v>4923</v>
      </c>
      <c r="J268" s="167">
        <v>5073</v>
      </c>
      <c r="K268" s="167">
        <v>5059</v>
      </c>
      <c r="L268" s="167">
        <v>4931</v>
      </c>
      <c r="M268" s="167">
        <v>4916</v>
      </c>
      <c r="N268" s="167">
        <v>5005</v>
      </c>
      <c r="O268" s="55">
        <f>IF((N269=""),"",MAX(F270:N270))</f>
        <v>4072</v>
      </c>
      <c r="P268" s="55">
        <f>IF(N269="","",MIN(F270:N270))</f>
        <v>3772</v>
      </c>
      <c r="Q268" s="56">
        <f>IF((N270=""),"",AVERAGE(F270:N270))</f>
        <v>3984.6666666666665</v>
      </c>
      <c r="R268" s="56">
        <f>IF((N269=""),"",(O268-P268)/(O268+P268)*100)</f>
        <v>3.8245792962774097</v>
      </c>
      <c r="S268" s="152">
        <f>STDEV(F270:N270)</f>
        <v>98.483501156285058</v>
      </c>
      <c r="T268" s="153" t="str">
        <f>IF(N269="","",IF(Q268&gt;3650,IF(R268&lt;7,IF(Q268&lt;4450,"Pass","Fail"),"Fail"),"Fail"))</f>
        <v>Pass</v>
      </c>
      <c r="U268" s="154">
        <v>121</v>
      </c>
      <c r="V268" s="212"/>
      <c r="W268" s="31"/>
      <c r="X268" s="155">
        <v>3650</v>
      </c>
      <c r="Y268" s="155">
        <v>4450</v>
      </c>
      <c r="Z268" s="155">
        <v>3700</v>
      </c>
      <c r="AA268" s="155">
        <v>4100</v>
      </c>
      <c r="AB268" s="51">
        <v>7</v>
      </c>
      <c r="AC268" s="51">
        <v>6.5</v>
      </c>
    </row>
    <row r="269" spans="1:29" ht="16.100000000000001" x14ac:dyDescent="0.35">
      <c r="A269"/>
      <c r="B269" s="63"/>
      <c r="C269" s="53"/>
      <c r="D269" s="54"/>
      <c r="E269" s="81" t="s">
        <v>187</v>
      </c>
      <c r="F269" s="77">
        <v>2978</v>
      </c>
      <c r="G269" s="78">
        <v>2874</v>
      </c>
      <c r="H269" s="167">
        <v>2922</v>
      </c>
      <c r="I269" s="167">
        <v>2900</v>
      </c>
      <c r="J269" s="167">
        <v>3118</v>
      </c>
      <c r="K269" s="167">
        <v>3173</v>
      </c>
      <c r="L269" s="167">
        <v>2911</v>
      </c>
      <c r="M269" s="167">
        <v>2880</v>
      </c>
      <c r="N269" s="167">
        <v>3010</v>
      </c>
      <c r="O269" s="55"/>
      <c r="P269" s="55"/>
      <c r="Q269" s="56"/>
      <c r="R269" s="56"/>
      <c r="S269" s="152"/>
      <c r="T269" s="153"/>
      <c r="U269" s="161"/>
      <c r="V269" s="213"/>
      <c r="W269" s="31"/>
      <c r="X269" s="157"/>
      <c r="Y269" s="157"/>
      <c r="Z269" s="157"/>
      <c r="AA269" s="157"/>
    </row>
    <row r="270" spans="1:29" ht="22.75" thickBot="1" x14ac:dyDescent="0.4">
      <c r="A270"/>
      <c r="B270" s="63"/>
      <c r="C270" s="53"/>
      <c r="D270" s="54"/>
      <c r="E270" s="68" t="s">
        <v>188</v>
      </c>
      <c r="F270" s="65">
        <f t="shared" ref="F270:N270" si="86">IF(((F268="")*AND(F269="")),"",(F268-F269)*2)</f>
        <v>3928</v>
      </c>
      <c r="G270" s="65">
        <f t="shared" si="86"/>
        <v>4048</v>
      </c>
      <c r="H270" s="65">
        <f t="shared" si="86"/>
        <v>4056</v>
      </c>
      <c r="I270" s="65">
        <f t="shared" si="86"/>
        <v>4046</v>
      </c>
      <c r="J270" s="65">
        <f t="shared" si="86"/>
        <v>3910</v>
      </c>
      <c r="K270" s="65">
        <f t="shared" si="86"/>
        <v>3772</v>
      </c>
      <c r="L270" s="65">
        <f t="shared" si="86"/>
        <v>4040</v>
      </c>
      <c r="M270" s="65">
        <f t="shared" si="86"/>
        <v>4072</v>
      </c>
      <c r="N270" s="65">
        <f t="shared" si="86"/>
        <v>3990</v>
      </c>
      <c r="O270" s="55"/>
      <c r="P270" s="55"/>
      <c r="Q270" s="56"/>
      <c r="R270" s="56"/>
      <c r="S270" s="152"/>
      <c r="T270" s="153"/>
      <c r="U270" s="161"/>
      <c r="V270" s="213"/>
      <c r="W270" s="31"/>
      <c r="X270" s="157"/>
      <c r="Y270" s="157"/>
      <c r="Z270" s="157"/>
      <c r="AA270" s="157"/>
    </row>
    <row r="271" spans="1:29" x14ac:dyDescent="0.25">
      <c r="A271" s="248">
        <v>43237</v>
      </c>
      <c r="B271" s="257" t="s">
        <v>169</v>
      </c>
      <c r="C271" s="67" t="s">
        <v>171</v>
      </c>
      <c r="D271" s="66" t="s">
        <v>189</v>
      </c>
      <c r="E271" s="81" t="s">
        <v>186</v>
      </c>
      <c r="F271" s="77">
        <v>1284</v>
      </c>
      <c r="G271" s="78">
        <v>1261</v>
      </c>
      <c r="H271" s="167">
        <v>1264</v>
      </c>
      <c r="I271" s="167">
        <v>1261</v>
      </c>
      <c r="J271" s="167">
        <v>1304</v>
      </c>
      <c r="K271" s="167">
        <v>1296</v>
      </c>
      <c r="L271" s="167">
        <v>1263</v>
      </c>
      <c r="M271" s="167">
        <v>1259</v>
      </c>
      <c r="N271" s="167">
        <v>1285</v>
      </c>
      <c r="O271" s="68">
        <f>IF((N272=""),"",MAX(F273:N273))</f>
        <v>2124</v>
      </c>
      <c r="P271" s="68">
        <f>IF(N272="","",MIN(F273:N273))</f>
        <v>1971</v>
      </c>
      <c r="Q271" s="69">
        <f>IF((N273=""),"",AVERAGE(F273:N273))</f>
        <v>2061.6666666666665</v>
      </c>
      <c r="R271" s="69">
        <f>IF((N272=""),"",(O271-P271)/(O271+P271)*100)</f>
        <v>3.7362637362637363</v>
      </c>
      <c r="S271" s="152">
        <f>STDEV(F273:N273)</f>
        <v>53.82843114934709</v>
      </c>
      <c r="T271" s="162" t="str">
        <f>IF(N272="","",IF(Q271&gt;1940,IF(R271&lt;8.3,IF(Q271&lt;2180,"Pass","Fail"),"Fail"),"Fail"))</f>
        <v>Pass</v>
      </c>
      <c r="U271" s="154">
        <v>121</v>
      </c>
      <c r="V271" s="212"/>
      <c r="W271" s="31"/>
      <c r="X271" s="155">
        <v>2000</v>
      </c>
      <c r="Y271" s="155">
        <v>3000</v>
      </c>
      <c r="Z271" s="155">
        <v>1940</v>
      </c>
      <c r="AA271" s="155">
        <v>2180</v>
      </c>
      <c r="AC271" s="51">
        <v>5.2</v>
      </c>
    </row>
    <row r="272" spans="1:29" ht="16.100000000000001" x14ac:dyDescent="0.35">
      <c r="A272"/>
      <c r="B272" s="52"/>
      <c r="C272" s="53"/>
      <c r="D272" s="54"/>
      <c r="E272" s="81" t="s">
        <v>187</v>
      </c>
      <c r="F272" s="77">
        <v>609</v>
      </c>
      <c r="G272" s="78">
        <v>564</v>
      </c>
      <c r="H272" s="167">
        <v>556</v>
      </c>
      <c r="I272" s="167">
        <v>560</v>
      </c>
      <c r="J272" s="167">
        <v>647</v>
      </c>
      <c r="K272" s="167">
        <v>617</v>
      </c>
      <c r="L272" s="167">
        <v>567</v>
      </c>
      <c r="M272" s="167">
        <v>555</v>
      </c>
      <c r="N272" s="167">
        <v>617</v>
      </c>
      <c r="O272" s="55"/>
      <c r="P272" s="55"/>
      <c r="Q272" s="56"/>
      <c r="R272" s="56"/>
      <c r="S272" s="152"/>
      <c r="T272" s="153"/>
      <c r="U272" s="156"/>
      <c r="V272" s="212"/>
      <c r="W272" s="31"/>
      <c r="X272" s="157"/>
      <c r="Y272" s="157"/>
      <c r="Z272" s="157"/>
      <c r="AA272" s="157"/>
    </row>
    <row r="273" spans="1:29" ht="16.649999999999999" thickBot="1" x14ac:dyDescent="0.4">
      <c r="A273"/>
      <c r="B273" s="70"/>
      <c r="C273" s="71"/>
      <c r="D273" s="72"/>
      <c r="E273" s="85" t="s">
        <v>190</v>
      </c>
      <c r="F273" s="73">
        <f t="shared" ref="F273:N273" si="87">IF(((F271="")*AND(F272="")),"",(F271-F272)*3)</f>
        <v>2025</v>
      </c>
      <c r="G273" s="73">
        <f t="shared" si="87"/>
        <v>2091</v>
      </c>
      <c r="H273" s="73">
        <f t="shared" si="87"/>
        <v>2124</v>
      </c>
      <c r="I273" s="73">
        <f t="shared" si="87"/>
        <v>2103</v>
      </c>
      <c r="J273" s="73">
        <f t="shared" si="87"/>
        <v>1971</v>
      </c>
      <c r="K273" s="73">
        <f t="shared" si="87"/>
        <v>2037</v>
      </c>
      <c r="L273" s="73">
        <f t="shared" si="87"/>
        <v>2088</v>
      </c>
      <c r="M273" s="73">
        <f t="shared" si="87"/>
        <v>2112</v>
      </c>
      <c r="N273" s="73">
        <f t="shared" si="87"/>
        <v>2004</v>
      </c>
      <c r="O273" s="74"/>
      <c r="P273" s="74"/>
      <c r="Q273" s="75"/>
      <c r="R273" s="75"/>
      <c r="S273" s="172"/>
      <c r="T273" s="163"/>
      <c r="U273" s="164"/>
      <c r="V273" s="212"/>
      <c r="W273" s="31"/>
      <c r="X273" s="157"/>
      <c r="Y273" s="157"/>
      <c r="Z273" s="157"/>
      <c r="AA273" s="157"/>
    </row>
    <row r="274" spans="1:29" x14ac:dyDescent="0.25">
      <c r="A274" s="248">
        <v>43241</v>
      </c>
      <c r="B274" s="258" t="s">
        <v>185</v>
      </c>
      <c r="C274" s="47" t="s">
        <v>173</v>
      </c>
      <c r="D274" s="48" t="s">
        <v>172</v>
      </c>
      <c r="E274" s="79" t="s">
        <v>186</v>
      </c>
      <c r="F274" s="31">
        <v>29382.49</v>
      </c>
      <c r="G274" s="31">
        <v>29235.49</v>
      </c>
      <c r="H274" s="31">
        <v>29287.95</v>
      </c>
      <c r="I274" s="31">
        <v>29202.19</v>
      </c>
      <c r="J274" s="31">
        <v>29437.08</v>
      </c>
      <c r="K274" s="31">
        <v>29362.13</v>
      </c>
      <c r="L274" s="31">
        <v>29215.040000000001</v>
      </c>
      <c r="M274" s="31">
        <v>29209.759999999998</v>
      </c>
      <c r="N274" s="31">
        <v>29438.03</v>
      </c>
      <c r="O274" s="49">
        <f>IF((N275=""),"",MAX(F276:N276))</f>
        <v>4716.9900000000052</v>
      </c>
      <c r="P274" s="49">
        <f>IF(N275="","",MIN(F276:N276))</f>
        <v>4100.8799999999974</v>
      </c>
      <c r="Q274" s="50">
        <f>IF((N276=""),"",AVERAGE(F276:N276))</f>
        <v>4384.71</v>
      </c>
      <c r="R274" s="50">
        <f>IF((N275=""),"",(O274-P274)/(O274+P274)*100)</f>
        <v>6.9870615012469868</v>
      </c>
      <c r="S274" s="152">
        <f>STDEV(F276:N276)</f>
        <v>253.22934382689721</v>
      </c>
      <c r="T274" s="153" t="str">
        <f>IF(N275="","",IF(R274&lt;16,IF(Q274&gt;3200,IF(R274,IF(Q274&lt;5240,"Pass","Fail"),"Fail"),"Fail")))</f>
        <v>Pass</v>
      </c>
      <c r="U274" s="154">
        <v>102</v>
      </c>
      <c r="V274" s="212"/>
      <c r="W274" s="31"/>
      <c r="X274" s="155">
        <v>4200</v>
      </c>
      <c r="Y274" s="155">
        <v>5500</v>
      </c>
      <c r="Z274" s="155">
        <v>3200</v>
      </c>
      <c r="AA274" s="155">
        <v>5240</v>
      </c>
      <c r="AC274" s="51">
        <v>16</v>
      </c>
    </row>
    <row r="275" spans="1:29" ht="16.100000000000001" x14ac:dyDescent="0.35">
      <c r="A275"/>
      <c r="B275" s="52"/>
      <c r="C275" s="53"/>
      <c r="D275" s="54"/>
      <c r="E275" s="81" t="s">
        <v>187</v>
      </c>
      <c r="F275" s="31">
        <v>27852.77</v>
      </c>
      <c r="G275" s="31">
        <v>27840.73</v>
      </c>
      <c r="H275" s="31">
        <v>27920.99</v>
      </c>
      <c r="I275" s="31">
        <v>27800.02</v>
      </c>
      <c r="J275" s="31">
        <v>27864.75</v>
      </c>
      <c r="K275" s="31">
        <v>27825.67</v>
      </c>
      <c r="L275" s="31">
        <v>27819.64</v>
      </c>
      <c r="M275" s="31">
        <v>27810.99</v>
      </c>
      <c r="N275" s="31">
        <v>27880.47</v>
      </c>
      <c r="O275" s="55"/>
      <c r="P275" s="55"/>
      <c r="Q275" s="56"/>
      <c r="R275" s="56"/>
      <c r="S275" s="152"/>
      <c r="T275" s="153"/>
      <c r="U275" s="156"/>
      <c r="V275" s="212"/>
      <c r="W275" s="31"/>
      <c r="X275" s="157"/>
      <c r="Y275" s="157"/>
      <c r="Z275" s="157"/>
      <c r="AA275" s="157"/>
    </row>
    <row r="276" spans="1:29" ht="22.75" thickBot="1" x14ac:dyDescent="0.4">
      <c r="A276"/>
      <c r="B276" s="57"/>
      <c r="C276" s="58"/>
      <c r="D276" s="59"/>
      <c r="E276" s="81" t="s">
        <v>188</v>
      </c>
      <c r="F276" s="60">
        <f t="shared" ref="F276:N276" si="88">IF(((F274="")*AND(F275="")),"",(F274-F275)*3)</f>
        <v>4589.1600000000035</v>
      </c>
      <c r="G276" s="60">
        <f t="shared" si="88"/>
        <v>4184.2800000000061</v>
      </c>
      <c r="H276" s="60">
        <f t="shared" si="88"/>
        <v>4100.8799999999974</v>
      </c>
      <c r="I276" s="60">
        <f t="shared" si="88"/>
        <v>4206.5099999999948</v>
      </c>
      <c r="J276" s="60">
        <f t="shared" si="88"/>
        <v>4716.9900000000052</v>
      </c>
      <c r="K276" s="60">
        <f t="shared" si="88"/>
        <v>4609.3800000000083</v>
      </c>
      <c r="L276" s="60">
        <f t="shared" si="88"/>
        <v>4186.2000000000044</v>
      </c>
      <c r="M276" s="60">
        <f t="shared" si="88"/>
        <v>4196.3099999999904</v>
      </c>
      <c r="N276" s="60">
        <f t="shared" si="88"/>
        <v>4672.679999999993</v>
      </c>
      <c r="O276" s="61"/>
      <c r="P276" s="61"/>
      <c r="Q276" s="62"/>
      <c r="R276" s="62"/>
      <c r="S276" s="173"/>
      <c r="T276" s="158"/>
      <c r="U276" s="159"/>
      <c r="V276" s="212"/>
      <c r="W276" s="31"/>
      <c r="X276" s="157"/>
      <c r="Y276" s="157"/>
      <c r="Z276" s="157"/>
      <c r="AA276" s="157"/>
    </row>
    <row r="277" spans="1:29" x14ac:dyDescent="0.25">
      <c r="A277" s="248">
        <v>43241</v>
      </c>
      <c r="B277" s="257" t="s">
        <v>174</v>
      </c>
      <c r="C277" s="53" t="s">
        <v>176</v>
      </c>
      <c r="D277" s="64" t="s">
        <v>175</v>
      </c>
      <c r="E277" s="61" t="s">
        <v>186</v>
      </c>
      <c r="F277" s="31">
        <v>6990.52</v>
      </c>
      <c r="G277" s="31">
        <v>6987.59</v>
      </c>
      <c r="H277" s="31">
        <v>6999.97</v>
      </c>
      <c r="I277" s="31">
        <v>6999.94</v>
      </c>
      <c r="J277" s="31">
        <v>6999.95</v>
      </c>
      <c r="K277" s="31">
        <v>7000</v>
      </c>
      <c r="L277" s="31">
        <v>6999.94</v>
      </c>
      <c r="M277" s="31">
        <v>6999.99</v>
      </c>
      <c r="N277" s="31">
        <v>6999.91</v>
      </c>
      <c r="O277" s="55">
        <f>IF((N278=""),"",MAX(F279:N279))</f>
        <v>4030.4600000000009</v>
      </c>
      <c r="P277" s="55">
        <f>IF(N278="","",MIN(F279:N279))</f>
        <v>3570.8199999999997</v>
      </c>
      <c r="Q277" s="56">
        <f>IF((N279=""),"",AVERAGE(F279:N279))</f>
        <v>3860.6000000000004</v>
      </c>
      <c r="R277" s="56">
        <f>IF((N278=""),"",(O277-P277)/(O277+P277)*100)</f>
        <v>6.0468763155679204</v>
      </c>
      <c r="S277" s="152">
        <f>STDEV(F279:N279)</f>
        <v>164.95196421989056</v>
      </c>
      <c r="T277" s="153" t="str">
        <f>IF(N278="","",IF(Q277&gt;3650,IF(R277&lt;7,IF(Q277&lt;4450,"Pass","Fail"),"Fail"),"Fail"))</f>
        <v>Pass</v>
      </c>
      <c r="U277" s="154">
        <v>102</v>
      </c>
      <c r="V277" s="212"/>
      <c r="W277" s="31"/>
      <c r="X277" s="155">
        <v>3650</v>
      </c>
      <c r="Y277" s="155">
        <v>4450</v>
      </c>
      <c r="Z277" s="155">
        <v>3700</v>
      </c>
      <c r="AA277" s="155">
        <v>4100</v>
      </c>
      <c r="AB277" s="51">
        <v>7</v>
      </c>
      <c r="AC277" s="51">
        <v>6.5</v>
      </c>
    </row>
    <row r="278" spans="1:29" ht="16.100000000000001" x14ac:dyDescent="0.35">
      <c r="A278"/>
      <c r="B278" s="63"/>
      <c r="C278" s="53"/>
      <c r="D278" s="54"/>
      <c r="E278" s="81" t="s">
        <v>187</v>
      </c>
      <c r="F278" s="31">
        <v>5027.46</v>
      </c>
      <c r="G278" s="31">
        <v>4972.3599999999997</v>
      </c>
      <c r="H278" s="31">
        <v>5038.13</v>
      </c>
      <c r="I278" s="31">
        <v>5021.1899999999996</v>
      </c>
      <c r="J278" s="31">
        <v>5214.54</v>
      </c>
      <c r="K278" s="31">
        <v>5182.05</v>
      </c>
      <c r="L278" s="31">
        <v>5026.01</v>
      </c>
      <c r="M278" s="31">
        <v>5001.96</v>
      </c>
      <c r="N278" s="31">
        <v>5121.41</v>
      </c>
      <c r="O278" s="55"/>
      <c r="P278" s="55"/>
      <c r="Q278" s="56"/>
      <c r="R278" s="56"/>
      <c r="S278" s="152"/>
      <c r="T278" s="153"/>
      <c r="U278" s="161"/>
      <c r="V278" s="213"/>
      <c r="W278" s="31"/>
      <c r="X278" s="157"/>
      <c r="Y278" s="157"/>
      <c r="Z278" s="157"/>
      <c r="AA278" s="157"/>
    </row>
    <row r="279" spans="1:29" ht="22.75" thickBot="1" x14ac:dyDescent="0.4">
      <c r="A279"/>
      <c r="B279" s="63"/>
      <c r="C279" s="53"/>
      <c r="D279" s="54"/>
      <c r="E279" s="68" t="s">
        <v>188</v>
      </c>
      <c r="F279" s="65">
        <f t="shared" ref="F279:N279" si="89">IF(((F277="")*AND(F278="")),"",(F277-F278)*2)</f>
        <v>3926.1200000000008</v>
      </c>
      <c r="G279" s="65">
        <f t="shared" si="89"/>
        <v>4030.4600000000009</v>
      </c>
      <c r="H279" s="65">
        <f t="shared" si="89"/>
        <v>3923.6800000000003</v>
      </c>
      <c r="I279" s="65">
        <f t="shared" si="89"/>
        <v>3957.5</v>
      </c>
      <c r="J279" s="65">
        <f t="shared" si="89"/>
        <v>3570.8199999999997</v>
      </c>
      <c r="K279" s="65">
        <f t="shared" si="89"/>
        <v>3635.8999999999996</v>
      </c>
      <c r="L279" s="65">
        <f t="shared" si="89"/>
        <v>3947.8599999999988</v>
      </c>
      <c r="M279" s="65">
        <f t="shared" si="89"/>
        <v>3996.0599999999995</v>
      </c>
      <c r="N279" s="65">
        <f t="shared" si="89"/>
        <v>3757</v>
      </c>
      <c r="O279" s="55"/>
      <c r="P279" s="55"/>
      <c r="Q279" s="56"/>
      <c r="R279" s="56"/>
      <c r="S279" s="152"/>
      <c r="T279" s="153"/>
      <c r="U279" s="161"/>
      <c r="V279" s="213"/>
      <c r="W279" s="31"/>
      <c r="X279" s="157"/>
      <c r="Y279" s="157"/>
      <c r="Z279" s="157"/>
      <c r="AA279" s="157"/>
    </row>
    <row r="280" spans="1:29" x14ac:dyDescent="0.25">
      <c r="A280" s="248">
        <v>43241</v>
      </c>
      <c r="B280" s="257" t="s">
        <v>169</v>
      </c>
      <c r="C280" s="67" t="s">
        <v>171</v>
      </c>
      <c r="D280" s="66" t="s">
        <v>189</v>
      </c>
      <c r="E280" s="81" t="s">
        <v>186</v>
      </c>
      <c r="F280" s="31">
        <v>1941.42</v>
      </c>
      <c r="G280" s="31">
        <v>1947.21</v>
      </c>
      <c r="H280" s="31">
        <v>1952.48</v>
      </c>
      <c r="I280" s="31">
        <v>1948.02</v>
      </c>
      <c r="J280" s="31">
        <v>1944.39</v>
      </c>
      <c r="K280" s="31">
        <v>1938.73</v>
      </c>
      <c r="L280" s="31">
        <v>1944.64</v>
      </c>
      <c r="M280" s="31">
        <v>1950.86</v>
      </c>
      <c r="N280" s="31">
        <v>1943.61</v>
      </c>
      <c r="O280" s="68">
        <f>IF((N281=""),"",MAX(F282:N282))</f>
        <v>2145.9899999999998</v>
      </c>
      <c r="P280" s="68">
        <f>IF(N281="","",MIN(F282:N282))</f>
        <v>1981.3500000000001</v>
      </c>
      <c r="Q280" s="69">
        <f>IF((N282=""),"",AVERAGE(F282:N282))</f>
        <v>2091.25</v>
      </c>
      <c r="R280" s="69">
        <f>IF((N281=""),"",(O280-P280)/(O280+P280)*100)</f>
        <v>3.9890098707642125</v>
      </c>
      <c r="S280" s="152">
        <f>STDEV(F282:N282)</f>
        <v>52.981409947263543</v>
      </c>
      <c r="T280" s="162" t="str">
        <f>IF(N281="","",IF(Q280&gt;1940,IF(R280&lt;8.3,IF(Q280&lt;2180,"Pass","Fail"),"Fail"),"Fail"))</f>
        <v>Pass</v>
      </c>
      <c r="U280" s="154">
        <v>102</v>
      </c>
      <c r="V280" s="212"/>
      <c r="W280" s="31"/>
      <c r="X280" s="155">
        <v>2000</v>
      </c>
      <c r="Y280" s="155">
        <v>3000</v>
      </c>
      <c r="Z280" s="155">
        <v>1940</v>
      </c>
      <c r="AA280" s="155">
        <v>2180</v>
      </c>
      <c r="AC280" s="51">
        <v>5.2</v>
      </c>
    </row>
    <row r="281" spans="1:29" ht="16.100000000000001" x14ac:dyDescent="0.35">
      <c r="A281"/>
      <c r="B281" s="52"/>
      <c r="C281" s="53"/>
      <c r="D281" s="54"/>
      <c r="E281" s="81" t="s">
        <v>187</v>
      </c>
      <c r="F281" s="31">
        <v>1248.95</v>
      </c>
      <c r="G281" s="31">
        <v>1238.93</v>
      </c>
      <c r="H281" s="31">
        <v>1242.9100000000001</v>
      </c>
      <c r="I281" s="31">
        <v>1239.43</v>
      </c>
      <c r="J281" s="31">
        <v>1283.94</v>
      </c>
      <c r="K281" s="31">
        <v>1257.01</v>
      </c>
      <c r="L281" s="31">
        <v>1237.48</v>
      </c>
      <c r="M281" s="31">
        <v>1235.53</v>
      </c>
      <c r="N281" s="31">
        <v>1253.43</v>
      </c>
      <c r="O281" s="55"/>
      <c r="P281" s="55"/>
      <c r="Q281" s="56"/>
      <c r="R281" s="56"/>
      <c r="S281" s="152"/>
      <c r="T281" s="153"/>
      <c r="U281" s="156"/>
      <c r="V281" s="212"/>
      <c r="W281" s="31"/>
      <c r="X281" s="157"/>
      <c r="Y281" s="157"/>
      <c r="Z281" s="157"/>
      <c r="AA281" s="157"/>
    </row>
    <row r="282" spans="1:29" ht="16.649999999999999" thickBot="1" x14ac:dyDescent="0.4">
      <c r="A282"/>
      <c r="B282" s="70"/>
      <c r="C282" s="71"/>
      <c r="D282" s="72"/>
      <c r="E282" s="85" t="s">
        <v>190</v>
      </c>
      <c r="F282" s="73">
        <f t="shared" ref="F282:N282" si="90">IF(((F280="")*AND(F281="")),"",(F280-F281)*3)</f>
        <v>2077.41</v>
      </c>
      <c r="G282" s="73">
        <f t="shared" si="90"/>
        <v>2124.84</v>
      </c>
      <c r="H282" s="73">
        <f t="shared" si="90"/>
        <v>2128.71</v>
      </c>
      <c r="I282" s="73">
        <f t="shared" si="90"/>
        <v>2125.7699999999995</v>
      </c>
      <c r="J282" s="73">
        <f t="shared" si="90"/>
        <v>1981.3500000000001</v>
      </c>
      <c r="K282" s="73">
        <f t="shared" si="90"/>
        <v>2045.16</v>
      </c>
      <c r="L282" s="73">
        <f t="shared" si="90"/>
        <v>2121.4800000000005</v>
      </c>
      <c r="M282" s="73">
        <f t="shared" si="90"/>
        <v>2145.9899999999998</v>
      </c>
      <c r="N282" s="73">
        <f t="shared" si="90"/>
        <v>2070.5399999999995</v>
      </c>
      <c r="O282" s="74"/>
      <c r="P282" s="74"/>
      <c r="Q282" s="75"/>
      <c r="R282" s="75"/>
      <c r="S282" s="172"/>
      <c r="T282" s="163"/>
      <c r="U282" s="164"/>
      <c r="V282" s="212"/>
      <c r="W282" s="31"/>
      <c r="X282" s="157"/>
      <c r="Y282" s="157"/>
      <c r="Z282" s="157"/>
      <c r="AA282" s="157"/>
    </row>
    <row r="283" spans="1:29" x14ac:dyDescent="0.25">
      <c r="A283" s="248">
        <v>43244</v>
      </c>
      <c r="B283" s="258" t="s">
        <v>185</v>
      </c>
      <c r="C283" s="47" t="s">
        <v>173</v>
      </c>
      <c r="D283" s="48" t="s">
        <v>172</v>
      </c>
      <c r="E283" s="79" t="s">
        <v>186</v>
      </c>
      <c r="F283" s="31">
        <v>27782.15</v>
      </c>
      <c r="G283" s="31">
        <v>27766.92</v>
      </c>
      <c r="H283" s="31">
        <v>27854.12</v>
      </c>
      <c r="I283" s="31">
        <v>27729.18</v>
      </c>
      <c r="J283" s="31">
        <v>27793.83</v>
      </c>
      <c r="K283" s="31">
        <v>27755.96</v>
      </c>
      <c r="L283" s="31">
        <v>27750.92</v>
      </c>
      <c r="M283" s="31">
        <v>27742.2</v>
      </c>
      <c r="N283" s="31">
        <v>27808.63</v>
      </c>
      <c r="O283" s="49">
        <f>IF((N284=""),"",MAX(F285:N285))</f>
        <v>4606.1400000000031</v>
      </c>
      <c r="P283" s="49">
        <f>IF(N284="","",MIN(F285:N285))</f>
        <v>4012.5600000000013</v>
      </c>
      <c r="Q283" s="50">
        <f>IF((N285=""),"",AVERAGE(F285:N285))</f>
        <v>4283.4300000000021</v>
      </c>
      <c r="R283" s="50">
        <f>IF((N284=""),"",(O283-P283)/(O283+P283)*100)</f>
        <v>6.8871175467298027</v>
      </c>
      <c r="S283" s="152">
        <f>STDEV(F285:N285)</f>
        <v>263.7261411957511</v>
      </c>
      <c r="T283" s="153" t="str">
        <f>IF(N284="","",IF(R283&lt;16,IF(Q283&gt;3200,IF(R283,IF(Q283&lt;5240,"Pass","Fail"),"Fail"),"Fail")))</f>
        <v>Pass</v>
      </c>
      <c r="U283" s="154">
        <v>1159</v>
      </c>
      <c r="V283" s="31" t="s">
        <v>195</v>
      </c>
      <c r="X283" s="155">
        <v>4200</v>
      </c>
      <c r="Y283" s="155">
        <v>5500</v>
      </c>
      <c r="Z283" s="155">
        <v>3200</v>
      </c>
      <c r="AA283" s="155">
        <v>5240</v>
      </c>
      <c r="AC283" s="51">
        <v>16</v>
      </c>
    </row>
    <row r="284" spans="1:29" ht="16.100000000000001" x14ac:dyDescent="0.35">
      <c r="A284"/>
      <c r="B284" s="52"/>
      <c r="C284" s="53"/>
      <c r="D284" s="54"/>
      <c r="E284" s="81" t="s">
        <v>187</v>
      </c>
      <c r="F284" s="31">
        <v>26288.12</v>
      </c>
      <c r="G284" s="31">
        <v>26409.07</v>
      </c>
      <c r="H284" s="31">
        <v>26516.6</v>
      </c>
      <c r="I284" s="31">
        <v>26371.040000000001</v>
      </c>
      <c r="J284" s="31">
        <v>26258.45</v>
      </c>
      <c r="K284" s="31">
        <v>26241.759999999998</v>
      </c>
      <c r="L284" s="31">
        <v>26386.71</v>
      </c>
      <c r="M284" s="31">
        <v>26386.89</v>
      </c>
      <c r="N284" s="31">
        <v>26274.98</v>
      </c>
      <c r="O284" s="55"/>
      <c r="P284" s="55"/>
      <c r="Q284" s="56"/>
      <c r="R284" s="56"/>
      <c r="S284" s="152"/>
      <c r="T284" s="153"/>
      <c r="U284" s="156"/>
      <c r="X284" s="157"/>
      <c r="Y284" s="157"/>
      <c r="Z284" s="157"/>
      <c r="AA284" s="157"/>
    </row>
    <row r="285" spans="1:29" ht="22.75" thickBot="1" x14ac:dyDescent="0.4">
      <c r="A285"/>
      <c r="B285" s="57"/>
      <c r="C285" s="58"/>
      <c r="D285" s="59"/>
      <c r="E285" s="81" t="s">
        <v>188</v>
      </c>
      <c r="F285" s="60">
        <f t="shared" ref="F285:N285" si="91">IF(((F283="")*AND(F284="")),"",(F283-F284)*3)</f>
        <v>4482.0900000000074</v>
      </c>
      <c r="G285" s="60">
        <f t="shared" si="91"/>
        <v>4073.5499999999956</v>
      </c>
      <c r="H285" s="60">
        <f t="shared" si="91"/>
        <v>4012.5600000000013</v>
      </c>
      <c r="I285" s="60">
        <f t="shared" si="91"/>
        <v>4074.4199999999983</v>
      </c>
      <c r="J285" s="60">
        <f t="shared" si="91"/>
        <v>4606.1400000000031</v>
      </c>
      <c r="K285" s="60">
        <f t="shared" si="91"/>
        <v>4542.6000000000022</v>
      </c>
      <c r="L285" s="60">
        <f t="shared" si="91"/>
        <v>4092.6299999999974</v>
      </c>
      <c r="M285" s="60">
        <f t="shared" si="91"/>
        <v>4065.9300000000039</v>
      </c>
      <c r="N285" s="60">
        <f t="shared" si="91"/>
        <v>4600.9500000000044</v>
      </c>
      <c r="O285" s="61"/>
      <c r="P285" s="61"/>
      <c r="Q285" s="62"/>
      <c r="R285" s="62"/>
      <c r="S285" s="173"/>
      <c r="T285" s="158"/>
      <c r="U285" s="159"/>
      <c r="X285" s="157"/>
      <c r="Y285" s="157"/>
      <c r="Z285" s="157"/>
      <c r="AA285" s="157"/>
    </row>
    <row r="286" spans="1:29" x14ac:dyDescent="0.25">
      <c r="A286" s="248">
        <v>43244</v>
      </c>
      <c r="B286" s="257" t="s">
        <v>174</v>
      </c>
      <c r="C286" s="53" t="s">
        <v>176</v>
      </c>
      <c r="D286" s="64" t="s">
        <v>175</v>
      </c>
      <c r="E286" s="61" t="s">
        <v>186</v>
      </c>
      <c r="F286" s="31">
        <v>6855.3</v>
      </c>
      <c r="G286" s="31">
        <v>6847.12</v>
      </c>
      <c r="H286" s="31">
        <v>6915.85</v>
      </c>
      <c r="I286" s="31">
        <v>6889.95</v>
      </c>
      <c r="J286" s="31">
        <v>7000</v>
      </c>
      <c r="K286" s="31">
        <v>6934.37</v>
      </c>
      <c r="L286" s="31">
        <v>6894.35</v>
      </c>
      <c r="M286" s="31">
        <v>6886.61</v>
      </c>
      <c r="N286" s="31">
        <v>6975.03</v>
      </c>
      <c r="O286" s="55">
        <f>IF((N287=""),"",MAX(F288:N288))</f>
        <v>4069.26</v>
      </c>
      <c r="P286" s="55">
        <f>IF(N287="","",MIN(F288:N288))</f>
        <v>3806.76</v>
      </c>
      <c r="Q286" s="56">
        <f>IF((N288=""),"",AVERAGE(F288:N288))</f>
        <v>3988.284444444444</v>
      </c>
      <c r="R286" s="56">
        <f>IF((N287=""),"",(O286-P286)/(O286+P286)*100)</f>
        <v>3.3329016432157355</v>
      </c>
      <c r="S286" s="152">
        <f>STDEV(F288:N288)</f>
        <v>91.663049140740299</v>
      </c>
      <c r="T286" s="153" t="str">
        <f>IF(N287="","",IF(Q286&gt;3650,IF(R286&lt;7,IF(Q286&lt;4450,"Pass","Fail"),"Fail"),"Fail"))</f>
        <v>Pass</v>
      </c>
      <c r="U286" s="154">
        <v>1159</v>
      </c>
      <c r="V286" s="31" t="s">
        <v>195</v>
      </c>
      <c r="X286" s="155">
        <v>3650</v>
      </c>
      <c r="Y286" s="155">
        <v>4450</v>
      </c>
      <c r="Z286" s="155">
        <v>3700</v>
      </c>
      <c r="AA286" s="155">
        <v>4100</v>
      </c>
      <c r="AB286" s="51">
        <v>7</v>
      </c>
      <c r="AC286" s="51">
        <v>6.5</v>
      </c>
    </row>
    <row r="287" spans="1:29" ht="16.649999999999999" customHeight="1" x14ac:dyDescent="0.35">
      <c r="A287"/>
      <c r="B287" s="63"/>
      <c r="C287" s="53"/>
      <c r="D287" s="54"/>
      <c r="E287" s="81" t="s">
        <v>187</v>
      </c>
      <c r="F287" s="31">
        <v>4891.8</v>
      </c>
      <c r="G287" s="31">
        <v>4828.8999999999996</v>
      </c>
      <c r="H287" s="31">
        <v>4881.22</v>
      </c>
      <c r="I287" s="31">
        <v>4863.8900000000003</v>
      </c>
      <c r="J287" s="31">
        <v>5050.01</v>
      </c>
      <c r="K287" s="31">
        <v>5030.99</v>
      </c>
      <c r="L287" s="31">
        <v>4869.18</v>
      </c>
      <c r="M287" s="31">
        <v>4854.03</v>
      </c>
      <c r="N287" s="31">
        <v>4981.28</v>
      </c>
      <c r="O287" s="55"/>
      <c r="P287" s="55"/>
      <c r="Q287" s="56"/>
      <c r="R287" s="56"/>
      <c r="S287" s="152"/>
      <c r="T287" s="153"/>
      <c r="U287" s="161"/>
      <c r="X287" s="157"/>
      <c r="Y287" s="157"/>
      <c r="Z287" s="157"/>
      <c r="AA287" s="157"/>
    </row>
    <row r="288" spans="1:29" ht="22.75" customHeight="1" thickBot="1" x14ac:dyDescent="0.4">
      <c r="A288"/>
      <c r="B288" s="63"/>
      <c r="C288" s="53"/>
      <c r="D288" s="54"/>
      <c r="E288" s="68" t="s">
        <v>188</v>
      </c>
      <c r="F288" s="65">
        <f t="shared" ref="F288:N288" si="92">IF(((F286="")*AND(F287="")),"",(F286-F287)*2)</f>
        <v>3927</v>
      </c>
      <c r="G288" s="65">
        <f t="shared" si="92"/>
        <v>4036.4400000000005</v>
      </c>
      <c r="H288" s="65">
        <f t="shared" si="92"/>
        <v>4069.26</v>
      </c>
      <c r="I288" s="65">
        <f t="shared" si="92"/>
        <v>4052.119999999999</v>
      </c>
      <c r="J288" s="65">
        <f t="shared" si="92"/>
        <v>3899.9799999999996</v>
      </c>
      <c r="K288" s="65">
        <f t="shared" si="92"/>
        <v>3806.76</v>
      </c>
      <c r="L288" s="65">
        <f t="shared" si="92"/>
        <v>4050.34</v>
      </c>
      <c r="M288" s="65">
        <f t="shared" si="92"/>
        <v>4065.16</v>
      </c>
      <c r="N288" s="65">
        <f t="shared" si="92"/>
        <v>3987.5</v>
      </c>
      <c r="O288" s="55"/>
      <c r="P288" s="55"/>
      <c r="Q288" s="56"/>
      <c r="R288" s="56"/>
      <c r="S288" s="152"/>
      <c r="T288" s="153"/>
      <c r="U288" s="161"/>
      <c r="X288" s="157"/>
      <c r="Y288" s="157"/>
      <c r="Z288" s="157"/>
      <c r="AA288" s="157"/>
    </row>
    <row r="289" spans="1:29" ht="13.3" customHeight="1" x14ac:dyDescent="0.25">
      <c r="A289" s="248">
        <v>43244</v>
      </c>
      <c r="B289" s="257" t="s">
        <v>169</v>
      </c>
      <c r="C289" s="67" t="s">
        <v>171</v>
      </c>
      <c r="D289" s="66" t="s">
        <v>189</v>
      </c>
      <c r="E289" s="81" t="s">
        <v>186</v>
      </c>
      <c r="F289" s="31">
        <v>1254.3499999999999</v>
      </c>
      <c r="G289" s="31">
        <v>1243.99</v>
      </c>
      <c r="H289" s="31">
        <v>1246.74</v>
      </c>
      <c r="I289" s="31">
        <v>1245.3499999999999</v>
      </c>
      <c r="J289" s="31">
        <v>1287.3800000000001</v>
      </c>
      <c r="K289" s="31">
        <v>1258.81</v>
      </c>
      <c r="L289" s="31">
        <v>1241.5899999999999</v>
      </c>
      <c r="M289" s="31">
        <v>1240.3499999999999</v>
      </c>
      <c r="N289" s="31">
        <v>1272.76</v>
      </c>
      <c r="O289" s="68">
        <f>IF((N290=""),"",MAX(F291:N291))</f>
        <v>2135.46</v>
      </c>
      <c r="P289" s="68">
        <f>IF(N290="","",MIN(F291:N291))</f>
        <v>1954.8900000000003</v>
      </c>
      <c r="Q289" s="69">
        <f>IF((N291=""),"",AVERAGE(F291:N291))</f>
        <v>2074.2833333333328</v>
      </c>
      <c r="R289" s="69">
        <f>IF((N290=""),"",(O289-P289)/(O289+P289)*100)</f>
        <v>4.4145366533426165</v>
      </c>
      <c r="S289" s="152">
        <f>STDEV(F291:N291)</f>
        <v>64.695978623095115</v>
      </c>
      <c r="T289" s="162" t="str">
        <f>IF(N290="","",IF(Q289&gt;1940,IF(R289&lt;8.3,IF(Q289&lt;2180,"Pass","Fail"),"Fail"),"Fail"))</f>
        <v>Pass</v>
      </c>
      <c r="U289" s="154">
        <v>1159</v>
      </c>
      <c r="V289" s="31" t="s">
        <v>195</v>
      </c>
      <c r="X289" s="155">
        <v>2000</v>
      </c>
      <c r="Y289" s="155">
        <v>3000</v>
      </c>
      <c r="Z289" s="155">
        <v>1940</v>
      </c>
      <c r="AA289" s="155">
        <v>2180</v>
      </c>
      <c r="AC289" s="51">
        <v>5.2</v>
      </c>
    </row>
    <row r="290" spans="1:29" ht="16.649999999999999" customHeight="1" x14ac:dyDescent="0.35">
      <c r="A290"/>
      <c r="B290" s="52"/>
      <c r="C290" s="53"/>
      <c r="D290" s="54"/>
      <c r="E290" s="81" t="s">
        <v>187</v>
      </c>
      <c r="F290" s="31">
        <v>567.49</v>
      </c>
      <c r="G290" s="31">
        <v>532.16999999999996</v>
      </c>
      <c r="H290" s="31">
        <v>536.88</v>
      </c>
      <c r="I290" s="31">
        <v>542.66</v>
      </c>
      <c r="J290" s="31">
        <v>635.75</v>
      </c>
      <c r="K290" s="31">
        <v>580.99</v>
      </c>
      <c r="L290" s="31">
        <v>534</v>
      </c>
      <c r="M290" s="31">
        <v>533.66</v>
      </c>
      <c r="N290" s="31">
        <v>604.87</v>
      </c>
      <c r="O290" s="55"/>
      <c r="P290" s="55"/>
      <c r="Q290" s="56"/>
      <c r="R290" s="56"/>
      <c r="S290" s="152"/>
      <c r="T290" s="153"/>
      <c r="U290" s="156"/>
      <c r="X290" s="157"/>
      <c r="Y290" s="157"/>
      <c r="Z290" s="157"/>
      <c r="AA290" s="157"/>
    </row>
    <row r="291" spans="1:29" ht="16.649999999999999" customHeight="1" thickBot="1" x14ac:dyDescent="0.4">
      <c r="A291"/>
      <c r="B291" s="70"/>
      <c r="C291" s="71"/>
      <c r="D291" s="72"/>
      <c r="E291" s="85" t="s">
        <v>190</v>
      </c>
      <c r="F291" s="73">
        <f t="shared" ref="F291:N291" si="93">IF(((F289="")*AND(F290="")),"",(F289-F290)*3)</f>
        <v>2060.58</v>
      </c>
      <c r="G291" s="73">
        <f t="shared" si="93"/>
        <v>2135.46</v>
      </c>
      <c r="H291" s="73">
        <f t="shared" si="93"/>
        <v>2129.58</v>
      </c>
      <c r="I291" s="73">
        <f t="shared" si="93"/>
        <v>2108.0699999999997</v>
      </c>
      <c r="J291" s="73">
        <f t="shared" si="93"/>
        <v>1954.8900000000003</v>
      </c>
      <c r="K291" s="73">
        <f t="shared" si="93"/>
        <v>2033.4599999999998</v>
      </c>
      <c r="L291" s="73">
        <f t="shared" si="93"/>
        <v>2122.7699999999995</v>
      </c>
      <c r="M291" s="73">
        <f t="shared" si="93"/>
        <v>2120.0699999999997</v>
      </c>
      <c r="N291" s="73">
        <f t="shared" si="93"/>
        <v>2003.67</v>
      </c>
      <c r="O291" s="74"/>
      <c r="P291" s="74"/>
      <c r="Q291" s="75"/>
      <c r="R291" s="75"/>
      <c r="S291" s="172"/>
      <c r="T291" s="163"/>
      <c r="U291" s="164"/>
      <c r="X291" s="157"/>
      <c r="Y291" s="157"/>
      <c r="Z291" s="157"/>
      <c r="AA291" s="157"/>
    </row>
    <row r="292" spans="1:29" ht="13.3" customHeight="1" x14ac:dyDescent="0.25">
      <c r="A292" s="248">
        <v>43248</v>
      </c>
      <c r="B292" s="258" t="s">
        <v>185</v>
      </c>
      <c r="C292" s="47" t="s">
        <v>173</v>
      </c>
      <c r="D292" s="48" t="s">
        <v>172</v>
      </c>
      <c r="E292" s="79" t="s">
        <v>186</v>
      </c>
      <c r="F292" s="31">
        <v>26215.79</v>
      </c>
      <c r="G292" s="31">
        <v>26337.64</v>
      </c>
      <c r="H292" s="31">
        <v>26455.16</v>
      </c>
      <c r="I292" s="31">
        <v>26306.33</v>
      </c>
      <c r="J292" s="31">
        <v>26182.84</v>
      </c>
      <c r="K292" s="31">
        <v>26163.97</v>
      </c>
      <c r="L292" s="31">
        <v>26316.35</v>
      </c>
      <c r="M292" s="31">
        <v>26314.46</v>
      </c>
      <c r="N292" s="31">
        <v>26201.75</v>
      </c>
      <c r="O292" s="49">
        <f>IF((N293=""),"",MAX(F294:N294))</f>
        <v>4581.2700000000004</v>
      </c>
      <c r="P292" s="49">
        <f>IF(N293="","",MIN(F294:N294))</f>
        <v>3976.9199999999983</v>
      </c>
      <c r="Q292" s="50">
        <f>IF((N294=""),"",AVERAGE(F294:N294))</f>
        <v>4247.8266666666668</v>
      </c>
      <c r="R292" s="50">
        <f>IF((N293=""),"",(O292-P292)/(O292+P292)*100)</f>
        <v>7.0616567288176846</v>
      </c>
      <c r="S292" s="152">
        <f>STDEV(F294:N294)</f>
        <v>253.70306915762816</v>
      </c>
      <c r="T292" s="153" t="str">
        <f>IF(N293="","",IF(R292&lt;16,IF(Q292&gt;3200,IF(R292,IF(Q292&lt;5240,"Pass","Fail"),"Fail"),"Fail")))</f>
        <v>Pass</v>
      </c>
      <c r="U292" s="154">
        <v>1428</v>
      </c>
      <c r="W292" s="31"/>
      <c r="X292" s="155">
        <v>4200</v>
      </c>
      <c r="Y292" s="155">
        <v>5500</v>
      </c>
      <c r="Z292" s="155">
        <v>3200</v>
      </c>
      <c r="AA292" s="155">
        <v>5240</v>
      </c>
      <c r="AC292" s="51">
        <v>16</v>
      </c>
    </row>
    <row r="293" spans="1:29" ht="16.649999999999999" customHeight="1" x14ac:dyDescent="0.35">
      <c r="A293"/>
      <c r="B293" s="52"/>
      <c r="C293" s="53"/>
      <c r="D293" s="54"/>
      <c r="E293" s="81" t="s">
        <v>187</v>
      </c>
      <c r="F293" s="31">
        <v>24738.75</v>
      </c>
      <c r="G293" s="31">
        <v>24988.21</v>
      </c>
      <c r="H293" s="31">
        <v>25129.52</v>
      </c>
      <c r="I293" s="31">
        <v>24949.25</v>
      </c>
      <c r="J293" s="31">
        <v>24657.34</v>
      </c>
      <c r="K293" s="31">
        <v>24682.080000000002</v>
      </c>
      <c r="L293" s="31">
        <v>24964.23</v>
      </c>
      <c r="M293" s="31">
        <v>24966.77</v>
      </c>
      <c r="N293" s="31">
        <v>24674.66</v>
      </c>
      <c r="O293" s="55"/>
      <c r="P293" s="55"/>
      <c r="Q293" s="56"/>
      <c r="R293" s="56"/>
      <c r="S293" s="152"/>
      <c r="T293" s="153"/>
      <c r="U293" s="156"/>
      <c r="W293" s="31"/>
      <c r="X293" s="157"/>
      <c r="Y293" s="157"/>
      <c r="Z293" s="157"/>
      <c r="AA293" s="157"/>
    </row>
    <row r="294" spans="1:29" ht="22.75" customHeight="1" thickBot="1" x14ac:dyDescent="0.4">
      <c r="A294"/>
      <c r="B294" s="57"/>
      <c r="C294" s="58"/>
      <c r="D294" s="59"/>
      <c r="E294" s="81" t="s">
        <v>188</v>
      </c>
      <c r="F294" s="60">
        <f t="shared" ref="F294:N294" si="94">IF(((F292="")*AND(F293="")),"",(F292-F293)*3)</f>
        <v>4431.1200000000026</v>
      </c>
      <c r="G294" s="60">
        <f t="shared" si="94"/>
        <v>4048.2900000000009</v>
      </c>
      <c r="H294" s="60">
        <f t="shared" si="94"/>
        <v>3976.9199999999983</v>
      </c>
      <c r="I294" s="60">
        <f t="shared" si="94"/>
        <v>4071.2400000000052</v>
      </c>
      <c r="J294" s="60">
        <f t="shared" si="94"/>
        <v>4576.5</v>
      </c>
      <c r="K294" s="60">
        <f t="shared" si="94"/>
        <v>4445.6699999999983</v>
      </c>
      <c r="L294" s="60">
        <f t="shared" si="94"/>
        <v>4056.3599999999969</v>
      </c>
      <c r="M294" s="60">
        <f t="shared" si="94"/>
        <v>4043.0699999999961</v>
      </c>
      <c r="N294" s="60">
        <f t="shared" si="94"/>
        <v>4581.2700000000004</v>
      </c>
      <c r="O294" s="61"/>
      <c r="P294" s="61"/>
      <c r="Q294" s="62"/>
      <c r="R294" s="62"/>
      <c r="S294" s="173"/>
      <c r="T294" s="158"/>
      <c r="U294" s="159"/>
      <c r="W294" s="31"/>
      <c r="X294" s="157"/>
      <c r="Y294" s="157"/>
      <c r="Z294" s="157"/>
      <c r="AA294" s="157"/>
    </row>
    <row r="295" spans="1:29" x14ac:dyDescent="0.25">
      <c r="A295" s="248">
        <v>43248</v>
      </c>
      <c r="B295" s="257" t="s">
        <v>174</v>
      </c>
      <c r="C295" s="53" t="s">
        <v>176</v>
      </c>
      <c r="D295" s="64" t="s">
        <v>175</v>
      </c>
      <c r="E295" s="61" t="s">
        <v>186</v>
      </c>
      <c r="F295" s="31">
        <v>4904.3900000000003</v>
      </c>
      <c r="G295" s="31">
        <v>4842.66</v>
      </c>
      <c r="H295" s="31">
        <v>4894.71</v>
      </c>
      <c r="I295" s="31">
        <v>4876.95</v>
      </c>
      <c r="J295" s="31">
        <v>5060.51</v>
      </c>
      <c r="K295" s="31">
        <v>5040.1899999999996</v>
      </c>
      <c r="L295" s="31">
        <v>4882.38</v>
      </c>
      <c r="M295" s="31">
        <v>4867.34</v>
      </c>
      <c r="N295" s="31">
        <v>4992.62</v>
      </c>
      <c r="O295" s="55">
        <f>IF((N296=""),"",MAX(F297:N297))</f>
        <v>4123.6000000000004</v>
      </c>
      <c r="P295" s="55">
        <f>IF(N296="","",MIN(F297:N297))</f>
        <v>3807.5199999999995</v>
      </c>
      <c r="Q295" s="56">
        <f>IF((N297=""),"",AVERAGE(F297:N297))</f>
        <v>4029.2511111111112</v>
      </c>
      <c r="R295" s="56">
        <f>IF((N296=""),"",(O295-P295)/(O295+P295)*100)</f>
        <v>3.9853135496626058</v>
      </c>
      <c r="S295" s="152">
        <f>STDEV(F297:N297)</f>
        <v>102.70881077644286</v>
      </c>
      <c r="T295" s="153" t="str">
        <f>IF(N296="","",IF(Q295&gt;3650,IF(R295&lt;7,IF(Q295&lt;4450,"Pass","Fail"),"Fail"),"Fail"))</f>
        <v>Pass</v>
      </c>
      <c r="U295" s="154">
        <v>1428</v>
      </c>
      <c r="W295" s="31"/>
      <c r="X295" s="155">
        <v>3650</v>
      </c>
      <c r="Y295" s="155">
        <v>4450</v>
      </c>
      <c r="Z295" s="155">
        <v>3700</v>
      </c>
      <c r="AA295" s="155">
        <v>4100</v>
      </c>
      <c r="AB295" s="51">
        <v>7</v>
      </c>
      <c r="AC295" s="51">
        <v>6.5</v>
      </c>
    </row>
    <row r="296" spans="1:29" ht="16.649999999999999" customHeight="1" x14ac:dyDescent="0.35">
      <c r="A296"/>
      <c r="B296" s="63"/>
      <c r="C296" s="53"/>
      <c r="D296" s="54"/>
      <c r="E296" s="81" t="s">
        <v>187</v>
      </c>
      <c r="F296" s="31">
        <v>2921.55</v>
      </c>
      <c r="G296" s="31">
        <v>2800.74</v>
      </c>
      <c r="H296" s="31">
        <v>2840.73</v>
      </c>
      <c r="I296" s="31">
        <v>2831.04</v>
      </c>
      <c r="J296" s="31">
        <v>3084.51</v>
      </c>
      <c r="K296" s="31">
        <v>3136.43</v>
      </c>
      <c r="L296" s="31">
        <v>2840.93</v>
      </c>
      <c r="M296" s="31">
        <v>2805.54</v>
      </c>
      <c r="N296" s="31">
        <v>2968.65</v>
      </c>
      <c r="O296" s="55"/>
      <c r="P296" s="55"/>
      <c r="Q296" s="56"/>
      <c r="R296" s="56"/>
      <c r="S296" s="152"/>
      <c r="T296" s="153"/>
      <c r="U296" s="161"/>
      <c r="W296" s="31"/>
      <c r="X296" s="157"/>
      <c r="Y296" s="157"/>
      <c r="Z296" s="157"/>
      <c r="AA296" s="157"/>
    </row>
    <row r="297" spans="1:29" ht="22.75" customHeight="1" thickBot="1" x14ac:dyDescent="0.4">
      <c r="A297"/>
      <c r="B297" s="63"/>
      <c r="C297" s="53"/>
      <c r="D297" s="54"/>
      <c r="E297" s="68" t="s">
        <v>188</v>
      </c>
      <c r="F297" s="65">
        <f t="shared" ref="F297:N297" si="95">IF(((F295="")*AND(F296="")),"",(F295-F296)*2)</f>
        <v>3965.6800000000003</v>
      </c>
      <c r="G297" s="65">
        <f t="shared" si="95"/>
        <v>4083.84</v>
      </c>
      <c r="H297" s="65">
        <f t="shared" si="95"/>
        <v>4107.96</v>
      </c>
      <c r="I297" s="65">
        <f t="shared" si="95"/>
        <v>4091.8199999999997</v>
      </c>
      <c r="J297" s="65">
        <f t="shared" si="95"/>
        <v>3952</v>
      </c>
      <c r="K297" s="65">
        <f t="shared" si="95"/>
        <v>3807.5199999999995</v>
      </c>
      <c r="L297" s="65">
        <f t="shared" si="95"/>
        <v>4082.9000000000005</v>
      </c>
      <c r="M297" s="65">
        <f t="shared" si="95"/>
        <v>4123.6000000000004</v>
      </c>
      <c r="N297" s="65">
        <f t="shared" si="95"/>
        <v>4047.9399999999996</v>
      </c>
      <c r="O297" s="55"/>
      <c r="P297" s="55"/>
      <c r="Q297" s="56"/>
      <c r="R297" s="56"/>
      <c r="S297" s="152"/>
      <c r="T297" s="153"/>
      <c r="U297" s="161"/>
      <c r="W297" s="31"/>
      <c r="X297" s="157"/>
      <c r="Y297" s="157"/>
      <c r="Z297" s="157"/>
      <c r="AA297" s="157"/>
    </row>
    <row r="298" spans="1:29" ht="13.3" customHeight="1" x14ac:dyDescent="0.25">
      <c r="A298" s="248">
        <v>43248</v>
      </c>
      <c r="B298" s="257" t="s">
        <v>169</v>
      </c>
      <c r="C298" s="67" t="s">
        <v>171</v>
      </c>
      <c r="D298" s="66" t="s">
        <v>189</v>
      </c>
      <c r="E298" s="81" t="s">
        <v>186</v>
      </c>
      <c r="F298" s="31">
        <v>1956.4</v>
      </c>
      <c r="G298" s="31">
        <v>1964.54</v>
      </c>
      <c r="H298" s="31">
        <v>1969.77</v>
      </c>
      <c r="I298" s="31">
        <v>1967.39</v>
      </c>
      <c r="J298" s="31">
        <v>1963.15</v>
      </c>
      <c r="K298" s="31">
        <v>1952.13</v>
      </c>
      <c r="L298" s="31">
        <v>1968.03</v>
      </c>
      <c r="M298" s="31">
        <v>1965.9</v>
      </c>
      <c r="N298" s="31">
        <v>1962.57</v>
      </c>
      <c r="O298" s="68">
        <f>IF((N299=""),"",MAX(F300:N300))</f>
        <v>2153.0700000000002</v>
      </c>
      <c r="P298" s="68">
        <f>IF(N299="","",MIN(F300:N300))</f>
        <v>1981.6500000000005</v>
      </c>
      <c r="Q298" s="69">
        <f>IF((N300=""),"",AVERAGE(F300:N300))</f>
        <v>2090.5166666666669</v>
      </c>
      <c r="R298" s="69">
        <f>IF((N299=""),"",(O298-P298)/(O298+P298)*100)</f>
        <v>4.1458671929417124</v>
      </c>
      <c r="S298" s="152">
        <f>STDEV(F300:N300)</f>
        <v>71.145038653443706</v>
      </c>
      <c r="T298" s="162" t="str">
        <f>IF(N299="","",IF(Q298&gt;1940,IF(R298&lt;8.3,IF(Q298&lt;2180,"Pass","Fail"),"Fail"),"Fail"))</f>
        <v>Pass</v>
      </c>
      <c r="U298" s="154">
        <v>1428</v>
      </c>
      <c r="W298" s="31"/>
      <c r="X298" s="155">
        <v>2000</v>
      </c>
      <c r="Y298" s="155">
        <v>3000</v>
      </c>
      <c r="Z298" s="155">
        <v>1940</v>
      </c>
      <c r="AA298" s="155">
        <v>2180</v>
      </c>
      <c r="AC298" s="51">
        <v>5.2</v>
      </c>
    </row>
    <row r="299" spans="1:29" ht="16.649999999999999" customHeight="1" x14ac:dyDescent="0.35">
      <c r="A299"/>
      <c r="B299" s="52"/>
      <c r="C299" s="53"/>
      <c r="D299" s="54"/>
      <c r="E299" s="81" t="s">
        <v>187</v>
      </c>
      <c r="F299" s="31">
        <v>1263.8699999999999</v>
      </c>
      <c r="G299" s="31">
        <v>1246.8499999999999</v>
      </c>
      <c r="H299" s="31">
        <v>1253.26</v>
      </c>
      <c r="I299" s="31">
        <v>1255.3599999999999</v>
      </c>
      <c r="J299" s="31">
        <v>1302.5999999999999</v>
      </c>
      <c r="K299" s="31">
        <v>1287.3800000000001</v>
      </c>
      <c r="L299" s="31">
        <v>1251.56</v>
      </c>
      <c r="M299" s="31">
        <v>1251.78</v>
      </c>
      <c r="N299" s="31">
        <v>1285.67</v>
      </c>
      <c r="O299" s="55"/>
      <c r="P299" s="55"/>
      <c r="Q299" s="56"/>
      <c r="R299" s="56"/>
      <c r="S299" s="152"/>
      <c r="T299" s="153"/>
      <c r="U299" s="156"/>
      <c r="W299" s="31"/>
      <c r="X299" s="157"/>
      <c r="Y299" s="157"/>
      <c r="Z299" s="157"/>
      <c r="AA299" s="157"/>
    </row>
    <row r="300" spans="1:29" ht="16.649999999999999" customHeight="1" thickBot="1" x14ac:dyDescent="0.4">
      <c r="A300"/>
      <c r="B300" s="70"/>
      <c r="C300" s="71"/>
      <c r="D300" s="72"/>
      <c r="E300" s="85" t="s">
        <v>190</v>
      </c>
      <c r="F300" s="73">
        <f t="shared" ref="F300:N300" si="96">IF(((F298="")*AND(F299="")),"",(F298-F299)*3)</f>
        <v>2077.5900000000006</v>
      </c>
      <c r="G300" s="73">
        <f t="shared" si="96"/>
        <v>2153.0700000000002</v>
      </c>
      <c r="H300" s="73">
        <f t="shared" si="96"/>
        <v>2149.5299999999997</v>
      </c>
      <c r="I300" s="73">
        <f t="shared" si="96"/>
        <v>2136.0900000000006</v>
      </c>
      <c r="J300" s="73">
        <f t="shared" si="96"/>
        <v>1981.6500000000005</v>
      </c>
      <c r="K300" s="73">
        <f t="shared" si="96"/>
        <v>1994.25</v>
      </c>
      <c r="L300" s="73">
        <f t="shared" si="96"/>
        <v>2149.41</v>
      </c>
      <c r="M300" s="73">
        <f t="shared" si="96"/>
        <v>2142.3600000000006</v>
      </c>
      <c r="N300" s="73">
        <f t="shared" si="96"/>
        <v>2030.6999999999996</v>
      </c>
      <c r="O300" s="74"/>
      <c r="P300" s="74"/>
      <c r="Q300" s="75"/>
      <c r="R300" s="75"/>
      <c r="S300" s="172"/>
      <c r="T300" s="163"/>
      <c r="U300" s="164"/>
      <c r="W300" s="31"/>
      <c r="X300" s="157"/>
      <c r="Y300" s="157"/>
      <c r="Z300" s="157"/>
      <c r="AA300" s="157"/>
    </row>
    <row r="301" spans="1:29" ht="13.3" customHeight="1" x14ac:dyDescent="0.25">
      <c r="A301" s="248">
        <v>43252</v>
      </c>
      <c r="B301" s="258" t="s">
        <v>185</v>
      </c>
      <c r="C301" s="47" t="s">
        <v>173</v>
      </c>
      <c r="D301" s="48" t="s">
        <v>172</v>
      </c>
      <c r="E301" s="79" t="s">
        <v>186</v>
      </c>
      <c r="F301" s="31">
        <v>24738.75</v>
      </c>
      <c r="G301" s="31">
        <v>24988.21</v>
      </c>
      <c r="H301" s="31">
        <v>25129.52</v>
      </c>
      <c r="I301" s="31">
        <v>24949.25</v>
      </c>
      <c r="J301" s="31">
        <v>24657.34</v>
      </c>
      <c r="K301" s="31">
        <v>24682.080000000002</v>
      </c>
      <c r="L301" s="31">
        <v>24964.23</v>
      </c>
      <c r="M301" s="31">
        <v>24966.77</v>
      </c>
      <c r="N301" s="31">
        <v>24674.66</v>
      </c>
      <c r="O301" s="49">
        <f>IF((N302=""),"",MAX(F303:N303))</f>
        <v>5165.1000000000022</v>
      </c>
      <c r="P301" s="49">
        <f>IF(N302="","",MIN(F303:N303))</f>
        <v>4240.4700000000048</v>
      </c>
      <c r="Q301" s="50">
        <f>IF((N303=""),"",AVERAGE(F303:N303))</f>
        <v>4599.8133333333353</v>
      </c>
      <c r="R301" s="50">
        <f>IF((N302=""),"",(O301-P301)/(O301+P301)*100)</f>
        <v>9.8306641702735362</v>
      </c>
      <c r="S301" s="152">
        <f>STDEV(F303:N303)</f>
        <v>371.18153169978763</v>
      </c>
      <c r="T301" s="153" t="str">
        <f>IF(N302="","",IF(R301&lt;16,IF(Q301&gt;3200,IF(R301,IF(Q301&lt;5240,"Pass","Fail"),"Fail"),"Fail")))</f>
        <v>Pass</v>
      </c>
      <c r="U301" s="154" t="s">
        <v>51</v>
      </c>
      <c r="W301" s="31"/>
      <c r="X301" s="155">
        <v>4200</v>
      </c>
      <c r="Y301" s="155">
        <v>5500</v>
      </c>
      <c r="Z301" s="155">
        <v>3200</v>
      </c>
      <c r="AA301" s="155">
        <v>5240</v>
      </c>
      <c r="AC301" s="51">
        <v>16</v>
      </c>
    </row>
    <row r="302" spans="1:29" ht="16.649999999999999" customHeight="1" x14ac:dyDescent="0.35">
      <c r="A302"/>
      <c r="B302" s="52"/>
      <c r="C302" s="53"/>
      <c r="D302" s="54"/>
      <c r="E302" s="81" t="s">
        <v>187</v>
      </c>
      <c r="F302" s="31">
        <v>23114.37</v>
      </c>
      <c r="G302" s="31">
        <v>23556.55</v>
      </c>
      <c r="H302" s="31">
        <v>23716.03</v>
      </c>
      <c r="I302" s="31">
        <v>23511.09</v>
      </c>
      <c r="J302" s="31">
        <v>22972.12</v>
      </c>
      <c r="K302" s="31">
        <v>23082.38</v>
      </c>
      <c r="L302" s="31">
        <v>23543.87</v>
      </c>
      <c r="M302" s="31">
        <v>23502</v>
      </c>
      <c r="N302" s="31">
        <v>22952.959999999999</v>
      </c>
      <c r="O302" s="55"/>
      <c r="P302" s="55"/>
      <c r="Q302" s="56"/>
      <c r="R302" s="56"/>
      <c r="S302" s="152"/>
      <c r="T302" s="153"/>
      <c r="U302" s="156"/>
      <c r="W302" s="31"/>
      <c r="X302" s="157"/>
      <c r="Y302" s="157"/>
      <c r="Z302" s="157"/>
      <c r="AA302" s="157"/>
    </row>
    <row r="303" spans="1:29" ht="22.75" customHeight="1" thickBot="1" x14ac:dyDescent="0.4">
      <c r="A303"/>
      <c r="B303" s="57"/>
      <c r="C303" s="58"/>
      <c r="D303" s="59"/>
      <c r="E303" s="81" t="s">
        <v>188</v>
      </c>
      <c r="F303" s="60">
        <f t="shared" ref="F303:N303" si="97">IF(((F301="")*AND(F302="")),"",(F301-F302)*3)</f>
        <v>4873.1400000000031</v>
      </c>
      <c r="G303" s="60">
        <f t="shared" si="97"/>
        <v>4294.9799999999996</v>
      </c>
      <c r="H303" s="60">
        <f t="shared" si="97"/>
        <v>4240.4700000000048</v>
      </c>
      <c r="I303" s="60">
        <f t="shared" si="97"/>
        <v>4314.4799999999996</v>
      </c>
      <c r="J303" s="60">
        <f t="shared" si="97"/>
        <v>5055.6600000000035</v>
      </c>
      <c r="K303" s="60">
        <f t="shared" si="97"/>
        <v>4799.1000000000022</v>
      </c>
      <c r="L303" s="60">
        <f t="shared" si="97"/>
        <v>4261.0800000000017</v>
      </c>
      <c r="M303" s="60">
        <f t="shared" si="97"/>
        <v>4394.3100000000013</v>
      </c>
      <c r="N303" s="60">
        <f t="shared" si="97"/>
        <v>5165.1000000000022</v>
      </c>
      <c r="O303" s="61"/>
      <c r="P303" s="61"/>
      <c r="Q303" s="62"/>
      <c r="R303" s="62"/>
      <c r="S303" s="173"/>
      <c r="T303" s="158"/>
      <c r="U303" s="159"/>
      <c r="W303" s="31"/>
      <c r="X303" s="157"/>
      <c r="Y303" s="157"/>
      <c r="Z303" s="157"/>
      <c r="AA303" s="157"/>
    </row>
    <row r="304" spans="1:29" x14ac:dyDescent="0.25">
      <c r="A304" s="248">
        <v>43252</v>
      </c>
      <c r="B304" s="257" t="s">
        <v>174</v>
      </c>
      <c r="C304" s="53" t="s">
        <v>176</v>
      </c>
      <c r="D304" s="64" t="s">
        <v>175</v>
      </c>
      <c r="E304" s="61" t="s">
        <v>186</v>
      </c>
      <c r="F304" s="31">
        <v>2921.55</v>
      </c>
      <c r="G304" s="31">
        <v>2800.74</v>
      </c>
      <c r="H304" s="31">
        <v>2840.73</v>
      </c>
      <c r="I304" s="31">
        <v>2831.04</v>
      </c>
      <c r="J304" s="31">
        <v>3084.51</v>
      </c>
      <c r="K304" s="31">
        <v>3136.43</v>
      </c>
      <c r="L304" s="31">
        <v>2840.93</v>
      </c>
      <c r="M304" s="31">
        <v>2805.54</v>
      </c>
      <c r="N304" s="31">
        <v>2968.65</v>
      </c>
      <c r="O304" s="55">
        <f>IF((N305=""),"",MAX(F306:N306))</f>
        <v>3826.84</v>
      </c>
      <c r="P304" s="55">
        <f>IF(N305="","",MIN(F306:N306))</f>
        <v>3493.7599999999998</v>
      </c>
      <c r="Q304" s="56">
        <f>IF((N306=""),"",AVERAGE(F306:N306))</f>
        <v>3698.6555555555551</v>
      </c>
      <c r="R304" s="56">
        <f>IF((N305=""),"",(O304-P304)/(O304+P304)*100)</f>
        <v>4.5499002813977052</v>
      </c>
      <c r="S304" s="152">
        <f>STDEV(F306:N306)</f>
        <v>119.24296238259832</v>
      </c>
      <c r="T304" s="153" t="str">
        <f>IF(N305="","",IF(Q304&gt;3650,IF(R304&lt;7,IF(Q304&lt;4450,"Pass","Fail"),"Fail"),"Fail"))</f>
        <v>Pass</v>
      </c>
      <c r="U304" s="154" t="s">
        <v>51</v>
      </c>
      <c r="W304" s="31"/>
      <c r="X304" s="155">
        <v>3650</v>
      </c>
      <c r="Y304" s="155">
        <v>4450</v>
      </c>
      <c r="Z304" s="155">
        <v>3700</v>
      </c>
      <c r="AA304" s="155">
        <v>4100</v>
      </c>
      <c r="AB304" s="51">
        <v>7</v>
      </c>
      <c r="AC304" s="51">
        <v>6.5</v>
      </c>
    </row>
    <row r="305" spans="1:29" ht="16.649999999999999" customHeight="1" x14ac:dyDescent="0.35">
      <c r="A305"/>
      <c r="B305" s="63"/>
      <c r="C305" s="53"/>
      <c r="D305" s="54"/>
      <c r="E305" s="81" t="s">
        <v>187</v>
      </c>
      <c r="F305" s="31">
        <v>1126.78</v>
      </c>
      <c r="G305" s="31">
        <v>914.76</v>
      </c>
      <c r="H305" s="31">
        <v>930.66</v>
      </c>
      <c r="I305" s="31">
        <v>947.96</v>
      </c>
      <c r="J305" s="31">
        <v>1296.77</v>
      </c>
      <c r="K305" s="31">
        <v>1389.55</v>
      </c>
      <c r="L305" s="31">
        <v>962.32</v>
      </c>
      <c r="M305" s="31">
        <v>892.12</v>
      </c>
      <c r="N305" s="31">
        <v>1125.25</v>
      </c>
      <c r="O305" s="55"/>
      <c r="P305" s="55"/>
      <c r="Q305" s="56"/>
      <c r="R305" s="56"/>
      <c r="S305" s="152"/>
      <c r="T305" s="153"/>
      <c r="U305" s="161"/>
      <c r="W305" s="31"/>
      <c r="X305" s="157"/>
      <c r="Y305" s="157"/>
      <c r="Z305" s="157"/>
      <c r="AA305" s="157"/>
    </row>
    <row r="306" spans="1:29" ht="22.75" customHeight="1" thickBot="1" x14ac:dyDescent="0.4">
      <c r="A306"/>
      <c r="B306" s="63"/>
      <c r="C306" s="53"/>
      <c r="D306" s="54"/>
      <c r="E306" s="68" t="s">
        <v>188</v>
      </c>
      <c r="F306" s="65">
        <f t="shared" ref="F306:N306" si="98">IF(((F304="")*AND(F305="")),"",(F304-F305)*2)</f>
        <v>3589.5400000000004</v>
      </c>
      <c r="G306" s="65">
        <f t="shared" si="98"/>
        <v>3771.9599999999996</v>
      </c>
      <c r="H306" s="65">
        <f t="shared" si="98"/>
        <v>3820.1400000000003</v>
      </c>
      <c r="I306" s="65">
        <f t="shared" si="98"/>
        <v>3766.16</v>
      </c>
      <c r="J306" s="65">
        <f t="shared" si="98"/>
        <v>3575.4800000000005</v>
      </c>
      <c r="K306" s="65">
        <f t="shared" si="98"/>
        <v>3493.7599999999998</v>
      </c>
      <c r="L306" s="65">
        <f t="shared" si="98"/>
        <v>3757.2199999999993</v>
      </c>
      <c r="M306" s="65">
        <f t="shared" si="98"/>
        <v>3826.84</v>
      </c>
      <c r="N306" s="65">
        <f t="shared" si="98"/>
        <v>3686.8</v>
      </c>
      <c r="O306" s="55"/>
      <c r="P306" s="55"/>
      <c r="Q306" s="56"/>
      <c r="R306" s="56"/>
      <c r="S306" s="152"/>
      <c r="T306" s="153"/>
      <c r="U306" s="161"/>
      <c r="W306" s="31"/>
      <c r="X306" s="157"/>
      <c r="Y306" s="157"/>
      <c r="Z306" s="157"/>
      <c r="AA306" s="157"/>
    </row>
    <row r="307" spans="1:29" ht="13.3" customHeight="1" x14ac:dyDescent="0.25">
      <c r="A307" s="248">
        <v>43252</v>
      </c>
      <c r="B307" s="257" t="s">
        <v>169</v>
      </c>
      <c r="C307" s="67" t="s">
        <v>171</v>
      </c>
      <c r="D307" s="66" t="s">
        <v>189</v>
      </c>
      <c r="E307" s="81" t="s">
        <v>186</v>
      </c>
      <c r="F307" s="31">
        <v>1263.8699999999999</v>
      </c>
      <c r="G307" s="31">
        <v>1246.8499999999999</v>
      </c>
      <c r="H307" s="31">
        <v>1253.26</v>
      </c>
      <c r="I307" s="31">
        <v>1255.3599999999999</v>
      </c>
      <c r="J307" s="31">
        <v>1302.5999999999999</v>
      </c>
      <c r="K307" s="31">
        <v>1287.3800000000001</v>
      </c>
      <c r="L307" s="31">
        <v>1251.56</v>
      </c>
      <c r="M307" s="31">
        <v>1251.78</v>
      </c>
      <c r="N307" s="31">
        <v>1285.67</v>
      </c>
      <c r="O307" s="68">
        <f>IF((N308=""),"",MAX(F309:N309))</f>
        <v>2070.4199999999996</v>
      </c>
      <c r="P307" s="68">
        <f>IF(N308="","",MIN(F309:N309))</f>
        <v>2000.73</v>
      </c>
      <c r="Q307" s="69">
        <f>IF((N309=""),"",AVERAGE(F309:N309))</f>
        <v>2033.1000000000001</v>
      </c>
      <c r="R307" s="69">
        <f>IF((N308=""),"",(O307-P307)/(O307+P307)*100)</f>
        <v>1.7118013337754594</v>
      </c>
      <c r="S307" s="152">
        <f>STDEV(F309:N309)</f>
        <v>24.606863371831903</v>
      </c>
      <c r="T307" s="162" t="str">
        <f>IF(N308="","",IF(Q307&gt;1940,IF(R307&lt;8.3,IF(Q307&lt;2180,"Pass","Fail"),"Fail"),"Fail"))</f>
        <v>Pass</v>
      </c>
      <c r="U307" s="154" t="s">
        <v>51</v>
      </c>
      <c r="W307" s="31"/>
      <c r="X307" s="155">
        <v>2000</v>
      </c>
      <c r="Y307" s="155">
        <v>3000</v>
      </c>
      <c r="Z307" s="155">
        <v>1940</v>
      </c>
      <c r="AA307" s="155">
        <v>2180</v>
      </c>
      <c r="AC307" s="51">
        <v>5.2</v>
      </c>
    </row>
    <row r="308" spans="1:29" ht="16.649999999999999" customHeight="1" x14ac:dyDescent="0.35">
      <c r="A308"/>
      <c r="B308" s="52"/>
      <c r="C308" s="53"/>
      <c r="D308" s="54"/>
      <c r="E308" s="81" t="s">
        <v>187</v>
      </c>
      <c r="F308" s="31">
        <v>573.73</v>
      </c>
      <c r="G308" s="31">
        <v>571.07000000000005</v>
      </c>
      <c r="H308" s="31">
        <v>586.35</v>
      </c>
      <c r="I308" s="31">
        <v>585.64</v>
      </c>
      <c r="J308" s="31">
        <v>624.42999999999995</v>
      </c>
      <c r="K308" s="31">
        <v>598.72</v>
      </c>
      <c r="L308" s="31">
        <v>581.29999999999995</v>
      </c>
      <c r="M308" s="31">
        <v>574.67999999999995</v>
      </c>
      <c r="N308" s="31">
        <v>603.11</v>
      </c>
      <c r="O308" s="55"/>
      <c r="P308" s="55"/>
      <c r="Q308" s="56"/>
      <c r="R308" s="56"/>
      <c r="S308" s="152"/>
      <c r="T308" s="153"/>
      <c r="U308" s="156"/>
      <c r="W308" s="31"/>
      <c r="X308" s="157"/>
      <c r="Y308" s="157"/>
      <c r="Z308" s="157"/>
      <c r="AA308" s="157"/>
    </row>
    <row r="309" spans="1:29" ht="16.649999999999999" customHeight="1" thickBot="1" x14ac:dyDescent="0.4">
      <c r="A309"/>
      <c r="B309" s="52"/>
      <c r="C309" s="53"/>
      <c r="D309" s="54"/>
      <c r="E309" s="68" t="s">
        <v>190</v>
      </c>
      <c r="F309" s="65">
        <f t="shared" ref="F309:N309" si="99">IF(((F307="")*AND(F308="")),"",(F307-F308)*3)</f>
        <v>2070.4199999999996</v>
      </c>
      <c r="G309" s="65">
        <f t="shared" si="99"/>
        <v>2027.3399999999997</v>
      </c>
      <c r="H309" s="65">
        <f t="shared" si="99"/>
        <v>2000.73</v>
      </c>
      <c r="I309" s="65">
        <f t="shared" si="99"/>
        <v>2009.1599999999999</v>
      </c>
      <c r="J309" s="65">
        <f t="shared" si="99"/>
        <v>2034.5099999999998</v>
      </c>
      <c r="K309" s="65">
        <f t="shared" si="99"/>
        <v>2065.9800000000005</v>
      </c>
      <c r="L309" s="65">
        <f t="shared" si="99"/>
        <v>2010.78</v>
      </c>
      <c r="M309" s="65">
        <f t="shared" si="99"/>
        <v>2031.3000000000002</v>
      </c>
      <c r="N309" s="65">
        <f t="shared" si="99"/>
        <v>2047.6800000000003</v>
      </c>
      <c r="O309" s="55"/>
      <c r="P309" s="55"/>
      <c r="Q309" s="56"/>
      <c r="R309" s="56"/>
      <c r="S309" s="152"/>
      <c r="T309" s="153"/>
      <c r="U309" s="156"/>
      <c r="W309" s="31"/>
      <c r="X309" s="157"/>
      <c r="Y309" s="157"/>
      <c r="Z309" s="157"/>
      <c r="AA309" s="157"/>
    </row>
    <row r="310" spans="1:29" ht="13.3" customHeight="1" x14ac:dyDescent="0.25">
      <c r="A310" s="251">
        <v>43256</v>
      </c>
      <c r="B310" s="259" t="s">
        <v>185</v>
      </c>
      <c r="C310" s="64" t="s">
        <v>173</v>
      </c>
      <c r="D310" s="64" t="s">
        <v>172</v>
      </c>
      <c r="E310" s="79" t="s">
        <v>186</v>
      </c>
      <c r="F310" s="175">
        <v>29280.45</v>
      </c>
      <c r="G310" s="175">
        <v>29222</v>
      </c>
      <c r="H310" s="175">
        <v>29174.83</v>
      </c>
      <c r="I310" s="175">
        <v>29222</v>
      </c>
      <c r="J310" s="175">
        <v>29316.43</v>
      </c>
      <c r="K310" s="175">
        <v>29281.82</v>
      </c>
      <c r="L310" s="175">
        <v>29111.01</v>
      </c>
      <c r="M310" s="175">
        <v>29125.79</v>
      </c>
      <c r="N310" s="175">
        <v>29266.46</v>
      </c>
      <c r="O310" s="79">
        <f>IF((N311=""),"",MAX(F312:N312))</f>
        <v>5059.5900000000074</v>
      </c>
      <c r="P310" s="79">
        <f>IF(N311="","",MIN(F312:N312))</f>
        <v>3915.0299999999952</v>
      </c>
      <c r="Q310" s="80">
        <f>IF((N312=""),"",AVERAGE(F312:N312))</f>
        <v>4554.1800000000012</v>
      </c>
      <c r="R310" s="80">
        <f>IF((N311=""),"",(O310-P310)/(O310+P310)*100)</f>
        <v>12.75329763265756</v>
      </c>
      <c r="S310" s="152">
        <f>STDEV(F312:N312)</f>
        <v>442.43309290784208</v>
      </c>
      <c r="T310" s="176" t="str">
        <f>IF(N311="","",IF(R310&lt;16,IF(Q310&gt;3200,IF(R310,IF(Q310&lt;5240,"Pass","Fail"),"Fail"),"Fail")))</f>
        <v>Pass</v>
      </c>
      <c r="U310" s="177">
        <v>1335</v>
      </c>
      <c r="W310" s="31"/>
      <c r="X310" s="155">
        <v>4200</v>
      </c>
      <c r="Y310" s="155">
        <v>5500</v>
      </c>
      <c r="Z310" s="155">
        <v>3200</v>
      </c>
      <c r="AA310" s="155">
        <v>5240</v>
      </c>
      <c r="AC310" s="51">
        <v>16</v>
      </c>
    </row>
    <row r="311" spans="1:29" ht="16.649999999999999" customHeight="1" x14ac:dyDescent="0.35">
      <c r="A311"/>
      <c r="B311" s="44"/>
      <c r="C311" s="24"/>
      <c r="D311" s="24"/>
      <c r="E311" s="81" t="s">
        <v>187</v>
      </c>
      <c r="F311" s="28">
        <v>27593.919999999998</v>
      </c>
      <c r="G311" s="28">
        <v>27755.65</v>
      </c>
      <c r="H311" s="28">
        <v>27818.42</v>
      </c>
      <c r="I311" s="28">
        <v>27712.87</v>
      </c>
      <c r="J311" s="28">
        <v>27642.38</v>
      </c>
      <c r="K311" s="28">
        <v>27627.56</v>
      </c>
      <c r="L311" s="28">
        <v>27806</v>
      </c>
      <c r="M311" s="28">
        <v>27739</v>
      </c>
      <c r="N311" s="28">
        <v>27642.45</v>
      </c>
      <c r="O311" s="81"/>
      <c r="P311" s="81"/>
      <c r="Q311" s="82"/>
      <c r="R311" s="82"/>
      <c r="S311" s="178"/>
      <c r="T311" s="23"/>
      <c r="U311" s="179"/>
      <c r="W311" s="31"/>
      <c r="X311" s="157"/>
      <c r="Y311" s="157"/>
      <c r="Z311" s="157"/>
      <c r="AA311" s="157"/>
    </row>
    <row r="312" spans="1:29" ht="22.75" customHeight="1" thickBot="1" x14ac:dyDescent="0.4">
      <c r="A312"/>
      <c r="B312" s="44"/>
      <c r="C312" s="24"/>
      <c r="D312" s="24"/>
      <c r="E312" s="81" t="s">
        <v>188</v>
      </c>
      <c r="F312" s="60">
        <f t="shared" ref="F312:N312" si="100">IF(((F310="")*AND(F311="")),"",(F310-F311)*3)</f>
        <v>5059.5900000000074</v>
      </c>
      <c r="G312" s="60">
        <f t="shared" si="100"/>
        <v>4399.0499999999956</v>
      </c>
      <c r="H312" s="60">
        <f t="shared" si="100"/>
        <v>4069.2300000000105</v>
      </c>
      <c r="I312" s="60">
        <f t="shared" si="100"/>
        <v>4527.3900000000031</v>
      </c>
      <c r="J312" s="60">
        <f t="shared" si="100"/>
        <v>5022.1499999999978</v>
      </c>
      <c r="K312" s="60">
        <f t="shared" si="100"/>
        <v>4962.7799999999952</v>
      </c>
      <c r="L312" s="60">
        <f t="shared" si="100"/>
        <v>3915.0299999999952</v>
      </c>
      <c r="M312" s="60">
        <f t="shared" si="100"/>
        <v>4160.3700000000026</v>
      </c>
      <c r="N312" s="60">
        <f t="shared" si="100"/>
        <v>4872.0299999999952</v>
      </c>
      <c r="O312" s="81"/>
      <c r="P312" s="81"/>
      <c r="Q312" s="82"/>
      <c r="R312" s="82"/>
      <c r="S312" s="178"/>
      <c r="T312" s="23"/>
      <c r="U312" s="179"/>
      <c r="W312" s="31"/>
      <c r="X312" s="157"/>
      <c r="Y312" s="157"/>
      <c r="Z312" s="157"/>
      <c r="AA312" s="157"/>
    </row>
    <row r="313" spans="1:29" x14ac:dyDescent="0.25">
      <c r="A313" s="252">
        <v>43256</v>
      </c>
      <c r="B313" s="260" t="s">
        <v>174</v>
      </c>
      <c r="C313" s="24" t="s">
        <v>176</v>
      </c>
      <c r="D313" s="64" t="s">
        <v>175</v>
      </c>
      <c r="E313" s="81" t="s">
        <v>186</v>
      </c>
      <c r="F313" s="28">
        <v>3011.83</v>
      </c>
      <c r="G313" s="28">
        <v>2902.24</v>
      </c>
      <c r="H313" s="28">
        <v>2951.89</v>
      </c>
      <c r="I313" s="28">
        <v>2930.35</v>
      </c>
      <c r="J313" s="28">
        <v>3156.22</v>
      </c>
      <c r="K313" s="28">
        <v>3216.95</v>
      </c>
      <c r="L313" s="28">
        <v>2942.93</v>
      </c>
      <c r="M313" s="28">
        <v>2908.77</v>
      </c>
      <c r="N313" s="28">
        <v>3041.83</v>
      </c>
      <c r="O313" s="81">
        <f>IF((N314=""),"",MAX(F315:N315))</f>
        <v>3992.8999999999996</v>
      </c>
      <c r="P313" s="81">
        <f>IF(N314="","",MIN(F315:N315))</f>
        <v>3669.68</v>
      </c>
      <c r="Q313" s="82">
        <f>IF((N315=""),"",AVERAGE(F315:N315))</f>
        <v>3865.8599999999997</v>
      </c>
      <c r="R313" s="82">
        <f>IF((N314=""),"",(O313-P313)/(O313+P313)*100)</f>
        <v>4.2181615069597944</v>
      </c>
      <c r="S313" s="152">
        <f>STDEV(F315:N315)</f>
        <v>120.80607600613475</v>
      </c>
      <c r="T313" s="23" t="str">
        <f>IF(N314="","",IF(Q313&gt;3650,IF(R313&lt;7,IF(Q313&lt;4450,"Pass","Fail"),"Fail"),"Fail"))</f>
        <v>Pass</v>
      </c>
      <c r="U313" s="179">
        <v>1335</v>
      </c>
      <c r="W313" s="31"/>
      <c r="X313" s="155">
        <v>3650</v>
      </c>
      <c r="Y313" s="155">
        <v>4450</v>
      </c>
      <c r="Z313" s="155">
        <v>3700</v>
      </c>
      <c r="AA313" s="155">
        <v>4100</v>
      </c>
      <c r="AB313" s="51">
        <v>7</v>
      </c>
      <c r="AC313" s="51">
        <v>6.5</v>
      </c>
    </row>
    <row r="314" spans="1:29" ht="16.649999999999999" customHeight="1" x14ac:dyDescent="0.35">
      <c r="A314"/>
      <c r="B314" s="44"/>
      <c r="C314" s="24"/>
      <c r="D314" s="24"/>
      <c r="E314" s="81" t="s">
        <v>187</v>
      </c>
      <c r="F314" s="28">
        <v>1149.9000000000001</v>
      </c>
      <c r="G314" s="28">
        <v>933.37</v>
      </c>
      <c r="H314" s="28">
        <v>955.44</v>
      </c>
      <c r="I314" s="28">
        <v>955.63</v>
      </c>
      <c r="J314" s="28">
        <v>1269.1500000000001</v>
      </c>
      <c r="K314" s="28">
        <v>1382.11</v>
      </c>
      <c r="L314" s="28">
        <v>978.19</v>
      </c>
      <c r="M314" s="28">
        <v>913.3</v>
      </c>
      <c r="N314" s="28">
        <v>1129.55</v>
      </c>
      <c r="O314" s="81"/>
      <c r="P314" s="81"/>
      <c r="Q314" s="82"/>
      <c r="R314" s="82"/>
      <c r="S314" s="178"/>
      <c r="T314" s="23"/>
      <c r="U314" s="180"/>
      <c r="W314" s="31"/>
      <c r="X314" s="157"/>
      <c r="Y314" s="157"/>
      <c r="Z314" s="157"/>
      <c r="AA314" s="157"/>
    </row>
    <row r="315" spans="1:29" ht="22.75" customHeight="1" x14ac:dyDescent="0.35">
      <c r="A315"/>
      <c r="B315" s="44"/>
      <c r="C315" s="24"/>
      <c r="D315" s="24"/>
      <c r="E315" s="81" t="s">
        <v>188</v>
      </c>
      <c r="F315" s="60">
        <f t="shared" ref="F315:N315" si="101">IF(((F313="")*AND(F314="")),"",(F313-F314)*2)</f>
        <v>3723.8599999999997</v>
      </c>
      <c r="G315" s="60">
        <f t="shared" si="101"/>
        <v>3937.74</v>
      </c>
      <c r="H315" s="60">
        <f t="shared" si="101"/>
        <v>3992.8999999999996</v>
      </c>
      <c r="I315" s="60">
        <f t="shared" si="101"/>
        <v>3949.4399999999996</v>
      </c>
      <c r="J315" s="60">
        <f t="shared" si="101"/>
        <v>3774.1399999999994</v>
      </c>
      <c r="K315" s="60">
        <f t="shared" si="101"/>
        <v>3669.68</v>
      </c>
      <c r="L315" s="60">
        <f t="shared" si="101"/>
        <v>3929.4799999999996</v>
      </c>
      <c r="M315" s="60">
        <f t="shared" si="101"/>
        <v>3990.94</v>
      </c>
      <c r="N315" s="60">
        <f t="shared" si="101"/>
        <v>3824.56</v>
      </c>
      <c r="O315" s="81"/>
      <c r="P315" s="81"/>
      <c r="Q315" s="82"/>
      <c r="R315" s="82"/>
      <c r="S315" s="178"/>
      <c r="T315" s="23"/>
      <c r="U315" s="180"/>
      <c r="W315" s="31"/>
      <c r="X315" s="157"/>
      <c r="Y315" s="157"/>
      <c r="Z315" s="157"/>
      <c r="AA315" s="157"/>
    </row>
    <row r="316" spans="1:29" ht="13.3" customHeight="1" x14ac:dyDescent="0.25">
      <c r="A316" s="252">
        <v>43256</v>
      </c>
      <c r="B316" s="257" t="s">
        <v>169</v>
      </c>
      <c r="C316" s="24" t="s">
        <v>171</v>
      </c>
      <c r="D316" s="24" t="s">
        <v>189</v>
      </c>
      <c r="E316" s="81" t="s">
        <v>186</v>
      </c>
      <c r="F316" s="28">
        <v>1989.09</v>
      </c>
      <c r="G316" s="28">
        <v>1988.91</v>
      </c>
      <c r="H316" s="28">
        <v>1991.89</v>
      </c>
      <c r="I316" s="28">
        <v>1986.51</v>
      </c>
      <c r="J316" s="28">
        <v>1988.51</v>
      </c>
      <c r="K316" s="28">
        <v>1989.22</v>
      </c>
      <c r="L316" s="28">
        <v>1987.84</v>
      </c>
      <c r="M316" s="28">
        <v>1989.36</v>
      </c>
      <c r="N316" s="28">
        <v>1988.57</v>
      </c>
      <c r="O316" s="81">
        <f>IF((N317=""),"",MAX(F318:N318))</f>
        <v>2142.7200000000003</v>
      </c>
      <c r="P316" s="81">
        <f>IF(N317="","",MIN(F318:N318))</f>
        <v>2078.1000000000004</v>
      </c>
      <c r="Q316" s="82">
        <f>IF((N318=""),"",AVERAGE(F318:N318))</f>
        <v>2106.5333333333328</v>
      </c>
      <c r="R316" s="82">
        <f>IF((N317=""),"",(O316-P316)/(O316+P316)*100)</f>
        <v>1.5309821314341734</v>
      </c>
      <c r="S316" s="152">
        <f>STDEV(F318:N318)</f>
        <v>20.96954815917594</v>
      </c>
      <c r="T316" s="23" t="str">
        <f>IF(N317="","",IF(Q316&gt;1940,IF(R316&lt;8.3,IF(Q316&lt;2180,"Pass","Fail"),"Fail"),"Fail"))</f>
        <v>Pass</v>
      </c>
      <c r="U316" s="179">
        <v>1335</v>
      </c>
      <c r="W316" s="31"/>
      <c r="X316" s="155">
        <v>2000</v>
      </c>
      <c r="Y316" s="155">
        <v>3000</v>
      </c>
      <c r="Z316" s="155">
        <v>1940</v>
      </c>
      <c r="AA316" s="155">
        <v>2180</v>
      </c>
      <c r="AC316" s="51">
        <v>5.2</v>
      </c>
    </row>
    <row r="317" spans="1:29" ht="16.649999999999999" customHeight="1" x14ac:dyDescent="0.35">
      <c r="A317"/>
      <c r="B317" s="44"/>
      <c r="C317" s="24"/>
      <c r="D317" s="24"/>
      <c r="E317" s="81" t="s">
        <v>187</v>
      </c>
      <c r="F317" s="28">
        <v>1274.8499999999999</v>
      </c>
      <c r="G317" s="28">
        <v>1283.68</v>
      </c>
      <c r="H317" s="28">
        <v>1285.53</v>
      </c>
      <c r="I317" s="28">
        <v>1291.04</v>
      </c>
      <c r="J317" s="28">
        <v>1295.81</v>
      </c>
      <c r="K317" s="28">
        <v>1291.1500000000001</v>
      </c>
      <c r="L317" s="28">
        <v>1291.77</v>
      </c>
      <c r="M317" s="28">
        <v>1282.1600000000001</v>
      </c>
      <c r="N317" s="28">
        <v>1284.31</v>
      </c>
      <c r="O317" s="81"/>
      <c r="P317" s="81"/>
      <c r="Q317" s="82"/>
      <c r="R317" s="82"/>
      <c r="S317" s="178"/>
      <c r="T317" s="23"/>
      <c r="U317" s="179"/>
      <c r="W317" s="31"/>
      <c r="X317" s="157"/>
      <c r="Y317" s="157"/>
      <c r="Z317" s="157"/>
      <c r="AA317" s="157"/>
    </row>
    <row r="318" spans="1:29" ht="32.299999999999997" customHeight="1" thickBot="1" x14ac:dyDescent="0.4">
      <c r="A318"/>
      <c r="B318" s="83"/>
      <c r="C318" s="84"/>
      <c r="D318" s="84"/>
      <c r="E318" s="85" t="s">
        <v>190</v>
      </c>
      <c r="F318" s="73">
        <f t="shared" ref="F318:N318" si="102">IF(((F316="")*AND(F317="")),"",(F316-F317)*3)</f>
        <v>2142.7200000000003</v>
      </c>
      <c r="G318" s="73">
        <f t="shared" si="102"/>
        <v>2115.69</v>
      </c>
      <c r="H318" s="73">
        <f t="shared" si="102"/>
        <v>2119.0800000000004</v>
      </c>
      <c r="I318" s="73">
        <f t="shared" si="102"/>
        <v>2086.41</v>
      </c>
      <c r="J318" s="73">
        <f t="shared" si="102"/>
        <v>2078.1000000000004</v>
      </c>
      <c r="K318" s="73">
        <f t="shared" si="102"/>
        <v>2094.21</v>
      </c>
      <c r="L318" s="73">
        <f t="shared" si="102"/>
        <v>2088.21</v>
      </c>
      <c r="M318" s="73">
        <f t="shared" si="102"/>
        <v>2121.5999999999995</v>
      </c>
      <c r="N318" s="73">
        <f t="shared" si="102"/>
        <v>2112.7799999999997</v>
      </c>
      <c r="O318" s="85"/>
      <c r="P318" s="85"/>
      <c r="Q318" s="86"/>
      <c r="R318" s="86"/>
      <c r="S318" s="181"/>
      <c r="T318" s="182"/>
      <c r="U318" s="183"/>
      <c r="W318" s="31"/>
      <c r="X318" s="157"/>
      <c r="Y318" s="157"/>
      <c r="Z318" s="157"/>
      <c r="AA318" s="157"/>
    </row>
    <row r="319" spans="1:29" ht="13.3" customHeight="1" x14ac:dyDescent="0.25">
      <c r="A319" s="249">
        <v>43259</v>
      </c>
      <c r="B319" s="261" t="s">
        <v>185</v>
      </c>
      <c r="C319" s="59" t="s">
        <v>173</v>
      </c>
      <c r="D319" s="59" t="s">
        <v>172</v>
      </c>
      <c r="E319" s="61" t="s">
        <v>186</v>
      </c>
      <c r="F319" s="146">
        <v>27574.79</v>
      </c>
      <c r="G319" s="146">
        <v>27701</v>
      </c>
      <c r="H319" s="146">
        <v>27830.959999999999</v>
      </c>
      <c r="I319" s="146">
        <v>27731.54</v>
      </c>
      <c r="J319" s="146">
        <v>27594.04</v>
      </c>
      <c r="K319" s="146">
        <v>27628.17</v>
      </c>
      <c r="L319" s="146">
        <v>27635.99</v>
      </c>
      <c r="M319" s="146">
        <v>27689.85</v>
      </c>
      <c r="N319" s="146">
        <v>27578.639999999999</v>
      </c>
      <c r="O319" s="61">
        <f>IF((N320=""),"",MAX(F321:N321))</f>
        <v>4954.2900000000009</v>
      </c>
      <c r="P319" s="61">
        <f>IF(N320="","",MIN(F321:N321))</f>
        <v>4017.3000000000065</v>
      </c>
      <c r="Q319" s="62">
        <f>IF((N321=""),"",AVERAGE(F321:N321))</f>
        <v>4414.2833333333338</v>
      </c>
      <c r="R319" s="62">
        <f>IF((N320=""),"",(O319-P319)/(O319+P319)*100)</f>
        <v>10.443968126051164</v>
      </c>
      <c r="S319" s="152">
        <f>STDEV(F321:N321)</f>
        <v>381.9412574271081</v>
      </c>
      <c r="T319" s="158" t="str">
        <f>IF(N320="","",IF(R319&lt;16,IF(Q319&gt;3200,IF(R319,IF(Q319&lt;5240,"Pass","Fail"),"Fail"),"Fail")))</f>
        <v>Pass</v>
      </c>
      <c r="U319" s="159">
        <v>1335</v>
      </c>
      <c r="W319" s="31"/>
      <c r="X319" s="155">
        <v>4200</v>
      </c>
      <c r="Y319" s="155">
        <v>5500</v>
      </c>
      <c r="Z319" s="155">
        <v>3200</v>
      </c>
      <c r="AA319" s="155">
        <v>5240</v>
      </c>
      <c r="AC319" s="51">
        <v>16</v>
      </c>
    </row>
    <row r="320" spans="1:29" ht="16.649999999999999" customHeight="1" x14ac:dyDescent="0.35">
      <c r="A320"/>
      <c r="B320" s="44"/>
      <c r="C320" s="24"/>
      <c r="D320" s="24"/>
      <c r="E320" s="81" t="s">
        <v>187</v>
      </c>
      <c r="F320" s="28">
        <v>26016.19</v>
      </c>
      <c r="G320" s="28">
        <v>26327.96</v>
      </c>
      <c r="H320" s="28">
        <v>26483.98</v>
      </c>
      <c r="I320" s="28">
        <v>26294.9</v>
      </c>
      <c r="J320" s="28">
        <v>25942.61</v>
      </c>
      <c r="K320" s="28">
        <v>26077.119999999999</v>
      </c>
      <c r="L320" s="28">
        <v>26296.89</v>
      </c>
      <c r="M320" s="28">
        <v>26335.61</v>
      </c>
      <c r="N320" s="28">
        <v>25946.87</v>
      </c>
      <c r="O320" s="81"/>
      <c r="P320" s="81"/>
      <c r="Q320" s="82"/>
      <c r="R320" s="82"/>
      <c r="S320" s="178"/>
      <c r="T320" s="23"/>
      <c r="U320" s="179"/>
      <c r="W320" s="31"/>
      <c r="X320" s="157"/>
      <c r="Y320" s="157"/>
      <c r="Z320" s="157"/>
      <c r="AA320" s="157"/>
    </row>
    <row r="321" spans="1:29" ht="22.75" customHeight="1" thickBot="1" x14ac:dyDescent="0.4">
      <c r="A321"/>
      <c r="B321" s="44"/>
      <c r="C321" s="24"/>
      <c r="D321" s="24"/>
      <c r="E321" s="81" t="s">
        <v>188</v>
      </c>
      <c r="F321" s="60">
        <f t="shared" ref="F321:N321" si="103">IF(((F319="")*AND(F320="")),"",(F319-F320)*3)</f>
        <v>4675.8000000000065</v>
      </c>
      <c r="G321" s="60">
        <f t="shared" si="103"/>
        <v>4119.1200000000026</v>
      </c>
      <c r="H321" s="60">
        <f t="shared" si="103"/>
        <v>4040.9399999999987</v>
      </c>
      <c r="I321" s="60">
        <f t="shared" si="103"/>
        <v>4309.9199999999983</v>
      </c>
      <c r="J321" s="60">
        <f t="shared" si="103"/>
        <v>4954.2900000000009</v>
      </c>
      <c r="K321" s="60">
        <f t="shared" si="103"/>
        <v>4653.1499999999978</v>
      </c>
      <c r="L321" s="60">
        <f t="shared" si="103"/>
        <v>4017.3000000000065</v>
      </c>
      <c r="M321" s="60">
        <f t="shared" si="103"/>
        <v>4062.7199999999939</v>
      </c>
      <c r="N321" s="60">
        <f t="shared" si="103"/>
        <v>4895.3100000000013</v>
      </c>
      <c r="O321" s="81"/>
      <c r="P321" s="81"/>
      <c r="Q321" s="82"/>
      <c r="R321" s="82"/>
      <c r="S321" s="178"/>
      <c r="T321" s="23"/>
      <c r="U321" s="179"/>
      <c r="W321" s="31"/>
      <c r="X321" s="157"/>
      <c r="Y321" s="157"/>
      <c r="Z321" s="157"/>
      <c r="AA321" s="157"/>
    </row>
    <row r="322" spans="1:29" x14ac:dyDescent="0.25">
      <c r="A322" s="252">
        <v>43259</v>
      </c>
      <c r="B322" s="260" t="s">
        <v>174</v>
      </c>
      <c r="C322" s="24" t="s">
        <v>176</v>
      </c>
      <c r="D322" s="64" t="s">
        <v>175</v>
      </c>
      <c r="E322" s="81" t="s">
        <v>186</v>
      </c>
      <c r="F322" s="28">
        <v>5053.7299999999996</v>
      </c>
      <c r="G322" s="28">
        <v>4996.67</v>
      </c>
      <c r="H322" s="28">
        <v>5062.8500000000004</v>
      </c>
      <c r="I322" s="28">
        <v>5045.28</v>
      </c>
      <c r="J322" s="28">
        <v>5240.37</v>
      </c>
      <c r="K322" s="28">
        <v>5208.91</v>
      </c>
      <c r="L322" s="28">
        <v>5051.08</v>
      </c>
      <c r="M322" s="28">
        <v>5026.51</v>
      </c>
      <c r="N322" s="28">
        <v>5146.24</v>
      </c>
      <c r="O322" s="81">
        <f>IF((N323=""),"",MAX(F324:N324))</f>
        <v>4013.26</v>
      </c>
      <c r="P322" s="81">
        <f>IF(N323="","",MIN(F324:N324))</f>
        <v>3667.6399999999994</v>
      </c>
      <c r="Q322" s="82">
        <f>IF((N324=""),"",AVERAGE(F324:N324))</f>
        <v>3874.3866666666663</v>
      </c>
      <c r="R322" s="82">
        <f>IF((N323=""),"",(O322-P322)/(O322+P322)*100)</f>
        <v>4.4997331041935293</v>
      </c>
      <c r="S322" s="152">
        <f>STDEV(F324:N324)</f>
        <v>123.45107411440395</v>
      </c>
      <c r="T322" s="23" t="str">
        <f>IF(N323="","",IF(Q322&gt;3650,IF(R322&lt;7,IF(Q322&lt;4450,"Pass","Fail"),"Fail"),"Fail"))</f>
        <v>Pass</v>
      </c>
      <c r="U322" s="179">
        <v>1335</v>
      </c>
      <c r="W322" s="31"/>
      <c r="X322" s="155">
        <v>3650</v>
      </c>
      <c r="Y322" s="155">
        <v>4450</v>
      </c>
      <c r="Z322" s="155">
        <v>3700</v>
      </c>
      <c r="AA322" s="155">
        <v>4100</v>
      </c>
      <c r="AB322" s="51">
        <v>7</v>
      </c>
      <c r="AC322" s="51">
        <v>6.5</v>
      </c>
    </row>
    <row r="323" spans="1:29" ht="16.649999999999999" customHeight="1" x14ac:dyDescent="0.35">
      <c r="A323"/>
      <c r="B323" s="44"/>
      <c r="C323" s="24"/>
      <c r="D323" s="24"/>
      <c r="E323" s="81" t="s">
        <v>187</v>
      </c>
      <c r="F323" s="28">
        <v>3168.6</v>
      </c>
      <c r="G323" s="28">
        <v>3017.39</v>
      </c>
      <c r="H323" s="28">
        <v>3065.07</v>
      </c>
      <c r="I323" s="28">
        <v>3076.96</v>
      </c>
      <c r="J323" s="28">
        <v>3374.43</v>
      </c>
      <c r="K323" s="28">
        <v>3375.09</v>
      </c>
      <c r="L323" s="28">
        <v>3086.36</v>
      </c>
      <c r="M323" s="28">
        <v>3019.88</v>
      </c>
      <c r="N323" s="28">
        <v>3213.12</v>
      </c>
      <c r="O323" s="81"/>
      <c r="P323" s="81"/>
      <c r="Q323" s="82"/>
      <c r="R323" s="82"/>
      <c r="S323" s="178"/>
      <c r="T323" s="23"/>
      <c r="U323" s="180"/>
      <c r="W323" s="31"/>
      <c r="X323" s="157"/>
      <c r="Y323" s="157"/>
      <c r="Z323" s="157"/>
      <c r="AA323" s="157"/>
    </row>
    <row r="324" spans="1:29" ht="22.75" customHeight="1" x14ac:dyDescent="0.35">
      <c r="A324"/>
      <c r="B324" s="44"/>
      <c r="C324" s="24"/>
      <c r="D324" s="24"/>
      <c r="E324" s="81" t="s">
        <v>188</v>
      </c>
      <c r="F324" s="60">
        <f t="shared" ref="F324:N324" si="104">IF(((F322="")*AND(F323="")),"",(F322-F323)*2)</f>
        <v>3770.2599999999993</v>
      </c>
      <c r="G324" s="60">
        <f t="shared" si="104"/>
        <v>3958.5600000000004</v>
      </c>
      <c r="H324" s="60">
        <f t="shared" si="104"/>
        <v>3995.5600000000004</v>
      </c>
      <c r="I324" s="60">
        <f t="shared" si="104"/>
        <v>3936.6399999999994</v>
      </c>
      <c r="J324" s="60">
        <f t="shared" si="104"/>
        <v>3731.88</v>
      </c>
      <c r="K324" s="60">
        <f t="shared" si="104"/>
        <v>3667.6399999999994</v>
      </c>
      <c r="L324" s="60">
        <f t="shared" si="104"/>
        <v>3929.4399999999996</v>
      </c>
      <c r="M324" s="60">
        <f t="shared" si="104"/>
        <v>4013.26</v>
      </c>
      <c r="N324" s="60">
        <f t="shared" si="104"/>
        <v>3866.24</v>
      </c>
      <c r="O324" s="81"/>
      <c r="P324" s="81"/>
      <c r="Q324" s="82"/>
      <c r="R324" s="82"/>
      <c r="S324" s="178"/>
      <c r="T324" s="23"/>
      <c r="U324" s="180"/>
      <c r="W324" s="31"/>
      <c r="X324" s="157"/>
      <c r="Y324" s="157"/>
      <c r="Z324" s="157"/>
      <c r="AA324" s="157"/>
    </row>
    <row r="325" spans="1:29" ht="13.3" customHeight="1" x14ac:dyDescent="0.25">
      <c r="A325" s="252">
        <v>43259</v>
      </c>
      <c r="B325" s="257" t="s">
        <v>169</v>
      </c>
      <c r="C325" s="24" t="s">
        <v>171</v>
      </c>
      <c r="D325" s="24" t="s">
        <v>189</v>
      </c>
      <c r="E325" s="81" t="s">
        <v>186</v>
      </c>
      <c r="F325" s="28">
        <v>1275.44</v>
      </c>
      <c r="G325" s="28">
        <v>1286.4100000000001</v>
      </c>
      <c r="H325" s="28">
        <v>1294.23</v>
      </c>
      <c r="I325" s="28">
        <v>1292.67</v>
      </c>
      <c r="J325" s="28">
        <v>1297.47</v>
      </c>
      <c r="K325" s="28">
        <v>1292.82</v>
      </c>
      <c r="L325" s="28">
        <v>1294.83</v>
      </c>
      <c r="M325" s="28">
        <v>1284.97</v>
      </c>
      <c r="N325" s="28">
        <v>1285.8399999999999</v>
      </c>
      <c r="O325" s="81">
        <f>IF((N326=""),"",MAX(F327:N327))</f>
        <v>2044.7400000000002</v>
      </c>
      <c r="P325" s="81">
        <f>IF(N326="","",MIN(F327:N327))</f>
        <v>2021.1899999999996</v>
      </c>
      <c r="Q325" s="82">
        <f>IF((N327=""),"",AVERAGE(F327:N327))</f>
        <v>2031.6299999999999</v>
      </c>
      <c r="R325" s="82">
        <f>IF((N326=""),"",(O325-P325)/(O325+P325)*100)</f>
        <v>0.57920328190600023</v>
      </c>
      <c r="S325" s="152">
        <f>STDEV(F327:N327)</f>
        <v>7.0105545429731784</v>
      </c>
      <c r="T325" s="23" t="str">
        <f>IF(N326="","",IF(Q325&gt;1940,IF(R325&lt;8.3,IF(Q325&lt;2180,"Pass","Fail"),"Fail"),"Fail"))</f>
        <v>Pass</v>
      </c>
      <c r="U325" s="179">
        <v>1335</v>
      </c>
      <c r="W325" s="31"/>
      <c r="X325" s="155">
        <v>2000</v>
      </c>
      <c r="Y325" s="155">
        <v>3000</v>
      </c>
      <c r="Z325" s="155">
        <v>1940</v>
      </c>
      <c r="AA325" s="155">
        <v>2180</v>
      </c>
      <c r="AC325" s="51">
        <v>5.2</v>
      </c>
    </row>
    <row r="326" spans="1:29" ht="16.649999999999999" customHeight="1" x14ac:dyDescent="0.35">
      <c r="A326"/>
      <c r="B326" s="44"/>
      <c r="C326" s="24"/>
      <c r="D326" s="24"/>
      <c r="E326" s="81" t="s">
        <v>187</v>
      </c>
      <c r="F326" s="28">
        <v>598.92999999999995</v>
      </c>
      <c r="G326" s="28">
        <v>608.32000000000005</v>
      </c>
      <c r="H326" s="28">
        <v>615.70000000000005</v>
      </c>
      <c r="I326" s="28">
        <v>614.48</v>
      </c>
      <c r="J326" s="28">
        <v>622.34</v>
      </c>
      <c r="K326" s="28">
        <v>614.96</v>
      </c>
      <c r="L326" s="28">
        <v>619.55999999999995</v>
      </c>
      <c r="M326" s="28">
        <v>603.39</v>
      </c>
      <c r="N326" s="28">
        <v>612.11</v>
      </c>
      <c r="O326" s="81"/>
      <c r="P326" s="81"/>
      <c r="Q326" s="82"/>
      <c r="R326" s="82"/>
      <c r="S326" s="178"/>
      <c r="T326" s="23"/>
      <c r="U326" s="179"/>
      <c r="W326" s="31"/>
      <c r="X326" s="157"/>
      <c r="Y326" s="157"/>
      <c r="Z326" s="157"/>
      <c r="AA326" s="157"/>
    </row>
    <row r="327" spans="1:29" ht="38.25" customHeight="1" thickBot="1" x14ac:dyDescent="0.4">
      <c r="A327"/>
      <c r="B327" s="83"/>
      <c r="C327" s="84"/>
      <c r="D327" s="84"/>
      <c r="E327" s="85" t="s">
        <v>190</v>
      </c>
      <c r="F327" s="73">
        <f t="shared" ref="F327:N327" si="105">IF(((F325="")*AND(F326="")),"",(F325-F326)*3)</f>
        <v>2029.5300000000002</v>
      </c>
      <c r="G327" s="73">
        <f t="shared" si="105"/>
        <v>2034.27</v>
      </c>
      <c r="H327" s="73">
        <f t="shared" si="105"/>
        <v>2035.59</v>
      </c>
      <c r="I327" s="73">
        <f t="shared" si="105"/>
        <v>2034.5700000000002</v>
      </c>
      <c r="J327" s="73">
        <f t="shared" si="105"/>
        <v>2025.3899999999999</v>
      </c>
      <c r="K327" s="73">
        <f t="shared" si="105"/>
        <v>2033.5799999999997</v>
      </c>
      <c r="L327" s="73">
        <f t="shared" si="105"/>
        <v>2025.81</v>
      </c>
      <c r="M327" s="73">
        <f t="shared" si="105"/>
        <v>2044.7400000000002</v>
      </c>
      <c r="N327" s="73">
        <f t="shared" si="105"/>
        <v>2021.1899999999996</v>
      </c>
      <c r="O327" s="85"/>
      <c r="P327" s="85"/>
      <c r="Q327" s="86"/>
      <c r="R327" s="86"/>
      <c r="S327" s="181"/>
      <c r="T327" s="182"/>
      <c r="U327" s="183"/>
      <c r="W327" s="31"/>
      <c r="X327" s="157"/>
      <c r="Y327" s="157"/>
      <c r="Z327" s="157"/>
      <c r="AA327" s="157"/>
    </row>
    <row r="328" spans="1:29" ht="13.3" customHeight="1" x14ac:dyDescent="0.25">
      <c r="A328" s="249">
        <v>43262</v>
      </c>
      <c r="B328" s="261" t="s">
        <v>185</v>
      </c>
      <c r="C328" s="59" t="s">
        <v>173</v>
      </c>
      <c r="D328" s="59" t="s">
        <v>172</v>
      </c>
      <c r="E328" s="61" t="s">
        <v>186</v>
      </c>
      <c r="F328" s="146">
        <v>25973.73</v>
      </c>
      <c r="G328" s="146">
        <v>26281.84</v>
      </c>
      <c r="H328" s="146">
        <v>26442.52</v>
      </c>
      <c r="I328" s="146">
        <v>26288.720000000001</v>
      </c>
      <c r="J328" s="146">
        <v>25899.95</v>
      </c>
      <c r="K328" s="146">
        <v>26004.720000000001</v>
      </c>
      <c r="L328" s="146">
        <v>26322.18</v>
      </c>
      <c r="M328" s="146">
        <v>26282.94</v>
      </c>
      <c r="N328" s="146">
        <v>25871.46</v>
      </c>
      <c r="O328" s="61">
        <f>IF((N329=""),"",MAX(F330:N330))</f>
        <v>4804.8300000000017</v>
      </c>
      <c r="P328" s="61">
        <f>IF(N329="","",MIN(F330:N330))</f>
        <v>3902.25</v>
      </c>
      <c r="Q328" s="62">
        <f>IF((N330=""),"",AVERAGE(F330:N330))</f>
        <v>4336.5533333333342</v>
      </c>
      <c r="R328" s="62">
        <f>IF((N329=""),"",(O328-P328)/(O328+P328)*100)</f>
        <v>10.366046941110012</v>
      </c>
      <c r="S328" s="152">
        <f>STDEV(F330:N330)</f>
        <v>372.15337325490077</v>
      </c>
      <c r="T328" s="158" t="str">
        <f>IF(N329="","",IF(R328&lt;16,IF(Q328&gt;3200,IF(R328,IF(Q328&lt;5240,"Pass","Fail"),"Fail"),"Fail")))</f>
        <v>Pass</v>
      </c>
      <c r="U328" s="159" t="s">
        <v>196</v>
      </c>
      <c r="V328" s="31" t="s">
        <v>197</v>
      </c>
      <c r="X328" s="155">
        <v>4200</v>
      </c>
      <c r="Y328" s="155">
        <v>5500</v>
      </c>
      <c r="Z328" s="155">
        <v>3200</v>
      </c>
      <c r="AA328" s="155">
        <v>5240</v>
      </c>
      <c r="AC328" s="51">
        <v>16</v>
      </c>
    </row>
    <row r="329" spans="1:29" ht="16.649999999999999" customHeight="1" x14ac:dyDescent="0.35">
      <c r="A329"/>
      <c r="B329" s="44"/>
      <c r="C329" s="24"/>
      <c r="D329" s="24"/>
      <c r="E329" s="81" t="s">
        <v>187</v>
      </c>
      <c r="F329" s="28">
        <v>24429.69</v>
      </c>
      <c r="G329" s="28">
        <v>24981.09</v>
      </c>
      <c r="H329" s="28">
        <v>25091.13</v>
      </c>
      <c r="I329" s="28">
        <v>24898.43</v>
      </c>
      <c r="J329" s="28">
        <v>24298.34</v>
      </c>
      <c r="K329" s="28">
        <v>24458.67</v>
      </c>
      <c r="L329" s="28">
        <v>24988.7</v>
      </c>
      <c r="M329" s="28">
        <v>24938.82</v>
      </c>
      <c r="N329" s="28">
        <v>24273.53</v>
      </c>
      <c r="O329" s="81"/>
      <c r="P329" s="81"/>
      <c r="Q329" s="82"/>
      <c r="R329" s="82"/>
      <c r="S329" s="178"/>
      <c r="T329" s="23"/>
      <c r="U329" s="179"/>
      <c r="X329" s="157"/>
      <c r="Y329" s="157"/>
      <c r="Z329" s="157"/>
      <c r="AA329" s="157"/>
    </row>
    <row r="330" spans="1:29" ht="22.75" customHeight="1" thickBot="1" x14ac:dyDescent="0.4">
      <c r="A330"/>
      <c r="B330" s="44"/>
      <c r="C330" s="24"/>
      <c r="D330" s="24"/>
      <c r="E330" s="81" t="s">
        <v>188</v>
      </c>
      <c r="F330" s="60">
        <f t="shared" ref="F330:N330" si="106">IF(((F328="")*AND(F329="")),"",(F328-F329)*3)</f>
        <v>4632.1200000000026</v>
      </c>
      <c r="G330" s="60">
        <f t="shared" si="106"/>
        <v>3902.25</v>
      </c>
      <c r="H330" s="60">
        <f t="shared" si="106"/>
        <v>4054.1699999999983</v>
      </c>
      <c r="I330" s="60">
        <f t="shared" si="106"/>
        <v>4170.8700000000026</v>
      </c>
      <c r="J330" s="60">
        <f t="shared" si="106"/>
        <v>4804.8300000000017</v>
      </c>
      <c r="K330" s="60">
        <f t="shared" si="106"/>
        <v>4638.1500000000087</v>
      </c>
      <c r="L330" s="60">
        <f t="shared" si="106"/>
        <v>4000.4399999999987</v>
      </c>
      <c r="M330" s="60">
        <f t="shared" si="106"/>
        <v>4032.3599999999969</v>
      </c>
      <c r="N330" s="60">
        <f t="shared" si="106"/>
        <v>4793.7900000000009</v>
      </c>
      <c r="O330" s="81"/>
      <c r="P330" s="81"/>
      <c r="Q330" s="82"/>
      <c r="R330" s="82"/>
      <c r="S330" s="178"/>
      <c r="T330" s="23"/>
      <c r="U330" s="179"/>
      <c r="X330" s="157"/>
      <c r="Y330" s="157"/>
      <c r="Z330" s="157"/>
      <c r="AA330" s="157"/>
    </row>
    <row r="331" spans="1:29" x14ac:dyDescent="0.25">
      <c r="A331" s="252">
        <v>43262</v>
      </c>
      <c r="B331" s="260" t="s">
        <v>174</v>
      </c>
      <c r="C331" s="24" t="s">
        <v>176</v>
      </c>
      <c r="D331" s="64" t="s">
        <v>175</v>
      </c>
      <c r="E331" s="81" t="s">
        <v>186</v>
      </c>
      <c r="F331" s="28">
        <v>3179.64</v>
      </c>
      <c r="G331" s="28">
        <v>3026.86</v>
      </c>
      <c r="H331" s="28">
        <v>3074.82</v>
      </c>
      <c r="I331" s="28">
        <v>3086.8</v>
      </c>
      <c r="J331" s="28">
        <v>3388.78</v>
      </c>
      <c r="K331" s="28">
        <v>3389.57</v>
      </c>
      <c r="L331" s="28">
        <v>3096.49</v>
      </c>
      <c r="M331" s="28">
        <v>3029.19</v>
      </c>
      <c r="N331" s="28">
        <v>3224.33</v>
      </c>
      <c r="O331" s="81">
        <f>IF((N332=""),"",MAX(F333:N333))</f>
        <v>4014.44</v>
      </c>
      <c r="P331" s="81">
        <f>IF(N332="","",MIN(F333:N333))</f>
        <v>3690.2200000000003</v>
      </c>
      <c r="Q331" s="82">
        <f>IF((N333=""),"",AVERAGE(F333:N333))</f>
        <v>3893.1866666666665</v>
      </c>
      <c r="R331" s="82">
        <f>IF((N332=""),"",(O331-P331)/(O331+P331)*100)</f>
        <v>4.2081026287986729</v>
      </c>
      <c r="S331" s="152">
        <f>STDEV(F333:N333)</f>
        <v>114.22319204084607</v>
      </c>
      <c r="T331" s="23" t="str">
        <f>IF(N332="","",IF(Q331&gt;3650,IF(R331&lt;7,IF(Q331&lt;4450,"Pass","Fail"),"Fail"),"Fail"))</f>
        <v>Pass</v>
      </c>
      <c r="U331" s="179" t="s">
        <v>196</v>
      </c>
      <c r="V331" s="31" t="s">
        <v>197</v>
      </c>
      <c r="X331" s="155">
        <v>3650</v>
      </c>
      <c r="Y331" s="155">
        <v>4450</v>
      </c>
      <c r="Z331" s="155">
        <v>3700</v>
      </c>
      <c r="AA331" s="155">
        <v>4100</v>
      </c>
      <c r="AB331" s="51">
        <v>7</v>
      </c>
      <c r="AC331" s="51">
        <v>6.5</v>
      </c>
    </row>
    <row r="332" spans="1:29" ht="16.649999999999999" customHeight="1" x14ac:dyDescent="0.35">
      <c r="A332"/>
      <c r="B332" s="44"/>
      <c r="C332" s="24"/>
      <c r="D332" s="24"/>
      <c r="E332" s="81" t="s">
        <v>187</v>
      </c>
      <c r="F332" s="28">
        <v>1282.27</v>
      </c>
      <c r="G332" s="28">
        <v>1046.28</v>
      </c>
      <c r="H332" s="28">
        <v>1068.51</v>
      </c>
      <c r="I332" s="28">
        <v>1105.7</v>
      </c>
      <c r="J332" s="28">
        <v>1497.38</v>
      </c>
      <c r="K332" s="28">
        <v>1544.46</v>
      </c>
      <c r="L332" s="28">
        <v>1124.1500000000001</v>
      </c>
      <c r="M332" s="28">
        <v>1021.97</v>
      </c>
      <c r="N332" s="28">
        <v>1286.42</v>
      </c>
      <c r="O332" s="81"/>
      <c r="P332" s="81"/>
      <c r="Q332" s="82"/>
      <c r="R332" s="82"/>
      <c r="S332" s="178"/>
      <c r="T332" s="23"/>
      <c r="U332" s="179"/>
      <c r="X332" s="157"/>
      <c r="Y332" s="157"/>
      <c r="Z332" s="157"/>
      <c r="AA332" s="157"/>
    </row>
    <row r="333" spans="1:29" ht="22.75" customHeight="1" x14ac:dyDescent="0.35">
      <c r="A333"/>
      <c r="B333" s="44"/>
      <c r="C333" s="24"/>
      <c r="D333" s="24"/>
      <c r="E333" s="81" t="s">
        <v>188</v>
      </c>
      <c r="F333" s="60">
        <f t="shared" ref="F333:N333" si="107">IF(((F331="")*AND(F332="")),"",(F331-F332)*2)</f>
        <v>3794.74</v>
      </c>
      <c r="G333" s="60">
        <f t="shared" si="107"/>
        <v>3961.1600000000003</v>
      </c>
      <c r="H333" s="60">
        <f t="shared" si="107"/>
        <v>4012.6200000000003</v>
      </c>
      <c r="I333" s="60">
        <f t="shared" si="107"/>
        <v>3962.2000000000003</v>
      </c>
      <c r="J333" s="60">
        <f t="shared" si="107"/>
        <v>3782.8</v>
      </c>
      <c r="K333" s="60">
        <f t="shared" si="107"/>
        <v>3690.2200000000003</v>
      </c>
      <c r="L333" s="60">
        <f t="shared" si="107"/>
        <v>3944.6799999999994</v>
      </c>
      <c r="M333" s="60">
        <f t="shared" si="107"/>
        <v>4014.44</v>
      </c>
      <c r="N333" s="60">
        <f t="shared" si="107"/>
        <v>3875.8199999999997</v>
      </c>
      <c r="O333" s="81"/>
      <c r="P333" s="81"/>
      <c r="Q333" s="82"/>
      <c r="R333" s="82"/>
      <c r="S333" s="178"/>
      <c r="T333" s="23"/>
      <c r="U333" s="179"/>
      <c r="X333" s="157"/>
      <c r="Y333" s="157"/>
      <c r="Z333" s="157"/>
      <c r="AA333" s="157"/>
    </row>
    <row r="334" spans="1:29" ht="13.3" customHeight="1" x14ac:dyDescent="0.25">
      <c r="A334" s="252">
        <v>43262</v>
      </c>
      <c r="B334" s="257" t="s">
        <v>169</v>
      </c>
      <c r="C334" s="24" t="s">
        <v>171</v>
      </c>
      <c r="D334" s="24" t="s">
        <v>189</v>
      </c>
      <c r="E334" s="81" t="s">
        <v>186</v>
      </c>
      <c r="F334" s="28">
        <v>1924.29</v>
      </c>
      <c r="G334" s="28">
        <v>1927.32</v>
      </c>
      <c r="H334" s="28">
        <v>1934.75</v>
      </c>
      <c r="I334" s="28">
        <v>1928.83</v>
      </c>
      <c r="J334" s="28">
        <v>1927.08</v>
      </c>
      <c r="K334" s="28">
        <v>1927.74</v>
      </c>
      <c r="L334" s="28">
        <v>1925.11</v>
      </c>
      <c r="M334" s="28">
        <v>1929.3</v>
      </c>
      <c r="N334" s="28">
        <v>1927.97</v>
      </c>
      <c r="O334" s="81">
        <f>IF((N335=""),"",MAX(F336:N336))</f>
        <v>2054.6099999999997</v>
      </c>
      <c r="P334" s="81">
        <f>IF(N335="","",MIN(F336:N336))</f>
        <v>1993.1399999999996</v>
      </c>
      <c r="Q334" s="82">
        <f>IF((N336=""),"",AVERAGE(F336:N336))</f>
        <v>2018.583333333333</v>
      </c>
      <c r="R334" s="82">
        <f>IF((N335=""),"",(O334-P334)/(O334+P334)*100)</f>
        <v>1.5186214563646481</v>
      </c>
      <c r="S334" s="152">
        <f>STDEV(F336:N336)</f>
        <v>17.388975674259765</v>
      </c>
      <c r="T334" s="23" t="str">
        <f>IF(N335="","",IF(Q334&gt;1940,IF(R334&lt;8.3,IF(Q334&lt;2180,"Pass","Fail"),"Fail"),"Fail"))</f>
        <v>Pass</v>
      </c>
      <c r="U334" s="179" t="s">
        <v>196</v>
      </c>
      <c r="V334" s="31" t="s">
        <v>197</v>
      </c>
      <c r="X334" s="155">
        <v>2000</v>
      </c>
      <c r="Y334" s="155">
        <v>3000</v>
      </c>
      <c r="Z334" s="155">
        <v>1940</v>
      </c>
      <c r="AA334" s="155">
        <v>2180</v>
      </c>
      <c r="AC334" s="51">
        <v>5.2</v>
      </c>
    </row>
    <row r="335" spans="1:29" ht="16.649999999999999" customHeight="1" x14ac:dyDescent="0.35">
      <c r="A335"/>
      <c r="B335" s="44"/>
      <c r="C335" s="24"/>
      <c r="D335" s="24"/>
      <c r="E335" s="81" t="s">
        <v>187</v>
      </c>
      <c r="F335" s="28">
        <v>1239.42</v>
      </c>
      <c r="G335" s="28">
        <v>1250.53</v>
      </c>
      <c r="H335" s="28">
        <v>1265.05</v>
      </c>
      <c r="I335" s="28">
        <v>1258.1099999999999</v>
      </c>
      <c r="J335" s="28">
        <v>1262.7</v>
      </c>
      <c r="K335" s="28">
        <v>1254.42</v>
      </c>
      <c r="L335" s="28">
        <v>1256.3699999999999</v>
      </c>
      <c r="M335" s="28">
        <v>1254.22</v>
      </c>
      <c r="N335" s="28">
        <v>1255.82</v>
      </c>
      <c r="O335" s="81"/>
      <c r="P335" s="81"/>
      <c r="Q335" s="82"/>
      <c r="R335" s="82"/>
      <c r="S335" s="178"/>
      <c r="T335" s="23"/>
      <c r="U335" s="179"/>
      <c r="X335" s="157"/>
      <c r="Y335" s="157"/>
      <c r="Z335" s="157"/>
      <c r="AA335" s="157"/>
    </row>
    <row r="336" spans="1:29" ht="32.299999999999997" customHeight="1" thickBot="1" x14ac:dyDescent="0.4">
      <c r="A336"/>
      <c r="B336" s="83"/>
      <c r="C336" s="84"/>
      <c r="D336" s="84"/>
      <c r="E336" s="85" t="s">
        <v>190</v>
      </c>
      <c r="F336" s="73">
        <f t="shared" ref="F336:N336" si="108">IF(((F334="")*AND(F335="")),"",(F334-F335)*3)</f>
        <v>2054.6099999999997</v>
      </c>
      <c r="G336" s="73">
        <f t="shared" si="108"/>
        <v>2030.37</v>
      </c>
      <c r="H336" s="73">
        <f t="shared" si="108"/>
        <v>2009.1000000000001</v>
      </c>
      <c r="I336" s="73">
        <f t="shared" si="108"/>
        <v>2012.16</v>
      </c>
      <c r="J336" s="73">
        <f t="shared" si="108"/>
        <v>1993.1399999999996</v>
      </c>
      <c r="K336" s="73">
        <f t="shared" si="108"/>
        <v>2019.9599999999998</v>
      </c>
      <c r="L336" s="73">
        <f t="shared" si="108"/>
        <v>2006.22</v>
      </c>
      <c r="M336" s="73">
        <f t="shared" si="108"/>
        <v>2025.2399999999998</v>
      </c>
      <c r="N336" s="73">
        <f t="shared" si="108"/>
        <v>2016.4500000000003</v>
      </c>
      <c r="O336" s="85"/>
      <c r="P336" s="85"/>
      <c r="Q336" s="86"/>
      <c r="R336" s="86"/>
      <c r="S336" s="181"/>
      <c r="T336" s="182"/>
      <c r="U336" s="183"/>
      <c r="X336" s="157"/>
      <c r="Y336" s="157"/>
      <c r="Z336" s="157"/>
      <c r="AA336" s="157"/>
    </row>
    <row r="337" spans="1:29" ht="13.3" customHeight="1" x14ac:dyDescent="0.25">
      <c r="A337" s="249">
        <v>43266</v>
      </c>
      <c r="B337" s="261" t="s">
        <v>185</v>
      </c>
      <c r="C337" s="59" t="s">
        <v>173</v>
      </c>
      <c r="D337" s="59" t="s">
        <v>172</v>
      </c>
      <c r="E337" s="61" t="s">
        <v>186</v>
      </c>
      <c r="F337" s="146">
        <v>23125.5</v>
      </c>
      <c r="G337" s="146">
        <v>23438.38</v>
      </c>
      <c r="H337" s="146">
        <v>23576.080000000002</v>
      </c>
      <c r="I337" s="146">
        <v>23403.16</v>
      </c>
      <c r="J337" s="146">
        <v>23047.93</v>
      </c>
      <c r="K337" s="146">
        <v>23117.31</v>
      </c>
      <c r="L337" s="146">
        <v>23439.279999999999</v>
      </c>
      <c r="M337" s="146">
        <v>23392.22</v>
      </c>
      <c r="N337" s="146">
        <v>23044.560000000001</v>
      </c>
      <c r="O337" s="61">
        <f>IF((N338=""),"",MAX(F339:N339))</f>
        <v>4388.6100000000079</v>
      </c>
      <c r="P337" s="61">
        <f>IF(N338="","",MIN(F339:N339))</f>
        <v>3899.1600000000035</v>
      </c>
      <c r="Q337" s="62">
        <f>IF((N339=""),"",AVERAGE(F339:N339))</f>
        <v>4140.8966666666684</v>
      </c>
      <c r="R337" s="62">
        <f>IF((N338=""),"",(O337-P337)/(O337+P337)*100)</f>
        <v>5.9056899503727021</v>
      </c>
      <c r="S337" s="152">
        <f>STDEV(F339:N339)</f>
        <v>217.3281088584732</v>
      </c>
      <c r="T337" s="158" t="str">
        <f>IF(N338="","",IF(R337&lt;16,IF(Q337&gt;3200,IF(R337,IF(Q337&lt;5240,"Pass","Fail"),"Fail"),"Fail")))</f>
        <v>Pass</v>
      </c>
      <c r="U337" s="159">
        <v>121</v>
      </c>
      <c r="W337" s="31"/>
      <c r="X337" s="155">
        <v>4200</v>
      </c>
      <c r="Y337" s="155">
        <v>5500</v>
      </c>
      <c r="Z337" s="155">
        <v>3200</v>
      </c>
      <c r="AA337" s="155">
        <v>5240</v>
      </c>
      <c r="AC337" s="51">
        <v>16</v>
      </c>
    </row>
    <row r="338" spans="1:29" ht="16.649999999999999" customHeight="1" x14ac:dyDescent="0.35">
      <c r="A338"/>
      <c r="B338" s="44"/>
      <c r="C338" s="24"/>
      <c r="D338" s="24"/>
      <c r="E338" s="81" t="s">
        <v>187</v>
      </c>
      <c r="F338" s="28">
        <v>21677.68</v>
      </c>
      <c r="G338" s="28">
        <v>22116.76</v>
      </c>
      <c r="H338" s="28">
        <v>22276.36</v>
      </c>
      <c r="I338" s="28">
        <v>22080.05</v>
      </c>
      <c r="J338" s="28">
        <v>21591.42</v>
      </c>
      <c r="K338" s="28">
        <v>21660.240000000002</v>
      </c>
      <c r="L338" s="28">
        <v>22109.74</v>
      </c>
      <c r="M338" s="28">
        <v>22067.79</v>
      </c>
      <c r="N338" s="28">
        <v>21581.69</v>
      </c>
      <c r="O338" s="81"/>
      <c r="P338" s="81"/>
      <c r="Q338" s="82"/>
      <c r="R338" s="82"/>
      <c r="S338" s="178"/>
      <c r="T338" s="23"/>
      <c r="U338" s="179"/>
      <c r="W338" s="31"/>
      <c r="X338" s="157"/>
      <c r="Y338" s="157"/>
      <c r="Z338" s="157"/>
      <c r="AA338" s="157"/>
    </row>
    <row r="339" spans="1:29" ht="22.75" customHeight="1" thickBot="1" x14ac:dyDescent="0.4">
      <c r="A339"/>
      <c r="B339" s="44"/>
      <c r="C339" s="24"/>
      <c r="D339" s="24"/>
      <c r="E339" s="81" t="s">
        <v>188</v>
      </c>
      <c r="F339" s="60">
        <f t="shared" ref="F339:N339" si="109">IF(((F337="")*AND(F338="")),"",(F337-F338)*3)</f>
        <v>4343.4599999999991</v>
      </c>
      <c r="G339" s="60">
        <f t="shared" si="109"/>
        <v>3964.8600000000079</v>
      </c>
      <c r="H339" s="60">
        <f t="shared" si="109"/>
        <v>3899.1600000000035</v>
      </c>
      <c r="I339" s="60">
        <f t="shared" si="109"/>
        <v>3969.3300000000017</v>
      </c>
      <c r="J339" s="60">
        <f t="shared" si="109"/>
        <v>4369.5300000000061</v>
      </c>
      <c r="K339" s="60">
        <f t="shared" si="109"/>
        <v>4371.2099999999991</v>
      </c>
      <c r="L339" s="60">
        <f t="shared" si="109"/>
        <v>3988.6199999999917</v>
      </c>
      <c r="M339" s="60">
        <f t="shared" si="109"/>
        <v>3973.2900000000009</v>
      </c>
      <c r="N339" s="60">
        <f t="shared" si="109"/>
        <v>4388.6100000000079</v>
      </c>
      <c r="O339" s="81"/>
      <c r="P339" s="81"/>
      <c r="Q339" s="82"/>
      <c r="R339" s="82"/>
      <c r="S339" s="178"/>
      <c r="T339" s="23"/>
      <c r="U339" s="179"/>
      <c r="W339" s="31"/>
      <c r="X339" s="157"/>
      <c r="Y339" s="157"/>
      <c r="Z339" s="157"/>
      <c r="AA339" s="157"/>
    </row>
    <row r="340" spans="1:29" x14ac:dyDescent="0.25">
      <c r="A340" s="252">
        <v>43266</v>
      </c>
      <c r="B340" s="260" t="s">
        <v>174</v>
      </c>
      <c r="C340" s="24" t="s">
        <v>176</v>
      </c>
      <c r="D340" s="64" t="s">
        <v>175</v>
      </c>
      <c r="E340" s="81" t="s">
        <v>186</v>
      </c>
      <c r="F340" s="28">
        <v>6881.84</v>
      </c>
      <c r="G340" s="28">
        <v>6875.3</v>
      </c>
      <c r="H340" s="28">
        <v>6945.57</v>
      </c>
      <c r="I340" s="28">
        <v>6919.32</v>
      </c>
      <c r="J340" s="28">
        <v>7051.01</v>
      </c>
      <c r="K340" s="28">
        <v>6960.93</v>
      </c>
      <c r="L340" s="28">
        <v>6922.73</v>
      </c>
      <c r="M340" s="28">
        <v>6914.07</v>
      </c>
      <c r="N340" s="28">
        <v>6998.66</v>
      </c>
      <c r="O340" s="81">
        <f>IF((N341=""),"",MAX(F342:N342))</f>
        <v>3989.0199999999986</v>
      </c>
      <c r="P340" s="81">
        <f>IF(N341="","",MIN(F342:N342))</f>
        <v>3641.92</v>
      </c>
      <c r="Q340" s="82">
        <f>IF((N342=""),"",AVERAGE(F342:N342))</f>
        <v>3859.9311111111101</v>
      </c>
      <c r="R340" s="82">
        <f>IF((N341=""),"",(O340-P340)/(O340+P340)*100)</f>
        <v>4.5485877231376293</v>
      </c>
      <c r="S340" s="152">
        <f>STDEV(F342:N342)</f>
        <v>121.28731636536048</v>
      </c>
      <c r="T340" s="23" t="str">
        <f>IF(N341="","",IF(Q340&gt;3650,IF(R340&lt;7,IF(Q340&lt;4450,"Pass","Fail"),"Fail"),"Fail"))</f>
        <v>Pass</v>
      </c>
      <c r="U340" s="179">
        <v>121</v>
      </c>
      <c r="W340" s="31"/>
      <c r="X340" s="155">
        <v>3650</v>
      </c>
      <c r="Y340" s="155">
        <v>4450</v>
      </c>
      <c r="Z340" s="155">
        <v>3700</v>
      </c>
      <c r="AA340" s="155">
        <v>4100</v>
      </c>
      <c r="AB340" s="51">
        <v>7</v>
      </c>
      <c r="AC340" s="51">
        <v>6.5</v>
      </c>
    </row>
    <row r="341" spans="1:29" ht="16.649999999999999" customHeight="1" x14ac:dyDescent="0.35">
      <c r="A341"/>
      <c r="B341" s="44"/>
      <c r="C341" s="24"/>
      <c r="D341" s="24"/>
      <c r="E341" s="81" t="s">
        <v>187</v>
      </c>
      <c r="F341" s="28">
        <v>5005.8900000000003</v>
      </c>
      <c r="G341" s="28">
        <v>4910.25</v>
      </c>
      <c r="H341" s="28">
        <v>4955.07</v>
      </c>
      <c r="I341" s="28">
        <v>4951.3500000000004</v>
      </c>
      <c r="J341" s="28">
        <v>5177.59</v>
      </c>
      <c r="K341" s="28">
        <v>5139.97</v>
      </c>
      <c r="L341" s="28">
        <v>4963.5</v>
      </c>
      <c r="M341" s="28">
        <v>4919.5600000000004</v>
      </c>
      <c r="N341" s="28">
        <v>5076.5600000000004</v>
      </c>
      <c r="O341" s="81"/>
      <c r="P341" s="81"/>
      <c r="Q341" s="82"/>
      <c r="R341" s="82"/>
      <c r="S341" s="178"/>
      <c r="T341" s="23"/>
      <c r="U341" s="179"/>
      <c r="W341" s="31"/>
      <c r="X341" s="157"/>
      <c r="Y341" s="157"/>
      <c r="Z341" s="157"/>
      <c r="AA341" s="157"/>
    </row>
    <row r="342" spans="1:29" ht="22.75" customHeight="1" x14ac:dyDescent="0.35">
      <c r="A342"/>
      <c r="B342" s="44"/>
      <c r="C342" s="24"/>
      <c r="D342" s="24"/>
      <c r="E342" s="81" t="s">
        <v>188</v>
      </c>
      <c r="F342" s="60">
        <f t="shared" ref="F342:N342" si="110">IF(((F340="")*AND(F341="")),"",(F340-F341)*2)</f>
        <v>3751.8999999999996</v>
      </c>
      <c r="G342" s="60">
        <f t="shared" si="110"/>
        <v>3930.1000000000004</v>
      </c>
      <c r="H342" s="60">
        <f t="shared" si="110"/>
        <v>3981</v>
      </c>
      <c r="I342" s="60">
        <f t="shared" si="110"/>
        <v>3935.9399999999987</v>
      </c>
      <c r="J342" s="60">
        <f t="shared" si="110"/>
        <v>3746.84</v>
      </c>
      <c r="K342" s="60">
        <f t="shared" si="110"/>
        <v>3641.92</v>
      </c>
      <c r="L342" s="60">
        <f t="shared" si="110"/>
        <v>3918.4599999999991</v>
      </c>
      <c r="M342" s="60">
        <f t="shared" si="110"/>
        <v>3989.0199999999986</v>
      </c>
      <c r="N342" s="60">
        <f t="shared" si="110"/>
        <v>3844.1999999999989</v>
      </c>
      <c r="O342" s="81"/>
      <c r="P342" s="81"/>
      <c r="Q342" s="82"/>
      <c r="R342" s="82"/>
      <c r="S342" s="178"/>
      <c r="T342" s="23"/>
      <c r="U342" s="179"/>
      <c r="W342" s="31"/>
      <c r="X342" s="157"/>
      <c r="Y342" s="157"/>
      <c r="Z342" s="157"/>
      <c r="AA342" s="157"/>
    </row>
    <row r="343" spans="1:29" ht="13.3" customHeight="1" x14ac:dyDescent="0.25">
      <c r="A343" s="252">
        <v>43266</v>
      </c>
      <c r="B343" s="257" t="s">
        <v>169</v>
      </c>
      <c r="C343" s="24" t="s">
        <v>171</v>
      </c>
      <c r="D343" s="24" t="s">
        <v>189</v>
      </c>
      <c r="E343" s="81" t="s">
        <v>186</v>
      </c>
      <c r="F343" s="28">
        <v>1243.6199999999999</v>
      </c>
      <c r="G343" s="28">
        <v>1256.28</v>
      </c>
      <c r="H343" s="28">
        <v>1264.97</v>
      </c>
      <c r="I343" s="28">
        <v>1262.56</v>
      </c>
      <c r="J343" s="28">
        <v>1263.3399999999999</v>
      </c>
      <c r="K343" s="28">
        <v>1257.68</v>
      </c>
      <c r="L343" s="28">
        <v>1261.06</v>
      </c>
      <c r="M343" s="28">
        <v>1256.46</v>
      </c>
      <c r="N343" s="28">
        <v>1260.6199999999999</v>
      </c>
      <c r="O343" s="81">
        <f>IF((N344=""),"",MAX(F345:N345))</f>
        <v>2054.2499999999995</v>
      </c>
      <c r="P343" s="81">
        <f>IF(N344="","",MIN(F345:N345))</f>
        <v>2002.9199999999996</v>
      </c>
      <c r="Q343" s="82">
        <f>IF((N345=""),"",AVERAGE(F345:N345))</f>
        <v>2031.3666666666666</v>
      </c>
      <c r="R343" s="82">
        <f>IF((N344=""),"",(O343-P343)/(O343+P343)*100)</f>
        <v>1.2651675921886423</v>
      </c>
      <c r="S343" s="152">
        <f>STDEV(F345:N345)</f>
        <v>16.361952817436009</v>
      </c>
      <c r="T343" s="23" t="str">
        <f>IF(N344="","",IF(Q343&gt;1940,IF(R343&lt;8.3,IF(Q343&lt;2180,"Pass","Fail"),"Fail"),"Fail"))</f>
        <v>Pass</v>
      </c>
      <c r="U343" s="179">
        <v>121</v>
      </c>
      <c r="W343" s="31"/>
      <c r="X343" s="155">
        <v>2000</v>
      </c>
      <c r="Y343" s="155">
        <v>3000</v>
      </c>
      <c r="Z343" s="155">
        <v>1940</v>
      </c>
      <c r="AA343" s="155">
        <v>2180</v>
      </c>
      <c r="AC343" s="51">
        <v>5.2</v>
      </c>
    </row>
    <row r="344" spans="1:29" ht="16.649999999999999" customHeight="1" x14ac:dyDescent="0.35">
      <c r="A344"/>
      <c r="B344" s="44"/>
      <c r="C344" s="24"/>
      <c r="D344" s="24"/>
      <c r="E344" s="81" t="s">
        <v>187</v>
      </c>
      <c r="F344" s="28">
        <v>558.87</v>
      </c>
      <c r="G344" s="28">
        <v>574.76</v>
      </c>
      <c r="H344" s="28">
        <v>590.26</v>
      </c>
      <c r="I344" s="28">
        <v>590.19000000000005</v>
      </c>
      <c r="J344" s="28">
        <v>595.70000000000005</v>
      </c>
      <c r="K344" s="28">
        <v>574.9</v>
      </c>
      <c r="L344" s="28">
        <v>586.03</v>
      </c>
      <c r="M344" s="28">
        <v>577.20000000000005</v>
      </c>
      <c r="N344" s="28">
        <v>584.58000000000004</v>
      </c>
      <c r="O344" s="81"/>
      <c r="P344" s="81"/>
      <c r="Q344" s="82"/>
      <c r="R344" s="82"/>
      <c r="S344" s="178"/>
      <c r="T344" s="23"/>
      <c r="U344" s="179"/>
      <c r="W344" s="31"/>
      <c r="X344" s="157"/>
      <c r="Y344" s="157"/>
      <c r="Z344" s="157"/>
      <c r="AA344" s="157"/>
    </row>
    <row r="345" spans="1:29" ht="30.75" customHeight="1" thickBot="1" x14ac:dyDescent="0.4">
      <c r="A345"/>
      <c r="B345" s="83"/>
      <c r="C345" s="84"/>
      <c r="D345" s="84"/>
      <c r="E345" s="85" t="s">
        <v>190</v>
      </c>
      <c r="F345" s="73">
        <f t="shared" ref="F345:N345" si="111">IF(((F343="")*AND(F344="")),"",(F343-F344)*3)</f>
        <v>2054.2499999999995</v>
      </c>
      <c r="G345" s="73">
        <f t="shared" si="111"/>
        <v>2044.56</v>
      </c>
      <c r="H345" s="73">
        <f t="shared" si="111"/>
        <v>2024.13</v>
      </c>
      <c r="I345" s="73">
        <f t="shared" si="111"/>
        <v>2017.1099999999997</v>
      </c>
      <c r="J345" s="73">
        <f t="shared" si="111"/>
        <v>2002.9199999999996</v>
      </c>
      <c r="K345" s="73">
        <f t="shared" si="111"/>
        <v>2048.34</v>
      </c>
      <c r="L345" s="73">
        <f t="shared" si="111"/>
        <v>2025.09</v>
      </c>
      <c r="M345" s="73">
        <f t="shared" si="111"/>
        <v>2037.78</v>
      </c>
      <c r="N345" s="73">
        <f t="shared" si="111"/>
        <v>2028.1199999999994</v>
      </c>
      <c r="O345" s="85"/>
      <c r="P345" s="85"/>
      <c r="Q345" s="86"/>
      <c r="R345" s="86"/>
      <c r="S345" s="181"/>
      <c r="T345" s="182"/>
      <c r="U345" s="183"/>
      <c r="W345" s="31"/>
      <c r="X345" s="157"/>
      <c r="Y345" s="157"/>
      <c r="Z345" s="157"/>
      <c r="AA345" s="157"/>
    </row>
    <row r="346" spans="1:29" ht="13.3" customHeight="1" x14ac:dyDescent="0.25">
      <c r="A346" s="249">
        <v>43270</v>
      </c>
      <c r="B346" s="261" t="s">
        <v>185</v>
      </c>
      <c r="C346" s="59" t="s">
        <v>173</v>
      </c>
      <c r="D346" s="59" t="s">
        <v>172</v>
      </c>
      <c r="E346" s="61" t="s">
        <v>186</v>
      </c>
      <c r="F346" s="146">
        <v>29190.080000000002</v>
      </c>
      <c r="G346" s="146">
        <v>29089.97</v>
      </c>
      <c r="H346" s="146">
        <v>29115.58</v>
      </c>
      <c r="I346" s="146">
        <v>29113.8</v>
      </c>
      <c r="J346" s="146">
        <v>29232.73</v>
      </c>
      <c r="K346" s="146">
        <v>29171.279999999999</v>
      </c>
      <c r="L346" s="146">
        <v>29094.17</v>
      </c>
      <c r="M346" s="146">
        <v>29094.82</v>
      </c>
      <c r="N346" s="146">
        <v>29215.13</v>
      </c>
      <c r="O346" s="61">
        <f>IF((N347=""),"",MAX(F348:N348))</f>
        <v>4312.3799999999974</v>
      </c>
      <c r="P346" s="61">
        <f>IF(N347="","",MIN(F348:N348))</f>
        <v>3838.9800000000105</v>
      </c>
      <c r="Q346" s="62">
        <f>IF((N348=""),"",AVERAGE(F348:N348))</f>
        <v>4049.7399999999989</v>
      </c>
      <c r="R346" s="62">
        <f>IF((N347=""),"",(O346-P346)/(O346+P346)*100)</f>
        <v>5.8076198327639368</v>
      </c>
      <c r="S346" s="152">
        <f>STDEV(F348:N348)</f>
        <v>199.66378577498668</v>
      </c>
      <c r="T346" s="158" t="str">
        <f>IF(N347="","",IF(R346&lt;16,IF(Q346&gt;3200,IF(R346,IF(Q346&lt;5240,"Pass","Fail"),"Fail"),"Fail")))</f>
        <v>Pass</v>
      </c>
      <c r="U346" s="159">
        <v>1159</v>
      </c>
      <c r="V346" s="31" t="s">
        <v>198</v>
      </c>
      <c r="X346" s="155">
        <v>4200</v>
      </c>
      <c r="Y346" s="155">
        <v>5500</v>
      </c>
      <c r="Z346" s="155">
        <v>3200</v>
      </c>
      <c r="AA346" s="155">
        <v>5240</v>
      </c>
      <c r="AC346" s="51">
        <v>16</v>
      </c>
    </row>
    <row r="347" spans="1:29" ht="16.649999999999999" customHeight="1" x14ac:dyDescent="0.35">
      <c r="A347"/>
      <c r="B347" s="44"/>
      <c r="C347" s="24"/>
      <c r="D347" s="24"/>
      <c r="E347" s="81" t="s">
        <v>187</v>
      </c>
      <c r="F347" s="28">
        <v>27791.65</v>
      </c>
      <c r="G347" s="28">
        <v>27792.400000000001</v>
      </c>
      <c r="H347" s="28">
        <v>27835.919999999998</v>
      </c>
      <c r="I347" s="28">
        <v>27810.59</v>
      </c>
      <c r="J347" s="28">
        <v>27795.27</v>
      </c>
      <c r="K347" s="28">
        <v>27761.54</v>
      </c>
      <c r="L347" s="28">
        <v>27800.43</v>
      </c>
      <c r="M347" s="28">
        <v>27794.880000000001</v>
      </c>
      <c r="N347" s="28">
        <v>27785.66</v>
      </c>
      <c r="O347" s="81"/>
      <c r="P347" s="81"/>
      <c r="Q347" s="82"/>
      <c r="R347" s="82"/>
      <c r="S347" s="178"/>
      <c r="T347" s="23"/>
      <c r="U347" s="179"/>
      <c r="X347" s="157"/>
      <c r="Y347" s="157"/>
      <c r="Z347" s="157"/>
      <c r="AA347" s="157"/>
    </row>
    <row r="348" spans="1:29" ht="22.75" customHeight="1" thickBot="1" x14ac:dyDescent="0.4">
      <c r="A348"/>
      <c r="B348" s="44"/>
      <c r="C348" s="24"/>
      <c r="D348" s="24"/>
      <c r="E348" s="81" t="s">
        <v>188</v>
      </c>
      <c r="F348" s="60">
        <f t="shared" ref="F348:N348" si="112">IF(((F346="")*AND(F347="")),"",(F346-F347)*3)</f>
        <v>4195.2900000000009</v>
      </c>
      <c r="G348" s="60">
        <f t="shared" si="112"/>
        <v>3892.7099999999991</v>
      </c>
      <c r="H348" s="60">
        <f t="shared" si="112"/>
        <v>3838.9800000000105</v>
      </c>
      <c r="I348" s="60">
        <f t="shared" si="112"/>
        <v>3909.6299999999974</v>
      </c>
      <c r="J348" s="60">
        <f t="shared" si="112"/>
        <v>4312.3799999999974</v>
      </c>
      <c r="K348" s="60">
        <f t="shared" si="112"/>
        <v>4229.2199999999939</v>
      </c>
      <c r="L348" s="60">
        <f t="shared" si="112"/>
        <v>3881.2199999999939</v>
      </c>
      <c r="M348" s="60">
        <f t="shared" si="112"/>
        <v>3899.8199999999961</v>
      </c>
      <c r="N348" s="60">
        <f t="shared" si="112"/>
        <v>4288.4100000000035</v>
      </c>
      <c r="O348" s="81"/>
      <c r="P348" s="81"/>
      <c r="Q348" s="82"/>
      <c r="R348" s="82"/>
      <c r="S348" s="178"/>
      <c r="T348" s="23"/>
      <c r="U348" s="179"/>
      <c r="X348" s="157"/>
      <c r="Y348" s="157"/>
      <c r="Z348" s="157"/>
      <c r="AA348" s="157"/>
    </row>
    <row r="349" spans="1:29" x14ac:dyDescent="0.25">
      <c r="A349" s="252">
        <v>43270</v>
      </c>
      <c r="B349" s="260" t="s">
        <v>174</v>
      </c>
      <c r="C349" s="24" t="s">
        <v>176</v>
      </c>
      <c r="D349" s="64" t="s">
        <v>175</v>
      </c>
      <c r="E349" s="81" t="s">
        <v>186</v>
      </c>
      <c r="F349" s="28">
        <v>5015.1000000000004</v>
      </c>
      <c r="G349" s="28">
        <v>4920.72</v>
      </c>
      <c r="H349" s="28">
        <v>4964.4799999999996</v>
      </c>
      <c r="I349" s="28">
        <v>4960.7299999999996</v>
      </c>
      <c r="J349" s="28">
        <v>5185.75</v>
      </c>
      <c r="K349" s="28">
        <v>5147.6099999999997</v>
      </c>
      <c r="L349" s="28">
        <v>4973.09</v>
      </c>
      <c r="M349" s="28">
        <v>4929.97</v>
      </c>
      <c r="N349" s="28">
        <v>5084.87</v>
      </c>
      <c r="O349" s="81">
        <f>IF((N350=""),"",MAX(F351:N351))</f>
        <v>3995.9400000000005</v>
      </c>
      <c r="P349" s="81">
        <f>IF(N350="","",MIN(F351:N351))</f>
        <v>3618.2999999999993</v>
      </c>
      <c r="Q349" s="82">
        <f>IF((N351=""),"",AVERAGE(F351:N351))</f>
        <v>3856.6333333333332</v>
      </c>
      <c r="R349" s="82">
        <f>IF((N350=""),"",(O349-P349)/(O349+P349)*100)</f>
        <v>4.959654542016029</v>
      </c>
      <c r="S349" s="152">
        <f>STDEV(F351:N351)</f>
        <v>131.33353874772425</v>
      </c>
      <c r="T349" s="23" t="str">
        <f>IF(N350="","",IF(Q349&gt;3650,IF(R349&lt;7,IF(Q349&lt;4450,"Pass","Fail"),"Fail"),"Fail"))</f>
        <v>Pass</v>
      </c>
      <c r="U349" s="179">
        <v>1159</v>
      </c>
      <c r="V349" s="31" t="s">
        <v>198</v>
      </c>
      <c r="X349" s="155">
        <v>3650</v>
      </c>
      <c r="Y349" s="155">
        <v>4450</v>
      </c>
      <c r="Z349" s="155">
        <v>3700</v>
      </c>
      <c r="AA349" s="155">
        <v>4100</v>
      </c>
      <c r="AB349" s="51">
        <v>7</v>
      </c>
      <c r="AC349" s="51">
        <v>6.5</v>
      </c>
    </row>
    <row r="350" spans="1:29" ht="16.649999999999999" customHeight="1" x14ac:dyDescent="0.35">
      <c r="A350"/>
      <c r="B350" s="44"/>
      <c r="C350" s="24"/>
      <c r="D350" s="24"/>
      <c r="E350" s="81" t="s">
        <v>187</v>
      </c>
      <c r="F350" s="28">
        <v>3138.97</v>
      </c>
      <c r="G350" s="28">
        <v>2949.12</v>
      </c>
      <c r="H350" s="28">
        <v>2973.46</v>
      </c>
      <c r="I350" s="28">
        <v>2992.67</v>
      </c>
      <c r="J350" s="28">
        <v>3322.72</v>
      </c>
      <c r="K350" s="28">
        <v>3338.46</v>
      </c>
      <c r="L350" s="28">
        <v>3013.55</v>
      </c>
      <c r="M350" s="28">
        <v>2932</v>
      </c>
      <c r="N350" s="28">
        <v>3166.52</v>
      </c>
      <c r="O350" s="81"/>
      <c r="P350" s="81"/>
      <c r="Q350" s="82"/>
      <c r="R350" s="82"/>
      <c r="S350" s="178"/>
      <c r="T350" s="23"/>
      <c r="U350" s="179"/>
      <c r="X350" s="157"/>
      <c r="Y350" s="157"/>
      <c r="Z350" s="157"/>
      <c r="AA350" s="157"/>
    </row>
    <row r="351" spans="1:29" ht="22.75" customHeight="1" x14ac:dyDescent="0.35">
      <c r="A351"/>
      <c r="B351" s="44"/>
      <c r="C351" s="24"/>
      <c r="D351" s="24"/>
      <c r="E351" s="81" t="s">
        <v>188</v>
      </c>
      <c r="F351" s="60">
        <f t="shared" ref="F351:N351" si="113">IF(((F349="")*AND(F350="")),"",(F349-F350)*2)</f>
        <v>3752.2600000000011</v>
      </c>
      <c r="G351" s="60">
        <f t="shared" si="113"/>
        <v>3943.2000000000007</v>
      </c>
      <c r="H351" s="60">
        <f t="shared" si="113"/>
        <v>3982.0399999999991</v>
      </c>
      <c r="I351" s="60">
        <f t="shared" si="113"/>
        <v>3936.119999999999</v>
      </c>
      <c r="J351" s="60">
        <f t="shared" si="113"/>
        <v>3726.0600000000004</v>
      </c>
      <c r="K351" s="60">
        <f t="shared" si="113"/>
        <v>3618.2999999999993</v>
      </c>
      <c r="L351" s="60">
        <f t="shared" si="113"/>
        <v>3919.08</v>
      </c>
      <c r="M351" s="60">
        <f t="shared" si="113"/>
        <v>3995.9400000000005</v>
      </c>
      <c r="N351" s="60">
        <f t="shared" si="113"/>
        <v>3836.7</v>
      </c>
      <c r="O351" s="81"/>
      <c r="P351" s="81"/>
      <c r="Q351" s="82"/>
      <c r="R351" s="82"/>
      <c r="S351" s="178"/>
      <c r="T351" s="23"/>
      <c r="U351" s="179"/>
      <c r="X351" s="157"/>
      <c r="Y351" s="157"/>
      <c r="Z351" s="157"/>
      <c r="AA351" s="157"/>
    </row>
    <row r="352" spans="1:29" ht="13.3" customHeight="1" x14ac:dyDescent="0.25">
      <c r="A352" s="252">
        <v>43270</v>
      </c>
      <c r="B352" s="257" t="s">
        <v>169</v>
      </c>
      <c r="C352" s="24" t="s">
        <v>171</v>
      </c>
      <c r="D352" s="24" t="s">
        <v>189</v>
      </c>
      <c r="E352" s="81" t="s">
        <v>186</v>
      </c>
      <c r="F352" s="28">
        <v>1927.9</v>
      </c>
      <c r="G352" s="28">
        <v>1926.32</v>
      </c>
      <c r="H352" s="28">
        <v>1921.28</v>
      </c>
      <c r="I352" s="28">
        <v>1927.5</v>
      </c>
      <c r="J352" s="28">
        <v>1936.25</v>
      </c>
      <c r="K352" s="28">
        <v>1935.28</v>
      </c>
      <c r="L352" s="28">
        <v>1923.83</v>
      </c>
      <c r="M352" s="28">
        <v>1926.84</v>
      </c>
      <c r="N352" s="28">
        <v>1932.62</v>
      </c>
      <c r="O352" s="81">
        <f>IF((N353=""),"",MAX(F354:N354))</f>
        <v>2020.6799999999998</v>
      </c>
      <c r="P352" s="81">
        <f>IF(N353="","",MIN(F354:N354))</f>
        <v>1979.28</v>
      </c>
      <c r="Q352" s="82">
        <f>IF((N354=""),"",AVERAGE(F354:N354))</f>
        <v>1998.1233333333334</v>
      </c>
      <c r="R352" s="82">
        <f>IF((N353=""),"",(O352-P352)/(O352+P352)*100)</f>
        <v>1.0350103501034977</v>
      </c>
      <c r="S352" s="152">
        <f>STDEV(F354:N354)</f>
        <v>12.720410763807877</v>
      </c>
      <c r="T352" s="23" t="str">
        <f>IF(N353="","",IF(Q352&gt;1940,IF(R352&lt;8.3,IF(Q352&lt;2180,"Pass","Fail"),"Fail"),"Fail"))</f>
        <v>Pass</v>
      </c>
      <c r="U352" s="179">
        <v>1159</v>
      </c>
      <c r="V352" s="31" t="s">
        <v>198</v>
      </c>
      <c r="X352" s="155">
        <v>2000</v>
      </c>
      <c r="Y352" s="155">
        <v>3000</v>
      </c>
      <c r="Z352" s="155">
        <v>1940</v>
      </c>
      <c r="AA352" s="155">
        <v>2180</v>
      </c>
      <c r="AC352" s="51">
        <v>5.2</v>
      </c>
    </row>
    <row r="353" spans="1:29" ht="16.649999999999999" customHeight="1" x14ac:dyDescent="0.35">
      <c r="A353"/>
      <c r="B353" s="44"/>
      <c r="C353" s="24"/>
      <c r="D353" s="24"/>
      <c r="E353" s="81" t="s">
        <v>187</v>
      </c>
      <c r="F353" s="28">
        <v>1261.07</v>
      </c>
      <c r="G353" s="28">
        <v>1257.2</v>
      </c>
      <c r="H353" s="28">
        <v>1254.81</v>
      </c>
      <c r="I353" s="28">
        <v>1259.01</v>
      </c>
      <c r="J353" s="28">
        <v>1275.49</v>
      </c>
      <c r="K353" s="28">
        <v>1270.49</v>
      </c>
      <c r="L353" s="28">
        <v>1264.07</v>
      </c>
      <c r="M353" s="28">
        <v>1253.28</v>
      </c>
      <c r="N353" s="28">
        <v>1268.03</v>
      </c>
      <c r="O353" s="81"/>
      <c r="P353" s="81"/>
      <c r="Q353" s="82"/>
      <c r="R353" s="82"/>
      <c r="S353" s="178"/>
      <c r="T353" s="23"/>
      <c r="U353" s="179"/>
      <c r="X353" s="157"/>
      <c r="Y353" s="157"/>
      <c r="Z353" s="157"/>
      <c r="AA353" s="157"/>
    </row>
    <row r="354" spans="1:29" ht="31.75" customHeight="1" thickBot="1" x14ac:dyDescent="0.4">
      <c r="A354"/>
      <c r="B354" s="83"/>
      <c r="C354" s="84"/>
      <c r="D354" s="84"/>
      <c r="E354" s="85" t="s">
        <v>190</v>
      </c>
      <c r="F354" s="73">
        <f t="shared" ref="F354:N354" si="114">IF(((F352="")*AND(F353="")),"",(F352-F353)*3)</f>
        <v>2000.4900000000005</v>
      </c>
      <c r="G354" s="73">
        <f t="shared" si="114"/>
        <v>2007.3599999999997</v>
      </c>
      <c r="H354" s="73">
        <f t="shared" si="114"/>
        <v>1999.41</v>
      </c>
      <c r="I354" s="73">
        <f t="shared" si="114"/>
        <v>2005.47</v>
      </c>
      <c r="J354" s="73">
        <f t="shared" si="114"/>
        <v>1982.28</v>
      </c>
      <c r="K354" s="73">
        <f t="shared" si="114"/>
        <v>1994.37</v>
      </c>
      <c r="L354" s="73">
        <f t="shared" si="114"/>
        <v>1979.28</v>
      </c>
      <c r="M354" s="73">
        <f t="shared" si="114"/>
        <v>2020.6799999999998</v>
      </c>
      <c r="N354" s="73">
        <f t="shared" si="114"/>
        <v>1993.7699999999998</v>
      </c>
      <c r="O354" s="85"/>
      <c r="P354" s="85"/>
      <c r="Q354" s="86"/>
      <c r="R354" s="86"/>
      <c r="S354" s="181"/>
      <c r="T354" s="182"/>
      <c r="U354" s="183"/>
      <c r="X354" s="157"/>
      <c r="Y354" s="157"/>
      <c r="Z354" s="157"/>
      <c r="AA354" s="157"/>
    </row>
    <row r="355" spans="1:29" ht="13.3" customHeight="1" x14ac:dyDescent="0.25">
      <c r="A355" s="249">
        <v>43276</v>
      </c>
      <c r="B355" s="261" t="s">
        <v>185</v>
      </c>
      <c r="C355" s="59" t="s">
        <v>173</v>
      </c>
      <c r="D355" s="59" t="s">
        <v>172</v>
      </c>
      <c r="E355" s="61" t="s">
        <v>186</v>
      </c>
      <c r="F355" s="146">
        <v>27703.87</v>
      </c>
      <c r="G355" s="146">
        <v>27714.3</v>
      </c>
      <c r="H355" s="146">
        <v>27748.78</v>
      </c>
      <c r="I355" s="146">
        <v>27727.23</v>
      </c>
      <c r="J355" s="146">
        <v>27706.59</v>
      </c>
      <c r="K355" s="146">
        <v>27691.79</v>
      </c>
      <c r="L355" s="146">
        <v>27720.05</v>
      </c>
      <c r="M355" s="146">
        <v>27712.560000000001</v>
      </c>
      <c r="N355" s="146">
        <v>27688.13</v>
      </c>
      <c r="O355" s="61">
        <f>IF((N356=""),"",MAX(F357:N357))</f>
        <v>4584.1200000000026</v>
      </c>
      <c r="P355" s="61">
        <f>IF(N356="","",MIN(F357:N357))</f>
        <v>4049.6099999999969</v>
      </c>
      <c r="Q355" s="62">
        <f>IF((N357=""),"",AVERAGE(F357:N357))</f>
        <v>4301.2000000000007</v>
      </c>
      <c r="R355" s="62">
        <f>IF((N356=""),"",(O355-P355)/(O355+P355)*100)</f>
        <v>6.1909510721322736</v>
      </c>
      <c r="S355" s="152">
        <f>STDEV(F357:N357)</f>
        <v>214.15007769085747</v>
      </c>
      <c r="T355" s="158" t="str">
        <f>IF(N356="","",IF(R355&lt;16,IF(Q355&gt;3200,IF(R355,IF(Q355&lt;5240,"Pass","Fail"),"Fail"),"Fail")))</f>
        <v>Pass</v>
      </c>
      <c r="U355" s="159">
        <v>1340</v>
      </c>
      <c r="V355" s="31" t="s">
        <v>199</v>
      </c>
      <c r="X355" s="155">
        <v>4200</v>
      </c>
      <c r="Y355" s="155">
        <v>5500</v>
      </c>
      <c r="Z355" s="155">
        <v>3200</v>
      </c>
      <c r="AA355" s="155">
        <v>5240</v>
      </c>
      <c r="AC355" s="51">
        <v>16</v>
      </c>
    </row>
    <row r="356" spans="1:29" ht="16.649999999999999" customHeight="1" x14ac:dyDescent="0.35">
      <c r="A356"/>
      <c r="B356" s="44"/>
      <c r="C356" s="24"/>
      <c r="D356" s="24"/>
      <c r="E356" s="81" t="s">
        <v>187</v>
      </c>
      <c r="F356" s="28">
        <v>26212.01</v>
      </c>
      <c r="G356" s="28">
        <v>26339.03</v>
      </c>
      <c r="H356" s="28">
        <v>26398.91</v>
      </c>
      <c r="I356" s="28">
        <v>26340.62</v>
      </c>
      <c r="J356" s="28">
        <v>26178.55</v>
      </c>
      <c r="K356" s="28">
        <v>26188</v>
      </c>
      <c r="L356" s="28">
        <v>26341.19</v>
      </c>
      <c r="M356" s="28">
        <v>26329.81</v>
      </c>
      <c r="N356" s="28">
        <v>26181.58</v>
      </c>
      <c r="O356" s="81"/>
      <c r="P356" s="81"/>
      <c r="Q356" s="82"/>
      <c r="R356" s="82"/>
      <c r="S356" s="178"/>
      <c r="T356" s="23"/>
      <c r="U356" s="179"/>
      <c r="X356" s="157"/>
      <c r="Y356" s="157"/>
      <c r="Z356" s="157"/>
      <c r="AA356" s="157"/>
    </row>
    <row r="357" spans="1:29" ht="22.75" customHeight="1" thickBot="1" x14ac:dyDescent="0.4">
      <c r="A357"/>
      <c r="B357" s="44"/>
      <c r="C357" s="24"/>
      <c r="D357" s="24"/>
      <c r="E357" s="81" t="s">
        <v>188</v>
      </c>
      <c r="F357" s="60">
        <f t="shared" ref="F357:N357" si="115">IF(((F355="")*AND(F356="")),"",(F355-F356)*3)</f>
        <v>4475.5800000000017</v>
      </c>
      <c r="G357" s="60">
        <f t="shared" si="115"/>
        <v>4125.8100000000013</v>
      </c>
      <c r="H357" s="60">
        <f t="shared" si="115"/>
        <v>4049.6099999999969</v>
      </c>
      <c r="I357" s="60">
        <f t="shared" si="115"/>
        <v>4159.8300000000017</v>
      </c>
      <c r="J357" s="60">
        <f t="shared" si="115"/>
        <v>4584.1200000000026</v>
      </c>
      <c r="K357" s="60">
        <f t="shared" si="115"/>
        <v>4511.3700000000026</v>
      </c>
      <c r="L357" s="60">
        <f t="shared" si="115"/>
        <v>4136.5800000000017</v>
      </c>
      <c r="M357" s="60">
        <f t="shared" si="115"/>
        <v>4148.25</v>
      </c>
      <c r="N357" s="60">
        <f t="shared" si="115"/>
        <v>4519.6499999999978</v>
      </c>
      <c r="O357" s="81"/>
      <c r="P357" s="81"/>
      <c r="Q357" s="82"/>
      <c r="R357" s="82"/>
      <c r="S357" s="178"/>
      <c r="T357" s="23"/>
      <c r="U357" s="179"/>
      <c r="X357" s="157"/>
      <c r="Y357" s="157"/>
      <c r="Z357" s="157"/>
      <c r="AA357" s="157"/>
    </row>
    <row r="358" spans="1:29" x14ac:dyDescent="0.25">
      <c r="A358" s="252">
        <v>43276</v>
      </c>
      <c r="B358" s="260" t="s">
        <v>174</v>
      </c>
      <c r="C358" s="24" t="s">
        <v>176</v>
      </c>
      <c r="D358" s="64" t="s">
        <v>175</v>
      </c>
      <c r="E358" s="81" t="s">
        <v>186</v>
      </c>
      <c r="F358" s="28">
        <v>3153.54</v>
      </c>
      <c r="G358" s="28">
        <v>2962.03</v>
      </c>
      <c r="H358" s="28">
        <v>2986.7</v>
      </c>
      <c r="I358" s="28">
        <v>3005.72</v>
      </c>
      <c r="J358" s="28">
        <v>3341.1</v>
      </c>
      <c r="K358" s="28">
        <v>3355.66</v>
      </c>
      <c r="L358" s="28">
        <v>3027.1</v>
      </c>
      <c r="M358" s="28">
        <v>2944.57</v>
      </c>
      <c r="N358" s="28">
        <v>3181.6</v>
      </c>
      <c r="O358" s="81">
        <f>IF((N359=""),"",MAX(F360:N360))</f>
        <v>4041.92</v>
      </c>
      <c r="P358" s="81">
        <f>IF(N359="","",MIN(F360:N360))</f>
        <v>3712.5199999999995</v>
      </c>
      <c r="Q358" s="82">
        <f>IF((N360=""),"",AVERAGE(F360:N360))</f>
        <v>3920.6511111111113</v>
      </c>
      <c r="R358" s="82">
        <f>IF((N359=""),"",(O358-P358)/(O358+P358)*100)</f>
        <v>4.2478889513620661</v>
      </c>
      <c r="S358" s="152">
        <f>STDEV(F360:N360)</f>
        <v>111.90517776721116</v>
      </c>
      <c r="T358" s="23" t="str">
        <f>IF(N359="","",IF(Q358&gt;3650,IF(R358&lt;7,IF(Q358&lt;4450,"Pass","Fail"),"Fail"),"Fail"))</f>
        <v>Pass</v>
      </c>
      <c r="U358" s="179">
        <v>1340</v>
      </c>
      <c r="V358" s="31" t="s">
        <v>199</v>
      </c>
      <c r="X358" s="155">
        <v>3650</v>
      </c>
      <c r="Y358" s="155">
        <v>4450</v>
      </c>
      <c r="Z358" s="155">
        <v>3700</v>
      </c>
      <c r="AA358" s="155">
        <v>4100</v>
      </c>
      <c r="AB358" s="51">
        <v>7</v>
      </c>
      <c r="AC358" s="51">
        <v>6.5</v>
      </c>
    </row>
    <row r="359" spans="1:29" ht="16.649999999999999" customHeight="1" x14ac:dyDescent="0.35">
      <c r="A359"/>
      <c r="B359" s="44"/>
      <c r="C359" s="24"/>
      <c r="D359" s="24"/>
      <c r="E359" s="81" t="s">
        <v>187</v>
      </c>
      <c r="F359" s="28">
        <v>1241.03</v>
      </c>
      <c r="G359" s="28">
        <v>969.47</v>
      </c>
      <c r="H359" s="28">
        <v>970.04</v>
      </c>
      <c r="I359" s="28">
        <v>1012.45</v>
      </c>
      <c r="J359" s="28">
        <v>1429.56</v>
      </c>
      <c r="K359" s="28">
        <v>1499.4</v>
      </c>
      <c r="L359" s="28">
        <v>1043.31</v>
      </c>
      <c r="M359" s="28">
        <v>923.61</v>
      </c>
      <c r="N359" s="28">
        <v>1226.22</v>
      </c>
      <c r="O359" s="81"/>
      <c r="P359" s="81"/>
      <c r="Q359" s="82"/>
      <c r="R359" s="82"/>
      <c r="S359" s="178"/>
      <c r="T359" s="23"/>
      <c r="U359" s="179"/>
      <c r="X359" s="157"/>
      <c r="Y359" s="157"/>
      <c r="Z359" s="157"/>
      <c r="AA359" s="157"/>
    </row>
    <row r="360" spans="1:29" ht="22.75" customHeight="1" x14ac:dyDescent="0.35">
      <c r="A360"/>
      <c r="B360" s="44"/>
      <c r="C360" s="24"/>
      <c r="D360" s="24"/>
      <c r="E360" s="81" t="s">
        <v>188</v>
      </c>
      <c r="F360" s="60">
        <f t="shared" ref="F360:N360" si="116">IF(((F358="")*AND(F359="")),"",(F358-F359)*2)</f>
        <v>3825.02</v>
      </c>
      <c r="G360" s="60">
        <f t="shared" si="116"/>
        <v>3985.1200000000003</v>
      </c>
      <c r="H360" s="60">
        <f t="shared" si="116"/>
        <v>4033.3199999999997</v>
      </c>
      <c r="I360" s="60">
        <f t="shared" si="116"/>
        <v>3986.5399999999995</v>
      </c>
      <c r="J360" s="60">
        <f t="shared" si="116"/>
        <v>3823.08</v>
      </c>
      <c r="K360" s="60">
        <f t="shared" si="116"/>
        <v>3712.5199999999995</v>
      </c>
      <c r="L360" s="60">
        <f t="shared" si="116"/>
        <v>3967.58</v>
      </c>
      <c r="M360" s="60">
        <f t="shared" si="116"/>
        <v>4041.92</v>
      </c>
      <c r="N360" s="60">
        <f t="shared" si="116"/>
        <v>3910.7599999999998</v>
      </c>
      <c r="O360" s="81"/>
      <c r="P360" s="81"/>
      <c r="Q360" s="82"/>
      <c r="R360" s="82"/>
      <c r="S360" s="178"/>
      <c r="T360" s="23"/>
      <c r="U360" s="179"/>
      <c r="X360" s="157"/>
      <c r="Y360" s="157"/>
      <c r="Z360" s="157"/>
      <c r="AA360" s="157"/>
    </row>
    <row r="361" spans="1:29" x14ac:dyDescent="0.25">
      <c r="A361" s="252">
        <v>43276</v>
      </c>
      <c r="B361" s="257" t="s">
        <v>169</v>
      </c>
      <c r="C361" s="24" t="s">
        <v>171</v>
      </c>
      <c r="D361" s="24" t="s">
        <v>189</v>
      </c>
      <c r="E361" s="81" t="s">
        <v>186</v>
      </c>
      <c r="F361" s="28">
        <v>1261.47</v>
      </c>
      <c r="G361" s="28">
        <v>1258.3699999999999</v>
      </c>
      <c r="H361" s="28">
        <v>1258.43</v>
      </c>
      <c r="I361" s="28">
        <v>1260.26</v>
      </c>
      <c r="J361" s="28">
        <v>1275.6099999999999</v>
      </c>
      <c r="K361" s="28">
        <v>1270.81</v>
      </c>
      <c r="L361" s="28">
        <v>1264.19</v>
      </c>
      <c r="M361" s="28">
        <v>1255.23</v>
      </c>
      <c r="N361" s="28">
        <v>1270.19</v>
      </c>
      <c r="O361" s="81">
        <f>IF((N362=""),"",MAX(F363:N363))</f>
        <v>2047.6200000000003</v>
      </c>
      <c r="P361" s="81">
        <f>IF(N362="","",MIN(F363:N363))</f>
        <v>1986.2399999999998</v>
      </c>
      <c r="Q361" s="82">
        <f>IF((N363=""),"",AVERAGE(F363:N363))</f>
        <v>2017.0933333333332</v>
      </c>
      <c r="R361" s="82">
        <f>IF((N362=""),"",(O361-P361)/(O361+P361)*100)</f>
        <v>1.521619491008626</v>
      </c>
      <c r="S361" s="152">
        <f>STDEV(F363:N363)</f>
        <v>20.206303471936724</v>
      </c>
      <c r="T361" s="23" t="str">
        <f>IF(N362="","",IF(Q361&gt;1940,IF(R361&lt;8.3,IF(Q361&lt;2180,"Pass","Fail"),"Fail"),"Fail"))</f>
        <v>Pass</v>
      </c>
      <c r="U361" s="179">
        <v>1340</v>
      </c>
      <c r="V361" s="308" t="s">
        <v>199</v>
      </c>
      <c r="X361" s="155">
        <v>2000</v>
      </c>
      <c r="Y361" s="155">
        <v>3000</v>
      </c>
      <c r="Z361" s="155">
        <v>1940</v>
      </c>
      <c r="AA361" s="155">
        <v>2180</v>
      </c>
      <c r="AC361" s="51">
        <v>5.2</v>
      </c>
    </row>
    <row r="362" spans="1:29" ht="16.100000000000001" x14ac:dyDescent="0.35">
      <c r="A362"/>
      <c r="B362" s="44"/>
      <c r="C362" s="24"/>
      <c r="D362" s="24"/>
      <c r="E362" s="81" t="s">
        <v>187</v>
      </c>
      <c r="F362" s="28">
        <v>583.21</v>
      </c>
      <c r="G362" s="28">
        <v>580.73</v>
      </c>
      <c r="H362" s="28">
        <v>575.89</v>
      </c>
      <c r="I362" s="28">
        <v>590.85</v>
      </c>
      <c r="J362" s="28">
        <v>613.53</v>
      </c>
      <c r="K362" s="28">
        <v>599.6</v>
      </c>
      <c r="L362" s="28">
        <v>593.28</v>
      </c>
      <c r="M362" s="28">
        <v>579.97</v>
      </c>
      <c r="N362" s="28">
        <v>606.22</v>
      </c>
      <c r="O362" s="81"/>
      <c r="P362" s="81"/>
      <c r="Q362" s="82"/>
      <c r="R362" s="82"/>
      <c r="S362" s="178"/>
      <c r="T362" s="23"/>
      <c r="U362" s="179"/>
      <c r="V362" s="309"/>
      <c r="X362" s="157"/>
      <c r="Y362" s="157"/>
      <c r="Z362" s="157"/>
      <c r="AA362" s="157"/>
    </row>
    <row r="363" spans="1:29" ht="32.299999999999997" customHeight="1" thickBot="1" x14ac:dyDescent="0.4">
      <c r="A363"/>
      <c r="B363" s="83"/>
      <c r="C363" s="84"/>
      <c r="D363" s="84"/>
      <c r="E363" s="85" t="s">
        <v>190</v>
      </c>
      <c r="F363" s="73">
        <f t="shared" ref="F363:N363" si="117">IF(((F361="")*AND(F362="")),"",(F361-F362)*3)</f>
        <v>2034.78</v>
      </c>
      <c r="G363" s="73">
        <f t="shared" si="117"/>
        <v>2032.9199999999996</v>
      </c>
      <c r="H363" s="73">
        <f t="shared" si="117"/>
        <v>2047.6200000000003</v>
      </c>
      <c r="I363" s="73">
        <f t="shared" si="117"/>
        <v>2008.23</v>
      </c>
      <c r="J363" s="73">
        <f t="shared" si="117"/>
        <v>1986.2399999999998</v>
      </c>
      <c r="K363" s="73">
        <f t="shared" si="117"/>
        <v>2013.6299999999997</v>
      </c>
      <c r="L363" s="73">
        <f t="shared" si="117"/>
        <v>2012.7300000000002</v>
      </c>
      <c r="M363" s="73">
        <f t="shared" si="117"/>
        <v>2025.78</v>
      </c>
      <c r="N363" s="73">
        <f t="shared" si="117"/>
        <v>1991.91</v>
      </c>
      <c r="O363" s="85"/>
      <c r="P363" s="85"/>
      <c r="Q363" s="86"/>
      <c r="R363" s="86"/>
      <c r="S363" s="181"/>
      <c r="T363" s="182"/>
      <c r="U363" s="183"/>
      <c r="V363" s="310"/>
      <c r="X363" s="157"/>
      <c r="Y363" s="157"/>
      <c r="Z363" s="157"/>
      <c r="AA363" s="157"/>
    </row>
    <row r="364" spans="1:29" ht="12.75" customHeight="1" x14ac:dyDescent="0.25">
      <c r="A364" s="249">
        <v>43279</v>
      </c>
      <c r="B364" s="261" t="s">
        <v>185</v>
      </c>
      <c r="C364" s="59" t="s">
        <v>173</v>
      </c>
      <c r="D364" s="59" t="s">
        <v>172</v>
      </c>
      <c r="E364" s="61" t="s">
        <v>186</v>
      </c>
      <c r="F364" s="146">
        <v>26160.22</v>
      </c>
      <c r="G364" s="146">
        <v>26289.95</v>
      </c>
      <c r="H364" s="146">
        <v>26350.639999999999</v>
      </c>
      <c r="I364" s="146">
        <v>26286.29</v>
      </c>
      <c r="J364" s="146">
        <v>26122.93</v>
      </c>
      <c r="K364" s="146">
        <v>26125.94</v>
      </c>
      <c r="L364" s="146">
        <v>26289.78</v>
      </c>
      <c r="M364" s="146">
        <v>26289.25</v>
      </c>
      <c r="N364" s="146">
        <v>26126.400000000001</v>
      </c>
      <c r="O364" s="61">
        <f>IF((N365=""),"",MAX(F366:N366))</f>
        <v>4471.6500000000087</v>
      </c>
      <c r="P364" s="61">
        <f>IF(N365="","",MIN(F366:N366))</f>
        <v>3969.1499999999978</v>
      </c>
      <c r="Q364" s="62">
        <f>IF((N366=""),"",AVERAGE(F366:N366))</f>
        <v>4221.7566666666662</v>
      </c>
      <c r="R364" s="62">
        <f>IF((N365=""),"",(O364-P364)/(O364+P364)*100)</f>
        <v>5.9532271822577298</v>
      </c>
      <c r="S364" s="152">
        <f>STDEV(F366:N366)</f>
        <v>223.11022628960762</v>
      </c>
      <c r="T364" s="158" t="str">
        <f>IF(N365="","",IF(R364&lt;16,IF(Q364&gt;3200,IF(R364,IF(Q364&lt;5240,"Pass","Fail"),"Fail"),"Fail")))</f>
        <v>Pass</v>
      </c>
      <c r="U364" s="159">
        <v>121</v>
      </c>
      <c r="V364" s="212"/>
      <c r="W364" s="157"/>
      <c r="X364" s="155">
        <v>4200</v>
      </c>
      <c r="Y364" s="155">
        <v>5500</v>
      </c>
      <c r="Z364" s="155">
        <v>3200</v>
      </c>
      <c r="AA364" s="155">
        <v>5240</v>
      </c>
      <c r="AC364" s="51">
        <v>16</v>
      </c>
    </row>
    <row r="365" spans="1:29" ht="12.75" customHeight="1" x14ac:dyDescent="0.35">
      <c r="A365"/>
      <c r="B365" s="44"/>
      <c r="C365" s="24"/>
      <c r="D365" s="24"/>
      <c r="E365" s="81" t="s">
        <v>187</v>
      </c>
      <c r="F365" s="28">
        <v>24678.97</v>
      </c>
      <c r="G365" s="28">
        <v>24941.48</v>
      </c>
      <c r="H365" s="28">
        <v>25027.59</v>
      </c>
      <c r="I365" s="28">
        <v>24938.82</v>
      </c>
      <c r="J365" s="28">
        <v>24637.86</v>
      </c>
      <c r="K365" s="28">
        <v>24642.74</v>
      </c>
      <c r="L365" s="28">
        <v>24940.3</v>
      </c>
      <c r="M365" s="28">
        <v>24932.52</v>
      </c>
      <c r="N365" s="28">
        <v>24635.85</v>
      </c>
      <c r="O365" s="81"/>
      <c r="P365" s="81"/>
      <c r="Q365" s="82"/>
      <c r="R365" s="82"/>
      <c r="S365" s="178"/>
      <c r="T365" s="23"/>
      <c r="U365" s="179"/>
      <c r="V365" s="212"/>
      <c r="W365" s="157"/>
      <c r="X365" s="157"/>
      <c r="Y365" s="157"/>
      <c r="Z365" s="157"/>
      <c r="AA365" s="157"/>
    </row>
    <row r="366" spans="1:29" ht="22.75" thickBot="1" x14ac:dyDescent="0.4">
      <c r="A366"/>
      <c r="B366" s="44"/>
      <c r="C366" s="24"/>
      <c r="D366" s="24"/>
      <c r="E366" s="81" t="s">
        <v>188</v>
      </c>
      <c r="F366" s="60">
        <f t="shared" ref="F366:N366" si="118">IF(((F364="")*AND(F365="")),"",(F364-F365)*3)</f>
        <v>4443.75</v>
      </c>
      <c r="G366" s="60">
        <f t="shared" si="118"/>
        <v>4045.4100000000035</v>
      </c>
      <c r="H366" s="60">
        <f t="shared" si="118"/>
        <v>3969.1499999999978</v>
      </c>
      <c r="I366" s="60">
        <f t="shared" si="118"/>
        <v>4042.4100000000035</v>
      </c>
      <c r="J366" s="60">
        <f t="shared" si="118"/>
        <v>4455.2099999999991</v>
      </c>
      <c r="K366" s="60">
        <f t="shared" si="118"/>
        <v>4449.5999999999913</v>
      </c>
      <c r="L366" s="60">
        <f t="shared" si="118"/>
        <v>4048.4399999999987</v>
      </c>
      <c r="M366" s="60">
        <f t="shared" si="118"/>
        <v>4070.1899999999987</v>
      </c>
      <c r="N366" s="60">
        <f t="shared" si="118"/>
        <v>4471.6500000000087</v>
      </c>
      <c r="O366" s="81"/>
      <c r="P366" s="81"/>
      <c r="Q366" s="82"/>
      <c r="R366" s="82"/>
      <c r="S366" s="178"/>
      <c r="T366" s="23"/>
      <c r="U366" s="179"/>
      <c r="V366" s="212"/>
      <c r="W366" s="157"/>
      <c r="X366" s="157"/>
      <c r="Y366" s="157"/>
      <c r="Z366" s="157"/>
      <c r="AA366" s="157"/>
    </row>
    <row r="367" spans="1:29" x14ac:dyDescent="0.25">
      <c r="A367" s="252">
        <v>43279</v>
      </c>
      <c r="B367" s="260" t="s">
        <v>174</v>
      </c>
      <c r="C367" s="24" t="s">
        <v>176</v>
      </c>
      <c r="D367" s="64" t="s">
        <v>175</v>
      </c>
      <c r="E367" s="81" t="s">
        <v>186</v>
      </c>
      <c r="F367" s="28">
        <v>3388.14</v>
      </c>
      <c r="G367" s="28">
        <v>3306.74</v>
      </c>
      <c r="H367" s="28">
        <v>3440.21</v>
      </c>
      <c r="I367" s="28">
        <v>3433.47</v>
      </c>
      <c r="J367" s="28">
        <v>3683.05</v>
      </c>
      <c r="K367" s="28">
        <v>3499.19</v>
      </c>
      <c r="L367" s="28">
        <v>3396.01</v>
      </c>
      <c r="M367" s="28">
        <v>3418.93</v>
      </c>
      <c r="N367" s="28">
        <v>3541.65</v>
      </c>
      <c r="O367" s="81">
        <f>IF((N368=""),"",MAX(F369:N369))</f>
        <v>4017.78</v>
      </c>
      <c r="P367" s="81">
        <f>IF(N368="","",MIN(F369:N369))</f>
        <v>3648.2000000000003</v>
      </c>
      <c r="Q367" s="82">
        <f>IF((N369=""),"",AVERAGE(F369:N369))</f>
        <v>3878.2400000000002</v>
      </c>
      <c r="R367" s="82">
        <f>IF((N368=""),"",(O367-P367)/(O367+P367)*100)</f>
        <v>4.8210404931919975</v>
      </c>
      <c r="S367" s="152">
        <f>STDEV(F369:N369)</f>
        <v>136.74440610130986</v>
      </c>
      <c r="T367" s="23" t="str">
        <f>IF(N368="","",IF(Q367&gt;3650,IF(R367&lt;7,IF(Q367&lt;4450,"Pass","Fail"),"Fail"),"Fail"))</f>
        <v>Pass</v>
      </c>
      <c r="U367" s="179">
        <v>121</v>
      </c>
      <c r="V367" s="212"/>
      <c r="W367" s="31"/>
      <c r="X367" s="155">
        <v>3650</v>
      </c>
      <c r="Y367" s="155">
        <v>4450</v>
      </c>
      <c r="Z367" s="155">
        <v>3700</v>
      </c>
      <c r="AA367" s="155">
        <v>4100</v>
      </c>
      <c r="AB367" s="51">
        <v>7</v>
      </c>
      <c r="AC367" s="51">
        <v>6.5</v>
      </c>
    </row>
    <row r="368" spans="1:29" ht="16.100000000000001" x14ac:dyDescent="0.35">
      <c r="A368"/>
      <c r="B368" s="44"/>
      <c r="C368" s="24"/>
      <c r="D368" s="24"/>
      <c r="E368" s="81" t="s">
        <v>187</v>
      </c>
      <c r="F368" s="28">
        <v>1500.81</v>
      </c>
      <c r="G368" s="28">
        <v>1323.53</v>
      </c>
      <c r="H368" s="28">
        <v>1431.32</v>
      </c>
      <c r="I368" s="28">
        <v>1448.39</v>
      </c>
      <c r="J368" s="28">
        <v>1822.81</v>
      </c>
      <c r="K368" s="28">
        <v>1675.09</v>
      </c>
      <c r="L368" s="28">
        <v>1417.88</v>
      </c>
      <c r="M368" s="28">
        <v>1413.25</v>
      </c>
      <c r="N368" s="28">
        <v>1622.23</v>
      </c>
      <c r="O368" s="81"/>
      <c r="P368" s="81"/>
      <c r="Q368" s="82"/>
      <c r="R368" s="82"/>
      <c r="S368" s="178"/>
      <c r="T368" s="23"/>
      <c r="U368" s="179"/>
      <c r="V368" s="212"/>
      <c r="W368" s="31"/>
      <c r="X368" s="157"/>
      <c r="Y368" s="157"/>
      <c r="Z368" s="157"/>
      <c r="AA368" s="157"/>
    </row>
    <row r="369" spans="1:29" ht="22.15" x14ac:dyDescent="0.35">
      <c r="A369"/>
      <c r="B369" s="44"/>
      <c r="C369" s="24"/>
      <c r="D369" s="24"/>
      <c r="E369" s="81" t="s">
        <v>188</v>
      </c>
      <c r="F369" s="60">
        <f t="shared" ref="F369:N369" si="119">IF(((F367="")*AND(F368="")),"",(F367-F368)*2)</f>
        <v>3774.66</v>
      </c>
      <c r="G369" s="60">
        <f t="shared" si="119"/>
        <v>3966.4199999999996</v>
      </c>
      <c r="H369" s="60">
        <f t="shared" si="119"/>
        <v>4017.78</v>
      </c>
      <c r="I369" s="60">
        <f t="shared" si="119"/>
        <v>3970.1599999999994</v>
      </c>
      <c r="J369" s="60">
        <f t="shared" si="119"/>
        <v>3720.4800000000005</v>
      </c>
      <c r="K369" s="60">
        <f t="shared" si="119"/>
        <v>3648.2000000000003</v>
      </c>
      <c r="L369" s="60">
        <f t="shared" si="119"/>
        <v>3956.26</v>
      </c>
      <c r="M369" s="60">
        <f t="shared" si="119"/>
        <v>4011.3599999999997</v>
      </c>
      <c r="N369" s="60">
        <f t="shared" si="119"/>
        <v>3838.84</v>
      </c>
      <c r="O369" s="81"/>
      <c r="P369" s="81"/>
      <c r="Q369" s="82"/>
      <c r="R369" s="82"/>
      <c r="S369" s="178"/>
      <c r="T369" s="23"/>
      <c r="U369" s="179"/>
      <c r="V369" s="212"/>
      <c r="W369" s="31"/>
      <c r="X369" s="157"/>
      <c r="Y369" s="157"/>
      <c r="Z369" s="157"/>
      <c r="AA369" s="157"/>
    </row>
    <row r="370" spans="1:29" x14ac:dyDescent="0.25">
      <c r="A370" s="252">
        <v>43279</v>
      </c>
      <c r="B370" s="257" t="s">
        <v>169</v>
      </c>
      <c r="C370" s="24" t="s">
        <v>171</v>
      </c>
      <c r="D370" s="24" t="s">
        <v>189</v>
      </c>
      <c r="E370" s="81" t="s">
        <v>186</v>
      </c>
      <c r="F370" s="28">
        <v>1909.2</v>
      </c>
      <c r="G370" s="28">
        <v>1916.13</v>
      </c>
      <c r="H370" s="28">
        <v>1919.97</v>
      </c>
      <c r="I370" s="28">
        <v>1917.6</v>
      </c>
      <c r="J370" s="28">
        <v>1914.67</v>
      </c>
      <c r="K370" s="28">
        <v>1913.79</v>
      </c>
      <c r="L370" s="28">
        <v>1916.91</v>
      </c>
      <c r="M370" s="28">
        <v>1917.44</v>
      </c>
      <c r="N370" s="28">
        <v>1913.82</v>
      </c>
      <c r="O370" s="81">
        <f>IF((N371=""),"",MAX(F372:N372))</f>
        <v>2031.2100000000005</v>
      </c>
      <c r="P370" s="81">
        <f>IF(N371="","",MIN(F372:N372))</f>
        <v>1984.6799999999998</v>
      </c>
      <c r="Q370" s="82">
        <f>IF((N372=""),"",AVERAGE(F372:N372))</f>
        <v>2007.6433333333334</v>
      </c>
      <c r="R370" s="82">
        <f>IF((N371=""),"",(O370-P370)/(O370+P370)*100)</f>
        <v>1.1586472737052222</v>
      </c>
      <c r="S370" s="152">
        <f>STDEV(F372:N372)</f>
        <v>18.642912862533084</v>
      </c>
      <c r="T370" s="23" t="str">
        <f>IF(N371="","",IF(Q370&gt;1940,IF(R370&lt;8.3,IF(Q370&lt;2180,"Pass","Fail"),"Fail"),"Fail"))</f>
        <v>Pass</v>
      </c>
      <c r="U370" s="179">
        <v>121</v>
      </c>
      <c r="V370" s="212"/>
      <c r="W370" s="31"/>
      <c r="X370" s="155">
        <v>2000</v>
      </c>
      <c r="Y370" s="155">
        <v>3000</v>
      </c>
      <c r="Z370" s="155">
        <v>1940</v>
      </c>
      <c r="AA370" s="155">
        <v>2180</v>
      </c>
      <c r="AC370" s="51">
        <v>5.2</v>
      </c>
    </row>
    <row r="371" spans="1:29" ht="16.100000000000001" x14ac:dyDescent="0.35">
      <c r="A371"/>
      <c r="B371" s="44"/>
      <c r="C371" s="24"/>
      <c r="D371" s="24"/>
      <c r="E371" s="81" t="s">
        <v>187</v>
      </c>
      <c r="F371" s="28">
        <v>1247.47</v>
      </c>
      <c r="G371" s="28">
        <v>1243.8800000000001</v>
      </c>
      <c r="H371" s="28">
        <v>1243.67</v>
      </c>
      <c r="I371" s="28">
        <v>1243.08</v>
      </c>
      <c r="J371" s="28">
        <v>1251.31</v>
      </c>
      <c r="K371" s="28">
        <v>1252.23</v>
      </c>
      <c r="L371" s="28">
        <v>1246.82</v>
      </c>
      <c r="M371" s="28">
        <v>1240.3699999999999</v>
      </c>
      <c r="N371" s="28">
        <v>1247.77</v>
      </c>
      <c r="O371" s="81"/>
      <c r="P371" s="81"/>
      <c r="Q371" s="82"/>
      <c r="R371" s="82"/>
      <c r="S371" s="178"/>
      <c r="T371" s="23"/>
      <c r="U371" s="179"/>
      <c r="V371" s="212"/>
      <c r="W371" s="31"/>
      <c r="X371" s="157"/>
      <c r="Y371" s="157"/>
      <c r="Z371" s="157"/>
      <c r="AA371" s="157"/>
    </row>
    <row r="372" spans="1:29" ht="34.5" customHeight="1" thickBot="1" x14ac:dyDescent="0.4">
      <c r="A372"/>
      <c r="B372" s="83"/>
      <c r="C372" s="84"/>
      <c r="D372" s="84"/>
      <c r="E372" s="85" t="s">
        <v>190</v>
      </c>
      <c r="F372" s="73">
        <f t="shared" ref="F372:N372" si="120">IF(((F370="")*AND(F371="")),"",(F370-F371)*3)</f>
        <v>1985.19</v>
      </c>
      <c r="G372" s="73">
        <f t="shared" si="120"/>
        <v>2016.75</v>
      </c>
      <c r="H372" s="73">
        <f t="shared" si="120"/>
        <v>2028.8999999999999</v>
      </c>
      <c r="I372" s="73">
        <f t="shared" si="120"/>
        <v>2023.56</v>
      </c>
      <c r="J372" s="73">
        <f t="shared" si="120"/>
        <v>1990.0800000000004</v>
      </c>
      <c r="K372" s="73">
        <f t="shared" si="120"/>
        <v>1984.6799999999998</v>
      </c>
      <c r="L372" s="73">
        <f t="shared" si="120"/>
        <v>2010.2700000000004</v>
      </c>
      <c r="M372" s="73">
        <f t="shared" si="120"/>
        <v>2031.2100000000005</v>
      </c>
      <c r="N372" s="73">
        <f t="shared" si="120"/>
        <v>1998.1499999999999</v>
      </c>
      <c r="O372" s="85"/>
      <c r="P372" s="85"/>
      <c r="Q372" s="86"/>
      <c r="R372" s="86"/>
      <c r="S372" s="181"/>
      <c r="T372" s="182"/>
      <c r="U372" s="183"/>
      <c r="V372" s="212"/>
      <c r="W372" s="31"/>
      <c r="X372" s="157"/>
      <c r="Y372" s="157"/>
      <c r="Z372" s="157"/>
      <c r="AA372" s="157"/>
    </row>
    <row r="373" spans="1:29" x14ac:dyDescent="0.25">
      <c r="A373" s="249">
        <v>43283</v>
      </c>
      <c r="B373" s="261" t="s">
        <v>185</v>
      </c>
      <c r="C373" s="59" t="s">
        <v>173</v>
      </c>
      <c r="D373" s="59" t="s">
        <v>172</v>
      </c>
      <c r="E373" s="61" t="s">
        <v>186</v>
      </c>
      <c r="F373" s="146">
        <v>24678.97</v>
      </c>
      <c r="G373" s="146">
        <v>24941.48</v>
      </c>
      <c r="H373" s="146">
        <v>25027.59</v>
      </c>
      <c r="I373" s="146">
        <v>24938.82</v>
      </c>
      <c r="J373" s="146">
        <v>24637.86</v>
      </c>
      <c r="K373" s="146">
        <v>24642.74</v>
      </c>
      <c r="L373" s="146">
        <v>24940.3</v>
      </c>
      <c r="M373" s="146">
        <v>24932.52</v>
      </c>
      <c r="N373" s="146">
        <v>24635.85</v>
      </c>
      <c r="O373" s="61">
        <f>IF((N374=""),"",MAX(F375:N375))</f>
        <v>4689.5999999999913</v>
      </c>
      <c r="P373" s="61">
        <f>IF(N374="","",MIN(F375:N375))</f>
        <v>4099.0800000000017</v>
      </c>
      <c r="Q373" s="62">
        <f>IF((N375=""),"",AVERAGE(F375:N375))</f>
        <v>4357.7000000000007</v>
      </c>
      <c r="R373" s="62">
        <f>IF((N374=""),"",(O373-P373)/(O373+P373)*100)</f>
        <v>6.7190977484672327</v>
      </c>
      <c r="S373" s="152">
        <f>STDEV(F375:N375)</f>
        <v>235.30802493752637</v>
      </c>
      <c r="T373" s="158" t="str">
        <f>IF(N374="","",IF(R373&lt;16,IF(Q373&gt;3200,IF(R373,IF(Q373&lt;5240,"Pass","Fail"),"Fail"),"Fail")))</f>
        <v>Pass</v>
      </c>
      <c r="U373" s="159">
        <v>1340</v>
      </c>
      <c r="V373" s="212"/>
      <c r="W373" s="31"/>
      <c r="X373" s="155">
        <v>4200</v>
      </c>
      <c r="Y373" s="155">
        <v>5500</v>
      </c>
      <c r="Z373" s="155">
        <v>3200</v>
      </c>
      <c r="AA373" s="155">
        <v>5240</v>
      </c>
      <c r="AC373" s="51">
        <v>16</v>
      </c>
    </row>
    <row r="374" spans="1:29" ht="16.100000000000001" x14ac:dyDescent="0.35">
      <c r="A374"/>
      <c r="B374" s="44"/>
      <c r="C374" s="24"/>
      <c r="D374" s="24"/>
      <c r="E374" s="81" t="s">
        <v>187</v>
      </c>
      <c r="F374" s="28">
        <v>23165.43</v>
      </c>
      <c r="G374" s="28">
        <v>23547.86</v>
      </c>
      <c r="H374" s="28">
        <v>23661.23</v>
      </c>
      <c r="I374" s="28">
        <v>23542.39</v>
      </c>
      <c r="J374" s="28">
        <v>23086.07</v>
      </c>
      <c r="K374" s="28">
        <v>23142.25</v>
      </c>
      <c r="L374" s="28">
        <v>23555.46</v>
      </c>
      <c r="M374" s="28">
        <v>23529.69</v>
      </c>
      <c r="N374" s="28">
        <v>23072.65</v>
      </c>
      <c r="O374" s="81"/>
      <c r="P374" s="81"/>
      <c r="Q374" s="82"/>
      <c r="R374" s="82"/>
      <c r="S374" s="178"/>
      <c r="T374" s="23"/>
      <c r="U374" s="179"/>
      <c r="V374" s="212"/>
      <c r="W374" s="31"/>
      <c r="X374" s="157"/>
      <c r="Y374" s="157"/>
      <c r="Z374" s="157"/>
      <c r="AA374" s="157"/>
    </row>
    <row r="375" spans="1:29" ht="22.75" thickBot="1" x14ac:dyDescent="0.4">
      <c r="A375"/>
      <c r="B375" s="44"/>
      <c r="C375" s="24"/>
      <c r="D375" s="24"/>
      <c r="E375" s="81" t="s">
        <v>188</v>
      </c>
      <c r="F375" s="60">
        <f t="shared" ref="F375:N375" si="121">IF(((F373="")*AND(F374="")),"",(F373-F374)*3)</f>
        <v>4540.6200000000026</v>
      </c>
      <c r="G375" s="60">
        <f t="shared" si="121"/>
        <v>4180.8599999999969</v>
      </c>
      <c r="H375" s="60">
        <f t="shared" si="121"/>
        <v>4099.0800000000017</v>
      </c>
      <c r="I375" s="60">
        <f t="shared" si="121"/>
        <v>4189.2900000000009</v>
      </c>
      <c r="J375" s="60">
        <f t="shared" si="121"/>
        <v>4655.3700000000026</v>
      </c>
      <c r="K375" s="60">
        <f t="shared" si="121"/>
        <v>4501.4700000000048</v>
      </c>
      <c r="L375" s="60">
        <f t="shared" si="121"/>
        <v>4154.5200000000004</v>
      </c>
      <c r="M375" s="60">
        <f t="shared" si="121"/>
        <v>4208.4900000000052</v>
      </c>
      <c r="N375" s="60">
        <f t="shared" si="121"/>
        <v>4689.5999999999913</v>
      </c>
      <c r="O375" s="81"/>
      <c r="P375" s="81"/>
      <c r="Q375" s="82"/>
      <c r="R375" s="82"/>
      <c r="S375" s="178"/>
      <c r="T375" s="23"/>
      <c r="U375" s="179"/>
      <c r="V375" s="212"/>
      <c r="W375" s="31"/>
      <c r="X375" s="157"/>
      <c r="Y375" s="157"/>
      <c r="Z375" s="157"/>
      <c r="AA375" s="157"/>
    </row>
    <row r="376" spans="1:29" x14ac:dyDescent="0.25">
      <c r="A376" s="252">
        <v>43283</v>
      </c>
      <c r="B376" s="260" t="s">
        <v>174</v>
      </c>
      <c r="C376" s="24" t="s">
        <v>176</v>
      </c>
      <c r="D376" s="64" t="s">
        <v>175</v>
      </c>
      <c r="E376" s="81" t="s">
        <v>186</v>
      </c>
      <c r="F376" s="28">
        <v>2863.94</v>
      </c>
      <c r="G376" s="28">
        <v>2767.99</v>
      </c>
      <c r="H376" s="28">
        <v>2810.16</v>
      </c>
      <c r="I376" s="28">
        <v>2796.62</v>
      </c>
      <c r="J376" s="28">
        <v>2998.8</v>
      </c>
      <c r="K376" s="28">
        <v>3035.93</v>
      </c>
      <c r="L376" s="28">
        <v>2805.55</v>
      </c>
      <c r="M376" s="28">
        <v>2775.01</v>
      </c>
      <c r="N376" s="28">
        <v>2886.07</v>
      </c>
      <c r="O376" s="81">
        <f>IF((N377=""),"",MAX(F378:N378))</f>
        <v>3919.5600000000004</v>
      </c>
      <c r="P376" s="81">
        <f>IF(N377="","",MIN(F378:N378))</f>
        <v>3589.5199999999995</v>
      </c>
      <c r="Q376" s="82">
        <f>IF((N378=""),"",AVERAGE(F378:N378))</f>
        <v>3793.0177777777781</v>
      </c>
      <c r="R376" s="82">
        <f>IF((N377=""),"",(O376-P376)/(O376+P376)*100)</f>
        <v>4.395212196434195</v>
      </c>
      <c r="S376" s="152">
        <f>STDEV(F378:N378)</f>
        <v>116.60127033803896</v>
      </c>
      <c r="T376" s="23" t="str">
        <f>IF(N377="","",IF(Q376&gt;3650,IF(R376&lt;7,IF(Q376&lt;4450,"Pass","Fail"),"Fail"),"Fail"))</f>
        <v>Pass</v>
      </c>
      <c r="U376" s="179">
        <v>1340</v>
      </c>
      <c r="V376" s="212"/>
      <c r="W376" s="31"/>
      <c r="X376" s="155">
        <v>3650</v>
      </c>
      <c r="Y376" s="155">
        <v>4450</v>
      </c>
      <c r="Z376" s="155">
        <v>3700</v>
      </c>
      <c r="AA376" s="155">
        <v>4100</v>
      </c>
      <c r="AB376" s="51">
        <v>7</v>
      </c>
      <c r="AC376" s="51">
        <v>6.5</v>
      </c>
    </row>
    <row r="377" spans="1:29" ht="16.100000000000001" x14ac:dyDescent="0.35">
      <c r="A377"/>
      <c r="B377" s="44"/>
      <c r="C377" s="24"/>
      <c r="D377" s="24"/>
      <c r="E377" s="81" t="s">
        <v>187</v>
      </c>
      <c r="F377" s="28">
        <v>1018.11</v>
      </c>
      <c r="G377" s="28">
        <v>835.07</v>
      </c>
      <c r="H377" s="28">
        <v>855.97</v>
      </c>
      <c r="I377" s="28">
        <v>866.69</v>
      </c>
      <c r="J377" s="28">
        <v>1164.02</v>
      </c>
      <c r="K377" s="28">
        <v>1241.17</v>
      </c>
      <c r="L377" s="28">
        <v>882.97</v>
      </c>
      <c r="M377" s="28">
        <v>815.23</v>
      </c>
      <c r="N377" s="28">
        <v>992.26</v>
      </c>
      <c r="O377" s="81"/>
      <c r="P377" s="81"/>
      <c r="Q377" s="82"/>
      <c r="R377" s="82"/>
      <c r="S377" s="178"/>
      <c r="T377" s="23"/>
      <c r="U377" s="179"/>
      <c r="V377" s="212"/>
      <c r="W377" s="31"/>
      <c r="X377" s="157"/>
      <c r="Y377" s="157"/>
      <c r="Z377" s="157"/>
      <c r="AA377" s="157"/>
    </row>
    <row r="378" spans="1:29" ht="22.15" x14ac:dyDescent="0.35">
      <c r="A378"/>
      <c r="B378" s="44"/>
      <c r="C378" s="24"/>
      <c r="D378" s="24"/>
      <c r="E378" s="81" t="s">
        <v>188</v>
      </c>
      <c r="F378" s="60">
        <f t="shared" ref="F378:N378" si="122">IF(((F376="")*AND(F377="")),"",(F376-F377)*2)</f>
        <v>3691.66</v>
      </c>
      <c r="G378" s="60">
        <f t="shared" si="122"/>
        <v>3865.8399999999992</v>
      </c>
      <c r="H378" s="60">
        <f t="shared" si="122"/>
        <v>3908.3799999999997</v>
      </c>
      <c r="I378" s="60">
        <f t="shared" si="122"/>
        <v>3859.8599999999997</v>
      </c>
      <c r="J378" s="60">
        <f t="shared" si="122"/>
        <v>3669.5600000000004</v>
      </c>
      <c r="K378" s="60">
        <f t="shared" si="122"/>
        <v>3589.5199999999995</v>
      </c>
      <c r="L378" s="60">
        <f t="shared" si="122"/>
        <v>3845.1600000000003</v>
      </c>
      <c r="M378" s="60">
        <f t="shared" si="122"/>
        <v>3919.5600000000004</v>
      </c>
      <c r="N378" s="60">
        <f t="shared" si="122"/>
        <v>3787.6200000000003</v>
      </c>
      <c r="O378" s="81"/>
      <c r="P378" s="81"/>
      <c r="Q378" s="82"/>
      <c r="R378" s="82"/>
      <c r="S378" s="178"/>
      <c r="T378" s="23"/>
      <c r="U378" s="179"/>
      <c r="V378" s="212"/>
      <c r="W378" s="31"/>
      <c r="X378" s="157"/>
      <c r="Y378" s="157"/>
      <c r="Z378" s="157"/>
      <c r="AA378" s="157"/>
    </row>
    <row r="379" spans="1:29" x14ac:dyDescent="0.25">
      <c r="A379" s="252">
        <v>43283</v>
      </c>
      <c r="B379" s="257" t="s">
        <v>169</v>
      </c>
      <c r="C379" s="24" t="s">
        <v>171</v>
      </c>
      <c r="D379" s="24" t="s">
        <v>189</v>
      </c>
      <c r="E379" s="81" t="s">
        <v>186</v>
      </c>
      <c r="F379" s="28">
        <v>1247.47</v>
      </c>
      <c r="G379" s="28">
        <v>1243.8800000000001</v>
      </c>
      <c r="H379" s="28">
        <v>1243.67</v>
      </c>
      <c r="I379" s="28">
        <v>1243.08</v>
      </c>
      <c r="J379" s="28">
        <v>1251.31</v>
      </c>
      <c r="K379" s="28">
        <v>1252.23</v>
      </c>
      <c r="L379" s="28">
        <v>1246.82</v>
      </c>
      <c r="M379" s="28">
        <v>1240.3699999999999</v>
      </c>
      <c r="N379" s="28">
        <v>1247.77</v>
      </c>
      <c r="O379" s="81">
        <f>IF((N380=""),"",MAX(F381:N381))</f>
        <v>2043.3000000000002</v>
      </c>
      <c r="P379" s="81">
        <f>IF(N380="","",MIN(F381:N381))</f>
        <v>1977.9899999999998</v>
      </c>
      <c r="Q379" s="82">
        <f>IF((N381=""),"",AVERAGE(F381:N381))</f>
        <v>2020.12</v>
      </c>
      <c r="R379" s="82">
        <f>IF((N380=""),"",(O379-P379)/(O379+P379)*100)</f>
        <v>1.6241056974254628</v>
      </c>
      <c r="S379" s="152">
        <f>STDEV(F381:N381)</f>
        <v>21.160928027853693</v>
      </c>
      <c r="T379" s="23" t="str">
        <f>IF(N380="","",IF(Q379&gt;1940,IF(R379&lt;8.3,IF(Q379&lt;2180,"Pass","Fail"),"Fail"),"Fail"))</f>
        <v>Pass</v>
      </c>
      <c r="U379" s="179">
        <v>1340</v>
      </c>
      <c r="V379" s="212"/>
      <c r="W379" s="31"/>
      <c r="X379" s="155">
        <v>2000</v>
      </c>
      <c r="Y379" s="155">
        <v>3000</v>
      </c>
      <c r="Z379" s="155">
        <v>1940</v>
      </c>
      <c r="AA379" s="155">
        <v>2180</v>
      </c>
      <c r="AC379" s="51">
        <v>5.2</v>
      </c>
    </row>
    <row r="380" spans="1:29" ht="16.100000000000001" x14ac:dyDescent="0.35">
      <c r="A380"/>
      <c r="B380" s="44"/>
      <c r="C380" s="24"/>
      <c r="D380" s="24"/>
      <c r="E380" s="81" t="s">
        <v>187</v>
      </c>
      <c r="F380" s="28">
        <v>566.37</v>
      </c>
      <c r="G380" s="28">
        <v>563.94000000000005</v>
      </c>
      <c r="H380" s="28">
        <v>566.96</v>
      </c>
      <c r="I380" s="28">
        <v>569.35</v>
      </c>
      <c r="J380" s="28">
        <v>591.98</v>
      </c>
      <c r="K380" s="28">
        <v>584.26</v>
      </c>
      <c r="L380" s="28">
        <v>575.82000000000005</v>
      </c>
      <c r="M380" s="28">
        <v>560.36</v>
      </c>
      <c r="N380" s="28">
        <v>577.20000000000005</v>
      </c>
      <c r="O380" s="81"/>
      <c r="P380" s="81"/>
      <c r="Q380" s="82"/>
      <c r="R380" s="82"/>
      <c r="S380" s="178"/>
      <c r="T380" s="23"/>
      <c r="U380" s="179"/>
      <c r="V380" s="212"/>
      <c r="W380" s="31"/>
      <c r="X380" s="157"/>
      <c r="Y380" s="157"/>
      <c r="Z380" s="157"/>
      <c r="AA380" s="157"/>
    </row>
    <row r="381" spans="1:29" ht="36.700000000000003" customHeight="1" thickBot="1" x14ac:dyDescent="0.4">
      <c r="A381"/>
      <c r="B381" s="83"/>
      <c r="C381" s="84"/>
      <c r="D381" s="84"/>
      <c r="E381" s="85" t="s">
        <v>190</v>
      </c>
      <c r="F381" s="73">
        <f t="shared" ref="F381:N381" si="123">IF(((F379="")*AND(F380="")),"",(F379-F380)*3)</f>
        <v>2043.3000000000002</v>
      </c>
      <c r="G381" s="73">
        <f t="shared" si="123"/>
        <v>2039.8200000000002</v>
      </c>
      <c r="H381" s="73">
        <f t="shared" si="123"/>
        <v>2030.13</v>
      </c>
      <c r="I381" s="73">
        <f t="shared" si="123"/>
        <v>2021.1899999999996</v>
      </c>
      <c r="J381" s="73">
        <f t="shared" si="123"/>
        <v>1977.9899999999998</v>
      </c>
      <c r="K381" s="73">
        <f t="shared" si="123"/>
        <v>2003.91</v>
      </c>
      <c r="L381" s="73">
        <f t="shared" si="123"/>
        <v>2012.9999999999995</v>
      </c>
      <c r="M381" s="73">
        <f t="shared" si="123"/>
        <v>2040.0299999999997</v>
      </c>
      <c r="N381" s="73">
        <f t="shared" si="123"/>
        <v>2011.7099999999998</v>
      </c>
      <c r="O381" s="85"/>
      <c r="P381" s="85"/>
      <c r="Q381" s="86"/>
      <c r="R381" s="86"/>
      <c r="S381" s="181"/>
      <c r="T381" s="182"/>
      <c r="U381" s="183"/>
      <c r="V381" s="212"/>
      <c r="W381" s="31"/>
      <c r="X381" s="157"/>
      <c r="Y381" s="157"/>
      <c r="Z381" s="157"/>
      <c r="AA381" s="157"/>
    </row>
    <row r="382" spans="1:29" x14ac:dyDescent="0.25">
      <c r="A382" s="249">
        <v>43286</v>
      </c>
      <c r="B382" s="261" t="s">
        <v>185</v>
      </c>
      <c r="C382" s="59" t="s">
        <v>173</v>
      </c>
      <c r="D382" s="59" t="s">
        <v>172</v>
      </c>
      <c r="E382" s="61" t="s">
        <v>186</v>
      </c>
      <c r="F382" s="146">
        <v>23114.63</v>
      </c>
      <c r="G382" s="146">
        <v>23502.87</v>
      </c>
      <c r="H382" s="146">
        <v>23605.51</v>
      </c>
      <c r="I382" s="146">
        <v>23485.22</v>
      </c>
      <c r="J382" s="146">
        <v>23041.49</v>
      </c>
      <c r="K382" s="146">
        <v>23088.65</v>
      </c>
      <c r="L382" s="146">
        <v>23503.72</v>
      </c>
      <c r="M382" s="146">
        <v>23472.54</v>
      </c>
      <c r="N382" s="146">
        <v>23021.08</v>
      </c>
      <c r="O382" s="61">
        <f>IF((N383=""),"",MAX(F384:N384))</f>
        <v>4845.0900000000074</v>
      </c>
      <c r="P382" s="61">
        <f>IF(N383="","",MIN(F384:N384))</f>
        <v>4224.7799999999952</v>
      </c>
      <c r="Q382" s="62">
        <f>IF((N384=""),"",AVERAGE(F384:N384))</f>
        <v>4492.8000000000011</v>
      </c>
      <c r="R382" s="62">
        <f>IF((N383=""),"",(O382-P382)/(O382+P382)*100)</f>
        <v>6.8392380486160445</v>
      </c>
      <c r="S382" s="152">
        <f>STDEV(F384:N384)</f>
        <v>255.31909608370628</v>
      </c>
      <c r="T382" s="158" t="str">
        <f>IF(N383="","",IF(R382&lt;16,IF(Q382&gt;3200,IF(R382,IF(Q382&lt;5240,"Pass","Fail"),"Fail"),"Fail")))</f>
        <v>Pass</v>
      </c>
      <c r="U382" s="159">
        <v>121</v>
      </c>
      <c r="V382" s="212"/>
      <c r="W382" s="31"/>
      <c r="X382" s="155">
        <v>4200</v>
      </c>
      <c r="Y382" s="155">
        <v>5500</v>
      </c>
      <c r="Z382" s="155">
        <v>3200</v>
      </c>
      <c r="AA382" s="155">
        <v>5240</v>
      </c>
      <c r="AC382" s="51">
        <v>16</v>
      </c>
    </row>
    <row r="383" spans="1:29" ht="16.100000000000001" x14ac:dyDescent="0.35">
      <c r="A383"/>
      <c r="B383" s="44"/>
      <c r="C383" s="24"/>
      <c r="D383" s="24"/>
      <c r="E383" s="81" t="s">
        <v>187</v>
      </c>
      <c r="F383" s="28">
        <v>21551.72</v>
      </c>
      <c r="G383" s="28">
        <v>22067.85</v>
      </c>
      <c r="H383" s="28">
        <v>22197.25</v>
      </c>
      <c r="I383" s="28">
        <v>22049.52</v>
      </c>
      <c r="J383" s="28">
        <v>21429.9</v>
      </c>
      <c r="K383" s="28">
        <v>21542.58</v>
      </c>
      <c r="L383" s="28">
        <v>22081.47</v>
      </c>
      <c r="M383" s="28">
        <v>22030.97</v>
      </c>
      <c r="N383" s="28">
        <v>21406.05</v>
      </c>
      <c r="O383" s="81"/>
      <c r="P383" s="81"/>
      <c r="Q383" s="82"/>
      <c r="R383" s="82"/>
      <c r="S383" s="178"/>
      <c r="T383" s="23"/>
      <c r="U383" s="179"/>
      <c r="V383" s="212"/>
      <c r="W383" s="31"/>
      <c r="X383" s="157"/>
      <c r="Y383" s="157"/>
      <c r="Z383" s="157"/>
      <c r="AA383" s="157"/>
    </row>
    <row r="384" spans="1:29" ht="22.75" thickBot="1" x14ac:dyDescent="0.4">
      <c r="A384"/>
      <c r="B384" s="44"/>
      <c r="C384" s="24"/>
      <c r="D384" s="24"/>
      <c r="E384" s="81" t="s">
        <v>188</v>
      </c>
      <c r="F384" s="60">
        <f t="shared" ref="F384:N384" si="124">IF(((F382="")*AND(F383="")),"",(F382-F383)*3)</f>
        <v>4688.7299999999996</v>
      </c>
      <c r="G384" s="60">
        <f t="shared" si="124"/>
        <v>4305.0600000000013</v>
      </c>
      <c r="H384" s="60">
        <f t="shared" si="124"/>
        <v>4224.7799999999952</v>
      </c>
      <c r="I384" s="60">
        <f t="shared" si="124"/>
        <v>4307.1000000000022</v>
      </c>
      <c r="J384" s="60">
        <f t="shared" si="124"/>
        <v>4834.7700000000004</v>
      </c>
      <c r="K384" s="60">
        <f t="shared" si="124"/>
        <v>4638.2099999999991</v>
      </c>
      <c r="L384" s="60">
        <f t="shared" si="124"/>
        <v>4266.75</v>
      </c>
      <c r="M384" s="60">
        <f t="shared" si="124"/>
        <v>4324.7099999999991</v>
      </c>
      <c r="N384" s="60">
        <f t="shared" si="124"/>
        <v>4845.0900000000074</v>
      </c>
      <c r="O384" s="81"/>
      <c r="P384" s="81"/>
      <c r="Q384" s="82"/>
      <c r="R384" s="82"/>
      <c r="S384" s="178"/>
      <c r="T384" s="23"/>
      <c r="U384" s="179"/>
      <c r="V384" s="212"/>
      <c r="W384" s="31"/>
      <c r="X384" s="157"/>
      <c r="Y384" s="157"/>
      <c r="Z384" s="157"/>
      <c r="AA384" s="157"/>
    </row>
    <row r="385" spans="1:29" x14ac:dyDescent="0.25">
      <c r="A385" s="252">
        <v>43286</v>
      </c>
      <c r="B385" s="260" t="s">
        <v>174</v>
      </c>
      <c r="C385" s="24" t="s">
        <v>176</v>
      </c>
      <c r="D385" s="64" t="s">
        <v>175</v>
      </c>
      <c r="E385" s="81" t="s">
        <v>186</v>
      </c>
      <c r="F385" s="28">
        <v>6887.3</v>
      </c>
      <c r="G385" s="28">
        <v>6872.31</v>
      </c>
      <c r="H385" s="28">
        <v>6895.59</v>
      </c>
      <c r="I385" s="28">
        <v>6847.61</v>
      </c>
      <c r="J385" s="28">
        <v>6927.79</v>
      </c>
      <c r="K385" s="28">
        <v>6871.05</v>
      </c>
      <c r="L385" s="28">
        <v>6850.64</v>
      </c>
      <c r="M385" s="28">
        <v>6880.35</v>
      </c>
      <c r="N385" s="28">
        <v>6971.68</v>
      </c>
      <c r="O385" s="81">
        <f>IF((N386=""),"",MAX(F387:N387))</f>
        <v>3994.3199999999997</v>
      </c>
      <c r="P385" s="81">
        <f>IF(N386="","",MIN(F387:N387))</f>
        <v>3654.92</v>
      </c>
      <c r="Q385" s="82">
        <f>IF((N387=""),"",AVERAGE(F387:N387))</f>
        <v>3869.1933333333341</v>
      </c>
      <c r="R385" s="82">
        <f>IF((N386=""),"",(O385-P385)/(O385+P385)*100)</f>
        <v>4.4370421113731515</v>
      </c>
      <c r="S385" s="152">
        <f>STDEV(F387:N387)</f>
        <v>121.02489248084474</v>
      </c>
      <c r="T385" s="23" t="str">
        <f>IF(N386="","",IF(Q385&gt;3650,IF(R385&lt;7,IF(Q385&lt;4450,"Pass","Fail"),"Fail"),"Fail"))</f>
        <v>Pass</v>
      </c>
      <c r="U385" s="179">
        <v>121</v>
      </c>
      <c r="V385" s="212"/>
      <c r="W385" s="31"/>
      <c r="X385" s="155">
        <v>3650</v>
      </c>
      <c r="Y385" s="155">
        <v>4450</v>
      </c>
      <c r="Z385" s="155">
        <v>3700</v>
      </c>
      <c r="AA385" s="155">
        <v>4100</v>
      </c>
      <c r="AB385" s="51">
        <v>7</v>
      </c>
      <c r="AC385" s="51">
        <v>6.5</v>
      </c>
    </row>
    <row r="386" spans="1:29" ht="16.100000000000001" x14ac:dyDescent="0.35">
      <c r="A386"/>
      <c r="B386" s="44"/>
      <c r="C386" s="24"/>
      <c r="D386" s="24"/>
      <c r="E386" s="81" t="s">
        <v>187</v>
      </c>
      <c r="F386" s="28">
        <v>4997.7</v>
      </c>
      <c r="G386" s="28">
        <v>4895.57</v>
      </c>
      <c r="H386" s="28">
        <v>4898.43</v>
      </c>
      <c r="I386" s="28">
        <v>4875.9799999999996</v>
      </c>
      <c r="J386" s="28">
        <v>5055.34</v>
      </c>
      <c r="K386" s="28">
        <v>5043.59</v>
      </c>
      <c r="L386" s="28">
        <v>4882.33</v>
      </c>
      <c r="M386" s="28">
        <v>4887.76</v>
      </c>
      <c r="N386" s="28">
        <v>5056.25</v>
      </c>
      <c r="O386" s="81"/>
      <c r="P386" s="81"/>
      <c r="Q386" s="82"/>
      <c r="R386" s="82"/>
      <c r="S386" s="178"/>
      <c r="T386" s="23"/>
      <c r="U386" s="179"/>
      <c r="V386" s="212"/>
      <c r="W386" s="31"/>
      <c r="X386" s="157"/>
      <c r="Y386" s="157"/>
      <c r="Z386" s="157"/>
      <c r="AA386" s="157"/>
    </row>
    <row r="387" spans="1:29" ht="22.15" x14ac:dyDescent="0.35">
      <c r="A387"/>
      <c r="B387" s="44"/>
      <c r="C387" s="24"/>
      <c r="D387" s="24"/>
      <c r="E387" s="81" t="s">
        <v>188</v>
      </c>
      <c r="F387" s="60">
        <f t="shared" ref="F387:N387" si="125">IF(((F385="")*AND(F386="")),"",(F385-F386)*2)</f>
        <v>3779.2000000000007</v>
      </c>
      <c r="G387" s="60">
        <f t="shared" si="125"/>
        <v>3953.4800000000014</v>
      </c>
      <c r="H387" s="60">
        <f t="shared" si="125"/>
        <v>3994.3199999999997</v>
      </c>
      <c r="I387" s="60">
        <f t="shared" si="125"/>
        <v>3943.26</v>
      </c>
      <c r="J387" s="60">
        <f t="shared" si="125"/>
        <v>3744.8999999999996</v>
      </c>
      <c r="K387" s="60">
        <f t="shared" si="125"/>
        <v>3654.92</v>
      </c>
      <c r="L387" s="60">
        <f t="shared" si="125"/>
        <v>3936.6200000000008</v>
      </c>
      <c r="M387" s="60">
        <f t="shared" si="125"/>
        <v>3985.1800000000003</v>
      </c>
      <c r="N387" s="60">
        <f t="shared" si="125"/>
        <v>3830.8600000000006</v>
      </c>
      <c r="O387" s="81"/>
      <c r="P387" s="81"/>
      <c r="Q387" s="82"/>
      <c r="R387" s="82"/>
      <c r="S387" s="178"/>
      <c r="T387" s="23"/>
      <c r="U387" s="179"/>
      <c r="V387" s="212"/>
      <c r="W387" s="31"/>
      <c r="X387" s="157"/>
      <c r="Y387" s="157"/>
      <c r="Z387" s="157"/>
      <c r="AA387" s="157"/>
    </row>
    <row r="388" spans="1:29" x14ac:dyDescent="0.25">
      <c r="A388" s="252">
        <v>43286</v>
      </c>
      <c r="B388" s="257" t="s">
        <v>169</v>
      </c>
      <c r="C388" s="24" t="s">
        <v>171</v>
      </c>
      <c r="D388" s="24" t="s">
        <v>189</v>
      </c>
      <c r="E388" s="81" t="s">
        <v>186</v>
      </c>
      <c r="F388" s="28">
        <v>1948.64</v>
      </c>
      <c r="G388" s="28">
        <v>1942.74</v>
      </c>
      <c r="H388" s="28">
        <v>1938.13</v>
      </c>
      <c r="I388" s="28">
        <v>1942.6</v>
      </c>
      <c r="J388" s="28">
        <v>1949.47</v>
      </c>
      <c r="K388" s="28">
        <v>1950.07</v>
      </c>
      <c r="L388" s="28">
        <v>1946.91</v>
      </c>
      <c r="M388" s="28">
        <v>1940.29</v>
      </c>
      <c r="N388" s="28">
        <v>1945.65</v>
      </c>
      <c r="O388" s="81">
        <f>IF((N389=""),"",MAX(F390:N390))</f>
        <v>2048.4000000000005</v>
      </c>
      <c r="P388" s="81">
        <f>IF(N389="","",MIN(F390:N390))</f>
        <v>2021.6700000000003</v>
      </c>
      <c r="Q388" s="82">
        <f>IF((N390=""),"",AVERAGE(F390:N390))</f>
        <v>2035.0233333333333</v>
      </c>
      <c r="R388" s="82">
        <f>IF((N389=""),"",(O388-P388)/(O388+P388)*100)</f>
        <v>0.65674546138027701</v>
      </c>
      <c r="S388" s="152">
        <f>STDEV(F390:N390)</f>
        <v>9.165741923052444</v>
      </c>
      <c r="T388" s="23" t="str">
        <f>IF(N389="","",IF(Q388&gt;1940,IF(R388&lt;8.3,IF(Q388&lt;2180,"Pass","Fail"),"Fail"),"Fail"))</f>
        <v>Pass</v>
      </c>
      <c r="U388" s="179">
        <v>121</v>
      </c>
      <c r="V388" s="212"/>
      <c r="W388" s="31"/>
      <c r="X388" s="155">
        <v>2000</v>
      </c>
      <c r="Y388" s="155">
        <v>3000</v>
      </c>
      <c r="Z388" s="155">
        <v>1940</v>
      </c>
      <c r="AA388" s="155">
        <v>2180</v>
      </c>
      <c r="AC388" s="51">
        <v>5.2</v>
      </c>
    </row>
    <row r="389" spans="1:29" ht="16.100000000000001" x14ac:dyDescent="0.35">
      <c r="A389"/>
      <c r="B389" s="44"/>
      <c r="C389" s="24"/>
      <c r="D389" s="24"/>
      <c r="E389" s="81" t="s">
        <v>187</v>
      </c>
      <c r="F389" s="28">
        <v>1265.8399999999999</v>
      </c>
      <c r="G389" s="28">
        <v>1264.8599999999999</v>
      </c>
      <c r="H389" s="28">
        <v>1260.6099999999999</v>
      </c>
      <c r="I389" s="28">
        <v>1266.18</v>
      </c>
      <c r="J389" s="28">
        <v>1271.9000000000001</v>
      </c>
      <c r="K389" s="28">
        <v>1267.53</v>
      </c>
      <c r="L389" s="28">
        <v>1266.22</v>
      </c>
      <c r="M389" s="28">
        <v>1264.53</v>
      </c>
      <c r="N389" s="28">
        <v>1271.76</v>
      </c>
      <c r="O389" s="81"/>
      <c r="P389" s="81"/>
      <c r="Q389" s="82"/>
      <c r="R389" s="82"/>
      <c r="S389" s="178"/>
      <c r="T389" s="23"/>
      <c r="U389" s="179"/>
      <c r="V389" s="212"/>
      <c r="W389" s="31"/>
      <c r="X389" s="157"/>
      <c r="Y389" s="157"/>
      <c r="Z389" s="157"/>
      <c r="AA389" s="157"/>
    </row>
    <row r="390" spans="1:29" ht="32.950000000000003" customHeight="1" thickBot="1" x14ac:dyDescent="0.4">
      <c r="A390"/>
      <c r="B390" s="83"/>
      <c r="C390" s="84"/>
      <c r="D390" s="84"/>
      <c r="E390" s="85" t="s">
        <v>190</v>
      </c>
      <c r="F390" s="73">
        <f t="shared" ref="F390:N390" si="126">IF(((F388="")*AND(F389="")),"",(F388-F389)*3)</f>
        <v>2048.4000000000005</v>
      </c>
      <c r="G390" s="73">
        <f t="shared" si="126"/>
        <v>2033.6400000000003</v>
      </c>
      <c r="H390" s="73">
        <f t="shared" si="126"/>
        <v>2032.5600000000006</v>
      </c>
      <c r="I390" s="73">
        <f t="shared" si="126"/>
        <v>2029.2599999999995</v>
      </c>
      <c r="J390" s="73">
        <f t="shared" si="126"/>
        <v>2032.7099999999998</v>
      </c>
      <c r="K390" s="73">
        <f t="shared" si="126"/>
        <v>2047.62</v>
      </c>
      <c r="L390" s="73">
        <f t="shared" si="126"/>
        <v>2042.0700000000002</v>
      </c>
      <c r="M390" s="73">
        <f t="shared" si="126"/>
        <v>2027.28</v>
      </c>
      <c r="N390" s="73">
        <f t="shared" si="126"/>
        <v>2021.6700000000003</v>
      </c>
      <c r="O390" s="85"/>
      <c r="P390" s="85"/>
      <c r="Q390" s="86"/>
      <c r="R390" s="86"/>
      <c r="S390" s="181"/>
      <c r="T390" s="182"/>
      <c r="U390" s="183"/>
      <c r="V390" s="212"/>
      <c r="W390" s="31"/>
      <c r="X390" s="157"/>
      <c r="Y390" s="157"/>
      <c r="Z390" s="157"/>
      <c r="AA390" s="157"/>
    </row>
    <row r="391" spans="1:29" x14ac:dyDescent="0.25">
      <c r="A391" s="249">
        <v>43289</v>
      </c>
      <c r="B391" s="261" t="s">
        <v>185</v>
      </c>
      <c r="C391" s="59" t="s">
        <v>173</v>
      </c>
      <c r="D391" s="59" t="s">
        <v>172</v>
      </c>
      <c r="E391" s="61" t="s">
        <v>186</v>
      </c>
      <c r="F391" s="146">
        <v>21518.080000000002</v>
      </c>
      <c r="G391" s="146">
        <v>22035.98</v>
      </c>
      <c r="H391" s="146">
        <v>22157.919999999998</v>
      </c>
      <c r="I391" s="146">
        <v>22011.16</v>
      </c>
      <c r="J391" s="146">
        <v>21397.01</v>
      </c>
      <c r="K391" s="146">
        <v>21513.8</v>
      </c>
      <c r="L391" s="146">
        <v>22044.76</v>
      </c>
      <c r="M391" s="146">
        <v>21996.31</v>
      </c>
      <c r="N391" s="146">
        <v>21374.5</v>
      </c>
      <c r="O391" s="61">
        <f>IF((N392=""),"",MAX(F393:N393))</f>
        <v>4854.6600000000035</v>
      </c>
      <c r="P391" s="61">
        <f>IF(N392="","",MIN(F393:N393))</f>
        <v>4228.0499999999956</v>
      </c>
      <c r="Q391" s="62">
        <f>IF((N393=""),"",AVERAGE(F393:N393))</f>
        <v>4498.7899999999981</v>
      </c>
      <c r="R391" s="62">
        <f>IF((N392=""),"",(O391-P391)/(O391+P391)*100)</f>
        <v>6.8989321469033786</v>
      </c>
      <c r="S391" s="152">
        <f>STDEV(F393:N393)</f>
        <v>239.31626073044046</v>
      </c>
      <c r="T391" s="158" t="str">
        <f>IF(N392="","",IF(R391&lt;16,IF(Q391&gt;3200,IF(R391,IF(Q391&lt;5240,"Pass","Fail"),"Fail"),"Fail")))</f>
        <v>Pass</v>
      </c>
      <c r="U391" s="159">
        <v>1428</v>
      </c>
      <c r="V391" s="212"/>
      <c r="W391" s="31"/>
      <c r="X391" s="155">
        <v>4200</v>
      </c>
      <c r="Y391" s="155">
        <v>5500</v>
      </c>
      <c r="Z391" s="155">
        <v>3200</v>
      </c>
      <c r="AA391" s="155">
        <v>5240</v>
      </c>
      <c r="AC391" s="51">
        <v>16</v>
      </c>
    </row>
    <row r="392" spans="1:29" ht="16.100000000000001" x14ac:dyDescent="0.35">
      <c r="A392"/>
      <c r="B392" s="44"/>
      <c r="C392" s="24"/>
      <c r="D392" s="24"/>
      <c r="E392" s="81" t="s">
        <v>187</v>
      </c>
      <c r="F392" s="28">
        <v>19966.060000000001</v>
      </c>
      <c r="G392" s="28">
        <v>20597.689999999999</v>
      </c>
      <c r="H392" s="28">
        <v>20748.57</v>
      </c>
      <c r="I392" s="28">
        <v>20568</v>
      </c>
      <c r="J392" s="28">
        <v>19800.810000000001</v>
      </c>
      <c r="K392" s="28">
        <v>19960.75</v>
      </c>
      <c r="L392" s="28">
        <v>20616.11</v>
      </c>
      <c r="M392" s="28">
        <v>20538.88</v>
      </c>
      <c r="N392" s="28">
        <v>19756.28</v>
      </c>
      <c r="O392" s="81"/>
      <c r="P392" s="81"/>
      <c r="Q392" s="82"/>
      <c r="R392" s="82"/>
      <c r="S392" s="178"/>
      <c r="T392" s="23"/>
      <c r="U392" s="179"/>
      <c r="V392" s="212"/>
      <c r="W392" s="31"/>
      <c r="X392" s="157"/>
      <c r="Y392" s="157"/>
      <c r="Z392" s="157"/>
      <c r="AA392" s="157"/>
    </row>
    <row r="393" spans="1:29" ht="22.75" thickBot="1" x14ac:dyDescent="0.4">
      <c r="A393"/>
      <c r="B393" s="44"/>
      <c r="C393" s="24"/>
      <c r="D393" s="24"/>
      <c r="E393" s="81" t="s">
        <v>188</v>
      </c>
      <c r="F393" s="60">
        <f t="shared" ref="F393:N393" si="127">IF(((F391="")*AND(F392="")),"",(F391-F392)*3)</f>
        <v>4656.0600000000013</v>
      </c>
      <c r="G393" s="60">
        <f t="shared" si="127"/>
        <v>4314.8700000000026</v>
      </c>
      <c r="H393" s="60">
        <f t="shared" si="127"/>
        <v>4228.0499999999956</v>
      </c>
      <c r="I393" s="60">
        <f t="shared" si="127"/>
        <v>4329.4799999999996</v>
      </c>
      <c r="J393" s="60">
        <f t="shared" si="127"/>
        <v>4788.5999999999913</v>
      </c>
      <c r="K393" s="60">
        <f t="shared" si="127"/>
        <v>4659.1499999999978</v>
      </c>
      <c r="L393" s="60">
        <f t="shared" si="127"/>
        <v>4285.9499999999935</v>
      </c>
      <c r="M393" s="60">
        <f t="shared" si="127"/>
        <v>4372.2900000000009</v>
      </c>
      <c r="N393" s="60">
        <f t="shared" si="127"/>
        <v>4854.6600000000035</v>
      </c>
      <c r="O393" s="81"/>
      <c r="P393" s="81"/>
      <c r="Q393" s="82"/>
      <c r="R393" s="82"/>
      <c r="S393" s="178"/>
      <c r="T393" s="23"/>
      <c r="U393" s="179"/>
      <c r="V393" s="212"/>
      <c r="W393" s="31"/>
      <c r="X393" s="157"/>
      <c r="Y393" s="157"/>
      <c r="Z393" s="157"/>
      <c r="AA393" s="157"/>
    </row>
    <row r="394" spans="1:29" x14ac:dyDescent="0.25">
      <c r="A394" s="252">
        <v>43289</v>
      </c>
      <c r="B394" s="260" t="s">
        <v>174</v>
      </c>
      <c r="C394" s="24" t="s">
        <v>176</v>
      </c>
      <c r="D394" s="64" t="s">
        <v>175</v>
      </c>
      <c r="E394" s="81" t="s">
        <v>186</v>
      </c>
      <c r="F394" s="28">
        <v>5003.1899999999996</v>
      </c>
      <c r="G394" s="28">
        <v>4904.68</v>
      </c>
      <c r="H394" s="28">
        <v>4907.4799999999996</v>
      </c>
      <c r="I394" s="28">
        <v>4886.21</v>
      </c>
      <c r="J394" s="28">
        <v>5060.29</v>
      </c>
      <c r="K394" s="28">
        <v>5048.8</v>
      </c>
      <c r="L394" s="28">
        <v>4892.59</v>
      </c>
      <c r="M394" s="28">
        <v>4897.3900000000003</v>
      </c>
      <c r="N394" s="28">
        <v>5060.32</v>
      </c>
      <c r="O394" s="81">
        <f>IF((N395=""),"",MAX(F396:N396))</f>
        <v>4017.6800000000003</v>
      </c>
      <c r="P394" s="81">
        <f>IF(N395="","",MIN(F396:N396))</f>
        <v>3656.9800000000005</v>
      </c>
      <c r="Q394" s="82">
        <f>IF((N396=""),"",AVERAGE(F396:N396))</f>
        <v>3885.3533333333326</v>
      </c>
      <c r="R394" s="82">
        <f>IF((N395=""),"",(O394-P394)/(O394+P394)*100)</f>
        <v>4.6998824703635051</v>
      </c>
      <c r="S394" s="152">
        <f>STDEV(F396:N396)</f>
        <v>129.94927856667766</v>
      </c>
      <c r="T394" s="23" t="str">
        <f>IF(N395="","",IF(Q394&gt;3650,IF(R394&lt;7,IF(Q394&lt;4450,"Pass","Fail"),"Fail"),"Fail"))</f>
        <v>Pass</v>
      </c>
      <c r="U394" s="179">
        <v>1428</v>
      </c>
      <c r="V394" s="212"/>
      <c r="W394" s="31"/>
      <c r="X394" s="155">
        <v>3650</v>
      </c>
      <c r="Y394" s="155">
        <v>4450</v>
      </c>
      <c r="Z394" s="155">
        <v>3700</v>
      </c>
      <c r="AA394" s="155">
        <v>4100</v>
      </c>
      <c r="AB394" s="51">
        <v>7</v>
      </c>
      <c r="AC394" s="51">
        <v>6.5</v>
      </c>
    </row>
    <row r="395" spans="1:29" ht="16.100000000000001" x14ac:dyDescent="0.35">
      <c r="A395"/>
      <c r="B395" s="44"/>
      <c r="C395" s="24"/>
      <c r="D395" s="24"/>
      <c r="E395" s="81" t="s">
        <v>187</v>
      </c>
      <c r="F395" s="28">
        <v>3106.16</v>
      </c>
      <c r="G395" s="28">
        <v>2915.3</v>
      </c>
      <c r="H395" s="28">
        <v>2900.99</v>
      </c>
      <c r="I395" s="28">
        <v>2904.22</v>
      </c>
      <c r="J395" s="28">
        <v>3188.47</v>
      </c>
      <c r="K395" s="28">
        <v>3220.31</v>
      </c>
      <c r="L395" s="28">
        <v>2916.62</v>
      </c>
      <c r="M395" s="28">
        <v>2888.55</v>
      </c>
      <c r="N395" s="28">
        <v>3136.24</v>
      </c>
      <c r="O395" s="81"/>
      <c r="P395" s="81"/>
      <c r="Q395" s="82"/>
      <c r="R395" s="82"/>
      <c r="S395" s="178"/>
      <c r="T395" s="23"/>
      <c r="U395" s="179"/>
      <c r="V395" s="212"/>
      <c r="W395" s="31"/>
      <c r="X395" s="157"/>
      <c r="Y395" s="157"/>
      <c r="Z395" s="157"/>
      <c r="AA395" s="157"/>
    </row>
    <row r="396" spans="1:29" ht="22.15" x14ac:dyDescent="0.35">
      <c r="A396"/>
      <c r="B396" s="44"/>
      <c r="C396" s="24"/>
      <c r="D396" s="24"/>
      <c r="E396" s="81" t="s">
        <v>188</v>
      </c>
      <c r="F396" s="60">
        <f t="shared" ref="F396:N396" si="128">IF(((F394="")*AND(F395="")),"",(F394-F395)*2)</f>
        <v>3794.0599999999995</v>
      </c>
      <c r="G396" s="60">
        <f t="shared" si="128"/>
        <v>3978.76</v>
      </c>
      <c r="H396" s="60">
        <f t="shared" si="128"/>
        <v>4012.9799999999996</v>
      </c>
      <c r="I396" s="60">
        <f t="shared" si="128"/>
        <v>3963.9800000000005</v>
      </c>
      <c r="J396" s="60">
        <f t="shared" si="128"/>
        <v>3743.6400000000003</v>
      </c>
      <c r="K396" s="60">
        <f t="shared" si="128"/>
        <v>3656.9800000000005</v>
      </c>
      <c r="L396" s="60">
        <f t="shared" si="128"/>
        <v>3951.9400000000005</v>
      </c>
      <c r="M396" s="60">
        <f t="shared" si="128"/>
        <v>4017.6800000000003</v>
      </c>
      <c r="N396" s="60">
        <f t="shared" si="128"/>
        <v>3848.16</v>
      </c>
      <c r="O396" s="81"/>
      <c r="P396" s="81"/>
      <c r="Q396" s="82"/>
      <c r="R396" s="82"/>
      <c r="S396" s="178"/>
      <c r="T396" s="23"/>
      <c r="U396" s="179"/>
      <c r="V396" s="212"/>
      <c r="W396" s="31"/>
      <c r="X396" s="157"/>
      <c r="Y396" s="157"/>
      <c r="Z396" s="157"/>
      <c r="AA396" s="157"/>
    </row>
    <row r="397" spans="1:29" x14ac:dyDescent="0.25">
      <c r="A397" s="252">
        <v>43289</v>
      </c>
      <c r="B397" s="257" t="s">
        <v>169</v>
      </c>
      <c r="C397" s="24" t="s">
        <v>171</v>
      </c>
      <c r="D397" s="24" t="s">
        <v>189</v>
      </c>
      <c r="E397" s="81" t="s">
        <v>186</v>
      </c>
      <c r="F397" s="28">
        <v>1269.56</v>
      </c>
      <c r="G397" s="28">
        <v>1267.98</v>
      </c>
      <c r="H397" s="28">
        <v>1264.45</v>
      </c>
      <c r="I397" s="28">
        <v>1267.22</v>
      </c>
      <c r="J397" s="28">
        <v>1280.3599999999999</v>
      </c>
      <c r="K397" s="28">
        <v>1269.97</v>
      </c>
      <c r="L397" s="28">
        <v>1268.28</v>
      </c>
      <c r="M397" s="28">
        <v>1267.8599999999999</v>
      </c>
      <c r="N397" s="28">
        <v>1272.83</v>
      </c>
      <c r="O397" s="81">
        <f>IF((N398=""),"",MAX(F399:N399))</f>
        <v>2046.96</v>
      </c>
      <c r="P397" s="81">
        <f>IF(N398="","",MIN(F399:N399))</f>
        <v>1981.0799999999997</v>
      </c>
      <c r="Q397" s="82">
        <f>IF((N399=""),"",AVERAGE(F399:N399))</f>
        <v>2024.0600000000002</v>
      </c>
      <c r="R397" s="82">
        <f>IF((N398=""),"",(O397-P397)/(O397+P397)*100)</f>
        <v>1.6355349003485651</v>
      </c>
      <c r="S397" s="152">
        <f>STDEV(F399:N399)</f>
        <v>23.529157974734375</v>
      </c>
      <c r="T397" s="23" t="str">
        <f>IF(N398="","",IF(Q397&gt;1940,IF(R397&lt;8.3,IF(Q397&lt;2180,"Pass","Fail"),"Fail"),"Fail"))</f>
        <v>Pass</v>
      </c>
      <c r="U397" s="179">
        <v>1428</v>
      </c>
      <c r="V397" s="212"/>
      <c r="W397" s="31"/>
      <c r="X397" s="155">
        <v>2000</v>
      </c>
      <c r="Y397" s="155">
        <v>3000</v>
      </c>
      <c r="Z397" s="155">
        <v>1940</v>
      </c>
      <c r="AA397" s="155">
        <v>2180</v>
      </c>
      <c r="AC397" s="51">
        <v>5.2</v>
      </c>
    </row>
    <row r="398" spans="1:29" ht="16.100000000000001" x14ac:dyDescent="0.35">
      <c r="A398"/>
      <c r="B398" s="44"/>
      <c r="C398" s="24"/>
      <c r="D398" s="24"/>
      <c r="E398" s="81" t="s">
        <v>187</v>
      </c>
      <c r="F398" s="28">
        <v>592.16999999999996</v>
      </c>
      <c r="G398" s="28">
        <v>585.66</v>
      </c>
      <c r="H398" s="28">
        <v>583.96</v>
      </c>
      <c r="I398" s="28">
        <v>590.04999999999995</v>
      </c>
      <c r="J398" s="28">
        <v>617.23</v>
      </c>
      <c r="K398" s="28">
        <v>597.29999999999995</v>
      </c>
      <c r="L398" s="28">
        <v>589.58000000000004</v>
      </c>
      <c r="M398" s="28">
        <v>587.91</v>
      </c>
      <c r="N398" s="28">
        <v>612.47</v>
      </c>
      <c r="O398" s="81"/>
      <c r="P398" s="81"/>
      <c r="Q398" s="82"/>
      <c r="R398" s="82"/>
      <c r="S398" s="178"/>
      <c r="T398" s="23"/>
      <c r="U398" s="179"/>
      <c r="V398" s="212"/>
      <c r="W398" s="31"/>
      <c r="X398" s="157"/>
      <c r="Y398" s="157"/>
      <c r="Z398" s="157"/>
      <c r="AA398" s="157"/>
    </row>
    <row r="399" spans="1:29" ht="35.450000000000003" customHeight="1" thickBot="1" x14ac:dyDescent="0.4">
      <c r="A399"/>
      <c r="B399" s="83"/>
      <c r="C399" s="84"/>
      <c r="D399" s="84"/>
      <c r="E399" s="85" t="s">
        <v>190</v>
      </c>
      <c r="F399" s="73">
        <f t="shared" ref="F399:N399" si="129">IF(((F397="")*AND(F398="")),"",(F397-F398)*3)</f>
        <v>2032.17</v>
      </c>
      <c r="G399" s="73">
        <f t="shared" si="129"/>
        <v>2046.96</v>
      </c>
      <c r="H399" s="73">
        <f t="shared" si="129"/>
        <v>2041.47</v>
      </c>
      <c r="I399" s="73">
        <f t="shared" si="129"/>
        <v>2031.5100000000002</v>
      </c>
      <c r="J399" s="73">
        <f t="shared" si="129"/>
        <v>1989.3899999999996</v>
      </c>
      <c r="K399" s="73">
        <f t="shared" si="129"/>
        <v>2018.0100000000002</v>
      </c>
      <c r="L399" s="73">
        <f t="shared" si="129"/>
        <v>2036.1</v>
      </c>
      <c r="M399" s="73">
        <f t="shared" si="129"/>
        <v>2039.85</v>
      </c>
      <c r="N399" s="73">
        <f t="shared" si="129"/>
        <v>1981.0799999999997</v>
      </c>
      <c r="O399" s="85"/>
      <c r="P399" s="85"/>
      <c r="Q399" s="86"/>
      <c r="R399" s="86"/>
      <c r="S399" s="181"/>
      <c r="T399" s="182"/>
      <c r="U399" s="183"/>
      <c r="V399" s="212"/>
      <c r="W399" s="31"/>
      <c r="X399" s="157"/>
      <c r="Y399" s="157"/>
      <c r="Z399" s="157"/>
      <c r="AA399" s="157"/>
    </row>
    <row r="400" spans="1:29" x14ac:dyDescent="0.25">
      <c r="A400" s="249">
        <v>43292</v>
      </c>
      <c r="B400" s="261" t="s">
        <v>185</v>
      </c>
      <c r="C400" s="59" t="s">
        <v>173</v>
      </c>
      <c r="D400" s="59" t="s">
        <v>172</v>
      </c>
      <c r="E400" s="61" t="s">
        <v>186</v>
      </c>
      <c r="F400" s="146">
        <v>29275.95</v>
      </c>
      <c r="G400" s="146">
        <v>29184.38</v>
      </c>
      <c r="H400" s="146">
        <v>29179.63</v>
      </c>
      <c r="I400" s="146">
        <v>29173.13</v>
      </c>
      <c r="J400" s="146">
        <v>29291.49</v>
      </c>
      <c r="K400" s="146">
        <v>29279.65</v>
      </c>
      <c r="L400" s="146">
        <v>29176.47</v>
      </c>
      <c r="M400" s="146">
        <v>29176.959999999999</v>
      </c>
      <c r="N400" s="146">
        <v>29259.38</v>
      </c>
      <c r="O400" s="61">
        <f>IF((N401=""),"",MAX(F402:N402))</f>
        <v>4809.1500000000087</v>
      </c>
      <c r="P400" s="61">
        <f>IF(N401="","",MIN(F402:N402))</f>
        <v>4276.9199999999983</v>
      </c>
      <c r="Q400" s="62">
        <f>IF((N402=""),"",AVERAGE(F402:N402))</f>
        <v>4522.3800000000037</v>
      </c>
      <c r="R400" s="62">
        <f>IF((N401=""),"",(O400-P400)/(O400+P400)*100)</f>
        <v>5.857648026044374</v>
      </c>
      <c r="S400" s="152">
        <f>STDEV(F402:N402)</f>
        <v>216.00780194243197</v>
      </c>
      <c r="T400" s="158" t="str">
        <f>IF(N401="","",IF(R400&lt;16,IF(Q400&gt;3200,IF(R400,IF(Q400&lt;5240,"Pass","Fail"),"Fail"),"Fail")))</f>
        <v>Pass</v>
      </c>
      <c r="U400" s="159">
        <v>1335</v>
      </c>
      <c r="V400" s="212"/>
      <c r="W400" s="31"/>
      <c r="X400" s="155">
        <v>4200</v>
      </c>
      <c r="Y400" s="155">
        <v>5500</v>
      </c>
      <c r="Z400" s="155">
        <v>3200</v>
      </c>
      <c r="AA400" s="155">
        <v>5240</v>
      </c>
      <c r="AC400" s="51">
        <v>16</v>
      </c>
    </row>
    <row r="401" spans="1:29" ht="16.100000000000001" x14ac:dyDescent="0.35">
      <c r="A401"/>
      <c r="B401" s="44"/>
      <c r="C401" s="24"/>
      <c r="D401" s="24"/>
      <c r="E401" s="81" t="s">
        <v>187</v>
      </c>
      <c r="F401" s="28">
        <v>27717.37</v>
      </c>
      <c r="G401" s="28">
        <v>27737.79</v>
      </c>
      <c r="H401" s="28">
        <v>27753.99</v>
      </c>
      <c r="I401" s="28">
        <v>27712.799999999999</v>
      </c>
      <c r="J401" s="28">
        <v>27688.44</v>
      </c>
      <c r="K401" s="28">
        <v>27705.33</v>
      </c>
      <c r="L401" s="28">
        <v>27723.62</v>
      </c>
      <c r="M401" s="28">
        <v>27721.8</v>
      </c>
      <c r="N401" s="28">
        <v>27668.76</v>
      </c>
      <c r="O401" s="81"/>
      <c r="P401" s="81"/>
      <c r="Q401" s="82"/>
      <c r="R401" s="82"/>
      <c r="S401" s="178"/>
      <c r="T401" s="23"/>
      <c r="U401" s="179"/>
      <c r="V401" s="212"/>
      <c r="W401" s="31"/>
      <c r="X401" s="157"/>
      <c r="Y401" s="157"/>
      <c r="Z401" s="157"/>
      <c r="AA401" s="157"/>
    </row>
    <row r="402" spans="1:29" ht="22.75" thickBot="1" x14ac:dyDescent="0.4">
      <c r="A402"/>
      <c r="B402" s="44"/>
      <c r="C402" s="24"/>
      <c r="D402" s="24"/>
      <c r="E402" s="81" t="s">
        <v>188</v>
      </c>
      <c r="F402" s="60">
        <f t="shared" ref="F402:N402" si="130">IF(((F400="")*AND(F401="")),"",(F400-F401)*3)</f>
        <v>4675.7400000000052</v>
      </c>
      <c r="G402" s="60">
        <f t="shared" si="130"/>
        <v>4339.7700000000004</v>
      </c>
      <c r="H402" s="60">
        <f t="shared" si="130"/>
        <v>4276.9199999999983</v>
      </c>
      <c r="I402" s="60">
        <f t="shared" si="130"/>
        <v>4380.9900000000052</v>
      </c>
      <c r="J402" s="60">
        <f t="shared" si="130"/>
        <v>4809.1500000000087</v>
      </c>
      <c r="K402" s="60">
        <f t="shared" si="130"/>
        <v>4722.9599999999991</v>
      </c>
      <c r="L402" s="60">
        <f t="shared" si="130"/>
        <v>4358.5500000000065</v>
      </c>
      <c r="M402" s="60">
        <f t="shared" si="130"/>
        <v>4365.4799999999996</v>
      </c>
      <c r="N402" s="60">
        <f t="shared" si="130"/>
        <v>4771.8600000000079</v>
      </c>
      <c r="O402" s="81"/>
      <c r="P402" s="81"/>
      <c r="Q402" s="82"/>
      <c r="R402" s="82"/>
      <c r="S402" s="178"/>
      <c r="T402" s="23"/>
      <c r="U402" s="179"/>
      <c r="V402" s="212"/>
      <c r="W402" s="31"/>
      <c r="X402" s="157"/>
      <c r="Y402" s="157"/>
      <c r="Z402" s="157"/>
      <c r="AA402" s="157"/>
    </row>
    <row r="403" spans="1:29" x14ac:dyDescent="0.25">
      <c r="A403" s="252">
        <v>43292</v>
      </c>
      <c r="B403" s="260" t="s">
        <v>174</v>
      </c>
      <c r="C403" s="24" t="s">
        <v>176</v>
      </c>
      <c r="D403" s="64" t="s">
        <v>175</v>
      </c>
      <c r="E403" s="81" t="s">
        <v>186</v>
      </c>
      <c r="F403" s="28">
        <v>3113.38</v>
      </c>
      <c r="G403" s="28">
        <v>2919.79</v>
      </c>
      <c r="H403" s="28">
        <v>2905.07</v>
      </c>
      <c r="I403" s="28">
        <v>2908.07</v>
      </c>
      <c r="J403" s="28">
        <v>3196.99</v>
      </c>
      <c r="K403" s="28">
        <v>3229.59</v>
      </c>
      <c r="L403" s="28">
        <v>2920.69</v>
      </c>
      <c r="M403" s="28">
        <v>2892.4</v>
      </c>
      <c r="N403" s="28">
        <v>3143.72</v>
      </c>
      <c r="O403" s="81">
        <f>IF((N404=""),"",MAX(F405:N405))</f>
        <v>3997.78</v>
      </c>
      <c r="P403" s="81">
        <f>IF(N404="","",MIN(F405:N405))</f>
        <v>3675.6600000000003</v>
      </c>
      <c r="Q403" s="82">
        <f>IF((N405=""),"",AVERAGE(F405:N405))</f>
        <v>3880.74</v>
      </c>
      <c r="R403" s="82">
        <f>IF((N404=""),"",(O403-P403)/(O403+P403)*100)</f>
        <v>4.1978565024291568</v>
      </c>
      <c r="S403" s="152">
        <f>STDEV(F405:N405)</f>
        <v>113.51065544696677</v>
      </c>
      <c r="T403" s="23" t="str">
        <f>IF(N404="","",IF(Q403&gt;3650,IF(R403&lt;7,IF(Q403&lt;4450,"Pass","Fail"),"Fail"),"Fail"))</f>
        <v>Pass</v>
      </c>
      <c r="U403" s="179">
        <v>1335</v>
      </c>
      <c r="V403" s="212"/>
      <c r="W403" s="31"/>
      <c r="X403" s="155">
        <v>3650</v>
      </c>
      <c r="Y403" s="155">
        <v>4450</v>
      </c>
      <c r="Z403" s="155">
        <v>3700</v>
      </c>
      <c r="AA403" s="155">
        <v>4100</v>
      </c>
      <c r="AB403" s="51">
        <v>7</v>
      </c>
      <c r="AC403" s="51">
        <v>6.5</v>
      </c>
    </row>
    <row r="404" spans="1:29" ht="16.100000000000001" x14ac:dyDescent="0.35">
      <c r="A404"/>
      <c r="B404" s="44"/>
      <c r="C404" s="24"/>
      <c r="D404" s="24"/>
      <c r="E404" s="81" t="s">
        <v>187</v>
      </c>
      <c r="F404" s="28">
        <v>1214.49</v>
      </c>
      <c r="G404" s="28">
        <v>937.54</v>
      </c>
      <c r="H404" s="28">
        <v>907.34</v>
      </c>
      <c r="I404" s="28">
        <v>937.48</v>
      </c>
      <c r="J404" s="28">
        <v>1314.81</v>
      </c>
      <c r="K404" s="28">
        <v>1391.76</v>
      </c>
      <c r="L404" s="28">
        <v>954.97</v>
      </c>
      <c r="M404" s="28">
        <v>893.51</v>
      </c>
      <c r="N404" s="28">
        <v>1214.47</v>
      </c>
      <c r="O404" s="81"/>
      <c r="P404" s="81"/>
      <c r="Q404" s="82"/>
      <c r="R404" s="82"/>
      <c r="S404" s="178"/>
      <c r="T404" s="23"/>
      <c r="U404" s="179"/>
      <c r="V404" s="212"/>
      <c r="W404" s="31"/>
      <c r="X404" s="157"/>
      <c r="Y404" s="157"/>
      <c r="Z404" s="157"/>
      <c r="AA404" s="157"/>
    </row>
    <row r="405" spans="1:29" ht="22.15" x14ac:dyDescent="0.35">
      <c r="A405"/>
      <c r="B405" s="44"/>
      <c r="C405" s="24"/>
      <c r="D405" s="24"/>
      <c r="E405" s="81" t="s">
        <v>188</v>
      </c>
      <c r="F405" s="60">
        <f t="shared" ref="F405:N405" si="131">IF(((F403="")*AND(F404="")),"",(F403-F404)*2)</f>
        <v>3797.78</v>
      </c>
      <c r="G405" s="60">
        <f t="shared" si="131"/>
        <v>3964.5</v>
      </c>
      <c r="H405" s="60">
        <f t="shared" si="131"/>
        <v>3995.46</v>
      </c>
      <c r="I405" s="60">
        <f t="shared" si="131"/>
        <v>3941.1800000000003</v>
      </c>
      <c r="J405" s="60">
        <f t="shared" si="131"/>
        <v>3764.3599999999997</v>
      </c>
      <c r="K405" s="60">
        <f t="shared" si="131"/>
        <v>3675.6600000000003</v>
      </c>
      <c r="L405" s="60">
        <f t="shared" si="131"/>
        <v>3931.44</v>
      </c>
      <c r="M405" s="60">
        <f t="shared" si="131"/>
        <v>3997.78</v>
      </c>
      <c r="N405" s="60">
        <f t="shared" si="131"/>
        <v>3858.4999999999995</v>
      </c>
      <c r="O405" s="81"/>
      <c r="P405" s="81"/>
      <c r="Q405" s="82"/>
      <c r="R405" s="82"/>
      <c r="S405" s="178"/>
      <c r="T405" s="23"/>
      <c r="U405" s="179"/>
      <c r="V405" s="212"/>
      <c r="W405" s="31"/>
      <c r="X405" s="157"/>
      <c r="Y405" s="157"/>
      <c r="Z405" s="157"/>
      <c r="AA405" s="157"/>
    </row>
    <row r="406" spans="1:29" x14ac:dyDescent="0.25">
      <c r="A406" s="252">
        <v>43292</v>
      </c>
      <c r="B406" s="257" t="s">
        <v>169</v>
      </c>
      <c r="C406" s="24" t="s">
        <v>171</v>
      </c>
      <c r="D406" s="24" t="s">
        <v>189</v>
      </c>
      <c r="E406" s="81" t="s">
        <v>186</v>
      </c>
      <c r="F406" s="28">
        <v>1933.67</v>
      </c>
      <c r="G406" s="28">
        <v>1941.69</v>
      </c>
      <c r="H406" s="28">
        <v>1942.61</v>
      </c>
      <c r="I406" s="28">
        <v>1940.98</v>
      </c>
      <c r="J406" s="28">
        <v>1934.41</v>
      </c>
      <c r="K406" s="28">
        <v>1933.58</v>
      </c>
      <c r="L406" s="28">
        <v>1940.22</v>
      </c>
      <c r="M406" s="28">
        <v>1941.57</v>
      </c>
      <c r="N406" s="28">
        <v>1936.67</v>
      </c>
      <c r="O406" s="81">
        <f>IF((N407=""),"",MAX(F408:N408))</f>
        <v>2033.0099999999995</v>
      </c>
      <c r="P406" s="81">
        <f>IF(N407="","",MIN(F408:N408))</f>
        <v>1983.03</v>
      </c>
      <c r="Q406" s="82">
        <f>IF((N408=""),"",AVERAGE(F408:N408))</f>
        <v>2010.13</v>
      </c>
      <c r="R406" s="82">
        <f>IF((N407=""),"",(O406-P406)/(O406+P406)*100)</f>
        <v>1.2445095168374709</v>
      </c>
      <c r="S406" s="152">
        <f>STDEV(F408:N408)</f>
        <v>17.226636351882505</v>
      </c>
      <c r="T406" s="23" t="str">
        <f>IF(N407="","",IF(Q406&gt;1940,IF(R406&lt;8.3,IF(Q406&lt;2180,"Pass","Fail"),"Fail"),"Fail"))</f>
        <v>Pass</v>
      </c>
      <c r="U406" s="179">
        <v>1335</v>
      </c>
      <c r="V406" s="212"/>
      <c r="W406" s="31"/>
      <c r="X406" s="155">
        <v>2000</v>
      </c>
      <c r="Y406" s="155">
        <v>3000</v>
      </c>
      <c r="Z406" s="155">
        <v>1940</v>
      </c>
      <c r="AA406" s="155">
        <v>2180</v>
      </c>
      <c r="AC406" s="51">
        <v>5.2</v>
      </c>
    </row>
    <row r="407" spans="1:29" ht="16.100000000000001" x14ac:dyDescent="0.35">
      <c r="A407"/>
      <c r="B407" s="44"/>
      <c r="C407" s="24"/>
      <c r="D407" s="24"/>
      <c r="E407" s="81" t="s">
        <v>187</v>
      </c>
      <c r="F407" s="28">
        <v>1265.06</v>
      </c>
      <c r="G407" s="28">
        <v>1267.54</v>
      </c>
      <c r="H407" s="28">
        <v>1269.19</v>
      </c>
      <c r="I407" s="28">
        <v>1265.28</v>
      </c>
      <c r="J407" s="28">
        <v>1273.4000000000001</v>
      </c>
      <c r="K407" s="28">
        <v>1271.1600000000001</v>
      </c>
      <c r="L407" s="28">
        <v>1271.53</v>
      </c>
      <c r="M407" s="28">
        <v>1263.9000000000001</v>
      </c>
      <c r="N407" s="28">
        <v>1267.95</v>
      </c>
      <c r="O407" s="81"/>
      <c r="P407" s="81"/>
      <c r="Q407" s="82"/>
      <c r="R407" s="82"/>
      <c r="S407" s="178"/>
      <c r="T407" s="23"/>
      <c r="U407" s="179"/>
      <c r="V407" s="212"/>
      <c r="W407" s="31"/>
      <c r="X407" s="157"/>
      <c r="Y407" s="157"/>
      <c r="Z407" s="157"/>
      <c r="AA407" s="157"/>
    </row>
    <row r="408" spans="1:29" ht="36.700000000000003" customHeight="1" thickBot="1" x14ac:dyDescent="0.4">
      <c r="A408"/>
      <c r="B408" s="83"/>
      <c r="C408" s="84"/>
      <c r="D408" s="84"/>
      <c r="E408" s="85" t="s">
        <v>190</v>
      </c>
      <c r="F408" s="73">
        <f t="shared" ref="F408:N408" si="132">IF(((F406="")*AND(F407="")),"",(F406-F407)*3)</f>
        <v>2005.8300000000004</v>
      </c>
      <c r="G408" s="73">
        <f t="shared" si="132"/>
        <v>2022.4500000000003</v>
      </c>
      <c r="H408" s="73">
        <f t="shared" si="132"/>
        <v>2020.2599999999995</v>
      </c>
      <c r="I408" s="73">
        <f t="shared" si="132"/>
        <v>2027.1000000000001</v>
      </c>
      <c r="J408" s="73">
        <f t="shared" si="132"/>
        <v>1983.03</v>
      </c>
      <c r="K408" s="73">
        <f t="shared" si="132"/>
        <v>1987.2599999999995</v>
      </c>
      <c r="L408" s="73">
        <f t="shared" si="132"/>
        <v>2006.0700000000002</v>
      </c>
      <c r="M408" s="73">
        <f t="shared" si="132"/>
        <v>2033.0099999999995</v>
      </c>
      <c r="N408" s="73">
        <f t="shared" si="132"/>
        <v>2006.16</v>
      </c>
      <c r="O408" s="85"/>
      <c r="P408" s="85"/>
      <c r="Q408" s="86"/>
      <c r="R408" s="86"/>
      <c r="S408" s="181"/>
      <c r="T408" s="182"/>
      <c r="U408" s="183"/>
      <c r="V408" s="212"/>
      <c r="W408" s="31"/>
      <c r="X408" s="157"/>
      <c r="Y408" s="157"/>
      <c r="Z408" s="157"/>
      <c r="AA408" s="157"/>
    </row>
    <row r="409" spans="1:29" x14ac:dyDescent="0.25">
      <c r="A409" s="249">
        <v>43296</v>
      </c>
      <c r="B409" s="261" t="s">
        <v>185</v>
      </c>
      <c r="C409" s="59" t="s">
        <v>173</v>
      </c>
      <c r="D409" s="59" t="s">
        <v>172</v>
      </c>
      <c r="E409" s="61" t="s">
        <v>186</v>
      </c>
      <c r="F409" s="146">
        <v>27648.77</v>
      </c>
      <c r="G409" s="146">
        <v>27676.98</v>
      </c>
      <c r="H409" s="146">
        <v>27683.759999999998</v>
      </c>
      <c r="I409" s="146">
        <v>27642.38</v>
      </c>
      <c r="J409" s="146">
        <v>27613</v>
      </c>
      <c r="K409" s="146">
        <v>27628.95</v>
      </c>
      <c r="L409" s="146">
        <v>27652.66</v>
      </c>
      <c r="M409" s="146">
        <v>27647.34</v>
      </c>
      <c r="N409" s="146">
        <v>27598.3</v>
      </c>
      <c r="O409" s="61">
        <f>IF((N410=""),"",MAX(F411:N411))</f>
        <v>4868.1299999999974</v>
      </c>
      <c r="P409" s="61">
        <f>IF(N410="","",MIN(F411:N411))</f>
        <v>4254.9599999999991</v>
      </c>
      <c r="Q409" s="62">
        <f>IF((N411=""),"",AVERAGE(F411:N411))</f>
        <v>4507.1666666666679</v>
      </c>
      <c r="R409" s="62">
        <f>IF((N410=""),"",(O409-P409)/(O409+P409)*100)</f>
        <v>6.7210780557902918</v>
      </c>
      <c r="S409" s="152">
        <f>STDEV(F411:N411)</f>
        <v>234.23265858970143</v>
      </c>
      <c r="T409" s="158" t="str">
        <f>IF(N410="","",IF(R409&lt;16,IF(Q409&gt;3200,IF(R409,IF(Q409&lt;5240,"Pass","Fail"),"Fail"),"Fail")))</f>
        <v>Pass</v>
      </c>
      <c r="U409" s="159">
        <v>1335</v>
      </c>
      <c r="V409" s="212"/>
      <c r="W409" s="31"/>
      <c r="X409" s="155">
        <v>4200</v>
      </c>
      <c r="Y409" s="155">
        <v>5500</v>
      </c>
      <c r="Z409" s="155">
        <v>3200</v>
      </c>
      <c r="AA409" s="155">
        <v>5240</v>
      </c>
      <c r="AC409" s="51">
        <v>16</v>
      </c>
    </row>
    <row r="410" spans="1:29" ht="16.100000000000001" x14ac:dyDescent="0.35">
      <c r="A410"/>
      <c r="B410" s="44"/>
      <c r="C410" s="24"/>
      <c r="D410" s="24"/>
      <c r="E410" s="81" t="s">
        <v>187</v>
      </c>
      <c r="F410" s="28">
        <v>26097.53</v>
      </c>
      <c r="G410" s="28">
        <v>26232.46</v>
      </c>
      <c r="H410" s="28">
        <v>26265.439999999999</v>
      </c>
      <c r="I410" s="28">
        <v>26187.52</v>
      </c>
      <c r="J410" s="28">
        <v>26007.79</v>
      </c>
      <c r="K410" s="28">
        <v>26090.799999999999</v>
      </c>
      <c r="L410" s="28">
        <v>26223.25</v>
      </c>
      <c r="M410" s="28">
        <v>26190.26</v>
      </c>
      <c r="N410" s="28">
        <v>25975.59</v>
      </c>
      <c r="O410" s="81"/>
      <c r="P410" s="81"/>
      <c r="Q410" s="82"/>
      <c r="R410" s="82"/>
      <c r="S410" s="178"/>
      <c r="T410" s="23"/>
      <c r="U410" s="179"/>
      <c r="V410" s="212"/>
      <c r="W410" s="31"/>
      <c r="X410" s="157"/>
      <c r="Y410" s="157"/>
      <c r="Z410" s="157"/>
      <c r="AA410" s="157"/>
    </row>
    <row r="411" spans="1:29" ht="22.75" thickBot="1" x14ac:dyDescent="0.4">
      <c r="A411"/>
      <c r="B411" s="44"/>
      <c r="C411" s="24"/>
      <c r="D411" s="24"/>
      <c r="E411" s="81" t="s">
        <v>188</v>
      </c>
      <c r="F411" s="60">
        <f t="shared" ref="F411:N411" si="133">IF(((F409="")*AND(F410="")),"",(F409-F410)*3)</f>
        <v>4653.7200000000048</v>
      </c>
      <c r="G411" s="60">
        <f t="shared" si="133"/>
        <v>4333.5600000000013</v>
      </c>
      <c r="H411" s="60">
        <f t="shared" si="133"/>
        <v>4254.9599999999991</v>
      </c>
      <c r="I411" s="60">
        <f t="shared" si="133"/>
        <v>4364.5800000000017</v>
      </c>
      <c r="J411" s="60">
        <f t="shared" si="133"/>
        <v>4815.6299999999974</v>
      </c>
      <c r="K411" s="60">
        <f t="shared" si="133"/>
        <v>4614.4500000000044</v>
      </c>
      <c r="L411" s="60">
        <f t="shared" si="133"/>
        <v>4288.2299999999996</v>
      </c>
      <c r="M411" s="60">
        <f t="shared" si="133"/>
        <v>4371.2400000000052</v>
      </c>
      <c r="N411" s="60">
        <f t="shared" si="133"/>
        <v>4868.1299999999974</v>
      </c>
      <c r="O411" s="81"/>
      <c r="P411" s="81"/>
      <c r="Q411" s="82"/>
      <c r="R411" s="82"/>
      <c r="S411" s="178"/>
      <c r="T411" s="23"/>
      <c r="U411" s="179"/>
      <c r="V411" s="212"/>
      <c r="W411" s="31"/>
      <c r="X411" s="157"/>
      <c r="Y411" s="157"/>
      <c r="Z411" s="157"/>
      <c r="AA411" s="157"/>
    </row>
    <row r="412" spans="1:29" x14ac:dyDescent="0.25">
      <c r="A412" s="252">
        <v>43296</v>
      </c>
      <c r="B412" s="260" t="s">
        <v>174</v>
      </c>
      <c r="C412" s="24" t="s">
        <v>176</v>
      </c>
      <c r="D412" s="64" t="s">
        <v>175</v>
      </c>
      <c r="E412" s="81" t="s">
        <v>186</v>
      </c>
      <c r="F412" s="28">
        <v>7019.14</v>
      </c>
      <c r="G412" s="28">
        <v>7007.01</v>
      </c>
      <c r="H412" s="28">
        <v>7023.72</v>
      </c>
      <c r="I412" s="28">
        <v>6972.38</v>
      </c>
      <c r="J412" s="28">
        <v>7039.15</v>
      </c>
      <c r="K412" s="28">
        <v>6989.79</v>
      </c>
      <c r="L412" s="28">
        <v>6977.82</v>
      </c>
      <c r="M412" s="28">
        <v>7007.78</v>
      </c>
      <c r="N412" s="28">
        <v>7087.49</v>
      </c>
      <c r="O412" s="81">
        <f>IF((N413=""),"",MAX(F414:N414))</f>
        <v>4040.7999999999993</v>
      </c>
      <c r="P412" s="81">
        <f>IF(N413="","",MIN(F414:N414))</f>
        <v>3692.58</v>
      </c>
      <c r="Q412" s="82">
        <f>IF((N414=""),"",AVERAGE(F414:N414))</f>
        <v>3913.4355555555553</v>
      </c>
      <c r="R412" s="82">
        <f>IF((N413=""),"",(O412-P412)/(O412+P412)*100)</f>
        <v>4.5028176554106922</v>
      </c>
      <c r="S412" s="152">
        <f>STDEV(F414:N414)</f>
        <v>122.37883222917989</v>
      </c>
      <c r="T412" s="23" t="str">
        <f>IF(N413="","",IF(Q412&gt;3650,IF(R412&lt;7,IF(Q412&lt;4450,"Pass","Fail"),"Fail"),"Fail"))</f>
        <v>Pass</v>
      </c>
      <c r="U412" s="179">
        <v>1335</v>
      </c>
      <c r="V412" s="212"/>
      <c r="W412" s="31"/>
      <c r="X412" s="155">
        <v>3650</v>
      </c>
      <c r="Y412" s="155">
        <v>4450</v>
      </c>
      <c r="Z412" s="155">
        <v>3700</v>
      </c>
      <c r="AA412" s="155">
        <v>4100</v>
      </c>
      <c r="AB412" s="51">
        <v>7</v>
      </c>
      <c r="AC412" s="51">
        <v>6.5</v>
      </c>
    </row>
    <row r="413" spans="1:29" ht="16.100000000000001" x14ac:dyDescent="0.35">
      <c r="A413"/>
      <c r="B413" s="44"/>
      <c r="C413" s="24"/>
      <c r="D413" s="24"/>
      <c r="E413" s="81" t="s">
        <v>187</v>
      </c>
      <c r="F413" s="28">
        <v>5116.29</v>
      </c>
      <c r="G413" s="28">
        <v>5012.55</v>
      </c>
      <c r="H413" s="28">
        <v>5005.78</v>
      </c>
      <c r="I413" s="28">
        <v>4978.3500000000004</v>
      </c>
      <c r="J413" s="28">
        <v>5139.6099999999997</v>
      </c>
      <c r="K413" s="28">
        <v>5143.5</v>
      </c>
      <c r="L413" s="28">
        <v>4991.16</v>
      </c>
      <c r="M413" s="28">
        <v>4987.38</v>
      </c>
      <c r="N413" s="28">
        <v>5139.2</v>
      </c>
      <c r="O413" s="81"/>
      <c r="P413" s="81"/>
      <c r="Q413" s="82"/>
      <c r="R413" s="82"/>
      <c r="S413" s="178"/>
      <c r="T413" s="23"/>
      <c r="U413" s="179"/>
      <c r="V413" s="212"/>
      <c r="W413" s="31"/>
      <c r="X413" s="157"/>
      <c r="Y413" s="157"/>
      <c r="Z413" s="157"/>
      <c r="AA413" s="157"/>
    </row>
    <row r="414" spans="1:29" ht="22.15" x14ac:dyDescent="0.35">
      <c r="A414"/>
      <c r="B414" s="44"/>
      <c r="C414" s="24"/>
      <c r="D414" s="24"/>
      <c r="E414" s="81" t="s">
        <v>188</v>
      </c>
      <c r="F414" s="60">
        <f t="shared" ref="F414:N414" si="134">IF(((F412="")*AND(F413="")),"",(F412-F413)*2)</f>
        <v>3805.7000000000007</v>
      </c>
      <c r="G414" s="60">
        <f t="shared" si="134"/>
        <v>3988.92</v>
      </c>
      <c r="H414" s="60">
        <f t="shared" si="134"/>
        <v>4035.880000000001</v>
      </c>
      <c r="I414" s="60">
        <f t="shared" si="134"/>
        <v>3988.0599999999995</v>
      </c>
      <c r="J414" s="60">
        <f t="shared" si="134"/>
        <v>3799.08</v>
      </c>
      <c r="K414" s="60">
        <f t="shared" si="134"/>
        <v>3692.58</v>
      </c>
      <c r="L414" s="60">
        <f t="shared" si="134"/>
        <v>3973.3199999999997</v>
      </c>
      <c r="M414" s="60">
        <f t="shared" si="134"/>
        <v>4040.7999999999993</v>
      </c>
      <c r="N414" s="60">
        <f t="shared" si="134"/>
        <v>3896.58</v>
      </c>
      <c r="O414" s="81"/>
      <c r="P414" s="81"/>
      <c r="Q414" s="82"/>
      <c r="R414" s="82"/>
      <c r="S414" s="178"/>
      <c r="T414" s="23"/>
      <c r="U414" s="179"/>
      <c r="V414" s="212"/>
      <c r="W414" s="31"/>
      <c r="X414" s="157"/>
      <c r="Y414" s="157"/>
      <c r="Z414" s="157"/>
      <c r="AA414" s="157"/>
    </row>
    <row r="415" spans="1:29" x14ac:dyDescent="0.25">
      <c r="A415" s="252">
        <v>43296</v>
      </c>
      <c r="B415" s="257" t="s">
        <v>169</v>
      </c>
      <c r="C415" s="24" t="s">
        <v>171</v>
      </c>
      <c r="D415" s="24" t="s">
        <v>189</v>
      </c>
      <c r="E415" s="81" t="s">
        <v>186</v>
      </c>
      <c r="F415" s="28">
        <v>1927.67</v>
      </c>
      <c r="G415" s="28">
        <v>1928.82</v>
      </c>
      <c r="H415" s="28">
        <v>1928.65</v>
      </c>
      <c r="I415" s="28">
        <v>1931.15</v>
      </c>
      <c r="J415" s="28">
        <v>1931.27</v>
      </c>
      <c r="K415" s="28">
        <v>1925.44</v>
      </c>
      <c r="L415" s="28">
        <v>1929.72</v>
      </c>
      <c r="M415" s="28">
        <v>1927.81</v>
      </c>
      <c r="N415" s="28">
        <v>1926.27</v>
      </c>
      <c r="O415" s="81">
        <f>IF((N416=""),"",MAX(F417:N417))</f>
        <v>2028.5399999999995</v>
      </c>
      <c r="P415" s="81">
        <f>IF(N416="","",MIN(F417:N417))</f>
        <v>1996.8899999999996</v>
      </c>
      <c r="Q415" s="82">
        <f>IF((N417=""),"",AVERAGE(F417:N417))</f>
        <v>2016.7833333333333</v>
      </c>
      <c r="R415" s="82">
        <f>IF((N416=""),"",(O415-P415)/(O415+P415)*100)</f>
        <v>0.78625140668201576</v>
      </c>
      <c r="S415" s="152">
        <f>STDEV(F417:N417)</f>
        <v>11.2194329179331</v>
      </c>
      <c r="T415" s="23" t="str">
        <f>IF(N416="","",IF(Q415&gt;1940,IF(R415&lt;8.3,IF(Q415&lt;2180,"Pass","Fail"),"Fail"),"Fail"))</f>
        <v>Pass</v>
      </c>
      <c r="U415" s="179">
        <v>1335</v>
      </c>
      <c r="V415" s="212"/>
      <c r="W415" s="31"/>
      <c r="X415" s="155">
        <v>2000</v>
      </c>
      <c r="Y415" s="155">
        <v>3000</v>
      </c>
      <c r="Z415" s="155">
        <v>1940</v>
      </c>
      <c r="AA415" s="155">
        <v>2180</v>
      </c>
      <c r="AC415" s="51">
        <v>5.2</v>
      </c>
    </row>
    <row r="416" spans="1:29" ht="16.100000000000001" x14ac:dyDescent="0.35">
      <c r="A416"/>
      <c r="B416" s="44"/>
      <c r="C416" s="24"/>
      <c r="D416" s="24"/>
      <c r="E416" s="81" t="s">
        <v>187</v>
      </c>
      <c r="F416" s="28">
        <v>1251.57</v>
      </c>
      <c r="G416" s="28">
        <v>1252.6400000000001</v>
      </c>
      <c r="H416" s="28">
        <v>1255</v>
      </c>
      <c r="I416" s="28">
        <v>1257.29</v>
      </c>
      <c r="J416" s="28">
        <v>1265.6400000000001</v>
      </c>
      <c r="K416" s="28">
        <v>1257.28</v>
      </c>
      <c r="L416" s="28">
        <v>1258.96</v>
      </c>
      <c r="M416" s="28">
        <v>1252.24</v>
      </c>
      <c r="N416" s="28">
        <v>1255.83</v>
      </c>
      <c r="O416" s="81"/>
      <c r="P416" s="81"/>
      <c r="Q416" s="82"/>
      <c r="R416" s="82"/>
      <c r="S416" s="178"/>
      <c r="T416" s="23"/>
      <c r="U416" s="179"/>
      <c r="V416" s="212"/>
      <c r="W416" s="31"/>
      <c r="X416" s="157"/>
      <c r="Y416" s="157"/>
      <c r="Z416" s="157"/>
      <c r="AA416" s="157"/>
    </row>
    <row r="417" spans="1:29" ht="38.25" customHeight="1" thickBot="1" x14ac:dyDescent="0.4">
      <c r="A417"/>
      <c r="B417" s="83"/>
      <c r="C417" s="84"/>
      <c r="D417" s="84"/>
      <c r="E417" s="85" t="s">
        <v>190</v>
      </c>
      <c r="F417" s="73">
        <f t="shared" ref="F417:N417" si="135">IF(((F415="")*AND(F416="")),"",(F415-F416)*3)</f>
        <v>2028.3000000000004</v>
      </c>
      <c r="G417" s="73">
        <f t="shared" si="135"/>
        <v>2028.5399999999995</v>
      </c>
      <c r="H417" s="73">
        <f t="shared" si="135"/>
        <v>2020.9500000000003</v>
      </c>
      <c r="I417" s="73">
        <f t="shared" si="135"/>
        <v>2021.5800000000004</v>
      </c>
      <c r="J417" s="73">
        <f t="shared" si="135"/>
        <v>1996.8899999999996</v>
      </c>
      <c r="K417" s="73">
        <f t="shared" si="135"/>
        <v>2004.4800000000002</v>
      </c>
      <c r="L417" s="73">
        <f t="shared" si="135"/>
        <v>2012.28</v>
      </c>
      <c r="M417" s="73">
        <f t="shared" si="135"/>
        <v>2026.7099999999998</v>
      </c>
      <c r="N417" s="73">
        <f t="shared" si="135"/>
        <v>2011.3200000000002</v>
      </c>
      <c r="O417" s="85"/>
      <c r="P417" s="85"/>
      <c r="Q417" s="86"/>
      <c r="R417" s="86"/>
      <c r="S417" s="181"/>
      <c r="T417" s="182"/>
      <c r="U417" s="183"/>
      <c r="V417" s="212"/>
      <c r="W417" s="31"/>
      <c r="X417" s="157"/>
      <c r="Y417" s="157"/>
      <c r="Z417" s="157"/>
      <c r="AA417" s="157"/>
    </row>
    <row r="418" spans="1:29" x14ac:dyDescent="0.25">
      <c r="A418" s="249">
        <v>43300</v>
      </c>
      <c r="B418" s="261" t="s">
        <v>185</v>
      </c>
      <c r="C418" s="59" t="s">
        <v>173</v>
      </c>
      <c r="D418" s="59" t="s">
        <v>172</v>
      </c>
      <c r="E418" s="61" t="s">
        <v>186</v>
      </c>
      <c r="F418" s="146">
        <v>26097.53</v>
      </c>
      <c r="G418" s="146">
        <v>26232.46</v>
      </c>
      <c r="H418" s="146">
        <v>26265.439999999999</v>
      </c>
      <c r="I418" s="146">
        <v>26187.52</v>
      </c>
      <c r="J418" s="146">
        <v>26007.79</v>
      </c>
      <c r="K418" s="146">
        <v>26090.799999999999</v>
      </c>
      <c r="L418" s="146">
        <v>26223.25</v>
      </c>
      <c r="M418" s="146">
        <v>26190.26</v>
      </c>
      <c r="N418" s="146">
        <v>25975.59</v>
      </c>
      <c r="O418" s="61">
        <f>IF((N419=""),"",MAX(F420:N420))</f>
        <v>4907.8799999999974</v>
      </c>
      <c r="P418" s="61">
        <f>IF(N419="","",MIN(F420:N420))</f>
        <v>4352.1599999999926</v>
      </c>
      <c r="Q418" s="62">
        <f>IF((N420=""),"",AVERAGE(F420:N420))</f>
        <v>4632.2799999999988</v>
      </c>
      <c r="R418" s="62">
        <f>IF((N419=""),"",(O418-P418)/(O418+P418)*100)</f>
        <v>6.0012699729159422</v>
      </c>
      <c r="S418" s="152">
        <f>STDEV(F420:N420)</f>
        <v>239.6977316851407</v>
      </c>
      <c r="T418" s="158" t="str">
        <f>IF(N419="","",IF(R418&lt;16,IF(Q418&gt;3200,IF(R418,IF(Q418&lt;5240,"Pass","Fail"),"Fail"),"Fail")))</f>
        <v>Pass</v>
      </c>
      <c r="U418" s="159">
        <v>1340</v>
      </c>
      <c r="V418" s="31" t="s">
        <v>200</v>
      </c>
      <c r="X418" s="155">
        <v>4200</v>
      </c>
      <c r="Y418" s="155">
        <v>5500</v>
      </c>
      <c r="Z418" s="155">
        <v>3200</v>
      </c>
      <c r="AA418" s="155">
        <v>5240</v>
      </c>
      <c r="AC418" s="51">
        <v>16</v>
      </c>
    </row>
    <row r="419" spans="1:29" ht="16.100000000000001" x14ac:dyDescent="0.35">
      <c r="A419"/>
      <c r="B419" s="44"/>
      <c r="C419" s="24"/>
      <c r="D419" s="24"/>
      <c r="E419" s="81" t="s">
        <v>187</v>
      </c>
      <c r="F419" s="28">
        <v>24461.57</v>
      </c>
      <c r="G419" s="28">
        <v>24741.42</v>
      </c>
      <c r="H419" s="28">
        <v>24814.720000000001</v>
      </c>
      <c r="I419" s="28">
        <v>24709.56</v>
      </c>
      <c r="J419" s="28">
        <v>24387.67</v>
      </c>
      <c r="K419" s="28">
        <v>24462.87</v>
      </c>
      <c r="L419" s="28">
        <v>24738.31</v>
      </c>
      <c r="M419" s="28">
        <v>24707.65</v>
      </c>
      <c r="N419" s="28">
        <v>24350.03</v>
      </c>
      <c r="O419" s="81"/>
      <c r="P419" s="81"/>
      <c r="Q419" s="82"/>
      <c r="R419" s="82"/>
      <c r="S419" s="178"/>
      <c r="T419" s="23"/>
      <c r="U419" s="179"/>
      <c r="X419" s="157"/>
      <c r="Y419" s="157"/>
      <c r="Z419" s="157"/>
      <c r="AA419" s="157"/>
    </row>
    <row r="420" spans="1:29" ht="22.75" thickBot="1" x14ac:dyDescent="0.4">
      <c r="A420"/>
      <c r="B420" s="44"/>
      <c r="C420" s="24"/>
      <c r="D420" s="24"/>
      <c r="E420" s="81" t="s">
        <v>188</v>
      </c>
      <c r="F420" s="60">
        <f t="shared" ref="F420:N420" si="136">IF(((F418="")*AND(F419="")),"",(F418-F419)*3)</f>
        <v>4907.8799999999974</v>
      </c>
      <c r="G420" s="60">
        <f t="shared" si="136"/>
        <v>4473.1200000000026</v>
      </c>
      <c r="H420" s="60">
        <f t="shared" si="136"/>
        <v>4352.1599999999926</v>
      </c>
      <c r="I420" s="60">
        <f t="shared" si="136"/>
        <v>4433.8799999999974</v>
      </c>
      <c r="J420" s="60">
        <f t="shared" si="136"/>
        <v>4860.3600000000079</v>
      </c>
      <c r="K420" s="60">
        <f t="shared" si="136"/>
        <v>4883.7900000000009</v>
      </c>
      <c r="L420" s="60">
        <f t="shared" si="136"/>
        <v>4454.8199999999961</v>
      </c>
      <c r="M420" s="60">
        <f t="shared" si="136"/>
        <v>4447.8299999999908</v>
      </c>
      <c r="N420" s="60">
        <f t="shared" si="136"/>
        <v>4876.6800000000039</v>
      </c>
      <c r="O420" s="81"/>
      <c r="P420" s="81"/>
      <c r="Q420" s="82"/>
      <c r="R420" s="82"/>
      <c r="S420" s="178"/>
      <c r="T420" s="23"/>
      <c r="U420" s="179"/>
      <c r="X420" s="157"/>
      <c r="Y420" s="157"/>
      <c r="Z420" s="157"/>
      <c r="AA420" s="157"/>
    </row>
    <row r="421" spans="1:29" x14ac:dyDescent="0.25">
      <c r="A421" s="252">
        <v>43300</v>
      </c>
      <c r="B421" s="260" t="s">
        <v>174</v>
      </c>
      <c r="C421" s="24" t="s">
        <v>176</v>
      </c>
      <c r="D421" s="64" t="s">
        <v>175</v>
      </c>
      <c r="E421" s="81" t="s">
        <v>186</v>
      </c>
      <c r="F421" s="28">
        <v>5116.29</v>
      </c>
      <c r="G421" s="28">
        <v>5012.55</v>
      </c>
      <c r="H421" s="28">
        <v>5005.78</v>
      </c>
      <c r="I421" s="28">
        <v>4978.3500000000004</v>
      </c>
      <c r="J421" s="28">
        <v>5139.6099999999997</v>
      </c>
      <c r="K421" s="28">
        <v>5143.5</v>
      </c>
      <c r="L421" s="28">
        <v>4991.16</v>
      </c>
      <c r="M421" s="28">
        <v>4987.38</v>
      </c>
      <c r="N421" s="28">
        <v>5139.2</v>
      </c>
      <c r="O421" s="81">
        <f>IF((N422=""),"",MAX(F423:N423))</f>
        <v>4029.9400000000005</v>
      </c>
      <c r="P421" s="81">
        <f>IF(N422="","",MIN(F423:N423))</f>
        <v>3667.5600000000004</v>
      </c>
      <c r="Q421" s="82">
        <f>IF((N423=""),"",AVERAGE(F423:N423))</f>
        <v>3893.6244444444446</v>
      </c>
      <c r="R421" s="82">
        <f>IF((N422=""),"",(O421-P421)/(O421+P421)*100)</f>
        <v>4.7077622604741807</v>
      </c>
      <c r="S421" s="152">
        <f>STDEV(F423:N423)</f>
        <v>124.95314272869574</v>
      </c>
      <c r="T421" s="23" t="str">
        <f>IF(N422="","",IF(Q421&gt;3650,IF(R421&lt;7,IF(Q421&lt;4450,"Pass","Fail"),"Fail"),"Fail"))</f>
        <v>Pass</v>
      </c>
      <c r="U421" s="179">
        <v>1340</v>
      </c>
      <c r="V421" s="31" t="s">
        <v>200</v>
      </c>
      <c r="X421" s="155">
        <v>3650</v>
      </c>
      <c r="Y421" s="155">
        <v>4450</v>
      </c>
      <c r="Z421" s="155">
        <v>3700</v>
      </c>
      <c r="AA421" s="155">
        <v>4100</v>
      </c>
      <c r="AB421" s="51">
        <v>7</v>
      </c>
      <c r="AC421" s="51">
        <v>6.5</v>
      </c>
    </row>
    <row r="422" spans="1:29" ht="16.100000000000001" x14ac:dyDescent="0.35">
      <c r="A422"/>
      <c r="B422" s="44"/>
      <c r="C422" s="24"/>
      <c r="D422" s="24"/>
      <c r="E422" s="81" t="s">
        <v>187</v>
      </c>
      <c r="F422" s="28">
        <v>3225.39</v>
      </c>
      <c r="G422" s="28">
        <v>3027.47</v>
      </c>
      <c r="H422" s="28">
        <v>2997.41</v>
      </c>
      <c r="I422" s="28">
        <v>2993.22</v>
      </c>
      <c r="J422" s="28">
        <v>3248.75</v>
      </c>
      <c r="K422" s="28">
        <v>3309.72</v>
      </c>
      <c r="L422" s="28">
        <v>3016.98</v>
      </c>
      <c r="M422" s="28">
        <v>2972.41</v>
      </c>
      <c r="N422" s="28">
        <v>3201.16</v>
      </c>
      <c r="O422" s="81"/>
      <c r="P422" s="81"/>
      <c r="Q422" s="82"/>
      <c r="R422" s="82"/>
      <c r="S422" s="178"/>
      <c r="T422" s="23"/>
      <c r="U422" s="179"/>
      <c r="X422" s="157"/>
      <c r="Y422" s="157"/>
      <c r="Z422" s="157"/>
      <c r="AA422" s="157"/>
    </row>
    <row r="423" spans="1:29" ht="22.15" x14ac:dyDescent="0.35">
      <c r="A423"/>
      <c r="B423" s="44"/>
      <c r="C423" s="24"/>
      <c r="D423" s="24"/>
      <c r="E423" s="81" t="s">
        <v>188</v>
      </c>
      <c r="F423" s="60">
        <f t="shared" ref="F423:N423" si="137">IF(((F421="")*AND(F422="")),"",(F421-F422)*2)</f>
        <v>3781.8</v>
      </c>
      <c r="G423" s="60">
        <f t="shared" si="137"/>
        <v>3970.1600000000008</v>
      </c>
      <c r="H423" s="60">
        <f t="shared" si="137"/>
        <v>4016.74</v>
      </c>
      <c r="I423" s="60">
        <f t="shared" si="137"/>
        <v>3970.2600000000011</v>
      </c>
      <c r="J423" s="60">
        <f t="shared" si="137"/>
        <v>3781.7199999999993</v>
      </c>
      <c r="K423" s="60">
        <f t="shared" si="137"/>
        <v>3667.5600000000004</v>
      </c>
      <c r="L423" s="60">
        <f t="shared" si="137"/>
        <v>3948.3599999999997</v>
      </c>
      <c r="M423" s="60">
        <f t="shared" si="137"/>
        <v>4029.9400000000005</v>
      </c>
      <c r="N423" s="60">
        <f t="shared" si="137"/>
        <v>3876.08</v>
      </c>
      <c r="O423" s="81"/>
      <c r="P423" s="81"/>
      <c r="Q423" s="82"/>
      <c r="R423" s="82"/>
      <c r="S423" s="178"/>
      <c r="T423" s="23"/>
      <c r="U423" s="179"/>
      <c r="X423" s="157"/>
      <c r="Y423" s="157"/>
      <c r="Z423" s="157"/>
      <c r="AA423" s="157"/>
    </row>
    <row r="424" spans="1:29" x14ac:dyDescent="0.25">
      <c r="A424" s="252">
        <v>43300</v>
      </c>
      <c r="B424" s="257" t="s">
        <v>169</v>
      </c>
      <c r="C424" s="24" t="s">
        <v>171</v>
      </c>
      <c r="D424" s="24" t="s">
        <v>189</v>
      </c>
      <c r="E424" s="81" t="s">
        <v>186</v>
      </c>
      <c r="F424" s="28">
        <v>1251.57</v>
      </c>
      <c r="G424" s="28">
        <v>1252.6400000000001</v>
      </c>
      <c r="H424" s="28">
        <v>1255</v>
      </c>
      <c r="I424" s="28">
        <v>1257.29</v>
      </c>
      <c r="J424" s="28">
        <v>1265.6400000000001</v>
      </c>
      <c r="K424" s="28">
        <v>1257.28</v>
      </c>
      <c r="L424" s="28">
        <v>1258.96</v>
      </c>
      <c r="M424" s="28">
        <v>1252.24</v>
      </c>
      <c r="N424" s="28">
        <v>1255.83</v>
      </c>
      <c r="O424" s="81">
        <f>IF((N425=""),"",MAX(F426:N426))</f>
        <v>2063.16</v>
      </c>
      <c r="P424" s="81">
        <f>IF(N425="","",MIN(F426:N426))</f>
        <v>1993.9500000000003</v>
      </c>
      <c r="Q424" s="82">
        <f>IF((N426=""),"",AVERAGE(F426:N426))</f>
        <v>2032.5033333333331</v>
      </c>
      <c r="R424" s="82">
        <f>IF((N425=""),"",(O424-P424)/(O424+P424)*100)</f>
        <v>1.7058940970296488</v>
      </c>
      <c r="S424" s="152">
        <f>STDEV(F426:N426)</f>
        <v>24.414523853640819</v>
      </c>
      <c r="T424" s="23" t="str">
        <f>IF(N425="","",IF(Q424&gt;1940,IF(R424&lt;8.3,IF(Q424&lt;2180,"Pass","Fail"),"Fail"),"Fail"))</f>
        <v>Pass</v>
      </c>
      <c r="U424" s="179">
        <v>1340</v>
      </c>
      <c r="V424" s="31" t="s">
        <v>200</v>
      </c>
      <c r="X424" s="155">
        <v>2000</v>
      </c>
      <c r="Y424" s="155">
        <v>3000</v>
      </c>
      <c r="Z424" s="155">
        <v>1940</v>
      </c>
      <c r="AA424" s="155">
        <v>2180</v>
      </c>
      <c r="AC424" s="51">
        <v>5.2</v>
      </c>
    </row>
    <row r="425" spans="1:29" ht="16.100000000000001" x14ac:dyDescent="0.35">
      <c r="A425"/>
      <c r="B425" s="44"/>
      <c r="C425" s="24"/>
      <c r="D425" s="24"/>
      <c r="E425" s="81" t="s">
        <v>187</v>
      </c>
      <c r="F425" s="28">
        <v>576.54</v>
      </c>
      <c r="G425" s="28">
        <v>568.9</v>
      </c>
      <c r="H425" s="28">
        <v>567.70000000000005</v>
      </c>
      <c r="I425" s="28">
        <v>577.80999999999995</v>
      </c>
      <c r="J425" s="28">
        <v>600.99</v>
      </c>
      <c r="K425" s="28">
        <v>587.62</v>
      </c>
      <c r="L425" s="28">
        <v>579.47</v>
      </c>
      <c r="M425" s="28">
        <v>564.52</v>
      </c>
      <c r="N425" s="28">
        <v>585.39</v>
      </c>
      <c r="O425" s="81"/>
      <c r="P425" s="81"/>
      <c r="Q425" s="82"/>
      <c r="R425" s="82"/>
      <c r="S425" s="178"/>
      <c r="T425" s="23"/>
      <c r="U425" s="179"/>
      <c r="X425" s="157"/>
      <c r="Y425" s="157"/>
      <c r="Z425" s="157"/>
      <c r="AA425" s="157"/>
    </row>
    <row r="426" spans="1:29" ht="38.25" customHeight="1" thickBot="1" x14ac:dyDescent="0.4">
      <c r="A426"/>
      <c r="B426" s="83"/>
      <c r="C426" s="84"/>
      <c r="D426" s="84"/>
      <c r="E426" s="85" t="s">
        <v>190</v>
      </c>
      <c r="F426" s="73">
        <f t="shared" ref="F426:N426" si="138">IF(((F424="")*AND(F425="")),"",(F424-F425)*3)</f>
        <v>2025.09</v>
      </c>
      <c r="G426" s="73">
        <f t="shared" si="138"/>
        <v>2051.2200000000003</v>
      </c>
      <c r="H426" s="73">
        <f t="shared" si="138"/>
        <v>2061.8999999999996</v>
      </c>
      <c r="I426" s="73">
        <f t="shared" si="138"/>
        <v>2038.44</v>
      </c>
      <c r="J426" s="73">
        <f t="shared" si="138"/>
        <v>1993.9500000000003</v>
      </c>
      <c r="K426" s="73">
        <f t="shared" si="138"/>
        <v>2008.98</v>
      </c>
      <c r="L426" s="73">
        <f t="shared" si="138"/>
        <v>2038.47</v>
      </c>
      <c r="M426" s="73">
        <f t="shared" si="138"/>
        <v>2063.16</v>
      </c>
      <c r="N426" s="73">
        <f t="shared" si="138"/>
        <v>2011.3199999999997</v>
      </c>
      <c r="O426" s="85"/>
      <c r="P426" s="85"/>
      <c r="Q426" s="86"/>
      <c r="R426" s="86"/>
      <c r="S426" s="181"/>
      <c r="T426" s="182"/>
      <c r="U426" s="183"/>
      <c r="X426" s="157"/>
      <c r="Y426" s="157"/>
      <c r="Z426" s="157"/>
      <c r="AA426" s="157"/>
    </row>
    <row r="427" spans="1:29" x14ac:dyDescent="0.25">
      <c r="A427" s="249">
        <v>43303</v>
      </c>
      <c r="B427" s="261" t="s">
        <v>185</v>
      </c>
      <c r="C427" s="59" t="s">
        <v>173</v>
      </c>
      <c r="D427" s="59" t="s">
        <v>172</v>
      </c>
      <c r="E427" s="61" t="s">
        <v>186</v>
      </c>
      <c r="F427" s="146">
        <v>24402.95</v>
      </c>
      <c r="G427" s="146">
        <v>24687.21</v>
      </c>
      <c r="H427" s="146">
        <v>24754.78</v>
      </c>
      <c r="I427" s="146">
        <v>24660</v>
      </c>
      <c r="J427" s="146">
        <v>24331.75</v>
      </c>
      <c r="K427" s="146">
        <v>24414.6</v>
      </c>
      <c r="L427" s="146">
        <v>24681.42</v>
      </c>
      <c r="M427" s="146">
        <v>24643.29</v>
      </c>
      <c r="N427" s="146">
        <v>24284.78</v>
      </c>
      <c r="O427" s="61">
        <f>IF((N428=""),"",MAX(F429:N429))</f>
        <v>4724.9699999999939</v>
      </c>
      <c r="P427" s="61">
        <f>IF(N428="","",MIN(F429:N429))</f>
        <v>4151.7599999999948</v>
      </c>
      <c r="Q427" s="62">
        <f>IF((N429=""),"",AVERAGE(F429:N429))</f>
        <v>4405.1566666666631</v>
      </c>
      <c r="R427" s="62">
        <f>IF((N428=""),"",(O427-P427)/(O427+P427)*100)</f>
        <v>6.4574454782335362</v>
      </c>
      <c r="S427" s="152">
        <f>STDEV(F429:N429)</f>
        <v>234.3638397876264</v>
      </c>
      <c r="T427" s="158" t="s">
        <v>201</v>
      </c>
      <c r="U427" s="159">
        <v>1335</v>
      </c>
      <c r="V427" s="212"/>
      <c r="W427" s="31"/>
      <c r="X427" s="155">
        <v>4200</v>
      </c>
      <c r="Y427" s="155">
        <v>5500</v>
      </c>
      <c r="Z427" s="155">
        <v>3200</v>
      </c>
      <c r="AA427" s="155">
        <v>5240</v>
      </c>
      <c r="AC427" s="51">
        <v>16</v>
      </c>
    </row>
    <row r="428" spans="1:29" ht="16.100000000000001" x14ac:dyDescent="0.35">
      <c r="A428"/>
      <c r="B428" s="44"/>
      <c r="C428" s="24"/>
      <c r="D428" s="24"/>
      <c r="E428" s="81" t="s">
        <v>187</v>
      </c>
      <c r="F428" s="28">
        <v>22848.59</v>
      </c>
      <c r="G428" s="28">
        <v>23270.04</v>
      </c>
      <c r="H428" s="28">
        <v>23370.86</v>
      </c>
      <c r="I428" s="28">
        <v>23255.55</v>
      </c>
      <c r="J428" s="28">
        <v>22785.18</v>
      </c>
      <c r="K428" s="28">
        <v>22896.45</v>
      </c>
      <c r="L428" s="28">
        <v>23286.2</v>
      </c>
      <c r="M428" s="28">
        <v>23222.65</v>
      </c>
      <c r="N428" s="28">
        <v>22709.79</v>
      </c>
      <c r="O428" s="81"/>
      <c r="P428" s="81"/>
      <c r="Q428" s="82"/>
      <c r="R428" s="82"/>
      <c r="S428" s="178"/>
      <c r="T428" s="23"/>
      <c r="U428" s="179"/>
      <c r="V428" s="212"/>
      <c r="W428" s="31"/>
      <c r="X428" s="157"/>
      <c r="Y428" s="157"/>
      <c r="Z428" s="157"/>
      <c r="AA428" s="157"/>
    </row>
    <row r="429" spans="1:29" ht="22.75" thickBot="1" x14ac:dyDescent="0.4">
      <c r="A429"/>
      <c r="B429" s="44"/>
      <c r="C429" s="24"/>
      <c r="D429" s="24"/>
      <c r="E429" s="81" t="s">
        <v>188</v>
      </c>
      <c r="F429" s="60">
        <f t="shared" ref="F429:N429" si="139">IF(((F427="")*AND(F428="")),"",(F427-F428)*3)</f>
        <v>4663.0800000000017</v>
      </c>
      <c r="G429" s="60">
        <f t="shared" si="139"/>
        <v>4251.5099999999948</v>
      </c>
      <c r="H429" s="60">
        <f t="shared" si="139"/>
        <v>4151.7599999999948</v>
      </c>
      <c r="I429" s="60">
        <f t="shared" si="139"/>
        <v>4213.3500000000022</v>
      </c>
      <c r="J429" s="60">
        <f t="shared" si="139"/>
        <v>4639.7099999999991</v>
      </c>
      <c r="K429" s="60">
        <f t="shared" si="139"/>
        <v>4554.4499999999935</v>
      </c>
      <c r="L429" s="60">
        <f t="shared" si="139"/>
        <v>4185.6599999999926</v>
      </c>
      <c r="M429" s="60">
        <f t="shared" si="139"/>
        <v>4261.9199999999983</v>
      </c>
      <c r="N429" s="60">
        <f t="shared" si="139"/>
        <v>4724.9699999999939</v>
      </c>
      <c r="O429" s="81"/>
      <c r="P429" s="81"/>
      <c r="Q429" s="82"/>
      <c r="R429" s="82"/>
      <c r="S429" s="178"/>
      <c r="T429" s="23"/>
      <c r="U429" s="179"/>
      <c r="V429" s="212"/>
      <c r="W429" s="31"/>
      <c r="X429" s="157"/>
      <c r="Y429" s="157"/>
      <c r="Z429" s="157"/>
      <c r="AA429" s="157"/>
    </row>
    <row r="430" spans="1:29" x14ac:dyDescent="0.25">
      <c r="A430" s="252">
        <v>43303</v>
      </c>
      <c r="B430" s="260" t="s">
        <v>174</v>
      </c>
      <c r="C430" s="24" t="s">
        <v>176</v>
      </c>
      <c r="D430" s="64" t="s">
        <v>175</v>
      </c>
      <c r="E430" s="81" t="s">
        <v>186</v>
      </c>
      <c r="F430" s="28">
        <v>6881.74</v>
      </c>
      <c r="G430" s="28">
        <v>6882.58</v>
      </c>
      <c r="H430" s="28">
        <v>6908.7</v>
      </c>
      <c r="I430" s="28">
        <v>6850.94</v>
      </c>
      <c r="J430" s="28">
        <v>6901.1</v>
      </c>
      <c r="K430" s="28">
        <v>6848.49</v>
      </c>
      <c r="L430" s="28">
        <v>6855.21</v>
      </c>
      <c r="M430" s="28">
        <v>6891</v>
      </c>
      <c r="N430" s="28">
        <v>6955.99</v>
      </c>
      <c r="O430" s="81">
        <f>IF((N431=""),"",MAX(F432:N432))</f>
        <v>4007.6200000000008</v>
      </c>
      <c r="P430" s="81">
        <f>IF(N431="","",MIN(F432:N432))</f>
        <v>3649.3199999999997</v>
      </c>
      <c r="Q430" s="82">
        <f>IF((N432=""),"",AVERAGE(F432:N432))</f>
        <v>3880.3199999999997</v>
      </c>
      <c r="R430" s="82">
        <f>IF((N431=""),"",(O430-P430)/(O430+P430)*100)</f>
        <v>4.6794150143530064</v>
      </c>
      <c r="S430" s="152">
        <f>STDEV(F432:N432)</f>
        <v>123.55814946817542</v>
      </c>
      <c r="T430" s="23" t="s">
        <v>202</v>
      </c>
      <c r="U430" s="179">
        <v>1335</v>
      </c>
      <c r="V430" s="212"/>
      <c r="W430" s="31"/>
      <c r="X430" s="155">
        <v>3650</v>
      </c>
      <c r="Y430" s="155">
        <v>4450</v>
      </c>
      <c r="Z430" s="155">
        <v>3700</v>
      </c>
      <c r="AA430" s="155">
        <v>4100</v>
      </c>
      <c r="AB430" s="51">
        <v>7</v>
      </c>
      <c r="AC430" s="51">
        <v>6.5</v>
      </c>
    </row>
    <row r="431" spans="1:29" ht="16.100000000000001" x14ac:dyDescent="0.35">
      <c r="A431"/>
      <c r="B431" s="44"/>
      <c r="C431" s="24"/>
      <c r="D431" s="24"/>
      <c r="E431" s="81" t="s">
        <v>187</v>
      </c>
      <c r="F431" s="28">
        <v>4985</v>
      </c>
      <c r="G431" s="28">
        <v>4899.9399999999996</v>
      </c>
      <c r="H431" s="28">
        <v>4907.63</v>
      </c>
      <c r="I431" s="28">
        <v>4879.01</v>
      </c>
      <c r="J431" s="28">
        <v>5024.1899999999996</v>
      </c>
      <c r="K431" s="28">
        <v>5023.83</v>
      </c>
      <c r="L431" s="28">
        <v>4888.22</v>
      </c>
      <c r="M431" s="28">
        <v>4887.1899999999996</v>
      </c>
      <c r="N431" s="28">
        <v>5019.3</v>
      </c>
      <c r="O431" s="81"/>
      <c r="P431" s="81"/>
      <c r="Q431" s="82"/>
      <c r="R431" s="82"/>
      <c r="S431" s="178"/>
      <c r="T431" s="23"/>
      <c r="U431" s="179"/>
      <c r="V431" s="212"/>
      <c r="W431" s="31"/>
      <c r="X431" s="157"/>
      <c r="Y431" s="157"/>
      <c r="Z431" s="157"/>
      <c r="AA431" s="157"/>
    </row>
    <row r="432" spans="1:29" ht="22.15" x14ac:dyDescent="0.35">
      <c r="A432"/>
      <c r="B432" s="44"/>
      <c r="C432" s="24"/>
      <c r="D432" s="24"/>
      <c r="E432" s="81" t="s">
        <v>188</v>
      </c>
      <c r="F432" s="60">
        <f t="shared" ref="F432:N432" si="140">IF(((F430="")*AND(F431="")),"",(F430-F431)*2)</f>
        <v>3793.4799999999996</v>
      </c>
      <c r="G432" s="60">
        <f t="shared" si="140"/>
        <v>3965.2800000000007</v>
      </c>
      <c r="H432" s="60">
        <f t="shared" si="140"/>
        <v>4002.1399999999994</v>
      </c>
      <c r="I432" s="60">
        <f t="shared" si="140"/>
        <v>3943.8599999999988</v>
      </c>
      <c r="J432" s="60">
        <f t="shared" si="140"/>
        <v>3753.8200000000015</v>
      </c>
      <c r="K432" s="60">
        <f t="shared" si="140"/>
        <v>3649.3199999999997</v>
      </c>
      <c r="L432" s="60">
        <f t="shared" si="140"/>
        <v>3933.9799999999996</v>
      </c>
      <c r="M432" s="60">
        <f t="shared" si="140"/>
        <v>4007.6200000000008</v>
      </c>
      <c r="N432" s="60">
        <f t="shared" si="140"/>
        <v>3873.3799999999992</v>
      </c>
      <c r="O432" s="81"/>
      <c r="P432" s="81"/>
      <c r="Q432" s="82"/>
      <c r="R432" s="82"/>
      <c r="S432" s="178"/>
      <c r="T432" s="23"/>
      <c r="U432" s="179"/>
      <c r="V432" s="212"/>
      <c r="W432" s="31"/>
      <c r="X432" s="157"/>
      <c r="Y432" s="157"/>
      <c r="Z432" s="157"/>
      <c r="AA432" s="157"/>
    </row>
    <row r="433" spans="1:29" x14ac:dyDescent="0.25">
      <c r="A433" s="252">
        <v>43303</v>
      </c>
      <c r="B433" s="257" t="s">
        <v>169</v>
      </c>
      <c r="C433" s="24" t="s">
        <v>171</v>
      </c>
      <c r="D433" s="24" t="s">
        <v>189</v>
      </c>
      <c r="E433" s="81" t="s">
        <v>186</v>
      </c>
      <c r="F433" s="28">
        <v>1145.58</v>
      </c>
      <c r="G433" s="28">
        <v>1216.2</v>
      </c>
      <c r="H433" s="28">
        <v>1255.3699999999999</v>
      </c>
      <c r="I433" s="28">
        <v>1239.97</v>
      </c>
      <c r="J433" s="28">
        <v>1185.73</v>
      </c>
      <c r="K433" s="28">
        <v>1183.02</v>
      </c>
      <c r="L433" s="28">
        <v>1230.5999999999999</v>
      </c>
      <c r="M433" s="28">
        <v>1227.44</v>
      </c>
      <c r="N433" s="28">
        <v>1157.48</v>
      </c>
      <c r="O433" s="81">
        <f>IF((N434=""),"",MAX(F435:N435))</f>
        <v>2172.4499999999998</v>
      </c>
      <c r="P433" s="81">
        <f>IF(N434="","",MIN(F435:N435))</f>
        <v>1959.69</v>
      </c>
      <c r="Q433" s="82">
        <f>IF((N435=""),"",AVERAGE(F435:N435))</f>
        <v>2060.21</v>
      </c>
      <c r="R433" s="82">
        <f>IF((N434=""),"",(O433-P433)/(O433+P433)*100)</f>
        <v>5.1489058937983661</v>
      </c>
      <c r="S433" s="152">
        <f>STDEV(F435:N435)</f>
        <v>60.2176396498567</v>
      </c>
      <c r="T433" s="23" t="s">
        <v>201</v>
      </c>
      <c r="U433" s="179">
        <v>1335</v>
      </c>
      <c r="V433" s="212"/>
      <c r="W433" s="31"/>
      <c r="X433" s="155">
        <v>2000</v>
      </c>
      <c r="Y433" s="155">
        <v>3000</v>
      </c>
      <c r="Z433" s="155">
        <v>1940</v>
      </c>
      <c r="AA433" s="155">
        <v>2180</v>
      </c>
      <c r="AC433" s="51">
        <v>5.2</v>
      </c>
    </row>
    <row r="434" spans="1:29" ht="16.100000000000001" x14ac:dyDescent="0.35">
      <c r="A434"/>
      <c r="B434" s="44"/>
      <c r="C434" s="24"/>
      <c r="D434" s="24"/>
      <c r="E434" s="81" t="s">
        <v>187</v>
      </c>
      <c r="F434" s="28">
        <v>469.56</v>
      </c>
      <c r="G434" s="28">
        <v>539.44000000000005</v>
      </c>
      <c r="H434" s="28">
        <v>567.23</v>
      </c>
      <c r="I434" s="28">
        <v>541.66999999999996</v>
      </c>
      <c r="J434" s="28">
        <v>504.72</v>
      </c>
      <c r="K434" s="28">
        <v>458.87</v>
      </c>
      <c r="L434" s="28">
        <v>527.41999999999996</v>
      </c>
      <c r="M434" s="28">
        <v>547.6</v>
      </c>
      <c r="N434" s="28">
        <v>504.25</v>
      </c>
      <c r="O434" s="81"/>
      <c r="P434" s="81"/>
      <c r="Q434" s="82"/>
      <c r="R434" s="82"/>
      <c r="S434" s="178"/>
      <c r="T434" s="23"/>
      <c r="U434" s="179"/>
      <c r="V434" s="212"/>
      <c r="W434" s="31"/>
      <c r="X434" s="157"/>
      <c r="Y434" s="157"/>
      <c r="Z434" s="157"/>
      <c r="AA434" s="157"/>
    </row>
    <row r="435" spans="1:29" ht="32.299999999999997" customHeight="1" thickBot="1" x14ac:dyDescent="0.4">
      <c r="A435"/>
      <c r="B435" s="83"/>
      <c r="C435" s="84"/>
      <c r="D435" s="84"/>
      <c r="E435" s="85" t="s">
        <v>190</v>
      </c>
      <c r="F435" s="73">
        <f t="shared" ref="F435:N435" si="141">IF(((F433="")*AND(F434="")),"",(F433-F434)*3)</f>
        <v>2028.06</v>
      </c>
      <c r="G435" s="73">
        <f t="shared" si="141"/>
        <v>2030.28</v>
      </c>
      <c r="H435" s="73">
        <f t="shared" si="141"/>
        <v>2064.4199999999996</v>
      </c>
      <c r="I435" s="73">
        <f t="shared" si="141"/>
        <v>2094.9</v>
      </c>
      <c r="J435" s="73">
        <f t="shared" si="141"/>
        <v>2043.03</v>
      </c>
      <c r="K435" s="73">
        <f t="shared" si="141"/>
        <v>2172.4499999999998</v>
      </c>
      <c r="L435" s="73">
        <f t="shared" si="141"/>
        <v>2109.54</v>
      </c>
      <c r="M435" s="73">
        <f t="shared" si="141"/>
        <v>2039.52</v>
      </c>
      <c r="N435" s="73">
        <f t="shared" si="141"/>
        <v>1959.69</v>
      </c>
      <c r="O435" s="85"/>
      <c r="P435" s="85"/>
      <c r="Q435" s="86"/>
      <c r="R435" s="86"/>
      <c r="S435" s="181"/>
      <c r="T435" s="182"/>
      <c r="U435" s="183"/>
      <c r="V435" s="212"/>
      <c r="W435" s="31"/>
      <c r="X435" s="157"/>
      <c r="Y435" s="157"/>
      <c r="Z435" s="157"/>
      <c r="AA435" s="157"/>
    </row>
    <row r="436" spans="1:29" x14ac:dyDescent="0.25">
      <c r="A436" s="249">
        <v>43307</v>
      </c>
      <c r="B436" s="261" t="s">
        <v>185</v>
      </c>
      <c r="C436" s="59" t="s">
        <v>173</v>
      </c>
      <c r="D436" s="59" t="s">
        <v>172</v>
      </c>
      <c r="E436" s="61" t="s">
        <v>186</v>
      </c>
      <c r="F436" s="146">
        <v>29271.35</v>
      </c>
      <c r="G436" s="146">
        <v>29200.07</v>
      </c>
      <c r="H436" s="146">
        <v>29222.17</v>
      </c>
      <c r="I436" s="146">
        <v>29224.16</v>
      </c>
      <c r="J436" s="146">
        <v>29306.91</v>
      </c>
      <c r="K436" s="146">
        <v>29315.94</v>
      </c>
      <c r="L436" s="146">
        <v>29223.67</v>
      </c>
      <c r="M436" s="146">
        <v>29194.87</v>
      </c>
      <c r="N436" s="146">
        <v>29282.44</v>
      </c>
      <c r="O436" s="61">
        <f>IF((N437=""),"",MAX(F438:N438))</f>
        <v>4547.9399999999987</v>
      </c>
      <c r="P436" s="61">
        <f>IF(N437="","",MIN(F438:N438))</f>
        <v>4124.6999999999935</v>
      </c>
      <c r="Q436" s="62">
        <f>IF((N438=""),"",AVERAGE(F438:N438))</f>
        <v>4312.1499999999978</v>
      </c>
      <c r="R436" s="62">
        <f>IF((N437=""),"",(O436-P436)/(O436+P436)*100)</f>
        <v>4.8801748948417742</v>
      </c>
      <c r="S436" s="152">
        <f>STDEV(F438:N438)</f>
        <v>167.9274801067418</v>
      </c>
      <c r="T436" s="158" t="str">
        <f>IF(N437="","",IF(R436&lt;16,IF(Q436&gt;3200,IF(R436,IF(Q436&lt;5240,"Pass","Fail"),"Fail"),"Fail")))</f>
        <v>Pass</v>
      </c>
      <c r="U436" s="159">
        <v>1340</v>
      </c>
      <c r="V436" s="212"/>
      <c r="W436" s="31"/>
      <c r="X436" s="155">
        <v>4200</v>
      </c>
      <c r="Y436" s="155">
        <v>5500</v>
      </c>
      <c r="Z436" s="155">
        <v>3200</v>
      </c>
      <c r="AA436" s="155">
        <v>5240</v>
      </c>
      <c r="AC436" s="51">
        <v>16</v>
      </c>
    </row>
    <row r="437" spans="1:29" ht="16.100000000000001" x14ac:dyDescent="0.35">
      <c r="A437"/>
      <c r="B437" s="44"/>
      <c r="C437" s="24"/>
      <c r="D437" s="24"/>
      <c r="E437" s="81" t="s">
        <v>187</v>
      </c>
      <c r="F437" s="28">
        <v>27792.52</v>
      </c>
      <c r="G437" s="28">
        <v>27815.26</v>
      </c>
      <c r="H437" s="28">
        <v>27847.27</v>
      </c>
      <c r="I437" s="28">
        <v>27816.7</v>
      </c>
      <c r="J437" s="28">
        <v>27800.28</v>
      </c>
      <c r="K437" s="28">
        <v>27843.360000000001</v>
      </c>
      <c r="L437" s="28">
        <v>27840.41</v>
      </c>
      <c r="M437" s="28">
        <v>27782.87</v>
      </c>
      <c r="N437" s="28">
        <v>27766.46</v>
      </c>
      <c r="O437" s="81"/>
      <c r="P437" s="81"/>
      <c r="Q437" s="82"/>
      <c r="R437" s="82"/>
      <c r="S437" s="178"/>
      <c r="T437" s="23"/>
      <c r="U437" s="179"/>
      <c r="V437" s="212"/>
      <c r="W437" s="31"/>
      <c r="X437" s="157"/>
      <c r="Y437" s="157"/>
      <c r="Z437" s="157"/>
      <c r="AA437" s="157"/>
    </row>
    <row r="438" spans="1:29" ht="22.75" thickBot="1" x14ac:dyDescent="0.4">
      <c r="A438"/>
      <c r="B438" s="44"/>
      <c r="C438" s="24"/>
      <c r="D438" s="24"/>
      <c r="E438" s="81" t="s">
        <v>188</v>
      </c>
      <c r="F438" s="60">
        <f t="shared" ref="F438:N438" si="142">IF(((F436="")*AND(F437="")),"",(F436-F437)*3)</f>
        <v>4436.4899999999943</v>
      </c>
      <c r="G438" s="60">
        <f t="shared" si="142"/>
        <v>4154.4300000000039</v>
      </c>
      <c r="H438" s="60">
        <f t="shared" si="142"/>
        <v>4124.6999999999935</v>
      </c>
      <c r="I438" s="60">
        <f t="shared" si="142"/>
        <v>4222.3799999999974</v>
      </c>
      <c r="J438" s="60">
        <f t="shared" si="142"/>
        <v>4519.8900000000031</v>
      </c>
      <c r="K438" s="60">
        <f t="shared" si="142"/>
        <v>4417.7399999999943</v>
      </c>
      <c r="L438" s="60">
        <f t="shared" si="142"/>
        <v>4149.7799999999952</v>
      </c>
      <c r="M438" s="60">
        <f t="shared" si="142"/>
        <v>4236</v>
      </c>
      <c r="N438" s="60">
        <f t="shared" si="142"/>
        <v>4547.9399999999987</v>
      </c>
      <c r="O438" s="81"/>
      <c r="P438" s="81"/>
      <c r="Q438" s="82"/>
      <c r="R438" s="82"/>
      <c r="S438" s="178"/>
      <c r="T438" s="23"/>
      <c r="U438" s="179"/>
      <c r="V438" s="212"/>
      <c r="W438" s="31"/>
      <c r="X438" s="157"/>
      <c r="Y438" s="157"/>
      <c r="Z438" s="157"/>
      <c r="AA438" s="157"/>
    </row>
    <row r="439" spans="1:29" x14ac:dyDescent="0.25">
      <c r="A439" s="252">
        <v>43307</v>
      </c>
      <c r="B439" s="260" t="s">
        <v>174</v>
      </c>
      <c r="C439" s="24" t="s">
        <v>176</v>
      </c>
      <c r="D439" s="64" t="s">
        <v>175</v>
      </c>
      <c r="E439" s="81" t="s">
        <v>186</v>
      </c>
      <c r="F439" s="28">
        <v>4985</v>
      </c>
      <c r="G439" s="28">
        <v>4899.9399999999996</v>
      </c>
      <c r="H439" s="28">
        <v>4907.63</v>
      </c>
      <c r="I439" s="28">
        <v>4879.01</v>
      </c>
      <c r="J439" s="28">
        <v>5024.1899999999996</v>
      </c>
      <c r="K439" s="28">
        <v>5023.83</v>
      </c>
      <c r="L439" s="28">
        <v>4888.22</v>
      </c>
      <c r="M439" s="28">
        <v>4887.1899999999996</v>
      </c>
      <c r="N439" s="28">
        <v>5019.3</v>
      </c>
      <c r="O439" s="81">
        <f>IF((N440=""),"",MAX(F441:N441))</f>
        <v>4008.3799999999992</v>
      </c>
      <c r="P439" s="81">
        <f>IF(N440="","",MIN(F441:N441))</f>
        <v>3648.74</v>
      </c>
      <c r="Q439" s="82">
        <f>IF((N441=""),"",AVERAGE(F441:N441))</f>
        <v>3875.3399999999997</v>
      </c>
      <c r="R439" s="82">
        <f>IF((N440=""),"",(O439-P439)/(O439+P439)*100)</f>
        <v>4.6968050650897393</v>
      </c>
      <c r="S439" s="152">
        <f>STDEV(F441:N441)</f>
        <v>123.3293630892498</v>
      </c>
      <c r="T439" s="23" t="str">
        <f>IF(N440="","",IF(Q439&gt;3650,IF(R439&lt;7,IF(Q439&lt;4450,"Pass","Fail"),"Fail"),"Fail"))</f>
        <v>Pass</v>
      </c>
      <c r="U439" s="179">
        <v>1340</v>
      </c>
      <c r="V439" s="212"/>
      <c r="W439" s="31"/>
      <c r="X439" s="155">
        <v>3650</v>
      </c>
      <c r="Y439" s="155">
        <v>4450</v>
      </c>
      <c r="Z439" s="155">
        <v>3700</v>
      </c>
      <c r="AA439" s="155">
        <v>4100</v>
      </c>
      <c r="AB439" s="51">
        <v>7</v>
      </c>
      <c r="AC439" s="51">
        <v>6.5</v>
      </c>
    </row>
    <row r="440" spans="1:29" ht="16.100000000000001" x14ac:dyDescent="0.35">
      <c r="A440"/>
      <c r="B440" s="44"/>
      <c r="C440" s="24"/>
      <c r="D440" s="24"/>
      <c r="E440" s="81" t="s">
        <v>187</v>
      </c>
      <c r="F440" s="28">
        <v>3099.21</v>
      </c>
      <c r="G440" s="28">
        <v>2923.12</v>
      </c>
      <c r="H440" s="28">
        <v>2911.09</v>
      </c>
      <c r="I440" s="28">
        <v>2904.72</v>
      </c>
      <c r="J440" s="28">
        <v>3144.49</v>
      </c>
      <c r="K440" s="28">
        <v>3199.46</v>
      </c>
      <c r="L440" s="28">
        <v>2923.35</v>
      </c>
      <c r="M440" s="28">
        <v>2883</v>
      </c>
      <c r="N440" s="28">
        <v>3086.84</v>
      </c>
      <c r="O440" s="81"/>
      <c r="P440" s="81"/>
      <c r="Q440" s="82"/>
      <c r="R440" s="82"/>
      <c r="S440" s="178"/>
      <c r="T440" s="23"/>
      <c r="U440" s="179"/>
      <c r="V440" s="212"/>
      <c r="W440" s="31"/>
      <c r="X440" s="157"/>
      <c r="Y440" s="157"/>
      <c r="Z440" s="157"/>
      <c r="AA440" s="157"/>
    </row>
    <row r="441" spans="1:29" ht="22.15" x14ac:dyDescent="0.35">
      <c r="A441"/>
      <c r="B441" s="44"/>
      <c r="C441" s="24"/>
      <c r="D441" s="24"/>
      <c r="E441" s="81" t="s">
        <v>188</v>
      </c>
      <c r="F441" s="60">
        <f t="shared" ref="F441:N441" si="143">IF(((F439="")*AND(F440="")),"",(F439-F440)*2)</f>
        <v>3771.58</v>
      </c>
      <c r="G441" s="60">
        <f t="shared" si="143"/>
        <v>3953.6399999999994</v>
      </c>
      <c r="H441" s="60">
        <f t="shared" si="143"/>
        <v>3993.08</v>
      </c>
      <c r="I441" s="60">
        <f t="shared" si="143"/>
        <v>3948.5800000000008</v>
      </c>
      <c r="J441" s="60">
        <f t="shared" si="143"/>
        <v>3759.3999999999996</v>
      </c>
      <c r="K441" s="60">
        <f t="shared" si="143"/>
        <v>3648.74</v>
      </c>
      <c r="L441" s="60">
        <f t="shared" si="143"/>
        <v>3929.7400000000007</v>
      </c>
      <c r="M441" s="60">
        <f t="shared" si="143"/>
        <v>4008.3799999999992</v>
      </c>
      <c r="N441" s="60">
        <f t="shared" si="143"/>
        <v>3864.92</v>
      </c>
      <c r="O441" s="81"/>
      <c r="P441" s="81"/>
      <c r="Q441" s="82"/>
      <c r="R441" s="82"/>
      <c r="S441" s="178"/>
      <c r="T441" s="23"/>
      <c r="U441" s="179"/>
      <c r="V441" s="212"/>
      <c r="W441" s="31"/>
      <c r="X441" s="157"/>
      <c r="Y441" s="157"/>
      <c r="Z441" s="157"/>
      <c r="AA441" s="157"/>
    </row>
    <row r="442" spans="1:29" x14ac:dyDescent="0.25">
      <c r="A442" s="252">
        <v>43307</v>
      </c>
      <c r="B442" s="257" t="s">
        <v>169</v>
      </c>
      <c r="C442" s="24" t="s">
        <v>171</v>
      </c>
      <c r="D442" s="24" t="s">
        <v>189</v>
      </c>
      <c r="E442" s="81" t="s">
        <v>186</v>
      </c>
      <c r="F442" s="28">
        <v>1931.66</v>
      </c>
      <c r="G442" s="28">
        <v>1927.42</v>
      </c>
      <c r="H442" s="28">
        <v>1923.5</v>
      </c>
      <c r="I442" s="28">
        <v>1927.79</v>
      </c>
      <c r="J442" s="28">
        <v>1933.12</v>
      </c>
      <c r="K442" s="28">
        <v>1933.4</v>
      </c>
      <c r="L442" s="28">
        <v>1926.11</v>
      </c>
      <c r="M442" s="28">
        <v>1929.08</v>
      </c>
      <c r="N442" s="28">
        <v>1931.97</v>
      </c>
      <c r="O442" s="81">
        <f>IF((N443=""),"",MAX(F444:N444))</f>
        <v>2042.28</v>
      </c>
      <c r="P442" s="81">
        <f>IF(N443="","",MIN(F444:N444))</f>
        <v>1961.1899999999994</v>
      </c>
      <c r="Q442" s="82">
        <f>IF((N444=""),"",AVERAGE(F444:N444))</f>
        <v>2005.6266666666666</v>
      </c>
      <c r="R442" s="82">
        <f>IF((N443=""),"",(O442-P442)/(O442+P442)*100)</f>
        <v>2.025492884922345</v>
      </c>
      <c r="S442" s="152">
        <f>STDEV(F444:N444)</f>
        <v>24.625549740056641</v>
      </c>
      <c r="T442" s="23" t="str">
        <f>IF(N443="","",IF(Q442&gt;1940,IF(R442&lt;8.3,IF(Q442&lt;2180,"Pass","Fail"),"Fail"),"Fail"))</f>
        <v>Pass</v>
      </c>
      <c r="U442" s="179">
        <v>1340</v>
      </c>
      <c r="V442" s="212"/>
      <c r="W442" s="31"/>
      <c r="X442" s="155">
        <v>2000</v>
      </c>
      <c r="Y442" s="155">
        <v>3000</v>
      </c>
      <c r="Z442" s="155">
        <v>1940</v>
      </c>
      <c r="AA442" s="155">
        <v>2180</v>
      </c>
      <c r="AC442" s="51">
        <v>5.2</v>
      </c>
    </row>
    <row r="443" spans="1:29" ht="16.100000000000001" x14ac:dyDescent="0.35">
      <c r="A443"/>
      <c r="B443" s="44"/>
      <c r="C443" s="24"/>
      <c r="D443" s="24"/>
      <c r="E443" s="81" t="s">
        <v>187</v>
      </c>
      <c r="F443" s="28">
        <v>1263.6600000000001</v>
      </c>
      <c r="G443" s="28">
        <v>1252.92</v>
      </c>
      <c r="H443" s="28">
        <v>1254.26</v>
      </c>
      <c r="I443" s="28">
        <v>1253.07</v>
      </c>
      <c r="J443" s="28">
        <v>1279.3900000000001</v>
      </c>
      <c r="K443" s="28">
        <v>1271.49</v>
      </c>
      <c r="L443" s="28">
        <v>1254.24</v>
      </c>
      <c r="M443" s="28">
        <v>1248.32</v>
      </c>
      <c r="N443" s="28">
        <v>1269.82</v>
      </c>
      <c r="O443" s="81"/>
      <c r="P443" s="81"/>
      <c r="Q443" s="82"/>
      <c r="R443" s="82"/>
      <c r="S443" s="178"/>
      <c r="T443" s="23"/>
      <c r="U443" s="179"/>
      <c r="V443" s="212"/>
      <c r="W443" s="31"/>
      <c r="X443" s="157"/>
      <c r="Y443" s="157"/>
      <c r="Z443" s="157"/>
      <c r="AA443" s="157"/>
    </row>
    <row r="444" spans="1:29" ht="16.649999999999999" thickBot="1" x14ac:dyDescent="0.4">
      <c r="A444"/>
      <c r="B444" s="83"/>
      <c r="C444" s="84"/>
      <c r="D444" s="84"/>
      <c r="E444" s="85" t="s">
        <v>190</v>
      </c>
      <c r="F444" s="73">
        <f t="shared" ref="F444:N444" si="144">IF(((F442="")*AND(F443="")),"",(F442-F443)*3)</f>
        <v>2004</v>
      </c>
      <c r="G444" s="73">
        <f t="shared" si="144"/>
        <v>2023.5</v>
      </c>
      <c r="H444" s="73">
        <f t="shared" si="144"/>
        <v>2007.72</v>
      </c>
      <c r="I444" s="73">
        <f t="shared" si="144"/>
        <v>2024.16</v>
      </c>
      <c r="J444" s="73">
        <f t="shared" si="144"/>
        <v>1961.1899999999994</v>
      </c>
      <c r="K444" s="73">
        <f t="shared" si="144"/>
        <v>1985.7300000000002</v>
      </c>
      <c r="L444" s="73">
        <f t="shared" si="144"/>
        <v>2015.6099999999997</v>
      </c>
      <c r="M444" s="73">
        <f t="shared" si="144"/>
        <v>2042.28</v>
      </c>
      <c r="N444" s="73">
        <f t="shared" si="144"/>
        <v>1986.4500000000003</v>
      </c>
      <c r="O444" s="85"/>
      <c r="P444" s="85"/>
      <c r="Q444" s="86"/>
      <c r="R444" s="86"/>
      <c r="S444" s="181"/>
      <c r="T444" s="182"/>
      <c r="U444" s="183"/>
      <c r="V444" s="212"/>
      <c r="W444" s="31"/>
      <c r="X444" s="157"/>
      <c r="Y444" s="157"/>
      <c r="Z444" s="157"/>
      <c r="AA444" s="157"/>
    </row>
    <row r="445" spans="1:29" x14ac:dyDescent="0.25">
      <c r="A445" s="249">
        <v>43311</v>
      </c>
      <c r="B445" s="261" t="s">
        <v>174</v>
      </c>
      <c r="C445" s="59" t="s">
        <v>176</v>
      </c>
      <c r="D445" s="64" t="s">
        <v>175</v>
      </c>
      <c r="E445" s="61" t="s">
        <v>186</v>
      </c>
      <c r="F445" s="146">
        <v>3099.21</v>
      </c>
      <c r="G445" s="146">
        <v>2923.12</v>
      </c>
      <c r="H445" s="146">
        <v>2911.09</v>
      </c>
      <c r="I445" s="146">
        <v>2904.72</v>
      </c>
      <c r="J445" s="146">
        <v>3144.49</v>
      </c>
      <c r="K445" s="146">
        <v>3199.46</v>
      </c>
      <c r="L445" s="146">
        <v>2923.35</v>
      </c>
      <c r="M445" s="146">
        <v>2883</v>
      </c>
      <c r="N445" s="146">
        <v>3086.84</v>
      </c>
      <c r="O445" s="61">
        <f>IF((N446=""),"",MAX(F447:N447))</f>
        <v>4039.02</v>
      </c>
      <c r="P445" s="61">
        <f>IF(N446="","",MIN(F447:N447))</f>
        <v>3696.2200000000003</v>
      </c>
      <c r="Q445" s="62">
        <f>IF((N447=""),"",AVERAGE(F447:N447))</f>
        <v>3915.3200000000006</v>
      </c>
      <c r="R445" s="62">
        <f>IF((N446=""),"",(O445-P445)/(O445+P445)*100)</f>
        <v>4.4316659858000493</v>
      </c>
      <c r="S445" s="152">
        <f>STDEV(F447:N447)</f>
        <v>118.76184783001648</v>
      </c>
      <c r="T445" s="158" t="str">
        <f>IF(N446="","",IF(Q445&gt;3650,IF(R445&lt;7,IF(Q445&lt;4450,"Pass","Fail"),"Fail"),"Fail"))</f>
        <v>Pass</v>
      </c>
      <c r="U445" s="184">
        <v>1340</v>
      </c>
      <c r="V445" s="166"/>
      <c r="W445" s="31"/>
      <c r="X445" s="155">
        <v>3650</v>
      </c>
      <c r="Y445" s="155">
        <v>4450</v>
      </c>
      <c r="Z445" s="155">
        <v>3700</v>
      </c>
      <c r="AA445" s="155">
        <v>4100</v>
      </c>
      <c r="AB445" s="51">
        <v>7</v>
      </c>
      <c r="AC445" s="51">
        <v>6.5</v>
      </c>
    </row>
    <row r="446" spans="1:29" ht="16.100000000000001" x14ac:dyDescent="0.35">
      <c r="A446"/>
      <c r="B446" s="44"/>
      <c r="C446" s="24"/>
      <c r="D446" s="24"/>
      <c r="E446" s="81" t="s">
        <v>187</v>
      </c>
      <c r="F446" s="28">
        <v>1194.25</v>
      </c>
      <c r="G446" s="28">
        <v>927.99</v>
      </c>
      <c r="H446" s="28">
        <v>894.3</v>
      </c>
      <c r="I446" s="28">
        <v>911.5</v>
      </c>
      <c r="J446" s="28">
        <v>1238.04</v>
      </c>
      <c r="K446" s="28">
        <v>1351.35</v>
      </c>
      <c r="L446" s="28">
        <v>938.24</v>
      </c>
      <c r="M446" s="28">
        <v>863.49</v>
      </c>
      <c r="N446" s="28">
        <v>1137.18</v>
      </c>
      <c r="O446" s="81"/>
      <c r="P446" s="81"/>
      <c r="Q446" s="82"/>
      <c r="R446" s="82"/>
      <c r="S446" s="178"/>
      <c r="T446" s="28"/>
      <c r="U446" s="185"/>
      <c r="V446" s="166"/>
      <c r="W446" s="31"/>
      <c r="X446" s="157"/>
      <c r="Y446" s="157"/>
      <c r="Z446" s="157"/>
      <c r="AA446" s="157"/>
    </row>
    <row r="447" spans="1:29" ht="22.15" x14ac:dyDescent="0.35">
      <c r="A447"/>
      <c r="B447" s="44"/>
      <c r="C447" s="24"/>
      <c r="D447" s="24"/>
      <c r="E447" s="81" t="s">
        <v>188</v>
      </c>
      <c r="F447" s="60">
        <f t="shared" ref="F447:N447" si="145">IF(((F445="")*AND(F446="")),"",(F445-F446)*2)</f>
        <v>3809.92</v>
      </c>
      <c r="G447" s="60">
        <f t="shared" si="145"/>
        <v>3990.2599999999998</v>
      </c>
      <c r="H447" s="60">
        <f t="shared" si="145"/>
        <v>4033.5800000000004</v>
      </c>
      <c r="I447" s="60">
        <f t="shared" si="145"/>
        <v>3986.4399999999996</v>
      </c>
      <c r="J447" s="60">
        <f t="shared" si="145"/>
        <v>3812.8999999999996</v>
      </c>
      <c r="K447" s="60">
        <f t="shared" si="145"/>
        <v>3696.2200000000003</v>
      </c>
      <c r="L447" s="60">
        <f t="shared" si="145"/>
        <v>3970.22</v>
      </c>
      <c r="M447" s="60">
        <f t="shared" si="145"/>
        <v>4039.02</v>
      </c>
      <c r="N447" s="60">
        <f t="shared" si="145"/>
        <v>3899.32</v>
      </c>
      <c r="O447" s="81"/>
      <c r="P447" s="81"/>
      <c r="Q447" s="82"/>
      <c r="R447" s="82"/>
      <c r="S447" s="178"/>
      <c r="T447" s="28"/>
      <c r="U447" s="185"/>
      <c r="V447" s="166"/>
      <c r="W447" s="31"/>
      <c r="X447" s="157"/>
      <c r="Y447" s="157"/>
      <c r="Z447" s="157"/>
      <c r="AA447" s="157"/>
    </row>
    <row r="448" spans="1:29" x14ac:dyDescent="0.25">
      <c r="A448" s="252">
        <v>43311</v>
      </c>
      <c r="B448" s="257" t="s">
        <v>169</v>
      </c>
      <c r="C448" s="24" t="s">
        <v>171</v>
      </c>
      <c r="D448" s="24" t="s">
        <v>189</v>
      </c>
      <c r="E448" s="81" t="s">
        <v>186</v>
      </c>
      <c r="F448" s="28">
        <v>1263.6600000000001</v>
      </c>
      <c r="G448" s="28">
        <v>1252.92</v>
      </c>
      <c r="H448" s="28">
        <v>1254.26</v>
      </c>
      <c r="I448" s="28">
        <v>1253.07</v>
      </c>
      <c r="J448" s="28">
        <v>1279.3900000000001</v>
      </c>
      <c r="K448" s="28">
        <v>1271.49</v>
      </c>
      <c r="L448" s="28">
        <v>1254.24</v>
      </c>
      <c r="M448" s="28">
        <v>1248.32</v>
      </c>
      <c r="N448" s="28">
        <v>1269.82</v>
      </c>
      <c r="O448" s="81">
        <f>IF((N449=""),"",MAX(F450:N450))</f>
        <v>2063.25</v>
      </c>
      <c r="P448" s="81">
        <f>IF(N449="","",MIN(F450:N450))</f>
        <v>1974.0300000000002</v>
      </c>
      <c r="Q448" s="82">
        <f>IF((N450=""),"",AVERAGE(F450:N450))</f>
        <v>2025.5033333333336</v>
      </c>
      <c r="R448" s="82">
        <f>IF((N449=""),"",(O448-P448)/(O448+P448)*100)</f>
        <v>2.2099036975389321</v>
      </c>
      <c r="S448" s="152">
        <f>STDEV(F450:N450)</f>
        <v>32.737378102102106</v>
      </c>
      <c r="T448" s="23" t="str">
        <f>IF(N449="","",IF(Q448&gt;1940,IF(R448&lt;8.3,IF(Q448&lt;2180,"Pass","Fail"),"Fail"),"Fail"))</f>
        <v>Pass</v>
      </c>
      <c r="U448" s="179">
        <v>1340</v>
      </c>
      <c r="V448" s="212"/>
      <c r="W448" s="31"/>
      <c r="X448" s="155">
        <v>2000</v>
      </c>
      <c r="Y448" s="155">
        <v>3000</v>
      </c>
      <c r="Z448" s="155">
        <v>1940</v>
      </c>
      <c r="AA448" s="155">
        <v>2180</v>
      </c>
      <c r="AC448" s="51">
        <v>5.2</v>
      </c>
    </row>
    <row r="449" spans="1:29" ht="16.100000000000001" x14ac:dyDescent="0.35">
      <c r="A449"/>
      <c r="B449" s="44"/>
      <c r="C449" s="24"/>
      <c r="D449" s="24"/>
      <c r="E449" s="81" t="s">
        <v>187</v>
      </c>
      <c r="F449" s="28">
        <v>596.20000000000005</v>
      </c>
      <c r="G449" s="28">
        <v>568.05999999999995</v>
      </c>
      <c r="H449" s="28">
        <v>566.51</v>
      </c>
      <c r="I449" s="28">
        <v>574.39</v>
      </c>
      <c r="J449" s="28">
        <v>621.38</v>
      </c>
      <c r="K449" s="28">
        <v>610.89</v>
      </c>
      <c r="L449" s="28">
        <v>576.34</v>
      </c>
      <c r="M449" s="28">
        <v>562.45000000000005</v>
      </c>
      <c r="N449" s="28">
        <v>594.44000000000005</v>
      </c>
      <c r="O449" s="81"/>
      <c r="P449" s="81"/>
      <c r="Q449" s="82"/>
      <c r="R449" s="82"/>
      <c r="S449" s="178"/>
      <c r="T449" s="23"/>
      <c r="U449" s="179"/>
      <c r="V449" s="212"/>
      <c r="W449" s="31"/>
      <c r="X449" s="157"/>
      <c r="Y449" s="157"/>
      <c r="Z449" s="157"/>
      <c r="AA449" s="157"/>
    </row>
    <row r="450" spans="1:29" ht="16.100000000000001" x14ac:dyDescent="0.35">
      <c r="A450"/>
      <c r="B450" s="44"/>
      <c r="C450" s="24"/>
      <c r="D450" s="24"/>
      <c r="E450" s="81" t="s">
        <v>190</v>
      </c>
      <c r="F450" s="60">
        <f t="shared" ref="F450:N450" si="146">IF(((F448="")*AND(F449="")),"",(F448-F449)*3)</f>
        <v>2002.38</v>
      </c>
      <c r="G450" s="60">
        <f t="shared" si="146"/>
        <v>2054.5800000000004</v>
      </c>
      <c r="H450" s="60">
        <f t="shared" si="146"/>
        <v>2063.25</v>
      </c>
      <c r="I450" s="60">
        <f t="shared" si="146"/>
        <v>2036.04</v>
      </c>
      <c r="J450" s="60">
        <f t="shared" si="146"/>
        <v>1974.0300000000002</v>
      </c>
      <c r="K450" s="60">
        <f t="shared" si="146"/>
        <v>1981.8000000000002</v>
      </c>
      <c r="L450" s="60">
        <f t="shared" si="146"/>
        <v>2033.6999999999998</v>
      </c>
      <c r="M450" s="60">
        <f t="shared" si="146"/>
        <v>2057.6099999999997</v>
      </c>
      <c r="N450" s="60">
        <f t="shared" si="146"/>
        <v>2026.1399999999996</v>
      </c>
      <c r="O450" s="81"/>
      <c r="P450" s="81"/>
      <c r="Q450" s="82"/>
      <c r="R450" s="82"/>
      <c r="S450" s="178"/>
      <c r="T450" s="23"/>
      <c r="U450" s="179"/>
      <c r="V450" s="212"/>
      <c r="W450" s="31"/>
      <c r="X450" s="157"/>
      <c r="Y450" s="157"/>
      <c r="Z450" s="157"/>
      <c r="AA450" s="157"/>
    </row>
    <row r="451" spans="1:29" x14ac:dyDescent="0.25">
      <c r="A451" s="252">
        <v>43311</v>
      </c>
      <c r="B451" s="260" t="s">
        <v>185</v>
      </c>
      <c r="C451" s="24" t="s">
        <v>173</v>
      </c>
      <c r="D451" s="24" t="s">
        <v>172</v>
      </c>
      <c r="E451" s="81" t="s">
        <v>186</v>
      </c>
      <c r="F451" s="28">
        <v>27792.52</v>
      </c>
      <c r="G451" s="28">
        <v>27815.26</v>
      </c>
      <c r="H451" s="28">
        <v>27847.27</v>
      </c>
      <c r="I451" s="28">
        <v>27816.7</v>
      </c>
      <c r="J451" s="28">
        <v>27800.28</v>
      </c>
      <c r="K451" s="28">
        <v>27843.360000000001</v>
      </c>
      <c r="L451" s="28">
        <v>27840.41</v>
      </c>
      <c r="M451" s="28">
        <v>27782.87</v>
      </c>
      <c r="N451" s="28">
        <v>27766.46</v>
      </c>
      <c r="O451" s="81">
        <f>IF((N452=""),"",MAX(F453:N453))</f>
        <v>4751.9699999999939</v>
      </c>
      <c r="P451" s="81">
        <f>IF(N452="","",MIN(F453:N453))</f>
        <v>4287.1800000000039</v>
      </c>
      <c r="Q451" s="82">
        <f>IF((N453=""),"",AVERAGE(F453:N453))</f>
        <v>4486.8833333333332</v>
      </c>
      <c r="R451" s="82">
        <f>IF((N452=""),"",(O451-P451)/(O451+P451)*100)</f>
        <v>5.141965782180737</v>
      </c>
      <c r="S451" s="152">
        <f>STDEV(F453:N453)</f>
        <v>186.64878629393561</v>
      </c>
      <c r="T451" s="23" t="str">
        <f>IF(N452="","",IF(R451&lt;16,IF(Q451&gt;3200,IF(R451,IF(Q451&lt;5240,"Pass","Fail"),"Fail"),"Fail")))</f>
        <v>Pass</v>
      </c>
      <c r="U451" s="179">
        <v>1335</v>
      </c>
      <c r="V451" s="212"/>
      <c r="W451" s="31"/>
      <c r="X451" s="155">
        <v>4200</v>
      </c>
      <c r="Y451" s="155">
        <v>5500</v>
      </c>
      <c r="Z451" s="155">
        <v>3200</v>
      </c>
      <c r="AA451" s="155">
        <v>5240</v>
      </c>
      <c r="AC451" s="51">
        <v>16</v>
      </c>
    </row>
    <row r="452" spans="1:29" ht="16.100000000000001" x14ac:dyDescent="0.35">
      <c r="A452"/>
      <c r="B452" s="44"/>
      <c r="C452" s="24"/>
      <c r="D452" s="24"/>
      <c r="E452" s="81" t="s">
        <v>187</v>
      </c>
      <c r="F452" s="28">
        <v>26263.88</v>
      </c>
      <c r="G452" s="28">
        <v>26375.279999999999</v>
      </c>
      <c r="H452" s="28">
        <v>26418.21</v>
      </c>
      <c r="I452" s="28">
        <v>26355.71</v>
      </c>
      <c r="J452" s="28">
        <v>26216.29</v>
      </c>
      <c r="K452" s="28">
        <v>26307.86</v>
      </c>
      <c r="L452" s="28">
        <v>26397.14</v>
      </c>
      <c r="M452" s="28">
        <v>26325.95</v>
      </c>
      <c r="N452" s="28">
        <v>26184.16</v>
      </c>
      <c r="O452" s="81"/>
      <c r="P452" s="81"/>
      <c r="Q452" s="82"/>
      <c r="R452" s="82"/>
      <c r="S452" s="178"/>
      <c r="T452" s="23"/>
      <c r="U452" s="179"/>
      <c r="V452" s="212"/>
      <c r="W452" s="31"/>
      <c r="X452" s="157"/>
      <c r="Y452" s="157"/>
      <c r="Z452" s="157"/>
      <c r="AA452" s="157"/>
    </row>
    <row r="453" spans="1:29" ht="22.75" thickBot="1" x14ac:dyDescent="0.4">
      <c r="A453"/>
      <c r="B453" s="83"/>
      <c r="C453" s="84"/>
      <c r="D453" s="84"/>
      <c r="E453" s="85" t="s">
        <v>188</v>
      </c>
      <c r="F453" s="73">
        <f t="shared" ref="F453:N453" si="147">IF(((F451="")*AND(F452="")),"",(F451-F452)*3)</f>
        <v>4585.9199999999983</v>
      </c>
      <c r="G453" s="73">
        <f t="shared" si="147"/>
        <v>4319.9399999999987</v>
      </c>
      <c r="H453" s="73">
        <f t="shared" si="147"/>
        <v>4287.1800000000039</v>
      </c>
      <c r="I453" s="73">
        <f t="shared" si="147"/>
        <v>4382.9700000000048</v>
      </c>
      <c r="J453" s="73">
        <f t="shared" si="147"/>
        <v>4751.9699999999939</v>
      </c>
      <c r="K453" s="73">
        <f t="shared" si="147"/>
        <v>4606.5</v>
      </c>
      <c r="L453" s="73">
        <f t="shared" si="147"/>
        <v>4329.8100000000013</v>
      </c>
      <c r="M453" s="73">
        <f t="shared" si="147"/>
        <v>4370.7599999999948</v>
      </c>
      <c r="N453" s="73">
        <f t="shared" si="147"/>
        <v>4746.8999999999978</v>
      </c>
      <c r="O453" s="85"/>
      <c r="P453" s="85"/>
      <c r="Q453" s="86"/>
      <c r="R453" s="86"/>
      <c r="S453" s="181"/>
      <c r="T453" s="182"/>
      <c r="U453" s="183"/>
      <c r="V453" s="212"/>
      <c r="W453" s="31"/>
      <c r="X453" s="157"/>
      <c r="Y453" s="157"/>
      <c r="Z453" s="157"/>
      <c r="AA453" s="157"/>
    </row>
    <row r="454" spans="1:29" x14ac:dyDescent="0.25">
      <c r="A454" s="249">
        <v>43314</v>
      </c>
      <c r="B454" s="261" t="s">
        <v>174</v>
      </c>
      <c r="C454" s="59" t="s">
        <v>176</v>
      </c>
      <c r="D454" s="64" t="s">
        <v>175</v>
      </c>
      <c r="E454" s="61" t="s">
        <v>186</v>
      </c>
      <c r="F454" s="146">
        <v>7021.92</v>
      </c>
      <c r="G454" s="146">
        <v>7017.77</v>
      </c>
      <c r="H454" s="146">
        <v>7041.54</v>
      </c>
      <c r="I454" s="146">
        <v>6990.05</v>
      </c>
      <c r="J454" s="146">
        <v>7049.58</v>
      </c>
      <c r="K454" s="146">
        <v>6991.64</v>
      </c>
      <c r="L454" s="146">
        <v>6994.74</v>
      </c>
      <c r="M454" s="146">
        <v>7025.7</v>
      </c>
      <c r="N454" s="146">
        <v>7102.58</v>
      </c>
      <c r="O454" s="61">
        <f>IF((N455=""),"",MAX(F456:N456))</f>
        <v>4034.3999999999996</v>
      </c>
      <c r="P454" s="61">
        <f>IF(N455="","",MIN(F456:N456))</f>
        <v>3662.4000000000015</v>
      </c>
      <c r="Q454" s="62">
        <f>IF((N456=""),"",AVERAGE(F456:N456))</f>
        <v>3900.3444444444449</v>
      </c>
      <c r="R454" s="62">
        <f>IF((N455=""),"",(O454-P454)/(O454+P454)*100)</f>
        <v>4.833177424384135</v>
      </c>
      <c r="S454" s="152">
        <f>STDEV(F456:N456)</f>
        <v>128.32095494414671</v>
      </c>
      <c r="T454" s="158" t="str">
        <f>IF(N455="","",IF(Q454&gt;3650,IF(R454&lt;7,IF(Q454&lt;4450,"Pass","Fail"),"Fail"),"Fail"))</f>
        <v>Pass</v>
      </c>
      <c r="U454" s="184">
        <v>1340</v>
      </c>
      <c r="V454" s="31" t="s">
        <v>203</v>
      </c>
      <c r="W454" s="31"/>
      <c r="X454" s="155">
        <v>3650</v>
      </c>
      <c r="Y454" s="155">
        <v>4450</v>
      </c>
      <c r="Z454" s="155">
        <v>3700</v>
      </c>
      <c r="AA454" s="155">
        <v>4100</v>
      </c>
      <c r="AB454" s="51">
        <v>7</v>
      </c>
      <c r="AC454" s="51">
        <v>6.5</v>
      </c>
    </row>
    <row r="455" spans="1:29" ht="16.100000000000001" x14ac:dyDescent="0.35">
      <c r="A455"/>
      <c r="B455" s="44"/>
      <c r="C455" s="24"/>
      <c r="D455" s="24"/>
      <c r="E455" s="81" t="s">
        <v>187</v>
      </c>
      <c r="F455" s="28">
        <v>5124.12</v>
      </c>
      <c r="G455" s="28">
        <v>5025.45</v>
      </c>
      <c r="H455" s="28">
        <v>5029.4399999999996</v>
      </c>
      <c r="I455" s="28">
        <v>5002.0600000000004</v>
      </c>
      <c r="J455" s="28">
        <v>5158.8500000000004</v>
      </c>
      <c r="K455" s="28">
        <v>5160.4399999999996</v>
      </c>
      <c r="L455" s="28">
        <v>5014.55</v>
      </c>
      <c r="M455" s="28">
        <v>5008.5</v>
      </c>
      <c r="N455" s="28">
        <v>5160.5600000000004</v>
      </c>
      <c r="O455" s="81"/>
      <c r="P455" s="81"/>
      <c r="Q455" s="82"/>
      <c r="R455" s="82"/>
      <c r="S455" s="178"/>
      <c r="T455" s="28"/>
      <c r="U455" s="185"/>
      <c r="V455" s="166"/>
      <c r="W455" s="31"/>
      <c r="X455" s="157"/>
      <c r="Y455" s="157"/>
      <c r="Z455" s="157"/>
      <c r="AA455" s="157"/>
    </row>
    <row r="456" spans="1:29" ht="22.15" x14ac:dyDescent="0.35">
      <c r="A456"/>
      <c r="B456" s="44"/>
      <c r="C456" s="24"/>
      <c r="D456" s="24"/>
      <c r="E456" s="81" t="s">
        <v>188</v>
      </c>
      <c r="F456" s="60">
        <f t="shared" ref="F456:N456" si="148">IF(((F454="")*AND(F455="")),"",(F454-F455)*2)</f>
        <v>3795.6000000000004</v>
      </c>
      <c r="G456" s="60">
        <f t="shared" si="148"/>
        <v>3984.6400000000012</v>
      </c>
      <c r="H456" s="60">
        <f t="shared" si="148"/>
        <v>4024.2000000000007</v>
      </c>
      <c r="I456" s="60">
        <f t="shared" si="148"/>
        <v>3975.9799999999996</v>
      </c>
      <c r="J456" s="60">
        <f t="shared" si="148"/>
        <v>3781.4599999999991</v>
      </c>
      <c r="K456" s="60">
        <f t="shared" si="148"/>
        <v>3662.4000000000015</v>
      </c>
      <c r="L456" s="60">
        <f t="shared" si="148"/>
        <v>3960.3799999999992</v>
      </c>
      <c r="M456" s="60">
        <f t="shared" si="148"/>
        <v>4034.3999999999996</v>
      </c>
      <c r="N456" s="60">
        <f t="shared" si="148"/>
        <v>3884.0399999999991</v>
      </c>
      <c r="O456" s="81"/>
      <c r="P456" s="81"/>
      <c r="Q456" s="82"/>
      <c r="R456" s="82"/>
      <c r="S456" s="178"/>
      <c r="T456" s="28"/>
      <c r="U456" s="185"/>
      <c r="V456" s="166"/>
      <c r="W456" s="31"/>
      <c r="X456" s="157"/>
      <c r="Y456" s="157"/>
      <c r="Z456" s="157"/>
      <c r="AA456" s="157"/>
    </row>
    <row r="457" spans="1:29" x14ac:dyDescent="0.25">
      <c r="A457" s="252">
        <v>43314</v>
      </c>
      <c r="B457" s="257" t="s">
        <v>169</v>
      </c>
      <c r="C457" s="24" t="s">
        <v>171</v>
      </c>
      <c r="D457" s="24" t="s">
        <v>189</v>
      </c>
      <c r="E457" s="81" t="s">
        <v>186</v>
      </c>
      <c r="F457" s="28">
        <v>1927.61</v>
      </c>
      <c r="G457" s="28">
        <v>1921.53</v>
      </c>
      <c r="H457" s="28">
        <v>1921.19</v>
      </c>
      <c r="I457" s="28">
        <v>1917.35</v>
      </c>
      <c r="J457" s="28">
        <v>1926.1</v>
      </c>
      <c r="K457" s="28">
        <v>1930.36</v>
      </c>
      <c r="L457" s="28">
        <v>1918.35</v>
      </c>
      <c r="M457" s="28">
        <v>1917.43</v>
      </c>
      <c r="N457" s="28">
        <v>1929.21</v>
      </c>
      <c r="O457" s="81">
        <f>IF((N458=""),"",MAX(F459:N459))</f>
        <v>2038.9499999999996</v>
      </c>
      <c r="P457" s="81">
        <f>IF(N458="","",MIN(F459:N459))</f>
        <v>1967.0699999999995</v>
      </c>
      <c r="Q457" s="82">
        <f>IF((N459=""),"",AVERAGE(F459:N459))</f>
        <v>2012.0399999999997</v>
      </c>
      <c r="R457" s="82">
        <f>IF((N458=""),"",(O457-P457)/(O457+P457)*100)</f>
        <v>1.7942995791334075</v>
      </c>
      <c r="S457" s="152">
        <f>STDEV(F459:N459)</f>
        <v>24.570169413335549</v>
      </c>
      <c r="T457" s="23" t="str">
        <f>IF(N458="","",IF(Q457&gt;1940,IF(R457&lt;8.3,IF(Q457&lt;2180,"Pass","Fail"),"Fail"),"Fail"))</f>
        <v>Pass</v>
      </c>
      <c r="U457" s="179">
        <v>1340</v>
      </c>
      <c r="V457" s="31" t="s">
        <v>203</v>
      </c>
      <c r="W457" s="31"/>
      <c r="X457" s="155">
        <v>2000</v>
      </c>
      <c r="Y457" s="155">
        <v>3000</v>
      </c>
      <c r="Z457" s="155">
        <v>1940</v>
      </c>
      <c r="AA457" s="155">
        <v>2180</v>
      </c>
      <c r="AC457" s="51">
        <v>5.2</v>
      </c>
    </row>
    <row r="458" spans="1:29" ht="16.100000000000001" x14ac:dyDescent="0.35">
      <c r="A458"/>
      <c r="B458" s="44"/>
      <c r="C458" s="24"/>
      <c r="D458" s="24"/>
      <c r="E458" s="81" t="s">
        <v>187</v>
      </c>
      <c r="F458" s="28">
        <v>1251.26</v>
      </c>
      <c r="G458" s="28">
        <v>1241.8800000000001</v>
      </c>
      <c r="H458" s="28">
        <v>1242.07</v>
      </c>
      <c r="I458" s="28">
        <v>1250.96</v>
      </c>
      <c r="J458" s="28">
        <v>1270.4100000000001</v>
      </c>
      <c r="K458" s="28">
        <v>1265.54</v>
      </c>
      <c r="L458" s="28">
        <v>1250.9000000000001</v>
      </c>
      <c r="M458" s="28">
        <v>1239.06</v>
      </c>
      <c r="N458" s="28">
        <v>1260.93</v>
      </c>
      <c r="O458" s="81"/>
      <c r="P458" s="81"/>
      <c r="Q458" s="82"/>
      <c r="R458" s="82"/>
      <c r="S458" s="178"/>
      <c r="T458" s="23"/>
      <c r="U458" s="179"/>
      <c r="V458" s="166"/>
      <c r="W458" s="31"/>
      <c r="X458" s="157"/>
      <c r="Y458" s="157"/>
      <c r="Z458" s="157"/>
      <c r="AA458" s="157"/>
    </row>
    <row r="459" spans="1:29" ht="23.3" customHeight="1" x14ac:dyDescent="0.35">
      <c r="A459"/>
      <c r="B459" s="44"/>
      <c r="C459" s="24"/>
      <c r="D459" s="24"/>
      <c r="E459" s="81" t="s">
        <v>190</v>
      </c>
      <c r="F459" s="60">
        <f t="shared" ref="F459:N459" si="149">IF(((F457="")*AND(F458="")),"",(F457-F458)*3)</f>
        <v>2029.0499999999997</v>
      </c>
      <c r="G459" s="60">
        <f t="shared" si="149"/>
        <v>2038.9499999999996</v>
      </c>
      <c r="H459" s="60">
        <f t="shared" si="149"/>
        <v>2037.3600000000004</v>
      </c>
      <c r="I459" s="60">
        <f t="shared" si="149"/>
        <v>1999.1699999999996</v>
      </c>
      <c r="J459" s="60">
        <f t="shared" si="149"/>
        <v>1967.0699999999995</v>
      </c>
      <c r="K459" s="60">
        <f t="shared" si="149"/>
        <v>1994.4599999999998</v>
      </c>
      <c r="L459" s="60">
        <f t="shared" si="149"/>
        <v>2002.3499999999995</v>
      </c>
      <c r="M459" s="60">
        <f t="shared" si="149"/>
        <v>2035.1100000000004</v>
      </c>
      <c r="N459" s="60">
        <f t="shared" si="149"/>
        <v>2004.84</v>
      </c>
      <c r="O459" s="81"/>
      <c r="P459" s="81"/>
      <c r="Q459" s="82"/>
      <c r="R459" s="82"/>
      <c r="S459" s="178"/>
      <c r="T459" s="23"/>
      <c r="U459" s="179"/>
      <c r="V459" s="166"/>
      <c r="W459" s="31"/>
      <c r="X459" s="157"/>
      <c r="Y459" s="157"/>
      <c r="Z459" s="157"/>
      <c r="AA459" s="157"/>
    </row>
    <row r="460" spans="1:29" x14ac:dyDescent="0.25">
      <c r="A460" s="252">
        <v>43314</v>
      </c>
      <c r="B460" s="260" t="s">
        <v>185</v>
      </c>
      <c r="C460" s="24" t="s">
        <v>173</v>
      </c>
      <c r="D460" s="24" t="s">
        <v>172</v>
      </c>
      <c r="E460" s="81" t="s">
        <v>186</v>
      </c>
      <c r="F460" s="28">
        <v>29144.12</v>
      </c>
      <c r="G460" s="28">
        <v>29078.77</v>
      </c>
      <c r="H460" s="28">
        <v>29121.78</v>
      </c>
      <c r="I460" s="28">
        <v>29072.41</v>
      </c>
      <c r="J460" s="28">
        <v>29150.94</v>
      </c>
      <c r="K460" s="28">
        <v>29126.92</v>
      </c>
      <c r="L460" s="28">
        <v>29076.53</v>
      </c>
      <c r="M460" s="28">
        <v>29078.19</v>
      </c>
      <c r="N460" s="28">
        <v>29144.19</v>
      </c>
      <c r="O460" s="81">
        <f>IF((N461=""),"",MAX(F462:N462))</f>
        <v>4366.0499999999956</v>
      </c>
      <c r="P460" s="81">
        <f>IF(N461="","",MIN(F462:N462))</f>
        <v>3976.1099999999969</v>
      </c>
      <c r="Q460" s="82">
        <f>IF((N462=""),"",AVERAGE(F462:N462))</f>
        <v>4163.6433333333289</v>
      </c>
      <c r="R460" s="82">
        <f>IF((N461=""),"",(O460-P460)/(O460+P460)*100)</f>
        <v>4.674328950775327</v>
      </c>
      <c r="S460" s="152">
        <f>STDEV(F462:N462)</f>
        <v>165.7561474727238</v>
      </c>
      <c r="T460" s="23" t="str">
        <f>IF(N461="","",IF(R460&lt;16,IF(Q460&gt;3200,IF(R460,IF(Q460&lt;5240,"Pass","Fail"),"Fail"),"Fail")))</f>
        <v>Pass</v>
      </c>
      <c r="U460" s="179">
        <v>1335</v>
      </c>
      <c r="V460" s="31" t="s">
        <v>203</v>
      </c>
      <c r="X460" s="155">
        <v>4200</v>
      </c>
      <c r="Y460" s="155">
        <v>5500</v>
      </c>
      <c r="Z460" s="155">
        <v>3200</v>
      </c>
      <c r="AA460" s="155">
        <v>5240</v>
      </c>
      <c r="AC460" s="51">
        <v>16</v>
      </c>
    </row>
    <row r="461" spans="1:29" ht="16.100000000000001" x14ac:dyDescent="0.35">
      <c r="A461"/>
      <c r="B461" s="44"/>
      <c r="C461" s="24"/>
      <c r="D461" s="24"/>
      <c r="E461" s="81" t="s">
        <v>187</v>
      </c>
      <c r="F461" s="28">
        <v>27703.24</v>
      </c>
      <c r="G461" s="28">
        <v>27734.43</v>
      </c>
      <c r="H461" s="28">
        <v>27796.41</v>
      </c>
      <c r="I461" s="28">
        <v>27728.15</v>
      </c>
      <c r="J461" s="28">
        <v>27702.36</v>
      </c>
      <c r="K461" s="28">
        <v>27689.9</v>
      </c>
      <c r="L461" s="28">
        <v>27730.6</v>
      </c>
      <c r="M461" s="28">
        <v>27728.99</v>
      </c>
      <c r="N461" s="28">
        <v>27688.84</v>
      </c>
      <c r="O461" s="81"/>
      <c r="P461" s="81"/>
      <c r="Q461" s="82"/>
      <c r="R461" s="82"/>
      <c r="S461" s="178"/>
      <c r="T461" s="23"/>
      <c r="U461" s="179"/>
      <c r="V461" s="166"/>
      <c r="W461" s="31"/>
      <c r="X461" s="157"/>
      <c r="Y461" s="157"/>
      <c r="Z461" s="157"/>
      <c r="AA461" s="157"/>
    </row>
    <row r="462" spans="1:29" ht="22.75" thickBot="1" x14ac:dyDescent="0.4">
      <c r="A462"/>
      <c r="B462" s="83"/>
      <c r="C462" s="84"/>
      <c r="D462" s="84"/>
      <c r="E462" s="85" t="s">
        <v>188</v>
      </c>
      <c r="F462" s="73">
        <f t="shared" ref="F462:N462" si="150">IF(((F460="")*AND(F461="")),"",(F460-F461)*3)</f>
        <v>4322.6399999999921</v>
      </c>
      <c r="G462" s="73">
        <f t="shared" si="150"/>
        <v>4033.0200000000004</v>
      </c>
      <c r="H462" s="73">
        <f t="shared" si="150"/>
        <v>3976.1099999999969</v>
      </c>
      <c r="I462" s="73">
        <f t="shared" si="150"/>
        <v>4032.7799999999952</v>
      </c>
      <c r="J462" s="73">
        <f t="shared" si="150"/>
        <v>4345.7399999999943</v>
      </c>
      <c r="K462" s="73">
        <f t="shared" si="150"/>
        <v>4311.0599999999904</v>
      </c>
      <c r="L462" s="73">
        <f t="shared" si="150"/>
        <v>4037.7900000000009</v>
      </c>
      <c r="M462" s="73">
        <f t="shared" si="150"/>
        <v>4047.5999999999913</v>
      </c>
      <c r="N462" s="73">
        <f t="shared" si="150"/>
        <v>4366.0499999999956</v>
      </c>
      <c r="O462" s="85"/>
      <c r="P462" s="85"/>
      <c r="Q462" s="86"/>
      <c r="R462" s="86"/>
      <c r="S462" s="181"/>
      <c r="T462" s="182"/>
      <c r="U462" s="183"/>
      <c r="V462" s="166"/>
      <c r="W462" s="31"/>
      <c r="X462" s="157"/>
      <c r="Y462" s="157"/>
      <c r="Z462" s="157"/>
      <c r="AA462" s="157"/>
    </row>
    <row r="463" spans="1:29" x14ac:dyDescent="0.25">
      <c r="A463" s="249">
        <v>43317</v>
      </c>
      <c r="B463" s="261" t="s">
        <v>174</v>
      </c>
      <c r="C463" s="59" t="s">
        <v>176</v>
      </c>
      <c r="D463" s="64" t="s">
        <v>175</v>
      </c>
      <c r="E463" s="61" t="s">
        <v>186</v>
      </c>
      <c r="F463" s="146">
        <v>5124.12</v>
      </c>
      <c r="G463" s="146">
        <v>5025.45</v>
      </c>
      <c r="H463" s="146">
        <v>5029.4399999999996</v>
      </c>
      <c r="I463" s="146">
        <v>5002.0600000000004</v>
      </c>
      <c r="J463" s="146">
        <v>5158.8500000000004</v>
      </c>
      <c r="K463" s="146">
        <v>5160.4399999999996</v>
      </c>
      <c r="L463" s="146">
        <v>5014.55</v>
      </c>
      <c r="M463" s="146">
        <v>5008.5</v>
      </c>
      <c r="N463" s="146">
        <v>5160.5600000000004</v>
      </c>
      <c r="O463" s="61">
        <f>IF((N464=""),"",MAX(F465:N465))</f>
        <v>4009.5200000000004</v>
      </c>
      <c r="P463" s="61">
        <f>IF(N464="","",MIN(F465:N465))</f>
        <v>3664.0599999999995</v>
      </c>
      <c r="Q463" s="62">
        <f>IF((N465=""),"",AVERAGE(F465:N465))</f>
        <v>3886.1088888888894</v>
      </c>
      <c r="R463" s="62">
        <f>IF((N464=""),"",(O463-P463)/(O463+P463)*100)</f>
        <v>4.5019404241566638</v>
      </c>
      <c r="S463" s="152">
        <f>STDEV(F465:N465)</f>
        <v>122.11183812845954</v>
      </c>
      <c r="T463" s="158" t="str">
        <f>IF(N464="","",IF(Q463&gt;3650,IF(R463&lt;7,IF(Q463&lt;4450,"Pass","Fail"),"Fail"),"Fail"))</f>
        <v>Pass</v>
      </c>
      <c r="U463" s="184">
        <v>1340</v>
      </c>
      <c r="V463" s="166"/>
      <c r="W463" s="31"/>
      <c r="X463" s="155">
        <v>3650</v>
      </c>
      <c r="Y463" s="155">
        <v>4450</v>
      </c>
      <c r="Z463" s="155">
        <v>3700</v>
      </c>
      <c r="AA463" s="155">
        <v>4100</v>
      </c>
      <c r="AB463" s="51">
        <v>7</v>
      </c>
      <c r="AC463" s="51">
        <v>6.5</v>
      </c>
    </row>
    <row r="464" spans="1:29" ht="16.100000000000001" x14ac:dyDescent="0.35">
      <c r="A464"/>
      <c r="B464" s="44"/>
      <c r="C464" s="24"/>
      <c r="D464" s="24"/>
      <c r="E464" s="81" t="s">
        <v>187</v>
      </c>
      <c r="F464" s="28">
        <v>3235.35</v>
      </c>
      <c r="G464" s="28">
        <v>3043.82</v>
      </c>
      <c r="H464" s="28">
        <v>3025.94</v>
      </c>
      <c r="I464" s="28">
        <v>3019.82</v>
      </c>
      <c r="J464" s="28">
        <v>3268.77</v>
      </c>
      <c r="K464" s="28">
        <v>3328.41</v>
      </c>
      <c r="L464" s="28">
        <v>3038.97</v>
      </c>
      <c r="M464" s="28">
        <v>3003.74</v>
      </c>
      <c r="N464" s="28">
        <v>3231.66</v>
      </c>
      <c r="O464" s="81"/>
      <c r="P464" s="81"/>
      <c r="Q464" s="82"/>
      <c r="R464" s="82"/>
      <c r="S464" s="178"/>
      <c r="T464" s="28"/>
      <c r="U464" s="185"/>
      <c r="V464" s="166"/>
      <c r="W464" s="31"/>
      <c r="X464" s="157"/>
      <c r="Y464" s="157"/>
      <c r="Z464" s="157"/>
      <c r="AA464" s="157"/>
    </row>
    <row r="465" spans="1:29" ht="22.15" x14ac:dyDescent="0.35">
      <c r="A465"/>
      <c r="B465" s="44"/>
      <c r="C465" s="24"/>
      <c r="D465" s="24"/>
      <c r="E465" s="81" t="s">
        <v>188</v>
      </c>
      <c r="F465" s="60">
        <f t="shared" ref="F465:N465" si="151">IF(((F463="")*AND(F464="")),"",(F463-F464)*2)</f>
        <v>3777.54</v>
      </c>
      <c r="G465" s="60">
        <f t="shared" si="151"/>
        <v>3963.2599999999993</v>
      </c>
      <c r="H465" s="60">
        <f t="shared" si="151"/>
        <v>4006.9999999999991</v>
      </c>
      <c r="I465" s="60">
        <f t="shared" si="151"/>
        <v>3964.4800000000005</v>
      </c>
      <c r="J465" s="60">
        <f t="shared" si="151"/>
        <v>3780.1600000000008</v>
      </c>
      <c r="K465" s="60">
        <f t="shared" si="151"/>
        <v>3664.0599999999995</v>
      </c>
      <c r="L465" s="60">
        <f t="shared" si="151"/>
        <v>3951.1600000000008</v>
      </c>
      <c r="M465" s="60">
        <f t="shared" si="151"/>
        <v>4009.5200000000004</v>
      </c>
      <c r="N465" s="60">
        <f t="shared" si="151"/>
        <v>3857.8000000000011</v>
      </c>
      <c r="O465" s="81"/>
      <c r="P465" s="81"/>
      <c r="Q465" s="82"/>
      <c r="R465" s="82"/>
      <c r="S465" s="178"/>
      <c r="T465" s="28"/>
      <c r="U465" s="185"/>
      <c r="V465" s="166"/>
      <c r="W465" s="31"/>
      <c r="X465" s="157"/>
      <c r="Y465" s="157"/>
      <c r="Z465" s="157"/>
      <c r="AA465" s="157"/>
    </row>
    <row r="466" spans="1:29" x14ac:dyDescent="0.25">
      <c r="A466" s="252">
        <v>43317</v>
      </c>
      <c r="B466" s="257" t="s">
        <v>169</v>
      </c>
      <c r="C466" s="24" t="s">
        <v>171</v>
      </c>
      <c r="D466" s="24" t="s">
        <v>189</v>
      </c>
      <c r="E466" s="81" t="s">
        <v>186</v>
      </c>
      <c r="F466" s="28">
        <v>1251.26</v>
      </c>
      <c r="G466" s="28">
        <v>1241.8800000000001</v>
      </c>
      <c r="H466" s="28">
        <v>1242.07</v>
      </c>
      <c r="I466" s="28">
        <v>1250.96</v>
      </c>
      <c r="J466" s="28">
        <v>1270.4100000000001</v>
      </c>
      <c r="K466" s="28">
        <v>1265.54</v>
      </c>
      <c r="L466" s="28">
        <v>1250.9000000000001</v>
      </c>
      <c r="M466" s="28">
        <v>1239.06</v>
      </c>
      <c r="N466" s="28">
        <v>1260.93</v>
      </c>
      <c r="O466" s="81">
        <f>IF((N467=""),"",MAX(F468:N468))</f>
        <v>2045.0699999999997</v>
      </c>
      <c r="P466" s="81">
        <f>IF(N467="","",MIN(F468:N468))</f>
        <v>1981.5900000000001</v>
      </c>
      <c r="Q466" s="82">
        <f>IF((N468=""),"",AVERAGE(F468:N468))</f>
        <v>2016.0933333333332</v>
      </c>
      <c r="R466" s="82">
        <f>IF((N467=""),"",(O466-P466)/(O466+P466)*100)</f>
        <v>1.576492676312367</v>
      </c>
      <c r="S466" s="152">
        <f>STDEV(F468:N468)</f>
        <v>21.749355737584438</v>
      </c>
      <c r="T466" s="23" t="str">
        <f>IF(N467="","",IF(Q466&gt;1940,IF(R466&lt;8.3,IF(Q466&lt;2180,"Pass","Fail"),"Fail"),"Fail"))</f>
        <v>Pass</v>
      </c>
      <c r="U466" s="179">
        <v>1340</v>
      </c>
      <c r="V466" s="212"/>
      <c r="W466" s="31"/>
      <c r="X466" s="155">
        <v>2000</v>
      </c>
      <c r="Y466" s="155">
        <v>3000</v>
      </c>
      <c r="Z466" s="155">
        <v>1940</v>
      </c>
      <c r="AA466" s="155">
        <v>2180</v>
      </c>
      <c r="AC466" s="51">
        <v>5.2</v>
      </c>
    </row>
    <row r="467" spans="1:29" ht="16.100000000000001" x14ac:dyDescent="0.35">
      <c r="A467"/>
      <c r="B467" s="44"/>
      <c r="C467" s="24"/>
      <c r="D467" s="24"/>
      <c r="E467" s="81" t="s">
        <v>187</v>
      </c>
      <c r="F467" s="28">
        <v>578.89</v>
      </c>
      <c r="G467" s="28">
        <v>565.94000000000005</v>
      </c>
      <c r="H467" s="28">
        <v>563.44000000000005</v>
      </c>
      <c r="I467" s="28">
        <v>574.20000000000005</v>
      </c>
      <c r="J467" s="28">
        <v>609.88</v>
      </c>
      <c r="K467" s="28">
        <v>603.85</v>
      </c>
      <c r="L467" s="28">
        <v>579.89</v>
      </c>
      <c r="M467" s="28">
        <v>557.37</v>
      </c>
      <c r="N467" s="28">
        <v>591.27</v>
      </c>
      <c r="O467" s="81"/>
      <c r="P467" s="81"/>
      <c r="Q467" s="82"/>
      <c r="R467" s="82"/>
      <c r="S467" s="178"/>
      <c r="T467" s="23"/>
      <c r="U467" s="179"/>
      <c r="V467" s="212"/>
      <c r="W467" s="31"/>
      <c r="X467" s="157"/>
      <c r="Y467" s="157"/>
      <c r="Z467" s="157"/>
      <c r="AA467" s="157"/>
    </row>
    <row r="468" spans="1:29" ht="16.100000000000001" x14ac:dyDescent="0.35">
      <c r="A468"/>
      <c r="B468" s="44"/>
      <c r="C468" s="24"/>
      <c r="D468" s="24"/>
      <c r="E468" s="81" t="s">
        <v>190</v>
      </c>
      <c r="F468" s="60">
        <f t="shared" ref="F468:N468" si="152">IF(((F466="")*AND(F467="")),"",(F466-F467)*3)</f>
        <v>2017.1100000000001</v>
      </c>
      <c r="G468" s="60">
        <f t="shared" si="152"/>
        <v>2027.8200000000002</v>
      </c>
      <c r="H468" s="60">
        <f t="shared" si="152"/>
        <v>2035.8899999999996</v>
      </c>
      <c r="I468" s="60">
        <f t="shared" si="152"/>
        <v>2030.28</v>
      </c>
      <c r="J468" s="60">
        <f t="shared" si="152"/>
        <v>1981.5900000000001</v>
      </c>
      <c r="K468" s="60">
        <f t="shared" si="152"/>
        <v>1985.0699999999997</v>
      </c>
      <c r="L468" s="60">
        <f t="shared" si="152"/>
        <v>2013.0300000000002</v>
      </c>
      <c r="M468" s="60">
        <f t="shared" si="152"/>
        <v>2045.0699999999997</v>
      </c>
      <c r="N468" s="60">
        <f t="shared" si="152"/>
        <v>2008.9800000000002</v>
      </c>
      <c r="O468" s="81"/>
      <c r="P468" s="81"/>
      <c r="Q468" s="82"/>
      <c r="R468" s="82"/>
      <c r="S468" s="178"/>
      <c r="T468" s="23"/>
      <c r="U468" s="179"/>
      <c r="V468" s="212"/>
      <c r="W468" s="31"/>
      <c r="X468" s="157"/>
      <c r="Y468" s="157"/>
      <c r="Z468" s="157"/>
      <c r="AA468" s="157"/>
    </row>
    <row r="469" spans="1:29" x14ac:dyDescent="0.25">
      <c r="A469" s="252">
        <v>43317</v>
      </c>
      <c r="B469" s="260" t="s">
        <v>185</v>
      </c>
      <c r="C469" s="24" t="s">
        <v>173</v>
      </c>
      <c r="D469" s="24" t="s">
        <v>172</v>
      </c>
      <c r="E469" s="81" t="s">
        <v>186</v>
      </c>
      <c r="F469" s="28">
        <v>27703.24</v>
      </c>
      <c r="G469" s="28">
        <v>27734.43</v>
      </c>
      <c r="H469" s="28">
        <v>27796.41</v>
      </c>
      <c r="I469" s="28">
        <v>27728.15</v>
      </c>
      <c r="J469" s="28">
        <v>27702.36</v>
      </c>
      <c r="K469" s="28">
        <v>27689.9</v>
      </c>
      <c r="L469" s="28">
        <v>27730.6</v>
      </c>
      <c r="M469" s="28">
        <v>27728.99</v>
      </c>
      <c r="N469" s="28">
        <v>27688.84</v>
      </c>
      <c r="O469" s="81">
        <f>IF((N470=""),"",MAX(F471:N471))</f>
        <v>4731.3300000000017</v>
      </c>
      <c r="P469" s="81">
        <f>IF(N470="","",MIN(F471:N471))</f>
        <v>4184.4300000000039</v>
      </c>
      <c r="Q469" s="82">
        <f>IF((N471=""),"",AVERAGE(F471:N471))</f>
        <v>4412.7866666666705</v>
      </c>
      <c r="R469" s="82">
        <f>IF((N470=""),"",(O469-P469)/(O469+P469)*100)</f>
        <v>6.1340816711082118</v>
      </c>
      <c r="S469" s="152">
        <f>STDEV(F471:N471)</f>
        <v>201.27683833466784</v>
      </c>
      <c r="T469" s="23" t="str">
        <f>IF(N470="","",IF(R469&lt;16,IF(Q469&gt;3200,IF(R469,IF(Q469&lt;5240,"Pass","Fail"),"Fail"),"Fail")))</f>
        <v>Pass</v>
      </c>
      <c r="U469" s="179">
        <v>1340</v>
      </c>
      <c r="V469" s="212"/>
      <c r="W469" s="31"/>
      <c r="X469" s="155">
        <v>4200</v>
      </c>
      <c r="Y469" s="155">
        <v>5500</v>
      </c>
      <c r="Z469" s="155">
        <v>3200</v>
      </c>
      <c r="AA469" s="155">
        <v>5240</v>
      </c>
      <c r="AC469" s="51">
        <v>16</v>
      </c>
    </row>
    <row r="470" spans="1:29" ht="16.100000000000001" x14ac:dyDescent="0.35">
      <c r="A470"/>
      <c r="B470" s="44"/>
      <c r="C470" s="24"/>
      <c r="D470" s="24"/>
      <c r="E470" s="81" t="s">
        <v>187</v>
      </c>
      <c r="F470" s="28">
        <v>26175.439999999999</v>
      </c>
      <c r="G470" s="28">
        <v>26316.12</v>
      </c>
      <c r="H470" s="28">
        <v>26401.599999999999</v>
      </c>
      <c r="I470" s="28">
        <v>26300.71</v>
      </c>
      <c r="J470" s="28">
        <v>26160.54</v>
      </c>
      <c r="K470" s="28">
        <v>26187.82</v>
      </c>
      <c r="L470" s="28">
        <v>26325.34</v>
      </c>
      <c r="M470" s="28">
        <v>26285.26</v>
      </c>
      <c r="N470" s="28">
        <v>26111.73</v>
      </c>
      <c r="O470" s="81"/>
      <c r="P470" s="81"/>
      <c r="Q470" s="82"/>
      <c r="R470" s="82"/>
      <c r="S470" s="178"/>
      <c r="T470" s="23"/>
      <c r="U470" s="179"/>
      <c r="V470" s="212"/>
      <c r="W470" s="31"/>
      <c r="X470" s="157"/>
      <c r="Y470" s="157"/>
      <c r="Z470" s="157"/>
      <c r="AA470" s="157"/>
    </row>
    <row r="471" spans="1:29" ht="22.75" thickBot="1" x14ac:dyDescent="0.4">
      <c r="A471"/>
      <c r="B471" s="83"/>
      <c r="C471" s="84"/>
      <c r="D471" s="84"/>
      <c r="E471" s="85" t="s">
        <v>188</v>
      </c>
      <c r="F471" s="73">
        <f t="shared" ref="F471:N471" si="153">IF(((F469="")*AND(F470="")),"",(F469-F470)*3)</f>
        <v>4583.4000000000087</v>
      </c>
      <c r="G471" s="73">
        <f t="shared" si="153"/>
        <v>4254.9300000000039</v>
      </c>
      <c r="H471" s="73">
        <f t="shared" si="153"/>
        <v>4184.4300000000039</v>
      </c>
      <c r="I471" s="73">
        <f t="shared" si="153"/>
        <v>4282.320000000007</v>
      </c>
      <c r="J471" s="73">
        <f t="shared" si="153"/>
        <v>4625.4599999999991</v>
      </c>
      <c r="K471" s="73">
        <f t="shared" si="153"/>
        <v>4506.2400000000052</v>
      </c>
      <c r="L471" s="73">
        <f t="shared" si="153"/>
        <v>4215.7799999999952</v>
      </c>
      <c r="M471" s="73">
        <f t="shared" si="153"/>
        <v>4331.1900000000096</v>
      </c>
      <c r="N471" s="73">
        <f t="shared" si="153"/>
        <v>4731.3300000000017</v>
      </c>
      <c r="O471" s="85"/>
      <c r="P471" s="85"/>
      <c r="Q471" s="86"/>
      <c r="R471" s="86"/>
      <c r="S471" s="181"/>
      <c r="T471" s="182"/>
      <c r="U471" s="183"/>
      <c r="V471" s="212"/>
      <c r="W471" s="31"/>
      <c r="X471" s="157"/>
      <c r="Y471" s="157"/>
      <c r="Z471" s="157"/>
      <c r="AA471" s="157"/>
    </row>
    <row r="472" spans="1:29" x14ac:dyDescent="0.25">
      <c r="A472" s="249">
        <v>43320</v>
      </c>
      <c r="B472" s="261" t="s">
        <v>174</v>
      </c>
      <c r="C472" s="59" t="s">
        <v>176</v>
      </c>
      <c r="D472" s="64" t="s">
        <v>175</v>
      </c>
      <c r="E472" s="61" t="s">
        <v>186</v>
      </c>
      <c r="F472" s="146">
        <v>6839.48</v>
      </c>
      <c r="G472" s="146">
        <v>6826.21</v>
      </c>
      <c r="H472" s="146">
        <v>6870.9</v>
      </c>
      <c r="I472" s="146">
        <v>6834.68</v>
      </c>
      <c r="J472" s="146">
        <v>6894.53</v>
      </c>
      <c r="K472" s="146">
        <v>6858.91</v>
      </c>
      <c r="L472" s="146">
        <v>6859.58</v>
      </c>
      <c r="M472" s="146">
        <v>6862.33</v>
      </c>
      <c r="N472" s="146">
        <v>6947.74</v>
      </c>
      <c r="O472" s="61">
        <f>IF((N473=""),"",MAX(F474:N474))</f>
        <v>4023.8600000000006</v>
      </c>
      <c r="P472" s="61">
        <f>IF(N473="","",MIN(F474:N474))</f>
        <v>3680.4400000000005</v>
      </c>
      <c r="Q472" s="62">
        <f>IF((N474=""),"",AVERAGE(F474:N474))</f>
        <v>3900.0977777777775</v>
      </c>
      <c r="R472" s="62">
        <f>IF((N473=""),"",(O472-P472)/(O472+P472)*100)</f>
        <v>4.4575107407551631</v>
      </c>
      <c r="S472" s="152">
        <f>STDEV(F474:N474)</f>
        <v>119.54010140720344</v>
      </c>
      <c r="T472" s="158" t="str">
        <f>IF(N473="","",IF(Q472&gt;3650,IF(R472&lt;7,IF(Q472&lt;4450,"Pass","Fail"),"Fail"),"Fail"))</f>
        <v>Pass</v>
      </c>
      <c r="U472" s="184" t="s">
        <v>53</v>
      </c>
      <c r="V472" s="31" t="s">
        <v>204</v>
      </c>
      <c r="X472" s="155">
        <v>3650</v>
      </c>
      <c r="Y472" s="155">
        <v>4450</v>
      </c>
      <c r="Z472" s="155">
        <v>3700</v>
      </c>
      <c r="AA472" s="155">
        <v>4100</v>
      </c>
      <c r="AB472" s="51">
        <v>7</v>
      </c>
      <c r="AC472" s="51">
        <v>6.5</v>
      </c>
    </row>
    <row r="473" spans="1:29" ht="16.100000000000001" x14ac:dyDescent="0.35">
      <c r="A473"/>
      <c r="B473" s="44"/>
      <c r="C473" s="24"/>
      <c r="D473" s="24"/>
      <c r="E473" s="81" t="s">
        <v>187</v>
      </c>
      <c r="F473" s="28">
        <v>4945.67</v>
      </c>
      <c r="G473" s="28">
        <v>4843.21</v>
      </c>
      <c r="H473" s="28">
        <v>4860.76</v>
      </c>
      <c r="I473" s="28">
        <v>4848.45</v>
      </c>
      <c r="J473" s="28">
        <v>4994.22</v>
      </c>
      <c r="K473" s="28">
        <v>5018.6899999999996</v>
      </c>
      <c r="L473" s="28">
        <v>4877.9399999999996</v>
      </c>
      <c r="M473" s="28">
        <v>4850.3999999999996</v>
      </c>
      <c r="N473" s="28">
        <v>5004.58</v>
      </c>
      <c r="O473" s="81"/>
      <c r="P473" s="81"/>
      <c r="Q473" s="82"/>
      <c r="R473" s="82"/>
      <c r="S473" s="178"/>
      <c r="T473" s="28"/>
      <c r="U473" s="185"/>
      <c r="X473" s="157"/>
      <c r="Y473" s="157"/>
      <c r="Z473" s="157"/>
      <c r="AA473" s="157"/>
    </row>
    <row r="474" spans="1:29" ht="27" customHeight="1" x14ac:dyDescent="0.35">
      <c r="A474"/>
      <c r="B474" s="44"/>
      <c r="C474" s="24"/>
      <c r="D474" s="24"/>
      <c r="E474" s="81" t="s">
        <v>188</v>
      </c>
      <c r="F474" s="60">
        <f t="shared" ref="F474:N474" si="154">IF(((F472="")*AND(F473="")),"",(F472-F473)*2)</f>
        <v>3787.619999999999</v>
      </c>
      <c r="G474" s="60">
        <f t="shared" si="154"/>
        <v>3966</v>
      </c>
      <c r="H474" s="60">
        <f t="shared" si="154"/>
        <v>4020.2799999999988</v>
      </c>
      <c r="I474" s="60">
        <f t="shared" si="154"/>
        <v>3972.4600000000009</v>
      </c>
      <c r="J474" s="60">
        <f t="shared" si="154"/>
        <v>3800.619999999999</v>
      </c>
      <c r="K474" s="60">
        <f t="shared" si="154"/>
        <v>3680.4400000000005</v>
      </c>
      <c r="L474" s="60">
        <f t="shared" si="154"/>
        <v>3963.2800000000007</v>
      </c>
      <c r="M474" s="60">
        <f t="shared" si="154"/>
        <v>4023.8600000000006</v>
      </c>
      <c r="N474" s="60">
        <f t="shared" si="154"/>
        <v>3886.3199999999997</v>
      </c>
      <c r="O474" s="81"/>
      <c r="P474" s="81"/>
      <c r="Q474" s="82"/>
      <c r="R474" s="82"/>
      <c r="S474" s="178"/>
      <c r="T474" s="28"/>
      <c r="U474" s="185"/>
      <c r="X474" s="157"/>
      <c r="Y474" s="157"/>
      <c r="Z474" s="157"/>
      <c r="AA474" s="157"/>
    </row>
    <row r="475" spans="1:29" x14ac:dyDescent="0.25">
      <c r="A475" s="252">
        <v>43320</v>
      </c>
      <c r="B475" s="257" t="s">
        <v>169</v>
      </c>
      <c r="C475" s="24" t="s">
        <v>171</v>
      </c>
      <c r="D475" s="24" t="s">
        <v>189</v>
      </c>
      <c r="E475" s="81" t="s">
        <v>186</v>
      </c>
      <c r="F475" s="28">
        <v>1938.66</v>
      </c>
      <c r="G475" s="28">
        <v>1935.67</v>
      </c>
      <c r="H475" s="28">
        <v>1931.73</v>
      </c>
      <c r="I475" s="28">
        <v>1932.9</v>
      </c>
      <c r="J475" s="28">
        <v>1939.29</v>
      </c>
      <c r="K475" s="28">
        <v>1940.86</v>
      </c>
      <c r="L475" s="28">
        <v>1932.62</v>
      </c>
      <c r="M475" s="28">
        <v>1933.16</v>
      </c>
      <c r="N475" s="28">
        <v>1936.88</v>
      </c>
      <c r="O475" s="81">
        <f>IF((N476=""),"",MAX(F477:N477))</f>
        <v>2056.9500000000003</v>
      </c>
      <c r="P475" s="81">
        <f>IF(N476="","",MIN(F477:N477))</f>
        <v>1995.8999999999999</v>
      </c>
      <c r="Q475" s="82">
        <f>IF((N477=""),"",AVERAGE(F477:N477))</f>
        <v>2027.5500000000002</v>
      </c>
      <c r="R475" s="82">
        <f>IF((N476=""),"",(O475-P475)/(O475+P475)*100)</f>
        <v>1.5063473851734064</v>
      </c>
      <c r="S475" s="152">
        <f>STDEV(F477:N477)</f>
        <v>21.512735181747718</v>
      </c>
      <c r="T475" s="23" t="str">
        <f>IF(N476="","",IF(Q475&gt;1940,IF(R475&lt;8.3,IF(Q475&lt;2180,"Pass","Fail"),"Fail"),"Fail"))</f>
        <v>Pass</v>
      </c>
      <c r="U475" s="179" t="s">
        <v>53</v>
      </c>
      <c r="V475" s="31" t="s">
        <v>204</v>
      </c>
      <c r="X475" s="155">
        <v>2000</v>
      </c>
      <c r="Y475" s="155">
        <v>3000</v>
      </c>
      <c r="Z475" s="155">
        <v>1940</v>
      </c>
      <c r="AA475" s="155">
        <v>2180</v>
      </c>
      <c r="AC475" s="51">
        <v>5.2</v>
      </c>
    </row>
    <row r="476" spans="1:29" ht="16.100000000000001" x14ac:dyDescent="0.35">
      <c r="A476"/>
      <c r="B476" s="44"/>
      <c r="C476" s="24"/>
      <c r="D476" s="24"/>
      <c r="E476" s="81" t="s">
        <v>187</v>
      </c>
      <c r="F476" s="28">
        <v>1265.73</v>
      </c>
      <c r="G476" s="28">
        <v>1250.02</v>
      </c>
      <c r="H476" s="28">
        <v>1251</v>
      </c>
      <c r="I476" s="28">
        <v>1256.01</v>
      </c>
      <c r="J476" s="28">
        <v>1273.99</v>
      </c>
      <c r="K476" s="28">
        <v>1271.67</v>
      </c>
      <c r="L476" s="28">
        <v>1255.83</v>
      </c>
      <c r="M476" s="28">
        <v>1247.8499999999999</v>
      </c>
      <c r="N476" s="28">
        <v>1267.02</v>
      </c>
      <c r="O476" s="81"/>
      <c r="P476" s="81"/>
      <c r="Q476" s="82"/>
      <c r="R476" s="82"/>
      <c r="S476" s="178"/>
      <c r="T476" s="23"/>
      <c r="U476" s="179"/>
      <c r="X476" s="157"/>
      <c r="Y476" s="157"/>
      <c r="Z476" s="157"/>
      <c r="AA476" s="157"/>
    </row>
    <row r="477" spans="1:29" ht="27" customHeight="1" x14ac:dyDescent="0.35">
      <c r="A477"/>
      <c r="B477" s="44"/>
      <c r="C477" s="24"/>
      <c r="D477" s="24"/>
      <c r="E477" s="81" t="s">
        <v>190</v>
      </c>
      <c r="F477" s="60">
        <f t="shared" ref="F477:N477" si="155">IF(((F475="")*AND(F476="")),"",(F475-F476)*3)</f>
        <v>2018.7900000000002</v>
      </c>
      <c r="G477" s="60">
        <f t="shared" si="155"/>
        <v>2056.9500000000003</v>
      </c>
      <c r="H477" s="60">
        <f t="shared" si="155"/>
        <v>2042.19</v>
      </c>
      <c r="I477" s="60">
        <f t="shared" si="155"/>
        <v>2030.6700000000003</v>
      </c>
      <c r="J477" s="60">
        <f t="shared" si="155"/>
        <v>1995.8999999999999</v>
      </c>
      <c r="K477" s="60">
        <f t="shared" si="155"/>
        <v>2007.5699999999995</v>
      </c>
      <c r="L477" s="60">
        <f t="shared" si="155"/>
        <v>2030.37</v>
      </c>
      <c r="M477" s="60">
        <f t="shared" si="155"/>
        <v>2055.9300000000003</v>
      </c>
      <c r="N477" s="60">
        <f t="shared" si="155"/>
        <v>2009.5800000000004</v>
      </c>
      <c r="O477" s="81"/>
      <c r="P477" s="81"/>
      <c r="Q477" s="82"/>
      <c r="R477" s="82"/>
      <c r="S477" s="178"/>
      <c r="T477" s="23"/>
      <c r="U477" s="179"/>
      <c r="X477" s="157"/>
      <c r="Y477" s="157"/>
      <c r="Z477" s="157"/>
      <c r="AA477" s="157"/>
    </row>
    <row r="478" spans="1:29" x14ac:dyDescent="0.25">
      <c r="A478" s="252">
        <v>43320</v>
      </c>
      <c r="B478" s="260" t="s">
        <v>185</v>
      </c>
      <c r="C478" s="24" t="s">
        <v>173</v>
      </c>
      <c r="D478" s="24" t="s">
        <v>172</v>
      </c>
      <c r="E478" s="81" t="s">
        <v>186</v>
      </c>
      <c r="F478" s="28">
        <v>26122.21</v>
      </c>
      <c r="G478" s="28">
        <v>26254.959999999999</v>
      </c>
      <c r="H478" s="28">
        <v>26351.23</v>
      </c>
      <c r="I478" s="28">
        <v>26250.27</v>
      </c>
      <c r="J478" s="28">
        <v>26096.11</v>
      </c>
      <c r="K478" s="28">
        <v>26137.99</v>
      </c>
      <c r="L478" s="28">
        <v>26273.69</v>
      </c>
      <c r="M478" s="28">
        <v>26226.48</v>
      </c>
      <c r="N478" s="28">
        <v>26048.83</v>
      </c>
      <c r="O478" s="81">
        <f>IF((N479=""),"",MAX(F480:N480))</f>
        <v>4519.1999999999935</v>
      </c>
      <c r="P478" s="81">
        <f>IF(N479="","",MIN(F480:N480))</f>
        <v>4060.0800000000017</v>
      </c>
      <c r="Q478" s="82">
        <f>IF((N480=""),"",AVERAGE(F480:N480))</f>
        <v>4252.329999999999</v>
      </c>
      <c r="R478" s="82">
        <f>IF((N479=""),"",(O478-P478)/(O478+P478)*100)</f>
        <v>5.3514980278064357</v>
      </c>
      <c r="S478" s="152">
        <f>STDEV(F480:N480)</f>
        <v>175.78514399686941</v>
      </c>
      <c r="T478" s="23" t="str">
        <f>IF(N479="","",IF(R478&lt;16,IF(Q478&gt;3200,IF(R478,IF(Q478&lt;5240,"Pass","Fail"),"Fail"),"Fail")))</f>
        <v>Pass</v>
      </c>
      <c r="U478" s="179" t="s">
        <v>53</v>
      </c>
      <c r="V478" s="31" t="s">
        <v>204</v>
      </c>
      <c r="X478" s="155">
        <v>4200</v>
      </c>
      <c r="Y478" s="155">
        <v>5500</v>
      </c>
      <c r="Z478" s="155">
        <v>3200</v>
      </c>
      <c r="AA478" s="155">
        <v>5240</v>
      </c>
      <c r="AC478" s="51">
        <v>16</v>
      </c>
    </row>
    <row r="479" spans="1:29" ht="16.100000000000001" x14ac:dyDescent="0.35">
      <c r="A479"/>
      <c r="B479" s="44"/>
      <c r="C479" s="24"/>
      <c r="D479" s="24"/>
      <c r="E479" s="81" t="s">
        <v>187</v>
      </c>
      <c r="F479" s="28">
        <v>24615.81</v>
      </c>
      <c r="G479" s="28">
        <v>24874.9</v>
      </c>
      <c r="H479" s="28">
        <v>24997.87</v>
      </c>
      <c r="I479" s="28">
        <v>24883.32</v>
      </c>
      <c r="J479" s="28">
        <v>24641.73</v>
      </c>
      <c r="K479" s="28">
        <v>24671.02</v>
      </c>
      <c r="L479" s="28">
        <v>24897.32</v>
      </c>
      <c r="M479" s="28">
        <v>24854.27</v>
      </c>
      <c r="N479" s="28">
        <v>24568.54</v>
      </c>
      <c r="O479" s="81"/>
      <c r="P479" s="81"/>
      <c r="Q479" s="82"/>
      <c r="R479" s="82"/>
      <c r="S479" s="178"/>
      <c r="T479" s="23"/>
      <c r="U479" s="179"/>
      <c r="X479" s="157"/>
      <c r="Y479" s="157"/>
      <c r="Z479" s="157"/>
      <c r="AA479" s="157"/>
    </row>
    <row r="480" spans="1:29" ht="22.75" thickBot="1" x14ac:dyDescent="0.4">
      <c r="A480"/>
      <c r="B480" s="83"/>
      <c r="C480" s="84"/>
      <c r="D480" s="84"/>
      <c r="E480" s="85" t="s">
        <v>188</v>
      </c>
      <c r="F480" s="73">
        <f t="shared" ref="F480:N480" si="156">IF(((F478="")*AND(F479="")),"",(F478-F479)*3)</f>
        <v>4519.1999999999935</v>
      </c>
      <c r="G480" s="73">
        <f t="shared" si="156"/>
        <v>4140.179999999993</v>
      </c>
      <c r="H480" s="73">
        <f t="shared" si="156"/>
        <v>4060.0800000000017</v>
      </c>
      <c r="I480" s="73">
        <f t="shared" si="156"/>
        <v>4100.8500000000022</v>
      </c>
      <c r="J480" s="73">
        <f t="shared" si="156"/>
        <v>4363.1400000000031</v>
      </c>
      <c r="K480" s="73">
        <f t="shared" si="156"/>
        <v>4400.9100000000035</v>
      </c>
      <c r="L480" s="73">
        <f t="shared" si="156"/>
        <v>4129.1099999999969</v>
      </c>
      <c r="M480" s="73">
        <f t="shared" si="156"/>
        <v>4116.6299999999974</v>
      </c>
      <c r="N480" s="73">
        <f t="shared" si="156"/>
        <v>4440.8700000000026</v>
      </c>
      <c r="O480" s="85"/>
      <c r="P480" s="85"/>
      <c r="Q480" s="86"/>
      <c r="R480" s="86"/>
      <c r="S480" s="181"/>
      <c r="T480" s="182"/>
      <c r="U480" s="183"/>
      <c r="X480" s="157"/>
      <c r="Y480" s="157"/>
      <c r="Z480" s="157"/>
      <c r="AA480" s="157"/>
    </row>
    <row r="481" spans="1:29" x14ac:dyDescent="0.25">
      <c r="A481" s="249">
        <v>43322</v>
      </c>
      <c r="B481" s="261" t="s">
        <v>174</v>
      </c>
      <c r="C481" s="59" t="s">
        <v>176</v>
      </c>
      <c r="D481" s="64" t="s">
        <v>175</v>
      </c>
      <c r="E481" s="61" t="s">
        <v>186</v>
      </c>
      <c r="F481" s="31">
        <v>4953.6000000000004</v>
      </c>
      <c r="G481" s="31">
        <v>4853.66</v>
      </c>
      <c r="H481" s="31">
        <v>4870.76</v>
      </c>
      <c r="I481" s="31">
        <v>4858.71</v>
      </c>
      <c r="J481" s="31">
        <v>5000.79</v>
      </c>
      <c r="K481" s="31">
        <v>5025</v>
      </c>
      <c r="L481" s="31">
        <v>4887.74</v>
      </c>
      <c r="M481" s="31">
        <v>4860.87</v>
      </c>
      <c r="N481" s="31">
        <v>5011.5</v>
      </c>
      <c r="O481" s="61">
        <f>IF((N482=""),"",MAX(F483:N483))</f>
        <v>4035.6400000000003</v>
      </c>
      <c r="P481" s="61">
        <f>IF(N482="","",MIN(F483:N483))</f>
        <v>3675.62</v>
      </c>
      <c r="Q481" s="62">
        <f>IF((N483=""),"",AVERAGE(F483:N483))</f>
        <v>3908.1888888888884</v>
      </c>
      <c r="R481" s="62">
        <f>IF((N482=""),"",(O481-P481)/(O481+P481)*100)</f>
        <v>4.66875711621707</v>
      </c>
      <c r="S481" s="152">
        <f>STDEV(F483:N483)</f>
        <v>127.82060362520221</v>
      </c>
      <c r="T481" s="158" t="str">
        <f>IF(N482="","",IF(Q481&gt;3650,IF(R481&lt;7,IF(Q481&lt;4450,"Pass","Fail"),"Fail"),"Fail"))</f>
        <v>Pass</v>
      </c>
      <c r="U481" s="184">
        <v>1428</v>
      </c>
      <c r="X481" s="155">
        <v>3650</v>
      </c>
      <c r="Y481" s="155">
        <v>4450</v>
      </c>
      <c r="Z481" s="155">
        <v>3700</v>
      </c>
      <c r="AA481" s="155">
        <v>4100</v>
      </c>
      <c r="AB481" s="51">
        <v>7</v>
      </c>
      <c r="AC481" s="51">
        <v>6.5</v>
      </c>
    </row>
    <row r="482" spans="1:29" ht="16.100000000000001" x14ac:dyDescent="0.35">
      <c r="A482"/>
      <c r="B482" s="44"/>
      <c r="C482" s="24"/>
      <c r="D482" s="24"/>
      <c r="E482" s="81" t="s">
        <v>187</v>
      </c>
      <c r="F482" s="31">
        <v>3052.71</v>
      </c>
      <c r="G482" s="31">
        <v>2859.34</v>
      </c>
      <c r="H482" s="31">
        <v>2852.94</v>
      </c>
      <c r="I482" s="31">
        <v>2863.09</v>
      </c>
      <c r="J482" s="31">
        <v>3105.68</v>
      </c>
      <c r="K482" s="31">
        <v>3187.19</v>
      </c>
      <c r="L482" s="31">
        <v>2899.51</v>
      </c>
      <c r="M482" s="31">
        <v>2843.09</v>
      </c>
      <c r="N482" s="31">
        <v>3072.23</v>
      </c>
      <c r="O482" s="81"/>
      <c r="P482" s="81"/>
      <c r="Q482" s="82"/>
      <c r="R482" s="82"/>
      <c r="S482" s="178"/>
      <c r="T482" s="28"/>
      <c r="U482" s="185"/>
      <c r="X482" s="157"/>
      <c r="Y482" s="157"/>
      <c r="Z482" s="157"/>
      <c r="AA482" s="157"/>
    </row>
    <row r="483" spans="1:29" ht="22.15" x14ac:dyDescent="0.35">
      <c r="A483"/>
      <c r="B483" s="44"/>
      <c r="C483" s="24"/>
      <c r="D483" s="24"/>
      <c r="E483" s="81" t="s">
        <v>188</v>
      </c>
      <c r="F483" s="60">
        <f t="shared" ref="F483:N483" si="157">IF(((F481="")*AND(F482="")),"",(F481-F482)*2)</f>
        <v>3801.7800000000007</v>
      </c>
      <c r="G483" s="60">
        <f t="shared" si="157"/>
        <v>3988.6399999999994</v>
      </c>
      <c r="H483" s="60">
        <f t="shared" si="157"/>
        <v>4035.6400000000003</v>
      </c>
      <c r="I483" s="60">
        <f t="shared" si="157"/>
        <v>3991.24</v>
      </c>
      <c r="J483" s="60">
        <f t="shared" si="157"/>
        <v>3790.2200000000003</v>
      </c>
      <c r="K483" s="60">
        <f t="shared" si="157"/>
        <v>3675.62</v>
      </c>
      <c r="L483" s="60">
        <f t="shared" si="157"/>
        <v>3976.4599999999991</v>
      </c>
      <c r="M483" s="60">
        <f t="shared" si="157"/>
        <v>4035.5599999999995</v>
      </c>
      <c r="N483" s="60">
        <f t="shared" si="157"/>
        <v>3878.54</v>
      </c>
      <c r="O483" s="81"/>
      <c r="P483" s="81"/>
      <c r="Q483" s="82"/>
      <c r="R483" s="82"/>
      <c r="S483" s="178"/>
      <c r="T483" s="28"/>
      <c r="U483" s="185"/>
      <c r="X483" s="157"/>
      <c r="Y483" s="157"/>
      <c r="Z483" s="157"/>
      <c r="AA483" s="157"/>
    </row>
    <row r="484" spans="1:29" x14ac:dyDescent="0.25">
      <c r="A484" s="252">
        <v>43322</v>
      </c>
      <c r="B484" s="257" t="s">
        <v>169</v>
      </c>
      <c r="C484" s="24" t="s">
        <v>171</v>
      </c>
      <c r="D484" s="24" t="s">
        <v>189</v>
      </c>
      <c r="E484" s="81" t="s">
        <v>186</v>
      </c>
      <c r="F484" s="31">
        <v>1273.8399999999999</v>
      </c>
      <c r="G484" s="31">
        <v>1251.7</v>
      </c>
      <c r="H484" s="31">
        <v>1253.77</v>
      </c>
      <c r="I484" s="31">
        <v>1259.04</v>
      </c>
      <c r="J484" s="31">
        <v>1276.1099999999999</v>
      </c>
      <c r="K484" s="31">
        <v>1273.43</v>
      </c>
      <c r="L484" s="31">
        <v>1258.04</v>
      </c>
      <c r="M484" s="31">
        <v>1249.3800000000001</v>
      </c>
      <c r="N484" s="31">
        <v>1271.74</v>
      </c>
      <c r="O484" s="81">
        <f>IF((N485=""),"",MAX(F486:N486))</f>
        <v>2061.5099999999998</v>
      </c>
      <c r="P484" s="81">
        <f>IF(N485="","",MIN(F486:N486))</f>
        <v>1972.2599999999995</v>
      </c>
      <c r="Q484" s="82">
        <f>IF((N486=""),"",AVERAGE(F486:N486))</f>
        <v>2034.1366666666665</v>
      </c>
      <c r="R484" s="82">
        <f>IF((N485=""),"",(O484-P484)/(O484+P484)*100)</f>
        <v>2.2125703746123415</v>
      </c>
      <c r="S484" s="152">
        <f>STDEV(F486:N486)</f>
        <v>32.939218266376628</v>
      </c>
      <c r="T484" s="23" t="str">
        <f>IF(N485="","",IF(Q484&gt;1940,IF(R484&lt;8.3,IF(Q484&lt;2180,"Pass","Fail"),"Fail"),"Fail"))</f>
        <v>Pass</v>
      </c>
      <c r="U484" s="179">
        <v>1428</v>
      </c>
      <c r="X484" s="155">
        <v>2000</v>
      </c>
      <c r="Y484" s="155">
        <v>3000</v>
      </c>
      <c r="Z484" s="155">
        <v>1940</v>
      </c>
      <c r="AA484" s="155">
        <v>2180</v>
      </c>
      <c r="AC484" s="51">
        <v>5.2</v>
      </c>
    </row>
    <row r="485" spans="1:29" ht="16.100000000000001" x14ac:dyDescent="0.35">
      <c r="A485"/>
      <c r="B485" s="44"/>
      <c r="C485" s="24"/>
      <c r="D485" s="24"/>
      <c r="E485" s="81" t="s">
        <v>187</v>
      </c>
      <c r="F485" s="31">
        <v>587.09</v>
      </c>
      <c r="G485" s="31">
        <v>564.78</v>
      </c>
      <c r="H485" s="31">
        <v>566.6</v>
      </c>
      <c r="I485" s="31">
        <v>577.66</v>
      </c>
      <c r="J485" s="31">
        <v>618.69000000000005</v>
      </c>
      <c r="K485" s="31">
        <v>606.55999999999995</v>
      </c>
      <c r="L485" s="31">
        <v>577.97</v>
      </c>
      <c r="M485" s="31">
        <v>562.49</v>
      </c>
      <c r="N485" s="31">
        <v>602.79999999999995</v>
      </c>
      <c r="O485" s="81"/>
      <c r="P485" s="81"/>
      <c r="Q485" s="82"/>
      <c r="R485" s="82"/>
      <c r="S485" s="178"/>
      <c r="T485" s="23"/>
      <c r="U485" s="179"/>
      <c r="X485" s="157"/>
      <c r="Y485" s="157"/>
      <c r="Z485" s="157"/>
      <c r="AA485" s="157"/>
    </row>
    <row r="486" spans="1:29" ht="16.100000000000001" x14ac:dyDescent="0.35">
      <c r="A486"/>
      <c r="B486" s="44"/>
      <c r="C486" s="24"/>
      <c r="D486" s="24"/>
      <c r="E486" s="81" t="s">
        <v>190</v>
      </c>
      <c r="F486" s="60">
        <f t="shared" ref="F486:N486" si="158">IF(((F484="")*AND(F485="")),"",(F484-F485)*3)</f>
        <v>2060.2499999999995</v>
      </c>
      <c r="G486" s="60">
        <f t="shared" si="158"/>
        <v>2060.7600000000002</v>
      </c>
      <c r="H486" s="60">
        <f t="shared" si="158"/>
        <v>2061.5099999999998</v>
      </c>
      <c r="I486" s="60">
        <f t="shared" si="158"/>
        <v>2044.1399999999999</v>
      </c>
      <c r="J486" s="60">
        <f t="shared" si="158"/>
        <v>1972.2599999999995</v>
      </c>
      <c r="K486" s="60">
        <f t="shared" si="158"/>
        <v>2000.6100000000004</v>
      </c>
      <c r="L486" s="60">
        <f t="shared" si="158"/>
        <v>2040.2099999999998</v>
      </c>
      <c r="M486" s="60">
        <f t="shared" si="158"/>
        <v>2060.67</v>
      </c>
      <c r="N486" s="60">
        <f t="shared" si="158"/>
        <v>2006.8200000000002</v>
      </c>
      <c r="O486" s="81"/>
      <c r="P486" s="81"/>
      <c r="Q486" s="82"/>
      <c r="R486" s="82"/>
      <c r="S486" s="178"/>
      <c r="T486" s="23"/>
      <c r="U486" s="179"/>
      <c r="X486" s="157"/>
      <c r="Y486" s="157"/>
      <c r="Z486" s="157"/>
      <c r="AA486" s="157"/>
    </row>
    <row r="487" spans="1:29" x14ac:dyDescent="0.25">
      <c r="A487" s="252">
        <v>43322</v>
      </c>
      <c r="B487" s="260" t="s">
        <v>185</v>
      </c>
      <c r="C487" s="24" t="s">
        <v>173</v>
      </c>
      <c r="D487" s="24" t="s">
        <v>172</v>
      </c>
      <c r="E487" s="81" t="s">
        <v>186</v>
      </c>
      <c r="F487" s="31">
        <v>24586.41</v>
      </c>
      <c r="G487" s="31">
        <v>24844.32</v>
      </c>
      <c r="H487" s="31">
        <v>24966.42</v>
      </c>
      <c r="I487" s="31">
        <v>24854.55</v>
      </c>
      <c r="J487" s="31">
        <v>24604.13</v>
      </c>
      <c r="K487" s="31">
        <v>24649.67</v>
      </c>
      <c r="L487" s="31">
        <v>24866.05</v>
      </c>
      <c r="M487" s="31">
        <v>24816.76</v>
      </c>
      <c r="N487" s="31">
        <v>24525.46</v>
      </c>
      <c r="O487" s="81">
        <f>IF((N488=""),"",MAX(F489:N489))</f>
        <v>4451.1599999999926</v>
      </c>
      <c r="P487" s="81">
        <f>IF(N488="","",MIN(F489:N489))</f>
        <v>4045.8599999999969</v>
      </c>
      <c r="Q487" s="82">
        <f>IF((N489=""),"",AVERAGE(F489:N489))</f>
        <v>4233.5533333333296</v>
      </c>
      <c r="R487" s="82">
        <f>IF((N488=""),"",(O487-P487)/(O487+P487)*100)</f>
        <v>4.7699075675942408</v>
      </c>
      <c r="S487" s="152">
        <f>STDEV(F489:N489)</f>
        <v>170.56541560351369</v>
      </c>
      <c r="T487" s="23" t="str">
        <f>IF(N488="","",IF(R487&lt;16,IF(Q487&gt;3200,IF(R487,IF(Q487&lt;5240,"Pass","Fail"),"Fail"),"Fail")))</f>
        <v>Pass</v>
      </c>
      <c r="U487" s="179">
        <v>1428</v>
      </c>
      <c r="X487" s="155">
        <v>4200</v>
      </c>
      <c r="Y487" s="155">
        <v>5500</v>
      </c>
      <c r="Z487" s="155">
        <v>3200</v>
      </c>
      <c r="AA487" s="155">
        <v>5240</v>
      </c>
      <c r="AC487" s="51">
        <v>16</v>
      </c>
    </row>
    <row r="488" spans="1:29" ht="16.100000000000001" x14ac:dyDescent="0.35">
      <c r="A488"/>
      <c r="B488" s="44"/>
      <c r="C488" s="24"/>
      <c r="D488" s="24"/>
      <c r="E488" s="81" t="s">
        <v>187</v>
      </c>
      <c r="F488" s="31">
        <v>23128.33</v>
      </c>
      <c r="G488" s="31">
        <v>23478.21</v>
      </c>
      <c r="H488" s="31">
        <v>23617.8</v>
      </c>
      <c r="I488" s="31">
        <v>23477.53</v>
      </c>
      <c r="J488" s="31">
        <v>23131.24</v>
      </c>
      <c r="K488" s="31">
        <v>23183.88</v>
      </c>
      <c r="L488" s="31">
        <v>23508.34</v>
      </c>
      <c r="M488" s="31">
        <v>23446.04</v>
      </c>
      <c r="N488" s="31">
        <v>23041.74</v>
      </c>
      <c r="O488" s="81"/>
      <c r="P488" s="81"/>
      <c r="Q488" s="82"/>
      <c r="R488" s="82"/>
      <c r="S488" s="178"/>
      <c r="T488" s="23"/>
      <c r="U488" s="179"/>
      <c r="X488" s="157"/>
      <c r="Y488" s="157"/>
      <c r="Z488" s="157"/>
      <c r="AA488" s="157"/>
    </row>
    <row r="489" spans="1:29" ht="22.75" thickBot="1" x14ac:dyDescent="0.4">
      <c r="A489"/>
      <c r="B489" s="87"/>
      <c r="C489" s="66"/>
      <c r="D489" s="66"/>
      <c r="E489" s="68" t="s">
        <v>188</v>
      </c>
      <c r="F489" s="65">
        <f t="shared" ref="F489:N489" si="159">IF(((F487="")*AND(F488="")),"",(F487-F488)*3)</f>
        <v>4374.2399999999943</v>
      </c>
      <c r="G489" s="65">
        <f t="shared" si="159"/>
        <v>4098.3300000000017</v>
      </c>
      <c r="H489" s="65">
        <f t="shared" si="159"/>
        <v>4045.8599999999969</v>
      </c>
      <c r="I489" s="65">
        <f t="shared" si="159"/>
        <v>4131.0600000000013</v>
      </c>
      <c r="J489" s="65">
        <f t="shared" si="159"/>
        <v>4418.6699999999983</v>
      </c>
      <c r="K489" s="65">
        <f t="shared" si="159"/>
        <v>4397.3699999999917</v>
      </c>
      <c r="L489" s="65">
        <f t="shared" si="159"/>
        <v>4073.1299999999974</v>
      </c>
      <c r="M489" s="65">
        <f t="shared" si="159"/>
        <v>4112.1599999999926</v>
      </c>
      <c r="N489" s="65">
        <f t="shared" si="159"/>
        <v>4451.1599999999926</v>
      </c>
      <c r="O489" s="68"/>
      <c r="P489" s="68"/>
      <c r="Q489" s="69"/>
      <c r="R489" s="69"/>
      <c r="S489" s="186"/>
      <c r="T489" s="160"/>
      <c r="U489" s="187"/>
      <c r="X489" s="157"/>
      <c r="Y489" s="157"/>
      <c r="Z489" s="157"/>
      <c r="AA489" s="157"/>
    </row>
    <row r="490" spans="1:29" x14ac:dyDescent="0.25">
      <c r="A490" s="251">
        <v>43328</v>
      </c>
      <c r="B490" s="259" t="s">
        <v>174</v>
      </c>
      <c r="C490" s="64" t="s">
        <v>176</v>
      </c>
      <c r="D490" s="64" t="s">
        <v>175</v>
      </c>
      <c r="E490" s="79" t="s">
        <v>186</v>
      </c>
      <c r="F490" s="175">
        <v>6945.23</v>
      </c>
      <c r="G490" s="175">
        <v>6937.17</v>
      </c>
      <c r="H490" s="175">
        <v>6986.48</v>
      </c>
      <c r="I490" s="175">
        <v>6948.31</v>
      </c>
      <c r="J490" s="175">
        <v>6995.27</v>
      </c>
      <c r="K490" s="175">
        <v>6958.84</v>
      </c>
      <c r="L490" s="175">
        <v>6969.59</v>
      </c>
      <c r="M490" s="175">
        <v>6978.8</v>
      </c>
      <c r="N490" s="175">
        <v>7054.81</v>
      </c>
      <c r="O490" s="79">
        <f>IF((N491=""),"",MAX(F492:N492))</f>
        <v>4069.9799999999996</v>
      </c>
      <c r="P490" s="79">
        <f>IF(N491="","",MIN(F492:N492))</f>
        <v>3741.6200000000008</v>
      </c>
      <c r="Q490" s="80">
        <f>IF((N492=""),"",AVERAGE(F492:N492))</f>
        <v>3950.3333333333335</v>
      </c>
      <c r="R490" s="80">
        <f>IF((N491=""),"",(O490-P490)/(O490+P490)*100)</f>
        <v>4.2034922423062975</v>
      </c>
      <c r="S490" s="152">
        <f>STDEV(F492:N492)</f>
        <v>116.86572123595516</v>
      </c>
      <c r="T490" s="176" t="str">
        <f>IF(N491="","",IF(Q490&gt;3650,IF(R490&lt;7,IF(Q490&lt;4450,"Pass","Fail"),"Fail"),"Fail"))</f>
        <v>Pass</v>
      </c>
      <c r="U490" s="188">
        <v>1335</v>
      </c>
      <c r="X490" s="155">
        <v>3650</v>
      </c>
      <c r="Y490" s="155">
        <v>4450</v>
      </c>
      <c r="Z490" s="155">
        <v>3700</v>
      </c>
      <c r="AA490" s="155">
        <v>4100</v>
      </c>
      <c r="AB490" s="51">
        <v>7</v>
      </c>
      <c r="AC490" s="51">
        <v>6.5</v>
      </c>
    </row>
    <row r="491" spans="1:29" ht="16.100000000000001" x14ac:dyDescent="0.35">
      <c r="A491"/>
      <c r="B491" s="44"/>
      <c r="C491" s="24"/>
      <c r="D491" s="24"/>
      <c r="E491" s="81" t="s">
        <v>187</v>
      </c>
      <c r="F491" s="28">
        <v>5016.49</v>
      </c>
      <c r="G491" s="28">
        <v>4920.8</v>
      </c>
      <c r="H491" s="28">
        <v>4951.49</v>
      </c>
      <c r="I491" s="28">
        <v>4938.37</v>
      </c>
      <c r="J491" s="28">
        <v>5075.3900000000003</v>
      </c>
      <c r="K491" s="28">
        <v>5088.03</v>
      </c>
      <c r="L491" s="28">
        <v>4963.2700000000004</v>
      </c>
      <c r="M491" s="28">
        <v>4945.3999999999996</v>
      </c>
      <c r="N491" s="28">
        <v>5098.76</v>
      </c>
      <c r="O491" s="81"/>
      <c r="P491" s="81"/>
      <c r="Q491" s="82"/>
      <c r="R491" s="82"/>
      <c r="S491" s="178"/>
      <c r="T491" s="28"/>
      <c r="U491" s="185"/>
      <c r="X491" s="157"/>
      <c r="Y491" s="157"/>
      <c r="Z491" s="157"/>
      <c r="AA491" s="157"/>
    </row>
    <row r="492" spans="1:29" ht="22.15" x14ac:dyDescent="0.35">
      <c r="A492"/>
      <c r="B492" s="44"/>
      <c r="C492" s="24"/>
      <c r="D492" s="24"/>
      <c r="E492" s="81" t="s">
        <v>188</v>
      </c>
      <c r="F492" s="60">
        <f t="shared" ref="F492:N492" si="160">IF(((F490="")*AND(F491="")),"",(F490-F491)*2)</f>
        <v>3857.4799999999996</v>
      </c>
      <c r="G492" s="60">
        <f t="shared" si="160"/>
        <v>4032.74</v>
      </c>
      <c r="H492" s="60">
        <f t="shared" si="160"/>
        <v>4069.9799999999996</v>
      </c>
      <c r="I492" s="60">
        <f t="shared" si="160"/>
        <v>4019.880000000001</v>
      </c>
      <c r="J492" s="60">
        <f t="shared" si="160"/>
        <v>3839.76</v>
      </c>
      <c r="K492" s="60">
        <f t="shared" si="160"/>
        <v>3741.6200000000008</v>
      </c>
      <c r="L492" s="60">
        <f t="shared" si="160"/>
        <v>4012.6399999999994</v>
      </c>
      <c r="M492" s="60">
        <f t="shared" si="160"/>
        <v>4066.8000000000011</v>
      </c>
      <c r="N492" s="60">
        <f t="shared" si="160"/>
        <v>3912.1000000000004</v>
      </c>
      <c r="O492" s="81"/>
      <c r="P492" s="81"/>
      <c r="Q492" s="82"/>
      <c r="R492" s="82"/>
      <c r="S492" s="178"/>
      <c r="T492" s="28"/>
      <c r="U492" s="185"/>
      <c r="X492" s="157"/>
      <c r="Y492" s="157"/>
      <c r="Z492" s="157"/>
      <c r="AA492" s="157"/>
    </row>
    <row r="493" spans="1:29" x14ac:dyDescent="0.25">
      <c r="A493" s="252">
        <v>43328</v>
      </c>
      <c r="B493" s="257" t="s">
        <v>169</v>
      </c>
      <c r="C493" s="24" t="s">
        <v>171</v>
      </c>
      <c r="D493" s="24" t="s">
        <v>189</v>
      </c>
      <c r="E493" s="81" t="s">
        <v>186</v>
      </c>
      <c r="F493" s="28">
        <v>1927.72</v>
      </c>
      <c r="G493" s="28">
        <v>1922.3</v>
      </c>
      <c r="H493" s="28">
        <v>1913.48</v>
      </c>
      <c r="I493" s="28">
        <v>1919.53</v>
      </c>
      <c r="J493" s="28">
        <v>1925.99</v>
      </c>
      <c r="K493" s="28">
        <v>1927.23</v>
      </c>
      <c r="L493" s="28">
        <v>1921.48</v>
      </c>
      <c r="M493" s="28">
        <v>1920.43</v>
      </c>
      <c r="N493" s="28">
        <v>1925.38</v>
      </c>
      <c r="O493" s="81">
        <f>IF((N494=""),"",MAX(F495:N495))</f>
        <v>2082.5100000000002</v>
      </c>
      <c r="P493" s="81">
        <f>IF(N494="","",MIN(F495:N495))</f>
        <v>2036.5199999999998</v>
      </c>
      <c r="Q493" s="82">
        <f>IF((N495=""),"",AVERAGE(F495:N495))</f>
        <v>2060.9766666666669</v>
      </c>
      <c r="R493" s="82">
        <f>IF((N494=""),"",(O493-P493)/(O493+P493)*100)</f>
        <v>1.1165250071011978</v>
      </c>
      <c r="S493" s="152">
        <f>STDEV(F495:N495)</f>
        <v>16.144228845008517</v>
      </c>
      <c r="T493" s="23" t="str">
        <f>IF(N494="","",IF(Q493&gt;1940,IF(R493&lt;8.3,IF(Q493&lt;2180,"Pass","Fail"),"Fail"),"Fail"))</f>
        <v>Pass</v>
      </c>
      <c r="U493" s="179">
        <v>1335</v>
      </c>
      <c r="X493" s="155">
        <v>2000</v>
      </c>
      <c r="Y493" s="155">
        <v>3000</v>
      </c>
      <c r="Z493" s="155">
        <v>1940</v>
      </c>
      <c r="AA493" s="155">
        <v>2180</v>
      </c>
      <c r="AC493" s="51">
        <v>5.2</v>
      </c>
    </row>
    <row r="494" spans="1:29" ht="16.100000000000001" x14ac:dyDescent="0.35">
      <c r="A494"/>
      <c r="B494" s="44"/>
      <c r="C494" s="24"/>
      <c r="D494" s="24"/>
      <c r="E494" s="81" t="s">
        <v>187</v>
      </c>
      <c r="F494" s="28">
        <v>1243.17</v>
      </c>
      <c r="G494" s="28">
        <v>1231.1500000000001</v>
      </c>
      <c r="H494" s="28">
        <v>1221.99</v>
      </c>
      <c r="I494" s="28">
        <v>1229.8599999999999</v>
      </c>
      <c r="J494" s="28">
        <v>1246.93</v>
      </c>
      <c r="K494" s="28">
        <v>1248.3900000000001</v>
      </c>
      <c r="L494" s="28">
        <v>1234.73</v>
      </c>
      <c r="M494" s="28">
        <v>1226.26</v>
      </c>
      <c r="N494" s="28">
        <v>1238.1300000000001</v>
      </c>
      <c r="O494" s="81"/>
      <c r="P494" s="81"/>
      <c r="Q494" s="82"/>
      <c r="R494" s="82"/>
      <c r="S494" s="178"/>
      <c r="T494" s="23"/>
      <c r="U494" s="179"/>
      <c r="X494" s="157"/>
      <c r="Y494" s="157"/>
      <c r="Z494" s="157"/>
      <c r="AA494" s="157"/>
    </row>
    <row r="495" spans="1:29" ht="32.299999999999997" customHeight="1" x14ac:dyDescent="0.35">
      <c r="A495"/>
      <c r="B495" s="44"/>
      <c r="C495" s="24"/>
      <c r="D495" s="24"/>
      <c r="E495" s="81" t="s">
        <v>190</v>
      </c>
      <c r="F495" s="60">
        <f t="shared" ref="F495:N495" si="161">IF(((F493="")*AND(F494="")),"",(F493-F494)*3)</f>
        <v>2053.6499999999996</v>
      </c>
      <c r="G495" s="60">
        <f t="shared" si="161"/>
        <v>2073.4499999999998</v>
      </c>
      <c r="H495" s="60">
        <f t="shared" si="161"/>
        <v>2074.4700000000003</v>
      </c>
      <c r="I495" s="60">
        <f t="shared" si="161"/>
        <v>2069.0100000000002</v>
      </c>
      <c r="J495" s="60">
        <f t="shared" si="161"/>
        <v>2037.1799999999998</v>
      </c>
      <c r="K495" s="60">
        <f t="shared" si="161"/>
        <v>2036.5199999999998</v>
      </c>
      <c r="L495" s="60">
        <f t="shared" si="161"/>
        <v>2060.25</v>
      </c>
      <c r="M495" s="60">
        <f t="shared" si="161"/>
        <v>2082.5100000000002</v>
      </c>
      <c r="N495" s="60">
        <f t="shared" si="161"/>
        <v>2061.75</v>
      </c>
      <c r="O495" s="81"/>
      <c r="P495" s="81"/>
      <c r="Q495" s="82"/>
      <c r="R495" s="82"/>
      <c r="S495" s="178"/>
      <c r="T495" s="23"/>
      <c r="U495" s="179"/>
      <c r="X495" s="157"/>
      <c r="Y495" s="157"/>
      <c r="Z495" s="157"/>
      <c r="AA495" s="157"/>
    </row>
    <row r="496" spans="1:29" x14ac:dyDescent="0.25">
      <c r="A496" s="252">
        <v>43328</v>
      </c>
      <c r="B496" s="260" t="s">
        <v>185</v>
      </c>
      <c r="C496" s="24" t="s">
        <v>173</v>
      </c>
      <c r="D496" s="24" t="s">
        <v>172</v>
      </c>
      <c r="E496" s="81" t="s">
        <v>186</v>
      </c>
      <c r="F496" s="28">
        <v>23045.26</v>
      </c>
      <c r="G496" s="28">
        <v>23402.57</v>
      </c>
      <c r="H496" s="28">
        <v>23539.77</v>
      </c>
      <c r="I496" s="28">
        <v>23404.69</v>
      </c>
      <c r="J496" s="28">
        <v>23040.68</v>
      </c>
      <c r="K496" s="28">
        <v>23105.360000000001</v>
      </c>
      <c r="L496" s="28">
        <v>23430.17</v>
      </c>
      <c r="M496" s="28">
        <v>23365.94</v>
      </c>
      <c r="N496" s="28">
        <v>22960.62</v>
      </c>
      <c r="O496" s="81">
        <f>IF((N497=""),"",MAX(F498:N498))</f>
        <v>4654.6499999999978</v>
      </c>
      <c r="P496" s="81">
        <f>IF(N497="","",MIN(F498:N498))</f>
        <v>4150.3799999999974</v>
      </c>
      <c r="Q496" s="82">
        <f>IF((N498=""),"",AVERAGE(F498:N498))</f>
        <v>4379.6833333333307</v>
      </c>
      <c r="R496" s="82">
        <f>IF((N497=""),"",(O496-P496)/(O496+P496)*100)</f>
        <v>5.7270673694467904</v>
      </c>
      <c r="S496" s="152">
        <f>STDEV(F498:N498)</f>
        <v>188.20711370721395</v>
      </c>
      <c r="T496" s="23" t="str">
        <f>IF(N497="","",IF(R496&lt;16,IF(Q496&gt;3200,IF(R496,IF(Q496&lt;5240,"Pass","Fail"),"Fail"),"Fail")))</f>
        <v>Pass</v>
      </c>
      <c r="U496" s="179">
        <v>1335</v>
      </c>
      <c r="X496" s="155">
        <v>4200</v>
      </c>
      <c r="Y496" s="155">
        <v>5500</v>
      </c>
      <c r="Z496" s="155">
        <v>3200</v>
      </c>
      <c r="AA496" s="155">
        <v>5240</v>
      </c>
      <c r="AC496" s="51">
        <v>16</v>
      </c>
    </row>
    <row r="497" spans="1:29" ht="16.100000000000001" x14ac:dyDescent="0.35">
      <c r="A497"/>
      <c r="B497" s="44"/>
      <c r="C497" s="24"/>
      <c r="D497" s="24"/>
      <c r="E497" s="81" t="s">
        <v>187</v>
      </c>
      <c r="F497" s="28">
        <v>21534.95</v>
      </c>
      <c r="G497" s="28">
        <v>21992.57</v>
      </c>
      <c r="H497" s="28">
        <v>22156.31</v>
      </c>
      <c r="I497" s="28">
        <v>21982.39</v>
      </c>
      <c r="J497" s="28">
        <v>21508.28</v>
      </c>
      <c r="K497" s="28">
        <v>21607.95</v>
      </c>
      <c r="L497" s="28">
        <v>22025.48</v>
      </c>
      <c r="M497" s="28">
        <v>21939.01</v>
      </c>
      <c r="N497" s="28">
        <v>21409.07</v>
      </c>
      <c r="O497" s="81"/>
      <c r="P497" s="81"/>
      <c r="Q497" s="82"/>
      <c r="R497" s="82"/>
      <c r="S497" s="178"/>
      <c r="T497" s="23"/>
      <c r="U497" s="179"/>
      <c r="X497" s="157"/>
      <c r="Y497" s="157"/>
      <c r="Z497" s="157"/>
      <c r="AA497" s="157"/>
    </row>
    <row r="498" spans="1:29" ht="22.75" thickBot="1" x14ac:dyDescent="0.4">
      <c r="A498"/>
      <c r="B498" s="83"/>
      <c r="C498" s="84"/>
      <c r="D498" s="84"/>
      <c r="E498" s="85" t="s">
        <v>188</v>
      </c>
      <c r="F498" s="73">
        <f t="shared" ref="F498:N498" si="162">IF(((F496="")*AND(F497="")),"",(F496-F497)*3)</f>
        <v>4530.929999999993</v>
      </c>
      <c r="G498" s="73">
        <f t="shared" si="162"/>
        <v>4230</v>
      </c>
      <c r="H498" s="73">
        <f t="shared" si="162"/>
        <v>4150.3799999999974</v>
      </c>
      <c r="I498" s="73">
        <f t="shared" si="162"/>
        <v>4266.8999999999978</v>
      </c>
      <c r="J498" s="73">
        <f t="shared" si="162"/>
        <v>4597.2000000000044</v>
      </c>
      <c r="K498" s="73">
        <f t="shared" si="162"/>
        <v>4492.2299999999996</v>
      </c>
      <c r="L498" s="73">
        <f t="shared" si="162"/>
        <v>4214.0699999999961</v>
      </c>
      <c r="M498" s="73">
        <f t="shared" si="162"/>
        <v>4280.7900000000009</v>
      </c>
      <c r="N498" s="73">
        <f t="shared" si="162"/>
        <v>4654.6499999999978</v>
      </c>
      <c r="O498" s="85"/>
      <c r="P498" s="85"/>
      <c r="Q498" s="86"/>
      <c r="R498" s="86"/>
      <c r="S498" s="181"/>
      <c r="T498" s="182"/>
      <c r="U498" s="183"/>
      <c r="X498" s="157"/>
      <c r="Y498" s="157"/>
      <c r="Z498" s="157"/>
      <c r="AA498" s="157"/>
    </row>
    <row r="499" spans="1:29" x14ac:dyDescent="0.25">
      <c r="A499" s="249">
        <v>43332</v>
      </c>
      <c r="B499" s="261" t="s">
        <v>174</v>
      </c>
      <c r="C499" s="59" t="s">
        <v>176</v>
      </c>
      <c r="D499" s="64" t="s">
        <v>175</v>
      </c>
      <c r="E499" s="61" t="s">
        <v>186</v>
      </c>
      <c r="F499" s="31">
        <v>5016.49</v>
      </c>
      <c r="G499" s="31">
        <v>4920.8</v>
      </c>
      <c r="H499" s="31">
        <v>4951.49</v>
      </c>
      <c r="I499" s="31">
        <v>4938.37</v>
      </c>
      <c r="J499" s="31">
        <v>5075.3900000000003</v>
      </c>
      <c r="K499" s="31">
        <v>5088.03</v>
      </c>
      <c r="L499" s="31">
        <v>4963.2700000000004</v>
      </c>
      <c r="M499" s="31">
        <v>4945.3999999999996</v>
      </c>
      <c r="N499" s="31">
        <v>5098.76</v>
      </c>
      <c r="O499" s="61">
        <f>IF((N500=""),"",MAX(F501:N501))</f>
        <v>4071.3199999999997</v>
      </c>
      <c r="P499" s="61">
        <f>IF(N500="","",MIN(F501:N501))</f>
        <v>3724.2999999999993</v>
      </c>
      <c r="Q499" s="62">
        <f>IF((N501=""),"",AVERAGE(F501:N501))</f>
        <v>3946.3355555555559</v>
      </c>
      <c r="R499" s="62">
        <f>IF((N500=""),"",(O499-P499)/(O499+P499)*100)</f>
        <v>4.4514740328543523</v>
      </c>
      <c r="S499" s="152">
        <f>STDEV(F501:N501)</f>
        <v>123.11148921923504</v>
      </c>
      <c r="T499" s="158" t="str">
        <f>IF(N500="","",IF(Q499&gt;3650,IF(R499&lt;7,IF(Q499&lt;4450,"Pass","Fail"),"Fail"),"Fail"))</f>
        <v>Pass</v>
      </c>
      <c r="U499" s="184">
        <v>1340</v>
      </c>
      <c r="X499" s="155">
        <v>3650</v>
      </c>
      <c r="Y499" s="155">
        <v>4450</v>
      </c>
      <c r="Z499" s="155">
        <v>3700</v>
      </c>
      <c r="AA499" s="155">
        <v>4100</v>
      </c>
      <c r="AB499" s="51">
        <v>7</v>
      </c>
      <c r="AC499" s="51">
        <v>6.5</v>
      </c>
    </row>
    <row r="500" spans="1:29" ht="16.100000000000001" x14ac:dyDescent="0.35">
      <c r="A500"/>
      <c r="B500" s="44"/>
      <c r="C500" s="24"/>
      <c r="D500" s="24"/>
      <c r="E500" s="81" t="s">
        <v>187</v>
      </c>
      <c r="F500" s="31">
        <v>3094.94</v>
      </c>
      <c r="G500" s="31">
        <v>2905.33</v>
      </c>
      <c r="H500" s="31">
        <v>2915.83</v>
      </c>
      <c r="I500" s="31">
        <v>2927.1</v>
      </c>
      <c r="J500" s="31">
        <v>3158.53</v>
      </c>
      <c r="K500" s="31">
        <v>3225.88</v>
      </c>
      <c r="L500" s="31">
        <v>2957.69</v>
      </c>
      <c r="M500" s="31">
        <v>2911.66</v>
      </c>
      <c r="N500" s="31">
        <v>3142.53</v>
      </c>
      <c r="O500" s="81"/>
      <c r="P500" s="81"/>
      <c r="Q500" s="82"/>
      <c r="R500" s="82"/>
      <c r="S500" s="178"/>
      <c r="T500" s="28"/>
      <c r="U500" s="185"/>
      <c r="X500" s="157"/>
      <c r="Y500" s="157"/>
      <c r="Z500" s="157"/>
      <c r="AA500" s="157"/>
    </row>
    <row r="501" spans="1:29" ht="22.15" x14ac:dyDescent="0.35">
      <c r="A501"/>
      <c r="B501" s="44"/>
      <c r="C501" s="24"/>
      <c r="D501" s="24"/>
      <c r="E501" s="81" t="s">
        <v>188</v>
      </c>
      <c r="F501" s="60">
        <f t="shared" ref="F501:N501" si="163">IF(((F499="")*AND(F500="")),"",(F499-F500)*2)</f>
        <v>3843.0999999999995</v>
      </c>
      <c r="G501" s="60">
        <f t="shared" si="163"/>
        <v>4030.9400000000005</v>
      </c>
      <c r="H501" s="60">
        <f t="shared" si="163"/>
        <v>4071.3199999999997</v>
      </c>
      <c r="I501" s="60">
        <f t="shared" si="163"/>
        <v>4022.54</v>
      </c>
      <c r="J501" s="60">
        <f t="shared" si="163"/>
        <v>3833.7200000000003</v>
      </c>
      <c r="K501" s="60">
        <f t="shared" si="163"/>
        <v>3724.2999999999993</v>
      </c>
      <c r="L501" s="60">
        <f t="shared" si="163"/>
        <v>4011.1600000000008</v>
      </c>
      <c r="M501" s="60">
        <f t="shared" si="163"/>
        <v>4067.4799999999996</v>
      </c>
      <c r="N501" s="60">
        <f t="shared" si="163"/>
        <v>3912.46</v>
      </c>
      <c r="O501" s="81"/>
      <c r="P501" s="81"/>
      <c r="Q501" s="82"/>
      <c r="R501" s="82"/>
      <c r="S501" s="178"/>
      <c r="T501" s="28"/>
      <c r="U501" s="185"/>
      <c r="X501" s="157"/>
      <c r="Y501" s="157"/>
      <c r="Z501" s="157"/>
      <c r="AA501" s="157"/>
    </row>
    <row r="502" spans="1:29" x14ac:dyDescent="0.25">
      <c r="A502" s="252">
        <v>43332</v>
      </c>
      <c r="B502" s="257" t="s">
        <v>169</v>
      </c>
      <c r="C502" s="24" t="s">
        <v>171</v>
      </c>
      <c r="D502" s="24" t="s">
        <v>189</v>
      </c>
      <c r="E502" s="81" t="s">
        <v>186</v>
      </c>
      <c r="F502" s="31">
        <v>1243.17</v>
      </c>
      <c r="G502" s="31">
        <v>1231.1500000000001</v>
      </c>
      <c r="H502" s="31">
        <v>1221.99</v>
      </c>
      <c r="I502" s="31">
        <v>1229.8599999999999</v>
      </c>
      <c r="J502" s="31">
        <v>1246.93</v>
      </c>
      <c r="K502" s="31">
        <v>1248.3900000000001</v>
      </c>
      <c r="L502" s="31">
        <v>1234.73</v>
      </c>
      <c r="M502" s="31">
        <v>1226.26</v>
      </c>
      <c r="N502" s="31">
        <v>1238.1300000000001</v>
      </c>
      <c r="O502" s="81">
        <f>IF((N503=""),"",MAX(F504:N504))</f>
        <v>2053.7400000000002</v>
      </c>
      <c r="P502" s="81">
        <f>IF(N503="","",MIN(F504:N504))</f>
        <v>1966.7400000000002</v>
      </c>
      <c r="Q502" s="82">
        <f>IF((N504=""),"",AVERAGE(F504:N504))</f>
        <v>2019.9866666666667</v>
      </c>
      <c r="R502" s="82">
        <f>IF((N503=""),"",(O502-P502)/(O502+P502)*100)</f>
        <v>2.1639207258834765</v>
      </c>
      <c r="S502" s="152">
        <f>STDEV(F504:N504)</f>
        <v>29.23273507559626</v>
      </c>
      <c r="T502" s="23" t="str">
        <f>IF(N503="","",IF(Q502&gt;1940,IF(R502&lt;8.3,IF(Q502&lt;2180,"Pass","Fail"),"Fail"),"Fail"))</f>
        <v>Pass</v>
      </c>
      <c r="U502" s="179">
        <v>1340</v>
      </c>
      <c r="X502" s="155">
        <v>2000</v>
      </c>
      <c r="Y502" s="155">
        <v>3000</v>
      </c>
      <c r="Z502" s="155">
        <v>1940</v>
      </c>
      <c r="AA502" s="155">
        <v>2180</v>
      </c>
      <c r="AC502" s="51">
        <v>5.2</v>
      </c>
    </row>
    <row r="503" spans="1:29" ht="16.100000000000001" x14ac:dyDescent="0.35">
      <c r="A503"/>
      <c r="B503" s="44"/>
      <c r="C503" s="24"/>
      <c r="D503" s="24"/>
      <c r="E503" s="81" t="s">
        <v>187</v>
      </c>
      <c r="F503" s="31">
        <v>567.88</v>
      </c>
      <c r="G503" s="31">
        <v>549.34</v>
      </c>
      <c r="H503" s="31">
        <v>540.45000000000005</v>
      </c>
      <c r="I503" s="31">
        <v>552.4</v>
      </c>
      <c r="J503" s="31">
        <v>591.35</v>
      </c>
      <c r="K503" s="31">
        <v>584.96</v>
      </c>
      <c r="L503" s="31">
        <v>560.16</v>
      </c>
      <c r="M503" s="31">
        <v>541.67999999999995</v>
      </c>
      <c r="N503" s="31">
        <v>572.42999999999995</v>
      </c>
      <c r="O503" s="81"/>
      <c r="P503" s="81"/>
      <c r="Q503" s="82"/>
      <c r="R503" s="82"/>
      <c r="S503" s="178"/>
      <c r="T503" s="23"/>
      <c r="U503" s="179"/>
      <c r="X503" s="157"/>
      <c r="Y503" s="157"/>
      <c r="Z503" s="157"/>
      <c r="AA503" s="157"/>
    </row>
    <row r="504" spans="1:29" ht="31.75" customHeight="1" x14ac:dyDescent="0.35">
      <c r="A504"/>
      <c r="B504" s="44"/>
      <c r="C504" s="24"/>
      <c r="D504" s="24"/>
      <c r="E504" s="81" t="s">
        <v>190</v>
      </c>
      <c r="F504" s="60">
        <f t="shared" ref="F504:N504" si="164">IF(((F502="")*AND(F503="")),"",(F502-F503)*3)</f>
        <v>2025.8700000000003</v>
      </c>
      <c r="G504" s="60">
        <f t="shared" si="164"/>
        <v>2045.4300000000003</v>
      </c>
      <c r="H504" s="60">
        <f t="shared" si="164"/>
        <v>2044.62</v>
      </c>
      <c r="I504" s="60">
        <f t="shared" si="164"/>
        <v>2032.3799999999997</v>
      </c>
      <c r="J504" s="60">
        <f t="shared" si="164"/>
        <v>1966.7400000000002</v>
      </c>
      <c r="K504" s="60">
        <f t="shared" si="164"/>
        <v>1990.2900000000002</v>
      </c>
      <c r="L504" s="60">
        <f t="shared" si="164"/>
        <v>2023.71</v>
      </c>
      <c r="M504" s="60">
        <f t="shared" si="164"/>
        <v>2053.7400000000002</v>
      </c>
      <c r="N504" s="60">
        <f t="shared" si="164"/>
        <v>1997.1000000000004</v>
      </c>
      <c r="O504" s="81"/>
      <c r="P504" s="81"/>
      <c r="Q504" s="82"/>
      <c r="R504" s="82"/>
      <c r="S504" s="178"/>
      <c r="T504" s="23"/>
      <c r="U504" s="179"/>
      <c r="X504" s="157"/>
      <c r="Y504" s="157"/>
      <c r="Z504" s="157"/>
      <c r="AA504" s="157"/>
    </row>
    <row r="505" spans="1:29" x14ac:dyDescent="0.25">
      <c r="A505" s="252">
        <v>43332</v>
      </c>
      <c r="B505" s="260" t="s">
        <v>185</v>
      </c>
      <c r="C505" s="24" t="s">
        <v>173</v>
      </c>
      <c r="D505" s="24" t="s">
        <v>172</v>
      </c>
      <c r="E505" s="81" t="s">
        <v>186</v>
      </c>
      <c r="F505" s="31">
        <v>21534.95</v>
      </c>
      <c r="G505" s="31">
        <v>21992.57</v>
      </c>
      <c r="H505" s="31">
        <v>22156.31</v>
      </c>
      <c r="I505" s="31">
        <v>21982.39</v>
      </c>
      <c r="J505" s="31">
        <v>21508.28</v>
      </c>
      <c r="K505" s="31">
        <v>21607.95</v>
      </c>
      <c r="L505" s="31">
        <v>22025.48</v>
      </c>
      <c r="M505" s="31">
        <v>21939.01</v>
      </c>
      <c r="N505" s="31">
        <v>21409.07</v>
      </c>
      <c r="O505" s="81">
        <f>IF((N506=""),"",MAX(F507:N507))</f>
        <v>4740.9900000000052</v>
      </c>
      <c r="P505" s="81">
        <f>IF(N506="","",MIN(F507:N507))</f>
        <v>4307.1300000000083</v>
      </c>
      <c r="Q505" s="82">
        <f>IF((N507=""),"",AVERAGE(F507:N507))</f>
        <v>4524.5233333333335</v>
      </c>
      <c r="R505" s="82">
        <f>IF((N506=""),"",(O505-P505)/(O505+P505)*100)</f>
        <v>4.7950292436439428</v>
      </c>
      <c r="S505" s="152">
        <f>STDEV(F507:N507)</f>
        <v>166.61587529404324</v>
      </c>
      <c r="T505" s="23" t="str">
        <f>IF(N506="","",IF(R505&lt;16,IF(Q505&gt;3200,IF(R505,IF(Q505&lt;5240,"Pass","Fail"),"Fail"),"Fail")))</f>
        <v>Pass</v>
      </c>
      <c r="U505" s="179">
        <v>1340</v>
      </c>
      <c r="X505" s="155">
        <v>4200</v>
      </c>
      <c r="Y505" s="155">
        <v>5500</v>
      </c>
      <c r="Z505" s="155">
        <v>3200</v>
      </c>
      <c r="AA505" s="155">
        <v>5240</v>
      </c>
      <c r="AC505" s="51">
        <v>16</v>
      </c>
    </row>
    <row r="506" spans="1:29" ht="16.100000000000001" x14ac:dyDescent="0.35">
      <c r="A506"/>
      <c r="B506" s="44"/>
      <c r="C506" s="24"/>
      <c r="D506" s="24"/>
      <c r="E506" s="81" t="s">
        <v>187</v>
      </c>
      <c r="F506" s="31">
        <v>19964.86</v>
      </c>
      <c r="G506" s="31">
        <v>20516.61</v>
      </c>
      <c r="H506" s="31">
        <v>20720.599999999999</v>
      </c>
      <c r="I506" s="31">
        <v>20517.900000000001</v>
      </c>
      <c r="J506" s="31">
        <v>19952.3</v>
      </c>
      <c r="K506" s="31">
        <v>20027.62</v>
      </c>
      <c r="L506" s="31">
        <v>20547.66</v>
      </c>
      <c r="M506" s="31">
        <v>20478.39</v>
      </c>
      <c r="N506" s="31">
        <v>19856.5</v>
      </c>
      <c r="O506" s="81"/>
      <c r="P506" s="81"/>
      <c r="Q506" s="82"/>
      <c r="R506" s="82"/>
      <c r="S506" s="178"/>
      <c r="T506" s="23"/>
      <c r="U506" s="179"/>
      <c r="X506" s="157"/>
      <c r="Y506" s="157"/>
      <c r="Z506" s="157"/>
      <c r="AA506" s="157"/>
    </row>
    <row r="507" spans="1:29" ht="22.75" thickBot="1" x14ac:dyDescent="0.4">
      <c r="A507"/>
      <c r="B507" s="83"/>
      <c r="C507" s="84"/>
      <c r="D507" s="84"/>
      <c r="E507" s="85" t="s">
        <v>188</v>
      </c>
      <c r="F507" s="73">
        <f t="shared" ref="F507:N507" si="165">IF(((F505="")*AND(F506="")),"",(F505-F506)*3)</f>
        <v>4710.2700000000004</v>
      </c>
      <c r="G507" s="73">
        <f t="shared" si="165"/>
        <v>4427.8799999999974</v>
      </c>
      <c r="H507" s="73">
        <f t="shared" si="165"/>
        <v>4307.1300000000083</v>
      </c>
      <c r="I507" s="73">
        <f t="shared" si="165"/>
        <v>4393.4699999999939</v>
      </c>
      <c r="J507" s="73">
        <f t="shared" si="165"/>
        <v>4667.9399999999987</v>
      </c>
      <c r="K507" s="73">
        <f t="shared" si="165"/>
        <v>4740.9900000000052</v>
      </c>
      <c r="L507" s="73">
        <f t="shared" si="165"/>
        <v>4433.4599999999991</v>
      </c>
      <c r="M507" s="73">
        <f t="shared" si="165"/>
        <v>4381.8599999999969</v>
      </c>
      <c r="N507" s="73">
        <f t="shared" si="165"/>
        <v>4657.7099999999991</v>
      </c>
      <c r="O507" s="85"/>
      <c r="P507" s="85"/>
      <c r="Q507" s="86"/>
      <c r="R507" s="86"/>
      <c r="S507" s="181"/>
      <c r="T507" s="182"/>
      <c r="U507" s="183"/>
      <c r="X507" s="157"/>
      <c r="Y507" s="157"/>
      <c r="Z507" s="157"/>
      <c r="AA507" s="157"/>
    </row>
    <row r="508" spans="1:29" x14ac:dyDescent="0.25">
      <c r="A508" s="251">
        <v>43335</v>
      </c>
      <c r="B508" s="259" t="s">
        <v>174</v>
      </c>
      <c r="C508" s="64" t="s">
        <v>176</v>
      </c>
      <c r="D508" s="64" t="s">
        <v>175</v>
      </c>
      <c r="E508" s="79" t="s">
        <v>186</v>
      </c>
      <c r="F508" s="175">
        <v>6842</v>
      </c>
      <c r="G508" s="175">
        <v>6855</v>
      </c>
      <c r="H508" s="175">
        <v>6905</v>
      </c>
      <c r="I508" s="175">
        <v>6852</v>
      </c>
      <c r="J508" s="175">
        <v>6857</v>
      </c>
      <c r="K508" s="175">
        <v>6860</v>
      </c>
      <c r="L508" s="175">
        <v>6883</v>
      </c>
      <c r="M508" s="175">
        <v>6885</v>
      </c>
      <c r="N508" s="175">
        <v>6956</v>
      </c>
      <c r="O508" s="79">
        <f>IF((N509=""),"",MAX(F510:N510))</f>
        <v>4008</v>
      </c>
      <c r="P508" s="79">
        <f>IF(N509="","",MIN(F510:N510))</f>
        <v>3660</v>
      </c>
      <c r="Q508" s="80">
        <f>IF((N510=""),"",AVERAGE(F510:N510))</f>
        <v>3881.7777777777778</v>
      </c>
      <c r="R508" s="80">
        <f>IF((N509=""),"",(O508-P508)/(O508+P508)*100)</f>
        <v>4.5383411580594686</v>
      </c>
      <c r="S508" s="152">
        <f>STDEV(F510:N510)</f>
        <v>121.34844228272749</v>
      </c>
      <c r="T508" s="176" t="str">
        <f>IF(N509="","",IF(Q508&gt;3650,IF(R508&lt;7,IF(Q508&lt;4450,"Pass","Fail"),"Fail"),"Fail"))</f>
        <v>Pass</v>
      </c>
      <c r="U508" s="188">
        <v>1340</v>
      </c>
      <c r="X508" s="155">
        <v>3650</v>
      </c>
      <c r="Y508" s="155">
        <v>4450</v>
      </c>
      <c r="Z508" s="155">
        <v>3700</v>
      </c>
      <c r="AA508" s="155">
        <v>4100</v>
      </c>
      <c r="AB508" s="51">
        <v>7</v>
      </c>
      <c r="AC508" s="51">
        <v>6.5</v>
      </c>
    </row>
    <row r="509" spans="1:29" ht="16.100000000000001" x14ac:dyDescent="0.35">
      <c r="A509"/>
      <c r="B509" s="44"/>
      <c r="C509" s="24"/>
      <c r="D509" s="24"/>
      <c r="E509" s="81" t="s">
        <v>187</v>
      </c>
      <c r="F509" s="28">
        <v>4960</v>
      </c>
      <c r="G509" s="28">
        <v>4877</v>
      </c>
      <c r="H509" s="28">
        <v>4901</v>
      </c>
      <c r="I509" s="28">
        <v>4875</v>
      </c>
      <c r="J509" s="28">
        <v>4969</v>
      </c>
      <c r="K509" s="28">
        <v>5030</v>
      </c>
      <c r="L509" s="28">
        <v>4913</v>
      </c>
      <c r="M509" s="28">
        <v>4886</v>
      </c>
      <c r="N509" s="28">
        <v>5016</v>
      </c>
      <c r="O509" s="81"/>
      <c r="P509" s="81"/>
      <c r="Q509" s="82"/>
      <c r="R509" s="82"/>
      <c r="S509" s="178"/>
      <c r="T509" s="28"/>
      <c r="U509" s="185"/>
      <c r="X509" s="157"/>
      <c r="Y509" s="157"/>
      <c r="Z509" s="157"/>
      <c r="AA509" s="157"/>
    </row>
    <row r="510" spans="1:29" ht="22.15" x14ac:dyDescent="0.35">
      <c r="A510"/>
      <c r="B510" s="44"/>
      <c r="C510" s="24"/>
      <c r="D510" s="24"/>
      <c r="E510" s="81" t="s">
        <v>188</v>
      </c>
      <c r="F510" s="60">
        <f t="shared" ref="F510:N510" si="166">IF(((F508="")*AND(F509="")),"",(F508-F509)*2)</f>
        <v>3764</v>
      </c>
      <c r="G510" s="60">
        <f t="shared" si="166"/>
        <v>3956</v>
      </c>
      <c r="H510" s="60">
        <f t="shared" si="166"/>
        <v>4008</v>
      </c>
      <c r="I510" s="60">
        <f t="shared" si="166"/>
        <v>3954</v>
      </c>
      <c r="J510" s="60">
        <f t="shared" si="166"/>
        <v>3776</v>
      </c>
      <c r="K510" s="60">
        <f t="shared" si="166"/>
        <v>3660</v>
      </c>
      <c r="L510" s="60">
        <f t="shared" si="166"/>
        <v>3940</v>
      </c>
      <c r="M510" s="60">
        <f t="shared" si="166"/>
        <v>3998</v>
      </c>
      <c r="N510" s="60">
        <f t="shared" si="166"/>
        <v>3880</v>
      </c>
      <c r="O510" s="81"/>
      <c r="P510" s="81"/>
      <c r="Q510" s="82"/>
      <c r="R510" s="82"/>
      <c r="S510" s="178"/>
      <c r="T510" s="28"/>
      <c r="U510" s="185"/>
      <c r="X510" s="157"/>
      <c r="Y510" s="157"/>
      <c r="Z510" s="157"/>
      <c r="AA510" s="157"/>
    </row>
    <row r="511" spans="1:29" x14ac:dyDescent="0.25">
      <c r="A511" s="249">
        <v>43335</v>
      </c>
      <c r="B511" s="257" t="s">
        <v>169</v>
      </c>
      <c r="C511" s="24" t="s">
        <v>171</v>
      </c>
      <c r="D511" s="24" t="s">
        <v>189</v>
      </c>
      <c r="E511" s="81" t="s">
        <v>186</v>
      </c>
      <c r="F511" s="28">
        <v>1916</v>
      </c>
      <c r="G511" s="28">
        <v>1911</v>
      </c>
      <c r="H511" s="28">
        <v>1921</v>
      </c>
      <c r="I511" s="28">
        <v>1911</v>
      </c>
      <c r="J511" s="28">
        <v>1918</v>
      </c>
      <c r="K511" s="28">
        <v>1918</v>
      </c>
      <c r="L511" s="28">
        <v>1912</v>
      </c>
      <c r="M511" s="28">
        <v>1913</v>
      </c>
      <c r="N511" s="28">
        <v>1918</v>
      </c>
      <c r="O511" s="81">
        <f>IF((N512=""),"",MAX(F513:N513))</f>
        <v>2070</v>
      </c>
      <c r="P511" s="81">
        <f>IF(N512="","",MIN(F513:N513))</f>
        <v>1986</v>
      </c>
      <c r="Q511" s="82">
        <f>IF((N513=""),"",AVERAGE(F513:N513))</f>
        <v>2027</v>
      </c>
      <c r="R511" s="82">
        <f>IF((N512=""),"",(O511-P511)/(O511+P511)*100)</f>
        <v>2.0710059171597637</v>
      </c>
      <c r="S511" s="152">
        <f>STDEV(F513:N513)</f>
        <v>24.738633753705962</v>
      </c>
      <c r="T511" s="23" t="str">
        <f>IF(N512="","",IF(Q511&gt;1940,IF(R511&lt;8.3,IF(Q511&lt;2180,"Pass","Fail"),"Fail"),"Fail"))</f>
        <v>Pass</v>
      </c>
      <c r="U511" s="179">
        <v>1340</v>
      </c>
      <c r="X511" s="155">
        <v>2000</v>
      </c>
      <c r="Y511" s="155">
        <v>3000</v>
      </c>
      <c r="Z511" s="155">
        <v>1940</v>
      </c>
      <c r="AA511" s="155">
        <v>2180</v>
      </c>
      <c r="AC511" s="51">
        <v>5.2</v>
      </c>
    </row>
    <row r="512" spans="1:29" ht="16.100000000000001" x14ac:dyDescent="0.35">
      <c r="A512"/>
      <c r="B512" s="44"/>
      <c r="C512" s="24"/>
      <c r="D512" s="24"/>
      <c r="E512" s="81" t="s">
        <v>187</v>
      </c>
      <c r="F512" s="28">
        <v>1239</v>
      </c>
      <c r="G512" s="28">
        <v>1230</v>
      </c>
      <c r="H512" s="28">
        <v>1231</v>
      </c>
      <c r="I512" s="28">
        <v>1238</v>
      </c>
      <c r="J512" s="28">
        <v>1256</v>
      </c>
      <c r="K512" s="28">
        <v>1246</v>
      </c>
      <c r="L512" s="28">
        <v>1238</v>
      </c>
      <c r="M512" s="28">
        <v>1230</v>
      </c>
      <c r="N512" s="28">
        <v>1249</v>
      </c>
      <c r="O512" s="81"/>
      <c r="P512" s="81"/>
      <c r="Q512" s="82"/>
      <c r="R512" s="82"/>
      <c r="S512" s="178"/>
      <c r="T512" s="23"/>
      <c r="U512" s="179"/>
      <c r="X512" s="157"/>
      <c r="Y512" s="157"/>
      <c r="Z512" s="157"/>
      <c r="AA512" s="157"/>
    </row>
    <row r="513" spans="1:29" ht="32.299999999999997" customHeight="1" x14ac:dyDescent="0.35">
      <c r="A513"/>
      <c r="B513" s="44"/>
      <c r="C513" s="24"/>
      <c r="D513" s="24"/>
      <c r="E513" s="81" t="s">
        <v>190</v>
      </c>
      <c r="F513" s="60">
        <f t="shared" ref="F513:N513" si="167">IF(((F511="")*AND(F512="")),"",(F511-F512)*3)</f>
        <v>2031</v>
      </c>
      <c r="G513" s="60">
        <f t="shared" si="167"/>
        <v>2043</v>
      </c>
      <c r="H513" s="60">
        <f t="shared" si="167"/>
        <v>2070</v>
      </c>
      <c r="I513" s="60">
        <f t="shared" si="167"/>
        <v>2019</v>
      </c>
      <c r="J513" s="60">
        <f t="shared" si="167"/>
        <v>1986</v>
      </c>
      <c r="K513" s="60">
        <f t="shared" si="167"/>
        <v>2016</v>
      </c>
      <c r="L513" s="60">
        <f t="shared" si="167"/>
        <v>2022</v>
      </c>
      <c r="M513" s="60">
        <f t="shared" si="167"/>
        <v>2049</v>
      </c>
      <c r="N513" s="60">
        <f t="shared" si="167"/>
        <v>2007</v>
      </c>
      <c r="O513" s="81"/>
      <c r="P513" s="81"/>
      <c r="Q513" s="82"/>
      <c r="R513" s="82"/>
      <c r="S513" s="178"/>
      <c r="T513" s="23"/>
      <c r="U513" s="179"/>
      <c r="X513" s="157"/>
      <c r="Y513" s="157"/>
      <c r="Z513" s="157"/>
      <c r="AA513" s="157"/>
    </row>
    <row r="514" spans="1:29" x14ac:dyDescent="0.25">
      <c r="A514" s="249">
        <v>43335</v>
      </c>
      <c r="B514" s="260" t="s">
        <v>185</v>
      </c>
      <c r="C514" s="24" t="s">
        <v>173</v>
      </c>
      <c r="D514" s="24" t="s">
        <v>172</v>
      </c>
      <c r="E514" s="81" t="s">
        <v>186</v>
      </c>
      <c r="F514" s="28">
        <v>29141</v>
      </c>
      <c r="G514" s="28">
        <v>29060</v>
      </c>
      <c r="H514" s="28">
        <v>29107</v>
      </c>
      <c r="I514" s="28">
        <v>29056</v>
      </c>
      <c r="J514" s="28">
        <v>29110</v>
      </c>
      <c r="K514" s="28">
        <v>29118</v>
      </c>
      <c r="L514" s="28">
        <v>29045</v>
      </c>
      <c r="M514" s="28">
        <v>29057</v>
      </c>
      <c r="N514" s="28">
        <v>29120</v>
      </c>
      <c r="O514" s="81">
        <f>IF((N515=""),"",MAX(F516:N516))</f>
        <v>4515</v>
      </c>
      <c r="P514" s="81">
        <f>IF(N515="","",MIN(F516:N516))</f>
        <v>4095</v>
      </c>
      <c r="Q514" s="82">
        <f>IF((N516=""),"",AVERAGE(F516:N516))</f>
        <v>4278</v>
      </c>
      <c r="R514" s="82">
        <f>IF((N515=""),"",(O514-P514)/(O514+P514)*100)</f>
        <v>4.8780487804878048</v>
      </c>
      <c r="S514" s="152">
        <f>STDEV(F516:N516)</f>
        <v>167.09353667931026</v>
      </c>
      <c r="T514" s="23" t="str">
        <f>IF(N515="","",IF(R514&lt;16,IF(Q514&gt;3200,IF(R514,IF(Q514&lt;5240,"Pass","Fail"),"Fail"),"Fail")))</f>
        <v>Pass</v>
      </c>
      <c r="U514" s="179">
        <v>1340</v>
      </c>
      <c r="X514" s="155">
        <v>4200</v>
      </c>
      <c r="Y514" s="155">
        <v>5500</v>
      </c>
      <c r="Z514" s="155">
        <v>3200</v>
      </c>
      <c r="AA514" s="155">
        <v>5240</v>
      </c>
      <c r="AC514" s="51">
        <v>16</v>
      </c>
    </row>
    <row r="515" spans="1:29" ht="16.100000000000001" x14ac:dyDescent="0.35">
      <c r="A515"/>
      <c r="B515" s="44"/>
      <c r="C515" s="24"/>
      <c r="D515" s="24"/>
      <c r="E515" s="81" t="s">
        <v>187</v>
      </c>
      <c r="F515" s="28">
        <v>27636</v>
      </c>
      <c r="G515" s="28">
        <v>27669</v>
      </c>
      <c r="H515" s="28">
        <v>27742</v>
      </c>
      <c r="I515" s="28">
        <v>27678</v>
      </c>
      <c r="J515" s="28">
        <v>27644</v>
      </c>
      <c r="K515" s="28">
        <v>27651</v>
      </c>
      <c r="L515" s="28">
        <v>27668</v>
      </c>
      <c r="M515" s="28">
        <v>27665</v>
      </c>
      <c r="N515" s="28">
        <v>27627</v>
      </c>
      <c r="O515" s="81"/>
      <c r="P515" s="81"/>
      <c r="Q515" s="82"/>
      <c r="R515" s="82"/>
      <c r="S515" s="178"/>
      <c r="T515" s="23"/>
      <c r="U515" s="179"/>
      <c r="X515" s="157"/>
      <c r="Y515" s="157"/>
      <c r="Z515" s="157"/>
      <c r="AA515" s="157"/>
    </row>
    <row r="516" spans="1:29" ht="22.75" thickBot="1" x14ac:dyDescent="0.4">
      <c r="A516"/>
      <c r="B516" s="83"/>
      <c r="C516" s="84"/>
      <c r="D516" s="84"/>
      <c r="E516" s="85" t="s">
        <v>188</v>
      </c>
      <c r="F516" s="73">
        <f t="shared" ref="F516:N516" si="168">IF(((F514="")*AND(F515="")),"",(F514-F515)*3)</f>
        <v>4515</v>
      </c>
      <c r="G516" s="73">
        <f t="shared" si="168"/>
        <v>4173</v>
      </c>
      <c r="H516" s="73">
        <f t="shared" si="168"/>
        <v>4095</v>
      </c>
      <c r="I516" s="73">
        <f t="shared" si="168"/>
        <v>4134</v>
      </c>
      <c r="J516" s="73">
        <f t="shared" si="168"/>
        <v>4398</v>
      </c>
      <c r="K516" s="73">
        <f t="shared" si="168"/>
        <v>4401</v>
      </c>
      <c r="L516" s="73">
        <f t="shared" si="168"/>
        <v>4131</v>
      </c>
      <c r="M516" s="73">
        <f t="shared" si="168"/>
        <v>4176</v>
      </c>
      <c r="N516" s="73">
        <f t="shared" si="168"/>
        <v>4479</v>
      </c>
      <c r="O516" s="85"/>
      <c r="P516" s="85"/>
      <c r="Q516" s="86"/>
      <c r="R516" s="86"/>
      <c r="S516" s="181"/>
      <c r="T516" s="182"/>
      <c r="U516" s="183"/>
      <c r="X516" s="157"/>
      <c r="Y516" s="157"/>
      <c r="Z516" s="157"/>
      <c r="AA516" s="157"/>
    </row>
    <row r="517" spans="1:29" x14ac:dyDescent="0.25">
      <c r="A517" s="251">
        <v>43338</v>
      </c>
      <c r="B517" s="259" t="s">
        <v>174</v>
      </c>
      <c r="C517" s="64" t="s">
        <v>176</v>
      </c>
      <c r="D517" s="64" t="s">
        <v>175</v>
      </c>
      <c r="E517" s="79" t="s">
        <v>186</v>
      </c>
      <c r="F517" s="165">
        <v>4969.79</v>
      </c>
      <c r="G517" s="165">
        <v>4888.7700000000004</v>
      </c>
      <c r="H517" s="165">
        <v>4912.22</v>
      </c>
      <c r="I517" s="165">
        <v>4886.2299999999996</v>
      </c>
      <c r="J517" s="165">
        <v>4978.38</v>
      </c>
      <c r="K517" s="165">
        <v>5038.82</v>
      </c>
      <c r="L517" s="165">
        <v>4923.6499999999996</v>
      </c>
      <c r="M517" s="165">
        <v>4897.26</v>
      </c>
      <c r="N517" s="165">
        <v>5025.3599999999997</v>
      </c>
      <c r="O517" s="79">
        <f>IF((N518=""),"",MAX(F519:N519))</f>
        <v>4047.1000000000004</v>
      </c>
      <c r="P517" s="79">
        <f>IF(N518="","",MIN(F519:N519))</f>
        <v>3678.3999999999996</v>
      </c>
      <c r="Q517" s="80">
        <f>IF((N519=""),"",AVERAGE(F519:N519))</f>
        <v>3916.7044444444441</v>
      </c>
      <c r="R517" s="80">
        <f>IF((N518=""),"",(O517-P517)/(O517+P517)*100)</f>
        <v>4.7725066338748396</v>
      </c>
      <c r="S517" s="152">
        <f>STDEV(F519:N519)</f>
        <v>131.01059070845309</v>
      </c>
      <c r="T517" s="176" t="str">
        <f>IF(N518="","",IF(Q517&gt;3650,IF(R517&lt;7,IF(Q517&lt;4450,"Pass","Fail"),"Fail"),"Fail"))</f>
        <v>Pass</v>
      </c>
      <c r="U517" s="188">
        <v>102</v>
      </c>
      <c r="X517" s="155">
        <v>3650</v>
      </c>
      <c r="Y517" s="155">
        <v>4450</v>
      </c>
      <c r="Z517" s="155">
        <v>3700</v>
      </c>
      <c r="AA517" s="155">
        <v>4100</v>
      </c>
      <c r="AB517" s="51">
        <v>7</v>
      </c>
      <c r="AC517" s="51">
        <v>6.5</v>
      </c>
    </row>
    <row r="518" spans="1:29" ht="16.100000000000001" x14ac:dyDescent="0.35">
      <c r="A518"/>
      <c r="B518" s="44"/>
      <c r="C518" s="24"/>
      <c r="D518" s="24"/>
      <c r="E518" s="81" t="s">
        <v>187</v>
      </c>
      <c r="F518" s="166">
        <v>3060.29</v>
      </c>
      <c r="G518" s="166">
        <v>2883.44</v>
      </c>
      <c r="H518" s="166">
        <v>2889.94</v>
      </c>
      <c r="I518" s="166">
        <v>2890.31</v>
      </c>
      <c r="J518" s="166">
        <v>3086.86</v>
      </c>
      <c r="K518" s="166">
        <v>3199.62</v>
      </c>
      <c r="L518" s="166">
        <v>2931.29</v>
      </c>
      <c r="M518" s="166">
        <v>2873.71</v>
      </c>
      <c r="N518" s="166">
        <v>3079.85</v>
      </c>
      <c r="O518" s="81"/>
      <c r="P518" s="81"/>
      <c r="Q518" s="82"/>
      <c r="R518" s="82"/>
      <c r="S518" s="178"/>
      <c r="T518" s="28"/>
      <c r="U518" s="185"/>
      <c r="X518" s="157"/>
      <c r="Y518" s="157"/>
      <c r="Z518" s="157"/>
      <c r="AA518" s="157"/>
    </row>
    <row r="519" spans="1:29" ht="22.15" x14ac:dyDescent="0.35">
      <c r="A519"/>
      <c r="B519" s="44"/>
      <c r="C519" s="24"/>
      <c r="D519" s="24"/>
      <c r="E519" s="81" t="s">
        <v>188</v>
      </c>
      <c r="F519" s="60">
        <f t="shared" ref="F519:N519" si="169">IF(((F517="")*AND(F518="")),"",(F517-F518)*2)</f>
        <v>3819</v>
      </c>
      <c r="G519" s="60">
        <f t="shared" si="169"/>
        <v>4010.6600000000008</v>
      </c>
      <c r="H519" s="60">
        <f t="shared" si="169"/>
        <v>4044.5600000000004</v>
      </c>
      <c r="I519" s="60">
        <f t="shared" si="169"/>
        <v>3991.8399999999992</v>
      </c>
      <c r="J519" s="60">
        <f t="shared" si="169"/>
        <v>3783.04</v>
      </c>
      <c r="K519" s="60">
        <f t="shared" si="169"/>
        <v>3678.3999999999996</v>
      </c>
      <c r="L519" s="60">
        <f t="shared" si="169"/>
        <v>3984.7199999999993</v>
      </c>
      <c r="M519" s="60">
        <f t="shared" si="169"/>
        <v>4047.1000000000004</v>
      </c>
      <c r="N519" s="60">
        <f t="shared" si="169"/>
        <v>3891.0199999999995</v>
      </c>
      <c r="O519" s="81"/>
      <c r="P519" s="81"/>
      <c r="Q519" s="82"/>
      <c r="R519" s="82"/>
      <c r="S519" s="178"/>
      <c r="T519" s="28"/>
      <c r="U519" s="185"/>
      <c r="X519" s="157"/>
      <c r="Y519" s="157"/>
      <c r="Z519" s="157"/>
      <c r="AA519" s="157"/>
    </row>
    <row r="520" spans="1:29" x14ac:dyDescent="0.25">
      <c r="A520" s="249">
        <v>43338</v>
      </c>
      <c r="B520" s="257" t="s">
        <v>169</v>
      </c>
      <c r="C520" s="24" t="s">
        <v>171</v>
      </c>
      <c r="D520" s="24" t="s">
        <v>189</v>
      </c>
      <c r="E520" s="81" t="s">
        <v>186</v>
      </c>
      <c r="F520" s="166">
        <v>1242.4000000000001</v>
      </c>
      <c r="G520" s="166">
        <v>1233.6500000000001</v>
      </c>
      <c r="H520" s="166">
        <v>1234.0999999999999</v>
      </c>
      <c r="I520" s="166">
        <v>1241.99</v>
      </c>
      <c r="J520" s="166">
        <v>1259.79</v>
      </c>
      <c r="K520" s="166">
        <v>1250.95</v>
      </c>
      <c r="L520" s="166">
        <v>1240.72</v>
      </c>
      <c r="M520" s="166">
        <v>1234.27</v>
      </c>
      <c r="N520" s="166">
        <v>1249.2</v>
      </c>
      <c r="O520" s="81">
        <f>IF((N521=""),"",MAX(F522:N522))</f>
        <v>2073.1499999999996</v>
      </c>
      <c r="P520" s="81">
        <f>IF(N521="","",MIN(F522:N522))</f>
        <v>1988.4900000000002</v>
      </c>
      <c r="Q520" s="82">
        <f>IF((N522=""),"",AVERAGE(F522:N522))</f>
        <v>2031.5666666666668</v>
      </c>
      <c r="R520" s="82">
        <f>IF((N521=""),"",(O520-P520)/(O520+P520)*100)</f>
        <v>2.0843797086890863</v>
      </c>
      <c r="S520" s="152">
        <f>STDEV(F522:N522)</f>
        <v>28.677985459233216</v>
      </c>
      <c r="T520" s="23" t="str">
        <f>IF(N521="","",IF(Q520&gt;1940,IF(R520&lt;8.3,IF(Q520&lt;2180,"Pass","Fail"),"Fail"),"Fail"))</f>
        <v>Pass</v>
      </c>
      <c r="U520" s="179">
        <v>102</v>
      </c>
      <c r="X520" s="155">
        <v>2000</v>
      </c>
      <c r="Y520" s="155">
        <v>3000</v>
      </c>
      <c r="Z520" s="155">
        <v>1940</v>
      </c>
      <c r="AA520" s="155">
        <v>2180</v>
      </c>
      <c r="AC520" s="51">
        <v>5.2</v>
      </c>
    </row>
    <row r="521" spans="1:29" ht="16.100000000000001" x14ac:dyDescent="0.35">
      <c r="A521"/>
      <c r="B521" s="44"/>
      <c r="C521" s="24"/>
      <c r="D521" s="24"/>
      <c r="E521" s="81" t="s">
        <v>187</v>
      </c>
      <c r="F521" s="166">
        <v>573.11</v>
      </c>
      <c r="G521" s="166">
        <v>551.9</v>
      </c>
      <c r="H521" s="166">
        <v>547.71</v>
      </c>
      <c r="I521" s="166">
        <v>558.39</v>
      </c>
      <c r="J521" s="166">
        <v>593.67999999999995</v>
      </c>
      <c r="K521" s="166">
        <v>588.12</v>
      </c>
      <c r="L521" s="166">
        <v>563.25</v>
      </c>
      <c r="M521" s="166">
        <v>543.22</v>
      </c>
      <c r="N521" s="166">
        <v>572.99</v>
      </c>
      <c r="O521" s="81"/>
      <c r="P521" s="81"/>
      <c r="Q521" s="82"/>
      <c r="R521" s="82"/>
      <c r="S521" s="178"/>
      <c r="T521" s="23"/>
      <c r="U521" s="179"/>
      <c r="X521" s="157"/>
      <c r="Y521" s="157"/>
      <c r="Z521" s="157"/>
      <c r="AA521" s="157"/>
    </row>
    <row r="522" spans="1:29" ht="33.799999999999997" customHeight="1" x14ac:dyDescent="0.35">
      <c r="A522"/>
      <c r="B522" s="44"/>
      <c r="C522" s="24"/>
      <c r="D522" s="24"/>
      <c r="E522" s="81" t="s">
        <v>190</v>
      </c>
      <c r="F522" s="60">
        <f t="shared" ref="F522:N522" si="170">IF(((F520="")*AND(F521="")),"",(F520-F521)*3)</f>
        <v>2007.8700000000003</v>
      </c>
      <c r="G522" s="60">
        <f t="shared" si="170"/>
        <v>2045.2500000000005</v>
      </c>
      <c r="H522" s="60">
        <f t="shared" si="170"/>
        <v>2059.1699999999996</v>
      </c>
      <c r="I522" s="60">
        <f t="shared" si="170"/>
        <v>2050.8000000000002</v>
      </c>
      <c r="J522" s="60">
        <f t="shared" si="170"/>
        <v>1998.33</v>
      </c>
      <c r="K522" s="60">
        <f t="shared" si="170"/>
        <v>1988.4900000000002</v>
      </c>
      <c r="L522" s="60">
        <f t="shared" si="170"/>
        <v>2032.41</v>
      </c>
      <c r="M522" s="60">
        <f t="shared" si="170"/>
        <v>2073.1499999999996</v>
      </c>
      <c r="N522" s="60">
        <f t="shared" si="170"/>
        <v>2028.63</v>
      </c>
      <c r="O522" s="81"/>
      <c r="P522" s="81"/>
      <c r="Q522" s="82"/>
      <c r="R522" s="82"/>
      <c r="S522" s="178"/>
      <c r="T522" s="23"/>
      <c r="U522" s="179"/>
      <c r="X522" s="157"/>
      <c r="Y522" s="157"/>
      <c r="Z522" s="157"/>
      <c r="AA522" s="157"/>
    </row>
    <row r="523" spans="1:29" x14ac:dyDescent="0.25">
      <c r="A523" s="249">
        <v>43338</v>
      </c>
      <c r="B523" s="260" t="s">
        <v>185</v>
      </c>
      <c r="C523" s="24" t="s">
        <v>173</v>
      </c>
      <c r="D523" s="24" t="s">
        <v>172</v>
      </c>
      <c r="E523" s="81" t="s">
        <v>186</v>
      </c>
      <c r="F523" s="166">
        <v>27580.27</v>
      </c>
      <c r="G523" s="166">
        <v>27614.16</v>
      </c>
      <c r="H523" s="166">
        <v>27685.07</v>
      </c>
      <c r="I523" s="166">
        <v>27623.75</v>
      </c>
      <c r="J523" s="166">
        <v>27587.040000000001</v>
      </c>
      <c r="K523" s="166">
        <v>27593.41</v>
      </c>
      <c r="L523" s="166">
        <v>27612.080000000002</v>
      </c>
      <c r="M523" s="166">
        <v>27609.85</v>
      </c>
      <c r="N523" s="166">
        <v>27562.25</v>
      </c>
      <c r="O523" s="81">
        <f>IF((N524=""),"",MAX(F525:N525))</f>
        <v>4542</v>
      </c>
      <c r="P523" s="81">
        <f>IF(N524="","",MIN(F525:N525))</f>
        <v>4104.8100000000013</v>
      </c>
      <c r="Q523" s="82">
        <f>IF((N525=""),"",AVERAGE(F525:N525))</f>
        <v>4310.1900000000005</v>
      </c>
      <c r="R523" s="82">
        <f>IF((N524=""),"",(O523-P523)/(O523+P523)*100)</f>
        <v>5.0560842669146036</v>
      </c>
      <c r="S523" s="152">
        <f>STDEV(F525:N525)</f>
        <v>180.49370605370234</v>
      </c>
      <c r="T523" s="23" t="str">
        <f>IF(N524="","",IF(R523&lt;16,IF(Q523&gt;3200,IF(R523,IF(Q523&lt;5240,"Pass","Fail"),"Fail"),"Fail")))</f>
        <v>Pass</v>
      </c>
      <c r="U523" s="179">
        <v>102</v>
      </c>
      <c r="X523" s="155">
        <v>4200</v>
      </c>
      <c r="Y523" s="155">
        <v>5500</v>
      </c>
      <c r="Z523" s="155">
        <v>3200</v>
      </c>
      <c r="AA523" s="155">
        <v>5240</v>
      </c>
      <c r="AC523" s="51">
        <v>16</v>
      </c>
    </row>
    <row r="524" spans="1:29" ht="16.100000000000001" x14ac:dyDescent="0.35">
      <c r="A524"/>
      <c r="B524" s="44"/>
      <c r="C524" s="24"/>
      <c r="D524" s="24"/>
      <c r="E524" s="81" t="s">
        <v>187</v>
      </c>
      <c r="F524" s="166">
        <v>26079.03</v>
      </c>
      <c r="G524" s="166">
        <v>26221.09</v>
      </c>
      <c r="H524" s="166">
        <v>26316.799999999999</v>
      </c>
      <c r="I524" s="166">
        <v>26231.99</v>
      </c>
      <c r="J524" s="166">
        <v>26092.29</v>
      </c>
      <c r="K524" s="166">
        <v>26106.51</v>
      </c>
      <c r="L524" s="166">
        <v>26224.44</v>
      </c>
      <c r="M524" s="166">
        <v>26216.91</v>
      </c>
      <c r="N524" s="166">
        <v>26048.25</v>
      </c>
      <c r="O524" s="81"/>
      <c r="P524" s="81"/>
      <c r="Q524" s="82"/>
      <c r="R524" s="82"/>
      <c r="S524" s="178"/>
      <c r="T524" s="23"/>
      <c r="U524" s="179"/>
      <c r="X524" s="157"/>
      <c r="Y524" s="157"/>
      <c r="Z524" s="157"/>
      <c r="AA524" s="157"/>
    </row>
    <row r="525" spans="1:29" ht="22.75" thickBot="1" x14ac:dyDescent="0.4">
      <c r="A525"/>
      <c r="B525" s="83"/>
      <c r="C525" s="84"/>
      <c r="D525" s="84"/>
      <c r="E525" s="85" t="s">
        <v>188</v>
      </c>
      <c r="F525" s="73">
        <f t="shared" ref="F525:N525" si="171">IF(((F523="")*AND(F524="")),"",(F523-F524)*3)</f>
        <v>4503.7200000000048</v>
      </c>
      <c r="G525" s="73">
        <f t="shared" si="171"/>
        <v>4179.2099999999991</v>
      </c>
      <c r="H525" s="73">
        <f t="shared" si="171"/>
        <v>4104.8100000000013</v>
      </c>
      <c r="I525" s="73">
        <f t="shared" si="171"/>
        <v>4175.2799999999952</v>
      </c>
      <c r="J525" s="73">
        <f t="shared" si="171"/>
        <v>4484.25</v>
      </c>
      <c r="K525" s="73">
        <f t="shared" si="171"/>
        <v>4460.7000000000044</v>
      </c>
      <c r="L525" s="73">
        <f t="shared" si="171"/>
        <v>4162.9200000000092</v>
      </c>
      <c r="M525" s="73">
        <f t="shared" si="171"/>
        <v>4178.8199999999961</v>
      </c>
      <c r="N525" s="73">
        <f t="shared" si="171"/>
        <v>4542</v>
      </c>
      <c r="O525" s="85"/>
      <c r="P525" s="85"/>
      <c r="Q525" s="86"/>
      <c r="R525" s="86"/>
      <c r="S525" s="181"/>
      <c r="T525" s="182"/>
      <c r="U525" s="183"/>
      <c r="X525" s="157"/>
      <c r="Y525" s="157"/>
      <c r="Z525" s="157"/>
      <c r="AA525" s="157"/>
    </row>
    <row r="526" spans="1:29" x14ac:dyDescent="0.25">
      <c r="A526" s="251">
        <v>43338</v>
      </c>
      <c r="B526" s="259" t="s">
        <v>174</v>
      </c>
      <c r="C526" s="64" t="s">
        <v>176</v>
      </c>
      <c r="D526" s="64" t="s">
        <v>175</v>
      </c>
      <c r="E526" s="79" t="s">
        <v>186</v>
      </c>
      <c r="F526" s="31">
        <v>3071.52</v>
      </c>
      <c r="G526" s="31">
        <v>2893.21</v>
      </c>
      <c r="H526" s="31">
        <v>2900.42</v>
      </c>
      <c r="I526" s="31">
        <v>2900.61</v>
      </c>
      <c r="J526" s="31">
        <v>3098.24</v>
      </c>
      <c r="K526" s="31">
        <v>3211.2</v>
      </c>
      <c r="L526" s="31">
        <v>2941.74</v>
      </c>
      <c r="M526" s="31">
        <v>2883.91</v>
      </c>
      <c r="N526" s="31">
        <v>3091.94</v>
      </c>
      <c r="O526" s="79">
        <f>IF((N527=""),"",MAX(F528:N528))</f>
        <v>4048.9799999999996</v>
      </c>
      <c r="P526" s="79">
        <f>IF(N527="","",MIN(F528:N528))</f>
        <v>3679.0199999999995</v>
      </c>
      <c r="Q526" s="80">
        <f>IF((N528=""),"",AVERAGE(F528:N528))</f>
        <v>3913.0866666666666</v>
      </c>
      <c r="R526" s="80">
        <f>IF((N527=""),"",(O526-P526)/(O526+P526)*100)</f>
        <v>4.7872670807453428</v>
      </c>
      <c r="S526" s="152">
        <f>STDEV(F528:N528)</f>
        <v>127.15059063960348</v>
      </c>
      <c r="T526" s="176" t="str">
        <f>IF(N527="","",IF(Q526&gt;3650,IF(R526&lt;7,IF(Q526&lt;4450,"Pass","Fail"),"Fail"),"Fail"))</f>
        <v>Pass</v>
      </c>
      <c r="U526" s="188">
        <v>121</v>
      </c>
      <c r="X526" s="155">
        <v>3650</v>
      </c>
      <c r="Y526" s="155">
        <v>4450</v>
      </c>
      <c r="Z526" s="155">
        <v>3700</v>
      </c>
      <c r="AA526" s="155">
        <v>4100</v>
      </c>
      <c r="AB526" s="51">
        <v>7</v>
      </c>
      <c r="AC526" s="51">
        <v>6.5</v>
      </c>
    </row>
    <row r="527" spans="1:29" ht="16.100000000000001" x14ac:dyDescent="0.35">
      <c r="A527"/>
      <c r="B527" s="44"/>
      <c r="C527" s="24"/>
      <c r="D527" s="24"/>
      <c r="E527" s="81" t="s">
        <v>187</v>
      </c>
      <c r="F527" s="31">
        <v>1170.8900000000001</v>
      </c>
      <c r="G527" s="31">
        <v>896.9</v>
      </c>
      <c r="H527" s="31">
        <v>881.13</v>
      </c>
      <c r="I527" s="31">
        <v>909.2</v>
      </c>
      <c r="J527" s="31">
        <v>1199.07</v>
      </c>
      <c r="K527" s="31">
        <v>1371.69</v>
      </c>
      <c r="L527" s="31">
        <v>956.02</v>
      </c>
      <c r="M527" s="31">
        <v>859.42</v>
      </c>
      <c r="N527" s="31">
        <v>1139.58</v>
      </c>
      <c r="O527" s="81"/>
      <c r="P527" s="81"/>
      <c r="Q527" s="82"/>
      <c r="R527" s="82"/>
      <c r="S527" s="178"/>
      <c r="T527" s="28"/>
      <c r="U527" s="185"/>
      <c r="X527" s="157"/>
      <c r="Y527" s="157"/>
      <c r="Z527" s="157"/>
      <c r="AA527" s="157"/>
    </row>
    <row r="528" spans="1:29" ht="22.15" x14ac:dyDescent="0.35">
      <c r="A528"/>
      <c r="B528" s="44"/>
      <c r="C528" s="24"/>
      <c r="D528" s="24"/>
      <c r="E528" s="81" t="s">
        <v>188</v>
      </c>
      <c r="F528" s="60">
        <f t="shared" ref="F528:N528" si="172">IF(((F526="")*AND(F527="")),"",(F526-F527)*2)</f>
        <v>3801.2599999999998</v>
      </c>
      <c r="G528" s="60">
        <f t="shared" si="172"/>
        <v>3992.62</v>
      </c>
      <c r="H528" s="60">
        <f t="shared" si="172"/>
        <v>4038.58</v>
      </c>
      <c r="I528" s="60">
        <f t="shared" si="172"/>
        <v>3982.82</v>
      </c>
      <c r="J528" s="60">
        <f t="shared" si="172"/>
        <v>3798.3399999999997</v>
      </c>
      <c r="K528" s="60">
        <f t="shared" si="172"/>
        <v>3679.0199999999995</v>
      </c>
      <c r="L528" s="60">
        <f t="shared" si="172"/>
        <v>3971.4399999999996</v>
      </c>
      <c r="M528" s="60">
        <f t="shared" si="172"/>
        <v>4048.9799999999996</v>
      </c>
      <c r="N528" s="60">
        <f t="shared" si="172"/>
        <v>3904.7200000000003</v>
      </c>
      <c r="O528" s="81"/>
      <c r="P528" s="81"/>
      <c r="Q528" s="82"/>
      <c r="R528" s="82"/>
      <c r="S528" s="178"/>
      <c r="T528" s="28"/>
      <c r="U528" s="185"/>
      <c r="X528" s="157"/>
      <c r="Y528" s="157"/>
      <c r="Z528" s="157"/>
      <c r="AA528" s="157"/>
    </row>
    <row r="529" spans="1:29" x14ac:dyDescent="0.25">
      <c r="A529" s="249">
        <v>43338</v>
      </c>
      <c r="B529" s="257" t="s">
        <v>169</v>
      </c>
      <c r="C529" s="24" t="s">
        <v>171</v>
      </c>
      <c r="D529" s="24" t="s">
        <v>189</v>
      </c>
      <c r="E529" s="81" t="s">
        <v>186</v>
      </c>
      <c r="F529" s="31">
        <v>1962.38</v>
      </c>
      <c r="G529" s="31">
        <v>1955.53</v>
      </c>
      <c r="H529" s="31">
        <v>1954.99</v>
      </c>
      <c r="I529" s="31">
        <v>1958.98</v>
      </c>
      <c r="J529" s="31">
        <v>1965.04</v>
      </c>
      <c r="K529" s="31">
        <v>1964.37</v>
      </c>
      <c r="L529" s="31">
        <v>1958.65</v>
      </c>
      <c r="M529" s="31">
        <v>1961.71</v>
      </c>
      <c r="N529" s="31">
        <v>1966.04</v>
      </c>
      <c r="O529" s="81">
        <f>IF((N530=""),"",MAX(F531:N531))</f>
        <v>2125.59</v>
      </c>
      <c r="P529" s="81">
        <f>IF(N530="","",MIN(F531:N531))</f>
        <v>2050.0800000000004</v>
      </c>
      <c r="Q529" s="82">
        <f>IF((N531=""),"",AVERAGE(F531:N531))</f>
        <v>2089.3333333333335</v>
      </c>
      <c r="R529" s="82">
        <f>IF((N530=""),"",(O529-P529)/(O529+P529)*100)</f>
        <v>1.8083325550151175</v>
      </c>
      <c r="S529" s="152">
        <f>STDEV(F531:N531)</f>
        <v>30.499880737471852</v>
      </c>
      <c r="T529" s="23" t="str">
        <f>IF(N530="","",IF(Q529&gt;1940,IF(R529&lt;8.3,IF(Q529&lt;2180,"Pass","Fail"),"Fail"),"Fail"))</f>
        <v>Pass</v>
      </c>
      <c r="U529" s="179">
        <v>121</v>
      </c>
      <c r="X529" s="155">
        <v>2000</v>
      </c>
      <c r="Y529" s="155">
        <v>3000</v>
      </c>
      <c r="Z529" s="155">
        <v>1940</v>
      </c>
      <c r="AA529" s="155">
        <v>2180</v>
      </c>
      <c r="AC529" s="51">
        <v>5.2</v>
      </c>
    </row>
    <row r="530" spans="1:29" ht="16.100000000000001" x14ac:dyDescent="0.35">
      <c r="A530"/>
      <c r="B530" s="44"/>
      <c r="C530" s="24"/>
      <c r="D530" s="24"/>
      <c r="E530" s="81" t="s">
        <v>187</v>
      </c>
      <c r="F530" s="31">
        <v>1279.02</v>
      </c>
      <c r="G530" s="31">
        <v>1255.26</v>
      </c>
      <c r="H530" s="31">
        <v>1249.26</v>
      </c>
      <c r="I530" s="31">
        <v>1254.19</v>
      </c>
      <c r="J530" s="31">
        <v>1280.2</v>
      </c>
      <c r="K530" s="31">
        <v>1272.44</v>
      </c>
      <c r="L530" s="31">
        <v>1255.03</v>
      </c>
      <c r="M530" s="31">
        <v>1253.18</v>
      </c>
      <c r="N530" s="31">
        <v>1281.1099999999999</v>
      </c>
      <c r="O530" s="81"/>
      <c r="P530" s="81"/>
      <c r="Q530" s="82"/>
      <c r="R530" s="82"/>
      <c r="S530" s="178"/>
      <c r="T530" s="23"/>
      <c r="U530" s="179"/>
      <c r="X530" s="157"/>
      <c r="Y530" s="157"/>
      <c r="Z530" s="157"/>
      <c r="AA530" s="157"/>
    </row>
    <row r="531" spans="1:29" ht="16.100000000000001" x14ac:dyDescent="0.35">
      <c r="A531"/>
      <c r="B531" s="44"/>
      <c r="C531" s="24"/>
      <c r="D531" s="24"/>
      <c r="E531" s="81" t="s">
        <v>190</v>
      </c>
      <c r="F531" s="60">
        <f t="shared" ref="F531:N531" si="173">IF(((F529="")*AND(F530="")),"",(F529-F530)*3)</f>
        <v>2050.0800000000004</v>
      </c>
      <c r="G531" s="60">
        <f t="shared" si="173"/>
        <v>2100.81</v>
      </c>
      <c r="H531" s="60">
        <f t="shared" si="173"/>
        <v>2117.19</v>
      </c>
      <c r="I531" s="60">
        <f t="shared" si="173"/>
        <v>2114.37</v>
      </c>
      <c r="J531" s="60">
        <f t="shared" si="173"/>
        <v>2054.5199999999995</v>
      </c>
      <c r="K531" s="60">
        <f t="shared" si="173"/>
        <v>2075.7899999999995</v>
      </c>
      <c r="L531" s="60">
        <f t="shared" si="173"/>
        <v>2110.8600000000006</v>
      </c>
      <c r="M531" s="60">
        <f t="shared" si="173"/>
        <v>2125.59</v>
      </c>
      <c r="N531" s="60">
        <f t="shared" si="173"/>
        <v>2054.79</v>
      </c>
      <c r="O531" s="81"/>
      <c r="P531" s="81"/>
      <c r="Q531" s="82"/>
      <c r="R531" s="82"/>
      <c r="S531" s="178"/>
      <c r="T531" s="23"/>
      <c r="U531" s="179"/>
      <c r="X531" s="157"/>
      <c r="Y531" s="157"/>
      <c r="Z531" s="157"/>
      <c r="AA531" s="157"/>
    </row>
    <row r="532" spans="1:29" x14ac:dyDescent="0.25">
      <c r="A532" s="249">
        <v>43338</v>
      </c>
      <c r="B532" s="260" t="s">
        <v>185</v>
      </c>
      <c r="C532" s="24" t="s">
        <v>173</v>
      </c>
      <c r="D532" s="24" t="s">
        <v>172</v>
      </c>
      <c r="E532" s="81" t="s">
        <v>186</v>
      </c>
      <c r="F532" s="31">
        <v>26022.03</v>
      </c>
      <c r="G532" s="31">
        <v>26161.63</v>
      </c>
      <c r="H532" s="31">
        <v>26264.400000000001</v>
      </c>
      <c r="I532" s="31">
        <v>26179.51</v>
      </c>
      <c r="J532" s="31">
        <v>26030.7</v>
      </c>
      <c r="K532" s="31">
        <v>26045.89</v>
      </c>
      <c r="L532" s="31">
        <v>26174.240000000002</v>
      </c>
      <c r="M532" s="31">
        <v>26158.26</v>
      </c>
      <c r="N532" s="31">
        <v>25995.75</v>
      </c>
      <c r="O532" s="81">
        <f>IF((N533=""),"",MAX(F534:N534))</f>
        <v>4772.0400000000009</v>
      </c>
      <c r="P532" s="81">
        <f>IF(N533="","",MIN(F534:N534))</f>
        <v>4312.5</v>
      </c>
      <c r="Q532" s="82">
        <f>IF((N534=""),"",AVERAGE(F534:N534))</f>
        <v>4509.9633333333331</v>
      </c>
      <c r="R532" s="82">
        <f>IF((N533=""),"",(O532-P532)/(O532+P532)*100)</f>
        <v>5.0584839738721046</v>
      </c>
      <c r="S532" s="152">
        <f>STDEV(F534:N534)</f>
        <v>186.94878603510557</v>
      </c>
      <c r="T532" s="23" t="str">
        <f>IF(N533="","",IF(R532&lt;16,IF(Q532&gt;3200,IF(R532,IF(Q532&lt;5240,"Pass","Fail"),"Fail"),"Fail")))</f>
        <v>Pass</v>
      </c>
      <c r="U532" s="179">
        <v>121</v>
      </c>
      <c r="X532" s="155">
        <v>4200</v>
      </c>
      <c r="Y532" s="155">
        <v>5500</v>
      </c>
      <c r="Z532" s="155">
        <v>3200</v>
      </c>
      <c r="AA532" s="155">
        <v>5240</v>
      </c>
      <c r="AC532" s="51">
        <v>16</v>
      </c>
    </row>
    <row r="533" spans="1:29" ht="16.100000000000001" x14ac:dyDescent="0.35">
      <c r="A533"/>
      <c r="B533" s="44"/>
      <c r="C533" s="24"/>
      <c r="D533" s="24"/>
      <c r="E533" s="81" t="s">
        <v>187</v>
      </c>
      <c r="F533" s="31">
        <v>24439.54</v>
      </c>
      <c r="G533" s="31">
        <v>24697.93</v>
      </c>
      <c r="H533" s="31">
        <v>24826.9</v>
      </c>
      <c r="I533" s="31">
        <v>24731.5</v>
      </c>
      <c r="J533" s="31">
        <v>24483.55</v>
      </c>
      <c r="K533" s="31">
        <v>24499.52</v>
      </c>
      <c r="L533" s="31">
        <v>24725.59</v>
      </c>
      <c r="M533" s="31">
        <v>24692.92</v>
      </c>
      <c r="N533" s="31">
        <v>24405.07</v>
      </c>
      <c r="O533" s="81"/>
      <c r="P533" s="81"/>
      <c r="Q533" s="82"/>
      <c r="R533" s="82"/>
      <c r="S533" s="178"/>
      <c r="T533" s="23"/>
      <c r="U533" s="179"/>
      <c r="X533" s="157"/>
      <c r="Y533" s="157"/>
      <c r="Z533" s="157"/>
      <c r="AA533" s="157"/>
    </row>
    <row r="534" spans="1:29" ht="22.75" thickBot="1" x14ac:dyDescent="0.4">
      <c r="A534"/>
      <c r="B534" s="83"/>
      <c r="C534" s="84"/>
      <c r="D534" s="84"/>
      <c r="E534" s="85" t="s">
        <v>188</v>
      </c>
      <c r="F534" s="73">
        <f t="shared" ref="F534:N534" si="174">IF(((F532="")*AND(F533="")),"",(F532-F533)*3)</f>
        <v>4747.4699999999939</v>
      </c>
      <c r="G534" s="73">
        <f t="shared" si="174"/>
        <v>4391.1000000000022</v>
      </c>
      <c r="H534" s="73">
        <f t="shared" si="174"/>
        <v>4312.5</v>
      </c>
      <c r="I534" s="73">
        <f t="shared" si="174"/>
        <v>4344.0299999999952</v>
      </c>
      <c r="J534" s="73">
        <f t="shared" si="174"/>
        <v>4641.4500000000044</v>
      </c>
      <c r="K534" s="73">
        <f t="shared" si="174"/>
        <v>4639.1099999999969</v>
      </c>
      <c r="L534" s="73">
        <f t="shared" si="174"/>
        <v>4345.9500000000044</v>
      </c>
      <c r="M534" s="73">
        <f t="shared" si="174"/>
        <v>4396.0200000000004</v>
      </c>
      <c r="N534" s="73">
        <f t="shared" si="174"/>
        <v>4772.0400000000009</v>
      </c>
      <c r="O534" s="85"/>
      <c r="P534" s="85"/>
      <c r="Q534" s="86"/>
      <c r="R534" s="86"/>
      <c r="S534" s="181"/>
      <c r="T534" s="182"/>
      <c r="U534" s="183"/>
      <c r="X534" s="157"/>
      <c r="Y534" s="157"/>
      <c r="Z534" s="157"/>
      <c r="AA534" s="157"/>
    </row>
    <row r="535" spans="1:29" x14ac:dyDescent="0.25">
      <c r="A535" s="251">
        <v>43344</v>
      </c>
      <c r="B535" s="259" t="s">
        <v>174</v>
      </c>
      <c r="C535" s="64" t="s">
        <v>176</v>
      </c>
      <c r="D535" s="64" t="s">
        <v>175</v>
      </c>
      <c r="E535" s="79" t="s">
        <v>186</v>
      </c>
      <c r="F535" s="31">
        <v>6953.63</v>
      </c>
      <c r="G535" s="31">
        <v>6941.14</v>
      </c>
      <c r="H535" s="31">
        <v>6989.81</v>
      </c>
      <c r="I535" s="31">
        <v>6952.52</v>
      </c>
      <c r="J535" s="31">
        <v>7007.72</v>
      </c>
      <c r="K535" s="31">
        <v>6971.64</v>
      </c>
      <c r="L535" s="31">
        <v>6975.28</v>
      </c>
      <c r="M535" s="31">
        <v>6980.98</v>
      </c>
      <c r="N535" s="31">
        <v>7061.7</v>
      </c>
      <c r="O535" s="79">
        <f>IF((N536=""),"",MAX(F537:N537))</f>
        <v>4051.7799999999988</v>
      </c>
      <c r="P535" s="79">
        <f>IF(N536="","",MIN(F537:N537))</f>
        <v>3695.1800000000003</v>
      </c>
      <c r="Q535" s="80">
        <f>IF((N537=""),"",AVERAGE(F537:N537))</f>
        <v>3924.7333333333331</v>
      </c>
      <c r="R535" s="80">
        <f>IF((N536=""),"",(O535-P535)/(O535+P535)*100)</f>
        <v>4.6030959240785885</v>
      </c>
      <c r="S535" s="152">
        <f>STDEV(F537:N537)</f>
        <v>122.26539371383873</v>
      </c>
      <c r="T535" s="176" t="str">
        <f>IF(N536="","",IF(Q535&gt;3650,IF(R535&lt;7,IF(Q535&lt;4450,"Pass","Fail"),"Fail"),"Fail"))</f>
        <v>Pass</v>
      </c>
      <c r="U535" s="188">
        <v>1335</v>
      </c>
      <c r="X535" s="155">
        <v>3650</v>
      </c>
      <c r="Y535" s="155">
        <v>4450</v>
      </c>
      <c r="Z535" s="155">
        <v>3700</v>
      </c>
      <c r="AA535" s="155">
        <v>4100</v>
      </c>
      <c r="AB535" s="51">
        <v>7</v>
      </c>
      <c r="AC535" s="51">
        <v>6.5</v>
      </c>
    </row>
    <row r="536" spans="1:29" ht="16.100000000000001" x14ac:dyDescent="0.35">
      <c r="A536"/>
      <c r="B536" s="44"/>
      <c r="C536" s="24"/>
      <c r="D536" s="24"/>
      <c r="E536" s="81" t="s">
        <v>187</v>
      </c>
      <c r="F536" s="31">
        <v>5037.71</v>
      </c>
      <c r="G536" s="31">
        <v>4936.49</v>
      </c>
      <c r="H536" s="31">
        <v>4969.26</v>
      </c>
      <c r="I536" s="31">
        <v>4956.1899999999996</v>
      </c>
      <c r="J536" s="31">
        <v>5103.18</v>
      </c>
      <c r="K536" s="31">
        <v>5124.05</v>
      </c>
      <c r="L536" s="31">
        <v>4984.5</v>
      </c>
      <c r="M536" s="31">
        <v>4955.09</v>
      </c>
      <c r="N536" s="31">
        <v>5106.6499999999996</v>
      </c>
      <c r="O536" s="81"/>
      <c r="P536" s="81"/>
      <c r="Q536" s="82"/>
      <c r="R536" s="82"/>
      <c r="S536" s="178"/>
      <c r="T536" s="28"/>
      <c r="U536" s="185"/>
      <c r="X536" s="157"/>
      <c r="Y536" s="157"/>
      <c r="Z536" s="157"/>
      <c r="AA536" s="157"/>
    </row>
    <row r="537" spans="1:29" ht="22.75" thickBot="1" x14ac:dyDescent="0.4">
      <c r="A537"/>
      <c r="B537" s="44"/>
      <c r="C537" s="24"/>
      <c r="D537" s="24"/>
      <c r="E537" s="81" t="s">
        <v>188</v>
      </c>
      <c r="F537" s="60">
        <f t="shared" ref="F537:N537" si="175">IF(((F535="")*AND(F536="")),"",(F535-F536)*2)</f>
        <v>3831.84</v>
      </c>
      <c r="G537" s="60">
        <f t="shared" si="175"/>
        <v>4009.3000000000011</v>
      </c>
      <c r="H537" s="60">
        <f t="shared" si="175"/>
        <v>4041.1000000000004</v>
      </c>
      <c r="I537" s="60">
        <f t="shared" si="175"/>
        <v>3992.6600000000017</v>
      </c>
      <c r="J537" s="60">
        <f t="shared" si="175"/>
        <v>3809.08</v>
      </c>
      <c r="K537" s="60">
        <f t="shared" si="175"/>
        <v>3695.1800000000003</v>
      </c>
      <c r="L537" s="60">
        <f t="shared" si="175"/>
        <v>3981.5599999999995</v>
      </c>
      <c r="M537" s="60">
        <f t="shared" si="175"/>
        <v>4051.7799999999988</v>
      </c>
      <c r="N537" s="60">
        <f t="shared" si="175"/>
        <v>3910.1000000000004</v>
      </c>
      <c r="O537" s="81"/>
      <c r="P537" s="81"/>
      <c r="Q537" s="82"/>
      <c r="R537" s="82"/>
      <c r="S537" s="178"/>
      <c r="T537" s="28"/>
      <c r="U537" s="185"/>
      <c r="X537" s="157"/>
      <c r="Y537" s="157"/>
      <c r="Z537" s="157"/>
      <c r="AA537" s="157"/>
    </row>
    <row r="538" spans="1:29" x14ac:dyDescent="0.25">
      <c r="A538" s="251">
        <v>43344</v>
      </c>
      <c r="B538" s="257" t="s">
        <v>169</v>
      </c>
      <c r="C538" s="24" t="s">
        <v>171</v>
      </c>
      <c r="D538" s="24" t="s">
        <v>189</v>
      </c>
      <c r="E538" s="81" t="s">
        <v>186</v>
      </c>
      <c r="F538" s="31">
        <v>1281.79</v>
      </c>
      <c r="G538" s="31">
        <v>1257.3</v>
      </c>
      <c r="H538" s="31">
        <v>1252.99</v>
      </c>
      <c r="I538" s="31">
        <v>1252.75</v>
      </c>
      <c r="J538" s="31">
        <v>1280.46</v>
      </c>
      <c r="K538" s="31">
        <v>1280.0999999999999</v>
      </c>
      <c r="L538" s="31">
        <v>1259.1500000000001</v>
      </c>
      <c r="M538" s="31">
        <v>1254.55</v>
      </c>
      <c r="N538" s="31">
        <v>1279.92</v>
      </c>
      <c r="O538" s="81">
        <f>IF((N539=""),"",MAX(F540:N540))</f>
        <v>2065.86</v>
      </c>
      <c r="P538" s="81">
        <f>IF(N539="","",MIN(F540:N540))</f>
        <v>1993.44</v>
      </c>
      <c r="Q538" s="82">
        <f>IF((N540=""),"",AVERAGE(F540:N540))</f>
        <v>2039.2866666666664</v>
      </c>
      <c r="R538" s="82">
        <f>IF((N539=""),"",(O538-P538)/(O538+P538)*100)</f>
        <v>1.7840514374399545</v>
      </c>
      <c r="S538" s="152">
        <f>STDEV(F540:N540)</f>
        <v>24.168397236887635</v>
      </c>
      <c r="T538" s="23" t="str">
        <f>IF(N539="","",IF(Q538&gt;1940,IF(R538&lt;8.3,IF(Q538&lt;2180,"Pass","Fail"),"Fail"),"Fail"))</f>
        <v>Pass</v>
      </c>
      <c r="U538" s="179">
        <v>1335</v>
      </c>
      <c r="X538" s="155">
        <v>2000</v>
      </c>
      <c r="Y538" s="155">
        <v>3000</v>
      </c>
      <c r="Z538" s="155">
        <v>1940</v>
      </c>
      <c r="AA538" s="155">
        <v>2180</v>
      </c>
      <c r="AC538" s="51">
        <v>5.2</v>
      </c>
    </row>
    <row r="539" spans="1:29" ht="16.100000000000001" x14ac:dyDescent="0.35">
      <c r="A539"/>
      <c r="B539" s="44"/>
      <c r="C539" s="24"/>
      <c r="D539" s="24"/>
      <c r="E539" s="81" t="s">
        <v>187</v>
      </c>
      <c r="F539" s="31">
        <v>596.78</v>
      </c>
      <c r="G539" s="31">
        <v>568.67999999999995</v>
      </c>
      <c r="H539" s="31">
        <v>567.09</v>
      </c>
      <c r="I539" s="31">
        <v>573.74</v>
      </c>
      <c r="J539" s="31">
        <v>615.98</v>
      </c>
      <c r="K539" s="31">
        <v>605.91</v>
      </c>
      <c r="L539" s="31">
        <v>575.88</v>
      </c>
      <c r="M539" s="31">
        <v>568.94000000000005</v>
      </c>
      <c r="N539" s="31">
        <v>608.15</v>
      </c>
      <c r="O539" s="81"/>
      <c r="P539" s="81"/>
      <c r="Q539" s="82"/>
      <c r="R539" s="82"/>
      <c r="S539" s="178"/>
      <c r="T539" s="23"/>
      <c r="U539" s="179"/>
      <c r="X539" s="157"/>
      <c r="Y539" s="157"/>
      <c r="Z539" s="157"/>
      <c r="AA539" s="157"/>
    </row>
    <row r="540" spans="1:29" ht="16.649999999999999" thickBot="1" x14ac:dyDescent="0.4">
      <c r="A540"/>
      <c r="B540" s="44"/>
      <c r="C540" s="24"/>
      <c r="D540" s="24"/>
      <c r="E540" s="81" t="s">
        <v>190</v>
      </c>
      <c r="F540" s="60">
        <f t="shared" ref="F540:N540" si="176">IF(((F538="")*AND(F539="")),"",(F538-F539)*3)</f>
        <v>2055.0299999999997</v>
      </c>
      <c r="G540" s="60">
        <f t="shared" si="176"/>
        <v>2065.86</v>
      </c>
      <c r="H540" s="60">
        <f t="shared" si="176"/>
        <v>2057.6999999999998</v>
      </c>
      <c r="I540" s="60">
        <f t="shared" si="176"/>
        <v>2037.03</v>
      </c>
      <c r="J540" s="60">
        <f t="shared" si="176"/>
        <v>1993.44</v>
      </c>
      <c r="K540" s="60">
        <f t="shared" si="176"/>
        <v>2022.5699999999997</v>
      </c>
      <c r="L540" s="60">
        <f t="shared" si="176"/>
        <v>2049.8100000000004</v>
      </c>
      <c r="M540" s="60">
        <f t="shared" si="176"/>
        <v>2056.83</v>
      </c>
      <c r="N540" s="60">
        <f t="shared" si="176"/>
        <v>2015.3100000000004</v>
      </c>
      <c r="O540" s="81"/>
      <c r="P540" s="81"/>
      <c r="Q540" s="82"/>
      <c r="R540" s="82"/>
      <c r="S540" s="178"/>
      <c r="T540" s="23"/>
      <c r="U540" s="179"/>
      <c r="X540" s="157"/>
      <c r="Y540" s="157"/>
      <c r="Z540" s="157"/>
      <c r="AA540" s="157"/>
    </row>
    <row r="541" spans="1:29" x14ac:dyDescent="0.25">
      <c r="A541" s="251">
        <v>43344</v>
      </c>
      <c r="B541" s="260" t="s">
        <v>185</v>
      </c>
      <c r="C541" s="24" t="s">
        <v>173</v>
      </c>
      <c r="D541" s="24" t="s">
        <v>172</v>
      </c>
      <c r="E541" s="81" t="s">
        <v>186</v>
      </c>
      <c r="F541" s="31">
        <v>24376.92</v>
      </c>
      <c r="G541" s="31">
        <v>24638.61</v>
      </c>
      <c r="H541" s="31">
        <v>24760.19</v>
      </c>
      <c r="I541" s="31">
        <v>24670.720000000001</v>
      </c>
      <c r="J541" s="31">
        <v>24423.13</v>
      </c>
      <c r="K541" s="31">
        <v>24435.75</v>
      </c>
      <c r="L541" s="31">
        <v>24664.46</v>
      </c>
      <c r="M541" s="31">
        <v>24641.88</v>
      </c>
      <c r="N541" s="31">
        <v>24349.08</v>
      </c>
      <c r="O541" s="81">
        <f>IF((N542=""),"",MAX(F543:N543))</f>
        <v>4499.25</v>
      </c>
      <c r="P541" s="81">
        <f>IF(N542="","",MIN(F543:N543))</f>
        <v>4030.2900000000009</v>
      </c>
      <c r="Q541" s="82">
        <f>IF((N543=""),"",AVERAGE(F543:N543))</f>
        <v>4254.2800000000016</v>
      </c>
      <c r="R541" s="82">
        <f>IF((N542=""),"",(O541-P541)/(O541+P541)*100)</f>
        <v>5.4980690635133795</v>
      </c>
      <c r="S541" s="152">
        <f>STDEV(F543:N543)</f>
        <v>192.73358393128979</v>
      </c>
      <c r="T541" s="23" t="str">
        <f>IF(N542="","",IF(R541&lt;16,IF(Q541&gt;3200,IF(R541,IF(Q541&lt;5240,"Pass","Fail"),"Fail"),"Fail")))</f>
        <v>Pass</v>
      </c>
      <c r="U541" s="179">
        <v>1335</v>
      </c>
      <c r="X541" s="155">
        <v>4200</v>
      </c>
      <c r="Y541" s="155">
        <v>5500</v>
      </c>
      <c r="Z541" s="155">
        <v>3200</v>
      </c>
      <c r="AA541" s="155">
        <v>5240</v>
      </c>
      <c r="AC541" s="51">
        <v>16</v>
      </c>
    </row>
    <row r="542" spans="1:29" ht="16.100000000000001" x14ac:dyDescent="0.35">
      <c r="A542"/>
      <c r="B542" s="44"/>
      <c r="C542" s="24"/>
      <c r="D542" s="24"/>
      <c r="E542" s="81" t="s">
        <v>187</v>
      </c>
      <c r="F542" s="31">
        <v>22882.04</v>
      </c>
      <c r="G542" s="31">
        <v>23265.439999999999</v>
      </c>
      <c r="H542" s="31">
        <v>23416.76</v>
      </c>
      <c r="I542" s="31">
        <v>23307.77</v>
      </c>
      <c r="J542" s="31">
        <v>22948.37</v>
      </c>
      <c r="K542" s="31">
        <v>22967.96</v>
      </c>
      <c r="L542" s="31">
        <v>23297.87</v>
      </c>
      <c r="M542" s="31">
        <v>23262.36</v>
      </c>
      <c r="N542" s="31">
        <v>22849.33</v>
      </c>
      <c r="O542" s="81"/>
      <c r="P542" s="81"/>
      <c r="Q542" s="82"/>
      <c r="R542" s="82"/>
      <c r="S542" s="178"/>
      <c r="T542" s="23"/>
      <c r="U542" s="179"/>
      <c r="X542" s="157"/>
      <c r="Y542" s="157"/>
      <c r="Z542" s="157"/>
      <c r="AA542" s="157"/>
    </row>
    <row r="543" spans="1:29" ht="22.75" thickBot="1" x14ac:dyDescent="0.4">
      <c r="A543"/>
      <c r="B543" s="83"/>
      <c r="C543" s="84"/>
      <c r="D543" s="84"/>
      <c r="E543" s="85" t="s">
        <v>188</v>
      </c>
      <c r="F543" s="73">
        <f t="shared" ref="F543:N543" si="177">IF(((F541="")*AND(F542="")),"",(F541-F542)*3)</f>
        <v>4484.6399999999921</v>
      </c>
      <c r="G543" s="73">
        <f t="shared" si="177"/>
        <v>4119.5100000000057</v>
      </c>
      <c r="H543" s="73">
        <f t="shared" si="177"/>
        <v>4030.2900000000009</v>
      </c>
      <c r="I543" s="73">
        <f t="shared" si="177"/>
        <v>4088.8500000000022</v>
      </c>
      <c r="J543" s="73">
        <f t="shared" si="177"/>
        <v>4424.2800000000061</v>
      </c>
      <c r="K543" s="73">
        <f t="shared" si="177"/>
        <v>4403.3700000000026</v>
      </c>
      <c r="L543" s="73">
        <f t="shared" si="177"/>
        <v>4099.7700000000004</v>
      </c>
      <c r="M543" s="73">
        <f t="shared" si="177"/>
        <v>4138.5600000000013</v>
      </c>
      <c r="N543" s="73">
        <f t="shared" si="177"/>
        <v>4499.25</v>
      </c>
      <c r="O543" s="85"/>
      <c r="P543" s="85"/>
      <c r="Q543" s="86"/>
      <c r="R543" s="86"/>
      <c r="S543" s="181"/>
      <c r="T543" s="182"/>
      <c r="U543" s="183"/>
      <c r="X543" s="157"/>
      <c r="Y543" s="157"/>
      <c r="Z543" s="157"/>
      <c r="AA543" s="157"/>
    </row>
    <row r="544" spans="1:29" x14ac:dyDescent="0.25">
      <c r="A544" s="251">
        <v>43347</v>
      </c>
      <c r="B544" s="259" t="s">
        <v>174</v>
      </c>
      <c r="C544" s="64" t="s">
        <v>176</v>
      </c>
      <c r="D544" s="64" t="s">
        <v>175</v>
      </c>
      <c r="E544" s="79" t="s">
        <v>186</v>
      </c>
      <c r="F544" s="31">
        <v>5037.71</v>
      </c>
      <c r="G544" s="31">
        <v>4936.49</v>
      </c>
      <c r="H544" s="31">
        <v>4969.26</v>
      </c>
      <c r="I544" s="31">
        <v>4956.1899999999996</v>
      </c>
      <c r="J544" s="31">
        <v>5103.18</v>
      </c>
      <c r="K544" s="31">
        <v>5124.05</v>
      </c>
      <c r="L544" s="31">
        <v>4984.5</v>
      </c>
      <c r="M544" s="31">
        <v>4955.09</v>
      </c>
      <c r="N544" s="31">
        <v>5106.6499999999996</v>
      </c>
      <c r="O544" s="79">
        <f>IF((N545=""),"",MAX(F546:N546))</f>
        <v>4051.5400000000009</v>
      </c>
      <c r="P544" s="79">
        <f>IF(N545="","",MIN(F546:N546))</f>
        <v>3704.1400000000003</v>
      </c>
      <c r="Q544" s="80">
        <f>IF((N546=""),"",AVERAGE(F546:N546))</f>
        <v>3929.4066666666663</v>
      </c>
      <c r="R544" s="80">
        <f>IF((N545=""),"",(O544-P544)/(O544+P544)*100)</f>
        <v>4.479297753388491</v>
      </c>
      <c r="S544" s="152">
        <f>STDEV(F546:N546)</f>
        <v>122.62903938301058</v>
      </c>
      <c r="T544" s="176" t="str">
        <f>IF(N545="","",IF(Q544&gt;3650,IF(R544&lt;7,IF(Q544&lt;4450,"Pass","Fail"),"Fail"),"Fail"))</f>
        <v>Pass</v>
      </c>
      <c r="U544" s="188">
        <v>1335</v>
      </c>
      <c r="X544" s="155">
        <v>3650</v>
      </c>
      <c r="Y544" s="155">
        <v>4450</v>
      </c>
      <c r="Z544" s="155">
        <v>3700</v>
      </c>
      <c r="AA544" s="155">
        <v>4100</v>
      </c>
      <c r="AB544" s="51">
        <v>7</v>
      </c>
      <c r="AC544" s="51">
        <v>6.5</v>
      </c>
    </row>
    <row r="545" spans="1:29" ht="16.100000000000001" x14ac:dyDescent="0.35">
      <c r="A545"/>
      <c r="B545" s="44"/>
      <c r="C545" s="24"/>
      <c r="D545" s="24"/>
      <c r="E545" s="81" t="s">
        <v>187</v>
      </c>
      <c r="F545" s="31">
        <v>3125.43</v>
      </c>
      <c r="G545" s="31">
        <v>2930.29</v>
      </c>
      <c r="H545" s="31">
        <v>2943.49</v>
      </c>
      <c r="I545" s="31">
        <v>2952.57</v>
      </c>
      <c r="J545" s="31">
        <v>3191.08</v>
      </c>
      <c r="K545" s="31">
        <v>3271.98</v>
      </c>
      <c r="L545" s="31">
        <v>2985.34</v>
      </c>
      <c r="M545" s="31">
        <v>2931.77</v>
      </c>
      <c r="N545" s="31">
        <v>3158.84</v>
      </c>
      <c r="O545" s="81"/>
      <c r="P545" s="81"/>
      <c r="Q545" s="82"/>
      <c r="R545" s="82"/>
      <c r="S545" s="178"/>
      <c r="T545" s="28"/>
      <c r="U545" s="185"/>
      <c r="X545" s="157"/>
      <c r="Y545" s="157"/>
      <c r="Z545" s="157"/>
      <c r="AA545" s="157"/>
    </row>
    <row r="546" spans="1:29" ht="22.75" thickBot="1" x14ac:dyDescent="0.4">
      <c r="A546"/>
      <c r="B546" s="44"/>
      <c r="C546" s="24"/>
      <c r="D546" s="24"/>
      <c r="E546" s="81" t="s">
        <v>188</v>
      </c>
      <c r="F546" s="60">
        <f t="shared" ref="F546:N546" si="178">IF(((F544="")*AND(F545="")),"",(F544-F545)*2)</f>
        <v>3824.5600000000004</v>
      </c>
      <c r="G546" s="60">
        <f t="shared" si="178"/>
        <v>4012.3999999999996</v>
      </c>
      <c r="H546" s="60">
        <f t="shared" si="178"/>
        <v>4051.5400000000009</v>
      </c>
      <c r="I546" s="60">
        <f t="shared" si="178"/>
        <v>4007.2399999999989</v>
      </c>
      <c r="J546" s="60">
        <f t="shared" si="178"/>
        <v>3824.2000000000007</v>
      </c>
      <c r="K546" s="60">
        <f t="shared" si="178"/>
        <v>3704.1400000000003</v>
      </c>
      <c r="L546" s="60">
        <f t="shared" si="178"/>
        <v>3998.3199999999997</v>
      </c>
      <c r="M546" s="60">
        <f t="shared" si="178"/>
        <v>4046.6400000000003</v>
      </c>
      <c r="N546" s="60">
        <f t="shared" si="178"/>
        <v>3895.619999999999</v>
      </c>
      <c r="O546" s="81"/>
      <c r="P546" s="81"/>
      <c r="Q546" s="82"/>
      <c r="R546" s="82"/>
      <c r="S546" s="178"/>
      <c r="T546" s="28"/>
      <c r="U546" s="185"/>
      <c r="X546" s="157"/>
      <c r="Y546" s="157"/>
      <c r="Z546" s="157"/>
      <c r="AA546" s="157"/>
    </row>
    <row r="547" spans="1:29" x14ac:dyDescent="0.25">
      <c r="A547" s="251">
        <v>43347</v>
      </c>
      <c r="B547" s="257" t="s">
        <v>169</v>
      </c>
      <c r="C547" s="24" t="s">
        <v>171</v>
      </c>
      <c r="D547" s="24" t="s">
        <v>189</v>
      </c>
      <c r="E547" s="81" t="s">
        <v>186</v>
      </c>
      <c r="F547" s="31">
        <v>1971.67</v>
      </c>
      <c r="G547" s="31">
        <v>1966.5</v>
      </c>
      <c r="H547" s="31">
        <v>1965.14</v>
      </c>
      <c r="I547" s="31">
        <v>1968.7</v>
      </c>
      <c r="J547" s="31">
        <v>1971.96</v>
      </c>
      <c r="K547" s="31">
        <v>1978.37</v>
      </c>
      <c r="L547" s="31">
        <v>1971.14</v>
      </c>
      <c r="M547" s="31">
        <v>1967.94</v>
      </c>
      <c r="N547" s="31">
        <v>1974.59</v>
      </c>
      <c r="O547" s="81">
        <f>IF((N548=""),"",MAX(F549:N549))</f>
        <v>2107.9500000000003</v>
      </c>
      <c r="P547" s="81">
        <f>IF(N548="","",MIN(F549:N549))</f>
        <v>2041.2900000000002</v>
      </c>
      <c r="Q547" s="82">
        <f>IF((N549=""),"",AVERAGE(F549:N549))</f>
        <v>2084.6033333333335</v>
      </c>
      <c r="R547" s="82">
        <f>IF((N548=""),"",(O547-P547)/(O547+P547)*100)</f>
        <v>1.606559273505511</v>
      </c>
      <c r="S547" s="152">
        <f>STDEV(F549:N549)</f>
        <v>20.014557826742074</v>
      </c>
      <c r="T547" s="23" t="str">
        <f>IF(N548="","",IF(Q547&gt;1940,IF(R547&lt;8.3,IF(Q547&lt;2180,"Pass","Fail"),"Fail"),"Fail"))</f>
        <v>Pass</v>
      </c>
      <c r="U547" s="179">
        <v>1335</v>
      </c>
      <c r="X547" s="155">
        <v>2000</v>
      </c>
      <c r="Y547" s="155">
        <v>3000</v>
      </c>
      <c r="Z547" s="155">
        <v>1940</v>
      </c>
      <c r="AA547" s="155">
        <v>2180</v>
      </c>
      <c r="AC547" s="51">
        <v>5.2</v>
      </c>
    </row>
    <row r="548" spans="1:29" ht="16.100000000000001" x14ac:dyDescent="0.35">
      <c r="A548"/>
      <c r="B548" s="44"/>
      <c r="C548" s="24"/>
      <c r="D548" s="24"/>
      <c r="E548" s="81" t="s">
        <v>187</v>
      </c>
      <c r="F548" s="31">
        <v>1276.7</v>
      </c>
      <c r="G548" s="31">
        <v>1268.7</v>
      </c>
      <c r="H548" s="31">
        <v>1268.97</v>
      </c>
      <c r="I548" s="31">
        <v>1267.8900000000001</v>
      </c>
      <c r="J548" s="31">
        <v>1291.53</v>
      </c>
      <c r="K548" s="31">
        <v>1286.9000000000001</v>
      </c>
      <c r="L548" s="31">
        <v>1272.52</v>
      </c>
      <c r="M548" s="31">
        <v>1265.29</v>
      </c>
      <c r="N548" s="31">
        <v>1283.7</v>
      </c>
      <c r="O548" s="81"/>
      <c r="P548" s="81"/>
      <c r="Q548" s="82"/>
      <c r="R548" s="82"/>
      <c r="S548" s="178"/>
      <c r="T548" s="23"/>
      <c r="U548" s="179"/>
      <c r="X548" s="157"/>
      <c r="Y548" s="157"/>
      <c r="Z548" s="157"/>
      <c r="AA548" s="157"/>
    </row>
    <row r="549" spans="1:29" ht="16.649999999999999" thickBot="1" x14ac:dyDescent="0.4">
      <c r="A549"/>
      <c r="B549" s="44"/>
      <c r="C549" s="24"/>
      <c r="D549" s="24"/>
      <c r="E549" s="81" t="s">
        <v>190</v>
      </c>
      <c r="F549" s="60">
        <f t="shared" ref="F549:N549" si="179">IF(((F547="")*AND(F548="")),"",(F547-F548)*3)</f>
        <v>2084.91</v>
      </c>
      <c r="G549" s="60">
        <f t="shared" si="179"/>
        <v>2093.3999999999996</v>
      </c>
      <c r="H549" s="60">
        <f t="shared" si="179"/>
        <v>2088.5100000000002</v>
      </c>
      <c r="I549" s="60">
        <f t="shared" si="179"/>
        <v>2102.4299999999998</v>
      </c>
      <c r="J549" s="60">
        <f t="shared" si="179"/>
        <v>2041.2900000000002</v>
      </c>
      <c r="K549" s="60">
        <f t="shared" si="179"/>
        <v>2074.4099999999994</v>
      </c>
      <c r="L549" s="60">
        <f t="shared" si="179"/>
        <v>2095.8600000000006</v>
      </c>
      <c r="M549" s="60">
        <f t="shared" si="179"/>
        <v>2107.9500000000003</v>
      </c>
      <c r="N549" s="60">
        <f t="shared" si="179"/>
        <v>2072.6699999999996</v>
      </c>
      <c r="O549" s="81"/>
      <c r="P549" s="81"/>
      <c r="Q549" s="82"/>
      <c r="R549" s="82"/>
      <c r="S549" s="178"/>
      <c r="T549" s="23"/>
      <c r="U549" s="179"/>
      <c r="X549" s="157"/>
      <c r="Y549" s="157"/>
      <c r="Z549" s="157"/>
      <c r="AA549" s="157"/>
    </row>
    <row r="550" spans="1:29" x14ac:dyDescent="0.25">
      <c r="A550" s="251">
        <v>43347</v>
      </c>
      <c r="B550" s="260" t="s">
        <v>185</v>
      </c>
      <c r="C550" s="24" t="s">
        <v>173</v>
      </c>
      <c r="D550" s="24" t="s">
        <v>172</v>
      </c>
      <c r="E550" s="81" t="s">
        <v>186</v>
      </c>
      <c r="F550" s="31">
        <v>22882.04</v>
      </c>
      <c r="G550" s="31">
        <v>23265.439999999999</v>
      </c>
      <c r="H550" s="31">
        <v>23416.76</v>
      </c>
      <c r="I550" s="31">
        <v>23307.77</v>
      </c>
      <c r="J550" s="31">
        <v>22948.37</v>
      </c>
      <c r="K550" s="31">
        <v>22967.96</v>
      </c>
      <c r="L550" s="31">
        <v>23297.87</v>
      </c>
      <c r="M550" s="31">
        <v>23262.36</v>
      </c>
      <c r="N550" s="31">
        <v>22849.33</v>
      </c>
      <c r="O550" s="81">
        <f>IF((N551=""),"",MAX(F552:N552))</f>
        <v>4818.2700000000004</v>
      </c>
      <c r="P550" s="81">
        <f>IF(N551="","",MIN(F552:N552))</f>
        <v>4373.5499999999956</v>
      </c>
      <c r="Q550" s="82">
        <f>IF((N552=""),"",AVERAGE(F552:N552))</f>
        <v>4587.7166666666662</v>
      </c>
      <c r="R550" s="82">
        <f>IF((N551=""),"",(O550-P550)/(O550+P550)*100)</f>
        <v>4.8382148475492883</v>
      </c>
      <c r="S550" s="152">
        <f>STDEV(F552:N552)</f>
        <v>182.20709892866432</v>
      </c>
      <c r="T550" s="23" t="str">
        <f>IF(N551="","",IF(R550&lt;16,IF(Q550&gt;3200,IF(R550,IF(Q550&lt;5240,"Pass","Fail"),"Fail"),"Fail")))</f>
        <v>Pass</v>
      </c>
      <c r="U550" s="179">
        <v>1335</v>
      </c>
      <c r="X550" s="155">
        <v>4200</v>
      </c>
      <c r="Y550" s="155">
        <v>5500</v>
      </c>
      <c r="Z550" s="155">
        <v>3200</v>
      </c>
      <c r="AA550" s="155">
        <v>5240</v>
      </c>
      <c r="AC550" s="51">
        <v>16</v>
      </c>
    </row>
    <row r="551" spans="1:29" ht="16.100000000000001" x14ac:dyDescent="0.35">
      <c r="A551"/>
      <c r="B551" s="44"/>
      <c r="C551" s="24"/>
      <c r="D551" s="24"/>
      <c r="E551" s="81" t="s">
        <v>187</v>
      </c>
      <c r="F551" s="31">
        <v>21275.95</v>
      </c>
      <c r="G551" s="31">
        <v>21771.599999999999</v>
      </c>
      <c r="H551" s="31">
        <v>21958.91</v>
      </c>
      <c r="I551" s="31">
        <v>21836.880000000001</v>
      </c>
      <c r="J551" s="31">
        <v>21373.16</v>
      </c>
      <c r="K551" s="31">
        <v>21388.880000000001</v>
      </c>
      <c r="L551" s="31">
        <v>21813.01</v>
      </c>
      <c r="M551" s="31">
        <v>21772.16</v>
      </c>
      <c r="N551" s="31">
        <v>21244.2</v>
      </c>
      <c r="O551" s="81"/>
      <c r="P551" s="81"/>
      <c r="Q551" s="82"/>
      <c r="R551" s="82"/>
      <c r="S551" s="178"/>
      <c r="T551" s="23"/>
      <c r="U551" s="179"/>
      <c r="X551" s="157"/>
      <c r="Y551" s="157"/>
      <c r="Z551" s="157"/>
      <c r="AA551" s="157"/>
    </row>
    <row r="552" spans="1:29" ht="22.75" thickBot="1" x14ac:dyDescent="0.4">
      <c r="A552"/>
      <c r="B552" s="83"/>
      <c r="C552" s="84"/>
      <c r="D552" s="84"/>
      <c r="E552" s="85" t="s">
        <v>188</v>
      </c>
      <c r="F552" s="73">
        <f t="shared" ref="F552:N552" si="180">IF(((F550="")*AND(F551="")),"",(F550-F551)*3)</f>
        <v>4818.2700000000004</v>
      </c>
      <c r="G552" s="73">
        <f t="shared" si="180"/>
        <v>4481.5200000000004</v>
      </c>
      <c r="H552" s="73">
        <f t="shared" si="180"/>
        <v>4373.5499999999956</v>
      </c>
      <c r="I552" s="73">
        <f t="shared" si="180"/>
        <v>4412.6699999999983</v>
      </c>
      <c r="J552" s="73">
        <f t="shared" si="180"/>
        <v>4725.6299999999974</v>
      </c>
      <c r="K552" s="73">
        <f t="shared" si="180"/>
        <v>4737.2399999999943</v>
      </c>
      <c r="L552" s="73">
        <f t="shared" si="180"/>
        <v>4454.5800000000017</v>
      </c>
      <c r="M552" s="73">
        <f t="shared" si="180"/>
        <v>4470.6000000000022</v>
      </c>
      <c r="N552" s="73">
        <f t="shared" si="180"/>
        <v>4815.3900000000031</v>
      </c>
      <c r="O552" s="85"/>
      <c r="P552" s="85"/>
      <c r="Q552" s="86"/>
      <c r="R552" s="86"/>
      <c r="S552" s="181"/>
      <c r="T552" s="182"/>
      <c r="U552" s="183"/>
      <c r="X552" s="157"/>
      <c r="Y552" s="157"/>
      <c r="Z552" s="157"/>
      <c r="AA552" s="157"/>
    </row>
    <row r="553" spans="1:29" x14ac:dyDescent="0.25">
      <c r="A553" s="248">
        <v>43350</v>
      </c>
      <c r="B553" s="260" t="s">
        <v>185</v>
      </c>
      <c r="C553" s="24" t="s">
        <v>173</v>
      </c>
      <c r="D553" s="24" t="s">
        <v>172</v>
      </c>
      <c r="E553" s="81" t="s">
        <v>186</v>
      </c>
      <c r="F553" s="31">
        <v>29036.66</v>
      </c>
      <c r="G553" s="31">
        <v>28946.15</v>
      </c>
      <c r="H553" s="31">
        <v>28965.17</v>
      </c>
      <c r="I553" s="31">
        <v>28965.09</v>
      </c>
      <c r="J553" s="31">
        <v>29051.79</v>
      </c>
      <c r="K553" s="31">
        <v>29025.42</v>
      </c>
      <c r="L553" s="31">
        <v>28950.5</v>
      </c>
      <c r="M553" s="31">
        <v>28958.52</v>
      </c>
      <c r="N553" s="31">
        <v>29060.75</v>
      </c>
      <c r="O553" s="81">
        <f>IF((N554=""),"",MAX(F555:N555))</f>
        <v>4299.5099999999948</v>
      </c>
      <c r="P553" s="81">
        <f>IF(N554="","",MIN(F555:N555))</f>
        <v>3924.0299999999952</v>
      </c>
      <c r="Q553" s="82">
        <f>IF((N555=""),"",AVERAGE(F555:N555))</f>
        <v>4085.246666666666</v>
      </c>
      <c r="R553" s="82">
        <f>IF((N554=""),"",(O553-P553)/(O553+P553)*100)</f>
        <v>4.5659168679181956</v>
      </c>
      <c r="S553" s="152">
        <f>STDEV(F555:N555)</f>
        <v>153.57467328631924</v>
      </c>
      <c r="T553" s="23" t="str">
        <f>IF(N554="","",IF(R553&lt;16,IF(Q553&gt;3200,IF(R553,IF(Q553&lt;5240,"Pass","Fail"),"Fail"),"Fail")))</f>
        <v>Pass</v>
      </c>
      <c r="U553" s="179">
        <v>1340</v>
      </c>
      <c r="X553" s="155">
        <v>4200</v>
      </c>
      <c r="Y553" s="155">
        <v>5500</v>
      </c>
      <c r="Z553" s="155">
        <v>3200</v>
      </c>
      <c r="AA553" s="155">
        <v>5240</v>
      </c>
      <c r="AC553" s="51">
        <v>16</v>
      </c>
    </row>
    <row r="554" spans="1:29" ht="16.100000000000001" x14ac:dyDescent="0.35">
      <c r="A554"/>
      <c r="B554" s="44"/>
      <c r="C554" s="24"/>
      <c r="D554" s="24"/>
      <c r="E554" s="81" t="s">
        <v>187</v>
      </c>
      <c r="F554" s="31">
        <v>27614.49</v>
      </c>
      <c r="G554" s="31">
        <v>27615.65</v>
      </c>
      <c r="H554" s="31">
        <v>27656.82</v>
      </c>
      <c r="I554" s="31">
        <v>27645.78</v>
      </c>
      <c r="J554" s="31">
        <v>27656.21</v>
      </c>
      <c r="K554" s="31">
        <v>27621.19</v>
      </c>
      <c r="L554" s="31">
        <v>27642.49</v>
      </c>
      <c r="M554" s="31">
        <v>27624.1</v>
      </c>
      <c r="N554" s="31">
        <v>27627.58</v>
      </c>
      <c r="O554" s="81"/>
      <c r="P554" s="81"/>
      <c r="Q554" s="82"/>
      <c r="R554" s="82"/>
      <c r="S554" s="178"/>
      <c r="T554" s="23"/>
      <c r="U554" s="179"/>
      <c r="X554" s="157"/>
      <c r="Y554" s="157"/>
      <c r="Z554" s="157"/>
      <c r="AA554" s="157"/>
    </row>
    <row r="555" spans="1:29" ht="22.75" thickBot="1" x14ac:dyDescent="0.4">
      <c r="A555"/>
      <c r="B555" s="83"/>
      <c r="C555" s="84"/>
      <c r="D555" s="84"/>
      <c r="E555" s="85" t="s">
        <v>188</v>
      </c>
      <c r="F555" s="73">
        <f t="shared" ref="F555:N555" si="181">IF(((F553="")*AND(F554="")),"",(F553-F554)*3)</f>
        <v>4266.5099999999948</v>
      </c>
      <c r="G555" s="73">
        <f t="shared" si="181"/>
        <v>3991.5</v>
      </c>
      <c r="H555" s="73">
        <f t="shared" si="181"/>
        <v>3925.0499999999956</v>
      </c>
      <c r="I555" s="73">
        <f t="shared" si="181"/>
        <v>3957.9300000000039</v>
      </c>
      <c r="J555" s="73">
        <f t="shared" si="181"/>
        <v>4186.7400000000052</v>
      </c>
      <c r="K555" s="73">
        <f t="shared" si="181"/>
        <v>4212.6899999999987</v>
      </c>
      <c r="L555" s="73">
        <f t="shared" si="181"/>
        <v>3924.0299999999952</v>
      </c>
      <c r="M555" s="73">
        <f t="shared" si="181"/>
        <v>4003.2600000000057</v>
      </c>
      <c r="N555" s="73">
        <f t="shared" si="181"/>
        <v>4299.5099999999948</v>
      </c>
      <c r="O555" s="85"/>
      <c r="P555" s="85"/>
      <c r="Q555" s="86"/>
      <c r="R555" s="86"/>
      <c r="S555" s="181"/>
      <c r="T555" s="182"/>
      <c r="U555" s="183"/>
      <c r="X555" s="157"/>
      <c r="Y555" s="157"/>
      <c r="Z555" s="157"/>
      <c r="AA555" s="157"/>
    </row>
    <row r="556" spans="1:29" x14ac:dyDescent="0.25">
      <c r="A556" s="248">
        <v>43350</v>
      </c>
      <c r="B556" s="259" t="s">
        <v>174</v>
      </c>
      <c r="C556" s="64" t="s">
        <v>176</v>
      </c>
      <c r="D556" s="64" t="s">
        <v>175</v>
      </c>
      <c r="E556" s="79" t="s">
        <v>186</v>
      </c>
      <c r="F556" s="31">
        <v>3135.67</v>
      </c>
      <c r="G556" s="31">
        <v>2939.37</v>
      </c>
      <c r="H556" s="31">
        <v>2953.21</v>
      </c>
      <c r="I556" s="31">
        <v>2962.39</v>
      </c>
      <c r="J556" s="31">
        <v>3202.45</v>
      </c>
      <c r="K556" s="31">
        <v>3283.39</v>
      </c>
      <c r="L556" s="31">
        <v>2995.09</v>
      </c>
      <c r="M556" s="31">
        <v>2941.35</v>
      </c>
      <c r="N556" s="31">
        <v>3170.06</v>
      </c>
      <c r="O556" s="79">
        <f>IF((N557=""),"",MAX(F558:N558))</f>
        <v>4042.04</v>
      </c>
      <c r="P556" s="79">
        <f>IF(N557="","",MIN(F558:N558))</f>
        <v>3696.8399999999997</v>
      </c>
      <c r="Q556" s="80">
        <f>IF((N558=""),"",AVERAGE(F558:N558))</f>
        <v>3919.7533333333331</v>
      </c>
      <c r="R556" s="80">
        <f>IF((N557=""),"",(O556-P556)/(O556+P556)*100)</f>
        <v>4.4605937810122436</v>
      </c>
      <c r="S556" s="152">
        <f>STDEV(F558:N558)</f>
        <v>119.20797750150797</v>
      </c>
      <c r="T556" s="176" t="str">
        <f>IF(N557="","",IF(Q556&gt;3650,IF(R556&lt;7,IF(Q556&lt;4450,"Pass","Fail"),"Fail"),"Fail"))</f>
        <v>Pass</v>
      </c>
      <c r="U556" s="188">
        <v>1340</v>
      </c>
      <c r="X556" s="155">
        <v>3650</v>
      </c>
      <c r="Y556" s="155">
        <v>4450</v>
      </c>
      <c r="Z556" s="155">
        <v>3700</v>
      </c>
      <c r="AA556" s="155">
        <v>4100</v>
      </c>
      <c r="AB556" s="51">
        <v>7</v>
      </c>
      <c r="AC556" s="51">
        <v>6.5</v>
      </c>
    </row>
    <row r="557" spans="1:29" ht="16.100000000000001" x14ac:dyDescent="0.35">
      <c r="A557"/>
      <c r="B557" s="44"/>
      <c r="C557" s="24"/>
      <c r="D557" s="24"/>
      <c r="E557" s="81" t="s">
        <v>187</v>
      </c>
      <c r="F557" s="31">
        <v>1230.97</v>
      </c>
      <c r="G557" s="31">
        <v>943.62</v>
      </c>
      <c r="H557" s="31">
        <v>933.68</v>
      </c>
      <c r="I557" s="31">
        <v>965.61</v>
      </c>
      <c r="J557" s="31">
        <v>1288.0999999999999</v>
      </c>
      <c r="K557" s="31">
        <v>1434.97</v>
      </c>
      <c r="L557" s="31">
        <v>1006.39</v>
      </c>
      <c r="M557" s="31">
        <v>920.33</v>
      </c>
      <c r="N557" s="31">
        <v>1220.42</v>
      </c>
      <c r="O557" s="81"/>
      <c r="P557" s="81"/>
      <c r="Q557" s="82"/>
      <c r="R557" s="82"/>
      <c r="S557" s="178"/>
      <c r="T557" s="28"/>
      <c r="U557" s="185"/>
      <c r="X557" s="157"/>
      <c r="Y557" s="157"/>
      <c r="Z557" s="157"/>
      <c r="AA557" s="157"/>
    </row>
    <row r="558" spans="1:29" ht="22.75" thickBot="1" x14ac:dyDescent="0.4">
      <c r="A558"/>
      <c r="B558" s="44"/>
      <c r="C558" s="24"/>
      <c r="D558" s="24"/>
      <c r="E558" s="81" t="s">
        <v>188</v>
      </c>
      <c r="F558" s="60">
        <f t="shared" ref="F558:N558" si="182">IF(((F556="")*AND(F557="")),"",(F556-F557)*2)</f>
        <v>3809.4</v>
      </c>
      <c r="G558" s="60">
        <f t="shared" si="182"/>
        <v>3991.5</v>
      </c>
      <c r="H558" s="60">
        <f t="shared" si="182"/>
        <v>4039.0600000000004</v>
      </c>
      <c r="I558" s="60">
        <f t="shared" si="182"/>
        <v>3993.5599999999995</v>
      </c>
      <c r="J558" s="60">
        <f t="shared" si="182"/>
        <v>3828.7</v>
      </c>
      <c r="K558" s="60">
        <f t="shared" si="182"/>
        <v>3696.8399999999997</v>
      </c>
      <c r="L558" s="60">
        <f t="shared" si="182"/>
        <v>3977.4000000000005</v>
      </c>
      <c r="M558" s="60">
        <f t="shared" si="182"/>
        <v>4042.04</v>
      </c>
      <c r="N558" s="60">
        <f t="shared" si="182"/>
        <v>3899.2799999999997</v>
      </c>
      <c r="O558" s="81"/>
      <c r="P558" s="81"/>
      <c r="Q558" s="82"/>
      <c r="R558" s="82"/>
      <c r="S558" s="178"/>
      <c r="T558" s="28"/>
      <c r="U558" s="185"/>
      <c r="X558" s="157"/>
      <c r="Y558" s="157"/>
      <c r="Z558" s="157"/>
      <c r="AA558" s="157"/>
    </row>
    <row r="559" spans="1:29" x14ac:dyDescent="0.25">
      <c r="A559" s="248">
        <v>43350</v>
      </c>
      <c r="B559" s="257" t="s">
        <v>169</v>
      </c>
      <c r="C559" s="24" t="s">
        <v>171</v>
      </c>
      <c r="D559" s="24" t="s">
        <v>189</v>
      </c>
      <c r="E559" s="81" t="s">
        <v>186</v>
      </c>
      <c r="F559" s="31">
        <v>1936.79</v>
      </c>
      <c r="G559" s="31">
        <v>1932.78</v>
      </c>
      <c r="H559" s="31">
        <v>1931.55</v>
      </c>
      <c r="I559" s="31">
        <v>1932.04</v>
      </c>
      <c r="J559" s="31">
        <v>1934.36</v>
      </c>
      <c r="K559" s="31">
        <v>1936.98</v>
      </c>
      <c r="L559" s="31">
        <v>1930.69</v>
      </c>
      <c r="M559" s="31">
        <v>1933.08</v>
      </c>
      <c r="N559" s="31">
        <v>1936.12</v>
      </c>
      <c r="O559" s="81">
        <f>IF((N560=""),"",MAX(F561:N561))</f>
        <v>2056.2600000000002</v>
      </c>
      <c r="P559" s="81">
        <f>IF(N560="","",MIN(F561:N561))</f>
        <v>1967.97</v>
      </c>
      <c r="Q559" s="82">
        <f>IF((N561=""),"",AVERAGE(F561:N561))</f>
        <v>2018.7566666666664</v>
      </c>
      <c r="R559" s="82">
        <f>IF((N560=""),"",(O559-P559)/(O559+P559)*100)</f>
        <v>2.1939600867743692</v>
      </c>
      <c r="S559" s="152">
        <f>STDEV(F561:N561)</f>
        <v>28.24590988090134</v>
      </c>
      <c r="T559" s="23" t="str">
        <f>IF(N560="","",IF(Q559&gt;1940,IF(R559&lt;8.3,IF(Q559&lt;2180,"Pass","Fail"),"Fail"),"Fail"))</f>
        <v>Pass</v>
      </c>
      <c r="U559" s="179">
        <v>1340</v>
      </c>
      <c r="X559" s="155">
        <v>2000</v>
      </c>
      <c r="Y559" s="155">
        <v>3000</v>
      </c>
      <c r="Z559" s="155">
        <v>1940</v>
      </c>
      <c r="AA559" s="155">
        <v>2180</v>
      </c>
      <c r="AC559" s="51">
        <v>5.2</v>
      </c>
    </row>
    <row r="560" spans="1:29" ht="16.100000000000001" x14ac:dyDescent="0.35">
      <c r="A560"/>
      <c r="B560" s="44"/>
      <c r="C560" s="24"/>
      <c r="D560" s="24"/>
      <c r="E560" s="81" t="s">
        <v>187</v>
      </c>
      <c r="F560" s="31">
        <v>1265.23</v>
      </c>
      <c r="G560" s="31">
        <v>1247.3599999999999</v>
      </c>
      <c r="H560" s="31">
        <v>1258.17</v>
      </c>
      <c r="I560" s="31">
        <v>1254.48</v>
      </c>
      <c r="J560" s="31">
        <v>1278.3699999999999</v>
      </c>
      <c r="K560" s="31">
        <v>1271.45</v>
      </c>
      <c r="L560" s="31">
        <v>1254.9000000000001</v>
      </c>
      <c r="M560" s="31">
        <v>1248.44</v>
      </c>
      <c r="N560" s="31">
        <v>1269.72</v>
      </c>
      <c r="O560" s="81"/>
      <c r="P560" s="81"/>
      <c r="Q560" s="82"/>
      <c r="R560" s="82"/>
      <c r="S560" s="178"/>
      <c r="T560" s="23"/>
      <c r="U560" s="179"/>
      <c r="X560" s="157"/>
      <c r="Y560" s="157"/>
      <c r="Z560" s="157"/>
      <c r="AA560" s="157"/>
    </row>
    <row r="561" spans="1:29" ht="16.649999999999999" thickBot="1" x14ac:dyDescent="0.4">
      <c r="A561"/>
      <c r="B561" s="44"/>
      <c r="C561" s="24"/>
      <c r="D561" s="24"/>
      <c r="E561" s="81" t="s">
        <v>190</v>
      </c>
      <c r="F561" s="60">
        <f t="shared" ref="F561:N561" si="183">IF(((F559="")*AND(F560="")),"",(F559-F560)*3)</f>
        <v>2014.6799999999998</v>
      </c>
      <c r="G561" s="60">
        <f t="shared" si="183"/>
        <v>2056.2600000000002</v>
      </c>
      <c r="H561" s="60">
        <f t="shared" si="183"/>
        <v>2020.1399999999996</v>
      </c>
      <c r="I561" s="60">
        <f t="shared" si="183"/>
        <v>2032.6799999999998</v>
      </c>
      <c r="J561" s="60">
        <f t="shared" si="183"/>
        <v>1967.97</v>
      </c>
      <c r="K561" s="60">
        <f t="shared" si="183"/>
        <v>1996.59</v>
      </c>
      <c r="L561" s="60">
        <f t="shared" si="183"/>
        <v>2027.37</v>
      </c>
      <c r="M561" s="60">
        <f t="shared" si="183"/>
        <v>2053.9199999999996</v>
      </c>
      <c r="N561" s="60">
        <f t="shared" si="183"/>
        <v>1999.1999999999996</v>
      </c>
      <c r="O561" s="81"/>
      <c r="P561" s="81"/>
      <c r="Q561" s="82"/>
      <c r="R561" s="82"/>
      <c r="S561" s="178"/>
      <c r="T561" s="23"/>
      <c r="U561" s="179"/>
      <c r="X561" s="157"/>
      <c r="Y561" s="157"/>
      <c r="Z561" s="157"/>
      <c r="AA561" s="157"/>
    </row>
    <row r="562" spans="1:29" x14ac:dyDescent="0.25">
      <c r="A562" s="251">
        <v>43353</v>
      </c>
      <c r="B562" s="259" t="s">
        <v>174</v>
      </c>
      <c r="C562" s="64" t="s">
        <v>176</v>
      </c>
      <c r="D562" s="64" t="s">
        <v>175</v>
      </c>
      <c r="E562" s="79" t="s">
        <v>186</v>
      </c>
      <c r="F562" s="31">
        <v>7035</v>
      </c>
      <c r="G562" s="31">
        <v>7018</v>
      </c>
      <c r="H562" s="31">
        <v>7039</v>
      </c>
      <c r="I562" s="167">
        <v>6989</v>
      </c>
      <c r="J562" s="167">
        <v>7065</v>
      </c>
      <c r="K562" s="167">
        <v>7010</v>
      </c>
      <c r="L562" s="167">
        <v>6993</v>
      </c>
      <c r="M562" s="167">
        <v>7022</v>
      </c>
      <c r="N562" s="167">
        <v>7111</v>
      </c>
      <c r="O562" s="79">
        <f>IF((N563=""),"",MAX(F564:N564))</f>
        <v>4002</v>
      </c>
      <c r="P562" s="79">
        <f>IF(N563="","",MIN(F564:N564))</f>
        <v>3622</v>
      </c>
      <c r="Q562" s="80">
        <f>IF((N564=""),"",AVERAGE(F564:N564))</f>
        <v>3863.7777777777778</v>
      </c>
      <c r="R562" s="80">
        <f>IF((N563=""),"",(O562-P562)/(O562+P562)*100)</f>
        <v>4.984260230849948</v>
      </c>
      <c r="S562" s="152">
        <f>STDEV(F564:N564)</f>
        <v>130.17082793177758</v>
      </c>
      <c r="T562" s="176" t="str">
        <f>IF(N563="","",IF(Q562&gt;3650,IF(R562&lt;7,IF(Q562&lt;4450,"Pass","Fail"),"Fail"),"Fail"))</f>
        <v>Pass</v>
      </c>
      <c r="U562" s="188">
        <v>1340</v>
      </c>
      <c r="X562" s="155">
        <v>3650</v>
      </c>
      <c r="Y562" s="155">
        <v>4450</v>
      </c>
      <c r="Z562" s="155">
        <v>3700</v>
      </c>
      <c r="AA562" s="155">
        <v>4100</v>
      </c>
      <c r="AB562" s="51">
        <v>7</v>
      </c>
      <c r="AC562" s="51">
        <v>6.5</v>
      </c>
    </row>
    <row r="563" spans="1:29" ht="16.100000000000001" x14ac:dyDescent="0.35">
      <c r="A563"/>
      <c r="B563" s="44"/>
      <c r="C563" s="24"/>
      <c r="D563" s="24"/>
      <c r="E563" s="81" t="s">
        <v>187</v>
      </c>
      <c r="F563" s="31">
        <v>5159</v>
      </c>
      <c r="G563" s="31">
        <v>5044</v>
      </c>
      <c r="H563" s="167">
        <v>5044</v>
      </c>
      <c r="I563" s="167">
        <v>5018</v>
      </c>
      <c r="J563" s="167">
        <v>5190</v>
      </c>
      <c r="K563" s="167">
        <v>5199</v>
      </c>
      <c r="L563" s="167">
        <v>5033</v>
      </c>
      <c r="M563" s="167">
        <v>5021</v>
      </c>
      <c r="N563" s="167">
        <v>5187</v>
      </c>
      <c r="O563" s="81"/>
      <c r="P563" s="81"/>
      <c r="Q563" s="82"/>
      <c r="R563" s="82"/>
      <c r="S563" s="178"/>
      <c r="T563" s="28"/>
      <c r="U563" s="185"/>
      <c r="X563" s="157"/>
      <c r="Y563" s="157"/>
      <c r="Z563" s="157"/>
      <c r="AA563" s="157"/>
    </row>
    <row r="564" spans="1:29" ht="22.75" thickBot="1" x14ac:dyDescent="0.4">
      <c r="A564"/>
      <c r="B564" s="44"/>
      <c r="C564" s="24"/>
      <c r="D564" s="24"/>
      <c r="E564" s="81" t="s">
        <v>188</v>
      </c>
      <c r="F564" s="60">
        <f t="shared" ref="F564:N564" si="184">IF(((F562="")*AND(F563="")),"",(F562-F563)*2)</f>
        <v>3752</v>
      </c>
      <c r="G564" s="60">
        <f t="shared" si="184"/>
        <v>3948</v>
      </c>
      <c r="H564" s="60">
        <f t="shared" si="184"/>
        <v>3990</v>
      </c>
      <c r="I564" s="60">
        <f t="shared" si="184"/>
        <v>3942</v>
      </c>
      <c r="J564" s="60">
        <f t="shared" si="184"/>
        <v>3750</v>
      </c>
      <c r="K564" s="60">
        <f t="shared" si="184"/>
        <v>3622</v>
      </c>
      <c r="L564" s="60">
        <f t="shared" si="184"/>
        <v>3920</v>
      </c>
      <c r="M564" s="60">
        <f t="shared" si="184"/>
        <v>4002</v>
      </c>
      <c r="N564" s="60">
        <f t="shared" si="184"/>
        <v>3848</v>
      </c>
      <c r="O564" s="81"/>
      <c r="P564" s="81"/>
      <c r="Q564" s="82"/>
      <c r="R564" s="82"/>
      <c r="S564" s="178"/>
      <c r="T564" s="28"/>
      <c r="U564" s="185"/>
      <c r="X564" s="157"/>
      <c r="Y564" s="157"/>
      <c r="Z564" s="157"/>
      <c r="AA564" s="157"/>
    </row>
    <row r="565" spans="1:29" x14ac:dyDescent="0.25">
      <c r="A565" s="251">
        <v>43353</v>
      </c>
      <c r="B565" s="257" t="s">
        <v>169</v>
      </c>
      <c r="C565" s="24" t="s">
        <v>171</v>
      </c>
      <c r="D565" s="24" t="s">
        <v>189</v>
      </c>
      <c r="E565" s="81" t="s">
        <v>186</v>
      </c>
      <c r="F565" s="167">
        <v>1928</v>
      </c>
      <c r="G565" s="167">
        <v>1935</v>
      </c>
      <c r="H565" s="167">
        <v>1928</v>
      </c>
      <c r="I565" s="167">
        <v>1935</v>
      </c>
      <c r="J565" s="167">
        <v>1930</v>
      </c>
      <c r="K565" s="31">
        <v>1932</v>
      </c>
      <c r="L565" s="31">
        <v>1934</v>
      </c>
      <c r="M565" s="31">
        <v>1936</v>
      </c>
      <c r="N565" s="31">
        <v>1929</v>
      </c>
      <c r="O565" s="81">
        <f>IF((N566=""),"",MAX(F567:N567))</f>
        <v>2058</v>
      </c>
      <c r="P565" s="81">
        <f>IF(N566="","",MIN(F567:N567))</f>
        <v>1983</v>
      </c>
      <c r="Q565" s="82">
        <f>IF((N567=""),"",AVERAGE(F567:N567))</f>
        <v>2019.6666666666667</v>
      </c>
      <c r="R565" s="82">
        <f>IF((N566=""),"",(O565-P565)/(O565+P565)*100)</f>
        <v>1.855976243504083</v>
      </c>
      <c r="S565" s="152">
        <f>STDEV(F567:N567)</f>
        <v>24.269322199023193</v>
      </c>
      <c r="T565" s="23" t="str">
        <f>IF(N566="","",IF(Q565&gt;1940,IF(R565&lt;8.3,IF(Q565&lt;2180,"Pass","Fail"),"Fail"),"Fail"))</f>
        <v>Pass</v>
      </c>
      <c r="U565" s="179">
        <v>1340</v>
      </c>
      <c r="X565" s="155">
        <v>2000</v>
      </c>
      <c r="Y565" s="155">
        <v>3000</v>
      </c>
      <c r="Z565" s="155">
        <v>1940</v>
      </c>
      <c r="AA565" s="155">
        <v>2180</v>
      </c>
      <c r="AC565" s="51">
        <v>5.2</v>
      </c>
    </row>
    <row r="566" spans="1:29" ht="16.100000000000001" x14ac:dyDescent="0.35">
      <c r="A566"/>
      <c r="B566" s="44"/>
      <c r="C566" s="24"/>
      <c r="D566" s="24"/>
      <c r="E566" s="81" t="s">
        <v>187</v>
      </c>
      <c r="F566" s="31">
        <v>1257</v>
      </c>
      <c r="G566" s="31">
        <v>1254</v>
      </c>
      <c r="H566" s="167">
        <v>1250</v>
      </c>
      <c r="I566" s="167">
        <v>1257</v>
      </c>
      <c r="J566" s="167">
        <v>1269</v>
      </c>
      <c r="K566" s="167">
        <v>1267</v>
      </c>
      <c r="L566" s="31">
        <v>1263</v>
      </c>
      <c r="M566" s="31">
        <v>1250</v>
      </c>
      <c r="N566" s="31">
        <v>1261</v>
      </c>
      <c r="O566" s="81"/>
      <c r="P566" s="81"/>
      <c r="Q566" s="82"/>
      <c r="R566" s="82"/>
      <c r="S566" s="178"/>
      <c r="T566" s="23"/>
      <c r="U566" s="179"/>
      <c r="X566" s="157"/>
      <c r="Y566" s="157"/>
      <c r="Z566" s="157"/>
      <c r="AA566" s="157"/>
    </row>
    <row r="567" spans="1:29" ht="16.649999999999999" thickBot="1" x14ac:dyDescent="0.4">
      <c r="A567"/>
      <c r="B567" s="44"/>
      <c r="C567" s="24"/>
      <c r="D567" s="24"/>
      <c r="E567" s="81" t="s">
        <v>190</v>
      </c>
      <c r="F567" s="60">
        <f t="shared" ref="F567:N567" si="185">IF(((F565="")*AND(F566="")),"",(F565-F566)*3)</f>
        <v>2013</v>
      </c>
      <c r="G567" s="60">
        <f t="shared" si="185"/>
        <v>2043</v>
      </c>
      <c r="H567" s="60">
        <f t="shared" si="185"/>
        <v>2034</v>
      </c>
      <c r="I567" s="60">
        <f t="shared" si="185"/>
        <v>2034</v>
      </c>
      <c r="J567" s="60">
        <f t="shared" si="185"/>
        <v>1983</v>
      </c>
      <c r="K567" s="60">
        <f t="shared" si="185"/>
        <v>1995</v>
      </c>
      <c r="L567" s="60">
        <f t="shared" si="185"/>
        <v>2013</v>
      </c>
      <c r="M567" s="60">
        <f t="shared" si="185"/>
        <v>2058</v>
      </c>
      <c r="N567" s="60">
        <f t="shared" si="185"/>
        <v>2004</v>
      </c>
      <c r="O567" s="81"/>
      <c r="P567" s="81"/>
      <c r="Q567" s="82"/>
      <c r="R567" s="82"/>
      <c r="S567" s="178"/>
      <c r="T567" s="23"/>
      <c r="U567" s="179"/>
      <c r="X567" s="157"/>
      <c r="Y567" s="157"/>
      <c r="Z567" s="157"/>
      <c r="AA567" s="157"/>
    </row>
    <row r="568" spans="1:29" x14ac:dyDescent="0.25">
      <c r="A568" s="251">
        <v>43353</v>
      </c>
      <c r="B568" s="260" t="s">
        <v>185</v>
      </c>
      <c r="C568" s="24" t="s">
        <v>173</v>
      </c>
      <c r="D568" s="24" t="s">
        <v>172</v>
      </c>
      <c r="E568" s="81" t="s">
        <v>186</v>
      </c>
      <c r="F568" s="31">
        <v>29253</v>
      </c>
      <c r="G568" s="31">
        <v>29153</v>
      </c>
      <c r="H568" s="167">
        <v>29149</v>
      </c>
      <c r="I568" s="167">
        <v>29137</v>
      </c>
      <c r="J568" s="167">
        <v>29208</v>
      </c>
      <c r="K568" s="167">
        <v>29208</v>
      </c>
      <c r="L568" s="167">
        <v>29125</v>
      </c>
      <c r="M568" s="167">
        <v>29161</v>
      </c>
      <c r="N568" s="167">
        <v>29267</v>
      </c>
      <c r="O568" s="81">
        <f>IF((N569=""),"",MAX(F570:N570))</f>
        <v>4389</v>
      </c>
      <c r="P568" s="81">
        <f>IF(N569="","",MIN(F570:N570))</f>
        <v>3990</v>
      </c>
      <c r="Q568" s="82">
        <f>IF((N570=""),"",AVERAGE(F570:N570))</f>
        <v>4186.333333333333</v>
      </c>
      <c r="R568" s="82">
        <f>IF((N569=""),"",(O568-P568)/(O568+P568)*100)</f>
        <v>4.7619047619047619</v>
      </c>
      <c r="S568" s="152">
        <f>STDEV(F570:N570)</f>
        <v>152.57375265752626</v>
      </c>
      <c r="T568" s="23" t="str">
        <f>IF(N569="","",IF(R568&lt;16,IF(Q568&gt;3200,IF(R568,IF(Q568&lt;5240,"Pass","Fail"),"Fail"),"Fail")))</f>
        <v>Pass</v>
      </c>
      <c r="U568" s="179">
        <v>1340</v>
      </c>
      <c r="X568" s="155">
        <v>4200</v>
      </c>
      <c r="Y568" s="155">
        <v>5500</v>
      </c>
      <c r="Z568" s="155">
        <v>3200</v>
      </c>
      <c r="AA568" s="155">
        <v>5240</v>
      </c>
      <c r="AC568" s="51">
        <v>16</v>
      </c>
    </row>
    <row r="569" spans="1:29" ht="16.100000000000001" x14ac:dyDescent="0.35">
      <c r="A569"/>
      <c r="B569" s="44"/>
      <c r="C569" s="24"/>
      <c r="D569" s="24"/>
      <c r="E569" s="81" t="s">
        <v>187</v>
      </c>
      <c r="F569" s="31">
        <v>27807</v>
      </c>
      <c r="G569" s="31">
        <v>27765</v>
      </c>
      <c r="H569" s="167">
        <v>27819</v>
      </c>
      <c r="I569" s="167">
        <v>27787</v>
      </c>
      <c r="J569" s="167">
        <v>27763</v>
      </c>
      <c r="K569" s="167">
        <v>27778</v>
      </c>
      <c r="L569" s="167">
        <v>27772</v>
      </c>
      <c r="M569" s="167">
        <v>27807</v>
      </c>
      <c r="N569" s="167">
        <v>27804</v>
      </c>
      <c r="O569" s="81"/>
      <c r="P569" s="81"/>
      <c r="Q569" s="82"/>
      <c r="R569" s="82"/>
      <c r="S569" s="178"/>
      <c r="T569" s="23"/>
      <c r="U569" s="179"/>
      <c r="X569" s="157"/>
      <c r="Y569" s="157"/>
      <c r="Z569" s="157"/>
      <c r="AA569" s="157"/>
    </row>
    <row r="570" spans="1:29" ht="22.75" thickBot="1" x14ac:dyDescent="0.4">
      <c r="A570"/>
      <c r="B570" s="83"/>
      <c r="C570" s="84"/>
      <c r="D570" s="84"/>
      <c r="E570" s="85" t="s">
        <v>188</v>
      </c>
      <c r="F570" s="73">
        <f t="shared" ref="F570:N570" si="186">IF(((F568="")*AND(F569="")),"",(F568-F569)*3)</f>
        <v>4338</v>
      </c>
      <c r="G570" s="73">
        <f t="shared" si="186"/>
        <v>4164</v>
      </c>
      <c r="H570" s="73">
        <f t="shared" si="186"/>
        <v>3990</v>
      </c>
      <c r="I570" s="73">
        <f t="shared" si="186"/>
        <v>4050</v>
      </c>
      <c r="J570" s="73">
        <f t="shared" si="186"/>
        <v>4335</v>
      </c>
      <c r="K570" s="73">
        <f t="shared" si="186"/>
        <v>4290</v>
      </c>
      <c r="L570" s="73">
        <f t="shared" si="186"/>
        <v>4059</v>
      </c>
      <c r="M570" s="73">
        <f t="shared" si="186"/>
        <v>4062</v>
      </c>
      <c r="N570" s="73">
        <f t="shared" si="186"/>
        <v>4389</v>
      </c>
      <c r="O570" s="85"/>
      <c r="P570" s="85"/>
      <c r="Q570" s="86"/>
      <c r="R570" s="86"/>
      <c r="S570" s="181"/>
      <c r="T570" s="182"/>
      <c r="U570" s="183"/>
      <c r="X570" s="157"/>
      <c r="Y570" s="157"/>
      <c r="Z570" s="157"/>
      <c r="AA570" s="157"/>
    </row>
    <row r="571" spans="1:29" x14ac:dyDescent="0.25">
      <c r="A571" s="251">
        <v>43357</v>
      </c>
      <c r="B571" s="259" t="s">
        <v>174</v>
      </c>
      <c r="C571" s="64" t="s">
        <v>176</v>
      </c>
      <c r="D571" s="64" t="s">
        <v>175</v>
      </c>
      <c r="E571" s="79" t="s">
        <v>186</v>
      </c>
      <c r="F571" s="31">
        <v>5165.4799999999996</v>
      </c>
      <c r="G571" s="31">
        <v>5051.29</v>
      </c>
      <c r="H571" s="31">
        <v>5050.1899999999996</v>
      </c>
      <c r="I571" s="31">
        <v>5025.01</v>
      </c>
      <c r="J571" s="31">
        <v>5195.8500000000004</v>
      </c>
      <c r="K571" s="31">
        <v>5204.78</v>
      </c>
      <c r="L571" s="31">
        <v>5039.47</v>
      </c>
      <c r="M571" s="31">
        <v>5027.83</v>
      </c>
      <c r="N571" s="31">
        <v>5193.53</v>
      </c>
      <c r="O571" s="79">
        <f>IF((N572=""),"",MAX(F573:N573))</f>
        <v>4054.3199999999997</v>
      </c>
      <c r="P571" s="79">
        <f>IF(N572="","",MIN(F573:N573))</f>
        <v>3670.2</v>
      </c>
      <c r="Q571" s="80">
        <f>IF((N573=""),"",AVERAGE(F573:N573))</f>
        <v>3917.4422222222224</v>
      </c>
      <c r="R571" s="80">
        <f>IF((N572=""),"",(O571-P571)/(O571+P571)*100)</f>
        <v>4.9727361700144463</v>
      </c>
      <c r="S571" s="152">
        <f>STDEV(F573:N573)</f>
        <v>131.97694701895642</v>
      </c>
      <c r="T571" s="176" t="str">
        <f>IF(N572="","",IF(Q571&gt;3650,IF(R571&lt;7,IF(Q571&lt;4450,"Pass","Fail"),"Fail"),"Fail"))</f>
        <v>Pass</v>
      </c>
      <c r="U571" s="188">
        <v>1335</v>
      </c>
      <c r="X571" s="155">
        <v>3650</v>
      </c>
      <c r="Y571" s="155">
        <v>4450</v>
      </c>
      <c r="Z571" s="155">
        <v>3700</v>
      </c>
      <c r="AA571" s="155">
        <v>4100</v>
      </c>
      <c r="AB571" s="51">
        <v>7</v>
      </c>
      <c r="AC571" s="51">
        <v>6.5</v>
      </c>
    </row>
    <row r="572" spans="1:29" ht="16.100000000000001" x14ac:dyDescent="0.35">
      <c r="A572"/>
      <c r="B572" s="44"/>
      <c r="C572" s="24"/>
      <c r="D572" s="24"/>
      <c r="E572" s="81" t="s">
        <v>187</v>
      </c>
      <c r="F572" s="31">
        <v>3259.39</v>
      </c>
      <c r="G572" s="31">
        <v>3048.83</v>
      </c>
      <c r="H572" s="31">
        <v>3027.96</v>
      </c>
      <c r="I572" s="31">
        <v>3027.16</v>
      </c>
      <c r="J572" s="31">
        <v>3296.99</v>
      </c>
      <c r="K572" s="31">
        <v>3369.68</v>
      </c>
      <c r="L572" s="31">
        <v>3049.95</v>
      </c>
      <c r="M572" s="31">
        <v>3000.67</v>
      </c>
      <c r="N572" s="31">
        <v>3244.31</v>
      </c>
      <c r="O572" s="81"/>
      <c r="P572" s="81"/>
      <c r="Q572" s="82"/>
      <c r="R572" s="82"/>
      <c r="S572" s="178"/>
      <c r="T572" s="28"/>
      <c r="U572" s="185"/>
      <c r="X572" s="157"/>
      <c r="Y572" s="157"/>
      <c r="Z572" s="157"/>
      <c r="AA572" s="157"/>
    </row>
    <row r="573" spans="1:29" ht="22.75" thickBot="1" x14ac:dyDescent="0.4">
      <c r="A573"/>
      <c r="B573" s="44"/>
      <c r="C573" s="24"/>
      <c r="D573" s="24"/>
      <c r="E573" s="81" t="s">
        <v>188</v>
      </c>
      <c r="F573" s="60">
        <f t="shared" ref="F573:N573" si="187">IF(((F571="")*AND(F572="")),"",(F571-F572)*2)</f>
        <v>3812.1799999999994</v>
      </c>
      <c r="G573" s="60">
        <f t="shared" si="187"/>
        <v>4004.92</v>
      </c>
      <c r="H573" s="60">
        <f t="shared" si="187"/>
        <v>4044.4599999999991</v>
      </c>
      <c r="I573" s="60">
        <f t="shared" si="187"/>
        <v>3995.7000000000007</v>
      </c>
      <c r="J573" s="60">
        <f t="shared" si="187"/>
        <v>3797.7200000000012</v>
      </c>
      <c r="K573" s="60">
        <f t="shared" si="187"/>
        <v>3670.2</v>
      </c>
      <c r="L573" s="60">
        <f t="shared" si="187"/>
        <v>3979.0400000000009</v>
      </c>
      <c r="M573" s="60">
        <f t="shared" si="187"/>
        <v>4054.3199999999997</v>
      </c>
      <c r="N573" s="60">
        <f t="shared" si="187"/>
        <v>3898.4399999999996</v>
      </c>
      <c r="O573" s="81"/>
      <c r="P573" s="81"/>
      <c r="Q573" s="82"/>
      <c r="R573" s="82"/>
      <c r="S573" s="178"/>
      <c r="T573" s="28"/>
      <c r="U573" s="185"/>
      <c r="X573" s="157"/>
      <c r="Y573" s="157"/>
      <c r="Z573" s="157"/>
      <c r="AA573" s="157"/>
    </row>
    <row r="574" spans="1:29" x14ac:dyDescent="0.25">
      <c r="A574" s="251">
        <v>43357</v>
      </c>
      <c r="B574" s="257" t="s">
        <v>169</v>
      </c>
      <c r="C574" s="24" t="s">
        <v>171</v>
      </c>
      <c r="D574" s="24" t="s">
        <v>189</v>
      </c>
      <c r="E574" s="81" t="s">
        <v>186</v>
      </c>
      <c r="F574" s="31">
        <v>1260.4000000000001</v>
      </c>
      <c r="G574" s="31">
        <v>1256.46</v>
      </c>
      <c r="H574" s="31">
        <v>1251.7</v>
      </c>
      <c r="I574" s="31">
        <v>1261.5</v>
      </c>
      <c r="J574" s="31">
        <v>1269.17</v>
      </c>
      <c r="K574" s="31">
        <v>1271.8499999999999</v>
      </c>
      <c r="L574" s="31">
        <v>1265.79</v>
      </c>
      <c r="M574" s="31">
        <v>1253.57</v>
      </c>
      <c r="N574" s="31">
        <v>1261.3399999999999</v>
      </c>
      <c r="O574" s="81">
        <f>IF((N575=""),"",MAX(F576:N576))</f>
        <v>2072.1299999999997</v>
      </c>
      <c r="P574" s="81">
        <f>IF(N575="","",MIN(F576:N576))</f>
        <v>1974.6000000000001</v>
      </c>
      <c r="Q574" s="82">
        <f>IF((N576=""),"",AVERAGE(F576:N576))</f>
        <v>2034.2966666666664</v>
      </c>
      <c r="R574" s="82">
        <f>IF((N575=""),"",(O574-P574)/(O574+P574)*100)</f>
        <v>2.410094075957613</v>
      </c>
      <c r="S574" s="152">
        <f>STDEV(F576:N576)</f>
        <v>37.797039897325369</v>
      </c>
      <c r="T574" s="23" t="str">
        <f>IF(N575="","",IF(Q574&gt;1940,IF(R574&lt;8.3,IF(Q574&lt;2180,"Pass","Fail"),"Fail"),"Fail"))</f>
        <v>Pass</v>
      </c>
      <c r="U574" s="188">
        <v>1335</v>
      </c>
      <c r="X574" s="155">
        <v>2000</v>
      </c>
      <c r="Y574" s="155">
        <v>3000</v>
      </c>
      <c r="Z574" s="155">
        <v>1940</v>
      </c>
      <c r="AA574" s="155">
        <v>2180</v>
      </c>
      <c r="AC574" s="51">
        <v>5.2</v>
      </c>
    </row>
    <row r="575" spans="1:29" ht="16.100000000000001" x14ac:dyDescent="0.35">
      <c r="A575"/>
      <c r="B575" s="44"/>
      <c r="C575" s="24"/>
      <c r="D575" s="24"/>
      <c r="E575" s="81" t="s">
        <v>187</v>
      </c>
      <c r="F575" s="31">
        <v>585.71</v>
      </c>
      <c r="G575" s="31">
        <v>567.91999999999996</v>
      </c>
      <c r="H575" s="31">
        <v>561.79</v>
      </c>
      <c r="I575" s="31">
        <v>576.01</v>
      </c>
      <c r="J575" s="31">
        <v>610.97</v>
      </c>
      <c r="K575" s="31">
        <v>599.84</v>
      </c>
      <c r="L575" s="31">
        <v>582.28</v>
      </c>
      <c r="M575" s="31">
        <v>562.86</v>
      </c>
      <c r="N575" s="31">
        <v>601.51</v>
      </c>
      <c r="O575" s="81"/>
      <c r="P575" s="81"/>
      <c r="Q575" s="82"/>
      <c r="R575" s="82"/>
      <c r="S575" s="178"/>
      <c r="T575" s="23"/>
      <c r="U575" s="179"/>
      <c r="X575" s="157"/>
      <c r="Y575" s="157"/>
      <c r="Z575" s="157"/>
      <c r="AA575" s="157"/>
    </row>
    <row r="576" spans="1:29" ht="16.649999999999999" thickBot="1" x14ac:dyDescent="0.4">
      <c r="A576"/>
      <c r="B576" s="44"/>
      <c r="C576" s="24"/>
      <c r="D576" s="24"/>
      <c r="E576" s="81" t="s">
        <v>190</v>
      </c>
      <c r="F576" s="60">
        <f t="shared" ref="F576:N576" si="188">IF(((F574="")*AND(F575="")),"",(F574-F575)*3)</f>
        <v>2024.0700000000002</v>
      </c>
      <c r="G576" s="60">
        <f t="shared" si="188"/>
        <v>2065.6200000000003</v>
      </c>
      <c r="H576" s="60">
        <f t="shared" si="188"/>
        <v>2069.7300000000005</v>
      </c>
      <c r="I576" s="60">
        <f t="shared" si="188"/>
        <v>2056.4700000000003</v>
      </c>
      <c r="J576" s="60">
        <f t="shared" si="188"/>
        <v>1974.6000000000001</v>
      </c>
      <c r="K576" s="60">
        <f t="shared" si="188"/>
        <v>2016.0299999999997</v>
      </c>
      <c r="L576" s="60">
        <f t="shared" si="188"/>
        <v>2050.5299999999997</v>
      </c>
      <c r="M576" s="60">
        <f t="shared" si="188"/>
        <v>2072.1299999999997</v>
      </c>
      <c r="N576" s="60">
        <f t="shared" si="188"/>
        <v>1979.4899999999998</v>
      </c>
      <c r="O576" s="81"/>
      <c r="P576" s="81"/>
      <c r="Q576" s="82"/>
      <c r="R576" s="82"/>
      <c r="S576" s="178"/>
      <c r="T576" s="23"/>
      <c r="U576" s="179"/>
      <c r="X576" s="157"/>
      <c r="Y576" s="157"/>
      <c r="Z576" s="157"/>
      <c r="AA576" s="157"/>
    </row>
    <row r="577" spans="1:29" x14ac:dyDescent="0.25">
      <c r="A577" s="251">
        <v>43357</v>
      </c>
      <c r="B577" s="260" t="s">
        <v>185</v>
      </c>
      <c r="C577" s="24" t="s">
        <v>173</v>
      </c>
      <c r="D577" s="24" t="s">
        <v>172</v>
      </c>
      <c r="E577" s="81" t="s">
        <v>186</v>
      </c>
      <c r="F577" s="31">
        <v>27755.88</v>
      </c>
      <c r="G577" s="31">
        <v>27744.19</v>
      </c>
      <c r="H577" s="31">
        <v>27764.11</v>
      </c>
      <c r="I577" s="31">
        <v>27729.55</v>
      </c>
      <c r="J577" s="31">
        <v>27698.13</v>
      </c>
      <c r="K577" s="31">
        <v>27720.06</v>
      </c>
      <c r="L577" s="31">
        <v>27720.99</v>
      </c>
      <c r="M577" s="31">
        <v>27745.96</v>
      </c>
      <c r="N577" s="31">
        <v>27749.74</v>
      </c>
      <c r="O577" s="81">
        <f>IF((N578=""),"",MAX(F579:N579))</f>
        <v>4480.2299999999996</v>
      </c>
      <c r="P577" s="81">
        <f>IF(N578="","",MIN(F579:N579))</f>
        <v>4110.3000000000065</v>
      </c>
      <c r="Q577" s="82">
        <f>IF((N579=""),"",AVERAGE(F579:N579))</f>
        <v>4283.4300000000012</v>
      </c>
      <c r="R577" s="82">
        <f>IF((N578=""),"",(O577-P577)/(O577+P577)*100)</f>
        <v>4.3062535140438687</v>
      </c>
      <c r="S577" s="152">
        <f>STDEV(F579:N579)</f>
        <v>159.4243286013766</v>
      </c>
      <c r="T577" s="23" t="str">
        <f>IF(N578="","",IF(R577&lt;16,IF(Q577&gt;3200,IF(R577,IF(Q577&lt;5240,"Pass","Fail"),"Fail"),"Fail")))</f>
        <v>Pass</v>
      </c>
      <c r="U577" s="188">
        <v>1335</v>
      </c>
      <c r="X577" s="155">
        <v>4200</v>
      </c>
      <c r="Y577" s="155">
        <v>5500</v>
      </c>
      <c r="Z577" s="155">
        <v>3200</v>
      </c>
      <c r="AA577" s="155">
        <v>5240</v>
      </c>
      <c r="AC577" s="51">
        <v>16</v>
      </c>
    </row>
    <row r="578" spans="1:29" ht="16.100000000000001" x14ac:dyDescent="0.35">
      <c r="A578"/>
      <c r="B578" s="44"/>
      <c r="C578" s="24"/>
      <c r="D578" s="24"/>
      <c r="E578" s="81" t="s">
        <v>187</v>
      </c>
      <c r="F578" s="31">
        <v>26271.88</v>
      </c>
      <c r="G578" s="31">
        <v>26358.76</v>
      </c>
      <c r="H578" s="31">
        <v>26394.01</v>
      </c>
      <c r="I578" s="31">
        <v>26341.22</v>
      </c>
      <c r="J578" s="31">
        <v>26216.63</v>
      </c>
      <c r="K578" s="31">
        <v>26245.75</v>
      </c>
      <c r="L578" s="31">
        <v>26336.07</v>
      </c>
      <c r="M578" s="31">
        <v>26357.67</v>
      </c>
      <c r="N578" s="31">
        <v>26256.33</v>
      </c>
      <c r="O578" s="81"/>
      <c r="P578" s="81"/>
      <c r="Q578" s="82"/>
      <c r="R578" s="82"/>
      <c r="S578" s="178"/>
      <c r="T578" s="23"/>
      <c r="U578" s="179"/>
      <c r="X578" s="157"/>
      <c r="Y578" s="157"/>
      <c r="Z578" s="157"/>
      <c r="AA578" s="157"/>
    </row>
    <row r="579" spans="1:29" ht="22.75" thickBot="1" x14ac:dyDescent="0.4">
      <c r="A579"/>
      <c r="B579" s="83"/>
      <c r="C579" s="84"/>
      <c r="D579" s="84"/>
      <c r="E579" s="85" t="s">
        <v>188</v>
      </c>
      <c r="F579" s="73">
        <f t="shared" ref="F579:N579" si="189">IF(((F577="")*AND(F578="")),"",(F577-F578)*3)</f>
        <v>4452</v>
      </c>
      <c r="G579" s="73">
        <f t="shared" si="189"/>
        <v>4156.2900000000009</v>
      </c>
      <c r="H579" s="73">
        <f t="shared" si="189"/>
        <v>4110.3000000000065</v>
      </c>
      <c r="I579" s="73">
        <f t="shared" si="189"/>
        <v>4164.9899999999943</v>
      </c>
      <c r="J579" s="73">
        <f t="shared" si="189"/>
        <v>4444.5</v>
      </c>
      <c r="K579" s="73">
        <f t="shared" si="189"/>
        <v>4422.9300000000039</v>
      </c>
      <c r="L579" s="73">
        <f t="shared" si="189"/>
        <v>4154.7600000000057</v>
      </c>
      <c r="M579" s="73">
        <f t="shared" si="189"/>
        <v>4164.8700000000026</v>
      </c>
      <c r="N579" s="73">
        <f t="shared" si="189"/>
        <v>4480.2299999999996</v>
      </c>
      <c r="O579" s="85"/>
      <c r="P579" s="85"/>
      <c r="Q579" s="86"/>
      <c r="R579" s="86"/>
      <c r="S579" s="181"/>
      <c r="T579" s="182"/>
      <c r="U579" s="183"/>
      <c r="X579" s="157"/>
      <c r="Y579" s="157"/>
      <c r="Z579" s="157"/>
      <c r="AA579" s="157"/>
    </row>
    <row r="580" spans="1:29" x14ac:dyDescent="0.25">
      <c r="A580" s="251">
        <v>43360</v>
      </c>
      <c r="B580" s="259" t="s">
        <v>174</v>
      </c>
      <c r="C580" s="64" t="s">
        <v>176</v>
      </c>
      <c r="D580" s="64" t="s">
        <v>175</v>
      </c>
      <c r="E580" s="79" t="s">
        <v>186</v>
      </c>
      <c r="F580" s="31">
        <v>3259.39</v>
      </c>
      <c r="G580" s="31">
        <v>3048.83</v>
      </c>
      <c r="H580" s="31">
        <v>3027.96</v>
      </c>
      <c r="I580" s="31">
        <v>3027.16</v>
      </c>
      <c r="J580" s="31">
        <v>3296.99</v>
      </c>
      <c r="K580" s="31">
        <v>3369.68</v>
      </c>
      <c r="L580" s="31">
        <v>3049.95</v>
      </c>
      <c r="M580" s="31">
        <v>3000.67</v>
      </c>
      <c r="N580" s="31">
        <v>3244.31</v>
      </c>
      <c r="O580" s="79">
        <f>IF((N581=""),"",MAX(F582:N582))</f>
        <v>4042.12</v>
      </c>
      <c r="P580" s="79">
        <f>IF(N581="","",MIN(F582:N582))</f>
        <v>3681.5399999999995</v>
      </c>
      <c r="Q580" s="80">
        <f>IF((N582=""),"",AVERAGE(F582:N582))</f>
        <v>3918.6999999999994</v>
      </c>
      <c r="R580" s="80">
        <f>IF((N581=""),"",(O580-P580)/(O580+P580)*100)</f>
        <v>4.6685120784705747</v>
      </c>
      <c r="S580" s="152">
        <f>STDEV(F582:N582)</f>
        <v>121.31930225648357</v>
      </c>
      <c r="T580" s="176" t="str">
        <f>IF(N581="","",IF(Q580&gt;3650,IF(R580&lt;7,IF(Q580&lt;4450,"Pass","Fail"),"Fail"),"Fail"))</f>
        <v>Pass</v>
      </c>
      <c r="U580" s="188">
        <v>1340</v>
      </c>
      <c r="V580" s="31" t="s">
        <v>205</v>
      </c>
      <c r="X580" s="155">
        <v>3650</v>
      </c>
      <c r="Y580" s="155">
        <v>4450</v>
      </c>
      <c r="Z580" s="155">
        <v>3700</v>
      </c>
      <c r="AA580" s="155">
        <v>4100</v>
      </c>
      <c r="AB580" s="51">
        <v>7</v>
      </c>
      <c r="AC580" s="51">
        <v>6.5</v>
      </c>
    </row>
    <row r="581" spans="1:29" ht="16.100000000000001" x14ac:dyDescent="0.35">
      <c r="A581"/>
      <c r="B581" s="44"/>
      <c r="C581" s="24"/>
      <c r="D581" s="24"/>
      <c r="E581" s="81" t="s">
        <v>187</v>
      </c>
      <c r="F581" s="31">
        <v>1339.51</v>
      </c>
      <c r="G581" s="31">
        <v>1047.8800000000001</v>
      </c>
      <c r="H581" s="31">
        <v>1010.71</v>
      </c>
      <c r="I581" s="31">
        <v>1036.44</v>
      </c>
      <c r="J581" s="31">
        <v>1395.37</v>
      </c>
      <c r="K581" s="31">
        <v>1528.91</v>
      </c>
      <c r="L581" s="31">
        <v>1065.95</v>
      </c>
      <c r="M581" s="31">
        <v>979.61</v>
      </c>
      <c r="N581" s="31">
        <v>1286.4100000000001</v>
      </c>
      <c r="O581" s="81"/>
      <c r="P581" s="81"/>
      <c r="Q581" s="82"/>
      <c r="R581" s="82"/>
      <c r="S581" s="178"/>
      <c r="T581" s="28"/>
      <c r="U581" s="185"/>
      <c r="X581" s="157"/>
      <c r="Y581" s="157"/>
      <c r="Z581" s="157"/>
      <c r="AA581" s="157"/>
    </row>
    <row r="582" spans="1:29" ht="22.75" thickBot="1" x14ac:dyDescent="0.4">
      <c r="A582"/>
      <c r="B582" s="44"/>
      <c r="C582" s="24"/>
      <c r="D582" s="24"/>
      <c r="E582" s="81" t="s">
        <v>188</v>
      </c>
      <c r="F582" s="60">
        <f t="shared" ref="F582:N582" si="190">IF(((F580="")*AND(F581="")),"",(F580-F581)*2)</f>
        <v>3839.7599999999998</v>
      </c>
      <c r="G582" s="60">
        <f t="shared" si="190"/>
        <v>4001.8999999999996</v>
      </c>
      <c r="H582" s="60">
        <f t="shared" si="190"/>
        <v>4034.5</v>
      </c>
      <c r="I582" s="60">
        <f t="shared" si="190"/>
        <v>3981.4399999999996</v>
      </c>
      <c r="J582" s="60">
        <f t="shared" si="190"/>
        <v>3803.24</v>
      </c>
      <c r="K582" s="60">
        <f t="shared" si="190"/>
        <v>3681.5399999999995</v>
      </c>
      <c r="L582" s="60">
        <f t="shared" si="190"/>
        <v>3967.9999999999995</v>
      </c>
      <c r="M582" s="60">
        <f t="shared" si="190"/>
        <v>4042.12</v>
      </c>
      <c r="N582" s="60">
        <f t="shared" si="190"/>
        <v>3915.7999999999997</v>
      </c>
      <c r="O582" s="81"/>
      <c r="P582" s="81"/>
      <c r="Q582" s="82"/>
      <c r="R582" s="82"/>
      <c r="S582" s="178"/>
      <c r="T582" s="28"/>
      <c r="U582" s="185"/>
      <c r="X582" s="157"/>
      <c r="Y582" s="157"/>
      <c r="Z582" s="157"/>
      <c r="AA582" s="157"/>
    </row>
    <row r="583" spans="1:29" x14ac:dyDescent="0.25">
      <c r="A583" s="251">
        <v>43360</v>
      </c>
      <c r="B583" s="257" t="s">
        <v>169</v>
      </c>
      <c r="C583" s="24" t="s">
        <v>171</v>
      </c>
      <c r="D583" s="24" t="s">
        <v>189</v>
      </c>
      <c r="E583" s="81" t="s">
        <v>186</v>
      </c>
      <c r="F583" s="31">
        <v>1916.9</v>
      </c>
      <c r="G583" s="31">
        <v>1914.73</v>
      </c>
      <c r="H583" s="31">
        <v>1907.91</v>
      </c>
      <c r="I583" s="31">
        <v>1911.62</v>
      </c>
      <c r="J583" s="31">
        <v>1920.56</v>
      </c>
      <c r="K583" s="31">
        <v>1920.67</v>
      </c>
      <c r="L583" s="31">
        <v>1911.31</v>
      </c>
      <c r="M583" s="31">
        <v>1914.2</v>
      </c>
      <c r="N583" s="31">
        <v>1921.51</v>
      </c>
      <c r="O583" s="81">
        <f>IF((N584=""),"",MAX(F585:N585))</f>
        <v>2057.0700000000002</v>
      </c>
      <c r="P583" s="81">
        <f>IF(N584="","",MIN(F585:N585))</f>
        <v>1971.9900000000005</v>
      </c>
      <c r="Q583" s="82">
        <f>IF((N585=""),"",AVERAGE(F585:N585))</f>
        <v>2017.5600000000002</v>
      </c>
      <c r="R583" s="82">
        <f>IF((N584=""),"",(O583-P583)/(O583+P583)*100)</f>
        <v>2.1116587988265176</v>
      </c>
      <c r="S583" s="152">
        <f>STDEV(F585:N585)</f>
        <v>31.815714277696127</v>
      </c>
      <c r="T583" s="23" t="str">
        <f>IF(N584="","",IF(Q583&gt;1940,IF(R583&lt;8.3,IF(Q583&lt;2180,"Pass","Fail"),"Fail"),"Fail"))</f>
        <v>Pass</v>
      </c>
      <c r="U583" s="188">
        <v>1340</v>
      </c>
      <c r="V583" s="31" t="s">
        <v>205</v>
      </c>
      <c r="X583" s="155">
        <v>2000</v>
      </c>
      <c r="Y583" s="155">
        <v>3000</v>
      </c>
      <c r="Z583" s="155">
        <v>1940</v>
      </c>
      <c r="AA583" s="155">
        <v>2180</v>
      </c>
      <c r="AC583" s="51">
        <v>5.2</v>
      </c>
    </row>
    <row r="584" spans="1:29" ht="16.100000000000001" x14ac:dyDescent="0.35">
      <c r="A584"/>
      <c r="B584" s="44"/>
      <c r="C584" s="24"/>
      <c r="D584" s="24"/>
      <c r="E584" s="81" t="s">
        <v>187</v>
      </c>
      <c r="F584" s="31">
        <v>1259.57</v>
      </c>
      <c r="G584" s="31">
        <v>1232.77</v>
      </c>
      <c r="H584" s="31">
        <v>1226.75</v>
      </c>
      <c r="I584" s="31">
        <v>1233.1099999999999</v>
      </c>
      <c r="J584" s="31">
        <v>1251.67</v>
      </c>
      <c r="K584" s="31">
        <v>1260.23</v>
      </c>
      <c r="L584" s="31">
        <v>1234.32</v>
      </c>
      <c r="M584" s="31">
        <v>1228.51</v>
      </c>
      <c r="N584" s="31">
        <v>1259.8</v>
      </c>
      <c r="O584" s="81"/>
      <c r="P584" s="81"/>
      <c r="Q584" s="82"/>
      <c r="R584" s="82"/>
      <c r="S584" s="178"/>
      <c r="T584" s="23"/>
      <c r="U584" s="179"/>
      <c r="X584" s="157"/>
      <c r="Y584" s="157"/>
      <c r="Z584" s="157"/>
      <c r="AA584" s="157"/>
    </row>
    <row r="585" spans="1:29" ht="16.649999999999999" thickBot="1" x14ac:dyDescent="0.4">
      <c r="A585"/>
      <c r="B585" s="44"/>
      <c r="C585" s="24"/>
      <c r="D585" s="24"/>
      <c r="E585" s="81" t="s">
        <v>190</v>
      </c>
      <c r="F585" s="60">
        <f t="shared" ref="F585:N585" si="191">IF(((F583="")*AND(F584="")),"",(F583-F584)*3)</f>
        <v>1971.9900000000005</v>
      </c>
      <c r="G585" s="60">
        <f t="shared" si="191"/>
        <v>2045.88</v>
      </c>
      <c r="H585" s="60">
        <f t="shared" si="191"/>
        <v>2043.4800000000002</v>
      </c>
      <c r="I585" s="60">
        <f t="shared" si="191"/>
        <v>2035.53</v>
      </c>
      <c r="J585" s="60">
        <f t="shared" si="191"/>
        <v>2006.6699999999996</v>
      </c>
      <c r="K585" s="60">
        <f t="shared" si="191"/>
        <v>1981.3200000000002</v>
      </c>
      <c r="L585" s="60">
        <f t="shared" si="191"/>
        <v>2030.97</v>
      </c>
      <c r="M585" s="60">
        <f t="shared" si="191"/>
        <v>2057.0700000000002</v>
      </c>
      <c r="N585" s="60">
        <f t="shared" si="191"/>
        <v>1985.13</v>
      </c>
      <c r="O585" s="81"/>
      <c r="P585" s="81"/>
      <c r="Q585" s="82"/>
      <c r="R585" s="82"/>
      <c r="S585" s="178"/>
      <c r="T585" s="23"/>
      <c r="U585" s="179"/>
      <c r="X585" s="157"/>
      <c r="Y585" s="157"/>
      <c r="Z585" s="157"/>
      <c r="AA585" s="157"/>
    </row>
    <row r="586" spans="1:29" x14ac:dyDescent="0.25">
      <c r="A586" s="251">
        <v>43360</v>
      </c>
      <c r="B586" s="260" t="s">
        <v>185</v>
      </c>
      <c r="C586" s="24" t="s">
        <v>173</v>
      </c>
      <c r="D586" s="24" t="s">
        <v>172</v>
      </c>
      <c r="E586" s="81" t="s">
        <v>186</v>
      </c>
      <c r="F586" s="31">
        <v>29380.52</v>
      </c>
      <c r="G586" s="31">
        <v>29296.05</v>
      </c>
      <c r="H586" s="31">
        <v>29245.24</v>
      </c>
      <c r="I586" s="31">
        <v>29268.73</v>
      </c>
      <c r="J586" s="31">
        <v>29340.91</v>
      </c>
      <c r="K586" s="31">
        <v>29352.29</v>
      </c>
      <c r="L586" s="31">
        <v>29268.52</v>
      </c>
      <c r="M586" s="31">
        <v>29297.4</v>
      </c>
      <c r="N586" s="31">
        <v>29405.72</v>
      </c>
      <c r="O586" s="81">
        <f>IF((N587=""),"",MAX(F588:N588))</f>
        <v>4531.8000000000065</v>
      </c>
      <c r="P586" s="81">
        <f>IF(N587="","",MIN(F588:N588))</f>
        <v>4030.2000000000044</v>
      </c>
      <c r="Q586" s="82">
        <f>IF((N588=""),"",AVERAGE(F588:N588))</f>
        <v>4241.2233333333361</v>
      </c>
      <c r="R586" s="82">
        <f>IF((N587=""),"",(O586-P586)/(O586+P586)*100)</f>
        <v>5.8584442887176076</v>
      </c>
      <c r="S586" s="152">
        <f>STDEV(F588:N588)</f>
        <v>202.41481399591402</v>
      </c>
      <c r="T586" s="23" t="str">
        <f>IF(N587="","",IF(R586&lt;16,IF(Q586&gt;3200,IF(R586,IF(Q586&lt;5240,"Pass","Fail"),"Fail"),"Fail")))</f>
        <v>Pass</v>
      </c>
      <c r="U586" s="188">
        <v>1340</v>
      </c>
      <c r="V586" s="31" t="s">
        <v>205</v>
      </c>
      <c r="X586" s="155">
        <v>4200</v>
      </c>
      <c r="Y586" s="155">
        <v>5500</v>
      </c>
      <c r="Z586" s="155">
        <v>3200</v>
      </c>
      <c r="AA586" s="155">
        <v>5240</v>
      </c>
      <c r="AC586" s="51">
        <v>16</v>
      </c>
    </row>
    <row r="587" spans="1:29" ht="16.100000000000001" x14ac:dyDescent="0.35">
      <c r="A587"/>
      <c r="B587" s="44"/>
      <c r="C587" s="24"/>
      <c r="D587" s="24"/>
      <c r="E587" s="81" t="s">
        <v>187</v>
      </c>
      <c r="F587" s="31">
        <v>27874.959999999999</v>
      </c>
      <c r="G587" s="31">
        <v>27930.41</v>
      </c>
      <c r="H587" s="31">
        <v>27901.84</v>
      </c>
      <c r="I587" s="31">
        <v>27923.45</v>
      </c>
      <c r="J587" s="31">
        <v>27887.79</v>
      </c>
      <c r="K587" s="31">
        <v>27916.78</v>
      </c>
      <c r="L587" s="31">
        <v>27922.67</v>
      </c>
      <c r="M587" s="31">
        <v>27878.69</v>
      </c>
      <c r="N587" s="31">
        <v>27895.119999999999</v>
      </c>
      <c r="O587" s="81"/>
      <c r="P587" s="81"/>
      <c r="Q587" s="82"/>
      <c r="R587" s="82"/>
      <c r="S587" s="178"/>
      <c r="T587" s="23"/>
      <c r="U587" s="179"/>
      <c r="X587" s="157"/>
      <c r="Y587" s="157"/>
      <c r="Z587" s="157"/>
      <c r="AA587" s="157"/>
    </row>
    <row r="588" spans="1:29" ht="22.75" thickBot="1" x14ac:dyDescent="0.4">
      <c r="A588"/>
      <c r="B588" s="83"/>
      <c r="C588" s="84"/>
      <c r="D588" s="84"/>
      <c r="E588" s="85" t="s">
        <v>188</v>
      </c>
      <c r="F588" s="73">
        <f t="shared" ref="F588:N588" si="192">IF(((F586="")*AND(F587="")),"",(F586-F587)*3)</f>
        <v>4516.6800000000039</v>
      </c>
      <c r="G588" s="73">
        <f t="shared" si="192"/>
        <v>4096.9199999999983</v>
      </c>
      <c r="H588" s="73">
        <f t="shared" si="192"/>
        <v>4030.2000000000044</v>
      </c>
      <c r="I588" s="73">
        <f t="shared" si="192"/>
        <v>4035.8399999999965</v>
      </c>
      <c r="J588" s="73">
        <f t="shared" si="192"/>
        <v>4359.3599999999969</v>
      </c>
      <c r="K588" s="73">
        <f t="shared" si="192"/>
        <v>4306.5300000000061</v>
      </c>
      <c r="L588" s="73">
        <f t="shared" si="192"/>
        <v>4037.5500000000065</v>
      </c>
      <c r="M588" s="73">
        <f t="shared" si="192"/>
        <v>4256.1300000000083</v>
      </c>
      <c r="N588" s="73">
        <f t="shared" si="192"/>
        <v>4531.8000000000065</v>
      </c>
      <c r="O588" s="85"/>
      <c r="P588" s="85"/>
      <c r="Q588" s="86"/>
      <c r="R588" s="86"/>
      <c r="S588" s="181"/>
      <c r="T588" s="182"/>
      <c r="U588" s="183"/>
      <c r="X588" s="157"/>
      <c r="Y588" s="157"/>
      <c r="Z588" s="157"/>
      <c r="AA588" s="157"/>
    </row>
    <row r="589" spans="1:29" x14ac:dyDescent="0.25">
      <c r="A589" s="251">
        <v>43363</v>
      </c>
      <c r="B589" s="259" t="s">
        <v>174</v>
      </c>
      <c r="C589" s="64" t="s">
        <v>176</v>
      </c>
      <c r="D589" s="64" t="s">
        <v>175</v>
      </c>
      <c r="E589" s="79" t="s">
        <v>186</v>
      </c>
      <c r="F589" s="31">
        <v>6877.78</v>
      </c>
      <c r="G589" s="31">
        <v>6887.78</v>
      </c>
      <c r="H589" s="31">
        <v>6914.55</v>
      </c>
      <c r="I589" s="31">
        <v>6864.87</v>
      </c>
      <c r="J589" s="31">
        <v>6901.15</v>
      </c>
      <c r="K589" s="31">
        <v>6839.29</v>
      </c>
      <c r="L589" s="31">
        <v>6866.3</v>
      </c>
      <c r="M589" s="31">
        <v>6903.24</v>
      </c>
      <c r="N589" s="31">
        <v>6978.28</v>
      </c>
      <c r="O589" s="79">
        <f>IF((N590=""),"",MAX(F591:N591))</f>
        <v>4033.58</v>
      </c>
      <c r="P589" s="79">
        <f>IF(N590="","",MIN(F591:N591))</f>
        <v>3644.6000000000004</v>
      </c>
      <c r="Q589" s="80">
        <f>IF((N591=""),"",AVERAGE(F591:N591))</f>
        <v>3894.7355555555569</v>
      </c>
      <c r="R589" s="80">
        <f>IF((N590=""),"",(O589-P589)/(O589+P589)*100)</f>
        <v>5.0660442969557833</v>
      </c>
      <c r="S589" s="152">
        <f>STDEV(F591:N591)</f>
        <v>131.26017552090104</v>
      </c>
      <c r="T589" s="176" t="str">
        <f>IF(N590="","",IF(Q589&gt;3650,IF(R589&lt;7,IF(Q589&lt;4450,"Pass","Fail"),"Fail"),"Fail"))</f>
        <v>Pass</v>
      </c>
      <c r="U589" s="188">
        <v>1340</v>
      </c>
      <c r="V589" s="166"/>
      <c r="W589" s="31"/>
      <c r="X589" s="155">
        <v>3650</v>
      </c>
      <c r="Y589" s="155">
        <v>4450</v>
      </c>
      <c r="Z589" s="155">
        <v>3700</v>
      </c>
      <c r="AA589" s="155">
        <v>4100</v>
      </c>
      <c r="AB589" s="51">
        <v>7</v>
      </c>
      <c r="AC589" s="51">
        <v>6.5</v>
      </c>
    </row>
    <row r="590" spans="1:29" ht="16.100000000000001" x14ac:dyDescent="0.35">
      <c r="A590"/>
      <c r="B590" s="44"/>
      <c r="C590" s="24"/>
      <c r="D590" s="24"/>
      <c r="E590" s="81" t="s">
        <v>187</v>
      </c>
      <c r="F590" s="31">
        <v>4987.2299999999996</v>
      </c>
      <c r="G590" s="31">
        <v>4899.32</v>
      </c>
      <c r="H590" s="31">
        <v>4904.84</v>
      </c>
      <c r="I590" s="31">
        <v>4880.62</v>
      </c>
      <c r="J590" s="31">
        <v>5008.8599999999997</v>
      </c>
      <c r="K590" s="31">
        <v>5016.99</v>
      </c>
      <c r="L590" s="31">
        <v>4890.67</v>
      </c>
      <c r="M590" s="31">
        <v>4886.45</v>
      </c>
      <c r="N590" s="31">
        <v>5031.95</v>
      </c>
      <c r="O590" s="81"/>
      <c r="P590" s="81"/>
      <c r="Q590" s="82"/>
      <c r="R590" s="82"/>
      <c r="S590" s="178"/>
      <c r="T590" s="28"/>
      <c r="U590" s="185"/>
      <c r="V590" s="166"/>
      <c r="W590" s="31"/>
      <c r="X590" s="157"/>
      <c r="Y590" s="157"/>
      <c r="Z590" s="157"/>
      <c r="AA590" s="157"/>
    </row>
    <row r="591" spans="1:29" ht="22.75" thickBot="1" x14ac:dyDescent="0.4">
      <c r="A591"/>
      <c r="B591" s="44"/>
      <c r="C591" s="24"/>
      <c r="D591" s="24"/>
      <c r="E591" s="81" t="s">
        <v>188</v>
      </c>
      <c r="F591" s="60">
        <f t="shared" ref="F591:N591" si="193">IF(((F589="")*AND(F590="")),"",(F589-F590)*2)</f>
        <v>3781.1000000000004</v>
      </c>
      <c r="G591" s="60">
        <f t="shared" si="193"/>
        <v>3976.92</v>
      </c>
      <c r="H591" s="60">
        <f t="shared" si="193"/>
        <v>4019.42</v>
      </c>
      <c r="I591" s="60">
        <f t="shared" si="193"/>
        <v>3968.5</v>
      </c>
      <c r="J591" s="60">
        <f t="shared" si="193"/>
        <v>3784.58</v>
      </c>
      <c r="K591" s="60">
        <f t="shared" si="193"/>
        <v>3644.6000000000004</v>
      </c>
      <c r="L591" s="60">
        <f t="shared" si="193"/>
        <v>3951.26</v>
      </c>
      <c r="M591" s="60">
        <f t="shared" si="193"/>
        <v>4033.58</v>
      </c>
      <c r="N591" s="60">
        <f t="shared" si="193"/>
        <v>3892.66</v>
      </c>
      <c r="O591" s="81"/>
      <c r="P591" s="81"/>
      <c r="Q591" s="82"/>
      <c r="R591" s="82"/>
      <c r="S591" s="178"/>
      <c r="T591" s="28"/>
      <c r="U591" s="185"/>
      <c r="V591" s="166"/>
      <c r="W591" s="31"/>
      <c r="X591" s="157"/>
      <c r="Y591" s="157"/>
      <c r="Z591" s="157"/>
      <c r="AA591" s="157"/>
    </row>
    <row r="592" spans="1:29" x14ac:dyDescent="0.25">
      <c r="A592" s="251">
        <v>43363</v>
      </c>
      <c r="B592" s="257" t="s">
        <v>169</v>
      </c>
      <c r="C592" s="24" t="s">
        <v>171</v>
      </c>
      <c r="D592" s="24" t="s">
        <v>189</v>
      </c>
      <c r="E592" s="81" t="s">
        <v>186</v>
      </c>
      <c r="F592" s="31">
        <v>1917.35</v>
      </c>
      <c r="G592" s="31">
        <v>1912.31</v>
      </c>
      <c r="H592" s="31">
        <v>1912.45</v>
      </c>
      <c r="I592" s="31">
        <v>1910.99</v>
      </c>
      <c r="J592" s="31">
        <v>1915.33</v>
      </c>
      <c r="K592" s="31">
        <v>1916.59</v>
      </c>
      <c r="L592" s="31">
        <v>1911.37</v>
      </c>
      <c r="M592" s="31">
        <v>1911.54</v>
      </c>
      <c r="N592" s="31">
        <v>1914.98</v>
      </c>
      <c r="O592" s="81">
        <f>IF((N593=""),"",MAX(F594:N594))</f>
        <v>2071.7700000000004</v>
      </c>
      <c r="P592" s="81">
        <f>IF(N593="","",MIN(F594:N594))</f>
        <v>1959.81</v>
      </c>
      <c r="Q592" s="82">
        <f>IF((N594=""),"",AVERAGE(F594:N594))</f>
        <v>2025.6799999999998</v>
      </c>
      <c r="R592" s="82">
        <f>IF((N593=""),"",(O592-P592)/(O592+P592)*100)</f>
        <v>2.7770749929308232</v>
      </c>
      <c r="S592" s="152">
        <f>STDEV(F594:N594)</f>
        <v>40.959787291928208</v>
      </c>
      <c r="T592" s="23" t="str">
        <f>IF(N593="","",IF(Q592&gt;1940,IF(R592&lt;8.3,IF(Q592&lt;2180,"Pass","Fail"),"Fail"),"Fail"))</f>
        <v>Pass</v>
      </c>
      <c r="U592" s="188">
        <v>1340</v>
      </c>
      <c r="V592" s="166"/>
      <c r="W592" s="31"/>
      <c r="X592" s="155">
        <v>2000</v>
      </c>
      <c r="Y592" s="155">
        <v>3000</v>
      </c>
      <c r="Z592" s="155">
        <v>1940</v>
      </c>
      <c r="AA592" s="155">
        <v>2180</v>
      </c>
      <c r="AC592" s="51">
        <v>5.2</v>
      </c>
    </row>
    <row r="593" spans="1:29" ht="16.100000000000001" x14ac:dyDescent="0.35">
      <c r="A593"/>
      <c r="B593" s="44"/>
      <c r="C593" s="24"/>
      <c r="D593" s="24"/>
      <c r="E593" s="81" t="s">
        <v>187</v>
      </c>
      <c r="F593" s="31">
        <v>1244.8699999999999</v>
      </c>
      <c r="G593" s="31">
        <v>1223.5</v>
      </c>
      <c r="H593" s="31">
        <v>1221.8599999999999</v>
      </c>
      <c r="I593" s="31">
        <v>1231.52</v>
      </c>
      <c r="J593" s="31">
        <v>1262.06</v>
      </c>
      <c r="K593" s="31">
        <v>1252.46</v>
      </c>
      <c r="L593" s="31">
        <v>1230.79</v>
      </c>
      <c r="M593" s="31">
        <v>1223.4100000000001</v>
      </c>
      <c r="N593" s="31">
        <v>1255.4000000000001</v>
      </c>
      <c r="O593" s="81"/>
      <c r="P593" s="81"/>
      <c r="Q593" s="82"/>
      <c r="R593" s="82"/>
      <c r="S593" s="178"/>
      <c r="T593" s="23"/>
      <c r="U593" s="179"/>
      <c r="V593" s="212"/>
      <c r="W593" s="31"/>
      <c r="X593" s="157"/>
      <c r="Y593" s="157"/>
      <c r="Z593" s="157"/>
      <c r="AA593" s="157"/>
    </row>
    <row r="594" spans="1:29" ht="16.649999999999999" thickBot="1" x14ac:dyDescent="0.4">
      <c r="A594"/>
      <c r="B594" s="44"/>
      <c r="C594" s="24"/>
      <c r="D594" s="24"/>
      <c r="E594" s="81" t="s">
        <v>190</v>
      </c>
      <c r="F594" s="60">
        <f t="shared" ref="F594:N594" si="194">IF(((F592="")*AND(F593="")),"",(F592-F593)*3)</f>
        <v>2017.44</v>
      </c>
      <c r="G594" s="60">
        <f t="shared" si="194"/>
        <v>2066.4299999999998</v>
      </c>
      <c r="H594" s="60">
        <f t="shared" si="194"/>
        <v>2071.7700000000004</v>
      </c>
      <c r="I594" s="60">
        <f t="shared" si="194"/>
        <v>2038.41</v>
      </c>
      <c r="J594" s="60">
        <f t="shared" si="194"/>
        <v>1959.81</v>
      </c>
      <c r="K594" s="60">
        <f t="shared" si="194"/>
        <v>1992.3899999999996</v>
      </c>
      <c r="L594" s="60">
        <f t="shared" si="194"/>
        <v>2041.7399999999998</v>
      </c>
      <c r="M594" s="60">
        <f t="shared" si="194"/>
        <v>2064.3899999999994</v>
      </c>
      <c r="N594" s="60">
        <f t="shared" si="194"/>
        <v>1978.7399999999998</v>
      </c>
      <c r="O594" s="81"/>
      <c r="P594" s="81"/>
      <c r="Q594" s="82"/>
      <c r="R594" s="82"/>
      <c r="S594" s="178"/>
      <c r="T594" s="23"/>
      <c r="U594" s="179"/>
      <c r="V594" s="212"/>
      <c r="W594" s="31"/>
      <c r="X594" s="157"/>
      <c r="Y594" s="157"/>
      <c r="Z594" s="157"/>
      <c r="AA594" s="157"/>
    </row>
    <row r="595" spans="1:29" x14ac:dyDescent="0.25">
      <c r="A595" s="251">
        <v>43363</v>
      </c>
      <c r="B595" s="260" t="s">
        <v>185</v>
      </c>
      <c r="C595" s="24" t="s">
        <v>173</v>
      </c>
      <c r="D595" s="24" t="s">
        <v>172</v>
      </c>
      <c r="E595" s="81" t="s">
        <v>186</v>
      </c>
      <c r="F595" s="31">
        <v>29321.78</v>
      </c>
      <c r="G595" s="31">
        <v>29242.5</v>
      </c>
      <c r="H595" s="31">
        <v>29260.17</v>
      </c>
      <c r="I595" s="31">
        <v>29269.81</v>
      </c>
      <c r="J595" s="31">
        <v>29369.759999999998</v>
      </c>
      <c r="K595" s="31">
        <v>29355.98</v>
      </c>
      <c r="L595" s="31">
        <v>29267.35</v>
      </c>
      <c r="M595" s="31">
        <v>29263.62</v>
      </c>
      <c r="N595" s="31">
        <v>29289.17</v>
      </c>
      <c r="O595" s="81">
        <f>IF((N596=""),"",MAX(F597:N597))</f>
        <v>4281.6299999999974</v>
      </c>
      <c r="P595" s="81">
        <f>IF(N596="","",MIN(F597:N597))</f>
        <v>3697.7999999999956</v>
      </c>
      <c r="Q595" s="82">
        <f>IF((N597=""),"",AVERAGE(F597:N597))</f>
        <v>3985.3099999999959</v>
      </c>
      <c r="R595" s="82">
        <f>IF((N596=""),"",(O595-P595)/(O595+P595)*100)</f>
        <v>7.3166880341077283</v>
      </c>
      <c r="S595" s="152">
        <f>STDEV(F597:N597)</f>
        <v>178.24249808897937</v>
      </c>
      <c r="T595" s="23" t="str">
        <f>IF(N596="","",IF(R595&lt;16,IF(Q595&gt;3200,IF(R595,IF(Q595&lt;5240,"Pass","Fail"),"Fail"),"Fail")))</f>
        <v>Pass</v>
      </c>
      <c r="U595" s="188">
        <v>1340</v>
      </c>
      <c r="V595" s="166"/>
      <c r="W595" s="31"/>
      <c r="X595" s="155">
        <v>4200</v>
      </c>
      <c r="Y595" s="155">
        <v>5500</v>
      </c>
      <c r="Z595" s="155">
        <v>3200</v>
      </c>
      <c r="AA595" s="155">
        <v>5240</v>
      </c>
      <c r="AC595" s="51">
        <v>16</v>
      </c>
    </row>
    <row r="596" spans="1:29" ht="16.100000000000001" x14ac:dyDescent="0.35">
      <c r="A596"/>
      <c r="B596" s="44"/>
      <c r="C596" s="24"/>
      <c r="D596" s="24"/>
      <c r="E596" s="81" t="s">
        <v>187</v>
      </c>
      <c r="F596" s="31">
        <v>27966.080000000002</v>
      </c>
      <c r="G596" s="31">
        <v>27975.200000000001</v>
      </c>
      <c r="H596" s="31">
        <v>28027.57</v>
      </c>
      <c r="I596" s="31">
        <v>27936.86</v>
      </c>
      <c r="J596" s="31">
        <v>27942.55</v>
      </c>
      <c r="K596" s="31">
        <v>27970.29</v>
      </c>
      <c r="L596" s="31">
        <v>27976.35</v>
      </c>
      <c r="M596" s="31">
        <v>27938.84</v>
      </c>
      <c r="N596" s="31">
        <v>27950.47</v>
      </c>
      <c r="O596" s="81"/>
      <c r="P596" s="81"/>
      <c r="Q596" s="82"/>
      <c r="R596" s="82"/>
      <c r="S596" s="178"/>
      <c r="T596" s="23"/>
      <c r="U596" s="179"/>
      <c r="V596" s="212"/>
      <c r="W596" s="31"/>
      <c r="X596" s="157"/>
      <c r="Y596" s="157"/>
      <c r="Z596" s="157"/>
      <c r="AA596" s="157"/>
    </row>
    <row r="597" spans="1:29" ht="22.75" thickBot="1" x14ac:dyDescent="0.4">
      <c r="A597"/>
      <c r="B597" s="87"/>
      <c r="C597" s="66"/>
      <c r="D597" s="66"/>
      <c r="E597" s="68" t="s">
        <v>188</v>
      </c>
      <c r="F597" s="65">
        <f t="shared" ref="F597:N597" si="195">IF(((F595="")*AND(F596="")),"",(F595-F596)*3)</f>
        <v>4067.0999999999913</v>
      </c>
      <c r="G597" s="65">
        <f t="shared" si="195"/>
        <v>3801.8999999999978</v>
      </c>
      <c r="H597" s="65">
        <f t="shared" si="195"/>
        <v>3697.7999999999956</v>
      </c>
      <c r="I597" s="65">
        <f t="shared" si="195"/>
        <v>3998.8500000000022</v>
      </c>
      <c r="J597" s="65">
        <f t="shared" si="195"/>
        <v>4281.6299999999974</v>
      </c>
      <c r="K597" s="65">
        <f t="shared" si="195"/>
        <v>4157.0699999999961</v>
      </c>
      <c r="L597" s="65">
        <f t="shared" si="195"/>
        <v>3873</v>
      </c>
      <c r="M597" s="65">
        <f t="shared" si="195"/>
        <v>3974.3399999999965</v>
      </c>
      <c r="N597" s="65">
        <f t="shared" si="195"/>
        <v>4016.0999999999913</v>
      </c>
      <c r="O597" s="68"/>
      <c r="P597" s="68"/>
      <c r="Q597" s="69"/>
      <c r="R597" s="69"/>
      <c r="S597" s="186"/>
      <c r="T597" s="160"/>
      <c r="U597" s="187"/>
      <c r="V597" s="212"/>
      <c r="W597" s="31"/>
      <c r="X597" s="157"/>
      <c r="Y597" s="157"/>
      <c r="Z597" s="157"/>
      <c r="AA597" s="157"/>
    </row>
    <row r="598" spans="1:29" x14ac:dyDescent="0.25">
      <c r="A598" s="251">
        <v>43367</v>
      </c>
      <c r="B598" s="259" t="s">
        <v>174</v>
      </c>
      <c r="C598" s="64" t="s">
        <v>176</v>
      </c>
      <c r="D598" s="64" t="s">
        <v>175</v>
      </c>
      <c r="E598" s="79" t="s">
        <v>186</v>
      </c>
      <c r="F598" s="175">
        <v>4987.2299999999996</v>
      </c>
      <c r="G598" s="175">
        <v>4899.32</v>
      </c>
      <c r="H598" s="175">
        <v>4904.84</v>
      </c>
      <c r="I598" s="175">
        <v>4880.62</v>
      </c>
      <c r="J598" s="175">
        <v>5008.8599999999997</v>
      </c>
      <c r="K598" s="175">
        <v>5016.99</v>
      </c>
      <c r="L598" s="175">
        <v>4890.67</v>
      </c>
      <c r="M598" s="175">
        <v>4886.45</v>
      </c>
      <c r="N598" s="175">
        <v>5031.95</v>
      </c>
      <c r="O598" s="79">
        <f>IF((N599=""),"",MAX(F600:N600))</f>
        <v>4095.6800000000003</v>
      </c>
      <c r="P598" s="79">
        <f>IF(N599="","",MIN(F600:N600))</f>
        <v>3703.9799999999996</v>
      </c>
      <c r="Q598" s="80">
        <f>IF((N600=""),"",AVERAGE(F600:N600))</f>
        <v>3959.3177777777778</v>
      </c>
      <c r="R598" s="80">
        <f>IF((N599=""),"",(O598-P598)/(O598+P598)*100)</f>
        <v>5.0220137800878595</v>
      </c>
      <c r="S598" s="189">
        <f>STDEV(F600:N600)</f>
        <v>139.52159633707072</v>
      </c>
      <c r="T598" s="176" t="str">
        <f>IF(N599="","",IF(Q598&gt;3650,IF(R598&lt;7,IF(Q598&lt;4450,"Pass","Fail"),"Fail"),"Fail"))</f>
        <v>Pass</v>
      </c>
      <c r="U598" s="188">
        <v>1340</v>
      </c>
      <c r="V598" s="166"/>
      <c r="W598" s="31"/>
      <c r="X598" s="155">
        <v>3650</v>
      </c>
      <c r="Y598" s="155">
        <v>4450</v>
      </c>
      <c r="Z598" s="155">
        <v>3700</v>
      </c>
      <c r="AA598" s="155">
        <v>4100</v>
      </c>
      <c r="AB598" s="51">
        <v>7</v>
      </c>
      <c r="AC598" s="51">
        <v>6.5</v>
      </c>
    </row>
    <row r="599" spans="1:29" ht="16.100000000000001" x14ac:dyDescent="0.35">
      <c r="A599"/>
      <c r="B599" s="44"/>
      <c r="C599" s="24"/>
      <c r="D599" s="24"/>
      <c r="E599" s="81" t="s">
        <v>187</v>
      </c>
      <c r="F599" s="28">
        <v>3070</v>
      </c>
      <c r="G599" s="28">
        <v>2873</v>
      </c>
      <c r="H599" s="28">
        <v>2857</v>
      </c>
      <c r="I599" s="28">
        <v>2856</v>
      </c>
      <c r="J599" s="28">
        <v>3088</v>
      </c>
      <c r="K599" s="28">
        <v>3165</v>
      </c>
      <c r="L599" s="28">
        <v>2872</v>
      </c>
      <c r="M599" s="28">
        <v>2839</v>
      </c>
      <c r="N599" s="28">
        <v>3070</v>
      </c>
      <c r="O599" s="81"/>
      <c r="P599" s="81"/>
      <c r="Q599" s="82"/>
      <c r="R599" s="82"/>
      <c r="S599" s="178"/>
      <c r="T599" s="28"/>
      <c r="U599" s="185"/>
      <c r="V599" s="166"/>
      <c r="W599" s="31"/>
      <c r="X599" s="157"/>
      <c r="Y599" s="157"/>
      <c r="Z599" s="157"/>
      <c r="AA599" s="157"/>
    </row>
    <row r="600" spans="1:29" ht="22.15" x14ac:dyDescent="0.35">
      <c r="A600"/>
      <c r="B600" s="44"/>
      <c r="C600" s="24"/>
      <c r="D600" s="24"/>
      <c r="E600" s="81" t="s">
        <v>188</v>
      </c>
      <c r="F600" s="60">
        <f t="shared" ref="F600:N600" si="196">IF(((F598="")*AND(F599="")),"",(F598-F599)*2)</f>
        <v>3834.4599999999991</v>
      </c>
      <c r="G600" s="60">
        <f t="shared" si="196"/>
        <v>4052.6399999999994</v>
      </c>
      <c r="H600" s="60">
        <f t="shared" si="196"/>
        <v>4095.6800000000003</v>
      </c>
      <c r="I600" s="60">
        <f t="shared" si="196"/>
        <v>4049.24</v>
      </c>
      <c r="J600" s="60">
        <f t="shared" si="196"/>
        <v>3841.7199999999993</v>
      </c>
      <c r="K600" s="60">
        <f t="shared" si="196"/>
        <v>3703.9799999999996</v>
      </c>
      <c r="L600" s="60">
        <f t="shared" si="196"/>
        <v>4037.34</v>
      </c>
      <c r="M600" s="60">
        <f t="shared" si="196"/>
        <v>4094.8999999999996</v>
      </c>
      <c r="N600" s="60">
        <f t="shared" si="196"/>
        <v>3923.8999999999996</v>
      </c>
      <c r="O600" s="81"/>
      <c r="P600" s="81"/>
      <c r="Q600" s="82"/>
      <c r="R600" s="82"/>
      <c r="S600" s="178"/>
      <c r="T600" s="28"/>
      <c r="U600" s="185"/>
      <c r="V600" s="166"/>
      <c r="W600" s="31"/>
      <c r="X600" s="157"/>
      <c r="Y600" s="157"/>
      <c r="Z600" s="157"/>
      <c r="AA600" s="157"/>
    </row>
    <row r="601" spans="1:29" x14ac:dyDescent="0.25">
      <c r="A601" s="252">
        <v>43367</v>
      </c>
      <c r="B601" s="257" t="s">
        <v>169</v>
      </c>
      <c r="C601" s="24" t="s">
        <v>171</v>
      </c>
      <c r="D601" s="24" t="s">
        <v>189</v>
      </c>
      <c r="E601" s="81" t="s">
        <v>186</v>
      </c>
      <c r="F601" s="28">
        <v>1933</v>
      </c>
      <c r="G601" s="28">
        <v>1928</v>
      </c>
      <c r="H601" s="28">
        <v>1925</v>
      </c>
      <c r="I601" s="28">
        <v>1927</v>
      </c>
      <c r="J601" s="28">
        <v>1933</v>
      </c>
      <c r="K601" s="28">
        <v>1934</v>
      </c>
      <c r="L601" s="28">
        <v>1927</v>
      </c>
      <c r="M601" s="28">
        <v>1927</v>
      </c>
      <c r="N601" s="28">
        <v>1935</v>
      </c>
      <c r="O601" s="81">
        <f>IF((N602=""),"",MAX(F603:N603))</f>
        <v>2067</v>
      </c>
      <c r="P601" s="81">
        <f>IF(N602="","",MIN(F603:N603))</f>
        <v>1971</v>
      </c>
      <c r="Q601" s="82">
        <f>IF((N603=""),"",AVERAGE(F603:N603))</f>
        <v>2022.6666666666667</v>
      </c>
      <c r="R601" s="82">
        <f>IF((N602=""),"",(O601-P601)/(O601+P601)*100)</f>
        <v>2.3774145616641902</v>
      </c>
      <c r="S601" s="178">
        <f>STDEV(F603:N603)</f>
        <v>36.42801120017397</v>
      </c>
      <c r="T601" s="23" t="str">
        <f>IF(N602="","",IF(Q601&gt;1940,IF(R601&lt;8.3,IF(Q601&lt;2180,"Pass","Fail"),"Fail"),"Fail"))</f>
        <v>Pass</v>
      </c>
      <c r="U601" s="185">
        <v>1340</v>
      </c>
      <c r="V601" s="166"/>
      <c r="W601" s="31"/>
      <c r="X601" s="155">
        <v>2000</v>
      </c>
      <c r="Y601" s="155">
        <v>3000</v>
      </c>
      <c r="Z601" s="155">
        <v>1940</v>
      </c>
      <c r="AA601" s="155">
        <v>2180</v>
      </c>
      <c r="AC601" s="51">
        <v>5.2</v>
      </c>
    </row>
    <row r="602" spans="1:29" ht="16.100000000000001" x14ac:dyDescent="0.35">
      <c r="A602"/>
      <c r="B602" s="44"/>
      <c r="C602" s="24"/>
      <c r="D602" s="24"/>
      <c r="E602" s="81" t="s">
        <v>187</v>
      </c>
      <c r="F602" s="28">
        <v>1264</v>
      </c>
      <c r="G602" s="28">
        <v>1244</v>
      </c>
      <c r="H602" s="28">
        <v>1236</v>
      </c>
      <c r="I602" s="143">
        <v>1247</v>
      </c>
      <c r="J602" s="143">
        <v>1276</v>
      </c>
      <c r="K602" s="143">
        <v>1275</v>
      </c>
      <c r="L602" s="28">
        <v>1247</v>
      </c>
      <c r="M602" s="28">
        <v>1241</v>
      </c>
      <c r="N602" s="28">
        <v>1271</v>
      </c>
      <c r="O602" s="81"/>
      <c r="P602" s="81"/>
      <c r="Q602" s="82"/>
      <c r="R602" s="82"/>
      <c r="S602" s="178"/>
      <c r="T602" s="23"/>
      <c r="U602" s="179"/>
      <c r="V602" s="212"/>
      <c r="W602" s="31"/>
      <c r="X602" s="157"/>
      <c r="Y602" s="157"/>
      <c r="Z602" s="157"/>
      <c r="AA602" s="157"/>
    </row>
    <row r="603" spans="1:29" ht="16.100000000000001" x14ac:dyDescent="0.35">
      <c r="A603"/>
      <c r="B603" s="44"/>
      <c r="C603" s="24"/>
      <c r="D603" s="24"/>
      <c r="E603" s="81" t="s">
        <v>190</v>
      </c>
      <c r="F603" s="60">
        <f t="shared" ref="F603:N603" si="197">IF(((F601="")*AND(F602="")),"",(F601-F602)*3)</f>
        <v>2007</v>
      </c>
      <c r="G603" s="60">
        <f t="shared" si="197"/>
        <v>2052</v>
      </c>
      <c r="H603" s="60">
        <f t="shared" si="197"/>
        <v>2067</v>
      </c>
      <c r="I603" s="60">
        <f t="shared" si="197"/>
        <v>2040</v>
      </c>
      <c r="J603" s="60">
        <f t="shared" si="197"/>
        <v>1971</v>
      </c>
      <c r="K603" s="60">
        <f t="shared" si="197"/>
        <v>1977</v>
      </c>
      <c r="L603" s="60">
        <f t="shared" si="197"/>
        <v>2040</v>
      </c>
      <c r="M603" s="60">
        <f t="shared" si="197"/>
        <v>2058</v>
      </c>
      <c r="N603" s="60">
        <f t="shared" si="197"/>
        <v>1992</v>
      </c>
      <c r="O603" s="81"/>
      <c r="P603" s="81"/>
      <c r="Q603" s="82"/>
      <c r="R603" s="82"/>
      <c r="S603" s="178"/>
      <c r="T603" s="23"/>
      <c r="U603" s="179"/>
      <c r="V603" s="212"/>
      <c r="W603" s="31"/>
      <c r="X603" s="157"/>
      <c r="Y603" s="157"/>
      <c r="Z603" s="157"/>
      <c r="AA603" s="157"/>
    </row>
    <row r="604" spans="1:29" x14ac:dyDescent="0.25">
      <c r="A604" s="252">
        <v>43367</v>
      </c>
      <c r="B604" s="260" t="s">
        <v>185</v>
      </c>
      <c r="C604" s="24" t="s">
        <v>173</v>
      </c>
      <c r="D604" s="24" t="s">
        <v>172</v>
      </c>
      <c r="E604" s="81" t="s">
        <v>186</v>
      </c>
      <c r="F604" s="28">
        <v>29309</v>
      </c>
      <c r="G604" s="28">
        <v>29207</v>
      </c>
      <c r="H604" s="28">
        <v>29262</v>
      </c>
      <c r="I604" s="28">
        <v>29195</v>
      </c>
      <c r="J604" s="28">
        <v>29265</v>
      </c>
      <c r="K604" s="143">
        <v>29286</v>
      </c>
      <c r="L604" s="143">
        <v>29233</v>
      </c>
      <c r="M604" s="143">
        <v>29213</v>
      </c>
      <c r="N604" s="143">
        <v>29265</v>
      </c>
      <c r="O604" s="81">
        <f>IF((N605=""),"",MAX(F606:N606))</f>
        <v>4371</v>
      </c>
      <c r="P604" s="81">
        <f>IF(N605="","",MIN(F606:N606))</f>
        <v>3903</v>
      </c>
      <c r="Q604" s="82">
        <f>IF((N606=""),"",AVERAGE(F606:N606))</f>
        <v>4160.333333333333</v>
      </c>
      <c r="R604" s="82">
        <f>IF((N605=""),"",(O604-P604)/(O604+P604)*100)</f>
        <v>5.6562726613488028</v>
      </c>
      <c r="S604" s="178">
        <f>STDEV(F606:N606)</f>
        <v>164.67771555374455</v>
      </c>
      <c r="T604" s="23" t="str">
        <f>IF(N605="","",IF(R604&lt;16,IF(Q604&gt;3200,IF(R604,IF(Q604&lt;5240,"Pass","Fail"),"Fail"),"Fail")))</f>
        <v>Pass</v>
      </c>
      <c r="U604" s="185">
        <v>1340</v>
      </c>
      <c r="V604" s="166"/>
      <c r="W604" s="31"/>
      <c r="X604" s="155">
        <v>4200</v>
      </c>
      <c r="Y604" s="155">
        <v>5500</v>
      </c>
      <c r="Z604" s="155">
        <v>3200</v>
      </c>
      <c r="AA604" s="155">
        <v>5240</v>
      </c>
      <c r="AC604" s="51">
        <v>16</v>
      </c>
    </row>
    <row r="605" spans="1:29" ht="16.100000000000001" x14ac:dyDescent="0.35">
      <c r="A605"/>
      <c r="B605" s="44"/>
      <c r="C605" s="24"/>
      <c r="D605" s="24"/>
      <c r="E605" s="81" t="s">
        <v>187</v>
      </c>
      <c r="F605" s="28">
        <v>27857</v>
      </c>
      <c r="G605" s="28">
        <v>27862</v>
      </c>
      <c r="H605" s="143">
        <v>27907</v>
      </c>
      <c r="I605" s="143">
        <v>27894</v>
      </c>
      <c r="J605" s="143">
        <v>27816</v>
      </c>
      <c r="K605" s="143">
        <v>27901</v>
      </c>
      <c r="L605" s="143">
        <v>27876</v>
      </c>
      <c r="M605" s="143">
        <v>27833</v>
      </c>
      <c r="N605" s="143">
        <v>27808</v>
      </c>
      <c r="O605" s="81"/>
      <c r="P605" s="81"/>
      <c r="Q605" s="82"/>
      <c r="R605" s="82"/>
      <c r="S605" s="178"/>
      <c r="T605" s="23"/>
      <c r="U605" s="179"/>
      <c r="V605" s="212"/>
      <c r="W605" s="31"/>
      <c r="X605" s="157"/>
      <c r="Y605" s="157"/>
      <c r="Z605" s="157"/>
      <c r="AA605" s="157"/>
    </row>
    <row r="606" spans="1:29" ht="22.75" thickBot="1" x14ac:dyDescent="0.4">
      <c r="A606"/>
      <c r="B606" s="83"/>
      <c r="C606" s="84"/>
      <c r="D606" s="84"/>
      <c r="E606" s="85" t="s">
        <v>188</v>
      </c>
      <c r="F606" s="73">
        <f t="shared" ref="F606:N606" si="198">IF(((F604="")*AND(F605="")),"",(F604-F605)*3)</f>
        <v>4356</v>
      </c>
      <c r="G606" s="73">
        <f t="shared" si="198"/>
        <v>4035</v>
      </c>
      <c r="H606" s="73">
        <f t="shared" si="198"/>
        <v>4065</v>
      </c>
      <c r="I606" s="73">
        <f t="shared" si="198"/>
        <v>3903</v>
      </c>
      <c r="J606" s="73">
        <f t="shared" si="198"/>
        <v>4347</v>
      </c>
      <c r="K606" s="73">
        <f t="shared" si="198"/>
        <v>4155</v>
      </c>
      <c r="L606" s="73">
        <f t="shared" si="198"/>
        <v>4071</v>
      </c>
      <c r="M606" s="73">
        <f t="shared" si="198"/>
        <v>4140</v>
      </c>
      <c r="N606" s="73">
        <f t="shared" si="198"/>
        <v>4371</v>
      </c>
      <c r="O606" s="85"/>
      <c r="P606" s="85"/>
      <c r="Q606" s="86"/>
      <c r="R606" s="86"/>
      <c r="S606" s="181"/>
      <c r="T606" s="182"/>
      <c r="U606" s="183"/>
      <c r="V606" s="212"/>
      <c r="W606" s="31"/>
      <c r="X606" s="157"/>
      <c r="Y606" s="157"/>
      <c r="Z606" s="157"/>
      <c r="AA606" s="157"/>
    </row>
    <row r="607" spans="1:29" x14ac:dyDescent="0.25">
      <c r="A607" s="249">
        <v>43370</v>
      </c>
      <c r="B607" s="261" t="s">
        <v>174</v>
      </c>
      <c r="C607" s="59" t="s">
        <v>176</v>
      </c>
      <c r="D607" s="59" t="s">
        <v>175</v>
      </c>
      <c r="E607" s="61" t="s">
        <v>186</v>
      </c>
      <c r="F607" s="146">
        <v>7038.77</v>
      </c>
      <c r="G607" s="146">
        <v>7022.49</v>
      </c>
      <c r="H607" s="146">
        <v>7039.84</v>
      </c>
      <c r="I607" s="146">
        <v>6989.84</v>
      </c>
      <c r="J607" s="146">
        <v>7064.59</v>
      </c>
      <c r="K607" s="146">
        <v>7007.58</v>
      </c>
      <c r="L607" s="146">
        <v>6994.27</v>
      </c>
      <c r="M607" s="146">
        <v>7025.41</v>
      </c>
      <c r="N607" s="146">
        <v>7112.41</v>
      </c>
      <c r="O607" s="61">
        <f>IF((N608=""),"",MAX(F609:N609))</f>
        <v>4018.42</v>
      </c>
      <c r="P607" s="61">
        <f>IF(N608="","",MIN(F609:N609))</f>
        <v>3646.0399999999991</v>
      </c>
      <c r="Q607" s="62">
        <f>IF((N609=""),"",AVERAGE(F609:N609))</f>
        <v>3884.204444444445</v>
      </c>
      <c r="R607" s="62">
        <f>IF((N608=""),"",(O607-P607)/(O607+P607)*100)</f>
        <v>4.8585288461287695</v>
      </c>
      <c r="S607" s="190">
        <f>STDEV(F609:N609)</f>
        <v>133.012666606522</v>
      </c>
      <c r="T607" s="158" t="str">
        <f>IF(N608="","",IF(Q607&gt;3650,IF(R607&lt;7,IF(Q607&lt;4450,"Pass","Fail"),"Fail"),"Fail"))</f>
        <v>Pass</v>
      </c>
      <c r="U607" s="184">
        <v>1340</v>
      </c>
      <c r="V607" s="166"/>
      <c r="W607" s="31"/>
      <c r="X607" s="155">
        <v>3650</v>
      </c>
      <c r="Y607" s="155">
        <v>4450</v>
      </c>
      <c r="Z607" s="155">
        <v>3700</v>
      </c>
      <c r="AA607" s="155">
        <v>4100</v>
      </c>
      <c r="AB607" s="51">
        <v>7</v>
      </c>
      <c r="AC607" s="51">
        <v>6.5</v>
      </c>
    </row>
    <row r="608" spans="1:29" ht="16.100000000000001" x14ac:dyDescent="0.35">
      <c r="A608"/>
      <c r="B608" s="44"/>
      <c r="C608" s="24"/>
      <c r="D608" s="24"/>
      <c r="E608" s="81" t="s">
        <v>187</v>
      </c>
      <c r="F608" s="28">
        <v>5153.4799999999996</v>
      </c>
      <c r="G608" s="28">
        <v>5032.51</v>
      </c>
      <c r="H608" s="28">
        <v>5030.63</v>
      </c>
      <c r="I608" s="28">
        <v>5007.49</v>
      </c>
      <c r="J608" s="28">
        <v>5182.5</v>
      </c>
      <c r="K608" s="28">
        <v>5184.5600000000004</v>
      </c>
      <c r="L608" s="28">
        <v>5017.37</v>
      </c>
      <c r="M608" s="28">
        <v>5017.38</v>
      </c>
      <c r="N608" s="28">
        <v>5190.3599999999997</v>
      </c>
      <c r="O608" s="81"/>
      <c r="P608" s="81"/>
      <c r="Q608" s="82"/>
      <c r="R608" s="82"/>
      <c r="S608" s="178"/>
      <c r="T608" s="28"/>
      <c r="U608" s="185"/>
      <c r="V608" s="166"/>
      <c r="W608" s="31"/>
      <c r="X608" s="157"/>
      <c r="Y608" s="157"/>
      <c r="Z608" s="157"/>
      <c r="AA608" s="157"/>
    </row>
    <row r="609" spans="1:29" ht="22.15" x14ac:dyDescent="0.35">
      <c r="A609"/>
      <c r="B609" s="44"/>
      <c r="C609" s="24"/>
      <c r="D609" s="24"/>
      <c r="E609" s="81" t="s">
        <v>188</v>
      </c>
      <c r="F609" s="60">
        <f t="shared" ref="F609:N609" si="199">IF(((F607="")*AND(F608="")),"",(F607-F608)*2)</f>
        <v>3770.5800000000017</v>
      </c>
      <c r="G609" s="60">
        <f t="shared" si="199"/>
        <v>3979.9599999999991</v>
      </c>
      <c r="H609" s="60">
        <f t="shared" si="199"/>
        <v>4018.42</v>
      </c>
      <c r="I609" s="60">
        <f t="shared" si="199"/>
        <v>3964.7000000000007</v>
      </c>
      <c r="J609" s="60">
        <f t="shared" si="199"/>
        <v>3764.1800000000003</v>
      </c>
      <c r="K609" s="60">
        <f t="shared" si="199"/>
        <v>3646.0399999999991</v>
      </c>
      <c r="L609" s="60">
        <f t="shared" si="199"/>
        <v>3953.8000000000011</v>
      </c>
      <c r="M609" s="60">
        <f t="shared" si="199"/>
        <v>4016.0599999999995</v>
      </c>
      <c r="N609" s="60">
        <f t="shared" si="199"/>
        <v>3844.1000000000004</v>
      </c>
      <c r="O609" s="81"/>
      <c r="P609" s="81"/>
      <c r="Q609" s="82"/>
      <c r="R609" s="82"/>
      <c r="S609" s="178"/>
      <c r="T609" s="28"/>
      <c r="U609" s="185"/>
      <c r="V609" s="166"/>
      <c r="W609" s="31"/>
      <c r="X609" s="157"/>
      <c r="Y609" s="157"/>
      <c r="Z609" s="157"/>
      <c r="AA609" s="157"/>
    </row>
    <row r="610" spans="1:29" x14ac:dyDescent="0.25">
      <c r="A610" s="252">
        <v>43370</v>
      </c>
      <c r="B610" s="257" t="s">
        <v>169</v>
      </c>
      <c r="C610" s="24" t="s">
        <v>171</v>
      </c>
      <c r="D610" s="24" t="s">
        <v>189</v>
      </c>
      <c r="E610" s="81" t="s">
        <v>186</v>
      </c>
      <c r="F610" s="28">
        <v>1930.35</v>
      </c>
      <c r="G610" s="28">
        <v>1911.95</v>
      </c>
      <c r="H610" s="28">
        <v>1805.08</v>
      </c>
      <c r="I610" s="28">
        <v>1926.62</v>
      </c>
      <c r="J610" s="28">
        <v>1934.77</v>
      </c>
      <c r="K610" s="28">
        <v>1933.21</v>
      </c>
      <c r="L610" s="28">
        <v>1925.67</v>
      </c>
      <c r="M610" s="28">
        <v>1848.02</v>
      </c>
      <c r="N610" s="28">
        <v>1931.41</v>
      </c>
      <c r="O610" s="81">
        <f>IF((N611=""),"",MAX(F612:N612))</f>
        <v>2074.7999999999997</v>
      </c>
      <c r="P610" s="81">
        <f>IF(N611="","",MIN(F612:N612))</f>
        <v>1753.6499999999999</v>
      </c>
      <c r="Q610" s="82">
        <f>IF((N612=""),"",AVERAGE(F612:N612))</f>
        <v>1969.7933333333333</v>
      </c>
      <c r="R610" s="82">
        <f>IF((N611=""),"",(O610-P610)/(O610+P610)*100)</f>
        <v>8.3885123222191709</v>
      </c>
      <c r="S610" s="178">
        <f>STDEV(F612:N612)</f>
        <v>104.11026474368421</v>
      </c>
      <c r="T610" s="23" t="str">
        <f>IF(N611="","",IF(Q610&gt;1940,IF(R610&lt;8.3,IF(Q610&lt;2180,"Pass","Fail"),"Fail"),"Fail"))</f>
        <v>Fail</v>
      </c>
      <c r="U610" s="185">
        <v>1340</v>
      </c>
      <c r="V610" s="166"/>
      <c r="W610" s="31"/>
      <c r="X610" s="155">
        <v>2000</v>
      </c>
      <c r="Y610" s="155">
        <v>3000</v>
      </c>
      <c r="Z610" s="155">
        <v>1940</v>
      </c>
      <c r="AA610" s="155">
        <v>2180</v>
      </c>
      <c r="AC610" s="51">
        <v>5.2</v>
      </c>
    </row>
    <row r="611" spans="1:29" ht="16.100000000000001" x14ac:dyDescent="0.35">
      <c r="A611"/>
      <c r="B611" s="44"/>
      <c r="C611" s="24"/>
      <c r="D611" s="24"/>
      <c r="E611" s="81" t="s">
        <v>187</v>
      </c>
      <c r="F611" s="28">
        <v>1267.69</v>
      </c>
      <c r="G611" s="28">
        <v>1240.8599999999999</v>
      </c>
      <c r="H611" s="28">
        <v>1220.53</v>
      </c>
      <c r="I611" s="28">
        <v>1235.02</v>
      </c>
      <c r="J611" s="28">
        <v>1268.1300000000001</v>
      </c>
      <c r="K611" s="28">
        <v>1268.27</v>
      </c>
      <c r="L611" s="28">
        <v>1236.25</v>
      </c>
      <c r="M611" s="28">
        <v>1232.46</v>
      </c>
      <c r="N611" s="28">
        <v>1268.49</v>
      </c>
      <c r="O611" s="81"/>
      <c r="P611" s="81"/>
      <c r="Q611" s="82"/>
      <c r="R611" s="82"/>
      <c r="S611" s="178"/>
      <c r="T611" s="23"/>
      <c r="U611" s="179"/>
      <c r="V611" s="212"/>
      <c r="W611" s="31"/>
      <c r="X611" s="157"/>
      <c r="Y611" s="157"/>
      <c r="Z611" s="157"/>
      <c r="AA611" s="157"/>
    </row>
    <row r="612" spans="1:29" ht="16.100000000000001" x14ac:dyDescent="0.35">
      <c r="A612"/>
      <c r="B612" s="44"/>
      <c r="C612" s="24"/>
      <c r="D612" s="24"/>
      <c r="E612" s="81" t="s">
        <v>190</v>
      </c>
      <c r="F612" s="60">
        <f t="shared" ref="F612:N612" si="200">IF(((F610="")*AND(F611="")),"",(F610-F611)*3)</f>
        <v>1987.9799999999996</v>
      </c>
      <c r="G612" s="60">
        <f t="shared" si="200"/>
        <v>2013.2700000000004</v>
      </c>
      <c r="H612" s="60">
        <f t="shared" si="200"/>
        <v>1753.6499999999999</v>
      </c>
      <c r="I612" s="60">
        <f t="shared" si="200"/>
        <v>2074.7999999999997</v>
      </c>
      <c r="J612" s="60">
        <f t="shared" si="200"/>
        <v>1999.9199999999996</v>
      </c>
      <c r="K612" s="60">
        <f t="shared" si="200"/>
        <v>1994.8200000000002</v>
      </c>
      <c r="L612" s="60">
        <f t="shared" si="200"/>
        <v>2068.2600000000002</v>
      </c>
      <c r="M612" s="60">
        <f t="shared" si="200"/>
        <v>1846.6799999999998</v>
      </c>
      <c r="N612" s="60">
        <f t="shared" si="200"/>
        <v>1988.7600000000002</v>
      </c>
      <c r="O612" s="81"/>
      <c r="P612" s="81"/>
      <c r="Q612" s="82"/>
      <c r="R612" s="82"/>
      <c r="S612" s="178"/>
      <c r="T612" s="23"/>
      <c r="U612" s="179"/>
      <c r="V612" s="212"/>
      <c r="W612" s="31"/>
      <c r="X612" s="157"/>
      <c r="Y612" s="157"/>
      <c r="Z612" s="157"/>
      <c r="AA612" s="157"/>
    </row>
    <row r="613" spans="1:29" x14ac:dyDescent="0.25">
      <c r="A613" s="252">
        <v>43370</v>
      </c>
      <c r="B613" s="260" t="s">
        <v>185</v>
      </c>
      <c r="C613" s="24" t="s">
        <v>173</v>
      </c>
      <c r="D613" s="24" t="s">
        <v>172</v>
      </c>
      <c r="E613" s="81" t="s">
        <v>186</v>
      </c>
      <c r="F613" s="28">
        <v>29199.49</v>
      </c>
      <c r="G613" s="28">
        <v>29114.2</v>
      </c>
      <c r="H613" s="28">
        <v>29101.98</v>
      </c>
      <c r="I613" s="28">
        <v>29086.39</v>
      </c>
      <c r="J613" s="28">
        <v>29159.46</v>
      </c>
      <c r="K613" s="28">
        <v>29175.48</v>
      </c>
      <c r="L613" s="28">
        <v>29075.57</v>
      </c>
      <c r="M613" s="28">
        <v>29095.57</v>
      </c>
      <c r="N613" s="28">
        <v>29178.09</v>
      </c>
      <c r="O613" s="81">
        <f>IF((N614=""),"",MAX(F615:N615))</f>
        <v>4066.8300000000017</v>
      </c>
      <c r="P613" s="81">
        <f>IF(N614="","",MIN(F615:N615))</f>
        <v>3769.1400000000031</v>
      </c>
      <c r="Q613" s="82">
        <f>IF((N615=""),"",AVERAGE(F615:N615))</f>
        <v>3896.6966666666681</v>
      </c>
      <c r="R613" s="82">
        <f>IF((N614=""),"",(O613-P613)/(O613+P613)*100)</f>
        <v>3.799019138664371</v>
      </c>
      <c r="S613" s="178">
        <f>STDEV(F615:N615)</f>
        <v>115.05259069225714</v>
      </c>
      <c r="T613" s="23" t="str">
        <f>IF(N614="","",IF(R613&lt;16,IF(Q613&gt;3200,IF(R613,IF(Q613&lt;5240,"Pass","Fail"),"Fail"),"Fail")))</f>
        <v>Pass</v>
      </c>
      <c r="U613" s="185">
        <v>1340</v>
      </c>
      <c r="V613" s="166"/>
      <c r="W613" s="31"/>
      <c r="X613" s="155">
        <v>4200</v>
      </c>
      <c r="Y613" s="155">
        <v>5500</v>
      </c>
      <c r="Z613" s="155">
        <v>3200</v>
      </c>
      <c r="AA613" s="155">
        <v>5240</v>
      </c>
      <c r="AC613" s="51">
        <v>16</v>
      </c>
    </row>
    <row r="614" spans="1:29" ht="16.100000000000001" x14ac:dyDescent="0.35">
      <c r="A614"/>
      <c r="B614" s="44"/>
      <c r="C614" s="24"/>
      <c r="D614" s="24"/>
      <c r="E614" s="81" t="s">
        <v>187</v>
      </c>
      <c r="F614" s="28">
        <v>27843.88</v>
      </c>
      <c r="G614" s="28">
        <v>27827.56</v>
      </c>
      <c r="H614" s="28">
        <v>27837.26</v>
      </c>
      <c r="I614" s="28">
        <v>27830.01</v>
      </c>
      <c r="J614" s="28">
        <v>27840.36</v>
      </c>
      <c r="K614" s="28">
        <v>27860.51</v>
      </c>
      <c r="L614" s="28">
        <v>27813.43</v>
      </c>
      <c r="M614" s="28">
        <v>27818.19</v>
      </c>
      <c r="N614" s="28">
        <v>27824.94</v>
      </c>
      <c r="O614" s="81"/>
      <c r="P614" s="81"/>
      <c r="Q614" s="82"/>
      <c r="R614" s="82"/>
      <c r="S614" s="178"/>
      <c r="T614" s="23"/>
      <c r="U614" s="179"/>
      <c r="V614" s="212"/>
      <c r="W614" s="31"/>
      <c r="X614" s="157"/>
      <c r="Y614" s="157"/>
      <c r="Z614" s="157"/>
      <c r="AA614" s="157"/>
    </row>
    <row r="615" spans="1:29" ht="22.15" x14ac:dyDescent="0.35">
      <c r="A615"/>
      <c r="B615" s="44"/>
      <c r="C615" s="24"/>
      <c r="D615" s="24"/>
      <c r="E615" s="81" t="s">
        <v>188</v>
      </c>
      <c r="F615" s="60">
        <f t="shared" ref="F615:N615" si="201">IF(((F613="")*AND(F614="")),"",(F613-F614)*3)</f>
        <v>4066.8300000000017</v>
      </c>
      <c r="G615" s="60">
        <f t="shared" si="201"/>
        <v>3859.9199999999983</v>
      </c>
      <c r="H615" s="60">
        <f t="shared" si="201"/>
        <v>3794.1600000000035</v>
      </c>
      <c r="I615" s="60">
        <f t="shared" si="201"/>
        <v>3769.1400000000031</v>
      </c>
      <c r="J615" s="60">
        <f t="shared" si="201"/>
        <v>3957.2999999999956</v>
      </c>
      <c r="K615" s="60">
        <f t="shared" si="201"/>
        <v>3944.9100000000035</v>
      </c>
      <c r="L615" s="60">
        <f t="shared" si="201"/>
        <v>3786.4199999999983</v>
      </c>
      <c r="M615" s="60">
        <f t="shared" si="201"/>
        <v>3832.1400000000031</v>
      </c>
      <c r="N615" s="60">
        <f t="shared" si="201"/>
        <v>4059.4500000000044</v>
      </c>
      <c r="O615" s="81"/>
      <c r="P615" s="81"/>
      <c r="Q615" s="82"/>
      <c r="R615" s="82"/>
      <c r="S615" s="178"/>
      <c r="T615" s="23"/>
      <c r="U615" s="179"/>
      <c r="V615" s="212"/>
      <c r="W615" s="31"/>
      <c r="X615" s="157"/>
      <c r="Y615" s="157"/>
      <c r="Z615" s="157"/>
      <c r="AA615" s="157"/>
    </row>
    <row r="616" spans="1:29" x14ac:dyDescent="0.25">
      <c r="A616" s="252">
        <v>43370</v>
      </c>
      <c r="B616" s="257" t="s">
        <v>169</v>
      </c>
      <c r="C616" s="24" t="s">
        <v>171</v>
      </c>
      <c r="D616" s="24" t="s">
        <v>189</v>
      </c>
      <c r="E616" s="81" t="s">
        <v>186</v>
      </c>
      <c r="F616" s="28">
        <v>1937.06</v>
      </c>
      <c r="G616" s="28">
        <v>1940.34</v>
      </c>
      <c r="H616" s="28">
        <v>1940.59</v>
      </c>
      <c r="I616" s="28">
        <v>1943.06</v>
      </c>
      <c r="J616" s="28">
        <v>1939.36</v>
      </c>
      <c r="K616" s="28">
        <v>1941.98</v>
      </c>
      <c r="L616" s="28">
        <v>1941.16</v>
      </c>
      <c r="M616" s="28">
        <v>1941.57</v>
      </c>
      <c r="N616" s="28">
        <v>1944.29</v>
      </c>
      <c r="O616" s="81">
        <f>IF((N617=""),"",MAX(F618:N618))</f>
        <v>2100.66</v>
      </c>
      <c r="P616" s="81">
        <f>IF(N617="","",MIN(F618:N618))</f>
        <v>2027.19</v>
      </c>
      <c r="Q616" s="82">
        <f>IF((N618=""),"",AVERAGE(F618:N618))</f>
        <v>2063.6</v>
      </c>
      <c r="R616" s="82">
        <f>IF((N617=""),"",(O616-P616)/(O616+P616)*100)</f>
        <v>1.7798611868163765</v>
      </c>
      <c r="S616" s="178">
        <f>STDEV(F618:N618)</f>
        <v>24.058386791304159</v>
      </c>
      <c r="T616" s="23" t="str">
        <f>IF(N617="","",IF(Q616&gt;1940,IF(R616&lt;8.3,IF(Q616&lt;2180,"Pass","Fail"),"Fail"),"Fail"))</f>
        <v>Pass</v>
      </c>
      <c r="U616" s="185">
        <v>1340</v>
      </c>
      <c r="V616" s="166"/>
      <c r="W616" s="31"/>
      <c r="X616" s="155">
        <v>2000</v>
      </c>
      <c r="Y616" s="155">
        <v>3000</v>
      </c>
      <c r="Z616" s="155">
        <v>1940</v>
      </c>
      <c r="AA616" s="155">
        <v>2180</v>
      </c>
      <c r="AC616" s="51">
        <v>5.2</v>
      </c>
    </row>
    <row r="617" spans="1:29" ht="16.100000000000001" x14ac:dyDescent="0.35">
      <c r="A617"/>
      <c r="B617" s="44"/>
      <c r="C617" s="24"/>
      <c r="D617" s="24"/>
      <c r="E617" s="81" t="s">
        <v>187</v>
      </c>
      <c r="F617" s="28">
        <v>1244.27</v>
      </c>
      <c r="G617" s="28">
        <v>1260.54</v>
      </c>
      <c r="H617" s="28">
        <v>1257</v>
      </c>
      <c r="I617" s="28">
        <v>1258.33</v>
      </c>
      <c r="J617" s="28">
        <v>1243.01</v>
      </c>
      <c r="K617" s="28">
        <v>1249.76</v>
      </c>
      <c r="L617" s="28">
        <v>1265.43</v>
      </c>
      <c r="M617" s="28">
        <v>1256.2</v>
      </c>
      <c r="N617" s="28">
        <v>1244.07</v>
      </c>
      <c r="O617" s="81"/>
      <c r="P617" s="81"/>
      <c r="Q617" s="82"/>
      <c r="R617" s="82"/>
      <c r="S617" s="178"/>
      <c r="T617" s="23"/>
      <c r="U617" s="179"/>
      <c r="V617" s="212"/>
      <c r="W617" s="31"/>
      <c r="X617" s="155">
        <v>2000</v>
      </c>
      <c r="Y617" s="155">
        <v>3000</v>
      </c>
      <c r="Z617" s="155">
        <v>1940</v>
      </c>
      <c r="AA617" s="155">
        <v>2180</v>
      </c>
      <c r="AC617" s="51">
        <v>5.2</v>
      </c>
    </row>
    <row r="618" spans="1:29" ht="16.649999999999999" thickBot="1" x14ac:dyDescent="0.4">
      <c r="A618"/>
      <c r="B618" s="83"/>
      <c r="C618" s="84"/>
      <c r="D618" s="84"/>
      <c r="E618" s="85" t="s">
        <v>190</v>
      </c>
      <c r="F618" s="73">
        <f t="shared" ref="F618:N618" si="202">IF(((F616="")*AND(F617="")),"",(F616-F617)*3)</f>
        <v>2078.37</v>
      </c>
      <c r="G618" s="73">
        <f t="shared" si="202"/>
        <v>2039.3999999999999</v>
      </c>
      <c r="H618" s="73">
        <f t="shared" si="202"/>
        <v>2050.7699999999995</v>
      </c>
      <c r="I618" s="73">
        <f t="shared" si="202"/>
        <v>2054.19</v>
      </c>
      <c r="J618" s="73">
        <f t="shared" si="202"/>
        <v>2089.0499999999997</v>
      </c>
      <c r="K618" s="73">
        <f t="shared" si="202"/>
        <v>2076.66</v>
      </c>
      <c r="L618" s="73">
        <f t="shared" si="202"/>
        <v>2027.19</v>
      </c>
      <c r="M618" s="73">
        <f t="shared" si="202"/>
        <v>2056.1099999999997</v>
      </c>
      <c r="N618" s="73">
        <f t="shared" si="202"/>
        <v>2100.66</v>
      </c>
      <c r="O618" s="85"/>
      <c r="P618" s="85"/>
      <c r="Q618" s="86"/>
      <c r="R618" s="86"/>
      <c r="S618" s="181"/>
      <c r="T618" s="182"/>
      <c r="U618" s="183"/>
      <c r="V618" s="212"/>
      <c r="W618" s="31"/>
      <c r="X618" s="155">
        <v>2000</v>
      </c>
      <c r="Y618" s="155">
        <v>3000</v>
      </c>
      <c r="Z618" s="155">
        <v>1940</v>
      </c>
      <c r="AA618" s="155">
        <v>2180</v>
      </c>
      <c r="AC618" s="51">
        <v>5.2</v>
      </c>
    </row>
    <row r="619" spans="1:29" x14ac:dyDescent="0.25">
      <c r="A619" s="249">
        <v>43373</v>
      </c>
      <c r="B619" s="261" t="s">
        <v>185</v>
      </c>
      <c r="C619" s="59" t="s">
        <v>173</v>
      </c>
      <c r="D619" s="59" t="s">
        <v>172</v>
      </c>
      <c r="E619" s="61" t="s">
        <v>186</v>
      </c>
      <c r="F619" s="146">
        <v>29024.61</v>
      </c>
      <c r="G619" s="146">
        <v>28925.61</v>
      </c>
      <c r="H619" s="146">
        <v>28923.37</v>
      </c>
      <c r="I619" s="146">
        <v>28920.82</v>
      </c>
      <c r="J619" s="146">
        <v>29016.75</v>
      </c>
      <c r="K619" s="146">
        <v>29022.91</v>
      </c>
      <c r="L619" s="146">
        <v>28920.71</v>
      </c>
      <c r="M619" s="146">
        <v>28918.58</v>
      </c>
      <c r="N619" s="146">
        <v>29009.11</v>
      </c>
      <c r="O619" s="61">
        <f>IF((N620=""),"",MAX(F621:N621))</f>
        <v>4173.2400000000052</v>
      </c>
      <c r="P619" s="61">
        <f>IF(N620="","",MIN(F621:N621))</f>
        <v>3818.25</v>
      </c>
      <c r="Q619" s="62">
        <f>IF((N621=""),"",AVERAGE(F621:N621))</f>
        <v>4002.006666666668</v>
      </c>
      <c r="R619" s="62">
        <f>IF((N620=""),"",(O619-P619)/(O619+P619)*100)</f>
        <v>4.4421002841773563</v>
      </c>
      <c r="S619" s="190">
        <f>STDEV(F621:N621)</f>
        <v>151.9368117014447</v>
      </c>
      <c r="T619" s="158" t="str">
        <f>IF(N620="","",IF(R619&lt;16,IF(Q619&gt;3200,IF(R619,IF(Q619&lt;5240,"Pass","Fail"),"Fail"),"Fail")))</f>
        <v>Pass</v>
      </c>
      <c r="U619" s="184">
        <v>74</v>
      </c>
      <c r="V619" s="166"/>
      <c r="W619" s="31"/>
      <c r="X619" s="155">
        <v>4200</v>
      </c>
      <c r="Y619" s="155">
        <v>5500</v>
      </c>
      <c r="Z619" s="155">
        <v>3200</v>
      </c>
      <c r="AA619" s="155">
        <v>5240</v>
      </c>
      <c r="AC619" s="51">
        <v>16</v>
      </c>
    </row>
    <row r="620" spans="1:29" ht="16.100000000000001" x14ac:dyDescent="0.35">
      <c r="A620"/>
      <c r="B620" s="44"/>
      <c r="C620" s="24"/>
      <c r="D620" s="24"/>
      <c r="E620" s="81" t="s">
        <v>187</v>
      </c>
      <c r="F620" s="28">
        <v>27638.12</v>
      </c>
      <c r="G620" s="28">
        <v>27626.74</v>
      </c>
      <c r="H620" s="28">
        <v>27650.62</v>
      </c>
      <c r="I620" s="28">
        <v>27632.92</v>
      </c>
      <c r="J620" s="28">
        <v>27632.49</v>
      </c>
      <c r="K620" s="28">
        <v>27638.35</v>
      </c>
      <c r="L620" s="28">
        <v>27618.57</v>
      </c>
      <c r="M620" s="28">
        <v>27620.61</v>
      </c>
      <c r="N620" s="28">
        <v>27618.03</v>
      </c>
      <c r="O620" s="81"/>
      <c r="P620" s="81"/>
      <c r="Q620" s="82"/>
      <c r="R620" s="82"/>
      <c r="S620" s="178"/>
      <c r="T620" s="23"/>
      <c r="U620" s="179"/>
      <c r="V620" s="212"/>
      <c r="W620" s="31"/>
      <c r="X620" s="157"/>
      <c r="Y620" s="157"/>
      <c r="Z620" s="157"/>
      <c r="AA620" s="157"/>
    </row>
    <row r="621" spans="1:29" ht="22.15" x14ac:dyDescent="0.35">
      <c r="A621"/>
      <c r="B621" s="44"/>
      <c r="C621" s="24"/>
      <c r="D621" s="24"/>
      <c r="E621" s="81" t="s">
        <v>188</v>
      </c>
      <c r="F621" s="60">
        <f t="shared" ref="F621:N621" si="203">IF(((F619="")*AND(F620="")),"",(F619-F620)*3)</f>
        <v>4159.4700000000048</v>
      </c>
      <c r="G621" s="60">
        <f t="shared" si="203"/>
        <v>3896.6099999999969</v>
      </c>
      <c r="H621" s="60">
        <f t="shared" si="203"/>
        <v>3818.25</v>
      </c>
      <c r="I621" s="60">
        <f t="shared" si="203"/>
        <v>3863.7000000000044</v>
      </c>
      <c r="J621" s="60">
        <f t="shared" si="203"/>
        <v>4152.7799999999952</v>
      </c>
      <c r="K621" s="60">
        <f t="shared" si="203"/>
        <v>4153.6800000000039</v>
      </c>
      <c r="L621" s="60">
        <f t="shared" si="203"/>
        <v>3906.4199999999983</v>
      </c>
      <c r="M621" s="60">
        <f t="shared" si="203"/>
        <v>3893.9100000000035</v>
      </c>
      <c r="N621" s="60">
        <f t="shared" si="203"/>
        <v>4173.2400000000052</v>
      </c>
      <c r="O621" s="81"/>
      <c r="P621" s="81"/>
      <c r="Q621" s="82"/>
      <c r="R621" s="82"/>
      <c r="S621" s="178"/>
      <c r="T621" s="23"/>
      <c r="U621" s="179"/>
      <c r="V621" s="212"/>
      <c r="W621" s="31"/>
      <c r="X621" s="157"/>
      <c r="Y621" s="157"/>
      <c r="Z621" s="157"/>
      <c r="AA621" s="157"/>
    </row>
    <row r="622" spans="1:29" x14ac:dyDescent="0.25">
      <c r="A622" s="252">
        <v>43373</v>
      </c>
      <c r="B622" s="257" t="s">
        <v>169</v>
      </c>
      <c r="C622" s="24" t="s">
        <v>171</v>
      </c>
      <c r="D622" s="24" t="s">
        <v>189</v>
      </c>
      <c r="E622" s="81" t="s">
        <v>186</v>
      </c>
      <c r="F622" s="28">
        <v>1777.19</v>
      </c>
      <c r="G622" s="28">
        <v>1837.55</v>
      </c>
      <c r="H622" s="28">
        <v>1832.47</v>
      </c>
      <c r="I622" s="28">
        <v>1834.16</v>
      </c>
      <c r="J622" s="28">
        <v>1825.81</v>
      </c>
      <c r="K622" s="28">
        <v>1789.3</v>
      </c>
      <c r="L622" s="28">
        <v>1840.66</v>
      </c>
      <c r="M622" s="28">
        <v>1862.26</v>
      </c>
      <c r="N622" s="28">
        <v>1814.08</v>
      </c>
      <c r="O622" s="81">
        <f>IF((N623=""),"",MAX(F624:N624))</f>
        <v>1951.2900000000002</v>
      </c>
      <c r="P622" s="81">
        <f>IF(N623="","",MIN(F624:N624))</f>
        <v>1629.3900000000003</v>
      </c>
      <c r="Q622" s="82">
        <f>IF((N624=""),"",AVERAGE(F624:N624))</f>
        <v>1804.1600000000003</v>
      </c>
      <c r="R622" s="82">
        <f>IF((N623=""),"",(O622-P622)/(O622+P622)*100)</f>
        <v>8.9899125305807797</v>
      </c>
      <c r="S622" s="178">
        <f>STDEV(F624:N624)</f>
        <v>108.48144150037842</v>
      </c>
      <c r="T622" s="23" t="str">
        <f>IF(N623="","",IF(Q622&gt;1940,IF(R622&lt;8.3,IF(Q622&lt;2180,"Pass","Fail"),"Fail"),"Fail"))</f>
        <v>Fail</v>
      </c>
      <c r="U622" s="185">
        <v>74</v>
      </c>
      <c r="V622" s="166"/>
      <c r="W622" s="31"/>
      <c r="X622" s="155">
        <v>2000</v>
      </c>
      <c r="Y622" s="155">
        <v>3000</v>
      </c>
      <c r="Z622" s="155">
        <v>1940</v>
      </c>
      <c r="AA622" s="155">
        <v>2180</v>
      </c>
      <c r="AC622" s="51">
        <v>5.2</v>
      </c>
    </row>
    <row r="623" spans="1:29" ht="16.100000000000001" x14ac:dyDescent="0.35">
      <c r="A623"/>
      <c r="B623" s="44"/>
      <c r="C623" s="24"/>
      <c r="D623" s="24"/>
      <c r="E623" s="81" t="s">
        <v>187</v>
      </c>
      <c r="F623" s="28">
        <v>1234.06</v>
      </c>
      <c r="G623" s="28">
        <v>1211.5999999999999</v>
      </c>
      <c r="H623" s="28">
        <v>1208.3599999999999</v>
      </c>
      <c r="I623" s="28">
        <v>1211.21</v>
      </c>
      <c r="J623" s="28">
        <v>1243.2</v>
      </c>
      <c r="K623" s="28">
        <v>1235.43</v>
      </c>
      <c r="L623" s="28">
        <v>1221.04</v>
      </c>
      <c r="M623" s="28">
        <v>1211.83</v>
      </c>
      <c r="N623" s="28">
        <v>1224.27</v>
      </c>
      <c r="O623" s="81"/>
      <c r="P623" s="81"/>
      <c r="Q623" s="82"/>
      <c r="R623" s="82"/>
      <c r="S623" s="178"/>
      <c r="T623" s="23"/>
      <c r="U623" s="179"/>
      <c r="V623" s="212"/>
      <c r="W623" s="31"/>
      <c r="X623" s="157"/>
      <c r="Y623" s="157"/>
      <c r="Z623" s="157"/>
      <c r="AA623" s="157"/>
    </row>
    <row r="624" spans="1:29" ht="16.100000000000001" x14ac:dyDescent="0.35">
      <c r="A624"/>
      <c r="B624" s="44"/>
      <c r="C624" s="24"/>
      <c r="D624" s="24"/>
      <c r="E624" s="81" t="s">
        <v>190</v>
      </c>
      <c r="F624" s="60">
        <f t="shared" ref="F624:N624" si="204">IF(((F622="")*AND(F623="")),"",(F622-F623)*3)</f>
        <v>1629.3900000000003</v>
      </c>
      <c r="G624" s="60">
        <f t="shared" si="204"/>
        <v>1877.8500000000001</v>
      </c>
      <c r="H624" s="60">
        <f t="shared" si="204"/>
        <v>1872.3300000000004</v>
      </c>
      <c r="I624" s="60">
        <f t="shared" si="204"/>
        <v>1868.8500000000001</v>
      </c>
      <c r="J624" s="60">
        <f t="shared" si="204"/>
        <v>1747.8299999999997</v>
      </c>
      <c r="K624" s="60">
        <f t="shared" si="204"/>
        <v>1661.6099999999997</v>
      </c>
      <c r="L624" s="60">
        <f t="shared" si="204"/>
        <v>1858.8600000000004</v>
      </c>
      <c r="M624" s="60">
        <f t="shared" si="204"/>
        <v>1951.2900000000002</v>
      </c>
      <c r="N624" s="60">
        <f t="shared" si="204"/>
        <v>1769.4299999999998</v>
      </c>
      <c r="O624" s="81"/>
      <c r="P624" s="81"/>
      <c r="Q624" s="82"/>
      <c r="R624" s="82"/>
      <c r="S624" s="178"/>
      <c r="T624" s="23"/>
      <c r="U624" s="179"/>
      <c r="V624" s="212"/>
      <c r="W624" s="31"/>
      <c r="X624" s="157"/>
      <c r="Y624" s="157"/>
      <c r="Z624" s="157"/>
      <c r="AA624" s="157"/>
    </row>
    <row r="625" spans="1:29" x14ac:dyDescent="0.25">
      <c r="A625" s="253">
        <v>43373</v>
      </c>
      <c r="B625" s="260" t="s">
        <v>174</v>
      </c>
      <c r="C625" s="24" t="s">
        <v>176</v>
      </c>
      <c r="D625" s="24" t="s">
        <v>175</v>
      </c>
      <c r="E625" s="81" t="s">
        <v>186</v>
      </c>
      <c r="F625" s="28">
        <v>5158.79</v>
      </c>
      <c r="G625" s="28">
        <v>5037.1400000000003</v>
      </c>
      <c r="H625" s="28">
        <v>5035.55</v>
      </c>
      <c r="I625" s="28">
        <v>5012.3999999999996</v>
      </c>
      <c r="J625" s="28">
        <v>5188.3999999999996</v>
      </c>
      <c r="K625" s="28">
        <v>5189.87</v>
      </c>
      <c r="L625" s="28">
        <v>5021.9799999999996</v>
      </c>
      <c r="M625" s="28">
        <v>5022.17</v>
      </c>
      <c r="N625" s="28">
        <v>5195.3100000000004</v>
      </c>
      <c r="O625" s="81">
        <f>IF((N626=""),"",MAX(F627:N627))</f>
        <v>4080.1400000000003</v>
      </c>
      <c r="P625" s="81">
        <f>IF(N626="","",MIN(F627:N627))</f>
        <v>3706.26</v>
      </c>
      <c r="Q625" s="82">
        <f>IF((N627=""),"",AVERAGE(F627:N627))</f>
        <v>3949.4666666666662</v>
      </c>
      <c r="R625" s="82">
        <f>IF((N626=""),"",(O625-P625)/(O625+P625)*100)</f>
        <v>4.8017055378608866</v>
      </c>
      <c r="S625" s="178">
        <f>STDEV(F627:N627)</f>
        <v>131.64858031896881</v>
      </c>
      <c r="T625" s="23" t="str">
        <f>IF(N626="","",IF(Q625&gt;3650,IF(R625&lt;7,IF(Q625&lt;4450,"Pass","Fail"),"Fail"),"Fail"))</f>
        <v>Pass</v>
      </c>
      <c r="U625" s="185">
        <v>74</v>
      </c>
      <c r="V625" s="166"/>
      <c r="W625" s="31"/>
      <c r="X625" s="155">
        <v>3650</v>
      </c>
      <c r="Y625" s="155">
        <v>4450</v>
      </c>
      <c r="Z625" s="155">
        <v>3700</v>
      </c>
      <c r="AA625" s="155">
        <v>4100</v>
      </c>
      <c r="AB625" s="51">
        <v>7</v>
      </c>
      <c r="AC625" s="51">
        <v>6.5</v>
      </c>
    </row>
    <row r="626" spans="1:29" ht="16.100000000000001" x14ac:dyDescent="0.35">
      <c r="A626"/>
      <c r="B626" s="44"/>
      <c r="C626" s="24"/>
      <c r="D626" s="24"/>
      <c r="E626" s="81" t="s">
        <v>187</v>
      </c>
      <c r="F626" s="28">
        <v>3237.5</v>
      </c>
      <c r="G626" s="28">
        <v>3017.36</v>
      </c>
      <c r="H626" s="28">
        <v>2995.48</v>
      </c>
      <c r="I626" s="28">
        <v>2996.44</v>
      </c>
      <c r="J626" s="28">
        <v>3271.47</v>
      </c>
      <c r="K626" s="28">
        <v>3336.74</v>
      </c>
      <c r="L626" s="28">
        <v>3012.48</v>
      </c>
      <c r="M626" s="28">
        <v>2983.02</v>
      </c>
      <c r="N626" s="28">
        <v>3238.52</v>
      </c>
      <c r="O626" s="81"/>
      <c r="P626" s="81"/>
      <c r="Q626" s="82"/>
      <c r="R626" s="82"/>
      <c r="S626" s="178"/>
      <c r="T626" s="28"/>
      <c r="U626" s="185"/>
      <c r="V626" s="166"/>
      <c r="W626" s="31"/>
      <c r="X626" s="157"/>
      <c r="Y626" s="157"/>
      <c r="Z626" s="157"/>
      <c r="AA626" s="157"/>
    </row>
    <row r="627" spans="1:29" ht="22.75" thickBot="1" x14ac:dyDescent="0.4">
      <c r="A627"/>
      <c r="B627" s="83"/>
      <c r="C627" s="84"/>
      <c r="D627" s="84"/>
      <c r="E627" s="85" t="s">
        <v>188</v>
      </c>
      <c r="F627" s="73">
        <f t="shared" ref="F627:N627" si="205">IF(((F625="")*AND(F626="")),"",(F625-F626)*2)</f>
        <v>3842.58</v>
      </c>
      <c r="G627" s="73">
        <f t="shared" si="205"/>
        <v>4039.5600000000004</v>
      </c>
      <c r="H627" s="73">
        <f t="shared" si="205"/>
        <v>4080.1400000000003</v>
      </c>
      <c r="I627" s="73">
        <f t="shared" si="205"/>
        <v>4031.9199999999992</v>
      </c>
      <c r="J627" s="73">
        <f t="shared" si="205"/>
        <v>3833.8599999999997</v>
      </c>
      <c r="K627" s="73">
        <f t="shared" si="205"/>
        <v>3706.26</v>
      </c>
      <c r="L627" s="73">
        <f t="shared" si="205"/>
        <v>4018.9999999999991</v>
      </c>
      <c r="M627" s="73">
        <f t="shared" si="205"/>
        <v>4078.3</v>
      </c>
      <c r="N627" s="73">
        <f t="shared" si="205"/>
        <v>3913.5800000000008</v>
      </c>
      <c r="O627" s="85"/>
      <c r="P627" s="85"/>
      <c r="Q627" s="86"/>
      <c r="R627" s="86"/>
      <c r="S627" s="181"/>
      <c r="T627" s="191"/>
      <c r="U627" s="192"/>
      <c r="V627" s="166"/>
      <c r="W627" s="31"/>
      <c r="X627" s="157"/>
      <c r="Y627" s="157"/>
      <c r="Z627" s="157"/>
      <c r="AA627" s="157"/>
    </row>
    <row r="628" spans="1:29" x14ac:dyDescent="0.25">
      <c r="A628" s="251">
        <v>43377</v>
      </c>
      <c r="B628" s="259" t="s">
        <v>185</v>
      </c>
      <c r="C628" s="64" t="s">
        <v>173</v>
      </c>
      <c r="D628" s="64" t="s">
        <v>172</v>
      </c>
      <c r="E628" s="79" t="s">
        <v>186</v>
      </c>
      <c r="F628" s="31">
        <v>27638.12</v>
      </c>
      <c r="G628" s="31">
        <v>27626.74</v>
      </c>
      <c r="H628" s="31">
        <v>27650.62</v>
      </c>
      <c r="I628" s="31">
        <v>27632.92</v>
      </c>
      <c r="J628" s="31">
        <v>27632.49</v>
      </c>
      <c r="K628" s="31">
        <v>27638.35</v>
      </c>
      <c r="L628" s="31">
        <v>27618.57</v>
      </c>
      <c r="M628" s="31">
        <v>27620.61</v>
      </c>
      <c r="N628" s="31">
        <v>27618.03</v>
      </c>
      <c r="O628" s="79">
        <f>IF((N629=""),"",MAX(F630:N630))</f>
        <v>4733.8799999999974</v>
      </c>
      <c r="P628" s="79">
        <f>IF(N629="","",MIN(F630:N630))</f>
        <v>4252.8300000000017</v>
      </c>
      <c r="Q628" s="80">
        <f>IF((N630=""),"",AVERAGE(F630:N630))</f>
        <v>4433.0766666666659</v>
      </c>
      <c r="R628" s="80">
        <f>IF((N629=""),"",(O628-P628)/(O628+P628)*100)</f>
        <v>5.3529044555793579</v>
      </c>
      <c r="S628" s="189">
        <f>STDEV(F630:N630)</f>
        <v>183.23185872003694</v>
      </c>
      <c r="T628" s="176" t="str">
        <f>IF(N629="","",IF(R628&lt;16,IF(Q628&gt;3200,IF(R628,IF(Q628&lt;5240,"Pass","Fail"),"Fail"),"Fail")))</f>
        <v>Pass</v>
      </c>
      <c r="U628" s="188">
        <v>1340</v>
      </c>
      <c r="V628" s="217" t="s">
        <v>206</v>
      </c>
      <c r="X628" s="155">
        <v>4200</v>
      </c>
      <c r="Y628" s="155">
        <v>5500</v>
      </c>
      <c r="Z628" s="155">
        <v>3200</v>
      </c>
      <c r="AA628" s="155">
        <v>5240</v>
      </c>
      <c r="AC628" s="51">
        <v>16</v>
      </c>
    </row>
    <row r="629" spans="1:29" ht="16.100000000000001" x14ac:dyDescent="0.35">
      <c r="A629"/>
      <c r="B629" s="44"/>
      <c r="C629" s="24"/>
      <c r="D629" s="24"/>
      <c r="E629" s="81" t="s">
        <v>187</v>
      </c>
      <c r="F629" s="31">
        <v>26081.82</v>
      </c>
      <c r="G629" s="31">
        <v>26186.34</v>
      </c>
      <c r="H629" s="31">
        <v>26233.01</v>
      </c>
      <c r="I629" s="31">
        <v>26206.79</v>
      </c>
      <c r="J629" s="31">
        <v>26118.48</v>
      </c>
      <c r="K629" s="31">
        <v>26139.06</v>
      </c>
      <c r="L629" s="31">
        <v>26197.19</v>
      </c>
      <c r="M629" s="31">
        <v>26174.46</v>
      </c>
      <c r="N629" s="31">
        <v>26040.07</v>
      </c>
      <c r="O629" s="81"/>
      <c r="P629" s="81"/>
      <c r="Q629" s="82"/>
      <c r="R629" s="82"/>
      <c r="S629" s="178"/>
      <c r="T629" s="23"/>
      <c r="U629" s="179"/>
      <c r="V629" s="212"/>
      <c r="W629" s="217"/>
      <c r="X629" s="157"/>
      <c r="Y629" s="157"/>
      <c r="Z629" s="157"/>
      <c r="AA629" s="157"/>
    </row>
    <row r="630" spans="1:29" ht="22.15" x14ac:dyDescent="0.35">
      <c r="A630"/>
      <c r="B630" s="44"/>
      <c r="C630" s="24"/>
      <c r="D630" s="24"/>
      <c r="E630" s="81" t="s">
        <v>188</v>
      </c>
      <c r="F630" s="60">
        <f t="shared" ref="F630:N630" si="206">IF(((F628="")*AND(F629="")),"",(F628-F629)*3)</f>
        <v>4668.8999999999978</v>
      </c>
      <c r="G630" s="60">
        <f t="shared" si="206"/>
        <v>4321.2000000000044</v>
      </c>
      <c r="H630" s="60">
        <f t="shared" si="206"/>
        <v>4252.8300000000017</v>
      </c>
      <c r="I630" s="60">
        <f t="shared" si="206"/>
        <v>4278.3899999999921</v>
      </c>
      <c r="J630" s="60">
        <f t="shared" si="206"/>
        <v>4542.0300000000061</v>
      </c>
      <c r="K630" s="60">
        <f t="shared" si="206"/>
        <v>4497.8699999999917</v>
      </c>
      <c r="L630" s="60">
        <f t="shared" si="206"/>
        <v>4264.1400000000031</v>
      </c>
      <c r="M630" s="60">
        <f t="shared" si="206"/>
        <v>4338.4500000000044</v>
      </c>
      <c r="N630" s="60">
        <f t="shared" si="206"/>
        <v>4733.8799999999974</v>
      </c>
      <c r="O630" s="81"/>
      <c r="P630" s="81"/>
      <c r="Q630" s="82"/>
      <c r="R630" s="82"/>
      <c r="S630" s="178"/>
      <c r="T630" s="23"/>
      <c r="U630" s="179"/>
      <c r="V630" s="212"/>
      <c r="W630" s="217"/>
      <c r="X630" s="157"/>
      <c r="Y630" s="157"/>
      <c r="Z630" s="157"/>
      <c r="AA630" s="157"/>
    </row>
    <row r="631" spans="1:29" x14ac:dyDescent="0.25">
      <c r="A631" s="249">
        <v>43377</v>
      </c>
      <c r="B631" s="257" t="s">
        <v>169</v>
      </c>
      <c r="C631" s="24" t="s">
        <v>171</v>
      </c>
      <c r="D631" s="24" t="s">
        <v>189</v>
      </c>
      <c r="E631" s="81" t="s">
        <v>186</v>
      </c>
      <c r="F631" s="31">
        <v>1963.19</v>
      </c>
      <c r="G631" s="31">
        <v>1957.1</v>
      </c>
      <c r="H631" s="31">
        <v>1951.78</v>
      </c>
      <c r="I631" s="31">
        <v>1956.32</v>
      </c>
      <c r="J631" s="31">
        <v>1961.91</v>
      </c>
      <c r="K631" s="31">
        <v>1958.88</v>
      </c>
      <c r="L631" s="31">
        <v>1958.84</v>
      </c>
      <c r="M631" s="31">
        <v>1956.06</v>
      </c>
      <c r="N631" s="31">
        <v>1962.45</v>
      </c>
      <c r="O631" s="81">
        <f>IF((N632=""),"",MAX(F633:N633))</f>
        <v>2104.7999999999997</v>
      </c>
      <c r="P631" s="81">
        <f>IF(N632="","",MIN(F633:N633))</f>
        <v>2008.9500000000003</v>
      </c>
      <c r="Q631" s="82">
        <f>IF((N633=""),"",AVERAGE(F633:N633))</f>
        <v>2069.8399999999997</v>
      </c>
      <c r="R631" s="82">
        <f>IF((N632=""),"",(O631-P631)/(O631+P631)*100)</f>
        <v>2.3299908842297041</v>
      </c>
      <c r="S631" s="178">
        <f>STDEV(F633:N633)</f>
        <v>39.597840850227861</v>
      </c>
      <c r="T631" s="23" t="str">
        <f>IF(N632="","",IF(Q631&gt;1940,IF(R631&lt;8.3,IF(Q631&lt;2180,"Pass","Fail"),"Fail"),"Fail"))</f>
        <v>Pass</v>
      </c>
      <c r="U631" s="185">
        <v>1340</v>
      </c>
      <c r="V631" s="217" t="s">
        <v>206</v>
      </c>
      <c r="W631" s="217"/>
      <c r="X631" s="155">
        <v>2000</v>
      </c>
      <c r="Y631" s="155">
        <v>3000</v>
      </c>
      <c r="Z631" s="155">
        <v>1940</v>
      </c>
      <c r="AA631" s="155">
        <v>2180</v>
      </c>
      <c r="AC631" s="51">
        <v>5.2</v>
      </c>
    </row>
    <row r="632" spans="1:29" ht="16.100000000000001" x14ac:dyDescent="0.35">
      <c r="A632"/>
      <c r="B632" s="44"/>
      <c r="C632" s="24"/>
      <c r="D632" s="24"/>
      <c r="E632" s="81" t="s">
        <v>187</v>
      </c>
      <c r="F632" s="31">
        <v>1281.56</v>
      </c>
      <c r="G632" s="31">
        <v>1256.5</v>
      </c>
      <c r="H632" s="31">
        <v>1250.18</v>
      </c>
      <c r="I632" s="31">
        <v>1258.44</v>
      </c>
      <c r="J632" s="31">
        <v>1290.5999999999999</v>
      </c>
      <c r="K632" s="31">
        <v>1289.23</v>
      </c>
      <c r="L632" s="31">
        <v>1258.94</v>
      </c>
      <c r="M632" s="31">
        <v>1254.55</v>
      </c>
      <c r="N632" s="31">
        <v>1277.01</v>
      </c>
      <c r="O632" s="81"/>
      <c r="P632" s="81"/>
      <c r="Q632" s="82"/>
      <c r="R632" s="82"/>
      <c r="S632" s="178"/>
      <c r="T632" s="23"/>
      <c r="U632" s="179"/>
      <c r="V632" s="212"/>
      <c r="W632" s="217"/>
      <c r="X632" s="157"/>
      <c r="Y632" s="157"/>
      <c r="Z632" s="157"/>
      <c r="AA632" s="157"/>
    </row>
    <row r="633" spans="1:29" ht="16.100000000000001" x14ac:dyDescent="0.35">
      <c r="A633"/>
      <c r="B633" s="44"/>
      <c r="C633" s="24"/>
      <c r="D633" s="24"/>
      <c r="E633" s="81" t="s">
        <v>190</v>
      </c>
      <c r="F633" s="60">
        <f t="shared" ref="F633:N633" si="207">IF(((F631="")*AND(F632="")),"",(F631-F632)*3)</f>
        <v>2044.8900000000003</v>
      </c>
      <c r="G633" s="60">
        <f t="shared" si="207"/>
        <v>2101.7999999999997</v>
      </c>
      <c r="H633" s="60">
        <f t="shared" si="207"/>
        <v>2104.7999999999997</v>
      </c>
      <c r="I633" s="60">
        <f t="shared" si="207"/>
        <v>2093.6399999999994</v>
      </c>
      <c r="J633" s="60">
        <f t="shared" si="207"/>
        <v>2013.9300000000005</v>
      </c>
      <c r="K633" s="60">
        <f t="shared" si="207"/>
        <v>2008.9500000000003</v>
      </c>
      <c r="L633" s="60">
        <f t="shared" si="207"/>
        <v>2099.6999999999998</v>
      </c>
      <c r="M633" s="60">
        <f t="shared" si="207"/>
        <v>2104.5299999999997</v>
      </c>
      <c r="N633" s="60">
        <f t="shared" si="207"/>
        <v>2056.3200000000002</v>
      </c>
      <c r="O633" s="81"/>
      <c r="P633" s="81"/>
      <c r="Q633" s="82"/>
      <c r="R633" s="82"/>
      <c r="S633" s="178"/>
      <c r="T633" s="23"/>
      <c r="U633" s="179"/>
      <c r="V633" s="212"/>
      <c r="W633" s="217"/>
      <c r="X633" s="157"/>
      <c r="Y633" s="157"/>
      <c r="Z633" s="157"/>
      <c r="AA633" s="157"/>
    </row>
    <row r="634" spans="1:29" x14ac:dyDescent="0.25">
      <c r="A634" s="249">
        <v>43377</v>
      </c>
      <c r="B634" s="260" t="s">
        <v>174</v>
      </c>
      <c r="C634" s="24" t="s">
        <v>176</v>
      </c>
      <c r="D634" s="24" t="s">
        <v>175</v>
      </c>
      <c r="E634" s="81" t="s">
        <v>186</v>
      </c>
      <c r="F634" s="31">
        <v>3237.5</v>
      </c>
      <c r="G634" s="31">
        <v>3017.36</v>
      </c>
      <c r="H634" s="31">
        <v>2995.48</v>
      </c>
      <c r="I634" s="31">
        <v>2996.44</v>
      </c>
      <c r="J634" s="31">
        <v>3271.47</v>
      </c>
      <c r="K634" s="31">
        <v>3336.74</v>
      </c>
      <c r="L634" s="31">
        <v>3012.48</v>
      </c>
      <c r="M634" s="31">
        <v>2983.02</v>
      </c>
      <c r="N634" s="31">
        <v>3238.52</v>
      </c>
      <c r="O634" s="81">
        <f>IF((N635=""),"",MAX(F636:N636))</f>
        <v>4078.14</v>
      </c>
      <c r="P634" s="81">
        <f>IF(N635="","",MIN(F636:N636))</f>
        <v>3706.5799999999995</v>
      </c>
      <c r="Q634" s="82">
        <f>IF((N636=""),"",AVERAGE(F636:N636))</f>
        <v>3949.3888888888887</v>
      </c>
      <c r="R634" s="82">
        <f>IF((N635=""),"",(O634-P634)/(O634+P634)*100)</f>
        <v>4.7729398102950453</v>
      </c>
      <c r="S634" s="178">
        <f>STDEV(F636:N636)</f>
        <v>121.26813642136651</v>
      </c>
      <c r="T634" s="23" t="str">
        <f>IF(N635="","",IF(Q634&gt;3650,IF(R634&lt;7,IF(Q634&lt;4450,"Pass","Fail"),"Fail"),"Fail"))</f>
        <v>Pass</v>
      </c>
      <c r="U634" s="185">
        <v>1340</v>
      </c>
      <c r="V634" s="265" t="s">
        <v>206</v>
      </c>
      <c r="W634" s="217"/>
      <c r="X634" s="155">
        <v>3650</v>
      </c>
      <c r="Y634" s="155">
        <v>4450</v>
      </c>
      <c r="Z634" s="155">
        <v>3700</v>
      </c>
      <c r="AA634" s="155">
        <v>4100</v>
      </c>
      <c r="AB634" s="51">
        <v>7</v>
      </c>
      <c r="AC634" s="51">
        <v>6.5</v>
      </c>
    </row>
    <row r="635" spans="1:29" ht="16.100000000000001" x14ac:dyDescent="0.35">
      <c r="A635"/>
      <c r="B635" s="44"/>
      <c r="C635" s="24"/>
      <c r="D635" s="24"/>
      <c r="E635" s="81" t="s">
        <v>187</v>
      </c>
      <c r="F635" s="31">
        <v>1307.43</v>
      </c>
      <c r="G635" s="31">
        <v>1007.95</v>
      </c>
      <c r="H635" s="31">
        <v>963.5</v>
      </c>
      <c r="I635" s="31">
        <v>988.6</v>
      </c>
      <c r="J635" s="31">
        <v>1346.11</v>
      </c>
      <c r="K635" s="31">
        <v>1483.45</v>
      </c>
      <c r="L635" s="31">
        <v>1015.27</v>
      </c>
      <c r="M635" s="31">
        <v>943.95</v>
      </c>
      <c r="N635" s="31">
        <v>1260.5</v>
      </c>
      <c r="O635" s="81"/>
      <c r="P635" s="81"/>
      <c r="Q635" s="82"/>
      <c r="R635" s="82"/>
      <c r="S635" s="178"/>
      <c r="T635" s="28"/>
      <c r="U635" s="185"/>
      <c r="V635" s="212"/>
      <c r="W635" s="217"/>
      <c r="X635" s="157"/>
      <c r="Y635" s="157"/>
      <c r="Z635" s="157"/>
      <c r="AA635" s="157"/>
    </row>
    <row r="636" spans="1:29" ht="22.75" thickBot="1" x14ac:dyDescent="0.4">
      <c r="A636"/>
      <c r="B636" s="83"/>
      <c r="C636" s="84"/>
      <c r="D636" s="84"/>
      <c r="E636" s="85" t="s">
        <v>188</v>
      </c>
      <c r="F636" s="73">
        <f t="shared" ref="F636:N636" si="208">IF(((F634="")*AND(F635="")),"",(F634-F635)*2)</f>
        <v>3860.14</v>
      </c>
      <c r="G636" s="73">
        <f t="shared" si="208"/>
        <v>4018.82</v>
      </c>
      <c r="H636" s="73">
        <f t="shared" si="208"/>
        <v>4063.96</v>
      </c>
      <c r="I636" s="73">
        <f t="shared" si="208"/>
        <v>4015.6800000000003</v>
      </c>
      <c r="J636" s="73">
        <f t="shared" si="208"/>
        <v>3850.72</v>
      </c>
      <c r="K636" s="73">
        <f t="shared" si="208"/>
        <v>3706.5799999999995</v>
      </c>
      <c r="L636" s="73">
        <f t="shared" si="208"/>
        <v>3994.42</v>
      </c>
      <c r="M636" s="73">
        <f t="shared" si="208"/>
        <v>4078.14</v>
      </c>
      <c r="N636" s="73">
        <f t="shared" si="208"/>
        <v>3956.04</v>
      </c>
      <c r="O636" s="85"/>
      <c r="P636" s="85"/>
      <c r="Q636" s="86"/>
      <c r="R636" s="86"/>
      <c r="S636" s="181"/>
      <c r="T636" s="191"/>
      <c r="U636" s="192"/>
      <c r="V636" s="212"/>
      <c r="W636" s="217"/>
      <c r="X636" s="157"/>
      <c r="Y636" s="157"/>
      <c r="Z636" s="157"/>
      <c r="AA636" s="157"/>
    </row>
    <row r="637" spans="1:29" x14ac:dyDescent="0.25">
      <c r="A637" s="251">
        <v>43380</v>
      </c>
      <c r="B637" s="259" t="s">
        <v>185</v>
      </c>
      <c r="C637" s="64" t="s">
        <v>173</v>
      </c>
      <c r="D637" s="64" t="s">
        <v>172</v>
      </c>
      <c r="E637" s="79" t="s">
        <v>186</v>
      </c>
      <c r="F637" s="31">
        <v>26046.23</v>
      </c>
      <c r="G637" s="31">
        <v>26156.32</v>
      </c>
      <c r="H637" s="31">
        <v>26200.46</v>
      </c>
      <c r="I637" s="31">
        <v>26173.11</v>
      </c>
      <c r="J637" s="31">
        <v>26076.97</v>
      </c>
      <c r="K637" s="31">
        <v>26102.42</v>
      </c>
      <c r="L637" s="31">
        <v>26170.45</v>
      </c>
      <c r="M637" s="31">
        <v>26137.78</v>
      </c>
      <c r="N637" s="31">
        <v>26000.22</v>
      </c>
      <c r="O637" s="79">
        <f>IF((N638=""),"",MAX(F639:N639))</f>
        <v>4501.2600000000057</v>
      </c>
      <c r="P637" s="79">
        <f>IF(N638="","",MIN(F639:N639))</f>
        <v>4115.1000000000022</v>
      </c>
      <c r="Q637" s="80">
        <f>IF((N639=""),"",AVERAGE(F639:N639))</f>
        <v>4293.0200000000004</v>
      </c>
      <c r="R637" s="80">
        <f>IF((N638=""),"",(O637-P637)/(O637+P637)*100)</f>
        <v>4.4817068924697105</v>
      </c>
      <c r="S637" s="189">
        <f>STDEV(F639:N639)</f>
        <v>163.68799742192471</v>
      </c>
      <c r="T637" s="176" t="str">
        <f>IF(N638="","",IF(R637&lt;16,IF(Q637&gt;3200,IF(R637,IF(Q637&lt;5240,"Pass","Fail"),"Fail"),"Fail")))</f>
        <v>Pass</v>
      </c>
      <c r="U637" s="188">
        <v>1428</v>
      </c>
      <c r="V637" s="217" t="s">
        <v>207</v>
      </c>
      <c r="X637" s="155">
        <v>4200</v>
      </c>
      <c r="Y637" s="155">
        <v>5500</v>
      </c>
      <c r="Z637" s="155">
        <v>3200</v>
      </c>
      <c r="AA637" s="155">
        <v>5240</v>
      </c>
      <c r="AC637" s="51">
        <v>16</v>
      </c>
    </row>
    <row r="638" spans="1:29" ht="16.100000000000001" x14ac:dyDescent="0.35">
      <c r="A638"/>
      <c r="B638" s="44"/>
      <c r="C638" s="24"/>
      <c r="D638" s="24"/>
      <c r="E638" s="81" t="s">
        <v>187</v>
      </c>
      <c r="F638" s="31">
        <v>24569.82</v>
      </c>
      <c r="G638" s="31">
        <v>24767.53</v>
      </c>
      <c r="H638" s="31">
        <v>24828.76</v>
      </c>
      <c r="I638" s="31">
        <v>24781.55</v>
      </c>
      <c r="J638" s="31">
        <v>24576.55</v>
      </c>
      <c r="K638" s="31">
        <v>24621.13</v>
      </c>
      <c r="L638" s="31">
        <v>24780.29</v>
      </c>
      <c r="M638" s="31">
        <v>24752.01</v>
      </c>
      <c r="N638" s="31">
        <v>24507.26</v>
      </c>
      <c r="O638" s="81"/>
      <c r="P638" s="81"/>
      <c r="Q638" s="82"/>
      <c r="R638" s="82"/>
      <c r="S638" s="178"/>
      <c r="T638" s="23"/>
      <c r="U638" s="179"/>
      <c r="V638" s="217"/>
      <c r="X638" s="157"/>
      <c r="Y638" s="157"/>
      <c r="Z638" s="157"/>
      <c r="AA638" s="157"/>
    </row>
    <row r="639" spans="1:29" ht="22.15" x14ac:dyDescent="0.35">
      <c r="A639"/>
      <c r="B639" s="44"/>
      <c r="C639" s="24"/>
      <c r="D639" s="24"/>
      <c r="E639" s="81" t="s">
        <v>188</v>
      </c>
      <c r="F639" s="60">
        <f t="shared" ref="F639:N639" si="209">IF(((F637="")*AND(F638="")),"",(F637-F638)*3)</f>
        <v>4429.2299999999996</v>
      </c>
      <c r="G639" s="60">
        <f t="shared" si="209"/>
        <v>4166.3700000000026</v>
      </c>
      <c r="H639" s="60">
        <f t="shared" si="209"/>
        <v>4115.1000000000022</v>
      </c>
      <c r="I639" s="60">
        <f t="shared" si="209"/>
        <v>4174.6800000000039</v>
      </c>
      <c r="J639" s="60">
        <f t="shared" si="209"/>
        <v>4501.2600000000057</v>
      </c>
      <c r="K639" s="60">
        <f t="shared" si="209"/>
        <v>4443.8699999999917</v>
      </c>
      <c r="L639" s="60">
        <f t="shared" si="209"/>
        <v>4170.4799999999996</v>
      </c>
      <c r="M639" s="60">
        <f t="shared" si="209"/>
        <v>4157.3100000000013</v>
      </c>
      <c r="N639" s="60">
        <f t="shared" si="209"/>
        <v>4478.8800000000083</v>
      </c>
      <c r="O639" s="81"/>
      <c r="P639" s="81"/>
      <c r="Q639" s="82"/>
      <c r="R639" s="82"/>
      <c r="S639" s="178"/>
      <c r="T639" s="23"/>
      <c r="U639" s="179"/>
      <c r="V639" s="217"/>
      <c r="X639" s="157"/>
      <c r="Y639" s="157"/>
      <c r="Z639" s="157"/>
      <c r="AA639" s="157"/>
    </row>
    <row r="640" spans="1:29" x14ac:dyDescent="0.25">
      <c r="A640" s="249">
        <v>43380</v>
      </c>
      <c r="B640" s="257" t="s">
        <v>169</v>
      </c>
      <c r="C640" s="24" t="s">
        <v>171</v>
      </c>
      <c r="D640" s="24" t="s">
        <v>189</v>
      </c>
      <c r="E640" s="81" t="s">
        <v>186</v>
      </c>
      <c r="F640" s="31">
        <v>1287.69</v>
      </c>
      <c r="G640" s="31">
        <v>1260.6199999999999</v>
      </c>
      <c r="H640" s="31">
        <v>1253.54</v>
      </c>
      <c r="I640" s="31">
        <v>1262.1300000000001</v>
      </c>
      <c r="J640" s="31">
        <v>1289.27</v>
      </c>
      <c r="K640" s="31">
        <v>1286.49</v>
      </c>
      <c r="L640" s="31">
        <v>1263.72</v>
      </c>
      <c r="M640" s="31">
        <v>1257.24</v>
      </c>
      <c r="N640" s="31">
        <v>1285.69</v>
      </c>
      <c r="O640" s="81">
        <f>IF((N641=""),"",MAX(F642:N642))</f>
        <v>2087.64</v>
      </c>
      <c r="P640" s="81">
        <f>IF(N641="","",MIN(F642:N642))</f>
        <v>1988.22</v>
      </c>
      <c r="Q640" s="82">
        <f>IF((N642=""),"",AVERAGE(F642:N642))</f>
        <v>2043.8633333333335</v>
      </c>
      <c r="R640" s="82">
        <f>IF((N641=""),"",(O640-P640)/(O640+P640)*100)</f>
        <v>2.4392398168729996</v>
      </c>
      <c r="S640" s="178">
        <f>STDEV(F642:N642)</f>
        <v>44.297338520502521</v>
      </c>
      <c r="T640" s="23" t="str">
        <f>IF(N641="","",IF(Q640&gt;1940,IF(R640&lt;8.3,IF(Q640&lt;2180,"Pass","Fail"),"Fail"),"Fail"))</f>
        <v>Pass</v>
      </c>
      <c r="U640" s="185">
        <v>1428</v>
      </c>
      <c r="V640" s="217" t="s">
        <v>207</v>
      </c>
      <c r="X640" s="155">
        <v>2000</v>
      </c>
      <c r="Y640" s="155">
        <v>3000</v>
      </c>
      <c r="Z640" s="155">
        <v>1940</v>
      </c>
      <c r="AA640" s="155">
        <v>2180</v>
      </c>
      <c r="AC640" s="51">
        <v>5.2</v>
      </c>
    </row>
    <row r="641" spans="1:29" ht="16.100000000000001" x14ac:dyDescent="0.35">
      <c r="A641"/>
      <c r="B641" s="44"/>
      <c r="C641" s="24"/>
      <c r="D641" s="24"/>
      <c r="E641" s="81" t="s">
        <v>187</v>
      </c>
      <c r="F641" s="31">
        <v>617.19000000000005</v>
      </c>
      <c r="G641" s="31">
        <v>568.75</v>
      </c>
      <c r="H641" s="31">
        <v>557.83000000000004</v>
      </c>
      <c r="I641" s="31">
        <v>568.17999999999995</v>
      </c>
      <c r="J641" s="31">
        <v>625.46</v>
      </c>
      <c r="K641" s="31">
        <v>619.54999999999995</v>
      </c>
      <c r="L641" s="31">
        <v>573.53</v>
      </c>
      <c r="M641" s="31">
        <v>561.36</v>
      </c>
      <c r="N641" s="31">
        <v>622.95000000000005</v>
      </c>
      <c r="O641" s="81"/>
      <c r="P641" s="81"/>
      <c r="Q641" s="82"/>
      <c r="R641" s="82"/>
      <c r="S641" s="178"/>
      <c r="T641" s="23"/>
      <c r="U641" s="179"/>
      <c r="V641" s="217"/>
      <c r="X641" s="157"/>
      <c r="Y641" s="157"/>
      <c r="Z641" s="157"/>
      <c r="AA641" s="157"/>
    </row>
    <row r="642" spans="1:29" ht="21.6" customHeight="1" x14ac:dyDescent="0.35">
      <c r="A642"/>
      <c r="B642" s="44"/>
      <c r="C642" s="24"/>
      <c r="D642" s="24"/>
      <c r="E642" s="81" t="s">
        <v>190</v>
      </c>
      <c r="F642" s="60">
        <f t="shared" ref="F642:N642" si="210">IF(((F640="")*AND(F641="")),"",(F640-F641)*3)</f>
        <v>2011.5</v>
      </c>
      <c r="G642" s="60">
        <f t="shared" si="210"/>
        <v>2075.6099999999997</v>
      </c>
      <c r="H642" s="60">
        <f t="shared" si="210"/>
        <v>2087.1299999999997</v>
      </c>
      <c r="I642" s="60">
        <f t="shared" si="210"/>
        <v>2081.8500000000004</v>
      </c>
      <c r="J642" s="60">
        <f t="shared" si="210"/>
        <v>1991.4299999999998</v>
      </c>
      <c r="K642" s="60">
        <f t="shared" si="210"/>
        <v>2000.8200000000002</v>
      </c>
      <c r="L642" s="60">
        <f t="shared" si="210"/>
        <v>2070.5700000000002</v>
      </c>
      <c r="M642" s="60">
        <f t="shared" si="210"/>
        <v>2087.64</v>
      </c>
      <c r="N642" s="60">
        <f t="shared" si="210"/>
        <v>1988.22</v>
      </c>
      <c r="O642" s="81"/>
      <c r="P642" s="81"/>
      <c r="Q642" s="82"/>
      <c r="R642" s="82"/>
      <c r="S642" s="178"/>
      <c r="T642" s="23"/>
      <c r="U642" s="179"/>
      <c r="V642" s="217"/>
      <c r="X642" s="157"/>
      <c r="Y642" s="157"/>
      <c r="Z642" s="157"/>
      <c r="AA642" s="157"/>
    </row>
    <row r="643" spans="1:29" x14ac:dyDescent="0.25">
      <c r="A643" s="249">
        <v>43380</v>
      </c>
      <c r="B643" s="260" t="s">
        <v>174</v>
      </c>
      <c r="C643" s="24" t="s">
        <v>176</v>
      </c>
      <c r="D643" s="24" t="s">
        <v>175</v>
      </c>
      <c r="E643" s="81" t="s">
        <v>186</v>
      </c>
      <c r="F643" s="31">
        <v>6873.84</v>
      </c>
      <c r="G643" s="31">
        <v>6889.92</v>
      </c>
      <c r="H643" s="31">
        <v>6940.99</v>
      </c>
      <c r="I643" s="31">
        <v>6887.25</v>
      </c>
      <c r="J643" s="31">
        <v>6882.15</v>
      </c>
      <c r="K643" s="31">
        <v>6889.51</v>
      </c>
      <c r="L643" s="31">
        <v>6918.4</v>
      </c>
      <c r="M643" s="31">
        <v>6931.13</v>
      </c>
      <c r="N643" s="31">
        <v>6987.69</v>
      </c>
      <c r="O643" s="81">
        <f>IF((N644=""),"",MAX(F645:N645))</f>
        <v>4053.4799999999996</v>
      </c>
      <c r="P643" s="81">
        <f>IF(N644="","",MIN(F645:N645))</f>
        <v>3687.6400000000012</v>
      </c>
      <c r="Q643" s="82">
        <f>IF((N645=""),"",AVERAGE(F645:N645))</f>
        <v>3926.1711111111113</v>
      </c>
      <c r="R643" s="82">
        <f>IF((N644=""),"",(O643-P643)/(O643+P643)*100)</f>
        <v>4.7259311314124872</v>
      </c>
      <c r="S643" s="178">
        <f>STDEV(F645:N645)</f>
        <v>127.51750394009058</v>
      </c>
      <c r="T643" s="23" t="str">
        <f>IF(N644="","",IF(Q643&gt;3650,IF(R643&lt;7,IF(Q643&lt;4450,"Pass","Fail"),"Fail"),"Fail"))</f>
        <v>Pass</v>
      </c>
      <c r="U643" s="185">
        <v>1428</v>
      </c>
      <c r="V643" s="265" t="s">
        <v>207</v>
      </c>
      <c r="X643" s="155">
        <v>3650</v>
      </c>
      <c r="Y643" s="155">
        <v>4450</v>
      </c>
      <c r="Z643" s="155">
        <v>3700</v>
      </c>
      <c r="AA643" s="155">
        <v>4100</v>
      </c>
      <c r="AB643" s="51">
        <v>7</v>
      </c>
      <c r="AC643" s="51">
        <v>6.5</v>
      </c>
    </row>
    <row r="644" spans="1:29" ht="16.100000000000001" x14ac:dyDescent="0.35">
      <c r="A644"/>
      <c r="B644" s="44"/>
      <c r="C644" s="24"/>
      <c r="D644" s="24"/>
      <c r="E644" s="81" t="s">
        <v>187</v>
      </c>
      <c r="F644" s="31">
        <v>4962.6400000000003</v>
      </c>
      <c r="G644" s="31">
        <v>4882.96</v>
      </c>
      <c r="H644" s="31">
        <v>4915.5600000000004</v>
      </c>
      <c r="I644" s="31">
        <v>4889.4399999999996</v>
      </c>
      <c r="J644" s="31">
        <v>4977.67</v>
      </c>
      <c r="K644" s="31">
        <v>5045.6899999999996</v>
      </c>
      <c r="L644" s="31">
        <v>4922.93</v>
      </c>
      <c r="M644" s="31">
        <v>4904.3900000000003</v>
      </c>
      <c r="N644" s="31">
        <v>5031.83</v>
      </c>
      <c r="O644" s="81"/>
      <c r="P644" s="81"/>
      <c r="Q644" s="82"/>
      <c r="R644" s="82"/>
      <c r="S644" s="178"/>
      <c r="T644" s="28"/>
      <c r="U644" s="185"/>
      <c r="V644" s="217"/>
      <c r="X644" s="157"/>
      <c r="Y644" s="157"/>
      <c r="Z644" s="157"/>
      <c r="AA644" s="157"/>
    </row>
    <row r="645" spans="1:29" ht="22.75" thickBot="1" x14ac:dyDescent="0.4">
      <c r="A645"/>
      <c r="B645" s="83"/>
      <c r="C645" s="84"/>
      <c r="D645" s="84"/>
      <c r="E645" s="85" t="s">
        <v>188</v>
      </c>
      <c r="F645" s="73">
        <f t="shared" ref="F645:N645" si="211">IF(((F643="")*AND(F644="")),"",(F643-F644)*2)</f>
        <v>3822.3999999999996</v>
      </c>
      <c r="G645" s="73">
        <f t="shared" si="211"/>
        <v>4013.92</v>
      </c>
      <c r="H645" s="73">
        <f t="shared" si="211"/>
        <v>4050.8599999999988</v>
      </c>
      <c r="I645" s="73">
        <f t="shared" si="211"/>
        <v>3995.6200000000008</v>
      </c>
      <c r="J645" s="73">
        <f t="shared" si="211"/>
        <v>3808.9599999999991</v>
      </c>
      <c r="K645" s="73">
        <f t="shared" si="211"/>
        <v>3687.6400000000012</v>
      </c>
      <c r="L645" s="73">
        <f t="shared" si="211"/>
        <v>3990.9399999999987</v>
      </c>
      <c r="M645" s="73">
        <f t="shared" si="211"/>
        <v>4053.4799999999996</v>
      </c>
      <c r="N645" s="73">
        <f t="shared" si="211"/>
        <v>3911.7199999999993</v>
      </c>
      <c r="O645" s="85"/>
      <c r="P645" s="85"/>
      <c r="Q645" s="86"/>
      <c r="R645" s="86"/>
      <c r="S645" s="181"/>
      <c r="T645" s="191"/>
      <c r="U645" s="192"/>
      <c r="V645" s="217"/>
      <c r="X645" s="157"/>
      <c r="Y645" s="157"/>
      <c r="Z645" s="157"/>
      <c r="AA645" s="157"/>
    </row>
    <row r="646" spans="1:29" x14ac:dyDescent="0.25">
      <c r="A646" s="251">
        <v>43383</v>
      </c>
      <c r="B646" s="259" t="s">
        <v>185</v>
      </c>
      <c r="C646" s="64" t="s">
        <v>173</v>
      </c>
      <c r="D646" s="64" t="s">
        <v>172</v>
      </c>
      <c r="E646" s="79" t="s">
        <v>186</v>
      </c>
      <c r="F646" s="31">
        <v>29268.639999999999</v>
      </c>
      <c r="G646" s="31">
        <v>29173.39</v>
      </c>
      <c r="H646" s="31">
        <v>29166.41</v>
      </c>
      <c r="I646" s="31">
        <v>29160.9</v>
      </c>
      <c r="J646" s="31">
        <v>29257.98</v>
      </c>
      <c r="K646" s="31">
        <v>29250.37</v>
      </c>
      <c r="L646" s="31">
        <v>29155.64</v>
      </c>
      <c r="M646" s="31">
        <v>29159.3</v>
      </c>
      <c r="N646" s="31">
        <v>29228.48</v>
      </c>
      <c r="O646" s="79">
        <f>IF((N647=""),"",MAX(F648:N648))</f>
        <v>4578.2999999999956</v>
      </c>
      <c r="P646" s="79">
        <f>IF(N647="","",MIN(F648:N648))</f>
        <v>4213.0499999999956</v>
      </c>
      <c r="Q646" s="80">
        <f>IF((N648=""),"",AVERAGE(F648:N648))</f>
        <v>4381.83</v>
      </c>
      <c r="R646" s="80">
        <f>IF((N647=""),"",(O646-P646)/(O646+P646)*100)</f>
        <v>4.1546520159019984</v>
      </c>
      <c r="S646" s="189">
        <f>STDEV(F648:N648)</f>
        <v>160.01852994262958</v>
      </c>
      <c r="T646" s="176" t="str">
        <f>IF(N647="","",IF(R646&lt;16,IF(Q646&gt;3200,IF(R646,IF(Q646&lt;5240,"Pass","Fail"),"Fail"),"Fail")))</f>
        <v>Pass</v>
      </c>
      <c r="U646" s="188">
        <v>1340</v>
      </c>
      <c r="V646" s="217" t="s">
        <v>208</v>
      </c>
      <c r="X646" s="155">
        <v>4200</v>
      </c>
      <c r="Y646" s="155">
        <v>5500</v>
      </c>
      <c r="Z646" s="155">
        <v>3200</v>
      </c>
      <c r="AA646" s="155">
        <v>5240</v>
      </c>
      <c r="AC646" s="51">
        <v>16</v>
      </c>
    </row>
    <row r="647" spans="1:29" ht="16.100000000000001" x14ac:dyDescent="0.35">
      <c r="A647"/>
      <c r="B647" s="44"/>
      <c r="C647" s="24"/>
      <c r="D647" s="24"/>
      <c r="E647" s="81" t="s">
        <v>187</v>
      </c>
      <c r="F647" s="31">
        <v>27752.46</v>
      </c>
      <c r="G647" s="31">
        <v>27748.39</v>
      </c>
      <c r="H647" s="31">
        <v>27762.06</v>
      </c>
      <c r="I647" s="31">
        <v>27740.49</v>
      </c>
      <c r="J647" s="31">
        <v>27731.88</v>
      </c>
      <c r="K647" s="31">
        <v>27732.92</v>
      </c>
      <c r="L647" s="31">
        <v>27747.64</v>
      </c>
      <c r="M647" s="31">
        <v>27736</v>
      </c>
      <c r="N647" s="31">
        <v>27723.78</v>
      </c>
      <c r="O647" s="81"/>
      <c r="P647" s="81"/>
      <c r="Q647" s="82"/>
      <c r="R647" s="82"/>
      <c r="S647" s="178"/>
      <c r="T647" s="23"/>
      <c r="U647" s="179"/>
      <c r="V647" s="217"/>
      <c r="X647" s="157"/>
      <c r="Y647" s="157"/>
      <c r="Z647" s="157"/>
      <c r="AA647" s="157"/>
    </row>
    <row r="648" spans="1:29" ht="22.75" thickBot="1" x14ac:dyDescent="0.4">
      <c r="A648"/>
      <c r="B648" s="44"/>
      <c r="C648" s="24"/>
      <c r="D648" s="24"/>
      <c r="E648" s="81" t="s">
        <v>188</v>
      </c>
      <c r="F648" s="60">
        <f t="shared" ref="F648:N648" si="212">IF(((F646="")*AND(F647="")),"",(F646-F647)*3)</f>
        <v>4548.5400000000009</v>
      </c>
      <c r="G648" s="60">
        <f t="shared" si="212"/>
        <v>4275</v>
      </c>
      <c r="H648" s="60">
        <f t="shared" si="212"/>
        <v>4213.0499999999956</v>
      </c>
      <c r="I648" s="60">
        <f t="shared" si="212"/>
        <v>4261.2299999999996</v>
      </c>
      <c r="J648" s="60">
        <f t="shared" si="212"/>
        <v>4578.2999999999956</v>
      </c>
      <c r="K648" s="60">
        <f t="shared" si="212"/>
        <v>4552.3500000000022</v>
      </c>
      <c r="L648" s="60">
        <f t="shared" si="212"/>
        <v>4224</v>
      </c>
      <c r="M648" s="60">
        <f t="shared" si="212"/>
        <v>4269.8999999999978</v>
      </c>
      <c r="N648" s="60">
        <f t="shared" si="212"/>
        <v>4514.1000000000022</v>
      </c>
      <c r="O648" s="81"/>
      <c r="P648" s="81"/>
      <c r="Q648" s="82"/>
      <c r="R648" s="82"/>
      <c r="S648" s="178"/>
      <c r="T648" s="23"/>
      <c r="U648" s="179"/>
      <c r="V648" s="217"/>
      <c r="X648" s="157"/>
      <c r="Y648" s="157"/>
      <c r="Z648" s="157"/>
      <c r="AA648" s="157"/>
    </row>
    <row r="649" spans="1:29" x14ac:dyDescent="0.25">
      <c r="A649" s="251">
        <v>43383</v>
      </c>
      <c r="B649" s="257" t="s">
        <v>169</v>
      </c>
      <c r="C649" s="24" t="s">
        <v>171</v>
      </c>
      <c r="D649" s="24" t="s">
        <v>189</v>
      </c>
      <c r="E649" s="81" t="s">
        <v>186</v>
      </c>
      <c r="F649" s="31">
        <v>1988.1</v>
      </c>
      <c r="G649" s="31">
        <v>1980.04</v>
      </c>
      <c r="H649" s="31">
        <v>1976.8</v>
      </c>
      <c r="I649" s="31">
        <v>1976.47</v>
      </c>
      <c r="J649" s="31">
        <v>1989.38</v>
      </c>
      <c r="K649" s="31">
        <v>1989.64</v>
      </c>
      <c r="L649" s="31">
        <v>1978.09</v>
      </c>
      <c r="M649" s="31">
        <v>1978.63</v>
      </c>
      <c r="N649" s="31">
        <v>1990.88</v>
      </c>
      <c r="O649" s="81">
        <f>IF((N650=""),"",MAX(F651:N651))</f>
        <v>2170.8599999999997</v>
      </c>
      <c r="P649" s="81">
        <f>IF(N650="","",MIN(F651:N651))</f>
        <v>2077.1400000000003</v>
      </c>
      <c r="Q649" s="82">
        <f>IF((N651=""),"",AVERAGE(F651:N651))</f>
        <v>2127.746666666666</v>
      </c>
      <c r="R649" s="82">
        <f>IF((N650=""),"",(O649-P649)/(O649+P649)*100)</f>
        <v>2.2062146892655212</v>
      </c>
      <c r="S649" s="178">
        <f>STDEV(F651:N651)</f>
        <v>34.468010531505762</v>
      </c>
      <c r="T649" s="23" t="str">
        <f>IF(N650="","",IF(Q649&gt;1940,IF(R649&lt;8.3,IF(Q649&lt;2180,"Pass","Fail"),"Fail"),"Fail"))</f>
        <v>Pass</v>
      </c>
      <c r="U649" s="188">
        <v>1340</v>
      </c>
      <c r="V649" s="217" t="s">
        <v>208</v>
      </c>
      <c r="X649" s="155">
        <v>2000</v>
      </c>
      <c r="Y649" s="155">
        <v>3000</v>
      </c>
      <c r="Z649" s="155">
        <v>1940</v>
      </c>
      <c r="AA649" s="155">
        <v>2180</v>
      </c>
      <c r="AC649" s="51">
        <v>5.2</v>
      </c>
    </row>
    <row r="650" spans="1:29" ht="16.100000000000001" x14ac:dyDescent="0.35">
      <c r="A650"/>
      <c r="B650" s="44"/>
      <c r="C650" s="24"/>
      <c r="D650" s="24"/>
      <c r="E650" s="81" t="s">
        <v>187</v>
      </c>
      <c r="F650" s="31">
        <v>1278.31</v>
      </c>
      <c r="G650" s="31">
        <v>1258.3399999999999</v>
      </c>
      <c r="H650" s="31">
        <v>1253.18</v>
      </c>
      <c r="I650" s="31">
        <v>1265.8800000000001</v>
      </c>
      <c r="J650" s="31">
        <v>1296.32</v>
      </c>
      <c r="K650" s="31">
        <v>1297.26</v>
      </c>
      <c r="L650" s="31">
        <v>1270.8900000000001</v>
      </c>
      <c r="M650" s="31">
        <v>1258.4000000000001</v>
      </c>
      <c r="N650" s="31">
        <v>1286.21</v>
      </c>
      <c r="O650" s="81"/>
      <c r="P650" s="81"/>
      <c r="Q650" s="82"/>
      <c r="R650" s="82"/>
      <c r="S650" s="178"/>
      <c r="T650" s="23"/>
      <c r="U650" s="179"/>
      <c r="V650" s="217"/>
      <c r="X650" s="157"/>
      <c r="Y650" s="157"/>
      <c r="Z650" s="157"/>
      <c r="AA650" s="157"/>
    </row>
    <row r="651" spans="1:29" ht="22.15" customHeight="1" thickBot="1" x14ac:dyDescent="0.4">
      <c r="A651"/>
      <c r="B651" s="44"/>
      <c r="C651" s="24"/>
      <c r="D651" s="24"/>
      <c r="E651" s="81" t="s">
        <v>190</v>
      </c>
      <c r="F651" s="60">
        <f t="shared" ref="F651:N651" si="213">IF(((F649="")*AND(F650="")),"",(F649-F650)*3)</f>
        <v>2129.37</v>
      </c>
      <c r="G651" s="60">
        <f t="shared" si="213"/>
        <v>2165.1000000000004</v>
      </c>
      <c r="H651" s="60">
        <f t="shared" si="213"/>
        <v>2170.8599999999997</v>
      </c>
      <c r="I651" s="60">
        <f t="shared" si="213"/>
        <v>2131.7699999999995</v>
      </c>
      <c r="J651" s="60">
        <f t="shared" si="213"/>
        <v>2079.1800000000003</v>
      </c>
      <c r="K651" s="60">
        <f t="shared" si="213"/>
        <v>2077.1400000000003</v>
      </c>
      <c r="L651" s="60">
        <f t="shared" si="213"/>
        <v>2121.5999999999995</v>
      </c>
      <c r="M651" s="60">
        <f t="shared" si="213"/>
        <v>2160.69</v>
      </c>
      <c r="N651" s="60">
        <f t="shared" si="213"/>
        <v>2114.0100000000002</v>
      </c>
      <c r="O651" s="81"/>
      <c r="P651" s="81"/>
      <c r="Q651" s="82"/>
      <c r="R651" s="82"/>
      <c r="S651" s="178"/>
      <c r="T651" s="23"/>
      <c r="U651" s="179"/>
      <c r="V651" s="217"/>
      <c r="X651" s="157"/>
      <c r="Y651" s="157"/>
      <c r="Z651" s="157"/>
      <c r="AA651" s="157"/>
    </row>
    <row r="652" spans="1:29" x14ac:dyDescent="0.25">
      <c r="A652" s="251">
        <v>43383</v>
      </c>
      <c r="B652" s="260" t="s">
        <v>174</v>
      </c>
      <c r="C652" s="24" t="s">
        <v>176</v>
      </c>
      <c r="D652" s="24" t="s">
        <v>175</v>
      </c>
      <c r="E652" s="81" t="s">
        <v>186</v>
      </c>
      <c r="F652" s="31">
        <v>4970.53</v>
      </c>
      <c r="G652" s="31">
        <v>4892.05</v>
      </c>
      <c r="H652" s="31">
        <v>4924.42</v>
      </c>
      <c r="I652" s="31">
        <v>4898.46</v>
      </c>
      <c r="J652" s="31">
        <v>4985.33</v>
      </c>
      <c r="K652" s="31">
        <v>5052.33</v>
      </c>
      <c r="L652" s="31">
        <v>4931.3</v>
      </c>
      <c r="M652" s="31">
        <v>4912.8999999999996</v>
      </c>
      <c r="N652" s="31">
        <v>5038.7</v>
      </c>
      <c r="O652" s="81">
        <f>IF((N653=""),"",MAX(F654:N654))</f>
        <v>4125.3599999999997</v>
      </c>
      <c r="P652" s="81">
        <f>IF(N653="","",MIN(F654:N654))</f>
        <v>3748.6399999999994</v>
      </c>
      <c r="Q652" s="82">
        <f>IF((N654=""),"",AVERAGE(F654:N654))</f>
        <v>3995.7977777777778</v>
      </c>
      <c r="R652" s="82">
        <f>IF((N653=""),"",(O652-P652)/(O652+P652)*100)</f>
        <v>4.7843535687071412</v>
      </c>
      <c r="S652" s="178">
        <f>STDEV(F654:N654)</f>
        <v>131.78010906219689</v>
      </c>
      <c r="T652" s="23" t="str">
        <f>IF(N653="","",IF(Q652&gt;3650,IF(R652&lt;7,IF(Q652&lt;4450,"Pass","Fail"),"Fail"),"Fail"))</f>
        <v>Pass</v>
      </c>
      <c r="U652" s="188">
        <v>1340</v>
      </c>
      <c r="V652" s="265" t="s">
        <v>208</v>
      </c>
      <c r="X652" s="155">
        <v>3650</v>
      </c>
      <c r="Y652" s="155">
        <v>4450</v>
      </c>
      <c r="Z652" s="155">
        <v>3700</v>
      </c>
      <c r="AA652" s="155">
        <v>4100</v>
      </c>
      <c r="AB652" s="51">
        <v>7</v>
      </c>
      <c r="AC652" s="51">
        <v>6.5</v>
      </c>
    </row>
    <row r="653" spans="1:29" ht="16.100000000000001" x14ac:dyDescent="0.35">
      <c r="A653"/>
      <c r="B653" s="44"/>
      <c r="C653" s="24"/>
      <c r="D653" s="24"/>
      <c r="E653" s="81" t="s">
        <v>187</v>
      </c>
      <c r="F653" s="31">
        <v>3027.64</v>
      </c>
      <c r="G653" s="31">
        <v>2849.55</v>
      </c>
      <c r="H653" s="31">
        <v>2862.62</v>
      </c>
      <c r="I653" s="31">
        <v>2860.51</v>
      </c>
      <c r="J653" s="31">
        <v>3044.26</v>
      </c>
      <c r="K653" s="31">
        <v>3178.01</v>
      </c>
      <c r="L653" s="31">
        <v>2899.04</v>
      </c>
      <c r="M653" s="31">
        <v>2850.22</v>
      </c>
      <c r="N653" s="31">
        <v>3053.08</v>
      </c>
      <c r="O653" s="81"/>
      <c r="P653" s="81"/>
      <c r="Q653" s="82"/>
      <c r="R653" s="82"/>
      <c r="S653" s="178"/>
      <c r="T653" s="28"/>
      <c r="U653" s="185"/>
      <c r="V653" s="217"/>
      <c r="X653" s="157"/>
      <c r="Y653" s="157"/>
      <c r="Z653" s="157"/>
      <c r="AA653" s="157"/>
    </row>
    <row r="654" spans="1:29" ht="22.75" thickBot="1" x14ac:dyDescent="0.4">
      <c r="A654"/>
      <c r="B654" s="87"/>
      <c r="C654" s="66"/>
      <c r="D654" s="66"/>
      <c r="E654" s="68" t="s">
        <v>188</v>
      </c>
      <c r="F654" s="65">
        <f t="shared" ref="F654:N654" si="214">IF(((F652="")*AND(F653="")),"",(F652-F653)*2)</f>
        <v>3885.7799999999997</v>
      </c>
      <c r="G654" s="65">
        <f t="shared" si="214"/>
        <v>4085</v>
      </c>
      <c r="H654" s="65">
        <f t="shared" si="214"/>
        <v>4123.6000000000004</v>
      </c>
      <c r="I654" s="65">
        <f t="shared" si="214"/>
        <v>4075.8999999999996</v>
      </c>
      <c r="J654" s="65">
        <f t="shared" si="214"/>
        <v>3882.1399999999994</v>
      </c>
      <c r="K654" s="65">
        <f t="shared" si="214"/>
        <v>3748.6399999999994</v>
      </c>
      <c r="L654" s="65">
        <f t="shared" si="214"/>
        <v>4064.5200000000004</v>
      </c>
      <c r="M654" s="65">
        <f t="shared" si="214"/>
        <v>4125.3599999999997</v>
      </c>
      <c r="N654" s="65">
        <f t="shared" si="214"/>
        <v>3971.24</v>
      </c>
      <c r="O654" s="68"/>
      <c r="P654" s="68"/>
      <c r="Q654" s="69"/>
      <c r="R654" s="69"/>
      <c r="S654" s="186"/>
      <c r="T654" s="193"/>
      <c r="U654" s="194"/>
      <c r="V654" s="217"/>
      <c r="X654" s="157"/>
      <c r="Y654" s="157"/>
      <c r="Z654" s="157"/>
      <c r="AA654" s="157"/>
    </row>
    <row r="655" spans="1:29" x14ac:dyDescent="0.25">
      <c r="A655" s="251">
        <v>43387</v>
      </c>
      <c r="B655" s="259" t="s">
        <v>174</v>
      </c>
      <c r="C655" s="64" t="s">
        <v>176</v>
      </c>
      <c r="D655" s="64" t="s">
        <v>175</v>
      </c>
      <c r="E655" s="79" t="s">
        <v>186</v>
      </c>
      <c r="F655" s="175">
        <v>6913.76</v>
      </c>
      <c r="G655" s="175">
        <v>6917.01</v>
      </c>
      <c r="H655" s="175">
        <v>6938.55</v>
      </c>
      <c r="I655" s="175">
        <v>6879</v>
      </c>
      <c r="J655" s="175">
        <v>6924.66</v>
      </c>
      <c r="K655" s="175">
        <v>6870.55</v>
      </c>
      <c r="L655" s="175">
        <v>6884.15</v>
      </c>
      <c r="M655" s="175">
        <v>6921.89</v>
      </c>
      <c r="N655" s="175">
        <v>6986.62</v>
      </c>
      <c r="O655" s="79">
        <f>IF((N656=""),"",MAX(F657:N657))</f>
        <v>4086.76</v>
      </c>
      <c r="P655" s="79">
        <f>IF(N656="","",MIN(F657:N657))</f>
        <v>3720.7000000000007</v>
      </c>
      <c r="Q655" s="80">
        <f>IF((N657=""),"",AVERAGE(F657:N657))</f>
        <v>3958.2999999999997</v>
      </c>
      <c r="R655" s="80">
        <f>IF((N656=""),"",(O655-P655)/(O655+P655)*100)</f>
        <v>4.6885927049257949</v>
      </c>
      <c r="S655" s="189">
        <f>STDEV(F657:N657)</f>
        <v>125.43281269269208</v>
      </c>
      <c r="T655" s="176" t="str">
        <f>IF(N656="","",IF(Q655&gt;3650,IF(R655&lt;7,IF(Q655&lt;4450,"Pass","Fail"),"Fail"),"Fail"))</f>
        <v>Pass</v>
      </c>
      <c r="U655" s="188">
        <v>1340</v>
      </c>
      <c r="V655" s="265" t="s">
        <v>209</v>
      </c>
      <c r="X655" s="155">
        <v>3650</v>
      </c>
      <c r="Y655" s="155">
        <v>4450</v>
      </c>
      <c r="Z655" s="155">
        <v>3700</v>
      </c>
      <c r="AA655" s="155">
        <v>4100</v>
      </c>
      <c r="AB655" s="51">
        <v>7</v>
      </c>
      <c r="AC655" s="51">
        <v>6.5</v>
      </c>
    </row>
    <row r="656" spans="1:29" ht="16.100000000000001" x14ac:dyDescent="0.35">
      <c r="A656"/>
      <c r="B656" s="44"/>
      <c r="C656" s="24"/>
      <c r="D656" s="24"/>
      <c r="E656" s="81" t="s">
        <v>187</v>
      </c>
      <c r="F656" s="28">
        <v>4990.21</v>
      </c>
      <c r="G656" s="28">
        <v>4899.29</v>
      </c>
      <c r="H656" s="28">
        <v>4897.79</v>
      </c>
      <c r="I656" s="28">
        <v>4862.8</v>
      </c>
      <c r="J656" s="28">
        <v>4996.3</v>
      </c>
      <c r="K656" s="28">
        <v>5010.2</v>
      </c>
      <c r="L656" s="28">
        <v>4875.54</v>
      </c>
      <c r="M656" s="28">
        <v>4878.51</v>
      </c>
      <c r="N656" s="28">
        <v>5013.2</v>
      </c>
      <c r="O656" s="81"/>
      <c r="P656" s="81"/>
      <c r="Q656" s="82"/>
      <c r="R656" s="82"/>
      <c r="S656" s="178"/>
      <c r="T656" s="28"/>
      <c r="U656" s="185"/>
      <c r="V656" s="217"/>
      <c r="X656" s="157"/>
      <c r="Y656" s="157"/>
      <c r="Z656" s="157"/>
      <c r="AA656" s="157"/>
    </row>
    <row r="657" spans="1:29" ht="22.15" x14ac:dyDescent="0.35">
      <c r="A657"/>
      <c r="B657" s="44"/>
      <c r="C657" s="24"/>
      <c r="D657" s="24"/>
      <c r="E657" s="81" t="s">
        <v>188</v>
      </c>
      <c r="F657" s="60">
        <f t="shared" ref="F657:N657" si="215">IF(((F655="")*AND(F656="")),"",(F655-F656)*2)</f>
        <v>3847.1000000000004</v>
      </c>
      <c r="G657" s="60">
        <f t="shared" si="215"/>
        <v>4035.4400000000005</v>
      </c>
      <c r="H657" s="60">
        <f t="shared" si="215"/>
        <v>4081.5200000000004</v>
      </c>
      <c r="I657" s="60">
        <f t="shared" si="215"/>
        <v>4032.3999999999996</v>
      </c>
      <c r="J657" s="60">
        <f t="shared" si="215"/>
        <v>3856.7199999999993</v>
      </c>
      <c r="K657" s="60">
        <f t="shared" si="215"/>
        <v>3720.7000000000007</v>
      </c>
      <c r="L657" s="60">
        <f t="shared" si="215"/>
        <v>4017.2199999999993</v>
      </c>
      <c r="M657" s="60">
        <f t="shared" si="215"/>
        <v>4086.76</v>
      </c>
      <c r="N657" s="60">
        <f t="shared" si="215"/>
        <v>3946.84</v>
      </c>
      <c r="O657" s="81"/>
      <c r="P657" s="81"/>
      <c r="Q657" s="82"/>
      <c r="R657" s="82"/>
      <c r="S657" s="178"/>
      <c r="T657" s="28"/>
      <c r="U657" s="185"/>
      <c r="V657" s="217"/>
      <c r="X657" s="157"/>
      <c r="Y657" s="157"/>
      <c r="Z657" s="157"/>
      <c r="AA657" s="157"/>
    </row>
    <row r="658" spans="1:29" x14ac:dyDescent="0.25">
      <c r="A658" s="252">
        <v>43387</v>
      </c>
      <c r="B658" s="257" t="s">
        <v>169</v>
      </c>
      <c r="C658" s="24" t="s">
        <v>171</v>
      </c>
      <c r="D658" s="24" t="s">
        <v>189</v>
      </c>
      <c r="E658" s="81" t="s">
        <v>186</v>
      </c>
      <c r="F658" s="28">
        <v>1920.23</v>
      </c>
      <c r="G658" s="28">
        <v>1912.53</v>
      </c>
      <c r="H658" s="28">
        <v>1907.95</v>
      </c>
      <c r="I658" s="28">
        <v>1917.67</v>
      </c>
      <c r="J658" s="28">
        <v>1925.22</v>
      </c>
      <c r="K658" s="28">
        <v>1922.32</v>
      </c>
      <c r="L658" s="28">
        <v>1913.2</v>
      </c>
      <c r="M658" s="28">
        <v>1918.71</v>
      </c>
      <c r="N658" s="28">
        <v>1924.12</v>
      </c>
      <c r="O658" s="81">
        <f>IF((N659=""),"",MAX(F660:N660))</f>
        <v>2081.79</v>
      </c>
      <c r="P658" s="81">
        <f>IF(N659="","",MIN(F660:N660))</f>
        <v>1980.2399999999998</v>
      </c>
      <c r="Q658" s="82">
        <f>IF((N660=""),"",AVERAGE(F660:N660))</f>
        <v>2023.49</v>
      </c>
      <c r="R658" s="82">
        <f>IF((N659=""),"",(O658-P658)/(O658+P658)*100)</f>
        <v>2.4999815363254378</v>
      </c>
      <c r="S658" s="178">
        <f>STDEV(F660:N660)</f>
        <v>34.026279182420318</v>
      </c>
      <c r="T658" s="23" t="str">
        <f>IF(N659="","",IF(Q658&gt;1940,IF(R658&lt;8.3,IF(Q658&lt;2180,"Pass","Fail"),"Fail"),"Fail"))</f>
        <v>Pass</v>
      </c>
      <c r="U658" s="185">
        <v>1340</v>
      </c>
      <c r="V658" s="217" t="s">
        <v>209</v>
      </c>
      <c r="X658" s="155">
        <v>2000</v>
      </c>
      <c r="Y658" s="155">
        <v>3000</v>
      </c>
      <c r="Z658" s="155">
        <v>1940</v>
      </c>
      <c r="AA658" s="155">
        <v>2180</v>
      </c>
      <c r="AC658" s="51">
        <v>5.2</v>
      </c>
    </row>
    <row r="659" spans="1:29" ht="16.100000000000001" x14ac:dyDescent="0.35">
      <c r="A659"/>
      <c r="B659" s="44"/>
      <c r="C659" s="24"/>
      <c r="D659" s="24"/>
      <c r="E659" s="81" t="s">
        <v>187</v>
      </c>
      <c r="F659" s="28">
        <v>1260.1500000000001</v>
      </c>
      <c r="G659" s="28">
        <v>1235.8599999999999</v>
      </c>
      <c r="H659" s="28">
        <v>1228.04</v>
      </c>
      <c r="I659" s="28">
        <v>1230.26</v>
      </c>
      <c r="J659" s="28">
        <v>1259.0899999999999</v>
      </c>
      <c r="K659" s="28">
        <v>1260.43</v>
      </c>
      <c r="L659" s="28">
        <v>1239.6300000000001</v>
      </c>
      <c r="M659" s="28">
        <v>1224.78</v>
      </c>
      <c r="N659" s="28">
        <v>1253.24</v>
      </c>
      <c r="O659" s="81"/>
      <c r="P659" s="81"/>
      <c r="Q659" s="82"/>
      <c r="R659" s="82"/>
      <c r="S659" s="178"/>
      <c r="T659" s="23"/>
      <c r="U659" s="179"/>
      <c r="V659" s="217"/>
      <c r="X659" s="157"/>
      <c r="Y659" s="157"/>
      <c r="Z659" s="157"/>
      <c r="AA659" s="157"/>
    </row>
    <row r="660" spans="1:29" ht="16.100000000000001" x14ac:dyDescent="0.35">
      <c r="A660"/>
      <c r="B660" s="44"/>
      <c r="C660" s="24"/>
      <c r="D660" s="24"/>
      <c r="E660" s="81" t="s">
        <v>190</v>
      </c>
      <c r="F660" s="60">
        <f t="shared" ref="F660:N660" si="216">IF(((F658="")*AND(F659="")),"",(F658-F659)*3)</f>
        <v>1980.2399999999998</v>
      </c>
      <c r="G660" s="60">
        <f t="shared" si="216"/>
        <v>2030.0100000000002</v>
      </c>
      <c r="H660" s="60">
        <f t="shared" si="216"/>
        <v>2039.7300000000002</v>
      </c>
      <c r="I660" s="60">
        <f t="shared" si="216"/>
        <v>2062.2300000000005</v>
      </c>
      <c r="J660" s="60">
        <f t="shared" si="216"/>
        <v>1998.3900000000003</v>
      </c>
      <c r="K660" s="60">
        <f t="shared" si="216"/>
        <v>1985.6699999999996</v>
      </c>
      <c r="L660" s="60">
        <f t="shared" si="216"/>
        <v>2020.7099999999998</v>
      </c>
      <c r="M660" s="60">
        <f t="shared" si="216"/>
        <v>2081.79</v>
      </c>
      <c r="N660" s="60">
        <f t="shared" si="216"/>
        <v>2012.6399999999996</v>
      </c>
      <c r="O660" s="81"/>
      <c r="P660" s="81"/>
      <c r="Q660" s="82"/>
      <c r="R660" s="82"/>
      <c r="S660" s="178"/>
      <c r="T660" s="23"/>
      <c r="U660" s="179"/>
      <c r="V660" s="217"/>
      <c r="X660" s="157"/>
      <c r="Y660" s="157"/>
      <c r="Z660" s="157"/>
      <c r="AA660" s="157"/>
    </row>
    <row r="661" spans="1:29" x14ac:dyDescent="0.25">
      <c r="A661" s="252">
        <v>43387</v>
      </c>
      <c r="B661" s="260" t="s">
        <v>185</v>
      </c>
      <c r="C661" s="24" t="s">
        <v>173</v>
      </c>
      <c r="D661" s="24" t="s">
        <v>172</v>
      </c>
      <c r="E661" s="81" t="s">
        <v>186</v>
      </c>
      <c r="F661" s="28">
        <v>29268.38</v>
      </c>
      <c r="G661" s="28">
        <v>29186.81</v>
      </c>
      <c r="H661" s="28">
        <v>29207.61</v>
      </c>
      <c r="I661" s="28">
        <v>29170.240000000002</v>
      </c>
      <c r="J661" s="28">
        <v>29225.9</v>
      </c>
      <c r="K661" s="28">
        <v>29222.880000000001</v>
      </c>
      <c r="L661" s="28">
        <v>29176.38</v>
      </c>
      <c r="M661" s="28">
        <v>29175.06</v>
      </c>
      <c r="N661" s="28">
        <v>29278.5</v>
      </c>
      <c r="O661" s="81">
        <f>IF((N662=""),"",MAX(F663:N663))</f>
        <v>4528.7099999999991</v>
      </c>
      <c r="P661" s="81">
        <f>IF(N662="","",MIN(F663:N663))</f>
        <v>4086.3300000000017</v>
      </c>
      <c r="Q661" s="82">
        <f>IF((N663=""),"",AVERAGE(F663:N663))</f>
        <v>4263.9600000000037</v>
      </c>
      <c r="R661" s="82">
        <f>IF((N662=""),"",(O661-P661)/(O661+P661)*100)</f>
        <v>5.134973256073069</v>
      </c>
      <c r="S661" s="178">
        <f>STDEV(F663:N663)</f>
        <v>162.9352316873163</v>
      </c>
      <c r="T661" s="23" t="str">
        <f>IF(N662="","",IF(R661&lt;16,IF(Q661&gt;3200,IF(R661,IF(Q661&lt;5240,"Pass","Fail"),"Fail"),"Fail")))</f>
        <v>Pass</v>
      </c>
      <c r="U661" s="185">
        <v>1340</v>
      </c>
      <c r="V661" s="217" t="s">
        <v>209</v>
      </c>
      <c r="X661" s="155">
        <v>4200</v>
      </c>
      <c r="Y661" s="155">
        <v>5500</v>
      </c>
      <c r="Z661" s="155">
        <v>3200</v>
      </c>
      <c r="AA661" s="155">
        <v>5240</v>
      </c>
      <c r="AC661" s="51">
        <v>16</v>
      </c>
    </row>
    <row r="662" spans="1:29" ht="16.100000000000001" x14ac:dyDescent="0.35">
      <c r="A662"/>
      <c r="B662" s="44"/>
      <c r="C662" s="24"/>
      <c r="D662" s="24"/>
      <c r="E662" s="81" t="s">
        <v>187</v>
      </c>
      <c r="F662" s="28">
        <v>27779.29</v>
      </c>
      <c r="G662" s="28">
        <v>27792.41</v>
      </c>
      <c r="H662" s="28">
        <v>27845.5</v>
      </c>
      <c r="I662" s="28">
        <v>27796.03</v>
      </c>
      <c r="J662" s="28">
        <v>27768.01</v>
      </c>
      <c r="K662" s="28">
        <v>27787.81</v>
      </c>
      <c r="L662" s="28">
        <v>27808.48</v>
      </c>
      <c r="M662" s="28">
        <v>27773.42</v>
      </c>
      <c r="N662" s="28">
        <v>27768.93</v>
      </c>
      <c r="O662" s="81"/>
      <c r="P662" s="81"/>
      <c r="Q662" s="82"/>
      <c r="R662" s="82"/>
      <c r="S662" s="178"/>
      <c r="T662" s="23"/>
      <c r="U662" s="179"/>
      <c r="V662" s="217"/>
      <c r="X662" s="157"/>
      <c r="Y662" s="157"/>
      <c r="Z662" s="157"/>
      <c r="AA662" s="157"/>
    </row>
    <row r="663" spans="1:29" ht="22.75" thickBot="1" x14ac:dyDescent="0.4">
      <c r="A663"/>
      <c r="B663" s="83"/>
      <c r="C663" s="84"/>
      <c r="D663" s="84"/>
      <c r="E663" s="85" t="s">
        <v>188</v>
      </c>
      <c r="F663" s="73">
        <f t="shared" ref="F663:N663" si="217">IF(((F661="")*AND(F662="")),"",(F661-F662)*3)</f>
        <v>4467.2700000000004</v>
      </c>
      <c r="G663" s="73">
        <f t="shared" si="217"/>
        <v>4183.2000000000044</v>
      </c>
      <c r="H663" s="73">
        <f t="shared" si="217"/>
        <v>4086.3300000000017</v>
      </c>
      <c r="I663" s="73">
        <f t="shared" si="217"/>
        <v>4122.6300000000083</v>
      </c>
      <c r="J663" s="73">
        <f t="shared" si="217"/>
        <v>4373.6700000000092</v>
      </c>
      <c r="K663" s="73">
        <f t="shared" si="217"/>
        <v>4305.2099999999991</v>
      </c>
      <c r="L663" s="73">
        <f t="shared" si="217"/>
        <v>4103.7000000000044</v>
      </c>
      <c r="M663" s="73">
        <f t="shared" si="217"/>
        <v>4204.9200000000092</v>
      </c>
      <c r="N663" s="73">
        <f t="shared" si="217"/>
        <v>4528.7099999999991</v>
      </c>
      <c r="O663" s="85"/>
      <c r="P663" s="85"/>
      <c r="Q663" s="86"/>
      <c r="R663" s="86"/>
      <c r="S663" s="181"/>
      <c r="T663" s="182"/>
      <c r="U663" s="183"/>
      <c r="V663" s="217"/>
      <c r="X663" s="157"/>
      <c r="Y663" s="157"/>
      <c r="Z663" s="157"/>
      <c r="AA663" s="157"/>
    </row>
    <row r="664" spans="1:29" x14ac:dyDescent="0.25">
      <c r="A664" s="249">
        <v>43390</v>
      </c>
      <c r="B664" s="261" t="s">
        <v>174</v>
      </c>
      <c r="C664" s="59" t="s">
        <v>176</v>
      </c>
      <c r="D664" s="59" t="s">
        <v>175</v>
      </c>
      <c r="E664" s="61" t="s">
        <v>186</v>
      </c>
      <c r="F664" s="146">
        <v>4996.04</v>
      </c>
      <c r="G664" s="146">
        <v>4906.16</v>
      </c>
      <c r="H664" s="146">
        <v>4904.93</v>
      </c>
      <c r="I664" s="146">
        <v>4870.8</v>
      </c>
      <c r="J664" s="146">
        <v>5001.92</v>
      </c>
      <c r="K664" s="146">
        <v>5015.62</v>
      </c>
      <c r="L664" s="146">
        <v>4883.22</v>
      </c>
      <c r="M664" s="146">
        <v>4885.9399999999996</v>
      </c>
      <c r="N664" s="146">
        <v>5019.01</v>
      </c>
      <c r="O664" s="61">
        <f>IF((N665=""),"",MAX(F666:N666))</f>
        <v>4082.9799999999996</v>
      </c>
      <c r="P664" s="61">
        <f>IF(N665="","",MIN(F666:N666))</f>
        <v>3654.96</v>
      </c>
      <c r="Q664" s="62">
        <f>IF((N666=""),"",AVERAGE(F666:N666))</f>
        <v>3934.6377777777775</v>
      </c>
      <c r="R664" s="62">
        <f>IF((N665=""),"",(O664-P664)/(O664+P664)*100)</f>
        <v>5.5314463539391561</v>
      </c>
      <c r="S664" s="190">
        <f>STDEV(F666:N666)</f>
        <v>145.70417785514758</v>
      </c>
      <c r="T664" s="158" t="str">
        <f>IF(N665="","",IF(Q664&gt;3650,IF(R664&lt;7,IF(Q664&lt;4450,"Pass","Fail"),"Fail"),"Fail"))</f>
        <v>Pass</v>
      </c>
      <c r="U664" s="184">
        <v>102</v>
      </c>
      <c r="V664" s="266" t="s">
        <v>210</v>
      </c>
      <c r="X664" s="155">
        <v>3650</v>
      </c>
      <c r="Y664" s="155">
        <v>4450</v>
      </c>
      <c r="Z664" s="155">
        <v>3700</v>
      </c>
      <c r="AA664" s="155">
        <v>4100</v>
      </c>
      <c r="AB664" s="51">
        <v>7</v>
      </c>
      <c r="AC664" s="51">
        <v>6.5</v>
      </c>
    </row>
    <row r="665" spans="1:29" ht="16.100000000000001" x14ac:dyDescent="0.35">
      <c r="A665"/>
      <c r="B665" s="44"/>
      <c r="C665" s="24"/>
      <c r="D665" s="24"/>
      <c r="E665" s="81" t="s">
        <v>187</v>
      </c>
      <c r="F665" s="28">
        <v>3077.78</v>
      </c>
      <c r="G665" s="28">
        <v>2887.31</v>
      </c>
      <c r="H665" s="28">
        <v>2871.47</v>
      </c>
      <c r="I665" s="28">
        <v>2862.88</v>
      </c>
      <c r="J665" s="28">
        <v>3106.23</v>
      </c>
      <c r="K665" s="28">
        <v>3188.14</v>
      </c>
      <c r="L665" s="28">
        <v>2881.95</v>
      </c>
      <c r="M665" s="28">
        <v>2844.45</v>
      </c>
      <c r="N665" s="28">
        <v>3057.56</v>
      </c>
      <c r="O665" s="81"/>
      <c r="P665" s="81"/>
      <c r="Q665" s="82"/>
      <c r="R665" s="82"/>
      <c r="S665" s="178"/>
      <c r="T665" s="28"/>
      <c r="U665" s="185"/>
      <c r="V665" s="218"/>
      <c r="X665" s="157"/>
      <c r="Y665" s="157"/>
      <c r="Z665" s="157"/>
      <c r="AA665" s="157"/>
    </row>
    <row r="666" spans="1:29" ht="22.15" x14ac:dyDescent="0.35">
      <c r="A666"/>
      <c r="B666" s="44"/>
      <c r="C666" s="24"/>
      <c r="D666" s="24"/>
      <c r="E666" s="81" t="s">
        <v>188</v>
      </c>
      <c r="F666" s="60">
        <f t="shared" ref="F666:N666" si="218">IF(((F664="")*AND(F665="")),"",(F664-F665)*2)</f>
        <v>3836.5199999999995</v>
      </c>
      <c r="G666" s="60">
        <f t="shared" si="218"/>
        <v>4037.7</v>
      </c>
      <c r="H666" s="60">
        <f t="shared" si="218"/>
        <v>4066.920000000001</v>
      </c>
      <c r="I666" s="60">
        <f t="shared" si="218"/>
        <v>4015.84</v>
      </c>
      <c r="J666" s="60">
        <f t="shared" si="218"/>
        <v>3791.38</v>
      </c>
      <c r="K666" s="60">
        <f t="shared" si="218"/>
        <v>3654.96</v>
      </c>
      <c r="L666" s="60">
        <f t="shared" si="218"/>
        <v>4002.5400000000009</v>
      </c>
      <c r="M666" s="60">
        <f t="shared" si="218"/>
        <v>4082.9799999999996</v>
      </c>
      <c r="N666" s="60">
        <f t="shared" si="218"/>
        <v>3922.9000000000005</v>
      </c>
      <c r="O666" s="81"/>
      <c r="P666" s="81"/>
      <c r="Q666" s="82"/>
      <c r="R666" s="82"/>
      <c r="S666" s="178"/>
      <c r="T666" s="28"/>
      <c r="U666" s="185"/>
      <c r="V666" s="218"/>
      <c r="X666" s="157"/>
      <c r="Y666" s="157"/>
      <c r="Z666" s="157"/>
      <c r="AA666" s="157"/>
    </row>
    <row r="667" spans="1:29" x14ac:dyDescent="0.25">
      <c r="A667" s="252">
        <v>43390</v>
      </c>
      <c r="B667" s="257" t="s">
        <v>169</v>
      </c>
      <c r="C667" s="24" t="s">
        <v>171</v>
      </c>
      <c r="D667" s="24" t="s">
        <v>189</v>
      </c>
      <c r="E667" s="81" t="s">
        <v>186</v>
      </c>
      <c r="F667" s="28">
        <v>1262.03</v>
      </c>
      <c r="G667" s="28">
        <v>1238.1400000000001</v>
      </c>
      <c r="H667" s="28">
        <v>1229.95</v>
      </c>
      <c r="I667" s="28">
        <v>1231.8699999999999</v>
      </c>
      <c r="J667" s="28">
        <v>1261.8499999999999</v>
      </c>
      <c r="K667" s="28">
        <v>1264.43</v>
      </c>
      <c r="L667" s="28">
        <v>1240.99</v>
      </c>
      <c r="M667" s="28">
        <v>1225.99</v>
      </c>
      <c r="N667" s="28">
        <v>1251.0899999999999</v>
      </c>
      <c r="O667" s="81">
        <f>IF((N668=""),"",MAX(F669:N669))</f>
        <v>2093.2200000000003</v>
      </c>
      <c r="P667" s="81">
        <f>IF(N668="","",MIN(F669:N669))</f>
        <v>1992.1799999999998</v>
      </c>
      <c r="Q667" s="82">
        <f>IF((N669=""),"",AVERAGE(F669:N669))</f>
        <v>2050.1999999999998</v>
      </c>
      <c r="R667" s="82">
        <f>IF((N668=""),"",(O667-P667)/(O667+P667)*100)</f>
        <v>2.4731972389484609</v>
      </c>
      <c r="S667" s="178">
        <f>STDEV(F669:N669)</f>
        <v>41.237771823899607</v>
      </c>
      <c r="T667" s="23" t="str">
        <f>IF(N668="","",IF(Q667&gt;1940,IF(R667&lt;8.3,IF(Q667&lt;2180,"Pass","Fail"),"Fail"),"Fail"))</f>
        <v>Pass</v>
      </c>
      <c r="U667" s="185">
        <v>102</v>
      </c>
      <c r="V667" s="218" t="s">
        <v>210</v>
      </c>
      <c r="X667" s="155">
        <v>2000</v>
      </c>
      <c r="Y667" s="155">
        <v>3000</v>
      </c>
      <c r="Z667" s="155">
        <v>1940</v>
      </c>
      <c r="AA667" s="155">
        <v>2180</v>
      </c>
      <c r="AC667" s="51">
        <v>5.2</v>
      </c>
    </row>
    <row r="668" spans="1:29" ht="16.100000000000001" x14ac:dyDescent="0.35">
      <c r="A668"/>
      <c r="B668" s="44"/>
      <c r="C668" s="24"/>
      <c r="D668" s="24"/>
      <c r="E668" s="81" t="s">
        <v>187</v>
      </c>
      <c r="F668" s="28">
        <v>589.75</v>
      </c>
      <c r="G668" s="28">
        <v>540.6</v>
      </c>
      <c r="H668" s="28">
        <v>532.21</v>
      </c>
      <c r="I668" s="28">
        <v>542.16999999999996</v>
      </c>
      <c r="J668" s="28">
        <v>595.51</v>
      </c>
      <c r="K668" s="28">
        <v>588.52</v>
      </c>
      <c r="L668" s="28">
        <v>550.38</v>
      </c>
      <c r="M668" s="28">
        <v>529.57000000000005</v>
      </c>
      <c r="N668" s="28">
        <v>587.03</v>
      </c>
      <c r="O668" s="81"/>
      <c r="P668" s="81"/>
      <c r="Q668" s="82"/>
      <c r="R668" s="82"/>
      <c r="S668" s="178"/>
      <c r="T668" s="23"/>
      <c r="U668" s="179"/>
      <c r="V668" s="218"/>
      <c r="X668" s="157"/>
      <c r="Y668" s="157"/>
      <c r="Z668" s="157"/>
      <c r="AA668" s="157"/>
    </row>
    <row r="669" spans="1:29" ht="16.100000000000001" x14ac:dyDescent="0.35">
      <c r="A669"/>
      <c r="B669" s="44"/>
      <c r="C669" s="24"/>
      <c r="D669" s="24"/>
      <c r="E669" s="81" t="s">
        <v>190</v>
      </c>
      <c r="F669" s="60">
        <f t="shared" ref="F669:N669" si="219">IF(((F667="")*AND(F668="")),"",(F667-F668)*3)</f>
        <v>2016.84</v>
      </c>
      <c r="G669" s="60">
        <f t="shared" si="219"/>
        <v>2092.6200000000003</v>
      </c>
      <c r="H669" s="60">
        <f t="shared" si="219"/>
        <v>2093.2200000000003</v>
      </c>
      <c r="I669" s="60">
        <f t="shared" si="219"/>
        <v>2069.1</v>
      </c>
      <c r="J669" s="60">
        <f t="shared" si="219"/>
        <v>1999.0199999999998</v>
      </c>
      <c r="K669" s="60">
        <f t="shared" si="219"/>
        <v>2027.7300000000002</v>
      </c>
      <c r="L669" s="60">
        <f t="shared" si="219"/>
        <v>2071.83</v>
      </c>
      <c r="M669" s="60">
        <f t="shared" si="219"/>
        <v>2089.2599999999998</v>
      </c>
      <c r="N669" s="60">
        <f t="shared" si="219"/>
        <v>1992.1799999999998</v>
      </c>
      <c r="O669" s="81"/>
      <c r="P669" s="81"/>
      <c r="Q669" s="82"/>
      <c r="R669" s="82"/>
      <c r="S669" s="178"/>
      <c r="T669" s="23"/>
      <c r="U669" s="179"/>
      <c r="V669" s="218"/>
      <c r="X669" s="157"/>
      <c r="Y669" s="157"/>
      <c r="Z669" s="157"/>
      <c r="AA669" s="157"/>
    </row>
    <row r="670" spans="1:29" x14ac:dyDescent="0.25">
      <c r="A670" s="252">
        <v>43390</v>
      </c>
      <c r="B670" s="260" t="s">
        <v>185</v>
      </c>
      <c r="C670" s="24" t="s">
        <v>173</v>
      </c>
      <c r="D670" s="24" t="s">
        <v>172</v>
      </c>
      <c r="E670" s="81" t="s">
        <v>186</v>
      </c>
      <c r="F670" s="28">
        <v>27735.52</v>
      </c>
      <c r="G670" s="28">
        <v>27745.91</v>
      </c>
      <c r="H670" s="28">
        <v>27801.4</v>
      </c>
      <c r="I670" s="28">
        <v>27758.67</v>
      </c>
      <c r="J670" s="28">
        <v>27720.59</v>
      </c>
      <c r="K670" s="28">
        <v>27736.92</v>
      </c>
      <c r="L670" s="28">
        <v>27770.37</v>
      </c>
      <c r="M670" s="28">
        <v>27736.71</v>
      </c>
      <c r="N670" s="28">
        <v>27717.21</v>
      </c>
      <c r="O670" s="81">
        <f>IF((N671=""),"",MAX(F672:N672))</f>
        <v>4444.0800000000017</v>
      </c>
      <c r="P670" s="81">
        <f>IF(N671="","",MIN(F672:N672))</f>
        <v>4009.320000000007</v>
      </c>
      <c r="Q670" s="82">
        <f>IF((N672=""),"",AVERAGE(F672:N672))</f>
        <v>4192.6899999999987</v>
      </c>
      <c r="R670" s="82">
        <f>IF((N671=""),"",(O670-P670)/(O670+P670)*100)</f>
        <v>5.143019376818728</v>
      </c>
      <c r="S670" s="178">
        <f>STDEV(F672:N672)</f>
        <v>165.84239461006271</v>
      </c>
      <c r="T670" s="23" t="str">
        <f>IF(N671="","",IF(R670&lt;16,IF(Q670&gt;3200,IF(R670,IF(Q670&lt;5240,"Pass","Fail"),"Fail"),"Fail")))</f>
        <v>Pass</v>
      </c>
      <c r="U670" s="185">
        <v>102</v>
      </c>
      <c r="V670" s="218" t="s">
        <v>210</v>
      </c>
      <c r="X670" s="155">
        <v>4200</v>
      </c>
      <c r="Y670" s="155">
        <v>5500</v>
      </c>
      <c r="Z670" s="155">
        <v>3200</v>
      </c>
      <c r="AA670" s="155">
        <v>5240</v>
      </c>
      <c r="AC670" s="51">
        <v>16</v>
      </c>
    </row>
    <row r="671" spans="1:29" ht="16.100000000000001" x14ac:dyDescent="0.35">
      <c r="A671"/>
      <c r="B671" s="44"/>
      <c r="C671" s="24"/>
      <c r="D671" s="24"/>
      <c r="E671" s="81" t="s">
        <v>187</v>
      </c>
      <c r="F671" s="28">
        <v>26264.240000000002</v>
      </c>
      <c r="G671" s="28">
        <v>26386.76</v>
      </c>
      <c r="H671" s="28">
        <v>26464.959999999999</v>
      </c>
      <c r="I671" s="28">
        <v>26401.87</v>
      </c>
      <c r="J671" s="28">
        <v>26281.38</v>
      </c>
      <c r="K671" s="28">
        <v>26327.93</v>
      </c>
      <c r="L671" s="28">
        <v>26427.74</v>
      </c>
      <c r="M671" s="28">
        <v>26354.5</v>
      </c>
      <c r="N671" s="28">
        <v>26235.85</v>
      </c>
      <c r="O671" s="81"/>
      <c r="P671" s="81"/>
      <c r="Q671" s="82"/>
      <c r="R671" s="82"/>
      <c r="S671" s="178"/>
      <c r="T671" s="23"/>
      <c r="U671" s="179"/>
      <c r="V671" s="218"/>
      <c r="X671" s="157"/>
      <c r="Y671" s="157"/>
      <c r="Z671" s="157"/>
      <c r="AA671" s="157"/>
    </row>
    <row r="672" spans="1:29" ht="22.75" thickBot="1" x14ac:dyDescent="0.4">
      <c r="A672"/>
      <c r="B672" s="83"/>
      <c r="C672" s="84"/>
      <c r="D672" s="84"/>
      <c r="E672" s="85" t="s">
        <v>188</v>
      </c>
      <c r="F672" s="73">
        <f t="shared" ref="F672:N672" si="220">IF(((F670="")*AND(F671="")),"",(F670-F671)*3)</f>
        <v>4413.8399999999965</v>
      </c>
      <c r="G672" s="73">
        <f t="shared" si="220"/>
        <v>4077.4500000000044</v>
      </c>
      <c r="H672" s="73">
        <f t="shared" si="220"/>
        <v>4009.320000000007</v>
      </c>
      <c r="I672" s="73">
        <f t="shared" si="220"/>
        <v>4070.3999999999978</v>
      </c>
      <c r="J672" s="73">
        <f t="shared" si="220"/>
        <v>4317.6299999999974</v>
      </c>
      <c r="K672" s="73">
        <f t="shared" si="220"/>
        <v>4226.9699999999939</v>
      </c>
      <c r="L672" s="73">
        <f t="shared" si="220"/>
        <v>4027.8899999999921</v>
      </c>
      <c r="M672" s="73">
        <f t="shared" si="220"/>
        <v>4146.6299999999974</v>
      </c>
      <c r="N672" s="73">
        <f t="shared" si="220"/>
        <v>4444.0800000000017</v>
      </c>
      <c r="O672" s="85"/>
      <c r="P672" s="85"/>
      <c r="Q672" s="86"/>
      <c r="R672" s="86"/>
      <c r="S672" s="181"/>
      <c r="T672" s="182"/>
      <c r="U672" s="183"/>
      <c r="V672" s="218"/>
      <c r="X672" s="157"/>
      <c r="Y672" s="157"/>
      <c r="Z672" s="157"/>
      <c r="AA672" s="157"/>
    </row>
    <row r="673" spans="1:29" x14ac:dyDescent="0.25">
      <c r="A673" s="249">
        <v>43394</v>
      </c>
      <c r="B673" s="261" t="s">
        <v>174</v>
      </c>
      <c r="C673" s="59" t="s">
        <v>176</v>
      </c>
      <c r="D673" s="59" t="s">
        <v>175</v>
      </c>
      <c r="E673" s="61" t="s">
        <v>186</v>
      </c>
      <c r="F673" s="31">
        <v>3086.13</v>
      </c>
      <c r="G673" s="31">
        <v>2894.35</v>
      </c>
      <c r="H673" s="31">
        <v>2878.24</v>
      </c>
      <c r="I673" s="31">
        <v>2869.15</v>
      </c>
      <c r="J673" s="31">
        <v>3113.34</v>
      </c>
      <c r="K673" s="31">
        <v>3195.98</v>
      </c>
      <c r="L673" s="31">
        <v>2888.48</v>
      </c>
      <c r="M673" s="31">
        <v>2851.33</v>
      </c>
      <c r="N673" s="31">
        <v>3065.83</v>
      </c>
      <c r="O673" s="61">
        <f>IF((N674=""),"",MAX(F675:N675))</f>
        <v>4100.9799999999996</v>
      </c>
      <c r="P673" s="61">
        <f>IF(N674="","",MIN(F675:N675))</f>
        <v>3748.18</v>
      </c>
      <c r="Q673" s="62">
        <f>IF((N675=""),"",AVERAGE(F675:N675))</f>
        <v>3974.4377777777781</v>
      </c>
      <c r="R673" s="62">
        <f>IF((N674=""),"",(O673-P673)/(O673+P673)*100)</f>
        <v>4.4947484826401771</v>
      </c>
      <c r="S673" s="190">
        <f>STDEV(F675:N675)</f>
        <v>124.5017479573858</v>
      </c>
      <c r="T673" s="158" t="str">
        <f>IF(N674="","",IF(Q673&gt;3650,IF(R673&lt;7,IF(Q673&lt;4450,"Pass","Fail"),"Fail"),"Fail"))</f>
        <v>Pass</v>
      </c>
      <c r="U673" s="184">
        <v>121</v>
      </c>
      <c r="V673" s="266" t="s">
        <v>211</v>
      </c>
      <c r="X673" s="155">
        <v>3650</v>
      </c>
      <c r="Y673" s="155">
        <v>4450</v>
      </c>
      <c r="Z673" s="155">
        <v>3700</v>
      </c>
      <c r="AA673" s="155">
        <v>4100</v>
      </c>
      <c r="AB673" s="51">
        <v>7</v>
      </c>
      <c r="AC673" s="51">
        <v>6.5</v>
      </c>
    </row>
    <row r="674" spans="1:29" ht="16.100000000000001" x14ac:dyDescent="0.35">
      <c r="A674"/>
      <c r="B674" s="44"/>
      <c r="C674" s="24"/>
      <c r="D674" s="24"/>
      <c r="E674" s="81" t="s">
        <v>187</v>
      </c>
      <c r="F674" s="31">
        <v>1145.8399999999999</v>
      </c>
      <c r="G674" s="31">
        <v>859.5</v>
      </c>
      <c r="H674" s="31">
        <v>830.66</v>
      </c>
      <c r="I674" s="31">
        <v>848.67</v>
      </c>
      <c r="J674" s="31">
        <v>1188.8800000000001</v>
      </c>
      <c r="K674" s="31">
        <v>1321.89</v>
      </c>
      <c r="L674" s="31">
        <v>871.22</v>
      </c>
      <c r="M674" s="31">
        <v>800.84</v>
      </c>
      <c r="N674" s="31">
        <v>1090.3599999999999</v>
      </c>
      <c r="O674" s="81"/>
      <c r="P674" s="81"/>
      <c r="Q674" s="82"/>
      <c r="R674" s="82"/>
      <c r="S674" s="178"/>
      <c r="T674" s="28"/>
      <c r="U674" s="185"/>
      <c r="V674" s="218"/>
      <c r="X674" s="157"/>
      <c r="Y674" s="157"/>
      <c r="Z674" s="157"/>
      <c r="AA674" s="157"/>
    </row>
    <row r="675" spans="1:29" ht="22.15" x14ac:dyDescent="0.35">
      <c r="A675"/>
      <c r="B675" s="44"/>
      <c r="C675" s="24"/>
      <c r="D675" s="24"/>
      <c r="E675" s="81" t="s">
        <v>188</v>
      </c>
      <c r="F675" s="60">
        <f t="shared" ref="F675:N675" si="221">IF(((F673="")*AND(F674="")),"",(F673-F674)*2)</f>
        <v>3880.5800000000004</v>
      </c>
      <c r="G675" s="60">
        <f t="shared" si="221"/>
        <v>4069.7</v>
      </c>
      <c r="H675" s="60">
        <f t="shared" si="221"/>
        <v>4095.16</v>
      </c>
      <c r="I675" s="60">
        <f t="shared" si="221"/>
        <v>4040.96</v>
      </c>
      <c r="J675" s="60">
        <f t="shared" si="221"/>
        <v>3848.92</v>
      </c>
      <c r="K675" s="60">
        <f t="shared" si="221"/>
        <v>3748.18</v>
      </c>
      <c r="L675" s="60">
        <f t="shared" si="221"/>
        <v>4034.52</v>
      </c>
      <c r="M675" s="60">
        <f t="shared" si="221"/>
        <v>4100.9799999999996</v>
      </c>
      <c r="N675" s="60">
        <f t="shared" si="221"/>
        <v>3950.94</v>
      </c>
      <c r="O675" s="81"/>
      <c r="P675" s="81"/>
      <c r="Q675" s="82"/>
      <c r="R675" s="82"/>
      <c r="S675" s="178"/>
      <c r="T675" s="28"/>
      <c r="U675" s="185"/>
      <c r="V675" s="218"/>
      <c r="X675" s="157"/>
      <c r="Y675" s="157"/>
      <c r="Z675" s="157"/>
      <c r="AA675" s="157"/>
    </row>
    <row r="676" spans="1:29" x14ac:dyDescent="0.25">
      <c r="A676" s="252">
        <v>43394</v>
      </c>
      <c r="B676" s="257" t="s">
        <v>169</v>
      </c>
      <c r="C676" s="24" t="s">
        <v>171</v>
      </c>
      <c r="D676" s="24" t="s">
        <v>189</v>
      </c>
      <c r="E676" s="81" t="s">
        <v>186</v>
      </c>
      <c r="F676" s="31">
        <v>1914.37</v>
      </c>
      <c r="G676" s="31">
        <v>1909.18</v>
      </c>
      <c r="H676" s="31">
        <v>1903.3</v>
      </c>
      <c r="I676" s="31">
        <v>1905.15</v>
      </c>
      <c r="J676" s="31">
        <v>1912.84</v>
      </c>
      <c r="K676" s="31">
        <v>1913.59</v>
      </c>
      <c r="L676" s="31">
        <v>1912.61</v>
      </c>
      <c r="M676" s="31">
        <v>1909.3</v>
      </c>
      <c r="N676" s="31">
        <v>1914.96</v>
      </c>
      <c r="O676" s="81">
        <f>IF((N677=""),"",MAX(F678:N678))</f>
        <v>2094.06</v>
      </c>
      <c r="P676" s="81">
        <f>IF(N677="","",MIN(F678:N678))</f>
        <v>1973.7000000000003</v>
      </c>
      <c r="Q676" s="82">
        <f>IF((N678=""),"",AVERAGE(F678:N678))</f>
        <v>2040.7333333333336</v>
      </c>
      <c r="R676" s="82">
        <f>IF((N677=""),"",(O676-P676)/(O676+P676)*100)</f>
        <v>2.9588766298896609</v>
      </c>
      <c r="S676" s="178">
        <f>STDEV(F678:N678)</f>
        <v>46.618574088017809</v>
      </c>
      <c r="T676" s="23" t="str">
        <f>IF(N677="","",IF(Q676&gt;1940,IF(R676&lt;8.3,IF(Q676&lt;2180,"Pass","Fail"),"Fail"),"Fail"))</f>
        <v>Pass</v>
      </c>
      <c r="U676" s="185">
        <v>121</v>
      </c>
      <c r="V676" s="218" t="s">
        <v>211</v>
      </c>
      <c r="X676" s="155">
        <v>2000</v>
      </c>
      <c r="Y676" s="155">
        <v>3000</v>
      </c>
      <c r="Z676" s="155">
        <v>1940</v>
      </c>
      <c r="AA676" s="155">
        <v>2180</v>
      </c>
      <c r="AC676" s="51">
        <v>5.2</v>
      </c>
    </row>
    <row r="677" spans="1:29" ht="16.100000000000001" x14ac:dyDescent="0.35">
      <c r="A677"/>
      <c r="B677" s="44"/>
      <c r="C677" s="24"/>
      <c r="D677" s="24"/>
      <c r="E677" s="81" t="s">
        <v>187</v>
      </c>
      <c r="F677" s="31">
        <v>1246.0899999999999</v>
      </c>
      <c r="G677" s="31">
        <v>1217.1199999999999</v>
      </c>
      <c r="H677" s="31">
        <v>1205.28</v>
      </c>
      <c r="I677" s="31">
        <v>1215.4100000000001</v>
      </c>
      <c r="J677" s="31">
        <v>1251.75</v>
      </c>
      <c r="K677" s="31">
        <v>1242.78</v>
      </c>
      <c r="L677" s="31">
        <v>1219</v>
      </c>
      <c r="M677" s="31">
        <v>1218.6099999999999</v>
      </c>
      <c r="N677" s="31">
        <v>1257.06</v>
      </c>
      <c r="O677" s="81"/>
      <c r="P677" s="81"/>
      <c r="Q677" s="82"/>
      <c r="R677" s="82"/>
      <c r="S677" s="178"/>
      <c r="T677" s="23"/>
      <c r="U677" s="179"/>
      <c r="V677" s="218"/>
      <c r="X677" s="157"/>
      <c r="Y677" s="157"/>
      <c r="Z677" s="157"/>
      <c r="AA677" s="157"/>
    </row>
    <row r="678" spans="1:29" ht="16.100000000000001" x14ac:dyDescent="0.35">
      <c r="A678"/>
      <c r="B678" s="44"/>
      <c r="C678" s="24"/>
      <c r="D678" s="24"/>
      <c r="E678" s="81" t="s">
        <v>190</v>
      </c>
      <c r="F678" s="60">
        <f t="shared" ref="F678:N678" si="222">IF(((F676="")*AND(F677="")),"",(F676-F677)*3)</f>
        <v>2004.84</v>
      </c>
      <c r="G678" s="60">
        <f t="shared" si="222"/>
        <v>2076.1800000000003</v>
      </c>
      <c r="H678" s="60">
        <f t="shared" si="222"/>
        <v>2094.06</v>
      </c>
      <c r="I678" s="60">
        <f t="shared" si="222"/>
        <v>2069.2200000000003</v>
      </c>
      <c r="J678" s="60">
        <f t="shared" si="222"/>
        <v>1983.2699999999998</v>
      </c>
      <c r="K678" s="60">
        <f t="shared" si="222"/>
        <v>2012.4299999999998</v>
      </c>
      <c r="L678" s="60">
        <f t="shared" si="222"/>
        <v>2080.83</v>
      </c>
      <c r="M678" s="60">
        <f t="shared" si="222"/>
        <v>2072.0700000000002</v>
      </c>
      <c r="N678" s="60">
        <f t="shared" si="222"/>
        <v>1973.7000000000003</v>
      </c>
      <c r="O678" s="81"/>
      <c r="P678" s="81"/>
      <c r="Q678" s="82"/>
      <c r="R678" s="82"/>
      <c r="S678" s="178"/>
      <c r="T678" s="23"/>
      <c r="U678" s="179"/>
      <c r="V678" s="218"/>
      <c r="X678" s="157"/>
      <c r="Y678" s="157"/>
      <c r="Z678" s="157"/>
      <c r="AA678" s="157"/>
    </row>
    <row r="679" spans="1:29" x14ac:dyDescent="0.25">
      <c r="A679" s="252">
        <v>43394</v>
      </c>
      <c r="B679" s="260" t="s">
        <v>185</v>
      </c>
      <c r="C679" s="24" t="s">
        <v>173</v>
      </c>
      <c r="D679" s="24" t="s">
        <v>172</v>
      </c>
      <c r="E679" s="81" t="s">
        <v>186</v>
      </c>
      <c r="F679" s="31">
        <v>26215.87</v>
      </c>
      <c r="G679" s="31">
        <v>26334.17</v>
      </c>
      <c r="H679" s="31">
        <v>26414.79</v>
      </c>
      <c r="I679" s="31">
        <v>26353.599999999999</v>
      </c>
      <c r="J679" s="31">
        <v>26228.15</v>
      </c>
      <c r="K679" s="31">
        <v>26275.54</v>
      </c>
      <c r="L679" s="31">
        <v>26374.47</v>
      </c>
      <c r="M679" s="31">
        <v>26307.18</v>
      </c>
      <c r="N679" s="31">
        <v>26173.77</v>
      </c>
      <c r="O679" s="81">
        <f>IF((N680=""),"",MAX(F681:N681))</f>
        <v>4763.7600000000057</v>
      </c>
      <c r="P679" s="81">
        <f>IF(N680="","",MIN(F681:N681))</f>
        <v>4250.4900000000052</v>
      </c>
      <c r="Q679" s="82">
        <f>IF((N681=""),"",AVERAGE(F681:N681))</f>
        <v>4437.9066666666668</v>
      </c>
      <c r="R679" s="82">
        <f>IF((N680=""),"",(O679-P679)/(O679+P679)*100)</f>
        <v>5.6939845245028682</v>
      </c>
      <c r="S679" s="178">
        <f>STDEV(F681:N681)</f>
        <v>190.63612406886833</v>
      </c>
      <c r="T679" s="23" t="str">
        <f>IF(N680="","",IF(R679&lt;16,IF(Q679&gt;3200,IF(R679,IF(Q679&lt;5240,"Pass","Fail"),"Fail"),"Fail")))</f>
        <v>Pass</v>
      </c>
      <c r="U679" s="185">
        <v>121</v>
      </c>
      <c r="V679" s="218" t="s">
        <v>211</v>
      </c>
      <c r="X679" s="155">
        <v>4200</v>
      </c>
      <c r="Y679" s="155">
        <v>5500</v>
      </c>
      <c r="Z679" s="155">
        <v>3200</v>
      </c>
      <c r="AA679" s="155">
        <v>5240</v>
      </c>
      <c r="AC679" s="51">
        <v>16</v>
      </c>
    </row>
    <row r="680" spans="1:29" ht="16.100000000000001" x14ac:dyDescent="0.35">
      <c r="A680"/>
      <c r="B680" s="44"/>
      <c r="C680" s="24"/>
      <c r="D680" s="24"/>
      <c r="E680" s="81" t="s">
        <v>187</v>
      </c>
      <c r="F680" s="31">
        <v>24689.52</v>
      </c>
      <c r="G680" s="31">
        <v>24904.15</v>
      </c>
      <c r="H680" s="31">
        <v>24997.89</v>
      </c>
      <c r="I680" s="31">
        <v>24917.47</v>
      </c>
      <c r="J680" s="31">
        <v>24675.71</v>
      </c>
      <c r="K680" s="31">
        <v>24782.12</v>
      </c>
      <c r="L680" s="31">
        <v>24957.64</v>
      </c>
      <c r="M680" s="31">
        <v>24853.47</v>
      </c>
      <c r="N680" s="31">
        <v>24585.85</v>
      </c>
      <c r="O680" s="81"/>
      <c r="P680" s="81"/>
      <c r="Q680" s="82"/>
      <c r="R680" s="82"/>
      <c r="S680" s="178"/>
      <c r="T680" s="23"/>
      <c r="U680" s="179"/>
      <c r="V680" s="218"/>
      <c r="X680" s="157"/>
      <c r="Y680" s="157"/>
      <c r="Z680" s="157"/>
      <c r="AA680" s="157"/>
    </row>
    <row r="681" spans="1:29" ht="22.75" thickBot="1" x14ac:dyDescent="0.4">
      <c r="A681"/>
      <c r="B681" s="83"/>
      <c r="C681" s="84"/>
      <c r="D681" s="84"/>
      <c r="E681" s="85" t="s">
        <v>188</v>
      </c>
      <c r="F681" s="73">
        <f t="shared" ref="F681:N681" si="223">IF(((F679="")*AND(F680="")),"",(F679-F680)*3)</f>
        <v>4579.0499999999956</v>
      </c>
      <c r="G681" s="73">
        <f t="shared" si="223"/>
        <v>4290.0599999999904</v>
      </c>
      <c r="H681" s="73">
        <f t="shared" si="223"/>
        <v>4250.7000000000044</v>
      </c>
      <c r="I681" s="73">
        <f t="shared" si="223"/>
        <v>4308.3899999999921</v>
      </c>
      <c r="J681" s="73">
        <f t="shared" si="223"/>
        <v>4657.320000000007</v>
      </c>
      <c r="K681" s="73">
        <f t="shared" si="223"/>
        <v>4480.2600000000057</v>
      </c>
      <c r="L681" s="73">
        <f t="shared" si="223"/>
        <v>4250.4900000000052</v>
      </c>
      <c r="M681" s="73">
        <f t="shared" si="223"/>
        <v>4361.1299999999974</v>
      </c>
      <c r="N681" s="73">
        <f t="shared" si="223"/>
        <v>4763.7600000000057</v>
      </c>
      <c r="O681" s="85"/>
      <c r="P681" s="85"/>
      <c r="Q681" s="86"/>
      <c r="R681" s="86"/>
      <c r="S681" s="181"/>
      <c r="T681" s="182"/>
      <c r="U681" s="183"/>
      <c r="V681" s="218"/>
      <c r="X681" s="157"/>
      <c r="Y681" s="157"/>
      <c r="Z681" s="157"/>
      <c r="AA681" s="157"/>
    </row>
    <row r="682" spans="1:29" x14ac:dyDescent="0.25">
      <c r="A682" s="252">
        <v>43397</v>
      </c>
      <c r="B682" s="261" t="s">
        <v>174</v>
      </c>
      <c r="C682" s="59" t="s">
        <v>176</v>
      </c>
      <c r="D682" s="59" t="s">
        <v>175</v>
      </c>
      <c r="E682" s="61" t="s">
        <v>186</v>
      </c>
      <c r="F682" s="31">
        <v>6848.32</v>
      </c>
      <c r="G682" s="31">
        <v>6841.1</v>
      </c>
      <c r="H682" s="31">
        <v>6888.48</v>
      </c>
      <c r="I682" s="31">
        <v>6848.47</v>
      </c>
      <c r="J682" s="31">
        <v>6893.98</v>
      </c>
      <c r="K682" s="31">
        <v>6866.11</v>
      </c>
      <c r="L682" s="31">
        <v>6873.7</v>
      </c>
      <c r="M682" s="31">
        <v>6878.57</v>
      </c>
      <c r="N682" s="31">
        <v>6952.19</v>
      </c>
      <c r="O682" s="61">
        <f>IF((N683=""),"",MAX(F684:N684))</f>
        <v>4067.5999999999985</v>
      </c>
      <c r="P682" s="61">
        <f>IF(N683="","",MIN(F684:N684))</f>
        <v>3694.7199999999993</v>
      </c>
      <c r="Q682" s="62">
        <f>IF((N684=""),"",AVERAGE(F684:N684))</f>
        <v>3939.1555555555556</v>
      </c>
      <c r="R682" s="62">
        <f>IF((N683=""),"",(O682-P682)/(O682+P682)*100)</f>
        <v>4.8037184759195615</v>
      </c>
      <c r="S682" s="190">
        <f>STDEV(F684:N684)</f>
        <v>130.28535749568263</v>
      </c>
      <c r="T682" s="158" t="str">
        <f>IF(N683="","",IF(Q682&gt;3650,IF(R682&lt;7,IF(Q682&lt;4450,"Pass","Fail"),"Fail"),"Fail"))</f>
        <v>Pass</v>
      </c>
      <c r="U682" s="184">
        <v>1159</v>
      </c>
      <c r="V682" s="266" t="s">
        <v>212</v>
      </c>
      <c r="X682" s="155">
        <v>3650</v>
      </c>
      <c r="Y682" s="155">
        <v>4450</v>
      </c>
      <c r="Z682" s="155">
        <v>3700</v>
      </c>
      <c r="AA682" s="155">
        <v>4100</v>
      </c>
      <c r="AB682" s="51">
        <v>7</v>
      </c>
      <c r="AC682" s="51">
        <v>6.5</v>
      </c>
    </row>
    <row r="683" spans="1:29" ht="16.100000000000001" x14ac:dyDescent="0.35">
      <c r="A683"/>
      <c r="B683" s="44"/>
      <c r="C683" s="24"/>
      <c r="D683" s="24"/>
      <c r="E683" s="81" t="s">
        <v>187</v>
      </c>
      <c r="F683" s="31">
        <v>4934.91</v>
      </c>
      <c r="G683" s="31">
        <v>4828.4399999999996</v>
      </c>
      <c r="H683" s="31">
        <v>4855.5</v>
      </c>
      <c r="I683" s="31">
        <v>4839.99</v>
      </c>
      <c r="J683" s="31">
        <v>4979.49</v>
      </c>
      <c r="K683" s="31">
        <v>5018.75</v>
      </c>
      <c r="L683" s="31">
        <v>4869.57</v>
      </c>
      <c r="M683" s="31">
        <v>4844.7700000000004</v>
      </c>
      <c r="N683" s="31">
        <v>4993.3</v>
      </c>
      <c r="O683" s="81"/>
      <c r="P683" s="81"/>
      <c r="Q683" s="82"/>
      <c r="R683" s="82"/>
      <c r="S683" s="178"/>
      <c r="T683" s="28"/>
      <c r="U683" s="185"/>
      <c r="V683" s="218"/>
      <c r="X683" s="157"/>
      <c r="Y683" s="157"/>
      <c r="Z683" s="157"/>
      <c r="AA683" s="157"/>
    </row>
    <row r="684" spans="1:29" ht="22.15" x14ac:dyDescent="0.35">
      <c r="A684"/>
      <c r="B684" s="44"/>
      <c r="C684" s="24"/>
      <c r="D684" s="24"/>
      <c r="E684" s="81" t="s">
        <v>188</v>
      </c>
      <c r="F684" s="60">
        <f t="shared" ref="F684:N684" si="224">IF(((F682="")*AND(F683="")),"",(F682-F683)*2)</f>
        <v>3826.8199999999997</v>
      </c>
      <c r="G684" s="60">
        <f t="shared" si="224"/>
        <v>4025.3200000000015</v>
      </c>
      <c r="H684" s="60">
        <f t="shared" si="224"/>
        <v>4065.9599999999991</v>
      </c>
      <c r="I684" s="60">
        <f t="shared" si="224"/>
        <v>4016.9600000000009</v>
      </c>
      <c r="J684" s="60">
        <f t="shared" si="224"/>
        <v>3828.9799999999996</v>
      </c>
      <c r="K684" s="60">
        <f t="shared" si="224"/>
        <v>3694.7199999999993</v>
      </c>
      <c r="L684" s="60">
        <f t="shared" si="224"/>
        <v>4008.26</v>
      </c>
      <c r="M684" s="60">
        <f t="shared" si="224"/>
        <v>4067.5999999999985</v>
      </c>
      <c r="N684" s="60">
        <f t="shared" si="224"/>
        <v>3917.7799999999988</v>
      </c>
      <c r="O684" s="81"/>
      <c r="P684" s="81"/>
      <c r="Q684" s="82"/>
      <c r="R684" s="82"/>
      <c r="S684" s="178"/>
      <c r="T684" s="28"/>
      <c r="U684" s="185"/>
      <c r="V684" s="218"/>
      <c r="X684" s="157"/>
      <c r="Y684" s="157"/>
      <c r="Z684" s="157"/>
      <c r="AA684" s="157"/>
    </row>
    <row r="685" spans="1:29" x14ac:dyDescent="0.25">
      <c r="A685" s="252">
        <v>43397</v>
      </c>
      <c r="B685" s="257" t="s">
        <v>169</v>
      </c>
      <c r="C685" s="24" t="s">
        <v>171</v>
      </c>
      <c r="D685" s="24" t="s">
        <v>189</v>
      </c>
      <c r="E685" s="81" t="s">
        <v>186</v>
      </c>
      <c r="F685" s="31">
        <v>1932.85</v>
      </c>
      <c r="G685" s="31">
        <v>1930.26</v>
      </c>
      <c r="H685" s="31">
        <v>1927.21</v>
      </c>
      <c r="I685" s="31">
        <v>1930.64</v>
      </c>
      <c r="J685" s="31">
        <v>1933.02</v>
      </c>
      <c r="K685" s="31">
        <v>1934.76</v>
      </c>
      <c r="L685" s="31">
        <v>1927.98</v>
      </c>
      <c r="M685" s="31">
        <v>1932.22</v>
      </c>
      <c r="N685" s="31">
        <v>1935.08</v>
      </c>
      <c r="O685" s="81">
        <f>IF((N686=""),"",MAX(F687:N687))</f>
        <v>2083.2000000000003</v>
      </c>
      <c r="P685" s="81">
        <f>IF(N686="","",MIN(F687:N687))</f>
        <v>1964.91</v>
      </c>
      <c r="Q685" s="82">
        <f>IF((N687=""),"",AVERAGE(F687:N687))</f>
        <v>2036.9299999999998</v>
      </c>
      <c r="R685" s="82">
        <f>IF((N686=""),"",(O685-P685)/(O685+P685)*100)</f>
        <v>2.9221043894558245</v>
      </c>
      <c r="S685" s="178">
        <f>STDEV(F687:N687)</f>
        <v>43.497897362976111</v>
      </c>
      <c r="T685" s="23" t="str">
        <f>IF(N686="","",IF(Q685&gt;1940,IF(R685&lt;8.3,IF(Q685&lt;2180,"Pass","Fail"),"Fail"),"Fail"))</f>
        <v>Pass</v>
      </c>
      <c r="U685" s="185">
        <v>1159</v>
      </c>
      <c r="V685" s="218" t="s">
        <v>212</v>
      </c>
      <c r="X685" s="155">
        <v>2000</v>
      </c>
      <c r="Y685" s="155">
        <v>3000</v>
      </c>
      <c r="Z685" s="155">
        <v>1940</v>
      </c>
      <c r="AA685" s="155">
        <v>2180</v>
      </c>
      <c r="AC685" s="51">
        <v>5.2</v>
      </c>
    </row>
    <row r="686" spans="1:29" ht="16.100000000000001" x14ac:dyDescent="0.35">
      <c r="A686"/>
      <c r="B686" s="44"/>
      <c r="C686" s="24"/>
      <c r="D686" s="24"/>
      <c r="E686" s="81" t="s">
        <v>187</v>
      </c>
      <c r="F686" s="31">
        <v>1260.81</v>
      </c>
      <c r="G686" s="31">
        <v>1236.2</v>
      </c>
      <c r="H686" s="31">
        <v>1240.83</v>
      </c>
      <c r="I686" s="31">
        <v>1241.55</v>
      </c>
      <c r="J686" s="31">
        <v>1278.05</v>
      </c>
      <c r="K686" s="31">
        <v>1265.45</v>
      </c>
      <c r="L686" s="31">
        <v>1240.18</v>
      </c>
      <c r="M686" s="31">
        <v>1237.82</v>
      </c>
      <c r="N686" s="31">
        <v>1272.3399999999999</v>
      </c>
      <c r="O686" s="81"/>
      <c r="P686" s="81"/>
      <c r="Q686" s="82"/>
      <c r="R686" s="82"/>
      <c r="S686" s="178"/>
      <c r="T686" s="23"/>
      <c r="U686" s="179"/>
      <c r="V686" s="218"/>
      <c r="X686" s="157"/>
      <c r="Y686" s="157"/>
      <c r="Z686" s="157"/>
      <c r="AA686" s="157"/>
    </row>
    <row r="687" spans="1:29" ht="21.6" customHeight="1" x14ac:dyDescent="0.35">
      <c r="A687"/>
      <c r="B687" s="44"/>
      <c r="C687" s="24"/>
      <c r="D687" s="24"/>
      <c r="E687" s="81" t="s">
        <v>190</v>
      </c>
      <c r="F687" s="60">
        <f t="shared" ref="F687:N687" si="225">IF(((F685="")*AND(F686="")),"",(F685-F686)*3)</f>
        <v>2016.12</v>
      </c>
      <c r="G687" s="60">
        <f t="shared" si="225"/>
        <v>2082.1799999999998</v>
      </c>
      <c r="H687" s="60">
        <f t="shared" si="225"/>
        <v>2059.1400000000003</v>
      </c>
      <c r="I687" s="60">
        <f t="shared" si="225"/>
        <v>2067.2700000000004</v>
      </c>
      <c r="J687" s="60">
        <f t="shared" si="225"/>
        <v>1964.91</v>
      </c>
      <c r="K687" s="60">
        <f t="shared" si="225"/>
        <v>2007.9299999999998</v>
      </c>
      <c r="L687" s="60">
        <f t="shared" si="225"/>
        <v>2063.3999999999996</v>
      </c>
      <c r="M687" s="60">
        <f t="shared" si="225"/>
        <v>2083.2000000000003</v>
      </c>
      <c r="N687" s="60">
        <f t="shared" si="225"/>
        <v>1988.22</v>
      </c>
      <c r="O687" s="81"/>
      <c r="P687" s="81"/>
      <c r="Q687" s="82"/>
      <c r="R687" s="82"/>
      <c r="S687" s="178"/>
      <c r="T687" s="23"/>
      <c r="U687" s="179"/>
      <c r="V687" s="218"/>
      <c r="X687" s="157"/>
      <c r="Y687" s="157"/>
      <c r="Z687" s="157"/>
      <c r="AA687" s="157"/>
    </row>
    <row r="688" spans="1:29" x14ac:dyDescent="0.25">
      <c r="A688" s="252">
        <v>43397</v>
      </c>
      <c r="B688" s="260" t="s">
        <v>185</v>
      </c>
      <c r="C688" s="24" t="s">
        <v>173</v>
      </c>
      <c r="D688" s="24" t="s">
        <v>172</v>
      </c>
      <c r="E688" s="81" t="s">
        <v>186</v>
      </c>
      <c r="F688" s="31">
        <v>24639.67</v>
      </c>
      <c r="G688" s="31">
        <v>24864.33</v>
      </c>
      <c r="H688" s="31">
        <v>24955.78</v>
      </c>
      <c r="I688" s="31">
        <v>24878.22</v>
      </c>
      <c r="J688" s="31">
        <v>24626.35</v>
      </c>
      <c r="K688" s="31">
        <v>24737.47</v>
      </c>
      <c r="L688" s="31">
        <v>24917</v>
      </c>
      <c r="M688" s="31">
        <v>24812.61</v>
      </c>
      <c r="N688" s="31">
        <v>24541.77</v>
      </c>
      <c r="O688" s="81">
        <f>IF((N689=""),"",MAX(F690:N690))</f>
        <v>4643.5500000000065</v>
      </c>
      <c r="P688" s="81">
        <f>IF(N689="","",MIN(F690:N690))</f>
        <v>4202.7299999999996</v>
      </c>
      <c r="Q688" s="82">
        <f>IF((N690=""),"",AVERAGE(F690:N690))</f>
        <v>4385.1799999999994</v>
      </c>
      <c r="R688" s="82">
        <f>IF((N689=""),"",(O688-P688)/(O688+P688)*100)</f>
        <v>4.9831115451919521</v>
      </c>
      <c r="S688" s="178">
        <f>STDEV(F690:N690)</f>
        <v>163.23632546096951</v>
      </c>
      <c r="T688" s="23" t="str">
        <f>IF(N689="","",IF(R688&lt;16,IF(Q688&gt;3200,IF(R688,IF(Q688&lt;5240,"Pass","Fail"),"Fail"),"Fail")))</f>
        <v>Pass</v>
      </c>
      <c r="U688" s="185">
        <v>1159</v>
      </c>
      <c r="V688" s="218" t="s">
        <v>212</v>
      </c>
      <c r="X688" s="155">
        <v>4200</v>
      </c>
      <c r="Y688" s="155">
        <v>5500</v>
      </c>
      <c r="Z688" s="155">
        <v>3200</v>
      </c>
      <c r="AA688" s="155">
        <v>5240</v>
      </c>
      <c r="AC688" s="51">
        <v>16</v>
      </c>
    </row>
    <row r="689" spans="1:29" ht="16.100000000000001" x14ac:dyDescent="0.35">
      <c r="A689"/>
      <c r="B689" s="44"/>
      <c r="C689" s="24"/>
      <c r="D689" s="24"/>
      <c r="E689" s="81" t="s">
        <v>187</v>
      </c>
      <c r="F689" s="31">
        <v>23145.360000000001</v>
      </c>
      <c r="G689" s="31">
        <v>23444.7</v>
      </c>
      <c r="H689" s="31">
        <v>23554.87</v>
      </c>
      <c r="I689" s="31">
        <v>23448.63</v>
      </c>
      <c r="J689" s="31">
        <v>23097.79</v>
      </c>
      <c r="K689" s="31">
        <v>23246.240000000002</v>
      </c>
      <c r="L689" s="31">
        <v>23504.39</v>
      </c>
      <c r="M689" s="31">
        <v>23381.759999999998</v>
      </c>
      <c r="N689" s="31">
        <v>22993.919999999998</v>
      </c>
      <c r="O689" s="81"/>
      <c r="P689" s="81"/>
      <c r="Q689" s="82"/>
      <c r="R689" s="82"/>
      <c r="S689" s="178"/>
      <c r="T689" s="23"/>
      <c r="U689" s="179"/>
      <c r="V689" s="218"/>
      <c r="X689" s="157"/>
      <c r="Y689" s="157"/>
      <c r="Z689" s="157"/>
      <c r="AA689" s="157"/>
    </row>
    <row r="690" spans="1:29" ht="22.75" thickBot="1" x14ac:dyDescent="0.4">
      <c r="A690"/>
      <c r="B690" s="83"/>
      <c r="C690" s="84"/>
      <c r="D690" s="84"/>
      <c r="E690" s="85" t="s">
        <v>188</v>
      </c>
      <c r="F690" s="73">
        <f t="shared" ref="F690:N690" si="226">IF(((F688="")*AND(F689="")),"",(F688-F689)*3)</f>
        <v>4482.929999999993</v>
      </c>
      <c r="G690" s="73">
        <f t="shared" si="226"/>
        <v>4258.8900000000031</v>
      </c>
      <c r="H690" s="73">
        <f t="shared" si="226"/>
        <v>4202.7299999999996</v>
      </c>
      <c r="I690" s="73">
        <f t="shared" si="226"/>
        <v>4288.7700000000004</v>
      </c>
      <c r="J690" s="73">
        <f t="shared" si="226"/>
        <v>4585.679999999993</v>
      </c>
      <c r="K690" s="73">
        <f t="shared" si="226"/>
        <v>4473.6899999999987</v>
      </c>
      <c r="L690" s="73">
        <f t="shared" si="226"/>
        <v>4237.8300000000017</v>
      </c>
      <c r="M690" s="73">
        <f t="shared" si="226"/>
        <v>4292.5500000000065</v>
      </c>
      <c r="N690" s="73">
        <f t="shared" si="226"/>
        <v>4643.5500000000065</v>
      </c>
      <c r="O690" s="85"/>
      <c r="P690" s="85"/>
      <c r="Q690" s="86"/>
      <c r="R690" s="86"/>
      <c r="S690" s="181"/>
      <c r="T690" s="182"/>
      <c r="U690" s="183"/>
      <c r="V690" s="218"/>
      <c r="X690" s="157"/>
      <c r="Y690" s="157"/>
      <c r="Z690" s="157"/>
      <c r="AA690" s="157"/>
    </row>
    <row r="691" spans="1:29" x14ac:dyDescent="0.25">
      <c r="A691" s="252">
        <v>43401</v>
      </c>
      <c r="B691" s="261" t="s">
        <v>174</v>
      </c>
      <c r="C691" s="59" t="s">
        <v>176</v>
      </c>
      <c r="D691" s="59" t="s">
        <v>175</v>
      </c>
      <c r="E691" s="61" t="s">
        <v>186</v>
      </c>
      <c r="F691" s="31">
        <v>4940.8500000000004</v>
      </c>
      <c r="G691" s="31">
        <v>4836.93</v>
      </c>
      <c r="H691" s="31">
        <v>4863.9799999999996</v>
      </c>
      <c r="I691" s="31">
        <v>4849.74</v>
      </c>
      <c r="J691" s="31">
        <v>4985.08</v>
      </c>
      <c r="K691" s="31">
        <v>5024.28</v>
      </c>
      <c r="L691" s="31">
        <v>4878.17</v>
      </c>
      <c r="M691" s="31">
        <v>4853.58</v>
      </c>
      <c r="N691" s="31">
        <v>4999.28</v>
      </c>
      <c r="O691" s="61">
        <f>IF((N692=""),"",MAX(F693:N693))</f>
        <v>4155.08</v>
      </c>
      <c r="P691" s="61">
        <f>IF(N692="","",MIN(F693:N693))</f>
        <v>3758.4799999999996</v>
      </c>
      <c r="Q691" s="62">
        <f>IF((N693=""),"",AVERAGE(F693:N693))</f>
        <v>4018.7577777777778</v>
      </c>
      <c r="R691" s="62">
        <f>IF((N692=""),"",(O691-P691)/(O691+P691)*100)</f>
        <v>5.0116508878431496</v>
      </c>
      <c r="S691" s="190">
        <f>STDEV(F693:N693)</f>
        <v>134.0789056654493</v>
      </c>
      <c r="T691" s="158" t="str">
        <f>IF(N692="","",IF(Q691&gt;3650,IF(R691&lt;7,IF(Q691&lt;4450,"Pass","Fail"),"Fail"),"Fail"))</f>
        <v>Pass</v>
      </c>
      <c r="U691" s="184">
        <v>1335</v>
      </c>
      <c r="V691" s="266"/>
      <c r="X691" s="155">
        <v>3650</v>
      </c>
      <c r="Y691" s="155">
        <v>4450</v>
      </c>
      <c r="Z691" s="155">
        <v>3700</v>
      </c>
      <c r="AA691" s="155">
        <v>4100</v>
      </c>
      <c r="AB691" s="51">
        <v>7</v>
      </c>
      <c r="AC691" s="51">
        <v>6.5</v>
      </c>
    </row>
    <row r="692" spans="1:29" ht="16.100000000000001" x14ac:dyDescent="0.35">
      <c r="A692"/>
      <c r="B692" s="44"/>
      <c r="C692" s="24"/>
      <c r="D692" s="24"/>
      <c r="E692" s="81" t="s">
        <v>187</v>
      </c>
      <c r="F692" s="31">
        <v>2977.58</v>
      </c>
      <c r="G692" s="31">
        <v>2780.34</v>
      </c>
      <c r="H692" s="31">
        <v>2793.04</v>
      </c>
      <c r="I692" s="31">
        <v>2803.52</v>
      </c>
      <c r="J692" s="31">
        <v>3038.01</v>
      </c>
      <c r="K692" s="31">
        <v>3145.04</v>
      </c>
      <c r="L692" s="31">
        <v>2837.95</v>
      </c>
      <c r="M692" s="31">
        <v>2776.04</v>
      </c>
      <c r="N692" s="31">
        <v>2995.96</v>
      </c>
      <c r="O692" s="81"/>
      <c r="P692" s="81"/>
      <c r="Q692" s="82"/>
      <c r="R692" s="82"/>
      <c r="S692" s="178"/>
      <c r="T692" s="28"/>
      <c r="U692" s="185"/>
      <c r="V692" s="218"/>
      <c r="X692" s="157"/>
      <c r="Y692" s="157"/>
      <c r="Z692" s="157"/>
      <c r="AA692" s="157"/>
    </row>
    <row r="693" spans="1:29" ht="22.15" x14ac:dyDescent="0.35">
      <c r="A693"/>
      <c r="B693" s="44"/>
      <c r="C693" s="24"/>
      <c r="D693" s="24"/>
      <c r="E693" s="81" t="s">
        <v>188</v>
      </c>
      <c r="F693" s="60">
        <f t="shared" ref="F693:N693" si="227">IF(((F691="")*AND(F692="")),"",(F691-F692)*2)</f>
        <v>3926.5400000000009</v>
      </c>
      <c r="G693" s="60">
        <f t="shared" si="227"/>
        <v>4113.18</v>
      </c>
      <c r="H693" s="60">
        <f t="shared" si="227"/>
        <v>4141.8799999999992</v>
      </c>
      <c r="I693" s="60">
        <f t="shared" si="227"/>
        <v>4092.4399999999996</v>
      </c>
      <c r="J693" s="60">
        <f t="shared" si="227"/>
        <v>3894.1399999999994</v>
      </c>
      <c r="K693" s="60">
        <f t="shared" si="227"/>
        <v>3758.4799999999996</v>
      </c>
      <c r="L693" s="60">
        <f t="shared" si="227"/>
        <v>4080.4400000000005</v>
      </c>
      <c r="M693" s="60">
        <f t="shared" si="227"/>
        <v>4155.08</v>
      </c>
      <c r="N693" s="60">
        <f t="shared" si="227"/>
        <v>4006.6399999999994</v>
      </c>
      <c r="O693" s="81"/>
      <c r="P693" s="81"/>
      <c r="Q693" s="82"/>
      <c r="R693" s="82"/>
      <c r="S693" s="178"/>
      <c r="T693" s="28"/>
      <c r="U693" s="185"/>
      <c r="V693" s="218"/>
      <c r="X693" s="157"/>
      <c r="Y693" s="157"/>
      <c r="Z693" s="157"/>
      <c r="AA693" s="157"/>
    </row>
    <row r="694" spans="1:29" x14ac:dyDescent="0.25">
      <c r="A694" s="252">
        <v>43401</v>
      </c>
      <c r="B694" s="257" t="s">
        <v>169</v>
      </c>
      <c r="C694" s="24" t="s">
        <v>171</v>
      </c>
      <c r="D694" s="24" t="s">
        <v>189</v>
      </c>
      <c r="E694" s="81" t="s">
        <v>186</v>
      </c>
      <c r="F694" s="31">
        <v>1266.5899999999999</v>
      </c>
      <c r="G694" s="31">
        <v>1237.8599999999999</v>
      </c>
      <c r="H694" s="31">
        <v>1237.02</v>
      </c>
      <c r="I694" s="31">
        <v>1244.4000000000001</v>
      </c>
      <c r="J694" s="31">
        <v>1280.71</v>
      </c>
      <c r="K694" s="31">
        <v>1272.77</v>
      </c>
      <c r="L694" s="31">
        <v>1243.71</v>
      </c>
      <c r="M694" s="31">
        <v>1239.3699999999999</v>
      </c>
      <c r="N694" s="31">
        <v>1268.2</v>
      </c>
      <c r="O694" s="81">
        <f>IF((N695=""),"",MAX(F696:N696))</f>
        <v>2101.7699999999995</v>
      </c>
      <c r="P694" s="81">
        <f>IF(N695="","",MIN(F696:N696))</f>
        <v>1993.8000000000002</v>
      </c>
      <c r="Q694" s="82">
        <f>IF((N696=""),"",AVERAGE(F696:N696))</f>
        <v>2061.0766666666664</v>
      </c>
      <c r="R694" s="82">
        <f>IF((N695=""),"",(O694-P694)/(O694+P694)*100)</f>
        <v>2.6362630842593182</v>
      </c>
      <c r="S694" s="178">
        <f>STDEV(F696:N696)</f>
        <v>42.624560994806671</v>
      </c>
      <c r="T694" s="23" t="str">
        <f>IF(N695="","",IF(Q694&gt;1940,IF(R694&lt;8.3,IF(Q694&lt;2180,"Pass","Fail"),"Fail"),"Fail"))</f>
        <v>Pass</v>
      </c>
      <c r="U694" s="185">
        <v>1335</v>
      </c>
      <c r="V694" s="218"/>
      <c r="X694" s="155">
        <v>2000</v>
      </c>
      <c r="Y694" s="155">
        <v>3000</v>
      </c>
      <c r="Z694" s="155">
        <v>1940</v>
      </c>
      <c r="AA694" s="155">
        <v>2180</v>
      </c>
      <c r="AC694" s="51">
        <v>5.2</v>
      </c>
    </row>
    <row r="695" spans="1:29" ht="16.100000000000001" x14ac:dyDescent="0.35">
      <c r="A695"/>
      <c r="B695" s="44"/>
      <c r="C695" s="24"/>
      <c r="D695" s="24"/>
      <c r="E695" s="81" t="s">
        <v>187</v>
      </c>
      <c r="F695" s="31">
        <v>589.89</v>
      </c>
      <c r="G695" s="31">
        <v>538.96</v>
      </c>
      <c r="H695" s="31">
        <v>537.91</v>
      </c>
      <c r="I695" s="31">
        <v>546.11</v>
      </c>
      <c r="J695" s="31">
        <v>609.98</v>
      </c>
      <c r="K695" s="31">
        <v>594.04</v>
      </c>
      <c r="L695" s="31">
        <v>548.13</v>
      </c>
      <c r="M695" s="31">
        <v>538.78</v>
      </c>
      <c r="N695" s="31">
        <v>603.6</v>
      </c>
      <c r="O695" s="81"/>
      <c r="P695" s="81"/>
      <c r="Q695" s="82"/>
      <c r="R695" s="82"/>
      <c r="S695" s="178"/>
      <c r="T695" s="23"/>
      <c r="U695" s="179"/>
      <c r="V695" s="218"/>
      <c r="X695" s="157"/>
      <c r="Y695" s="157"/>
      <c r="Z695" s="157"/>
      <c r="AA695" s="157"/>
    </row>
    <row r="696" spans="1:29" ht="16.100000000000001" x14ac:dyDescent="0.35">
      <c r="A696"/>
      <c r="B696" s="44"/>
      <c r="C696" s="24"/>
      <c r="D696" s="24"/>
      <c r="E696" s="81" t="s">
        <v>190</v>
      </c>
      <c r="F696" s="60">
        <f t="shared" ref="F696:N696" si="228">IF(((F694="")*AND(F695="")),"",(F694-F695)*3)</f>
        <v>2030.1</v>
      </c>
      <c r="G696" s="60">
        <f t="shared" si="228"/>
        <v>2096.6999999999998</v>
      </c>
      <c r="H696" s="60">
        <f t="shared" si="228"/>
        <v>2097.33</v>
      </c>
      <c r="I696" s="60">
        <f t="shared" si="228"/>
        <v>2094.8700000000003</v>
      </c>
      <c r="J696" s="60">
        <f t="shared" si="228"/>
        <v>2012.19</v>
      </c>
      <c r="K696" s="60">
        <f t="shared" si="228"/>
        <v>2036.19</v>
      </c>
      <c r="L696" s="60">
        <f t="shared" si="228"/>
        <v>2086.7400000000002</v>
      </c>
      <c r="M696" s="60">
        <f t="shared" si="228"/>
        <v>2101.7699999999995</v>
      </c>
      <c r="N696" s="60">
        <f t="shared" si="228"/>
        <v>1993.8000000000002</v>
      </c>
      <c r="O696" s="81"/>
      <c r="P696" s="81"/>
      <c r="Q696" s="82"/>
      <c r="R696" s="82"/>
      <c r="S696" s="178"/>
      <c r="T696" s="23"/>
      <c r="U696" s="179"/>
      <c r="V696" s="218"/>
      <c r="X696" s="157"/>
      <c r="Y696" s="157"/>
      <c r="Z696" s="157"/>
      <c r="AA696" s="157"/>
    </row>
    <row r="697" spans="1:29" x14ac:dyDescent="0.25">
      <c r="A697" s="252">
        <v>43401</v>
      </c>
      <c r="B697" s="260" t="s">
        <v>185</v>
      </c>
      <c r="C697" s="24" t="s">
        <v>173</v>
      </c>
      <c r="D697" s="24" t="s">
        <v>172</v>
      </c>
      <c r="E697" s="81" t="s">
        <v>186</v>
      </c>
      <c r="F697" s="31">
        <v>23089.54</v>
      </c>
      <c r="G697" s="31">
        <v>23397.7</v>
      </c>
      <c r="H697" s="31">
        <v>23505.14</v>
      </c>
      <c r="I697" s="31">
        <v>23396.799999999999</v>
      </c>
      <c r="J697" s="31">
        <v>23044.99</v>
      </c>
      <c r="K697" s="31">
        <v>23191.759999999998</v>
      </c>
      <c r="L697" s="31">
        <v>23454.27</v>
      </c>
      <c r="M697" s="31">
        <v>23331.77</v>
      </c>
      <c r="N697" s="31">
        <v>22937.08</v>
      </c>
      <c r="O697" s="81">
        <f>IF((N698=""),"",MAX(F699:N699))</f>
        <v>4684.2600000000057</v>
      </c>
      <c r="P697" s="81">
        <f>IF(N698="","",MIN(F699:N699))</f>
        <v>4211.6400000000031</v>
      </c>
      <c r="Q697" s="82">
        <f>IF((N699=""),"",AVERAGE(F699:N699))</f>
        <v>4412.9833333333336</v>
      </c>
      <c r="R697" s="82">
        <f>IF((N698=""),"",(O697-P697)/(O697+P697)*100)</f>
        <v>5.3127845411931576</v>
      </c>
      <c r="S697" s="178">
        <f>STDEV(F699:N699)</f>
        <v>185.46633164809478</v>
      </c>
      <c r="T697" s="23" t="str">
        <f>IF(N698="","",IF(R697&lt;16,IF(Q697&gt;3200,IF(R697,IF(Q697&lt;5240,"Pass","Fail"),"Fail"),"Fail")))</f>
        <v>Pass</v>
      </c>
      <c r="U697" s="185">
        <v>1335</v>
      </c>
      <c r="V697" s="218"/>
      <c r="X697" s="155">
        <v>4200</v>
      </c>
      <c r="Y697" s="155">
        <v>5500</v>
      </c>
      <c r="Z697" s="155">
        <v>3200</v>
      </c>
      <c r="AA697" s="155">
        <v>5240</v>
      </c>
      <c r="AC697" s="51">
        <v>16</v>
      </c>
    </row>
    <row r="698" spans="1:29" ht="16.100000000000001" x14ac:dyDescent="0.35">
      <c r="A698"/>
      <c r="B698" s="44"/>
      <c r="C698" s="24"/>
      <c r="D698" s="24"/>
      <c r="E698" s="81" t="s">
        <v>187</v>
      </c>
      <c r="F698" s="31">
        <v>21538.959999999999</v>
      </c>
      <c r="G698" s="31">
        <v>21965.74</v>
      </c>
      <c r="H698" s="31">
        <v>22101.26</v>
      </c>
      <c r="I698" s="31">
        <v>21980.13</v>
      </c>
      <c r="J698" s="31">
        <v>21530.959999999999</v>
      </c>
      <c r="K698" s="31">
        <v>21686.36</v>
      </c>
      <c r="L698" s="31">
        <v>22038.33</v>
      </c>
      <c r="M698" s="31">
        <v>21892.7</v>
      </c>
      <c r="N698" s="31">
        <v>21375.66</v>
      </c>
      <c r="O698" s="81"/>
      <c r="P698" s="81"/>
      <c r="Q698" s="82"/>
      <c r="R698" s="82"/>
      <c r="S698" s="178"/>
      <c r="T698" s="23"/>
      <c r="U698" s="179"/>
      <c r="V698" s="218"/>
      <c r="X698" s="157"/>
      <c r="Y698" s="157"/>
      <c r="Z698" s="157"/>
      <c r="AA698" s="157"/>
    </row>
    <row r="699" spans="1:29" ht="22.75" thickBot="1" x14ac:dyDescent="0.4">
      <c r="A699"/>
      <c r="B699" s="83"/>
      <c r="C699" s="84"/>
      <c r="D699" s="84"/>
      <c r="E699" s="85" t="s">
        <v>188</v>
      </c>
      <c r="F699" s="73">
        <f t="shared" ref="F699:N699" si="229">IF(((F697="")*AND(F698="")),"",(F697-F698)*3)</f>
        <v>4651.7400000000052</v>
      </c>
      <c r="G699" s="73">
        <f t="shared" si="229"/>
        <v>4295.8799999999974</v>
      </c>
      <c r="H699" s="73">
        <f t="shared" si="229"/>
        <v>4211.6400000000031</v>
      </c>
      <c r="I699" s="73">
        <f t="shared" si="229"/>
        <v>4250.0099999999948</v>
      </c>
      <c r="J699" s="73">
        <f t="shared" si="229"/>
        <v>4542.0900000000074</v>
      </c>
      <c r="K699" s="73">
        <f t="shared" si="229"/>
        <v>4516.1999999999935</v>
      </c>
      <c r="L699" s="73">
        <f t="shared" si="229"/>
        <v>4247.8199999999961</v>
      </c>
      <c r="M699" s="73">
        <f t="shared" si="229"/>
        <v>4317.2099999999991</v>
      </c>
      <c r="N699" s="73">
        <f t="shared" si="229"/>
        <v>4684.2600000000057</v>
      </c>
      <c r="O699" s="85"/>
      <c r="P699" s="85"/>
      <c r="Q699" s="86"/>
      <c r="R699" s="86"/>
      <c r="S699" s="181"/>
      <c r="T699" s="182"/>
      <c r="U699" s="183"/>
      <c r="V699" s="218"/>
      <c r="X699" s="157"/>
      <c r="Y699" s="157"/>
      <c r="Z699" s="157"/>
      <c r="AA699" s="157"/>
    </row>
    <row r="700" spans="1:29" x14ac:dyDescent="0.25">
      <c r="A700" s="249">
        <v>43404</v>
      </c>
      <c r="B700" s="261" t="s">
        <v>174</v>
      </c>
      <c r="C700" s="59" t="s">
        <v>176</v>
      </c>
      <c r="D700" s="59" t="s">
        <v>175</v>
      </c>
      <c r="E700" s="61" t="s">
        <v>186</v>
      </c>
      <c r="F700" s="31">
        <v>2984.52</v>
      </c>
      <c r="G700" s="31">
        <v>2786.95</v>
      </c>
      <c r="H700" s="31">
        <v>2799.84</v>
      </c>
      <c r="I700" s="31">
        <v>2810.01</v>
      </c>
      <c r="J700" s="31">
        <v>3044.96</v>
      </c>
      <c r="K700" s="31">
        <v>3152.39</v>
      </c>
      <c r="L700" s="31">
        <v>2844.83</v>
      </c>
      <c r="M700" s="31">
        <v>2782.63</v>
      </c>
      <c r="N700" s="31">
        <v>3003.37</v>
      </c>
      <c r="O700" s="61">
        <f>IF((N701=""),"",MAX(F702:N702))</f>
        <v>4115.76</v>
      </c>
      <c r="P700" s="61">
        <f>IF(N701="","",MIN(F702:N702))</f>
        <v>3779.18</v>
      </c>
      <c r="Q700" s="62">
        <f>IF((N702=""),"",AVERAGE(F702:N702))</f>
        <v>3995.9355555555553</v>
      </c>
      <c r="R700" s="62">
        <f>IF((N701=""),"",(O700-P700)/(O700+P700)*100)</f>
        <v>4.2632369593689168</v>
      </c>
      <c r="S700" s="190">
        <f>STDEV(F702:N702)</f>
        <v>117.17436996962175</v>
      </c>
      <c r="T700" s="158" t="str">
        <f>IF(N701="","",IF(Q700&gt;3650,IF(R700&lt;7,IF(Q700&lt;4450,"Pass","Fail"),"Fail"),"Fail"))</f>
        <v>Pass</v>
      </c>
      <c r="U700" s="184">
        <v>64</v>
      </c>
      <c r="V700" s="266"/>
      <c r="X700" s="155">
        <v>3650</v>
      </c>
      <c r="Y700" s="155">
        <v>4450</v>
      </c>
      <c r="Z700" s="155">
        <v>3700</v>
      </c>
      <c r="AA700" s="155">
        <v>4100</v>
      </c>
      <c r="AB700" s="51">
        <v>7</v>
      </c>
      <c r="AC700" s="51">
        <v>6.5</v>
      </c>
    </row>
    <row r="701" spans="1:29" ht="16.100000000000001" x14ac:dyDescent="0.35">
      <c r="A701"/>
      <c r="B701" s="44"/>
      <c r="C701" s="24"/>
      <c r="D701" s="24"/>
      <c r="E701" s="81" t="s">
        <v>187</v>
      </c>
      <c r="F701" s="31">
        <v>1030.94</v>
      </c>
      <c r="G701" s="31">
        <v>750.57</v>
      </c>
      <c r="H701" s="31">
        <v>741.96</v>
      </c>
      <c r="I701" s="31">
        <v>778.4</v>
      </c>
      <c r="J701" s="31">
        <v>1102.81</v>
      </c>
      <c r="K701" s="31">
        <v>1262.8</v>
      </c>
      <c r="L701" s="31">
        <v>814.01</v>
      </c>
      <c r="M701" s="31">
        <v>728.18</v>
      </c>
      <c r="N701" s="31">
        <v>1018.12</v>
      </c>
      <c r="O701" s="81"/>
      <c r="P701" s="81"/>
      <c r="Q701" s="82"/>
      <c r="R701" s="82"/>
      <c r="S701" s="178"/>
      <c r="T701" s="28"/>
      <c r="U701" s="185"/>
      <c r="V701" s="218"/>
      <c r="X701" s="157"/>
      <c r="Y701" s="157"/>
      <c r="Z701" s="157"/>
      <c r="AA701" s="157"/>
    </row>
    <row r="702" spans="1:29" ht="22.15" x14ac:dyDescent="0.35">
      <c r="A702"/>
      <c r="B702" s="44"/>
      <c r="C702" s="24"/>
      <c r="D702" s="24"/>
      <c r="E702" s="81" t="s">
        <v>188</v>
      </c>
      <c r="F702" s="60">
        <f t="shared" ref="F702:N702" si="230">IF(((F700="")*AND(F701="")),"",(F700-F701)*2)</f>
        <v>3907.16</v>
      </c>
      <c r="G702" s="60">
        <f t="shared" si="230"/>
        <v>4072.7599999999993</v>
      </c>
      <c r="H702" s="60">
        <f t="shared" si="230"/>
        <v>4115.76</v>
      </c>
      <c r="I702" s="60">
        <f t="shared" si="230"/>
        <v>4063.2200000000003</v>
      </c>
      <c r="J702" s="60">
        <f t="shared" si="230"/>
        <v>3884.3</v>
      </c>
      <c r="K702" s="60">
        <f t="shared" si="230"/>
        <v>3779.18</v>
      </c>
      <c r="L702" s="60">
        <f t="shared" si="230"/>
        <v>4061.64</v>
      </c>
      <c r="M702" s="60">
        <f t="shared" si="230"/>
        <v>4108.9000000000005</v>
      </c>
      <c r="N702" s="60">
        <f t="shared" si="230"/>
        <v>3970.5</v>
      </c>
      <c r="O702" s="81"/>
      <c r="P702" s="81"/>
      <c r="Q702" s="82"/>
      <c r="R702" s="82"/>
      <c r="S702" s="178"/>
      <c r="T702" s="28"/>
      <c r="U702" s="185"/>
      <c r="V702" s="218"/>
      <c r="X702" s="157"/>
      <c r="Y702" s="157"/>
      <c r="Z702" s="157"/>
      <c r="AA702" s="157"/>
    </row>
    <row r="703" spans="1:29" x14ac:dyDescent="0.25">
      <c r="A703" s="252">
        <v>43404</v>
      </c>
      <c r="B703" s="257" t="s">
        <v>169</v>
      </c>
      <c r="C703" s="24" t="s">
        <v>171</v>
      </c>
      <c r="D703" s="24" t="s">
        <v>189</v>
      </c>
      <c r="E703" s="81" t="s">
        <v>186</v>
      </c>
      <c r="F703" s="31">
        <v>1939.14</v>
      </c>
      <c r="G703" s="31">
        <v>1932.78</v>
      </c>
      <c r="H703" s="31">
        <v>1924.36</v>
      </c>
      <c r="I703" s="31">
        <v>1932.59</v>
      </c>
      <c r="J703" s="31">
        <v>1934.36</v>
      </c>
      <c r="K703" s="31">
        <v>1940.14</v>
      </c>
      <c r="L703" s="31">
        <v>1932.24</v>
      </c>
      <c r="M703" s="31">
        <v>1932.34</v>
      </c>
      <c r="N703" s="31">
        <v>1936.81</v>
      </c>
      <c r="O703" s="81">
        <f>IF((N704=""),"",MAX(F705:N705))</f>
        <v>2078.2799999999997</v>
      </c>
      <c r="P703" s="81">
        <f>IF(N704="","",MIN(F705:N705))</f>
        <v>1951.4399999999994</v>
      </c>
      <c r="Q703" s="82">
        <f>IF((N705=""),"",AVERAGE(F705:N705))</f>
        <v>2027.0666666666662</v>
      </c>
      <c r="R703" s="82">
        <f>IF((N704=""),"",(O703-P703)/(O703+P703)*100)</f>
        <v>3.1476132336738134</v>
      </c>
      <c r="S703" s="178">
        <f>STDEV(F705:N705)</f>
        <v>53.527109486689106</v>
      </c>
      <c r="T703" s="23" t="str">
        <f>IF(N704="","",IF(Q703&gt;1940,IF(R703&lt;8.3,IF(Q703&lt;2180,"Pass","Fail"),"Fail"),"Fail"))</f>
        <v>Pass</v>
      </c>
      <c r="U703" s="185">
        <v>64</v>
      </c>
      <c r="V703" s="218"/>
      <c r="X703" s="155">
        <v>2000</v>
      </c>
      <c r="Y703" s="155">
        <v>3000</v>
      </c>
      <c r="Z703" s="155">
        <v>1940</v>
      </c>
      <c r="AA703" s="155">
        <v>2180</v>
      </c>
      <c r="AC703" s="51">
        <v>5.2</v>
      </c>
    </row>
    <row r="704" spans="1:29" ht="16.100000000000001" x14ac:dyDescent="0.35">
      <c r="A704"/>
      <c r="B704" s="44"/>
      <c r="C704" s="24"/>
      <c r="D704" s="24"/>
      <c r="E704" s="81" t="s">
        <v>187</v>
      </c>
      <c r="F704" s="31">
        <v>1276.76</v>
      </c>
      <c r="G704" s="31">
        <v>1242.73</v>
      </c>
      <c r="H704" s="31">
        <v>1232.8699999999999</v>
      </c>
      <c r="I704" s="31">
        <v>1241.71</v>
      </c>
      <c r="J704" s="31">
        <v>1283.8800000000001</v>
      </c>
      <c r="K704" s="31">
        <v>1277.69</v>
      </c>
      <c r="L704" s="31">
        <v>1245.7</v>
      </c>
      <c r="M704" s="31">
        <v>1239.58</v>
      </c>
      <c r="N704" s="31">
        <v>1282.6400000000001</v>
      </c>
      <c r="O704" s="81"/>
      <c r="P704" s="81"/>
      <c r="Q704" s="82"/>
      <c r="R704" s="82"/>
      <c r="S704" s="178"/>
      <c r="T704" s="23"/>
      <c r="U704" s="179"/>
      <c r="V704" s="218"/>
      <c r="X704" s="157"/>
      <c r="Y704" s="157"/>
      <c r="Z704" s="157"/>
      <c r="AA704" s="157"/>
    </row>
    <row r="705" spans="1:29" ht="16.100000000000001" x14ac:dyDescent="0.35">
      <c r="A705"/>
      <c r="B705" s="44"/>
      <c r="C705" s="24"/>
      <c r="D705" s="24"/>
      <c r="E705" s="81" t="s">
        <v>190</v>
      </c>
      <c r="F705" s="60">
        <f t="shared" ref="F705:N705" si="231">IF(((F703="")*AND(F704="")),"",(F703-F704)*3)</f>
        <v>1987.1400000000003</v>
      </c>
      <c r="G705" s="60">
        <f t="shared" si="231"/>
        <v>2070.1499999999996</v>
      </c>
      <c r="H705" s="60">
        <f t="shared" si="231"/>
        <v>2074.4700000000003</v>
      </c>
      <c r="I705" s="60">
        <f t="shared" si="231"/>
        <v>2072.6399999999994</v>
      </c>
      <c r="J705" s="60">
        <f t="shared" si="231"/>
        <v>1951.4399999999994</v>
      </c>
      <c r="K705" s="60">
        <f t="shared" si="231"/>
        <v>1987.3500000000001</v>
      </c>
      <c r="L705" s="60">
        <f t="shared" si="231"/>
        <v>2059.62</v>
      </c>
      <c r="M705" s="60">
        <f t="shared" si="231"/>
        <v>2078.2799999999997</v>
      </c>
      <c r="N705" s="60">
        <f t="shared" si="231"/>
        <v>1962.5099999999995</v>
      </c>
      <c r="O705" s="81"/>
      <c r="P705" s="81"/>
      <c r="Q705" s="82"/>
      <c r="R705" s="82"/>
      <c r="S705" s="178"/>
      <c r="T705" s="23"/>
      <c r="U705" s="179"/>
      <c r="V705" s="218"/>
      <c r="X705" s="157"/>
      <c r="Y705" s="157"/>
      <c r="Z705" s="157"/>
      <c r="AA705" s="157"/>
    </row>
    <row r="706" spans="1:29" x14ac:dyDescent="0.25">
      <c r="A706" s="252">
        <v>43404</v>
      </c>
      <c r="B706" s="260" t="s">
        <v>185</v>
      </c>
      <c r="C706" s="24" t="s">
        <v>173</v>
      </c>
      <c r="D706" s="24" t="s">
        <v>172</v>
      </c>
      <c r="E706" s="81" t="s">
        <v>186</v>
      </c>
      <c r="F706" s="31">
        <v>21496.49</v>
      </c>
      <c r="G706" s="31">
        <v>21927.17</v>
      </c>
      <c r="H706" s="31">
        <v>22062.46</v>
      </c>
      <c r="I706" s="31">
        <v>21948.68</v>
      </c>
      <c r="J706" s="31">
        <v>21491.55</v>
      </c>
      <c r="K706" s="31">
        <v>21652.13</v>
      </c>
      <c r="L706" s="31">
        <v>21999.759999999998</v>
      </c>
      <c r="M706" s="31">
        <v>21853.919999999998</v>
      </c>
      <c r="N706" s="31">
        <v>21330.38</v>
      </c>
      <c r="O706" s="81">
        <f>IF((N707=""),"",MAX(F708:N708))</f>
        <v>4917.8100000000013</v>
      </c>
      <c r="P706" s="81">
        <f>IF(N707="","",MIN(F708:N708))</f>
        <v>4417.1999999999935</v>
      </c>
      <c r="Q706" s="82">
        <f>IF((N708=""),"",AVERAGE(F708:N708))</f>
        <v>4631.0899999999983</v>
      </c>
      <c r="R706" s="82">
        <f>IF((N707=""),"",(O706-P706)/(O706+P706)*100)</f>
        <v>5.3627151979484564</v>
      </c>
      <c r="S706" s="178">
        <f>STDEV(F708:N708)</f>
        <v>179.98432306731769</v>
      </c>
      <c r="T706" s="23" t="str">
        <f>IF(N707="","",IF(R706&lt;16,IF(Q706&gt;3200,IF(R706,IF(Q706&lt;5240,"Pass","Fail"),"Fail"),"Fail")))</f>
        <v>Pass</v>
      </c>
      <c r="U706" s="185">
        <v>64</v>
      </c>
      <c r="V706" s="218"/>
      <c r="X706" s="155">
        <v>4200</v>
      </c>
      <c r="Y706" s="155">
        <v>5500</v>
      </c>
      <c r="Z706" s="155">
        <v>3200</v>
      </c>
      <c r="AA706" s="155">
        <v>5240</v>
      </c>
      <c r="AC706" s="51">
        <v>16</v>
      </c>
    </row>
    <row r="707" spans="1:29" ht="16.100000000000001" x14ac:dyDescent="0.35">
      <c r="A707"/>
      <c r="B707" s="44"/>
      <c r="C707" s="24"/>
      <c r="D707" s="24"/>
      <c r="E707" s="81" t="s">
        <v>187</v>
      </c>
      <c r="F707" s="31">
        <v>19899.38</v>
      </c>
      <c r="G707" s="31">
        <v>20427.14</v>
      </c>
      <c r="H707" s="31">
        <v>20590.060000000001</v>
      </c>
      <c r="I707" s="31">
        <v>20442.66</v>
      </c>
      <c r="J707" s="31">
        <v>19883.45</v>
      </c>
      <c r="K707" s="31">
        <v>20089.21</v>
      </c>
      <c r="L707" s="31">
        <v>20514.53</v>
      </c>
      <c r="M707" s="31">
        <v>20331.73</v>
      </c>
      <c r="N707" s="31">
        <v>19691.11</v>
      </c>
      <c r="O707" s="81"/>
      <c r="P707" s="81"/>
      <c r="Q707" s="82"/>
      <c r="R707" s="82"/>
      <c r="S707" s="178"/>
      <c r="T707" s="23"/>
      <c r="U707" s="179"/>
      <c r="V707" s="218"/>
      <c r="X707" s="157"/>
      <c r="Y707" s="157"/>
      <c r="Z707" s="157"/>
      <c r="AA707" s="157"/>
    </row>
    <row r="708" spans="1:29" ht="22.75" thickBot="1" x14ac:dyDescent="0.4">
      <c r="A708"/>
      <c r="B708" s="83"/>
      <c r="C708" s="84"/>
      <c r="D708" s="84"/>
      <c r="E708" s="85" t="s">
        <v>188</v>
      </c>
      <c r="F708" s="73">
        <f t="shared" ref="F708:N708" si="232">IF(((F706="")*AND(F707="")),"",(F706-F707)*3)</f>
        <v>4791.3300000000017</v>
      </c>
      <c r="G708" s="73">
        <f t="shared" si="232"/>
        <v>4500.0899999999965</v>
      </c>
      <c r="H708" s="73">
        <f t="shared" si="232"/>
        <v>4417.1999999999935</v>
      </c>
      <c r="I708" s="73">
        <f t="shared" si="232"/>
        <v>4518.0600000000013</v>
      </c>
      <c r="J708" s="73">
        <f t="shared" si="232"/>
        <v>4824.2999999999956</v>
      </c>
      <c r="K708" s="73">
        <f t="shared" si="232"/>
        <v>4688.7600000000057</v>
      </c>
      <c r="L708" s="73">
        <f t="shared" si="232"/>
        <v>4455.6899999999987</v>
      </c>
      <c r="M708" s="73">
        <f t="shared" si="232"/>
        <v>4566.5699999999961</v>
      </c>
      <c r="N708" s="73">
        <f t="shared" si="232"/>
        <v>4917.8100000000013</v>
      </c>
      <c r="O708" s="85"/>
      <c r="P708" s="85"/>
      <c r="Q708" s="86"/>
      <c r="R708" s="86"/>
      <c r="S708" s="181"/>
      <c r="T708" s="182"/>
      <c r="U708" s="183"/>
      <c r="V708" s="218"/>
      <c r="X708" s="157"/>
      <c r="Y708" s="157"/>
      <c r="Z708" s="157"/>
      <c r="AA708" s="157"/>
    </row>
    <row r="709" spans="1:29" x14ac:dyDescent="0.25">
      <c r="A709" s="248">
        <v>43408</v>
      </c>
      <c r="B709" s="261" t="s">
        <v>174</v>
      </c>
      <c r="C709" s="59" t="s">
        <v>176</v>
      </c>
      <c r="D709" s="59" t="s">
        <v>175</v>
      </c>
      <c r="E709" s="61" t="s">
        <v>186</v>
      </c>
      <c r="F709" s="31">
        <v>7034.53</v>
      </c>
      <c r="G709" s="31">
        <v>7021.95</v>
      </c>
      <c r="H709" s="31">
        <v>7041.48</v>
      </c>
      <c r="I709" s="31">
        <v>6989.85</v>
      </c>
      <c r="J709" s="31">
        <v>7061.53</v>
      </c>
      <c r="K709" s="31">
        <v>7004.32</v>
      </c>
      <c r="L709" s="31">
        <v>6995.06</v>
      </c>
      <c r="M709" s="31">
        <v>7026.66</v>
      </c>
      <c r="N709" s="31">
        <v>7115.41</v>
      </c>
      <c r="O709" s="61">
        <f>IF((N710=""),"",MAX(F711:N711))</f>
        <v>4062.2999999999993</v>
      </c>
      <c r="P709" s="61">
        <f>IF(N710="","",MIN(F711:N711))</f>
        <v>3677.5399999999991</v>
      </c>
      <c r="Q709" s="62">
        <f>IF((N711=""),"",AVERAGE(F711:N711))</f>
        <v>3929.96</v>
      </c>
      <c r="R709" s="62">
        <f>IF((N710=""),"",(O709-P709)/(O709+P709)*100)</f>
        <v>4.9711621945673334</v>
      </c>
      <c r="S709" s="190">
        <f>STDEV(F711:N711)</f>
        <v>133.01954668393665</v>
      </c>
      <c r="T709" s="158" t="str">
        <f>IF(N710="","",IF(Q709&gt;3650,IF(R709&lt;7,IF(Q709&lt;4450,"Pass","Fail"),"Fail"),"Fail"))</f>
        <v>Pass</v>
      </c>
      <c r="U709" s="184">
        <v>121</v>
      </c>
      <c r="V709" s="266" t="s">
        <v>213</v>
      </c>
      <c r="X709" s="155">
        <v>3650</v>
      </c>
      <c r="Y709" s="155">
        <v>4450</v>
      </c>
      <c r="Z709" s="155">
        <v>3700</v>
      </c>
      <c r="AA709" s="155">
        <v>4100</v>
      </c>
      <c r="AB709" s="51">
        <v>7</v>
      </c>
      <c r="AC709" s="51">
        <v>6.5</v>
      </c>
    </row>
    <row r="710" spans="1:29" ht="16.100000000000001" x14ac:dyDescent="0.35">
      <c r="A710"/>
      <c r="B710" s="44"/>
      <c r="C710" s="24"/>
      <c r="D710" s="24"/>
      <c r="E710" s="81" t="s">
        <v>187</v>
      </c>
      <c r="F710" s="31">
        <v>5110.74</v>
      </c>
      <c r="G710" s="31">
        <v>5007.29</v>
      </c>
      <c r="H710" s="31">
        <v>5012.68</v>
      </c>
      <c r="I710" s="31">
        <v>4989.09</v>
      </c>
      <c r="J710" s="31">
        <v>5162.12</v>
      </c>
      <c r="K710" s="31">
        <v>5165.55</v>
      </c>
      <c r="L710" s="31">
        <v>4997.76</v>
      </c>
      <c r="M710" s="31">
        <v>4995.51</v>
      </c>
      <c r="N710" s="31">
        <v>5165.2299999999996</v>
      </c>
      <c r="O710" s="81"/>
      <c r="P710" s="81"/>
      <c r="Q710" s="82"/>
      <c r="R710" s="82"/>
      <c r="S710" s="178"/>
      <c r="T710" s="28"/>
      <c r="U710" s="185"/>
      <c r="V710" s="218"/>
      <c r="X710" s="157"/>
      <c r="Y710" s="157"/>
      <c r="Z710" s="157"/>
      <c r="AA710" s="157"/>
    </row>
    <row r="711" spans="1:29" ht="22.15" x14ac:dyDescent="0.35">
      <c r="A711"/>
      <c r="B711" s="44"/>
      <c r="C711" s="24"/>
      <c r="D711" s="24"/>
      <c r="E711" s="81" t="s">
        <v>188</v>
      </c>
      <c r="F711" s="60">
        <f t="shared" ref="F711:N711" si="233">IF(((F709="")*AND(F710="")),"",(F709-F710)*2)</f>
        <v>3847.58</v>
      </c>
      <c r="G711" s="60">
        <f t="shared" si="233"/>
        <v>4029.3199999999997</v>
      </c>
      <c r="H711" s="60">
        <f t="shared" si="233"/>
        <v>4057.5999999999985</v>
      </c>
      <c r="I711" s="60">
        <f t="shared" si="233"/>
        <v>4001.5200000000004</v>
      </c>
      <c r="J711" s="60">
        <f t="shared" si="233"/>
        <v>3798.8199999999997</v>
      </c>
      <c r="K711" s="60">
        <f t="shared" si="233"/>
        <v>3677.5399999999991</v>
      </c>
      <c r="L711" s="60">
        <f t="shared" si="233"/>
        <v>3994.6000000000004</v>
      </c>
      <c r="M711" s="60">
        <f t="shared" si="233"/>
        <v>4062.2999999999993</v>
      </c>
      <c r="N711" s="60">
        <f t="shared" si="233"/>
        <v>3900.3600000000006</v>
      </c>
      <c r="O711" s="81"/>
      <c r="P711" s="81"/>
      <c r="Q711" s="82"/>
      <c r="R711" s="82"/>
      <c r="S711" s="178"/>
      <c r="T711" s="28"/>
      <c r="U711" s="185"/>
      <c r="V711" s="218"/>
      <c r="X711" s="157"/>
      <c r="Y711" s="157"/>
      <c r="Z711" s="157"/>
      <c r="AA711" s="157"/>
    </row>
    <row r="712" spans="1:29" x14ac:dyDescent="0.25">
      <c r="A712" s="229">
        <v>43408</v>
      </c>
      <c r="B712" s="257" t="s">
        <v>169</v>
      </c>
      <c r="C712" s="24" t="s">
        <v>171</v>
      </c>
      <c r="D712" s="24" t="s">
        <v>189</v>
      </c>
      <c r="E712" s="81" t="s">
        <v>186</v>
      </c>
      <c r="F712" s="31">
        <v>1282.19</v>
      </c>
      <c r="G712" s="31">
        <v>1245.93</v>
      </c>
      <c r="H712" s="31">
        <v>1235.99</v>
      </c>
      <c r="I712" s="31">
        <v>1245.82</v>
      </c>
      <c r="J712" s="31">
        <v>1287.1199999999999</v>
      </c>
      <c r="K712" s="31">
        <v>1283.9000000000001</v>
      </c>
      <c r="L712" s="31">
        <v>1249.3800000000001</v>
      </c>
      <c r="M712" s="31">
        <v>1241.4100000000001</v>
      </c>
      <c r="N712" s="31">
        <v>1280.77</v>
      </c>
      <c r="O712" s="81">
        <f>IF((N713=""),"",MAX(F714:N714))</f>
        <v>2098.92</v>
      </c>
      <c r="P712" s="81">
        <f>IF(N713="","",MIN(F714:N714))</f>
        <v>1989.8099999999995</v>
      </c>
      <c r="Q712" s="82">
        <f>IF((N714=""),"",AVERAGE(F714:N714))</f>
        <v>2054.0166666666669</v>
      </c>
      <c r="R712" s="82">
        <f>IF((N713=""),"",(O712-P712)/(O712+P712)*100)</f>
        <v>2.6685547835147001</v>
      </c>
      <c r="S712" s="178">
        <f>STDEV(F714:N714)</f>
        <v>49.297692897335587</v>
      </c>
      <c r="T712" s="23" t="str">
        <f>IF(N713="","",IF(Q712&gt;1940,IF(R712&lt;8.3,IF(Q712&lt;2180,"Pass","Fail"),"Fail"),"Fail"))</f>
        <v>Pass</v>
      </c>
      <c r="U712" s="185">
        <v>121</v>
      </c>
      <c r="V712" s="218" t="s">
        <v>213</v>
      </c>
      <c r="X712" s="155">
        <v>2000</v>
      </c>
      <c r="Y712" s="155">
        <v>3000</v>
      </c>
      <c r="Z712" s="155">
        <v>1940</v>
      </c>
      <c r="AA712" s="155">
        <v>2180</v>
      </c>
      <c r="AC712" s="51">
        <v>5.2</v>
      </c>
    </row>
    <row r="713" spans="1:29" ht="16.100000000000001" x14ac:dyDescent="0.35">
      <c r="A713"/>
      <c r="B713" s="44"/>
      <c r="C713" s="24"/>
      <c r="D713" s="24"/>
      <c r="E713" s="81" t="s">
        <v>187</v>
      </c>
      <c r="F713" s="31">
        <v>607.99</v>
      </c>
      <c r="G713" s="31">
        <v>548.11</v>
      </c>
      <c r="H713" s="31">
        <v>537.03</v>
      </c>
      <c r="I713" s="31">
        <v>546.17999999999995</v>
      </c>
      <c r="J713" s="31">
        <v>623.85</v>
      </c>
      <c r="K713" s="31">
        <v>618.09</v>
      </c>
      <c r="L713" s="31">
        <v>552.32000000000005</v>
      </c>
      <c r="M713" s="31">
        <v>543.37</v>
      </c>
      <c r="N713" s="31">
        <v>613.52</v>
      </c>
      <c r="O713" s="81"/>
      <c r="P713" s="81"/>
      <c r="Q713" s="82"/>
      <c r="R713" s="82"/>
      <c r="S713" s="178"/>
      <c r="T713" s="23"/>
      <c r="U713" s="179"/>
      <c r="V713" s="218"/>
      <c r="X713" s="157"/>
      <c r="Y713" s="157"/>
      <c r="Z713" s="157"/>
      <c r="AA713" s="157"/>
    </row>
    <row r="714" spans="1:29" ht="16.100000000000001" x14ac:dyDescent="0.35">
      <c r="A714"/>
      <c r="B714" s="44"/>
      <c r="C714" s="24"/>
      <c r="D714" s="24"/>
      <c r="E714" s="81" t="s">
        <v>190</v>
      </c>
      <c r="F714" s="60">
        <f t="shared" ref="F714:N714" si="234">IF(((F712="")*AND(F713="")),"",(F712-F713)*3)</f>
        <v>2022.6000000000001</v>
      </c>
      <c r="G714" s="60">
        <f t="shared" si="234"/>
        <v>2093.46</v>
      </c>
      <c r="H714" s="60">
        <f t="shared" si="234"/>
        <v>2096.88</v>
      </c>
      <c r="I714" s="60">
        <f t="shared" si="234"/>
        <v>2098.92</v>
      </c>
      <c r="J714" s="60">
        <f t="shared" si="234"/>
        <v>1989.8099999999995</v>
      </c>
      <c r="K714" s="60">
        <f t="shared" si="234"/>
        <v>1997.4300000000003</v>
      </c>
      <c r="L714" s="60">
        <f t="shared" si="234"/>
        <v>2091.1800000000003</v>
      </c>
      <c r="M714" s="60">
        <f t="shared" si="234"/>
        <v>2094.1200000000003</v>
      </c>
      <c r="N714" s="60">
        <f t="shared" si="234"/>
        <v>2001.75</v>
      </c>
      <c r="O714" s="81"/>
      <c r="P714" s="81"/>
      <c r="Q714" s="82"/>
      <c r="R714" s="82"/>
      <c r="S714" s="178"/>
      <c r="T714" s="23"/>
      <c r="U714" s="179"/>
      <c r="V714" s="218"/>
      <c r="X714" s="157"/>
      <c r="Y714" s="157"/>
      <c r="Z714" s="157"/>
      <c r="AA714" s="157"/>
    </row>
    <row r="715" spans="1:29" x14ac:dyDescent="0.25">
      <c r="A715" s="229">
        <v>43408</v>
      </c>
      <c r="B715" s="260" t="s">
        <v>185</v>
      </c>
      <c r="C715" s="24" t="s">
        <v>173</v>
      </c>
      <c r="D715" s="24" t="s">
        <v>172</v>
      </c>
      <c r="E715" s="81" t="s">
        <v>186</v>
      </c>
      <c r="F715" s="31">
        <v>29381.93</v>
      </c>
      <c r="G715" s="31">
        <v>29292.79</v>
      </c>
      <c r="H715" s="31">
        <v>29313.82</v>
      </c>
      <c r="I715" s="31">
        <v>29282.79</v>
      </c>
      <c r="J715" s="31">
        <v>29394.63</v>
      </c>
      <c r="K715" s="31">
        <v>29385.72</v>
      </c>
      <c r="L715" s="31">
        <v>29274.76</v>
      </c>
      <c r="M715" s="31">
        <v>29336.69</v>
      </c>
      <c r="N715" s="31">
        <v>29367.08</v>
      </c>
      <c r="O715" s="81">
        <f>IF((N716=""),"",MAX(F717:N717))</f>
        <v>4516.8000000000065</v>
      </c>
      <c r="P715" s="81">
        <f>IF(N716="","",MIN(F717:N717))</f>
        <v>4055.5500000000065</v>
      </c>
      <c r="Q715" s="82">
        <f>IF((N717=""),"",AVERAGE(F717:N717))</f>
        <v>4276.2166666666681</v>
      </c>
      <c r="R715" s="82">
        <f>IF((N716=""),"",(O715-P715)/(O715+P715)*100)</f>
        <v>5.3806715778053782</v>
      </c>
      <c r="S715" s="178">
        <f>STDEV(F717:N717)</f>
        <v>181.97322447272325</v>
      </c>
      <c r="T715" s="23" t="str">
        <f>IF(N716="","",IF(R715&lt;16,IF(Q715&gt;3200,IF(R715,IF(Q715&lt;5240,"Pass","Fail"),"Fail"),"Fail")))</f>
        <v>Pass</v>
      </c>
      <c r="U715" s="185">
        <v>121</v>
      </c>
      <c r="V715" s="218" t="s">
        <v>213</v>
      </c>
      <c r="X715" s="155">
        <v>4200</v>
      </c>
      <c r="Y715" s="155">
        <v>5500</v>
      </c>
      <c r="Z715" s="155">
        <v>3200</v>
      </c>
      <c r="AA715" s="155">
        <v>5240</v>
      </c>
      <c r="AC715" s="51">
        <v>16</v>
      </c>
    </row>
    <row r="716" spans="1:29" ht="16.100000000000001" x14ac:dyDescent="0.35">
      <c r="A716"/>
      <c r="B716" s="44"/>
      <c r="C716" s="24"/>
      <c r="D716" s="24"/>
      <c r="E716" s="81" t="s">
        <v>187</v>
      </c>
      <c r="F716" s="31">
        <v>27919.27</v>
      </c>
      <c r="G716" s="31">
        <v>27927.95</v>
      </c>
      <c r="H716" s="31">
        <v>27925.439999999999</v>
      </c>
      <c r="I716" s="31">
        <v>27930.94</v>
      </c>
      <c r="J716" s="31">
        <v>27898.82</v>
      </c>
      <c r="K716" s="31">
        <v>27933.86</v>
      </c>
      <c r="L716" s="31">
        <v>27918.78</v>
      </c>
      <c r="M716" s="31">
        <v>27885.02</v>
      </c>
      <c r="N716" s="31">
        <v>27861.48</v>
      </c>
      <c r="O716" s="81"/>
      <c r="P716" s="81"/>
      <c r="Q716" s="82"/>
      <c r="R716" s="82"/>
      <c r="S716" s="178"/>
      <c r="T716" s="23"/>
      <c r="U716" s="179"/>
      <c r="V716" s="218"/>
      <c r="X716" s="157"/>
      <c r="Y716" s="157"/>
      <c r="Z716" s="157"/>
      <c r="AA716" s="157"/>
    </row>
    <row r="717" spans="1:29" ht="22.75" thickBot="1" x14ac:dyDescent="0.4">
      <c r="A717"/>
      <c r="B717" s="83"/>
      <c r="C717" s="84"/>
      <c r="D717" s="84"/>
      <c r="E717" s="85" t="s">
        <v>188</v>
      </c>
      <c r="F717" s="73">
        <f t="shared" ref="F717:N717" si="235">IF(((F715="")*AND(F716="")),"",(F715-F716)*3)</f>
        <v>4387.9799999999996</v>
      </c>
      <c r="G717" s="73">
        <f t="shared" si="235"/>
        <v>4094.5200000000004</v>
      </c>
      <c r="H717" s="73">
        <f t="shared" si="235"/>
        <v>4165.1400000000031</v>
      </c>
      <c r="I717" s="73">
        <f t="shared" si="235"/>
        <v>4055.5500000000065</v>
      </c>
      <c r="J717" s="73">
        <f t="shared" si="235"/>
        <v>4487.4300000000039</v>
      </c>
      <c r="K717" s="73">
        <f t="shared" si="235"/>
        <v>4355.5800000000017</v>
      </c>
      <c r="L717" s="73">
        <f t="shared" si="235"/>
        <v>4067.9399999999987</v>
      </c>
      <c r="M717" s="73">
        <f t="shared" si="235"/>
        <v>4355.0099999999948</v>
      </c>
      <c r="N717" s="73">
        <f t="shared" si="235"/>
        <v>4516.8000000000065</v>
      </c>
      <c r="O717" s="85"/>
      <c r="P717" s="85"/>
      <c r="Q717" s="86"/>
      <c r="R717" s="86"/>
      <c r="S717" s="181"/>
      <c r="T717" s="182"/>
      <c r="U717" s="183"/>
      <c r="V717" s="218"/>
      <c r="X717" s="157"/>
      <c r="Y717" s="157"/>
      <c r="Z717" s="157"/>
      <c r="AA717" s="157"/>
    </row>
    <row r="718" spans="1:29" x14ac:dyDescent="0.25">
      <c r="A718" s="229">
        <v>43412</v>
      </c>
      <c r="B718" s="261" t="s">
        <v>174</v>
      </c>
      <c r="C718" s="59" t="s">
        <v>176</v>
      </c>
      <c r="D718" s="59" t="s">
        <v>175</v>
      </c>
      <c r="E718" s="61" t="s">
        <v>186</v>
      </c>
      <c r="F718" s="31">
        <v>5116.88</v>
      </c>
      <c r="G718" s="31">
        <v>5013.6099999999997</v>
      </c>
      <c r="H718" s="31">
        <v>5018.6099999999997</v>
      </c>
      <c r="I718" s="31">
        <v>4995.26</v>
      </c>
      <c r="J718" s="31">
        <v>5168.1400000000003</v>
      </c>
      <c r="K718" s="31">
        <v>5171.47</v>
      </c>
      <c r="L718" s="31">
        <v>5004.13</v>
      </c>
      <c r="M718" s="31">
        <v>5001.46</v>
      </c>
      <c r="N718" s="31">
        <v>5171.24</v>
      </c>
      <c r="O718" s="61">
        <f>IF((N719=""),"",MAX(F720:N720))</f>
        <v>4153.4400000000005</v>
      </c>
      <c r="P718" s="61">
        <f>IF(N719="","",MIN(F720:N720))</f>
        <v>3756.1000000000004</v>
      </c>
      <c r="Q718" s="62">
        <f>IF((N720=""),"",AVERAGE(F720:N720))</f>
        <v>4016.1088888888894</v>
      </c>
      <c r="R718" s="62">
        <f>IF((N719=""),"",(O718-P718)/(O718+P718)*100)</f>
        <v>5.0235538349891407</v>
      </c>
      <c r="S718" s="190">
        <f>STDEV(F720:N720)</f>
        <v>135.34461500595827</v>
      </c>
      <c r="T718" s="158" t="str">
        <f>IF(N719="","",IF(Q718&gt;3650,IF(R718&lt;7,IF(Q718&lt;4450,"Pass","Fail"),"Fail"),"Fail"))</f>
        <v>Pass</v>
      </c>
      <c r="U718" s="184">
        <v>1335</v>
      </c>
      <c r="V718" s="266" t="s">
        <v>214</v>
      </c>
      <c r="X718" s="155">
        <v>3650</v>
      </c>
      <c r="Y718" s="155">
        <v>4450</v>
      </c>
      <c r="Z718" s="155">
        <v>3700</v>
      </c>
      <c r="AA718" s="155">
        <v>4100</v>
      </c>
      <c r="AB718" s="51">
        <v>7</v>
      </c>
      <c r="AC718" s="51">
        <v>6.5</v>
      </c>
    </row>
    <row r="719" spans="1:29" ht="16.100000000000001" x14ac:dyDescent="0.35">
      <c r="A719"/>
      <c r="B719" s="44"/>
      <c r="C719" s="24"/>
      <c r="D719" s="24"/>
      <c r="E719" s="81" t="s">
        <v>187</v>
      </c>
      <c r="F719" s="31">
        <v>3165.16</v>
      </c>
      <c r="G719" s="31">
        <v>2963.34</v>
      </c>
      <c r="H719" s="31">
        <v>2946.93</v>
      </c>
      <c r="I719" s="31">
        <v>2943.94</v>
      </c>
      <c r="J719" s="31">
        <v>3214.28</v>
      </c>
      <c r="K719" s="31">
        <v>3293.42</v>
      </c>
      <c r="L719" s="31">
        <v>2962.92</v>
      </c>
      <c r="M719" s="31">
        <v>2924.74</v>
      </c>
      <c r="N719" s="31">
        <v>3173.58</v>
      </c>
      <c r="O719" s="81"/>
      <c r="P719" s="81"/>
      <c r="Q719" s="82"/>
      <c r="R719" s="82"/>
      <c r="S719" s="178"/>
      <c r="T719" s="28"/>
      <c r="U719" s="185"/>
      <c r="V719" s="218"/>
      <c r="X719" s="157"/>
      <c r="Y719" s="157"/>
      <c r="Z719" s="157"/>
      <c r="AA719" s="157"/>
    </row>
    <row r="720" spans="1:29" ht="22.15" x14ac:dyDescent="0.35">
      <c r="A720"/>
      <c r="B720" s="44"/>
      <c r="C720" s="24"/>
      <c r="D720" s="24"/>
      <c r="E720" s="81" t="s">
        <v>188</v>
      </c>
      <c r="F720" s="60">
        <f t="shared" ref="F720:N720" si="236">IF(((F718="")*AND(F719="")),"",(F718-F719)*2)</f>
        <v>3903.4400000000005</v>
      </c>
      <c r="G720" s="60">
        <f t="shared" si="236"/>
        <v>4100.5399999999991</v>
      </c>
      <c r="H720" s="60">
        <f t="shared" si="236"/>
        <v>4143.3599999999997</v>
      </c>
      <c r="I720" s="60">
        <f t="shared" si="236"/>
        <v>4102.6400000000003</v>
      </c>
      <c r="J720" s="60">
        <f t="shared" si="236"/>
        <v>3907.7200000000003</v>
      </c>
      <c r="K720" s="60">
        <f t="shared" si="236"/>
        <v>3756.1000000000004</v>
      </c>
      <c r="L720" s="60">
        <f t="shared" si="236"/>
        <v>4082.42</v>
      </c>
      <c r="M720" s="60">
        <f t="shared" si="236"/>
        <v>4153.4400000000005</v>
      </c>
      <c r="N720" s="60">
        <f t="shared" si="236"/>
        <v>3995.3199999999997</v>
      </c>
      <c r="O720" s="81"/>
      <c r="P720" s="81"/>
      <c r="Q720" s="82"/>
      <c r="R720" s="82"/>
      <c r="S720" s="178"/>
      <c r="T720" s="28"/>
      <c r="U720" s="185"/>
      <c r="V720" s="218"/>
      <c r="X720" s="157"/>
      <c r="Y720" s="157"/>
      <c r="Z720" s="157"/>
      <c r="AA720" s="157"/>
    </row>
    <row r="721" spans="1:29" x14ac:dyDescent="0.25">
      <c r="A721" s="229">
        <v>43412</v>
      </c>
      <c r="B721" s="257" t="s">
        <v>169</v>
      </c>
      <c r="C721" s="24" t="s">
        <v>171</v>
      </c>
      <c r="D721" s="24" t="s">
        <v>189</v>
      </c>
      <c r="E721" s="81" t="s">
        <v>186</v>
      </c>
      <c r="F721" s="31">
        <v>1918.25</v>
      </c>
      <c r="G721" s="31">
        <v>1914.63</v>
      </c>
      <c r="H721" s="31">
        <v>1913.37</v>
      </c>
      <c r="I721" s="31">
        <v>1912.71</v>
      </c>
      <c r="J721" s="31">
        <v>1916.78</v>
      </c>
      <c r="K721" s="31">
        <v>1919.53</v>
      </c>
      <c r="L721" s="31">
        <v>1916.2</v>
      </c>
      <c r="M721" s="31">
        <v>1913.94</v>
      </c>
      <c r="N721" s="31">
        <v>1918.93</v>
      </c>
      <c r="O721" s="81">
        <f>IF((N722=""),"",MAX(F723:N723))</f>
        <v>2089.5300000000007</v>
      </c>
      <c r="P721" s="81">
        <f>IF(N722="","",MIN(F723:N723))</f>
        <v>1992.5400000000002</v>
      </c>
      <c r="Q721" s="82">
        <f>IF((N723=""),"",AVERAGE(F723:N723))</f>
        <v>2044.9033333333334</v>
      </c>
      <c r="R721" s="82">
        <f>IF((N722=""),"",(O721-P721)/(O721+P721)*100)</f>
        <v>2.3760004115559128</v>
      </c>
      <c r="S721" s="178">
        <f>STDEV(F723:N723)</f>
        <v>41.029744088892535</v>
      </c>
      <c r="T721" s="23" t="str">
        <f>IF(N722="","",IF(Q721&gt;1940,IF(R721&lt;8.3,IF(Q721&lt;2180,"Pass","Fail"),"Fail"),"Fail"))</f>
        <v>Pass</v>
      </c>
      <c r="U721" s="185">
        <v>1335</v>
      </c>
      <c r="V721" s="218" t="s">
        <v>214</v>
      </c>
      <c r="X721" s="155">
        <v>2000</v>
      </c>
      <c r="Y721" s="155">
        <v>3000</v>
      </c>
      <c r="Z721" s="155">
        <v>1940</v>
      </c>
      <c r="AA721" s="155">
        <v>2180</v>
      </c>
      <c r="AC721" s="51">
        <v>5.2</v>
      </c>
    </row>
    <row r="722" spans="1:29" ht="16.100000000000001" x14ac:dyDescent="0.35">
      <c r="A722"/>
      <c r="B722" s="44"/>
      <c r="C722" s="24"/>
      <c r="D722" s="24"/>
      <c r="E722" s="81" t="s">
        <v>187</v>
      </c>
      <c r="F722" s="31">
        <v>1249.79</v>
      </c>
      <c r="G722" s="31">
        <v>1218.1199999999999</v>
      </c>
      <c r="H722" s="31">
        <v>1219.3499999999999</v>
      </c>
      <c r="I722" s="31">
        <v>1224.08</v>
      </c>
      <c r="J722" s="31">
        <v>1252.5999999999999</v>
      </c>
      <c r="K722" s="31">
        <v>1246.73</v>
      </c>
      <c r="L722" s="31">
        <v>1222.45</v>
      </c>
      <c r="M722" s="31">
        <v>1222.6099999999999</v>
      </c>
      <c r="N722" s="31">
        <v>1253.9000000000001</v>
      </c>
      <c r="O722" s="81"/>
      <c r="P722" s="81"/>
      <c r="Q722" s="82"/>
      <c r="R722" s="82"/>
      <c r="S722" s="178"/>
      <c r="T722" s="23"/>
      <c r="U722" s="179"/>
      <c r="V722" s="218"/>
      <c r="X722" s="157"/>
      <c r="Y722" s="157"/>
      <c r="Z722" s="157"/>
      <c r="AA722" s="157"/>
    </row>
    <row r="723" spans="1:29" ht="16.100000000000001" x14ac:dyDescent="0.35">
      <c r="A723"/>
      <c r="B723" s="44"/>
      <c r="C723" s="24"/>
      <c r="D723" s="24"/>
      <c r="E723" s="81" t="s">
        <v>190</v>
      </c>
      <c r="F723" s="60">
        <f t="shared" ref="F723:N723" si="237">IF(((F721="")*AND(F722="")),"",(F721-F722)*3)</f>
        <v>2005.38</v>
      </c>
      <c r="G723" s="60">
        <f t="shared" si="237"/>
        <v>2089.5300000000007</v>
      </c>
      <c r="H723" s="60">
        <f t="shared" si="237"/>
        <v>2082.06</v>
      </c>
      <c r="I723" s="60">
        <f t="shared" si="237"/>
        <v>2065.8900000000003</v>
      </c>
      <c r="J723" s="60">
        <f t="shared" si="237"/>
        <v>1992.5400000000002</v>
      </c>
      <c r="K723" s="60">
        <f t="shared" si="237"/>
        <v>2018.3999999999999</v>
      </c>
      <c r="L723" s="60">
        <f t="shared" si="237"/>
        <v>2081.25</v>
      </c>
      <c r="M723" s="60">
        <f t="shared" si="237"/>
        <v>2073.9900000000007</v>
      </c>
      <c r="N723" s="60">
        <f t="shared" si="237"/>
        <v>1995.09</v>
      </c>
      <c r="O723" s="81"/>
      <c r="P723" s="81"/>
      <c r="Q723" s="82"/>
      <c r="R723" s="82"/>
      <c r="S723" s="178"/>
      <c r="T723" s="23"/>
      <c r="U723" s="179"/>
      <c r="V723" s="218"/>
      <c r="X723" s="157"/>
      <c r="Y723" s="157"/>
      <c r="Z723" s="157"/>
      <c r="AA723" s="157"/>
    </row>
    <row r="724" spans="1:29" x14ac:dyDescent="0.25">
      <c r="A724" s="229">
        <v>43412</v>
      </c>
      <c r="B724" s="260" t="s">
        <v>185</v>
      </c>
      <c r="C724" s="24" t="s">
        <v>173</v>
      </c>
      <c r="D724" s="24" t="s">
        <v>172</v>
      </c>
      <c r="E724" s="81" t="s">
        <v>186</v>
      </c>
      <c r="F724" s="31">
        <v>27811.15</v>
      </c>
      <c r="G724" s="31">
        <v>27901.62</v>
      </c>
      <c r="H724" s="31">
        <v>27859.81</v>
      </c>
      <c r="I724" s="31">
        <v>27862.799999999999</v>
      </c>
      <c r="J724" s="31">
        <v>27836.53</v>
      </c>
      <c r="K724" s="31">
        <v>27841.96</v>
      </c>
      <c r="L724" s="31">
        <v>27852.3</v>
      </c>
      <c r="M724" s="31">
        <v>27842.04</v>
      </c>
      <c r="N724" s="31">
        <v>27766.880000000001</v>
      </c>
      <c r="O724" s="81">
        <f>IF((N725=""),"",MAX(F726:N726))</f>
        <v>4387.0499999999956</v>
      </c>
      <c r="P724" s="81">
        <f>IF(N725="","",MIN(F726:N726))</f>
        <v>3931.5600000000013</v>
      </c>
      <c r="Q724" s="82">
        <f>IF((N726=""),"",AVERAGE(F726:N726))</f>
        <v>4178.9866666666676</v>
      </c>
      <c r="R724" s="82">
        <f>IF((N725=""),"",(O724-P724)/(O724+P724)*100)</f>
        <v>5.4755542091767069</v>
      </c>
      <c r="S724" s="178">
        <f>STDEV(F726:N726)</f>
        <v>166.72588401325058</v>
      </c>
      <c r="T724" s="23" t="str">
        <f>IF(N725="","",IF(R724&lt;16,IF(Q724&gt;3200,IF(R724,IF(Q724&lt;5240,"Pass","Fail"),"Fail"),"Fail")))</f>
        <v>Pass</v>
      </c>
      <c r="U724" s="185">
        <v>1335</v>
      </c>
      <c r="V724" s="218" t="s">
        <v>214</v>
      </c>
      <c r="X724" s="155">
        <v>4200</v>
      </c>
      <c r="Y724" s="155">
        <v>5500</v>
      </c>
      <c r="Z724" s="155">
        <v>3200</v>
      </c>
      <c r="AA724" s="155">
        <v>5240</v>
      </c>
      <c r="AC724" s="51">
        <v>16</v>
      </c>
    </row>
    <row r="725" spans="1:29" ht="16.100000000000001" x14ac:dyDescent="0.35">
      <c r="A725"/>
      <c r="B725" s="44"/>
      <c r="C725" s="24"/>
      <c r="D725" s="24"/>
      <c r="E725" s="81" t="s">
        <v>187</v>
      </c>
      <c r="F725" s="31">
        <v>26372.48</v>
      </c>
      <c r="G725" s="31">
        <v>26481.439999999999</v>
      </c>
      <c r="H725" s="31">
        <v>26549.29</v>
      </c>
      <c r="I725" s="31">
        <v>26499.439999999999</v>
      </c>
      <c r="J725" s="31">
        <v>26398.84</v>
      </c>
      <c r="K725" s="31">
        <v>26379.61</v>
      </c>
      <c r="L725" s="31">
        <v>26534.28</v>
      </c>
      <c r="M725" s="31">
        <v>26478.74</v>
      </c>
      <c r="N725" s="31">
        <v>26344.01</v>
      </c>
      <c r="O725" s="81"/>
      <c r="P725" s="81"/>
      <c r="Q725" s="82"/>
      <c r="R725" s="82"/>
      <c r="S725" s="178"/>
      <c r="T725" s="23"/>
      <c r="U725" s="179"/>
      <c r="V725" s="218"/>
      <c r="X725" s="157"/>
      <c r="Y725" s="157"/>
      <c r="Z725" s="157"/>
      <c r="AA725" s="157"/>
    </row>
    <row r="726" spans="1:29" ht="22.75" thickBot="1" x14ac:dyDescent="0.4">
      <c r="A726"/>
      <c r="B726" s="83"/>
      <c r="C726" s="84"/>
      <c r="D726" s="84"/>
      <c r="E726" s="85" t="s">
        <v>188</v>
      </c>
      <c r="F726" s="73">
        <f t="shared" ref="F726:N726" si="238">IF(((F724="")*AND(F725="")),"",(F724-F725)*3)</f>
        <v>4316.0100000000057</v>
      </c>
      <c r="G726" s="73">
        <f t="shared" si="238"/>
        <v>4260.5400000000009</v>
      </c>
      <c r="H726" s="73">
        <f t="shared" si="238"/>
        <v>3931.5600000000013</v>
      </c>
      <c r="I726" s="73">
        <f t="shared" si="238"/>
        <v>4090.0800000000017</v>
      </c>
      <c r="J726" s="73">
        <f t="shared" si="238"/>
        <v>4313.0699999999961</v>
      </c>
      <c r="K726" s="73">
        <f t="shared" si="238"/>
        <v>4387.0499999999956</v>
      </c>
      <c r="L726" s="73">
        <f t="shared" si="238"/>
        <v>3954.0600000000013</v>
      </c>
      <c r="M726" s="73">
        <f t="shared" si="238"/>
        <v>4089.8999999999978</v>
      </c>
      <c r="N726" s="73">
        <f t="shared" si="238"/>
        <v>4268.6100000000079</v>
      </c>
      <c r="O726" s="85"/>
      <c r="P726" s="85"/>
      <c r="Q726" s="86"/>
      <c r="R726" s="86"/>
      <c r="S726" s="181"/>
      <c r="T726" s="182"/>
      <c r="U726" s="183"/>
      <c r="V726" s="218"/>
      <c r="X726" s="157"/>
      <c r="Y726" s="157"/>
      <c r="Z726" s="157"/>
      <c r="AA726" s="157"/>
    </row>
    <row r="727" spans="1:29" x14ac:dyDescent="0.25">
      <c r="A727" s="249">
        <v>43416</v>
      </c>
      <c r="B727" s="261" t="s">
        <v>174</v>
      </c>
      <c r="C727" s="59" t="s">
        <v>176</v>
      </c>
      <c r="D727" s="59" t="s">
        <v>175</v>
      </c>
      <c r="E727" s="61" t="s">
        <v>186</v>
      </c>
      <c r="F727" s="31">
        <v>3165.16</v>
      </c>
      <c r="G727" s="31">
        <v>2963.34</v>
      </c>
      <c r="H727" s="31">
        <v>2946.93</v>
      </c>
      <c r="I727" s="31">
        <v>2943.94</v>
      </c>
      <c r="J727" s="31">
        <v>3214.28</v>
      </c>
      <c r="K727" s="31">
        <v>3293.42</v>
      </c>
      <c r="L727" s="31">
        <v>2962.92</v>
      </c>
      <c r="M727" s="31">
        <v>2924.74</v>
      </c>
      <c r="N727" s="31">
        <v>3173.58</v>
      </c>
      <c r="O727" s="61">
        <f>IF((N728=""),"",MAX(F729:N729))</f>
        <v>4085.6399999999994</v>
      </c>
      <c r="P727" s="61">
        <f>IF(N728="","",MIN(F729:N729))</f>
        <v>3720.58</v>
      </c>
      <c r="Q727" s="62">
        <f>IF((N729=""),"",AVERAGE(F729:N729))</f>
        <v>3958.8933333333334</v>
      </c>
      <c r="R727" s="62">
        <f>IF((N728=""),"",(O727-P727)/(O727+P727)*100)</f>
        <v>4.6765271796080494</v>
      </c>
      <c r="S727" s="190">
        <f>STDEV(F729:N729)</f>
        <v>123.45592533369944</v>
      </c>
      <c r="T727" s="158" t="str">
        <f>IF(N728="","",IF(Q727&gt;3650,IF(R727&lt;7,IF(Q727&lt;4450,"Pass","Fail"),"Fail"),"Fail"))</f>
        <v>Pass</v>
      </c>
      <c r="U727" s="184">
        <v>121</v>
      </c>
      <c r="V727" s="266" t="s">
        <v>215</v>
      </c>
      <c r="X727" s="155">
        <v>3650</v>
      </c>
      <c r="Y727" s="155">
        <v>4450</v>
      </c>
      <c r="Z727" s="155">
        <v>3700</v>
      </c>
      <c r="AA727" s="155">
        <v>4100</v>
      </c>
      <c r="AB727" s="51">
        <v>7</v>
      </c>
      <c r="AC727" s="51">
        <v>6.5</v>
      </c>
    </row>
    <row r="728" spans="1:29" ht="16.100000000000001" x14ac:dyDescent="0.35">
      <c r="A728"/>
      <c r="B728" s="44"/>
      <c r="C728" s="24"/>
      <c r="D728" s="24"/>
      <c r="E728" s="81" t="s">
        <v>187</v>
      </c>
      <c r="F728" s="31">
        <v>1229.51</v>
      </c>
      <c r="G728" s="31">
        <v>937.57</v>
      </c>
      <c r="H728" s="31">
        <v>908.12</v>
      </c>
      <c r="I728" s="31">
        <v>931.51</v>
      </c>
      <c r="J728" s="31">
        <v>1285.58</v>
      </c>
      <c r="K728" s="31">
        <v>1433.13</v>
      </c>
      <c r="L728" s="31">
        <v>955.86</v>
      </c>
      <c r="M728" s="31">
        <v>881.92</v>
      </c>
      <c r="N728" s="31">
        <v>1210.0899999999999</v>
      </c>
      <c r="O728" s="81"/>
      <c r="P728" s="81"/>
      <c r="Q728" s="82"/>
      <c r="R728" s="82"/>
      <c r="S728" s="178"/>
      <c r="T728" s="28"/>
      <c r="U728" s="185"/>
      <c r="V728" s="218"/>
      <c r="X728" s="157"/>
      <c r="Y728" s="157"/>
      <c r="Z728" s="157"/>
      <c r="AA728" s="157"/>
    </row>
    <row r="729" spans="1:29" ht="22.15" x14ac:dyDescent="0.35">
      <c r="A729"/>
      <c r="B729" s="44"/>
      <c r="C729" s="24"/>
      <c r="D729" s="24"/>
      <c r="E729" s="81" t="s">
        <v>188</v>
      </c>
      <c r="F729" s="60">
        <f t="shared" ref="F729:N729" si="239">IF(((F727="")*AND(F728="")),"",(F727-F728)*2)</f>
        <v>3871.2999999999997</v>
      </c>
      <c r="G729" s="60">
        <f t="shared" si="239"/>
        <v>4051.54</v>
      </c>
      <c r="H729" s="60">
        <f t="shared" si="239"/>
        <v>4077.62</v>
      </c>
      <c r="I729" s="60">
        <f t="shared" si="239"/>
        <v>4024.86</v>
      </c>
      <c r="J729" s="60">
        <f t="shared" si="239"/>
        <v>3857.4000000000005</v>
      </c>
      <c r="K729" s="60">
        <f t="shared" si="239"/>
        <v>3720.58</v>
      </c>
      <c r="L729" s="60">
        <f t="shared" si="239"/>
        <v>4014.12</v>
      </c>
      <c r="M729" s="60">
        <f t="shared" si="239"/>
        <v>4085.6399999999994</v>
      </c>
      <c r="N729" s="60">
        <f t="shared" si="239"/>
        <v>3926.98</v>
      </c>
      <c r="O729" s="81"/>
      <c r="P729" s="81"/>
      <c r="Q729" s="82"/>
      <c r="R729" s="82"/>
      <c r="S729" s="178"/>
      <c r="T729" s="28"/>
      <c r="U729" s="185"/>
      <c r="V729" s="218"/>
      <c r="X729" s="157"/>
      <c r="Y729" s="157"/>
      <c r="Z729" s="157"/>
      <c r="AA729" s="157"/>
    </row>
    <row r="730" spans="1:29" x14ac:dyDescent="0.25">
      <c r="A730" s="252">
        <v>43416</v>
      </c>
      <c r="B730" s="257" t="s">
        <v>169</v>
      </c>
      <c r="C730" s="24" t="s">
        <v>171</v>
      </c>
      <c r="D730" s="24" t="s">
        <v>189</v>
      </c>
      <c r="E730" s="81" t="s">
        <v>186</v>
      </c>
      <c r="F730" s="31">
        <v>1249.79</v>
      </c>
      <c r="G730" s="31">
        <v>1218.1199999999999</v>
      </c>
      <c r="H730" s="31">
        <v>1219.3499999999999</v>
      </c>
      <c r="I730" s="31">
        <v>1224.08</v>
      </c>
      <c r="J730" s="31">
        <v>1252.5999999999999</v>
      </c>
      <c r="K730" s="31">
        <v>1246.73</v>
      </c>
      <c r="L730" s="31">
        <v>1222.45</v>
      </c>
      <c r="M730" s="31">
        <v>1222.6099999999999</v>
      </c>
      <c r="N730" s="31">
        <v>1253.9000000000001</v>
      </c>
      <c r="O730" s="81">
        <f>IF((N731=""),"",MAX(F732:N732))</f>
        <v>2100.21</v>
      </c>
      <c r="P730" s="81">
        <f>IF(N731="","",MIN(F732:N732))</f>
        <v>1979.0700000000002</v>
      </c>
      <c r="Q730" s="82">
        <f>IF((N732=""),"",AVERAGE(F732:N732))</f>
        <v>2048.3999999999996</v>
      </c>
      <c r="R730" s="82">
        <f>IF((N731=""),"",(O730-P730)/(O730+P730)*100)</f>
        <v>2.969641701476728</v>
      </c>
      <c r="S730" s="178">
        <f>STDEV(F732:N732)</f>
        <v>49.873511255976339</v>
      </c>
      <c r="T730" s="23" t="str">
        <f>IF(N731="","",IF(Q730&gt;1940,IF(R730&lt;8.3,IF(Q730&lt;2180,"Pass","Fail"),"Fail"),"Fail"))</f>
        <v>Pass</v>
      </c>
      <c r="U730" s="185">
        <v>121</v>
      </c>
      <c r="V730" s="218" t="s">
        <v>215</v>
      </c>
      <c r="X730" s="155">
        <v>2000</v>
      </c>
      <c r="Y730" s="155">
        <v>3000</v>
      </c>
      <c r="Z730" s="155">
        <v>1940</v>
      </c>
      <c r="AA730" s="155">
        <v>2180</v>
      </c>
      <c r="AC730" s="51">
        <v>5.2</v>
      </c>
    </row>
    <row r="731" spans="1:29" ht="16.100000000000001" x14ac:dyDescent="0.35">
      <c r="A731"/>
      <c r="B731" s="44"/>
      <c r="C731" s="24"/>
      <c r="D731" s="24"/>
      <c r="E731" s="81" t="s">
        <v>187</v>
      </c>
      <c r="F731" s="31">
        <v>576.9</v>
      </c>
      <c r="G731" s="31">
        <v>521.28</v>
      </c>
      <c r="H731" s="31">
        <v>525.05999999999995</v>
      </c>
      <c r="I731" s="31">
        <v>527.66999999999996</v>
      </c>
      <c r="J731" s="31">
        <v>591.70000000000005</v>
      </c>
      <c r="K731" s="31">
        <v>576.62</v>
      </c>
      <c r="L731" s="31">
        <v>528.45000000000005</v>
      </c>
      <c r="M731" s="31">
        <v>522.54</v>
      </c>
      <c r="N731" s="31">
        <v>594.21</v>
      </c>
      <c r="O731" s="81"/>
      <c r="P731" s="81"/>
      <c r="Q731" s="82"/>
      <c r="R731" s="82"/>
      <c r="S731" s="178"/>
      <c r="T731" s="23"/>
      <c r="U731" s="179"/>
      <c r="V731" s="218"/>
      <c r="X731" s="157"/>
      <c r="Y731" s="157"/>
      <c r="Z731" s="157"/>
      <c r="AA731" s="157"/>
    </row>
    <row r="732" spans="1:29" ht="16.100000000000001" x14ac:dyDescent="0.35">
      <c r="A732"/>
      <c r="B732" s="44"/>
      <c r="C732" s="24"/>
      <c r="D732" s="24"/>
      <c r="E732" s="81" t="s">
        <v>190</v>
      </c>
      <c r="F732" s="60">
        <f t="shared" ref="F732:N732" si="240">IF(((F730="")*AND(F731="")),"",(F730-F731)*3)</f>
        <v>2018.67</v>
      </c>
      <c r="G732" s="60">
        <f t="shared" si="240"/>
        <v>2090.5199999999995</v>
      </c>
      <c r="H732" s="60">
        <f t="shared" si="240"/>
        <v>2082.87</v>
      </c>
      <c r="I732" s="60">
        <f t="shared" si="240"/>
        <v>2089.23</v>
      </c>
      <c r="J732" s="60">
        <f t="shared" si="240"/>
        <v>1982.6999999999996</v>
      </c>
      <c r="K732" s="60">
        <f t="shared" si="240"/>
        <v>2010.33</v>
      </c>
      <c r="L732" s="60">
        <f t="shared" si="240"/>
        <v>2082</v>
      </c>
      <c r="M732" s="60">
        <f t="shared" si="240"/>
        <v>2100.21</v>
      </c>
      <c r="N732" s="60">
        <f t="shared" si="240"/>
        <v>1979.0700000000002</v>
      </c>
      <c r="O732" s="81"/>
      <c r="P732" s="81"/>
      <c r="Q732" s="82"/>
      <c r="R732" s="82"/>
      <c r="S732" s="178"/>
      <c r="T732" s="23"/>
      <c r="U732" s="179"/>
      <c r="V732" s="218"/>
      <c r="X732" s="157"/>
      <c r="Y732" s="157"/>
      <c r="Z732" s="157"/>
      <c r="AA732" s="157"/>
    </row>
    <row r="733" spans="1:29" x14ac:dyDescent="0.25">
      <c r="A733" s="252">
        <v>43416</v>
      </c>
      <c r="B733" s="260" t="s">
        <v>185</v>
      </c>
      <c r="C733" s="24" t="s">
        <v>173</v>
      </c>
      <c r="D733" s="24" t="s">
        <v>172</v>
      </c>
      <c r="E733" s="81" t="s">
        <v>186</v>
      </c>
      <c r="F733" s="31">
        <v>26372.48</v>
      </c>
      <c r="G733" s="31">
        <v>26481.439999999999</v>
      </c>
      <c r="H733" s="31">
        <v>26549.29</v>
      </c>
      <c r="I733" s="31">
        <v>26499.439999999999</v>
      </c>
      <c r="J733" s="31">
        <v>26398.84</v>
      </c>
      <c r="K733" s="31">
        <v>26379.61</v>
      </c>
      <c r="L733" s="31">
        <v>26534.28</v>
      </c>
      <c r="M733" s="31">
        <v>26478.74</v>
      </c>
      <c r="N733" s="31">
        <v>26344.01</v>
      </c>
      <c r="O733" s="81">
        <f>IF((N734=""),"",MAX(F735:N735))</f>
        <v>5093.9099999999926</v>
      </c>
      <c r="P733" s="81">
        <f>IF(N734="","",MIN(F735:N735))</f>
        <v>4353.6000000000022</v>
      </c>
      <c r="Q733" s="82">
        <f>IF((N735=""),"",AVERAGE(F735:N735))</f>
        <v>4655.406666666664</v>
      </c>
      <c r="R733" s="82">
        <f>IF((N734=""),"",(O733-P733)/(O733+P733)*100)</f>
        <v>7.8360329864693528</v>
      </c>
      <c r="S733" s="178">
        <f>STDEV(F735:N735)</f>
        <v>266.73041577592795</v>
      </c>
      <c r="T733" s="23" t="str">
        <f>IF(N734="","",IF(R733&lt;16,IF(Q733&gt;3200,IF(R733,IF(Q733&lt;5240,"Pass","Fail"),"Fail"),"Fail")))</f>
        <v>Pass</v>
      </c>
      <c r="U733" s="185">
        <v>121</v>
      </c>
      <c r="V733" s="218" t="s">
        <v>215</v>
      </c>
      <c r="X733" s="155">
        <v>4200</v>
      </c>
      <c r="Y733" s="155">
        <v>5500</v>
      </c>
      <c r="Z733" s="155">
        <v>3200</v>
      </c>
      <c r="AA733" s="155">
        <v>5240</v>
      </c>
      <c r="AC733" s="51">
        <v>16</v>
      </c>
    </row>
    <row r="734" spans="1:29" ht="16.100000000000001" x14ac:dyDescent="0.35">
      <c r="A734"/>
      <c r="B734" s="44"/>
      <c r="C734" s="24"/>
      <c r="D734" s="24"/>
      <c r="E734" s="81" t="s">
        <v>187</v>
      </c>
      <c r="F734" s="31">
        <v>24778.1</v>
      </c>
      <c r="G734" s="31">
        <v>25019.27</v>
      </c>
      <c r="H734" s="31">
        <v>25098.09</v>
      </c>
      <c r="I734" s="31">
        <v>25046.25</v>
      </c>
      <c r="J734" s="31">
        <v>24787.88</v>
      </c>
      <c r="K734" s="31">
        <v>24841.4</v>
      </c>
      <c r="L734" s="31">
        <v>24896</v>
      </c>
      <c r="M734" s="31">
        <v>24958.880000000001</v>
      </c>
      <c r="N734" s="31">
        <v>24646.04</v>
      </c>
      <c r="O734" s="81"/>
      <c r="P734" s="81"/>
      <c r="Q734" s="82"/>
      <c r="R734" s="82"/>
      <c r="S734" s="178"/>
      <c r="T734" s="23"/>
      <c r="U734" s="179"/>
      <c r="V734" s="218"/>
      <c r="X734" s="157"/>
      <c r="Y734" s="157"/>
      <c r="Z734" s="157"/>
      <c r="AA734" s="157"/>
    </row>
    <row r="735" spans="1:29" ht="22.75" thickBot="1" x14ac:dyDescent="0.4">
      <c r="A735"/>
      <c r="B735" s="83"/>
      <c r="C735" s="84"/>
      <c r="D735" s="84"/>
      <c r="E735" s="85" t="s">
        <v>188</v>
      </c>
      <c r="F735" s="73">
        <f t="shared" ref="F735:N735" si="241">IF(((F733="")*AND(F734="")),"",(F733-F734)*3)</f>
        <v>4783.1400000000031</v>
      </c>
      <c r="G735" s="73">
        <f t="shared" si="241"/>
        <v>4386.5099999999948</v>
      </c>
      <c r="H735" s="73">
        <f t="shared" si="241"/>
        <v>4353.6000000000022</v>
      </c>
      <c r="I735" s="73">
        <f t="shared" si="241"/>
        <v>4359.5699999999961</v>
      </c>
      <c r="J735" s="73">
        <f t="shared" si="241"/>
        <v>4832.8799999999974</v>
      </c>
      <c r="K735" s="73">
        <f t="shared" si="241"/>
        <v>4614.6299999999974</v>
      </c>
      <c r="L735" s="73">
        <f t="shared" si="241"/>
        <v>4914.8399999999965</v>
      </c>
      <c r="M735" s="73">
        <f t="shared" si="241"/>
        <v>4559.5800000000017</v>
      </c>
      <c r="N735" s="73">
        <f t="shared" si="241"/>
        <v>5093.9099999999926</v>
      </c>
      <c r="O735" s="85"/>
      <c r="P735" s="85"/>
      <c r="Q735" s="86"/>
      <c r="R735" s="86"/>
      <c r="S735" s="181"/>
      <c r="T735" s="182"/>
      <c r="U735" s="183"/>
      <c r="V735" s="218"/>
      <c r="X735" s="157"/>
      <c r="Y735" s="157"/>
      <c r="Z735" s="157"/>
      <c r="AA735" s="157"/>
    </row>
    <row r="736" spans="1:29" x14ac:dyDescent="0.25">
      <c r="A736" s="249">
        <v>43424</v>
      </c>
      <c r="B736" s="261" t="s">
        <v>174</v>
      </c>
      <c r="C736" s="59" t="s">
        <v>176</v>
      </c>
      <c r="D736" s="59" t="s">
        <v>175</v>
      </c>
      <c r="E736" s="61" t="s">
        <v>186</v>
      </c>
      <c r="F736" s="195">
        <v>6916.07</v>
      </c>
      <c r="G736" s="195">
        <v>6921.4</v>
      </c>
      <c r="H736" s="195">
        <v>6944.65</v>
      </c>
      <c r="I736" s="195">
        <v>6884.1</v>
      </c>
      <c r="J736" s="195">
        <v>6926.58</v>
      </c>
      <c r="K736" s="195">
        <v>6873.06</v>
      </c>
      <c r="L736" s="195">
        <v>6889.99</v>
      </c>
      <c r="M736" s="195">
        <v>6926.8</v>
      </c>
      <c r="N736" s="195">
        <v>6992.45</v>
      </c>
      <c r="O736" s="61">
        <f>IF((N737=""),"",MAX(F738:N738))</f>
        <v>4132.42</v>
      </c>
      <c r="P736" s="61">
        <f>IF(N737="","",MIN(F738:N738))</f>
        <v>3730.4000000000015</v>
      </c>
      <c r="Q736" s="62">
        <f>IF((N738=""),"",AVERAGE(F738:N738))</f>
        <v>3990.92</v>
      </c>
      <c r="R736" s="62">
        <f>IF((N737=""),"",(O736-P736)/(O736+P736)*100)</f>
        <v>5.1129238619222948</v>
      </c>
      <c r="S736" s="190">
        <f>STDEV(F738:N738)</f>
        <v>133.58480377647723</v>
      </c>
      <c r="T736" s="158" t="str">
        <f>IF(N737="","",IF(Q736&gt;3650,IF(R736&lt;7,IF(Q736&lt;4450,"Pass","Fail"),"Fail"),"Fail"))</f>
        <v>Pass</v>
      </c>
      <c r="U736" s="184">
        <v>121</v>
      </c>
      <c r="V736" s="266" t="s">
        <v>216</v>
      </c>
      <c r="X736" s="155">
        <v>3650</v>
      </c>
      <c r="Y736" s="155">
        <v>4450</v>
      </c>
      <c r="Z736" s="155">
        <v>3700</v>
      </c>
      <c r="AA736" s="155">
        <v>4100</v>
      </c>
      <c r="AB736" s="51">
        <v>7</v>
      </c>
      <c r="AC736" s="51">
        <v>6.5</v>
      </c>
    </row>
    <row r="737" spans="1:29" ht="16.100000000000001" x14ac:dyDescent="0.35">
      <c r="A737"/>
      <c r="B737" s="44"/>
      <c r="C737" s="24"/>
      <c r="D737" s="24"/>
      <c r="E737" s="81" t="s">
        <v>187</v>
      </c>
      <c r="F737" s="31">
        <v>4971.33</v>
      </c>
      <c r="G737" s="31">
        <v>4881.4799999999996</v>
      </c>
      <c r="H737" s="31">
        <v>4887.6499999999996</v>
      </c>
      <c r="I737" s="31">
        <v>4854.05</v>
      </c>
      <c r="J737" s="31">
        <v>4990.13</v>
      </c>
      <c r="K737" s="31">
        <v>5007.8599999999997</v>
      </c>
      <c r="L737" s="31">
        <v>4868.1400000000003</v>
      </c>
      <c r="M737" s="31">
        <v>4860.59</v>
      </c>
      <c r="N737" s="31">
        <v>4994.7299999999996</v>
      </c>
      <c r="O737" s="81"/>
      <c r="P737" s="81"/>
      <c r="Q737" s="82"/>
      <c r="R737" s="82"/>
      <c r="S737" s="178"/>
      <c r="T737" s="28"/>
      <c r="U737" s="185"/>
      <c r="V737" s="218"/>
      <c r="X737" s="157"/>
      <c r="Y737" s="157"/>
      <c r="Z737" s="157"/>
      <c r="AA737" s="157"/>
    </row>
    <row r="738" spans="1:29" ht="22.15" x14ac:dyDescent="0.35">
      <c r="A738"/>
      <c r="B738" s="44"/>
      <c r="C738" s="24"/>
      <c r="D738" s="24"/>
      <c r="E738" s="81" t="s">
        <v>188</v>
      </c>
      <c r="F738" s="60">
        <f t="shared" ref="F738:N738" si="242">IF(((F736="")*AND(F737="")),"",(F736-F737)*2)</f>
        <v>3889.4799999999996</v>
      </c>
      <c r="G738" s="60">
        <f t="shared" si="242"/>
        <v>4079.84</v>
      </c>
      <c r="H738" s="60">
        <f t="shared" si="242"/>
        <v>4114</v>
      </c>
      <c r="I738" s="60">
        <f t="shared" si="242"/>
        <v>4060.1000000000004</v>
      </c>
      <c r="J738" s="60">
        <f t="shared" si="242"/>
        <v>3872.8999999999996</v>
      </c>
      <c r="K738" s="60">
        <f t="shared" si="242"/>
        <v>3730.4000000000015</v>
      </c>
      <c r="L738" s="60">
        <f t="shared" si="242"/>
        <v>4043.6999999999989</v>
      </c>
      <c r="M738" s="60">
        <f t="shared" si="242"/>
        <v>4132.42</v>
      </c>
      <c r="N738" s="60">
        <f t="shared" si="242"/>
        <v>3995.4400000000005</v>
      </c>
      <c r="O738" s="81"/>
      <c r="P738" s="81"/>
      <c r="Q738" s="82"/>
      <c r="R738" s="82"/>
      <c r="S738" s="178"/>
      <c r="T738" s="28"/>
      <c r="U738" s="185"/>
      <c r="V738" s="218"/>
      <c r="X738" s="157"/>
      <c r="Y738" s="157"/>
      <c r="Z738" s="157"/>
      <c r="AA738" s="157"/>
    </row>
    <row r="739" spans="1:29" x14ac:dyDescent="0.25">
      <c r="A739" s="252">
        <v>43424</v>
      </c>
      <c r="B739" s="257" t="s">
        <v>169</v>
      </c>
      <c r="C739" s="24" t="s">
        <v>171</v>
      </c>
      <c r="D739" s="24" t="s">
        <v>189</v>
      </c>
      <c r="E739" s="81" t="s">
        <v>186</v>
      </c>
      <c r="F739" s="31">
        <v>1908.66</v>
      </c>
      <c r="G739" s="31">
        <v>1905.57</v>
      </c>
      <c r="H739" s="31">
        <v>1899.72</v>
      </c>
      <c r="I739" s="31">
        <v>1903.49</v>
      </c>
      <c r="J739" s="31">
        <v>1909.45</v>
      </c>
      <c r="K739" s="31">
        <v>1906.88</v>
      </c>
      <c r="L739" s="31">
        <v>1902.96</v>
      </c>
      <c r="M739" s="31">
        <v>1907.25</v>
      </c>
      <c r="N739" s="31">
        <v>1910.4</v>
      </c>
      <c r="O739" s="81">
        <f>IF((N740=""),"",MAX(F741:N741))</f>
        <v>2093.13</v>
      </c>
      <c r="P739" s="81">
        <f>IF(N740="","",MIN(F741:N741))</f>
        <v>1978.41</v>
      </c>
      <c r="Q739" s="82">
        <f>IF((N741=""),"",AVERAGE(F741:N741))</f>
        <v>2037.7366666666667</v>
      </c>
      <c r="R739" s="82">
        <f>IF((N740=""),"",(O739-P739)/(O739+P739)*100)</f>
        <v>2.8176070970689233</v>
      </c>
      <c r="S739" s="178">
        <f>STDEV(F741:N741)</f>
        <v>47.286195924392196</v>
      </c>
      <c r="T739" s="23" t="str">
        <f>IF(N740="","",IF(Q739&gt;1940,IF(R739&lt;8.3,IF(Q739&lt;2180,"Pass","Fail"),"Fail"),"Fail"))</f>
        <v>Pass</v>
      </c>
      <c r="U739" s="185">
        <v>121</v>
      </c>
      <c r="V739" s="218" t="s">
        <v>216</v>
      </c>
      <c r="X739" s="155">
        <v>2000</v>
      </c>
      <c r="Y739" s="155">
        <v>3000</v>
      </c>
      <c r="Z739" s="155">
        <v>1940</v>
      </c>
      <c r="AA739" s="155">
        <v>2180</v>
      </c>
      <c r="AC739" s="51">
        <v>5.2</v>
      </c>
    </row>
    <row r="740" spans="1:29" ht="16.100000000000001" x14ac:dyDescent="0.35">
      <c r="A740"/>
      <c r="B740" s="44"/>
      <c r="C740" s="24"/>
      <c r="D740" s="24"/>
      <c r="E740" s="81" t="s">
        <v>187</v>
      </c>
      <c r="F740" s="31">
        <v>1244.48</v>
      </c>
      <c r="G740" s="31">
        <v>1210.8699999999999</v>
      </c>
      <c r="H740" s="31">
        <v>1207.97</v>
      </c>
      <c r="I740" s="31">
        <v>1212.83</v>
      </c>
      <c r="J740" s="31">
        <v>1245.29</v>
      </c>
      <c r="K740" s="31">
        <v>1242.6400000000001</v>
      </c>
      <c r="L740" s="31">
        <v>1216.6199999999999</v>
      </c>
      <c r="M740" s="31">
        <v>1209.54</v>
      </c>
      <c r="N740" s="31">
        <v>1250.93</v>
      </c>
      <c r="O740" s="81"/>
      <c r="P740" s="81"/>
      <c r="Q740" s="82"/>
      <c r="R740" s="82"/>
      <c r="S740" s="178"/>
      <c r="T740" s="23"/>
      <c r="U740" s="179"/>
      <c r="V740" s="218"/>
      <c r="X740" s="157"/>
      <c r="Y740" s="157"/>
      <c r="Z740" s="157"/>
      <c r="AA740" s="157"/>
    </row>
    <row r="741" spans="1:29" ht="16.100000000000001" x14ac:dyDescent="0.35">
      <c r="A741"/>
      <c r="B741" s="44"/>
      <c r="C741" s="24"/>
      <c r="D741" s="24"/>
      <c r="E741" s="81" t="s">
        <v>190</v>
      </c>
      <c r="F741" s="60">
        <f t="shared" ref="F741:N741" si="243">IF(((F739="")*AND(F740="")),"",(F739-F740)*3)</f>
        <v>1992.5400000000002</v>
      </c>
      <c r="G741" s="60">
        <f t="shared" si="243"/>
        <v>2084.1000000000004</v>
      </c>
      <c r="H741" s="60">
        <f t="shared" si="243"/>
        <v>2075.25</v>
      </c>
      <c r="I741" s="60">
        <f t="shared" si="243"/>
        <v>2071.9800000000005</v>
      </c>
      <c r="J741" s="60">
        <f t="shared" si="243"/>
        <v>1992.4800000000002</v>
      </c>
      <c r="K741" s="60">
        <f t="shared" si="243"/>
        <v>1992.72</v>
      </c>
      <c r="L741" s="60">
        <f t="shared" si="243"/>
        <v>2059.0200000000004</v>
      </c>
      <c r="M741" s="60">
        <f t="shared" si="243"/>
        <v>2093.13</v>
      </c>
      <c r="N741" s="60">
        <f t="shared" si="243"/>
        <v>1978.41</v>
      </c>
      <c r="O741" s="81"/>
      <c r="P741" s="81"/>
      <c r="Q741" s="82"/>
      <c r="R741" s="82"/>
      <c r="S741" s="178"/>
      <c r="T741" s="23"/>
      <c r="U741" s="179"/>
      <c r="V741" s="218"/>
      <c r="X741" s="157"/>
      <c r="Y741" s="157"/>
      <c r="Z741" s="157"/>
      <c r="AA741" s="157"/>
    </row>
    <row r="742" spans="1:29" x14ac:dyDescent="0.25">
      <c r="A742" s="252">
        <v>43424</v>
      </c>
      <c r="B742" s="260" t="s">
        <v>185</v>
      </c>
      <c r="C742" s="24" t="s">
        <v>173</v>
      </c>
      <c r="D742" s="24" t="s">
        <v>172</v>
      </c>
      <c r="E742" s="81" t="s">
        <v>186</v>
      </c>
      <c r="F742" s="31">
        <v>24824</v>
      </c>
      <c r="G742" s="31">
        <v>24870.01</v>
      </c>
      <c r="H742" s="31">
        <v>25016.07</v>
      </c>
      <c r="I742" s="31">
        <v>24890.26</v>
      </c>
      <c r="J742" s="31">
        <v>24691.01</v>
      </c>
      <c r="K742" s="31">
        <v>24778.84</v>
      </c>
      <c r="L742" s="31">
        <v>24951.439999999999</v>
      </c>
      <c r="M742" s="31">
        <v>24818.59</v>
      </c>
      <c r="N742" s="31">
        <v>24577.8</v>
      </c>
      <c r="O742" s="81">
        <f>IF((N743=""),"",MAX(F744:N744))</f>
        <v>5114.8500000000022</v>
      </c>
      <c r="P742" s="81">
        <f>IF(N743="","",MIN(F744:N744))</f>
        <v>4053.2700000000004</v>
      </c>
      <c r="Q742" s="82">
        <f>IF((N744=""),"",AVERAGE(F744:N744))</f>
        <v>4423.7299999999987</v>
      </c>
      <c r="R742" s="82">
        <f>IF((N743=""),"",(O742-P742)/(O742+P742)*100)</f>
        <v>11.579036923600492</v>
      </c>
      <c r="S742" s="178">
        <f>STDEV(F744:N744)</f>
        <v>340.75511324116786</v>
      </c>
      <c r="T742" s="23" t="str">
        <f>IF(N743="","",IF(R742&lt;16,IF(Q742&gt;3200,IF(R742,IF(Q742&lt;5240,"Pass","Fail"),"Fail"),"Fail")))</f>
        <v>Pass</v>
      </c>
      <c r="U742" s="185">
        <v>121</v>
      </c>
      <c r="V742" s="218" t="s">
        <v>216</v>
      </c>
      <c r="X742" s="155">
        <v>4200</v>
      </c>
      <c r="Y742" s="155">
        <v>5500</v>
      </c>
      <c r="Z742" s="155">
        <v>3200</v>
      </c>
      <c r="AA742" s="155">
        <v>5240</v>
      </c>
      <c r="AC742" s="51">
        <v>16</v>
      </c>
    </row>
    <row r="743" spans="1:29" ht="16.100000000000001" x14ac:dyDescent="0.35">
      <c r="A743"/>
      <c r="B743" s="44"/>
      <c r="C743" s="24"/>
      <c r="D743" s="24"/>
      <c r="E743" s="81" t="s">
        <v>187</v>
      </c>
      <c r="F743" s="31">
        <v>23119.05</v>
      </c>
      <c r="G743" s="31">
        <v>23518.92</v>
      </c>
      <c r="H743" s="31">
        <v>23555.77</v>
      </c>
      <c r="I743" s="31">
        <v>23524.02</v>
      </c>
      <c r="J743" s="31">
        <v>23190.13</v>
      </c>
      <c r="K743" s="31">
        <v>23228.57</v>
      </c>
      <c r="L743" s="31">
        <v>23540.03</v>
      </c>
      <c r="M743" s="31">
        <v>23433.9</v>
      </c>
      <c r="N743" s="31">
        <v>23036.44</v>
      </c>
      <c r="O743" s="81"/>
      <c r="P743" s="81"/>
      <c r="Q743" s="82"/>
      <c r="R743" s="82"/>
      <c r="S743" s="178"/>
      <c r="T743" s="23"/>
      <c r="U743" s="179"/>
      <c r="V743" s="218"/>
      <c r="X743" s="157"/>
      <c r="Y743" s="157"/>
      <c r="Z743" s="157"/>
      <c r="AA743" s="157"/>
    </row>
    <row r="744" spans="1:29" ht="22.75" thickBot="1" x14ac:dyDescent="0.4">
      <c r="A744"/>
      <c r="B744" s="83"/>
      <c r="C744" s="84"/>
      <c r="D744" s="84"/>
      <c r="E744" s="85" t="s">
        <v>188</v>
      </c>
      <c r="F744" s="73">
        <f t="shared" ref="F744:N744" si="244">IF(((F742="")*AND(F743="")),"",(F742-F743)*3)</f>
        <v>5114.8500000000022</v>
      </c>
      <c r="G744" s="73">
        <f t="shared" si="244"/>
        <v>4053.2700000000004</v>
      </c>
      <c r="H744" s="73">
        <f t="shared" si="244"/>
        <v>4380.8999999999978</v>
      </c>
      <c r="I744" s="73">
        <f t="shared" si="244"/>
        <v>4098.7199999999939</v>
      </c>
      <c r="J744" s="73">
        <f t="shared" si="244"/>
        <v>4502.6399999999921</v>
      </c>
      <c r="K744" s="73">
        <f t="shared" si="244"/>
        <v>4650.8100000000013</v>
      </c>
      <c r="L744" s="73">
        <f t="shared" si="244"/>
        <v>4234.2299999999996</v>
      </c>
      <c r="M744" s="73">
        <f t="shared" si="244"/>
        <v>4154.0699999999961</v>
      </c>
      <c r="N744" s="73">
        <f t="shared" si="244"/>
        <v>4624.0800000000017</v>
      </c>
      <c r="O744" s="85"/>
      <c r="P744" s="85"/>
      <c r="Q744" s="86"/>
      <c r="R744" s="86"/>
      <c r="S744" s="181"/>
      <c r="T744" s="182"/>
      <c r="U744" s="183"/>
      <c r="V744" s="218"/>
      <c r="X744" s="157"/>
      <c r="Y744" s="157"/>
      <c r="Z744" s="157"/>
      <c r="AA744" s="157"/>
    </row>
    <row r="745" spans="1:29" x14ac:dyDescent="0.25">
      <c r="A745" s="249">
        <v>43430</v>
      </c>
      <c r="B745" s="261" t="s">
        <v>174</v>
      </c>
      <c r="C745" s="59" t="s">
        <v>176</v>
      </c>
      <c r="D745" s="59" t="s">
        <v>175</v>
      </c>
      <c r="E745" s="61" t="s">
        <v>186</v>
      </c>
      <c r="F745" s="31">
        <v>4978.78</v>
      </c>
      <c r="G745" s="31">
        <v>4889.5600000000004</v>
      </c>
      <c r="H745" s="31">
        <v>4896.01</v>
      </c>
      <c r="I745" s="31">
        <v>4863.05</v>
      </c>
      <c r="J745" s="31">
        <v>4996.4399999999996</v>
      </c>
      <c r="K745" s="31">
        <v>5014.53</v>
      </c>
      <c r="L745" s="31">
        <v>4876.8100000000004</v>
      </c>
      <c r="M745" s="31">
        <v>4869.54</v>
      </c>
      <c r="N745" s="31">
        <v>5001.38</v>
      </c>
      <c r="O745" s="61">
        <f>IF((N746=""),"",MAX(F747:N747))</f>
        <v>4203.82</v>
      </c>
      <c r="P745" s="61">
        <f>IF(N746="","",MIN(F747:N747))</f>
        <v>3802.8199999999997</v>
      </c>
      <c r="Q745" s="62">
        <f>IF((N747=""),"",AVERAGE(F747:N747))</f>
        <v>4079.6324999999997</v>
      </c>
      <c r="R745" s="62">
        <f>IF((N746=""),"",(O745-P745)/(O745+P745)*100)</f>
        <v>5.0083430752475451</v>
      </c>
      <c r="S745" s="190">
        <f>STDEV(F747:N747)</f>
        <v>138.31290031250603</v>
      </c>
      <c r="T745" s="158" t="str">
        <f>IF(N746="","",IF(Q745&gt;3650,IF(R745&lt;7,IF(Q745&lt;4450,"Pass","Fail"),"Fail"),"Fail"))</f>
        <v>Pass</v>
      </c>
      <c r="U745" s="184">
        <v>1340</v>
      </c>
      <c r="V745" s="311"/>
      <c r="X745" s="155">
        <v>3650</v>
      </c>
      <c r="Y745" s="155">
        <v>4450</v>
      </c>
      <c r="Z745" s="155">
        <v>3700</v>
      </c>
      <c r="AA745" s="155">
        <v>4100</v>
      </c>
      <c r="AB745" s="51">
        <v>7</v>
      </c>
      <c r="AC745" s="51">
        <v>6.5</v>
      </c>
    </row>
    <row r="746" spans="1:29" ht="16.100000000000001" x14ac:dyDescent="0.35">
      <c r="A746"/>
      <c r="B746" s="44"/>
      <c r="C746" s="24"/>
      <c r="D746" s="24"/>
      <c r="E746" s="81" t="s">
        <v>187</v>
      </c>
      <c r="F746" s="31">
        <v>3004.46</v>
      </c>
      <c r="G746" s="31">
        <v>2815.36</v>
      </c>
      <c r="H746" s="31">
        <v>2800.63</v>
      </c>
      <c r="I746" s="31">
        <v>2787.51</v>
      </c>
      <c r="J746" s="31">
        <v>3020.03</v>
      </c>
      <c r="K746" s="31">
        <v>3113.12</v>
      </c>
      <c r="L746" s="31">
        <v>2809.95</v>
      </c>
      <c r="M746" s="31">
        <v>2767.63</v>
      </c>
      <c r="N746" s="31">
        <v>2974.56</v>
      </c>
      <c r="O746" s="81"/>
      <c r="P746" s="81"/>
      <c r="Q746" s="82"/>
      <c r="R746" s="82"/>
      <c r="S746" s="178"/>
      <c r="T746" s="28"/>
      <c r="U746" s="185"/>
      <c r="V746" s="311"/>
      <c r="X746" s="157"/>
      <c r="Y746" s="157"/>
      <c r="Z746" s="157"/>
      <c r="AA746" s="157"/>
    </row>
    <row r="747" spans="1:29" ht="22.15" x14ac:dyDescent="0.35">
      <c r="A747"/>
      <c r="B747" s="44"/>
      <c r="C747" s="24"/>
      <c r="D747" s="24"/>
      <c r="E747" s="81" t="s">
        <v>188</v>
      </c>
      <c r="F747" s="31"/>
      <c r="G747" s="60">
        <f t="shared" ref="G747:N747" si="245">IF(((G745="")*AND(G746="")),"",(G745-G746)*2)</f>
        <v>4148.4000000000005</v>
      </c>
      <c r="H747" s="60">
        <f t="shared" si="245"/>
        <v>4190.76</v>
      </c>
      <c r="I747" s="60">
        <f t="shared" si="245"/>
        <v>4151.08</v>
      </c>
      <c r="J747" s="60">
        <f t="shared" si="245"/>
        <v>3952.8199999999988</v>
      </c>
      <c r="K747" s="60">
        <f t="shared" si="245"/>
        <v>3802.8199999999997</v>
      </c>
      <c r="L747" s="60">
        <f t="shared" si="245"/>
        <v>4133.7200000000012</v>
      </c>
      <c r="M747" s="60">
        <f t="shared" si="245"/>
        <v>4203.82</v>
      </c>
      <c r="N747" s="60">
        <f t="shared" si="245"/>
        <v>4053.6400000000003</v>
      </c>
      <c r="O747" s="81"/>
      <c r="P747" s="81"/>
      <c r="Q747" s="82"/>
      <c r="R747" s="82"/>
      <c r="S747" s="178"/>
      <c r="T747" s="28"/>
      <c r="U747" s="185"/>
      <c r="V747" s="311"/>
      <c r="X747" s="157"/>
      <c r="Y747" s="157"/>
      <c r="Z747" s="157"/>
      <c r="AA747" s="157"/>
    </row>
    <row r="748" spans="1:29" x14ac:dyDescent="0.25">
      <c r="A748" s="252">
        <v>43430</v>
      </c>
      <c r="B748" s="257" t="s">
        <v>169</v>
      </c>
      <c r="C748" s="24" t="s">
        <v>171</v>
      </c>
      <c r="D748" s="24" t="s">
        <v>189</v>
      </c>
      <c r="E748" s="81" t="s">
        <v>186</v>
      </c>
      <c r="F748" s="31">
        <v>1918.98</v>
      </c>
      <c r="G748" s="31">
        <v>1914.88</v>
      </c>
      <c r="H748" s="31">
        <v>1907.19</v>
      </c>
      <c r="I748" s="31">
        <v>1917.57</v>
      </c>
      <c r="J748" s="31">
        <v>1921.47</v>
      </c>
      <c r="K748" s="31">
        <v>1920.12</v>
      </c>
      <c r="L748" s="31">
        <v>1913.55</v>
      </c>
      <c r="M748" s="31">
        <v>1917.9</v>
      </c>
      <c r="N748" s="31">
        <v>1920.61</v>
      </c>
      <c r="O748" s="81">
        <f>IF((N749=""),"",MAX(F750:N750))</f>
        <v>2089.0500000000002</v>
      </c>
      <c r="P748" s="81">
        <f>IF(N749="","",MIN(F750:N750))</f>
        <v>1984.59</v>
      </c>
      <c r="Q748" s="82">
        <f>IF((N750=""),"",AVERAGE(F750:N750))</f>
        <v>2035.8712500000001</v>
      </c>
      <c r="R748" s="82">
        <f>IF((N749=""),"",(O748-P748)/(O748+P748)*100)</f>
        <v>2.5642913954104989</v>
      </c>
      <c r="S748" s="178">
        <f>STDEV(F750:N750)</f>
        <v>43.083575073007196</v>
      </c>
      <c r="T748" s="23" t="str">
        <f>IF(N749="","",IF(Q748&gt;1940,IF(R748&lt;8.3,IF(Q748&lt;2180,"Pass","Fail"),"Fail"),"Fail"))</f>
        <v>Pass</v>
      </c>
      <c r="U748" s="185">
        <v>1340</v>
      </c>
      <c r="V748" s="311"/>
      <c r="X748" s="155">
        <v>2000</v>
      </c>
      <c r="Y748" s="155">
        <v>3000</v>
      </c>
      <c r="Z748" s="155">
        <v>1940</v>
      </c>
      <c r="AA748" s="155">
        <v>2180</v>
      </c>
      <c r="AC748" s="51">
        <v>5.2</v>
      </c>
    </row>
    <row r="749" spans="1:29" ht="16.100000000000001" x14ac:dyDescent="0.35">
      <c r="A749"/>
      <c r="B749" s="44"/>
      <c r="C749" s="24"/>
      <c r="D749" s="24"/>
      <c r="E749" s="81" t="s">
        <v>187</v>
      </c>
      <c r="F749" s="31">
        <v>1250.8599999999999</v>
      </c>
      <c r="G749" s="31">
        <v>1223.8499999999999</v>
      </c>
      <c r="H749" s="31">
        <v>1222.8699999999999</v>
      </c>
      <c r="I749" s="31">
        <v>1228.53</v>
      </c>
      <c r="J749" s="31">
        <v>1259.77</v>
      </c>
      <c r="K749" s="31">
        <v>1257.1300000000001</v>
      </c>
      <c r="L749" s="31">
        <v>1231.52</v>
      </c>
      <c r="M749" s="31">
        <v>1221.55</v>
      </c>
      <c r="N749" s="31">
        <v>1259.08</v>
      </c>
      <c r="O749" s="81"/>
      <c r="P749" s="81"/>
      <c r="Q749" s="82"/>
      <c r="R749" s="82"/>
      <c r="S749" s="178"/>
      <c r="T749" s="23"/>
      <c r="U749" s="179"/>
      <c r="V749" s="311"/>
      <c r="X749" s="157"/>
      <c r="Y749" s="157"/>
      <c r="Z749" s="157"/>
      <c r="AA749" s="157"/>
    </row>
    <row r="750" spans="1:29" ht="16.100000000000001" x14ac:dyDescent="0.35">
      <c r="A750"/>
      <c r="B750" s="44"/>
      <c r="C750" s="24"/>
      <c r="D750" s="24"/>
      <c r="E750" s="81" t="s">
        <v>190</v>
      </c>
      <c r="F750" s="31"/>
      <c r="G750" s="60">
        <f t="shared" ref="G750:N750" si="246">IF(((G748="")*AND(G749="")),"",(G748-G749)*3)</f>
        <v>2073.0900000000006</v>
      </c>
      <c r="H750" s="60">
        <f t="shared" si="246"/>
        <v>2052.9600000000005</v>
      </c>
      <c r="I750" s="60">
        <f t="shared" si="246"/>
        <v>2067.12</v>
      </c>
      <c r="J750" s="60">
        <f t="shared" si="246"/>
        <v>1985.1000000000001</v>
      </c>
      <c r="K750" s="60">
        <f t="shared" si="246"/>
        <v>1988.9699999999993</v>
      </c>
      <c r="L750" s="60">
        <f t="shared" si="246"/>
        <v>2046.09</v>
      </c>
      <c r="M750" s="60">
        <f t="shared" si="246"/>
        <v>2089.0500000000002</v>
      </c>
      <c r="N750" s="60">
        <f t="shared" si="246"/>
        <v>1984.59</v>
      </c>
      <c r="O750" s="81"/>
      <c r="P750" s="81"/>
      <c r="Q750" s="82"/>
      <c r="R750" s="82"/>
      <c r="S750" s="178"/>
      <c r="T750" s="23"/>
      <c r="U750" s="179"/>
      <c r="V750" s="311"/>
      <c r="X750" s="157"/>
      <c r="Y750" s="157"/>
      <c r="Z750" s="157"/>
      <c r="AA750" s="157"/>
    </row>
    <row r="751" spans="1:29" x14ac:dyDescent="0.25">
      <c r="A751" s="252">
        <v>43430</v>
      </c>
      <c r="B751" s="260" t="s">
        <v>185</v>
      </c>
      <c r="C751" s="24" t="s">
        <v>173</v>
      </c>
      <c r="D751" s="24" t="s">
        <v>172</v>
      </c>
      <c r="E751" s="81" t="s">
        <v>186</v>
      </c>
      <c r="F751" s="31">
        <v>27390.31</v>
      </c>
      <c r="G751" s="31">
        <v>27368.3</v>
      </c>
      <c r="H751" s="31">
        <v>27423.97</v>
      </c>
      <c r="I751" s="31">
        <v>27342.28</v>
      </c>
      <c r="J751" s="31">
        <v>27351.65</v>
      </c>
      <c r="K751" s="31">
        <v>27357.040000000001</v>
      </c>
      <c r="L751" s="31">
        <v>27357.29</v>
      </c>
      <c r="M751" s="31">
        <v>27321.53</v>
      </c>
      <c r="N751" s="31">
        <v>27356.22</v>
      </c>
      <c r="O751" s="81">
        <f>IF((N752=""),"",MAX(F753:N753))</f>
        <v>4805.7600000000057</v>
      </c>
      <c r="P751" s="81">
        <f>IF(N752="","",MIN(F753:N753))</f>
        <v>4290.3000000000065</v>
      </c>
      <c r="Q751" s="82">
        <f>IF((N753=""),"",AVERAGE(F753:N753))</f>
        <v>4518.9733333333343</v>
      </c>
      <c r="R751" s="82">
        <f>IF((N752=""),"",(O751-P751)/(O751+P751)*100)</f>
        <v>5.6668491632640778</v>
      </c>
      <c r="S751" s="178">
        <f>STDEV(F753:N753)</f>
        <v>193.83843143195497</v>
      </c>
      <c r="T751" s="23" t="str">
        <f>IF(N752="","",IF(R751&lt;16,IF(Q751&gt;3200,IF(R751,IF(Q751&lt;5240,"Pass","Fail"),"Fail"),"Fail")))</f>
        <v>Pass</v>
      </c>
      <c r="U751" s="185">
        <v>1340</v>
      </c>
      <c r="V751" s="311"/>
      <c r="X751" s="155">
        <v>4200</v>
      </c>
      <c r="Y751" s="155">
        <v>5500</v>
      </c>
      <c r="Z751" s="155">
        <v>3200</v>
      </c>
      <c r="AA751" s="155">
        <v>5240</v>
      </c>
      <c r="AC751" s="51">
        <v>16</v>
      </c>
    </row>
    <row r="752" spans="1:29" ht="16.100000000000001" x14ac:dyDescent="0.35">
      <c r="A752"/>
      <c r="B752" s="44"/>
      <c r="C752" s="24"/>
      <c r="D752" s="24"/>
      <c r="E752" s="81" t="s">
        <v>187</v>
      </c>
      <c r="F752" s="31">
        <v>25805.99</v>
      </c>
      <c r="G752" s="31">
        <v>25897.29</v>
      </c>
      <c r="H752" s="31">
        <v>25993.87</v>
      </c>
      <c r="I752" s="31">
        <v>25886.87</v>
      </c>
      <c r="J752" s="31">
        <v>25790.62</v>
      </c>
      <c r="K752" s="31">
        <v>25821.360000000001</v>
      </c>
      <c r="L752" s="31">
        <v>25906.97</v>
      </c>
      <c r="M752" s="31">
        <v>25854.400000000001</v>
      </c>
      <c r="N752" s="31">
        <v>25754.3</v>
      </c>
      <c r="O752" s="81"/>
      <c r="P752" s="81"/>
      <c r="Q752" s="82"/>
      <c r="R752" s="82"/>
      <c r="S752" s="178"/>
      <c r="T752" s="23"/>
      <c r="U752" s="179"/>
      <c r="V752" s="311"/>
      <c r="X752" s="157"/>
      <c r="Y752" s="157"/>
      <c r="Z752" s="157"/>
      <c r="AA752" s="157"/>
    </row>
    <row r="753" spans="1:29" ht="22.75" thickBot="1" x14ac:dyDescent="0.4">
      <c r="A753"/>
      <c r="B753" s="83"/>
      <c r="C753" s="84"/>
      <c r="D753" s="84"/>
      <c r="E753" s="85" t="s">
        <v>188</v>
      </c>
      <c r="F753" s="73">
        <f t="shared" ref="F753:N753" si="247">IF(((F751="")*AND(F752="")),"",(F751-F752)*3)</f>
        <v>4752.9599999999991</v>
      </c>
      <c r="G753" s="73">
        <f t="shared" si="247"/>
        <v>4413.0299999999952</v>
      </c>
      <c r="H753" s="73">
        <f t="shared" si="247"/>
        <v>4290.3000000000065</v>
      </c>
      <c r="I753" s="73">
        <f t="shared" si="247"/>
        <v>4366.2299999999996</v>
      </c>
      <c r="J753" s="73">
        <f t="shared" si="247"/>
        <v>4683.0900000000074</v>
      </c>
      <c r="K753" s="73">
        <f t="shared" si="247"/>
        <v>4607.0400000000009</v>
      </c>
      <c r="L753" s="73">
        <f t="shared" si="247"/>
        <v>4350.9599999999991</v>
      </c>
      <c r="M753" s="73">
        <f t="shared" si="247"/>
        <v>4401.3899999999921</v>
      </c>
      <c r="N753" s="73">
        <f t="shared" si="247"/>
        <v>4805.7600000000057</v>
      </c>
      <c r="O753" s="85"/>
      <c r="P753" s="85"/>
      <c r="Q753" s="86"/>
      <c r="R753" s="86"/>
      <c r="S753" s="181"/>
      <c r="T753" s="182"/>
      <c r="U753" s="183"/>
      <c r="V753" s="311"/>
      <c r="X753" s="157"/>
      <c r="Y753" s="157"/>
      <c r="Z753" s="157"/>
      <c r="AA753" s="157"/>
    </row>
    <row r="754" spans="1:29" x14ac:dyDescent="0.25">
      <c r="A754" s="249">
        <v>43438</v>
      </c>
      <c r="B754" s="261" t="s">
        <v>174</v>
      </c>
      <c r="C754" s="59" t="s">
        <v>176</v>
      </c>
      <c r="D754" s="59" t="s">
        <v>175</v>
      </c>
      <c r="E754" s="61" t="s">
        <v>186</v>
      </c>
      <c r="F754" s="31">
        <v>3014.44</v>
      </c>
      <c r="G754" s="31">
        <v>2824.75</v>
      </c>
      <c r="H754" s="31">
        <v>2809.7</v>
      </c>
      <c r="I754" s="31">
        <v>2796.58</v>
      </c>
      <c r="J754" s="31">
        <v>3029.4</v>
      </c>
      <c r="K754" s="31">
        <v>3122.74</v>
      </c>
      <c r="L754" s="31">
        <v>2818.95</v>
      </c>
      <c r="M754" s="31">
        <v>2776.59</v>
      </c>
      <c r="N754" s="31">
        <v>2984.27</v>
      </c>
      <c r="O754" s="61">
        <f>IF((N755=""),"",MAX(F756:N756))</f>
        <v>4172</v>
      </c>
      <c r="P754" s="61">
        <f>IF(N755="","",MIN(F756:N756))</f>
        <v>3780.1199999999994</v>
      </c>
      <c r="Q754" s="62">
        <f>IF((N756=""),"",AVERAGE(F756:N756))</f>
        <v>4031.8911111111106</v>
      </c>
      <c r="R754" s="62">
        <f>IF((N755=""),"",(O754-P754)/(O754+P754)*100)</f>
        <v>4.9279940443554748</v>
      </c>
      <c r="S754" s="190">
        <f>STDEV(F756:N756)</f>
        <v>128.71646052899035</v>
      </c>
      <c r="T754" s="158" t="str">
        <f>IF(N755="","",IF(Q754&gt;3650,IF(R754&lt;7,IF(Q754&lt;4450,"Pass","Fail"),"Fail"),"Fail"))</f>
        <v>Pass</v>
      </c>
      <c r="U754" s="184">
        <v>74</v>
      </c>
      <c r="V754" s="311"/>
      <c r="X754" s="155">
        <v>3650</v>
      </c>
      <c r="Y754" s="155">
        <v>4450</v>
      </c>
      <c r="Z754" s="155">
        <v>3700</v>
      </c>
      <c r="AA754" s="155">
        <v>4100</v>
      </c>
      <c r="AB754" s="51">
        <v>7</v>
      </c>
      <c r="AC754" s="51">
        <v>6.5</v>
      </c>
    </row>
    <row r="755" spans="1:29" ht="16.100000000000001" x14ac:dyDescent="0.35">
      <c r="A755"/>
      <c r="B755" s="44"/>
      <c r="C755" s="24"/>
      <c r="D755" s="24"/>
      <c r="E755" s="81" t="s">
        <v>187</v>
      </c>
      <c r="F755" s="31">
        <v>1048.1600000000001</v>
      </c>
      <c r="G755" s="31">
        <v>768.26</v>
      </c>
      <c r="H755" s="31">
        <v>736.5</v>
      </c>
      <c r="I755" s="31">
        <v>747.53</v>
      </c>
      <c r="J755" s="31">
        <v>1070.7</v>
      </c>
      <c r="K755" s="31">
        <v>1232.68</v>
      </c>
      <c r="L755" s="31">
        <v>779.58</v>
      </c>
      <c r="M755" s="31">
        <v>690.59</v>
      </c>
      <c r="N755" s="31">
        <v>959.91</v>
      </c>
      <c r="O755" s="81"/>
      <c r="P755" s="81"/>
      <c r="Q755" s="82"/>
      <c r="R755" s="82"/>
      <c r="S755" s="178"/>
      <c r="T755" s="28"/>
      <c r="U755" s="185"/>
      <c r="V755" s="311"/>
      <c r="X755" s="157"/>
      <c r="Y755" s="157"/>
      <c r="Z755" s="157"/>
      <c r="AA755" s="157"/>
    </row>
    <row r="756" spans="1:29" ht="22.15" x14ac:dyDescent="0.35">
      <c r="A756"/>
      <c r="B756" s="44"/>
      <c r="C756" s="24"/>
      <c r="D756" s="24"/>
      <c r="E756" s="81" t="s">
        <v>188</v>
      </c>
      <c r="F756" s="60">
        <f t="shared" ref="F756:N756" si="248">IF(((F754="")*AND(F755="")),"",(F754-F755)*2)</f>
        <v>3932.56</v>
      </c>
      <c r="G756" s="60">
        <f t="shared" si="248"/>
        <v>4112.9799999999996</v>
      </c>
      <c r="H756" s="60">
        <f t="shared" si="248"/>
        <v>4146.3999999999996</v>
      </c>
      <c r="I756" s="60">
        <f t="shared" si="248"/>
        <v>4098.1000000000004</v>
      </c>
      <c r="J756" s="60">
        <f t="shared" si="248"/>
        <v>3917.4</v>
      </c>
      <c r="K756" s="60">
        <f t="shared" si="248"/>
        <v>3780.1199999999994</v>
      </c>
      <c r="L756" s="60">
        <f t="shared" si="248"/>
        <v>4078.74</v>
      </c>
      <c r="M756" s="60">
        <f t="shared" si="248"/>
        <v>4172</v>
      </c>
      <c r="N756" s="60">
        <f t="shared" si="248"/>
        <v>4048.7200000000003</v>
      </c>
      <c r="O756" s="81"/>
      <c r="P756" s="81"/>
      <c r="Q756" s="82"/>
      <c r="R756" s="82"/>
      <c r="S756" s="178"/>
      <c r="T756" s="28"/>
      <c r="U756" s="185"/>
      <c r="V756" s="311"/>
      <c r="X756" s="157"/>
      <c r="Y756" s="157"/>
      <c r="Z756" s="157"/>
      <c r="AA756" s="157"/>
    </row>
    <row r="757" spans="1:29" x14ac:dyDescent="0.25">
      <c r="A757" s="249">
        <v>43438</v>
      </c>
      <c r="B757" s="257" t="s">
        <v>169</v>
      </c>
      <c r="C757" s="24" t="s">
        <v>171</v>
      </c>
      <c r="D757" s="24" t="s">
        <v>189</v>
      </c>
      <c r="E757" s="81" t="s">
        <v>186</v>
      </c>
      <c r="F757" s="31">
        <v>1252.47</v>
      </c>
      <c r="G757" s="31">
        <v>1226.24</v>
      </c>
      <c r="H757" s="31">
        <v>1220.9100000000001</v>
      </c>
      <c r="I757" s="31">
        <v>1230.48</v>
      </c>
      <c r="J757" s="31">
        <v>1261.0999999999999</v>
      </c>
      <c r="K757" s="31">
        <v>1268.06</v>
      </c>
      <c r="L757" s="31">
        <v>1233.3699999999999</v>
      </c>
      <c r="M757" s="31">
        <v>1224.74</v>
      </c>
      <c r="N757" s="31">
        <v>1254.76</v>
      </c>
      <c r="O757" s="81">
        <f>IF((N758=""),"",MAX(F759:N759))</f>
        <v>2113.77</v>
      </c>
      <c r="P757" s="81">
        <f>IF(N758="","",MIN(F759:N759))</f>
        <v>1995.4499999999998</v>
      </c>
      <c r="Q757" s="82">
        <f>IF((N759=""),"",AVERAGE(F759:N759))</f>
        <v>2065.3266666666664</v>
      </c>
      <c r="R757" s="82">
        <f>IF((N758=""),"",(O757-P757)/(O757+P757)*100)</f>
        <v>2.8793785681954285</v>
      </c>
      <c r="S757" s="178">
        <f>STDEV(F759:N759)</f>
        <v>46.274415987670814</v>
      </c>
      <c r="T757" s="23" t="str">
        <f>IF(N758="","",IF(Q757&gt;1940,IF(R757&lt;8.3,IF(Q757&lt;2180,"Pass","Fail"),"Fail"),"Fail"))</f>
        <v>Pass</v>
      </c>
      <c r="U757" s="185">
        <v>74</v>
      </c>
      <c r="V757" s="311"/>
      <c r="X757" s="155">
        <v>2000</v>
      </c>
      <c r="Y757" s="155">
        <v>3000</v>
      </c>
      <c r="Z757" s="155">
        <v>1940</v>
      </c>
      <c r="AA757" s="155">
        <v>2180</v>
      </c>
      <c r="AC757" s="51">
        <v>5.2</v>
      </c>
    </row>
    <row r="758" spans="1:29" ht="16.100000000000001" x14ac:dyDescent="0.35">
      <c r="A758"/>
      <c r="B758" s="44"/>
      <c r="C758" s="24"/>
      <c r="D758" s="24"/>
      <c r="E758" s="81" t="s">
        <v>187</v>
      </c>
      <c r="F758" s="31">
        <v>570.47</v>
      </c>
      <c r="G758" s="31">
        <v>522.36</v>
      </c>
      <c r="H758" s="31">
        <v>516.32000000000005</v>
      </c>
      <c r="I758" s="31">
        <v>534.38</v>
      </c>
      <c r="J758" s="31">
        <v>594.42999999999995</v>
      </c>
      <c r="K758" s="31">
        <v>587.30999999999995</v>
      </c>
      <c r="L758" s="31">
        <v>538.78</v>
      </c>
      <c r="M758" s="31">
        <v>522.49</v>
      </c>
      <c r="N758" s="31">
        <v>589.61</v>
      </c>
      <c r="O758" s="81"/>
      <c r="P758" s="81"/>
      <c r="Q758" s="82"/>
      <c r="R758" s="82"/>
      <c r="S758" s="178"/>
      <c r="T758" s="23"/>
      <c r="U758" s="179"/>
      <c r="V758" s="311"/>
      <c r="X758" s="157"/>
      <c r="Y758" s="157"/>
      <c r="Z758" s="157"/>
      <c r="AA758" s="157"/>
    </row>
    <row r="759" spans="1:29" ht="16.100000000000001" x14ac:dyDescent="0.35">
      <c r="A759"/>
      <c r="B759" s="44"/>
      <c r="C759" s="24"/>
      <c r="D759" s="24"/>
      <c r="E759" s="81" t="s">
        <v>190</v>
      </c>
      <c r="F759" s="60">
        <f t="shared" ref="F759:N759" si="249">IF(((F757="")*AND(F758="")),"",(F757-F758)*3)</f>
        <v>2046</v>
      </c>
      <c r="G759" s="60">
        <f t="shared" si="249"/>
        <v>2111.64</v>
      </c>
      <c r="H759" s="60">
        <f t="shared" si="249"/>
        <v>2113.77</v>
      </c>
      <c r="I759" s="60">
        <f t="shared" si="249"/>
        <v>2088.3000000000002</v>
      </c>
      <c r="J759" s="60">
        <f t="shared" si="249"/>
        <v>2000.0099999999998</v>
      </c>
      <c r="K759" s="60">
        <f t="shared" si="249"/>
        <v>2042.25</v>
      </c>
      <c r="L759" s="60">
        <f t="shared" si="249"/>
        <v>2083.7699999999995</v>
      </c>
      <c r="M759" s="60">
        <f t="shared" si="249"/>
        <v>2106.75</v>
      </c>
      <c r="N759" s="60">
        <f t="shared" si="249"/>
        <v>1995.4499999999998</v>
      </c>
      <c r="O759" s="81"/>
      <c r="P759" s="81"/>
      <c r="Q759" s="82"/>
      <c r="R759" s="82"/>
      <c r="S759" s="178"/>
      <c r="T759" s="23"/>
      <c r="U759" s="179"/>
      <c r="V759" s="311"/>
      <c r="X759" s="157"/>
      <c r="Y759" s="157"/>
      <c r="Z759" s="157"/>
      <c r="AA759" s="157"/>
    </row>
    <row r="760" spans="1:29" x14ac:dyDescent="0.25">
      <c r="A760" s="249">
        <v>43438</v>
      </c>
      <c r="B760" s="260" t="s">
        <v>185</v>
      </c>
      <c r="C760" s="24" t="s">
        <v>173</v>
      </c>
      <c r="D760" s="24" t="s">
        <v>172</v>
      </c>
      <c r="E760" s="81" t="s">
        <v>186</v>
      </c>
      <c r="F760" s="31">
        <v>25785.360000000001</v>
      </c>
      <c r="G760" s="31">
        <v>25878.05</v>
      </c>
      <c r="H760" s="31">
        <v>25965.84</v>
      </c>
      <c r="I760" s="31">
        <v>25857.09</v>
      </c>
      <c r="J760" s="31">
        <v>25755.279999999999</v>
      </c>
      <c r="K760" s="31">
        <v>25791.39</v>
      </c>
      <c r="L760" s="31">
        <v>25883.38</v>
      </c>
      <c r="M760" s="31">
        <v>25832.82</v>
      </c>
      <c r="N760" s="31">
        <v>25722.560000000001</v>
      </c>
      <c r="O760" s="81">
        <f>IF((N761=""),"",MAX(F762:N762))</f>
        <v>4722.3300000000017</v>
      </c>
      <c r="P760" s="81">
        <f>IF(N761="","",MIN(F762:N762))</f>
        <v>4275.4799999999996</v>
      </c>
      <c r="Q760" s="82">
        <f>IF((N762=""),"",AVERAGE(F762:N762))</f>
        <v>4462.93</v>
      </c>
      <c r="R760" s="82">
        <f>IF((N761=""),"",(O760-P760)/(O760+P760)*100)</f>
        <v>4.9662084440547432</v>
      </c>
      <c r="S760" s="178">
        <f>STDEV(F762:N762)</f>
        <v>168.86911396108007</v>
      </c>
      <c r="T760" s="23" t="str">
        <f>IF(N761="","",IF(R760&lt;16,IF(Q760&gt;3200,IF(R760,IF(Q760&lt;5240,"Pass","Fail"),"Fail"),"Fail")))</f>
        <v>Pass</v>
      </c>
      <c r="U760" s="185">
        <v>74</v>
      </c>
      <c r="V760" s="311"/>
      <c r="X760" s="155">
        <v>4200</v>
      </c>
      <c r="Y760" s="155">
        <v>5500</v>
      </c>
      <c r="Z760" s="155">
        <v>3200</v>
      </c>
      <c r="AA760" s="155">
        <v>5240</v>
      </c>
      <c r="AC760" s="51">
        <v>16</v>
      </c>
    </row>
    <row r="761" spans="1:29" ht="16.100000000000001" x14ac:dyDescent="0.35">
      <c r="A761"/>
      <c r="B761" s="44"/>
      <c r="C761" s="24"/>
      <c r="D761" s="24"/>
      <c r="E761" s="81" t="s">
        <v>187</v>
      </c>
      <c r="F761" s="31">
        <v>24264.639999999999</v>
      </c>
      <c r="G761" s="31">
        <v>24430.1</v>
      </c>
      <c r="H761" s="31">
        <v>24540.68</v>
      </c>
      <c r="I761" s="31">
        <v>24406.38</v>
      </c>
      <c r="J761" s="31">
        <v>24198.26</v>
      </c>
      <c r="K761" s="31">
        <v>24268.82</v>
      </c>
      <c r="L761" s="31">
        <v>24450.57</v>
      </c>
      <c r="M761" s="31">
        <v>24375.08</v>
      </c>
      <c r="N761" s="31">
        <v>24148.45</v>
      </c>
      <c r="O761" s="81"/>
      <c r="P761" s="81"/>
      <c r="Q761" s="82"/>
      <c r="R761" s="82"/>
      <c r="S761" s="178"/>
      <c r="T761" s="23"/>
      <c r="U761" s="179"/>
      <c r="V761" s="311"/>
      <c r="X761" s="157"/>
      <c r="Y761" s="157"/>
      <c r="Z761" s="157"/>
      <c r="AA761" s="157"/>
    </row>
    <row r="762" spans="1:29" ht="22.75" thickBot="1" x14ac:dyDescent="0.4">
      <c r="A762"/>
      <c r="B762" s="83"/>
      <c r="C762" s="84"/>
      <c r="D762" s="84"/>
      <c r="E762" s="85" t="s">
        <v>188</v>
      </c>
      <c r="F762" s="73">
        <f t="shared" ref="F762:N762" si="250">IF(((F760="")*AND(F761="")),"",(F760-F761)*3)</f>
        <v>4562.1600000000035</v>
      </c>
      <c r="G762" s="73">
        <f t="shared" si="250"/>
        <v>4343.8500000000022</v>
      </c>
      <c r="H762" s="73">
        <f t="shared" si="250"/>
        <v>4275.4799999999996</v>
      </c>
      <c r="I762" s="73">
        <f t="shared" si="250"/>
        <v>4352.1299999999974</v>
      </c>
      <c r="J762" s="73">
        <f t="shared" si="250"/>
        <v>4671.0600000000013</v>
      </c>
      <c r="K762" s="73">
        <f t="shared" si="250"/>
        <v>4567.7099999999991</v>
      </c>
      <c r="L762" s="73">
        <f t="shared" si="250"/>
        <v>4298.4300000000039</v>
      </c>
      <c r="M762" s="73">
        <f t="shared" si="250"/>
        <v>4373.2199999999939</v>
      </c>
      <c r="N762" s="73">
        <f t="shared" si="250"/>
        <v>4722.3300000000017</v>
      </c>
      <c r="O762" s="85"/>
      <c r="P762" s="85"/>
      <c r="Q762" s="86"/>
      <c r="R762" s="86"/>
      <c r="S762" s="181"/>
      <c r="T762" s="182"/>
      <c r="U762" s="183"/>
      <c r="V762" s="311"/>
      <c r="X762" s="157"/>
      <c r="Y762" s="157"/>
      <c r="Z762" s="157"/>
      <c r="AA762" s="157"/>
    </row>
    <row r="763" spans="1:29" x14ac:dyDescent="0.25">
      <c r="A763" s="249">
        <v>43445</v>
      </c>
      <c r="B763" s="259" t="s">
        <v>174</v>
      </c>
      <c r="C763" s="64" t="s">
        <v>176</v>
      </c>
      <c r="D763" s="64" t="s">
        <v>175</v>
      </c>
      <c r="E763" s="79" t="s">
        <v>186</v>
      </c>
      <c r="F763" s="31">
        <v>6871.08</v>
      </c>
      <c r="G763" s="31">
        <v>6876.74</v>
      </c>
      <c r="H763" s="31">
        <v>6922.42</v>
      </c>
      <c r="I763" s="31">
        <v>6869.47</v>
      </c>
      <c r="J763" s="31">
        <v>6875.27</v>
      </c>
      <c r="K763" s="31">
        <v>6883.21</v>
      </c>
      <c r="L763" s="31">
        <v>6901.27</v>
      </c>
      <c r="M763" s="31">
        <v>6913.18</v>
      </c>
      <c r="N763" s="31">
        <v>6974.11</v>
      </c>
      <c r="O763" s="79">
        <f>IF((N764=""),"",MAX(F765:N765))</f>
        <v>3797.34</v>
      </c>
      <c r="P763" s="79">
        <f>IF(N764="","",MIN(F765:N765))</f>
        <v>3534.58</v>
      </c>
      <c r="Q763" s="80">
        <f>IF((N765=""),"",AVERAGE(F765:N765))</f>
        <v>3708.5244444444447</v>
      </c>
      <c r="R763" s="80">
        <f>IF((N764=""),"",(O763-P763)/(O763+P763)*100)</f>
        <v>3.5837816015450281</v>
      </c>
      <c r="S763" s="152">
        <f>STDEV(F765:N765)</f>
        <v>90.47911735741998</v>
      </c>
      <c r="T763" s="176" t="str">
        <f>IF(N764="","",IF(Q763&gt;3650,IF(R763&lt;7,IF(Q763&lt;4450,"Pass","Fail"),"Fail"),"Fail"))</f>
        <v>Pass</v>
      </c>
      <c r="U763" s="188" t="s">
        <v>217</v>
      </c>
      <c r="V763" s="311"/>
      <c r="X763" s="155">
        <v>3650</v>
      </c>
      <c r="Y763" s="155">
        <v>4450</v>
      </c>
      <c r="Z763" s="155">
        <v>3700</v>
      </c>
      <c r="AA763" s="155">
        <v>4100</v>
      </c>
      <c r="AB763" s="51">
        <v>7</v>
      </c>
      <c r="AC763" s="51">
        <v>6.5</v>
      </c>
    </row>
    <row r="764" spans="1:29" ht="16.100000000000001" x14ac:dyDescent="0.35">
      <c r="A764"/>
      <c r="B764" s="44"/>
      <c r="C764" s="24"/>
      <c r="D764" s="24"/>
      <c r="E764" s="81" t="s">
        <v>187</v>
      </c>
      <c r="F764" s="31">
        <v>5050.88</v>
      </c>
      <c r="G764" s="31">
        <v>4992.38</v>
      </c>
      <c r="H764" s="31">
        <v>5030.1400000000003</v>
      </c>
      <c r="I764" s="31">
        <v>4991.51</v>
      </c>
      <c r="J764" s="31">
        <v>5067.8500000000004</v>
      </c>
      <c r="K764" s="31">
        <v>5115.92</v>
      </c>
      <c r="L764" s="31">
        <v>5025.33</v>
      </c>
      <c r="M764" s="31">
        <v>5014.51</v>
      </c>
      <c r="N764" s="31">
        <v>5109.87</v>
      </c>
      <c r="O764" s="81"/>
      <c r="P764" s="81"/>
      <c r="Q764" s="82"/>
      <c r="R764" s="82"/>
      <c r="S764" s="178"/>
      <c r="T764" s="28"/>
      <c r="U764" s="185"/>
      <c r="V764" s="311"/>
      <c r="X764" s="157"/>
      <c r="Y764" s="157"/>
      <c r="Z764" s="157"/>
      <c r="AA764" s="157"/>
    </row>
    <row r="765" spans="1:29" ht="22.75" thickBot="1" x14ac:dyDescent="0.4">
      <c r="A765"/>
      <c r="B765" s="44"/>
      <c r="C765" s="24"/>
      <c r="D765" s="24"/>
      <c r="E765" s="81" t="s">
        <v>188</v>
      </c>
      <c r="F765" s="60">
        <f t="shared" ref="F765:N765" si="251">IF(((F763="")*AND(F764="")),"",(F763-F764)*2)</f>
        <v>3640.3999999999996</v>
      </c>
      <c r="G765" s="60">
        <f t="shared" si="251"/>
        <v>3768.7199999999993</v>
      </c>
      <c r="H765" s="60">
        <f t="shared" si="251"/>
        <v>3784.5599999999995</v>
      </c>
      <c r="I765" s="60">
        <f t="shared" si="251"/>
        <v>3755.92</v>
      </c>
      <c r="J765" s="60">
        <f t="shared" si="251"/>
        <v>3614.84</v>
      </c>
      <c r="K765" s="60">
        <f t="shared" si="251"/>
        <v>3534.58</v>
      </c>
      <c r="L765" s="60">
        <f t="shared" si="251"/>
        <v>3751.880000000001</v>
      </c>
      <c r="M765" s="60">
        <f t="shared" si="251"/>
        <v>3797.34</v>
      </c>
      <c r="N765" s="60">
        <f t="shared" si="251"/>
        <v>3728.4799999999996</v>
      </c>
      <c r="O765" s="81"/>
      <c r="P765" s="81"/>
      <c r="Q765" s="82"/>
      <c r="R765" s="82"/>
      <c r="S765" s="178"/>
      <c r="T765" s="28"/>
      <c r="U765" s="185"/>
      <c r="V765" s="311"/>
      <c r="X765" s="157"/>
      <c r="Y765" s="157"/>
      <c r="Z765" s="157"/>
      <c r="AA765" s="157"/>
    </row>
    <row r="766" spans="1:29" x14ac:dyDescent="0.25">
      <c r="A766" s="249">
        <v>43445</v>
      </c>
      <c r="B766" s="257" t="s">
        <v>169</v>
      </c>
      <c r="C766" s="24" t="s">
        <v>171</v>
      </c>
      <c r="D766" s="24" t="s">
        <v>189</v>
      </c>
      <c r="E766" s="81" t="s">
        <v>186</v>
      </c>
      <c r="F766" s="31">
        <v>1973.08</v>
      </c>
      <c r="G766" s="31">
        <v>1950.62</v>
      </c>
      <c r="H766" s="31">
        <v>1948.98</v>
      </c>
      <c r="I766" s="31">
        <v>1946.23</v>
      </c>
      <c r="J766" s="31">
        <v>1967.11</v>
      </c>
      <c r="K766" s="31">
        <v>1972.42</v>
      </c>
      <c r="L766" s="31">
        <v>1953.82</v>
      </c>
      <c r="M766" s="31">
        <v>1949</v>
      </c>
      <c r="N766" s="31">
        <v>1965.14</v>
      </c>
      <c r="O766" s="81">
        <f>IF((N767=""),"",MAX(F768:N768))</f>
        <v>2142.06</v>
      </c>
      <c r="P766" s="81">
        <f>IF(N767="","",MIN(F768:N768))</f>
        <v>2055.9899999999998</v>
      </c>
      <c r="Q766" s="82">
        <f>IF((N768=""),"",AVERAGE(F768:N768))</f>
        <v>2089.3833333333332</v>
      </c>
      <c r="R766" s="82">
        <f>IF((N767=""),"",(O766-P766)/(O766+P766)*100)</f>
        <v>2.0502376103190811</v>
      </c>
      <c r="S766" s="178">
        <f>STDEV(F768:N768)</f>
        <v>33.235296749088882</v>
      </c>
      <c r="T766" s="23" t="str">
        <f>IF(N767="","",IF(Q766&gt;1940,IF(R766&lt;8.3,IF(Q766&lt;2180,"Pass","Fail"),"Fail"),"Fail"))</f>
        <v>Pass</v>
      </c>
      <c r="U766" s="188" t="s">
        <v>217</v>
      </c>
      <c r="V766" s="311"/>
      <c r="X766" s="155">
        <v>2000</v>
      </c>
      <c r="Y766" s="155">
        <v>3000</v>
      </c>
      <c r="Z766" s="155">
        <v>1940</v>
      </c>
      <c r="AA766" s="155">
        <v>2180</v>
      </c>
      <c r="AC766" s="51">
        <v>5.2</v>
      </c>
    </row>
    <row r="767" spans="1:29" ht="16.100000000000001" x14ac:dyDescent="0.35">
      <c r="A767"/>
      <c r="B767" s="44"/>
      <c r="C767" s="24"/>
      <c r="D767" s="24"/>
      <c r="E767" s="81" t="s">
        <v>187</v>
      </c>
      <c r="F767" s="31">
        <v>1259.06</v>
      </c>
      <c r="G767" s="31">
        <v>1257.1600000000001</v>
      </c>
      <c r="H767" s="31">
        <v>1263.6500000000001</v>
      </c>
      <c r="I767" s="31">
        <v>1260.69</v>
      </c>
      <c r="J767" s="31">
        <v>1264.6600000000001</v>
      </c>
      <c r="K767" s="31">
        <v>1258.99</v>
      </c>
      <c r="L767" s="31">
        <v>1263.0899999999999</v>
      </c>
      <c r="M767" s="31">
        <v>1260.3499999999999</v>
      </c>
      <c r="N767" s="31">
        <v>1270.5999999999999</v>
      </c>
      <c r="O767" s="81"/>
      <c r="P767" s="81"/>
      <c r="Q767" s="82"/>
      <c r="R767" s="82"/>
      <c r="S767" s="178"/>
      <c r="T767" s="23"/>
      <c r="U767" s="179"/>
      <c r="V767" s="311"/>
      <c r="X767" s="157"/>
      <c r="Y767" s="157"/>
      <c r="Z767" s="157"/>
      <c r="AA767" s="157"/>
    </row>
    <row r="768" spans="1:29" ht="16.649999999999999" thickBot="1" x14ac:dyDescent="0.4">
      <c r="A768"/>
      <c r="B768" s="44"/>
      <c r="C768" s="24"/>
      <c r="D768" s="24"/>
      <c r="E768" s="81" t="s">
        <v>190</v>
      </c>
      <c r="F768" s="60">
        <f t="shared" ref="F768:N768" si="252">IF(((F766="")*AND(F767="")),"",(F766-F767)*3)</f>
        <v>2142.06</v>
      </c>
      <c r="G768" s="60">
        <f t="shared" si="252"/>
        <v>2080.3799999999992</v>
      </c>
      <c r="H768" s="60">
        <f t="shared" si="252"/>
        <v>2055.9899999999998</v>
      </c>
      <c r="I768" s="60">
        <f t="shared" si="252"/>
        <v>2056.62</v>
      </c>
      <c r="J768" s="60">
        <f t="shared" si="252"/>
        <v>2107.3499999999995</v>
      </c>
      <c r="K768" s="60">
        <f t="shared" si="252"/>
        <v>2140.29</v>
      </c>
      <c r="L768" s="60">
        <f t="shared" si="252"/>
        <v>2072.19</v>
      </c>
      <c r="M768" s="60">
        <f t="shared" si="252"/>
        <v>2065.9500000000003</v>
      </c>
      <c r="N768" s="60">
        <f t="shared" si="252"/>
        <v>2083.6200000000008</v>
      </c>
      <c r="O768" s="81"/>
      <c r="P768" s="81"/>
      <c r="Q768" s="82"/>
      <c r="R768" s="82"/>
      <c r="S768" s="178"/>
      <c r="T768" s="23"/>
      <c r="U768" s="179"/>
      <c r="V768" s="311"/>
      <c r="X768" s="157"/>
      <c r="Y768" s="157"/>
      <c r="Z768" s="157"/>
      <c r="AA768" s="157"/>
    </row>
    <row r="769" spans="1:29" x14ac:dyDescent="0.25">
      <c r="A769" s="249">
        <v>43445</v>
      </c>
      <c r="B769" s="260" t="s">
        <v>185</v>
      </c>
      <c r="C769" s="24" t="s">
        <v>173</v>
      </c>
      <c r="D769" s="24" t="s">
        <v>172</v>
      </c>
      <c r="E769" s="81" t="s">
        <v>186</v>
      </c>
      <c r="F769" s="31">
        <v>29211.13</v>
      </c>
      <c r="G769" s="31">
        <v>29098.5</v>
      </c>
      <c r="H769" s="31">
        <v>29095.51</v>
      </c>
      <c r="I769" s="31">
        <v>29106.87</v>
      </c>
      <c r="J769" s="31">
        <v>29178.7</v>
      </c>
      <c r="K769" s="31">
        <v>29157.75</v>
      </c>
      <c r="L769" s="31">
        <v>29081.27</v>
      </c>
      <c r="M769" s="31">
        <v>29111.97</v>
      </c>
      <c r="N769" s="31">
        <v>29215.22</v>
      </c>
      <c r="O769" s="81">
        <f>IF((N770=""),"",MAX(F771:N771))</f>
        <v>4366.6800000000039</v>
      </c>
      <c r="P769" s="81">
        <f>IF(N770="","",MIN(F771:N771))</f>
        <v>3849.1499999999978</v>
      </c>
      <c r="Q769" s="82">
        <f>IF((N771=""),"",AVERAGE(F771:N771))</f>
        <v>4068.3500000000008</v>
      </c>
      <c r="R769" s="82">
        <f>IF((N770=""),"",(O769-P769)/(O769+P769)*100)</f>
        <v>6.2991809713687603</v>
      </c>
      <c r="S769" s="178">
        <f>STDEV(F771:N771)</f>
        <v>196.1411167374163</v>
      </c>
      <c r="T769" s="23" t="str">
        <f>IF(N770="","",IF(R769&lt;16,IF(Q769&gt;3200,IF(R769,IF(Q769&lt;5240,"Pass","Fail"),"Fail"),"Fail")))</f>
        <v>Pass</v>
      </c>
      <c r="U769" s="188" t="s">
        <v>217</v>
      </c>
      <c r="V769" s="311"/>
      <c r="X769" s="155">
        <v>4200</v>
      </c>
      <c r="Y769" s="155">
        <v>5500</v>
      </c>
      <c r="Z769" s="155">
        <v>3200</v>
      </c>
      <c r="AA769" s="155">
        <v>5240</v>
      </c>
      <c r="AC769" s="51">
        <v>16</v>
      </c>
    </row>
    <row r="770" spans="1:29" ht="16.100000000000001" x14ac:dyDescent="0.35">
      <c r="A770"/>
      <c r="B770" s="44"/>
      <c r="C770" s="24"/>
      <c r="D770" s="24"/>
      <c r="E770" s="81" t="s">
        <v>187</v>
      </c>
      <c r="F770" s="31">
        <v>27765.59</v>
      </c>
      <c r="G770" s="31">
        <v>27780.12</v>
      </c>
      <c r="H770" s="31">
        <v>27812.46</v>
      </c>
      <c r="I770" s="31">
        <v>27797.29</v>
      </c>
      <c r="J770" s="31">
        <v>27775.53</v>
      </c>
      <c r="K770" s="31">
        <v>27783.38</v>
      </c>
      <c r="L770" s="31">
        <v>27782.15</v>
      </c>
      <c r="M770" s="31">
        <v>27795.69</v>
      </c>
      <c r="N770" s="31">
        <v>27759.66</v>
      </c>
      <c r="O770" s="81"/>
      <c r="P770" s="81"/>
      <c r="Q770" s="82"/>
      <c r="R770" s="82"/>
      <c r="S770" s="178"/>
      <c r="T770" s="23"/>
      <c r="U770" s="179"/>
      <c r="V770" s="311"/>
      <c r="X770" s="157"/>
      <c r="Y770" s="157"/>
      <c r="Z770" s="157"/>
      <c r="AA770" s="157"/>
    </row>
    <row r="771" spans="1:29" ht="22.75" thickBot="1" x14ac:dyDescent="0.4">
      <c r="A771"/>
      <c r="B771" s="83"/>
      <c r="C771" s="84"/>
      <c r="D771" s="84"/>
      <c r="E771" s="85" t="s">
        <v>188</v>
      </c>
      <c r="F771" s="73">
        <f t="shared" ref="F771:N771" si="253">IF(((F769="")*AND(F770="")),"",(F769-F770)*3)</f>
        <v>4336.6200000000026</v>
      </c>
      <c r="G771" s="73">
        <f t="shared" si="253"/>
        <v>3955.1400000000031</v>
      </c>
      <c r="H771" s="73">
        <f t="shared" si="253"/>
        <v>3849.1499999999978</v>
      </c>
      <c r="I771" s="73">
        <f t="shared" si="253"/>
        <v>3928.7399999999943</v>
      </c>
      <c r="J771" s="73">
        <f t="shared" si="253"/>
        <v>4209.5100000000057</v>
      </c>
      <c r="K771" s="73">
        <f t="shared" si="253"/>
        <v>4123.1099999999969</v>
      </c>
      <c r="L771" s="73">
        <f t="shared" si="253"/>
        <v>3897.3599999999969</v>
      </c>
      <c r="M771" s="73">
        <f t="shared" si="253"/>
        <v>3948.8400000000074</v>
      </c>
      <c r="N771" s="73">
        <f t="shared" si="253"/>
        <v>4366.6800000000039</v>
      </c>
      <c r="O771" s="85"/>
      <c r="P771" s="85"/>
      <c r="Q771" s="86"/>
      <c r="R771" s="86"/>
      <c r="S771" s="181"/>
      <c r="T771" s="182"/>
      <c r="U771" s="183"/>
      <c r="V771" s="311"/>
      <c r="X771" s="157"/>
      <c r="Y771" s="157"/>
      <c r="Z771" s="157"/>
      <c r="AA771" s="157"/>
    </row>
    <row r="772" spans="1:29" x14ac:dyDescent="0.25">
      <c r="A772" s="249">
        <v>43451</v>
      </c>
      <c r="B772" s="261" t="s">
        <v>174</v>
      </c>
      <c r="C772" s="59" t="s">
        <v>176</v>
      </c>
      <c r="D772" s="59" t="s">
        <v>175</v>
      </c>
      <c r="E772" s="61" t="s">
        <v>186</v>
      </c>
      <c r="F772" s="31">
        <v>6849</v>
      </c>
      <c r="G772" s="31">
        <v>6830</v>
      </c>
      <c r="H772" s="31">
        <v>6874</v>
      </c>
      <c r="I772" s="31">
        <v>6838</v>
      </c>
      <c r="J772" s="31">
        <v>6903</v>
      </c>
      <c r="K772" s="167">
        <v>6872</v>
      </c>
      <c r="L772" s="167">
        <v>6863</v>
      </c>
      <c r="M772" s="167">
        <v>6866</v>
      </c>
      <c r="N772" s="167">
        <v>6956</v>
      </c>
      <c r="O772" s="79">
        <f>IF((N773=""),"",MAX(F774:N774))</f>
        <v>3836</v>
      </c>
      <c r="P772" s="79">
        <f>IF(N773="","",MIN(F774:N774))</f>
        <v>3614</v>
      </c>
      <c r="Q772" s="80">
        <f>IF((N774=""),"",AVERAGE(F774:N774))</f>
        <v>3762.4444444444443</v>
      </c>
      <c r="R772" s="80">
        <f>IF((N773=""),"",(O772-P772)/(O772+P772)*100)</f>
        <v>2.9798657718120807</v>
      </c>
      <c r="S772" s="152">
        <f>STDEV(F774:N774)</f>
        <v>78.611562621396729</v>
      </c>
      <c r="T772" s="176" t="str">
        <f>IF(N773="","",IF(Q772&gt;3650,IF(R772&lt;7,IF(Q772&lt;4450,"Pass","Fail"),"Fail"),"Fail"))</f>
        <v>Pass</v>
      </c>
      <c r="U772" s="188">
        <v>1340</v>
      </c>
      <c r="V772" s="311"/>
      <c r="X772" s="155">
        <v>3650</v>
      </c>
      <c r="Y772" s="155">
        <v>4450</v>
      </c>
      <c r="Z772" s="155">
        <v>3700</v>
      </c>
      <c r="AA772" s="155">
        <v>4100</v>
      </c>
      <c r="AB772" s="51">
        <v>7</v>
      </c>
      <c r="AC772" s="51">
        <v>6.5</v>
      </c>
    </row>
    <row r="773" spans="1:29" ht="16.100000000000001" x14ac:dyDescent="0.35">
      <c r="A773"/>
      <c r="B773" s="44"/>
      <c r="C773" s="24"/>
      <c r="D773" s="24"/>
      <c r="E773" s="81" t="s">
        <v>187</v>
      </c>
      <c r="F773" s="31">
        <v>5008</v>
      </c>
      <c r="G773" s="31">
        <v>4926</v>
      </c>
      <c r="H773" s="31">
        <v>4959</v>
      </c>
      <c r="I773" s="31">
        <v>4933</v>
      </c>
      <c r="J773" s="31">
        <v>5055</v>
      </c>
      <c r="K773" s="31">
        <v>5065</v>
      </c>
      <c r="L773" s="31">
        <v>4960</v>
      </c>
      <c r="M773" s="31">
        <v>4948</v>
      </c>
      <c r="N773" s="31">
        <v>5066</v>
      </c>
      <c r="O773" s="81"/>
      <c r="P773" s="81"/>
      <c r="Q773" s="82"/>
      <c r="R773" s="82"/>
      <c r="S773" s="178"/>
      <c r="T773" s="28"/>
      <c r="U773" s="185"/>
      <c r="V773" s="311"/>
      <c r="X773" s="157"/>
      <c r="Y773" s="157"/>
      <c r="Z773" s="157"/>
      <c r="AA773" s="157"/>
    </row>
    <row r="774" spans="1:29" ht="22.75" thickBot="1" x14ac:dyDescent="0.4">
      <c r="A774"/>
      <c r="B774" s="44"/>
      <c r="C774" s="24"/>
      <c r="D774" s="24"/>
      <c r="E774" s="81" t="s">
        <v>188</v>
      </c>
      <c r="F774" s="60">
        <f t="shared" ref="F774:N774" si="254">IF(((F772="")*AND(F773="")),"",(F772-F773)*2)</f>
        <v>3682</v>
      </c>
      <c r="G774" s="60">
        <f t="shared" si="254"/>
        <v>3808</v>
      </c>
      <c r="H774" s="60">
        <f t="shared" si="254"/>
        <v>3830</v>
      </c>
      <c r="I774" s="60">
        <f t="shared" si="254"/>
        <v>3810</v>
      </c>
      <c r="J774" s="60">
        <f t="shared" si="254"/>
        <v>3696</v>
      </c>
      <c r="K774" s="60">
        <f t="shared" si="254"/>
        <v>3614</v>
      </c>
      <c r="L774" s="60">
        <f t="shared" si="254"/>
        <v>3806</v>
      </c>
      <c r="M774" s="60">
        <f t="shared" si="254"/>
        <v>3836</v>
      </c>
      <c r="N774" s="60">
        <f t="shared" si="254"/>
        <v>3780</v>
      </c>
      <c r="O774" s="81"/>
      <c r="P774" s="81"/>
      <c r="Q774" s="82"/>
      <c r="R774" s="82"/>
      <c r="S774" s="178"/>
      <c r="T774" s="28"/>
      <c r="U774" s="185"/>
      <c r="V774" s="311"/>
      <c r="X774" s="157"/>
      <c r="Y774" s="157"/>
      <c r="Z774" s="157"/>
      <c r="AA774" s="157"/>
    </row>
    <row r="775" spans="1:29" x14ac:dyDescent="0.25">
      <c r="A775" s="252">
        <v>43451</v>
      </c>
      <c r="B775" s="257" t="s">
        <v>169</v>
      </c>
      <c r="C775" s="24" t="s">
        <v>171</v>
      </c>
      <c r="D775" s="24" t="s">
        <v>189</v>
      </c>
      <c r="E775" s="81" t="s">
        <v>186</v>
      </c>
      <c r="F775" s="31">
        <v>1256</v>
      </c>
      <c r="G775" s="31">
        <v>1237</v>
      </c>
      <c r="H775" s="31">
        <v>1223</v>
      </c>
      <c r="I775" s="31">
        <v>1237</v>
      </c>
      <c r="J775" s="31">
        <v>1262</v>
      </c>
      <c r="K775" s="31">
        <v>1268</v>
      </c>
      <c r="L775" s="31">
        <v>1233</v>
      </c>
      <c r="M775" s="31">
        <v>1239</v>
      </c>
      <c r="N775" s="31">
        <v>1261</v>
      </c>
      <c r="O775" s="81">
        <f>IF((N776=""),"",MAX(F777:N777))</f>
        <v>2034</v>
      </c>
      <c r="P775" s="81">
        <f>IF(N776="","",MIN(F777:N777))</f>
        <v>1956</v>
      </c>
      <c r="Q775" s="82">
        <f>IF((N777=""),"",AVERAGE(F777:N777))</f>
        <v>1999.6666666666667</v>
      </c>
      <c r="R775" s="82">
        <f>IF((N776=""),"",(O775-P775)/(O775+P775)*100)</f>
        <v>1.9548872180451129</v>
      </c>
      <c r="S775" s="178">
        <f>STDEV(F777:N777)</f>
        <v>28.464890654980568</v>
      </c>
      <c r="T775" s="23" t="str">
        <f>IF(N776="","",IF(Q775&gt;1940,IF(R775&lt;8.3,IF(Q775&lt;2180,"Pass","Fail"),"Fail"),"Fail"))</f>
        <v>Pass</v>
      </c>
      <c r="U775" s="188">
        <v>1340</v>
      </c>
      <c r="V775" s="311"/>
      <c r="X775" s="155">
        <v>2000</v>
      </c>
      <c r="Y775" s="155">
        <v>3000</v>
      </c>
      <c r="Z775" s="155">
        <v>1940</v>
      </c>
      <c r="AA775" s="155">
        <v>2180</v>
      </c>
      <c r="AC775" s="51">
        <v>5.2</v>
      </c>
    </row>
    <row r="776" spans="1:29" ht="16.100000000000001" x14ac:dyDescent="0.35">
      <c r="A776"/>
      <c r="B776" s="44"/>
      <c r="C776" s="24"/>
      <c r="D776" s="24"/>
      <c r="E776" s="81" t="s">
        <v>187</v>
      </c>
      <c r="F776" s="31">
        <v>578</v>
      </c>
      <c r="G776" s="31">
        <v>568</v>
      </c>
      <c r="H776" s="31">
        <v>569</v>
      </c>
      <c r="I776" s="167">
        <v>574</v>
      </c>
      <c r="J776" s="167">
        <v>594</v>
      </c>
      <c r="K776" s="167">
        <v>590</v>
      </c>
      <c r="L776" s="31">
        <v>581</v>
      </c>
      <c r="M776" s="31">
        <v>565</v>
      </c>
      <c r="N776" s="31">
        <v>598</v>
      </c>
      <c r="O776" s="81"/>
      <c r="P776" s="81"/>
      <c r="Q776" s="82"/>
      <c r="R776" s="82"/>
      <c r="S776" s="178"/>
      <c r="T776" s="23"/>
      <c r="U776" s="179"/>
      <c r="V776" s="311"/>
      <c r="X776" s="157"/>
      <c r="Y776" s="157"/>
      <c r="Z776" s="157"/>
      <c r="AA776" s="157"/>
    </row>
    <row r="777" spans="1:29" ht="16.649999999999999" thickBot="1" x14ac:dyDescent="0.4">
      <c r="A777"/>
      <c r="B777" s="44"/>
      <c r="C777" s="24"/>
      <c r="D777" s="24"/>
      <c r="E777" s="81" t="s">
        <v>190</v>
      </c>
      <c r="F777" s="60">
        <f t="shared" ref="F777:N777" si="255">IF(((F775="")*AND(F776="")),"",(F775-F776)*3)</f>
        <v>2034</v>
      </c>
      <c r="G777" s="60">
        <f t="shared" si="255"/>
        <v>2007</v>
      </c>
      <c r="H777" s="60">
        <f t="shared" si="255"/>
        <v>1962</v>
      </c>
      <c r="I777" s="60">
        <f t="shared" si="255"/>
        <v>1989</v>
      </c>
      <c r="J777" s="60">
        <f t="shared" si="255"/>
        <v>2004</v>
      </c>
      <c r="K777" s="60">
        <f t="shared" si="255"/>
        <v>2034</v>
      </c>
      <c r="L777" s="60">
        <f t="shared" si="255"/>
        <v>1956</v>
      </c>
      <c r="M777" s="60">
        <f t="shared" si="255"/>
        <v>2022</v>
      </c>
      <c r="N777" s="60">
        <f t="shared" si="255"/>
        <v>1989</v>
      </c>
      <c r="O777" s="81"/>
      <c r="P777" s="81"/>
      <c r="Q777" s="82"/>
      <c r="R777" s="82"/>
      <c r="S777" s="178"/>
      <c r="T777" s="23"/>
      <c r="U777" s="179"/>
      <c r="V777" s="311"/>
      <c r="X777" s="157"/>
      <c r="Y777" s="157"/>
      <c r="Z777" s="157"/>
      <c r="AA777" s="157"/>
    </row>
    <row r="778" spans="1:29" x14ac:dyDescent="0.25">
      <c r="A778" s="252">
        <v>43451</v>
      </c>
      <c r="B778" s="260" t="s">
        <v>185</v>
      </c>
      <c r="C778" s="24" t="s">
        <v>173</v>
      </c>
      <c r="D778" s="24" t="s">
        <v>172</v>
      </c>
      <c r="E778" s="81" t="s">
        <v>186</v>
      </c>
      <c r="F778" s="31">
        <v>29027</v>
      </c>
      <c r="G778" s="31">
        <v>28971</v>
      </c>
      <c r="H778" s="31">
        <v>28924</v>
      </c>
      <c r="I778" s="31">
        <v>28962</v>
      </c>
      <c r="J778" s="31">
        <v>29003</v>
      </c>
      <c r="K778" s="167">
        <v>28766</v>
      </c>
      <c r="L778" s="167">
        <v>28905</v>
      </c>
      <c r="M778" s="167">
        <v>28883</v>
      </c>
      <c r="N778" s="167">
        <v>28967</v>
      </c>
      <c r="O778" s="81">
        <f>IF((N779=""),"",MAX(F780:N780))</f>
        <v>4335</v>
      </c>
      <c r="P778" s="81">
        <f>IF(N779="","",MIN(F780:N780))</f>
        <v>3441</v>
      </c>
      <c r="Q778" s="82">
        <f>IF((N780=""),"",AVERAGE(F780:N780))</f>
        <v>3887.3333333333335</v>
      </c>
      <c r="R778" s="82">
        <f>IF((N779=""),"",(O778-P778)/(O778+P778)*100)</f>
        <v>11.496913580246913</v>
      </c>
      <c r="S778" s="178">
        <f>STDEV(F780:N780)</f>
        <v>281.61986790707789</v>
      </c>
      <c r="T778" s="23" t="str">
        <f>IF(N779="","",IF(R778&lt;16,IF(Q778&gt;3200,IF(R778,IF(Q778&lt;5240,"Pass","Fail"),"Fail"),"Fail")))</f>
        <v>Pass</v>
      </c>
      <c r="U778" s="188">
        <v>1340</v>
      </c>
      <c r="V778" s="311"/>
      <c r="X778" s="155">
        <v>4200</v>
      </c>
      <c r="Y778" s="155">
        <v>5500</v>
      </c>
      <c r="Z778" s="155">
        <v>3200</v>
      </c>
      <c r="AA778" s="155">
        <v>5240</v>
      </c>
      <c r="AC778" s="51">
        <v>16</v>
      </c>
    </row>
    <row r="779" spans="1:29" ht="16.100000000000001" x14ac:dyDescent="0.35">
      <c r="A779"/>
      <c r="B779" s="44"/>
      <c r="C779" s="24"/>
      <c r="D779" s="24"/>
      <c r="E779" s="81" t="s">
        <v>187</v>
      </c>
      <c r="F779" s="31">
        <v>27582</v>
      </c>
      <c r="G779" s="31">
        <v>27666</v>
      </c>
      <c r="H779" s="31">
        <v>27711</v>
      </c>
      <c r="I779" s="167">
        <v>27662</v>
      </c>
      <c r="J779" s="167">
        <v>27650</v>
      </c>
      <c r="K779" s="167">
        <v>27619</v>
      </c>
      <c r="L779" s="167">
        <v>27664</v>
      </c>
      <c r="M779" s="167">
        <v>27627</v>
      </c>
      <c r="N779" s="167">
        <v>27565</v>
      </c>
      <c r="O779" s="81"/>
      <c r="P779" s="81"/>
      <c r="Q779" s="82"/>
      <c r="R779" s="82"/>
      <c r="S779" s="178"/>
      <c r="T779" s="23"/>
      <c r="U779" s="179"/>
      <c r="V779" s="311"/>
      <c r="X779" s="157"/>
      <c r="Y779" s="157"/>
      <c r="Z779" s="157"/>
      <c r="AA779" s="157"/>
    </row>
    <row r="780" spans="1:29" ht="22.75" thickBot="1" x14ac:dyDescent="0.4">
      <c r="A780"/>
      <c r="B780" s="83"/>
      <c r="C780" s="84"/>
      <c r="D780" s="84"/>
      <c r="E780" s="85" t="s">
        <v>188</v>
      </c>
      <c r="F780" s="73">
        <f t="shared" ref="F780:N780" si="256">IF(((F778="")*AND(F779="")),"",(F778-F779)*3)</f>
        <v>4335</v>
      </c>
      <c r="G780" s="73">
        <f t="shared" si="256"/>
        <v>3915</v>
      </c>
      <c r="H780" s="73">
        <f t="shared" si="256"/>
        <v>3639</v>
      </c>
      <c r="I780" s="73">
        <f t="shared" si="256"/>
        <v>3900</v>
      </c>
      <c r="J780" s="73">
        <f t="shared" si="256"/>
        <v>4059</v>
      </c>
      <c r="K780" s="73">
        <f t="shared" si="256"/>
        <v>3441</v>
      </c>
      <c r="L780" s="73">
        <f t="shared" si="256"/>
        <v>3723</v>
      </c>
      <c r="M780" s="73">
        <f t="shared" si="256"/>
        <v>3768</v>
      </c>
      <c r="N780" s="73">
        <f t="shared" si="256"/>
        <v>4206</v>
      </c>
      <c r="O780" s="85"/>
      <c r="P780" s="85"/>
      <c r="Q780" s="86"/>
      <c r="R780" s="86"/>
      <c r="S780" s="181"/>
      <c r="T780" s="182"/>
      <c r="U780" s="183"/>
      <c r="V780" s="311"/>
      <c r="X780" s="157"/>
      <c r="Y780" s="157"/>
      <c r="Z780" s="157"/>
      <c r="AA780" s="157"/>
    </row>
    <row r="781" spans="1:29" x14ac:dyDescent="0.25">
      <c r="A781" s="249">
        <v>43460</v>
      </c>
      <c r="B781" s="261" t="s">
        <v>174</v>
      </c>
      <c r="C781" s="59" t="s">
        <v>176</v>
      </c>
      <c r="D781" s="59" t="s">
        <v>175</v>
      </c>
      <c r="E781" s="61" t="s">
        <v>186</v>
      </c>
      <c r="F781" s="31">
        <v>5018.34</v>
      </c>
      <c r="G781" s="31">
        <v>4937.29</v>
      </c>
      <c r="H781" s="31">
        <v>4968.3</v>
      </c>
      <c r="I781" s="31">
        <v>4942.92</v>
      </c>
      <c r="J781" s="31">
        <v>5064.83</v>
      </c>
      <c r="K781" s="31">
        <v>5074.83</v>
      </c>
      <c r="L781" s="31">
        <v>4969.8100000000004</v>
      </c>
      <c r="M781" s="31">
        <v>4958.4399999999996</v>
      </c>
      <c r="N781" s="31">
        <v>5075.38</v>
      </c>
      <c r="O781" s="79">
        <f>IF((N782=""),"",MAX(F783:N783))</f>
        <v>3854.1399999999994</v>
      </c>
      <c r="P781" s="79">
        <f>IF(N782="","",MIN(F783:N783))</f>
        <v>3564.76</v>
      </c>
      <c r="Q781" s="80">
        <f>IF((N783=""),"",AVERAGE(F783:N783))</f>
        <v>3754.4866666666671</v>
      </c>
      <c r="R781" s="80">
        <f>IF((N782=""),"",(O781-P781)/(O781+P781)*100)</f>
        <v>3.9005782528407069</v>
      </c>
      <c r="S781" s="152">
        <f>STDEV(F783:N783)</f>
        <v>97.111780953702947</v>
      </c>
      <c r="T781" s="176" t="str">
        <f>IF(N782="","",IF(Q781&gt;3650,IF(R781&lt;7,IF(Q781&lt;4450,"Pass","Fail"),"Fail"),"Fail"))</f>
        <v>Pass</v>
      </c>
      <c r="U781" s="188">
        <v>74</v>
      </c>
      <c r="X781" s="155">
        <v>3650</v>
      </c>
      <c r="Y781" s="155">
        <v>4450</v>
      </c>
      <c r="Z781" s="155">
        <v>3700</v>
      </c>
      <c r="AA781" s="155">
        <v>4100</v>
      </c>
      <c r="AB781" s="51">
        <v>7</v>
      </c>
      <c r="AC781" s="51">
        <v>6.5</v>
      </c>
    </row>
    <row r="782" spans="1:29" ht="16.100000000000001" x14ac:dyDescent="0.35">
      <c r="A782"/>
      <c r="B782" s="44"/>
      <c r="C782" s="24"/>
      <c r="D782" s="24"/>
      <c r="E782" s="81" t="s">
        <v>187</v>
      </c>
      <c r="F782" s="31">
        <v>3190.58</v>
      </c>
      <c r="G782" s="31">
        <v>3035.89</v>
      </c>
      <c r="H782" s="31">
        <v>3053.67</v>
      </c>
      <c r="I782" s="31">
        <v>3034.87</v>
      </c>
      <c r="J782" s="31">
        <v>3223.27</v>
      </c>
      <c r="K782" s="31">
        <v>3292.45</v>
      </c>
      <c r="L782" s="31">
        <v>3071.3</v>
      </c>
      <c r="M782" s="31">
        <v>3031.37</v>
      </c>
      <c r="N782" s="31">
        <v>3181.55</v>
      </c>
      <c r="O782" s="81"/>
      <c r="P782" s="81"/>
      <c r="Q782" s="82"/>
      <c r="R782" s="82"/>
      <c r="S782" s="178"/>
      <c r="T782" s="28"/>
      <c r="U782" s="185"/>
      <c r="X782" s="155">
        <v>3650</v>
      </c>
      <c r="Y782" s="155">
        <v>4450</v>
      </c>
      <c r="Z782" s="155">
        <v>3700</v>
      </c>
      <c r="AA782" s="155">
        <v>4100</v>
      </c>
      <c r="AB782" s="51">
        <v>7</v>
      </c>
      <c r="AC782" s="51">
        <v>6.5</v>
      </c>
    </row>
    <row r="783" spans="1:29" ht="22.75" thickBot="1" x14ac:dyDescent="0.4">
      <c r="A783"/>
      <c r="B783" s="44"/>
      <c r="C783" s="24"/>
      <c r="D783" s="24"/>
      <c r="E783" s="81" t="s">
        <v>188</v>
      </c>
      <c r="F783" s="60">
        <f t="shared" ref="F783:N783" si="257">IF(((F781="")*AND(F782="")),"",(F781-F782)*2)</f>
        <v>3655.5200000000004</v>
      </c>
      <c r="G783" s="60">
        <f t="shared" si="257"/>
        <v>3802.8</v>
      </c>
      <c r="H783" s="60">
        <f t="shared" si="257"/>
        <v>3829.26</v>
      </c>
      <c r="I783" s="60">
        <f t="shared" si="257"/>
        <v>3816.1000000000004</v>
      </c>
      <c r="J783" s="60">
        <f t="shared" si="257"/>
        <v>3683.12</v>
      </c>
      <c r="K783" s="60">
        <f t="shared" si="257"/>
        <v>3564.76</v>
      </c>
      <c r="L783" s="60">
        <f t="shared" si="257"/>
        <v>3797.0200000000004</v>
      </c>
      <c r="M783" s="60">
        <f t="shared" si="257"/>
        <v>3854.1399999999994</v>
      </c>
      <c r="N783" s="60">
        <f t="shared" si="257"/>
        <v>3787.66</v>
      </c>
      <c r="O783" s="81"/>
      <c r="P783" s="81"/>
      <c r="Q783" s="82"/>
      <c r="R783" s="82"/>
      <c r="S783" s="178"/>
      <c r="T783" s="28"/>
      <c r="U783" s="185"/>
      <c r="X783" s="157"/>
      <c r="Y783" s="157"/>
      <c r="Z783" s="157"/>
      <c r="AA783" s="157"/>
    </row>
    <row r="784" spans="1:29" x14ac:dyDescent="0.25">
      <c r="A784" s="249">
        <v>43460</v>
      </c>
      <c r="B784" s="257" t="s">
        <v>169</v>
      </c>
      <c r="C784" s="24" t="s">
        <v>171</v>
      </c>
      <c r="D784" s="24" t="s">
        <v>189</v>
      </c>
      <c r="E784" s="81" t="s">
        <v>186</v>
      </c>
      <c r="F784" s="31">
        <v>1264.92</v>
      </c>
      <c r="G784" s="31">
        <v>1234.75</v>
      </c>
      <c r="H784" s="31">
        <v>1225.06</v>
      </c>
      <c r="I784" s="31">
        <v>1228.19</v>
      </c>
      <c r="J784" s="31">
        <v>1249.06</v>
      </c>
      <c r="K784" s="31">
        <v>1256.24</v>
      </c>
      <c r="L784" s="31">
        <v>1227.31</v>
      </c>
      <c r="M784" s="31">
        <v>1235.0899999999999</v>
      </c>
      <c r="N784" s="31">
        <v>1261.07</v>
      </c>
      <c r="O784" s="81">
        <f>IF((N785=""),"",MAX(F786:N786))</f>
        <v>2057.34</v>
      </c>
      <c r="P784" s="81">
        <f>IF(N785="","",MIN(F786:N786))</f>
        <v>1938.8999999999999</v>
      </c>
      <c r="Q784" s="82">
        <f>IF((N786=""),"",AVERAGE(F786:N786))</f>
        <v>1993.5033333333331</v>
      </c>
      <c r="R784" s="82">
        <f>IF((N785=""),"",(O784-P784)/(O784+P784)*100)</f>
        <v>2.9637859588012803</v>
      </c>
      <c r="S784" s="178">
        <f>STDEV(F786:N786)</f>
        <v>36.008559746260381</v>
      </c>
      <c r="T784" s="23" t="str">
        <f>IF(N785="","",IF(Q784&gt;1940,IF(R784&lt;8.3,IF(Q784&lt;2180,"Pass","Fail"),"Fail"),"Fail"))</f>
        <v>Pass</v>
      </c>
      <c r="U784" s="188">
        <v>74</v>
      </c>
      <c r="X784" s="155">
        <v>2000</v>
      </c>
      <c r="Y784" s="155">
        <v>3000</v>
      </c>
      <c r="Z784" s="155">
        <v>1940</v>
      </c>
      <c r="AA784" s="155">
        <v>2180</v>
      </c>
      <c r="AC784" s="51">
        <v>5.2</v>
      </c>
    </row>
    <row r="785" spans="1:29" ht="16.100000000000001" x14ac:dyDescent="0.35">
      <c r="A785"/>
      <c r="B785" s="44"/>
      <c r="C785" s="24"/>
      <c r="D785" s="24"/>
      <c r="E785" s="81" t="s">
        <v>187</v>
      </c>
      <c r="F785" s="31">
        <v>579.14</v>
      </c>
      <c r="G785" s="31">
        <v>561.74</v>
      </c>
      <c r="H785" s="31">
        <v>562.63</v>
      </c>
      <c r="I785" s="31">
        <v>569.30999999999995</v>
      </c>
      <c r="J785" s="31">
        <v>602.76</v>
      </c>
      <c r="K785" s="31">
        <v>592.24</v>
      </c>
      <c r="L785" s="31">
        <v>572.33000000000004</v>
      </c>
      <c r="M785" s="31">
        <v>558.85</v>
      </c>
      <c r="N785" s="31">
        <v>602.17999999999995</v>
      </c>
      <c r="O785" s="81"/>
      <c r="P785" s="81"/>
      <c r="Q785" s="82"/>
      <c r="R785" s="82"/>
      <c r="S785" s="178"/>
      <c r="T785" s="23"/>
      <c r="U785" s="179"/>
      <c r="X785" s="157"/>
      <c r="Y785" s="157"/>
      <c r="Z785" s="157"/>
      <c r="AA785" s="157"/>
    </row>
    <row r="786" spans="1:29" ht="16.649999999999999" thickBot="1" x14ac:dyDescent="0.4">
      <c r="A786"/>
      <c r="B786" s="44"/>
      <c r="C786" s="24"/>
      <c r="D786" s="24"/>
      <c r="E786" s="81" t="s">
        <v>190</v>
      </c>
      <c r="F786" s="60">
        <f t="shared" ref="F786:N786" si="258">IF(((F784="")*AND(F785="")),"",(F784-F785)*3)</f>
        <v>2057.34</v>
      </c>
      <c r="G786" s="60">
        <f t="shared" si="258"/>
        <v>2019.03</v>
      </c>
      <c r="H786" s="60">
        <f t="shared" si="258"/>
        <v>1987.29</v>
      </c>
      <c r="I786" s="60">
        <f t="shared" si="258"/>
        <v>1976.6400000000003</v>
      </c>
      <c r="J786" s="60">
        <f t="shared" si="258"/>
        <v>1938.8999999999999</v>
      </c>
      <c r="K786" s="60">
        <f t="shared" si="258"/>
        <v>1992</v>
      </c>
      <c r="L786" s="60">
        <f t="shared" si="258"/>
        <v>1964.9399999999996</v>
      </c>
      <c r="M786" s="60">
        <f t="shared" si="258"/>
        <v>2028.7199999999998</v>
      </c>
      <c r="N786" s="60">
        <f t="shared" si="258"/>
        <v>1976.67</v>
      </c>
      <c r="O786" s="81"/>
      <c r="P786" s="81"/>
      <c r="Q786" s="82"/>
      <c r="R786" s="82"/>
      <c r="S786" s="178"/>
      <c r="T786" s="23"/>
      <c r="U786" s="179"/>
      <c r="X786" s="157"/>
      <c r="Y786" s="157"/>
      <c r="Z786" s="157"/>
      <c r="AA786" s="157"/>
    </row>
    <row r="787" spans="1:29" x14ac:dyDescent="0.25">
      <c r="A787" s="249">
        <v>43460</v>
      </c>
      <c r="B787" s="260" t="s">
        <v>185</v>
      </c>
      <c r="C787" s="24" t="s">
        <v>173</v>
      </c>
      <c r="D787" s="24" t="s">
        <v>172</v>
      </c>
      <c r="E787" s="81" t="s">
        <v>186</v>
      </c>
      <c r="F787" s="31">
        <v>27534.17</v>
      </c>
      <c r="G787" s="31">
        <v>27573.27</v>
      </c>
      <c r="H787" s="31">
        <v>27665.85</v>
      </c>
      <c r="I787" s="31">
        <v>27608.21</v>
      </c>
      <c r="J787" s="31">
        <v>27588.54</v>
      </c>
      <c r="K787" s="31">
        <v>27633.94</v>
      </c>
      <c r="L787" s="31">
        <v>27599.279999999999</v>
      </c>
      <c r="M787" s="31">
        <v>27596.79</v>
      </c>
      <c r="N787" s="31">
        <v>27556.52</v>
      </c>
      <c r="O787" s="81">
        <f>IF((N788=""),"",MAX(F789:N789))</f>
        <v>4449.6299999999974</v>
      </c>
      <c r="P787" s="81">
        <f>IF(N788="","",MIN(F789:N789))</f>
        <v>3885.7799999999952</v>
      </c>
      <c r="Q787" s="82">
        <f>IF((N789=""),"",AVERAGE(F789:N789))</f>
        <v>4131.3133333333317</v>
      </c>
      <c r="R787" s="82">
        <f>IF((N788=""),"",(O787-P787)/(O787+P787)*100)</f>
        <v>6.7645142830406986</v>
      </c>
      <c r="S787" s="178">
        <f>STDEV(F789:N789)</f>
        <v>210.09872720937651</v>
      </c>
      <c r="T787" s="23" t="str">
        <f>IF(N788="","",IF(R787&lt;16,IF(Q787&gt;3200,IF(R787,IF(Q787&lt;5240,"Pass","Fail"),"Fail"),"Fail")))</f>
        <v>Pass</v>
      </c>
      <c r="U787" s="188">
        <v>74</v>
      </c>
      <c r="X787" s="155">
        <v>4200</v>
      </c>
      <c r="Y787" s="155">
        <v>5500</v>
      </c>
      <c r="Z787" s="155">
        <v>3200</v>
      </c>
      <c r="AA787" s="155">
        <v>5240</v>
      </c>
      <c r="AC787" s="51">
        <v>16</v>
      </c>
    </row>
    <row r="788" spans="1:29" ht="16.100000000000001" x14ac:dyDescent="0.35">
      <c r="A788"/>
      <c r="B788" s="44"/>
      <c r="C788" s="24"/>
      <c r="D788" s="24"/>
      <c r="E788" s="81" t="s">
        <v>187</v>
      </c>
      <c r="F788" s="31">
        <v>26076.77</v>
      </c>
      <c r="G788" s="31">
        <v>26229.19</v>
      </c>
      <c r="H788" s="31">
        <v>26370.59</v>
      </c>
      <c r="I788" s="31">
        <v>26298.33</v>
      </c>
      <c r="J788" s="31">
        <v>26175.34</v>
      </c>
      <c r="K788" s="31">
        <v>26203.89</v>
      </c>
      <c r="L788" s="31">
        <v>26288.34</v>
      </c>
      <c r="M788" s="31">
        <v>26246.87</v>
      </c>
      <c r="N788" s="31">
        <v>26073.31</v>
      </c>
      <c r="O788" s="81"/>
      <c r="P788" s="81"/>
      <c r="Q788" s="82"/>
      <c r="R788" s="82"/>
      <c r="S788" s="178"/>
      <c r="T788" s="23"/>
      <c r="U788" s="179"/>
      <c r="X788" s="157"/>
      <c r="Y788" s="157"/>
      <c r="Z788" s="157"/>
      <c r="AA788" s="157"/>
    </row>
    <row r="789" spans="1:29" ht="22.75" thickBot="1" x14ac:dyDescent="0.4">
      <c r="A789"/>
      <c r="B789" s="83"/>
      <c r="C789" s="84"/>
      <c r="D789" s="84"/>
      <c r="E789" s="85" t="s">
        <v>188</v>
      </c>
      <c r="F789" s="73">
        <f t="shared" ref="F789:N789" si="259">IF(((F787="")*AND(F788="")),"",(F787-F788)*3)</f>
        <v>4372.1999999999935</v>
      </c>
      <c r="G789" s="73">
        <f t="shared" si="259"/>
        <v>4032.2400000000052</v>
      </c>
      <c r="H789" s="73">
        <f t="shared" si="259"/>
        <v>3885.7799999999952</v>
      </c>
      <c r="I789" s="73">
        <f t="shared" si="259"/>
        <v>3929.6399999999921</v>
      </c>
      <c r="J789" s="73">
        <f t="shared" si="259"/>
        <v>4239.6000000000022</v>
      </c>
      <c r="K789" s="73">
        <f t="shared" si="259"/>
        <v>4290.1499999999978</v>
      </c>
      <c r="L789" s="73">
        <f t="shared" si="259"/>
        <v>3932.8199999999961</v>
      </c>
      <c r="M789" s="73">
        <f t="shared" si="259"/>
        <v>4049.7600000000057</v>
      </c>
      <c r="N789" s="73">
        <f t="shared" si="259"/>
        <v>4449.6299999999974</v>
      </c>
      <c r="O789" s="85"/>
      <c r="P789" s="85"/>
      <c r="Q789" s="86"/>
      <c r="R789" s="86"/>
      <c r="S789" s="181"/>
      <c r="T789" s="182"/>
      <c r="U789" s="183"/>
      <c r="X789" s="157"/>
      <c r="Y789" s="157"/>
      <c r="Z789" s="157"/>
      <c r="AA789" s="157"/>
    </row>
    <row r="790" spans="1:29" x14ac:dyDescent="0.25">
      <c r="A790" s="249">
        <v>43465</v>
      </c>
      <c r="B790" s="261" t="s">
        <v>174</v>
      </c>
      <c r="C790" s="59" t="s">
        <v>176</v>
      </c>
      <c r="D790" s="59" t="s">
        <v>175</v>
      </c>
      <c r="E790" s="61" t="s">
        <v>186</v>
      </c>
      <c r="F790" s="31">
        <v>3197.81</v>
      </c>
      <c r="G790" s="31">
        <v>3042.46</v>
      </c>
      <c r="H790" s="31">
        <v>3060.52</v>
      </c>
      <c r="I790" s="31">
        <v>3041.89</v>
      </c>
      <c r="J790" s="31">
        <v>3231.15</v>
      </c>
      <c r="K790" s="31">
        <v>3300.36</v>
      </c>
      <c r="L790" s="31">
        <v>3078.05</v>
      </c>
      <c r="M790" s="31">
        <v>3038.16</v>
      </c>
      <c r="N790" s="31">
        <v>3189.25</v>
      </c>
      <c r="O790" s="79">
        <f>IF((N791=""),"",MAX(F792:N792))</f>
        <v>3834.24</v>
      </c>
      <c r="P790" s="79">
        <f>IF(N791="","",MIN(F792:N792))</f>
        <v>3628.26</v>
      </c>
      <c r="Q790" s="80">
        <f>IF((N792=""),"",AVERAGE(F792:N792))</f>
        <v>3771.1600000000003</v>
      </c>
      <c r="R790" s="80">
        <f>IF((N791=""),"",(O790-P790)/(O790+P790)*100)</f>
        <v>2.7602010050251198</v>
      </c>
      <c r="S790" s="152">
        <f>STDEV(F792:N792)</f>
        <v>70.735963271874624</v>
      </c>
      <c r="T790" s="176" t="str">
        <f>IF(N791="","",IF(Q790&gt;3650,IF(R790&lt;7,IF(Q790&lt;4450,"Pass","Fail"),"Fail"),"Fail"))</f>
        <v>Pass</v>
      </c>
      <c r="U790" s="188">
        <v>121</v>
      </c>
      <c r="V790" s="31" t="s">
        <v>218</v>
      </c>
      <c r="X790" s="155">
        <v>3650</v>
      </c>
      <c r="Y790" s="155">
        <v>4450</v>
      </c>
      <c r="Z790" s="155">
        <v>3700</v>
      </c>
      <c r="AA790" s="155">
        <v>4100</v>
      </c>
      <c r="AB790" s="51">
        <v>7</v>
      </c>
      <c r="AC790" s="51">
        <v>6.5</v>
      </c>
    </row>
    <row r="791" spans="1:29" ht="16.100000000000001" x14ac:dyDescent="0.35">
      <c r="A791"/>
      <c r="B791" s="44"/>
      <c r="C791" s="24"/>
      <c r="D791" s="24"/>
      <c r="E791" s="81" t="s">
        <v>187</v>
      </c>
      <c r="F791" s="31">
        <v>1350.41</v>
      </c>
      <c r="G791" s="31">
        <v>1143.73</v>
      </c>
      <c r="H791" s="31">
        <v>1146.55</v>
      </c>
      <c r="I791" s="31">
        <v>1137.44</v>
      </c>
      <c r="J791" s="31">
        <v>1365.42</v>
      </c>
      <c r="K791" s="31">
        <v>1486.23</v>
      </c>
      <c r="L791" s="31">
        <v>1176.56</v>
      </c>
      <c r="M791" s="31">
        <v>1121.04</v>
      </c>
      <c r="N791" s="31">
        <v>1282.05</v>
      </c>
      <c r="O791" s="81"/>
      <c r="P791" s="81"/>
      <c r="Q791" s="82"/>
      <c r="R791" s="82"/>
      <c r="S791" s="178"/>
      <c r="T791" s="28"/>
      <c r="U791" s="185"/>
      <c r="X791" s="155">
        <v>3650</v>
      </c>
      <c r="Y791" s="155">
        <v>4450</v>
      </c>
      <c r="Z791" s="155">
        <v>3700</v>
      </c>
      <c r="AA791" s="155">
        <v>4100</v>
      </c>
      <c r="AB791" s="51">
        <v>7</v>
      </c>
      <c r="AC791" s="51">
        <v>6.5</v>
      </c>
    </row>
    <row r="792" spans="1:29" ht="22.75" thickBot="1" x14ac:dyDescent="0.4">
      <c r="A792"/>
      <c r="B792" s="44"/>
      <c r="C792" s="24"/>
      <c r="D792" s="24"/>
      <c r="E792" s="81" t="s">
        <v>188</v>
      </c>
      <c r="F792" s="60">
        <f t="shared" ref="F792:N792" si="260">IF(((F790="")*AND(F791="")),"",(F790-F791)*2)</f>
        <v>3694.7999999999997</v>
      </c>
      <c r="G792" s="60">
        <f t="shared" si="260"/>
        <v>3797.46</v>
      </c>
      <c r="H792" s="60">
        <f t="shared" si="260"/>
        <v>3827.94</v>
      </c>
      <c r="I792" s="60">
        <f t="shared" si="260"/>
        <v>3808.8999999999996</v>
      </c>
      <c r="J792" s="60">
        <f t="shared" si="260"/>
        <v>3731.46</v>
      </c>
      <c r="K792" s="60">
        <f t="shared" si="260"/>
        <v>3628.26</v>
      </c>
      <c r="L792" s="60">
        <f t="shared" si="260"/>
        <v>3802.9800000000005</v>
      </c>
      <c r="M792" s="60">
        <f t="shared" si="260"/>
        <v>3834.24</v>
      </c>
      <c r="N792" s="60">
        <f t="shared" si="260"/>
        <v>3814.4</v>
      </c>
      <c r="O792" s="81"/>
      <c r="P792" s="81"/>
      <c r="Q792" s="82"/>
      <c r="R792" s="82"/>
      <c r="S792" s="178"/>
      <c r="T792" s="28"/>
      <c r="U792" s="185"/>
      <c r="X792" s="157"/>
      <c r="Y792" s="157"/>
      <c r="Z792" s="157"/>
      <c r="AA792" s="157"/>
    </row>
    <row r="793" spans="1:29" x14ac:dyDescent="0.25">
      <c r="A793" s="249">
        <v>43465</v>
      </c>
      <c r="B793" s="257" t="s">
        <v>169</v>
      </c>
      <c r="C793" s="24" t="s">
        <v>171</v>
      </c>
      <c r="D793" s="24" t="s">
        <v>189</v>
      </c>
      <c r="E793" s="81" t="s">
        <v>186</v>
      </c>
      <c r="F793" s="31">
        <v>1281.1600000000001</v>
      </c>
      <c r="G793" s="31">
        <v>1250.76</v>
      </c>
      <c r="H793" s="31">
        <v>1243.26</v>
      </c>
      <c r="I793" s="31">
        <v>1249.0999999999999</v>
      </c>
      <c r="J793" s="31">
        <v>1269.3800000000001</v>
      </c>
      <c r="K793" s="31">
        <v>1279.43</v>
      </c>
      <c r="L793" s="31">
        <v>1246.26</v>
      </c>
      <c r="M793" s="31">
        <v>1254.8699999999999</v>
      </c>
      <c r="N793" s="31">
        <v>1276.83</v>
      </c>
      <c r="O793" s="81">
        <f>IF((N794=""),"",MAX(F795:N795))</f>
        <v>2050.4400000000005</v>
      </c>
      <c r="P793" s="81">
        <f>IF(N794="","",MIN(F795:N795))</f>
        <v>1950.54</v>
      </c>
      <c r="Q793" s="82">
        <f>IF((N795=""),"",AVERAGE(F795:N795))</f>
        <v>1998.5366666666669</v>
      </c>
      <c r="R793" s="82">
        <f>IF((N794=""),"",(O793-P793)/(O793+P793)*100)</f>
        <v>2.4968882623757316</v>
      </c>
      <c r="S793" s="178">
        <f>STDEV(F795:N795)</f>
        <v>32.020241254556446</v>
      </c>
      <c r="T793" s="23" t="str">
        <f>IF(N794="","",IF(Q793&gt;1940,IF(R793&lt;8.3,IF(Q793&lt;2180,"Pass","Fail"),"Fail"),"Fail"))</f>
        <v>Pass</v>
      </c>
      <c r="U793" s="188">
        <v>121</v>
      </c>
      <c r="V793" s="31" t="s">
        <v>218</v>
      </c>
      <c r="X793" s="155">
        <v>2000</v>
      </c>
      <c r="Y793" s="155">
        <v>3000</v>
      </c>
      <c r="Z793" s="155">
        <v>1940</v>
      </c>
      <c r="AA793" s="155">
        <v>2180</v>
      </c>
      <c r="AC793" s="51">
        <v>5.2</v>
      </c>
    </row>
    <row r="794" spans="1:29" ht="16.100000000000001" x14ac:dyDescent="0.35">
      <c r="A794"/>
      <c r="B794" s="44"/>
      <c r="C794" s="24"/>
      <c r="D794" s="24"/>
      <c r="E794" s="81" t="s">
        <v>187</v>
      </c>
      <c r="F794" s="31">
        <v>597.67999999999995</v>
      </c>
      <c r="G794" s="31">
        <v>583.76</v>
      </c>
      <c r="H794" s="31">
        <v>577.79999999999995</v>
      </c>
      <c r="I794" s="31">
        <v>585.91</v>
      </c>
      <c r="J794" s="31">
        <v>616.38</v>
      </c>
      <c r="K794" s="31">
        <v>614.07000000000005</v>
      </c>
      <c r="L794" s="31">
        <v>596.08000000000004</v>
      </c>
      <c r="M794" s="31">
        <v>575.89</v>
      </c>
      <c r="N794" s="31">
        <v>607.87</v>
      </c>
      <c r="O794" s="81"/>
      <c r="P794" s="81"/>
      <c r="Q794" s="82"/>
      <c r="R794" s="82"/>
      <c r="S794" s="178"/>
      <c r="T794" s="23"/>
      <c r="U794" s="179"/>
      <c r="X794" s="157"/>
      <c r="Y794" s="157"/>
      <c r="Z794" s="157"/>
      <c r="AA794" s="157"/>
    </row>
    <row r="795" spans="1:29" ht="26.6" customHeight="1" thickBot="1" x14ac:dyDescent="0.4">
      <c r="A795"/>
      <c r="B795" s="44"/>
      <c r="C795" s="24"/>
      <c r="D795" s="24"/>
      <c r="E795" s="81" t="s">
        <v>190</v>
      </c>
      <c r="F795" s="60">
        <f t="shared" ref="F795:N795" si="261">IF(((F793="")*AND(F794="")),"",(F793-F794)*3)</f>
        <v>2050.4400000000005</v>
      </c>
      <c r="G795" s="60">
        <f t="shared" si="261"/>
        <v>2001</v>
      </c>
      <c r="H795" s="60">
        <f t="shared" si="261"/>
        <v>1996.38</v>
      </c>
      <c r="I795" s="60">
        <f t="shared" si="261"/>
        <v>1989.5699999999997</v>
      </c>
      <c r="J795" s="60">
        <f t="shared" si="261"/>
        <v>1959.0000000000005</v>
      </c>
      <c r="K795" s="60">
        <f t="shared" si="261"/>
        <v>1996.08</v>
      </c>
      <c r="L795" s="60">
        <f t="shared" si="261"/>
        <v>1950.54</v>
      </c>
      <c r="M795" s="60">
        <f t="shared" si="261"/>
        <v>2036.9399999999996</v>
      </c>
      <c r="N795" s="60">
        <f t="shared" si="261"/>
        <v>2006.8799999999997</v>
      </c>
      <c r="O795" s="81"/>
      <c r="P795" s="81"/>
      <c r="Q795" s="82"/>
      <c r="R795" s="82"/>
      <c r="S795" s="178"/>
      <c r="T795" s="23"/>
      <c r="U795" s="179"/>
      <c r="X795" s="157"/>
      <c r="Y795" s="157"/>
      <c r="Z795" s="157"/>
      <c r="AA795" s="157"/>
    </row>
    <row r="796" spans="1:29" x14ac:dyDescent="0.25">
      <c r="A796" s="249">
        <v>43465</v>
      </c>
      <c r="B796" s="260" t="s">
        <v>185</v>
      </c>
      <c r="C796" s="24" t="s">
        <v>173</v>
      </c>
      <c r="D796" s="24" t="s">
        <v>172</v>
      </c>
      <c r="E796" s="81" t="s">
        <v>186</v>
      </c>
      <c r="F796" s="31">
        <v>26036.93</v>
      </c>
      <c r="G796" s="31">
        <v>26219.77</v>
      </c>
      <c r="H796" s="31">
        <v>26322.240000000002</v>
      </c>
      <c r="I796" s="31">
        <v>26248.32</v>
      </c>
      <c r="J796" s="31">
        <v>26149.84</v>
      </c>
      <c r="K796" s="31">
        <v>26154.06</v>
      </c>
      <c r="L796" s="31">
        <v>26249.54</v>
      </c>
      <c r="M796" s="31">
        <v>26216.44</v>
      </c>
      <c r="N796" s="31">
        <v>26016.959999999999</v>
      </c>
      <c r="O796" s="81">
        <f>IF((N797=""),"",MAX(F798:N798))</f>
        <v>4442.5200000000004</v>
      </c>
      <c r="P796" s="81">
        <f>IF(N797="","",MIN(F798:N798))</f>
        <v>3870.7200000000048</v>
      </c>
      <c r="Q796" s="82">
        <f>IF((N798=""),"",AVERAGE(F798:N798))</f>
        <v>4177.7000000000007</v>
      </c>
      <c r="R796" s="82">
        <f>IF((N797=""),"",(O796-P796)/(O796+P796)*100)</f>
        <v>6.8781846788977017</v>
      </c>
      <c r="S796" s="178">
        <f>STDEV(F798:N798)</f>
        <v>214.11617004560765</v>
      </c>
      <c r="T796" s="23" t="str">
        <f>IF(N797="","",IF(R796&lt;16,IF(Q796&gt;3200,IF(R796,IF(Q796&lt;5240,"Pass","Fail"),"Fail"),"Fail")))</f>
        <v>Pass</v>
      </c>
      <c r="U796" s="188">
        <v>121</v>
      </c>
      <c r="V796" s="31" t="s">
        <v>218</v>
      </c>
      <c r="X796" s="155">
        <v>4200</v>
      </c>
      <c r="Y796" s="155">
        <v>5500</v>
      </c>
      <c r="Z796" s="155">
        <v>3200</v>
      </c>
      <c r="AA796" s="155">
        <v>5240</v>
      </c>
      <c r="AC796" s="51">
        <v>16</v>
      </c>
    </row>
    <row r="797" spans="1:29" ht="16.100000000000001" x14ac:dyDescent="0.35">
      <c r="A797"/>
      <c r="B797" s="44"/>
      <c r="C797" s="24"/>
      <c r="D797" s="24"/>
      <c r="E797" s="81" t="s">
        <v>187</v>
      </c>
      <c r="F797" s="31">
        <v>24575</v>
      </c>
      <c r="G797" s="31">
        <v>24866</v>
      </c>
      <c r="H797" s="31">
        <v>25032</v>
      </c>
      <c r="I797" s="167">
        <v>24945</v>
      </c>
      <c r="J797" s="167">
        <v>24669</v>
      </c>
      <c r="K797" s="167">
        <v>24721</v>
      </c>
      <c r="L797" s="167">
        <v>24906</v>
      </c>
      <c r="M797" s="167">
        <v>24804</v>
      </c>
      <c r="N797" s="167">
        <v>24563</v>
      </c>
      <c r="O797" s="81"/>
      <c r="P797" s="81"/>
      <c r="Q797" s="82"/>
      <c r="R797" s="82"/>
      <c r="S797" s="178"/>
      <c r="T797" s="23"/>
      <c r="U797" s="179"/>
      <c r="X797" s="157"/>
      <c r="Y797" s="157"/>
      <c r="Z797" s="157"/>
      <c r="AA797" s="157"/>
    </row>
    <row r="798" spans="1:29" ht="22.75" thickBot="1" x14ac:dyDescent="0.4">
      <c r="A798"/>
      <c r="B798" s="83"/>
      <c r="C798" s="84"/>
      <c r="D798" s="84"/>
      <c r="E798" s="85" t="s">
        <v>188</v>
      </c>
      <c r="F798" s="73">
        <f t="shared" ref="F798:N798" si="262">IF(((F796="")*AND(F797="")),"",(F796-F797)*3)</f>
        <v>4385.7900000000009</v>
      </c>
      <c r="G798" s="73">
        <f t="shared" si="262"/>
        <v>4061.3100000000013</v>
      </c>
      <c r="H798" s="73">
        <f t="shared" si="262"/>
        <v>3870.7200000000048</v>
      </c>
      <c r="I798" s="73">
        <f t="shared" si="262"/>
        <v>3909.9599999999991</v>
      </c>
      <c r="J798" s="73">
        <f t="shared" si="262"/>
        <v>4442.5200000000004</v>
      </c>
      <c r="K798" s="73">
        <f t="shared" si="262"/>
        <v>4299.1800000000039</v>
      </c>
      <c r="L798" s="73">
        <f t="shared" si="262"/>
        <v>4030.6200000000026</v>
      </c>
      <c r="M798" s="73">
        <f t="shared" si="262"/>
        <v>4237.3199999999961</v>
      </c>
      <c r="N798" s="73">
        <f t="shared" si="262"/>
        <v>4361.8799999999974</v>
      </c>
      <c r="O798" s="85"/>
      <c r="P798" s="85"/>
      <c r="Q798" s="86"/>
      <c r="R798" s="86"/>
      <c r="S798" s="181"/>
      <c r="T798" s="182"/>
      <c r="U798" s="183"/>
      <c r="X798" s="157"/>
      <c r="Y798" s="157"/>
      <c r="Z798" s="157"/>
      <c r="AA798" s="157"/>
    </row>
    <row r="799" spans="1:29" x14ac:dyDescent="0.25">
      <c r="A799" s="249">
        <v>43476</v>
      </c>
      <c r="B799" s="261" t="s">
        <v>174</v>
      </c>
      <c r="C799" s="59" t="s">
        <v>176</v>
      </c>
      <c r="D799" s="59" t="s">
        <v>175</v>
      </c>
      <c r="E799" s="61" t="s">
        <v>186</v>
      </c>
      <c r="F799" s="31">
        <v>6939.81</v>
      </c>
      <c r="G799" s="31">
        <v>6922.94</v>
      </c>
      <c r="H799" s="31">
        <v>6939.67</v>
      </c>
      <c r="I799" s="31">
        <v>6890.16</v>
      </c>
      <c r="J799" s="31">
        <v>6970.1</v>
      </c>
      <c r="K799" s="31">
        <v>6913.96</v>
      </c>
      <c r="L799" s="31">
        <v>6895.81</v>
      </c>
      <c r="M799" s="31">
        <v>6925.93</v>
      </c>
      <c r="N799" s="31">
        <v>7019.46</v>
      </c>
      <c r="O799" s="79">
        <f>IF((N800=""),"",MAX(F801:N801))</f>
        <v>3749.1400000000012</v>
      </c>
      <c r="P799" s="79">
        <f>IF(N800="","",MIN(F801:N801))</f>
        <v>3473.2000000000007</v>
      </c>
      <c r="Q799" s="80">
        <f>IF((N801=""),"",AVERAGE(F801:N801))</f>
        <v>3653.4066666666672</v>
      </c>
      <c r="R799" s="80">
        <f>IF((N800=""),"",(O799-P799)/(O799+P799)*100)</f>
        <v>3.8206453863983199</v>
      </c>
      <c r="S799" s="152">
        <f>STDEV(F801:N801)</f>
        <v>91.456127186755424</v>
      </c>
      <c r="T799" s="176" t="str">
        <f>IF(N800="","",IF(Q799&gt;3650,IF(R799&lt;7,IF(Q799&lt;4450,"Pass","Fail"),"Fail"),"Fail"))</f>
        <v>Pass</v>
      </c>
      <c r="U799" s="188">
        <v>74</v>
      </c>
      <c r="V799" s="166"/>
      <c r="W799" s="31"/>
      <c r="X799" s="155">
        <v>3650</v>
      </c>
      <c r="Y799" s="155">
        <v>4450</v>
      </c>
      <c r="Z799" s="155">
        <v>3700</v>
      </c>
      <c r="AA799" s="155">
        <v>4100</v>
      </c>
      <c r="AB799" s="51">
        <v>7</v>
      </c>
      <c r="AC799" s="51">
        <v>6.5</v>
      </c>
    </row>
    <row r="800" spans="1:29" ht="16.100000000000001" x14ac:dyDescent="0.35">
      <c r="A800"/>
      <c r="B800" s="44"/>
      <c r="C800" s="24"/>
      <c r="D800" s="24"/>
      <c r="E800" s="81" t="s">
        <v>187</v>
      </c>
      <c r="F800" s="31">
        <v>5155.21</v>
      </c>
      <c r="G800" s="31">
        <v>5070.25</v>
      </c>
      <c r="H800" s="31">
        <v>5075.22</v>
      </c>
      <c r="I800" s="31">
        <v>5036.9399999999996</v>
      </c>
      <c r="J800" s="31">
        <v>5179.3100000000004</v>
      </c>
      <c r="K800" s="31">
        <v>5177.3599999999997</v>
      </c>
      <c r="L800" s="31">
        <v>5052.92</v>
      </c>
      <c r="M800" s="31">
        <v>5051.3599999999997</v>
      </c>
      <c r="N800" s="31">
        <v>5178.9399999999996</v>
      </c>
      <c r="O800" s="81"/>
      <c r="P800" s="81"/>
      <c r="Q800" s="82"/>
      <c r="R800" s="82"/>
      <c r="S800" s="178"/>
      <c r="T800" s="28"/>
      <c r="U800" s="185"/>
      <c r="V800" s="166"/>
      <c r="W800" s="31"/>
      <c r="X800" s="157"/>
      <c r="Y800" s="157"/>
      <c r="Z800" s="157"/>
      <c r="AA800" s="157"/>
    </row>
    <row r="801" spans="1:29" ht="22.75" thickBot="1" x14ac:dyDescent="0.4">
      <c r="A801"/>
      <c r="B801" s="44"/>
      <c r="C801" s="24"/>
      <c r="D801" s="24"/>
      <c r="E801" s="81" t="s">
        <v>188</v>
      </c>
      <c r="F801" s="60">
        <f t="shared" ref="F801:N801" si="263">IF(((F799="")*AND(F800="")),"",(F799-F800)*2)</f>
        <v>3569.2000000000007</v>
      </c>
      <c r="G801" s="60">
        <f t="shared" si="263"/>
        <v>3705.3799999999992</v>
      </c>
      <c r="H801" s="60">
        <f t="shared" si="263"/>
        <v>3728.8999999999996</v>
      </c>
      <c r="I801" s="60">
        <f t="shared" si="263"/>
        <v>3706.4400000000005</v>
      </c>
      <c r="J801" s="60">
        <f t="shared" si="263"/>
        <v>3581.58</v>
      </c>
      <c r="K801" s="60">
        <f t="shared" si="263"/>
        <v>3473.2000000000007</v>
      </c>
      <c r="L801" s="60">
        <f t="shared" si="263"/>
        <v>3685.7800000000007</v>
      </c>
      <c r="M801" s="60">
        <f t="shared" si="263"/>
        <v>3749.1400000000012</v>
      </c>
      <c r="N801" s="60">
        <f t="shared" si="263"/>
        <v>3681.0400000000009</v>
      </c>
      <c r="O801" s="81"/>
      <c r="P801" s="81"/>
      <c r="Q801" s="82"/>
      <c r="R801" s="82"/>
      <c r="S801" s="178"/>
      <c r="T801" s="28"/>
      <c r="U801" s="185"/>
      <c r="V801" s="166"/>
      <c r="W801" s="31"/>
      <c r="X801" s="157"/>
      <c r="Y801" s="157"/>
      <c r="Z801" s="157"/>
      <c r="AA801" s="157"/>
    </row>
    <row r="802" spans="1:29" x14ac:dyDescent="0.25">
      <c r="A802" s="249">
        <v>43477</v>
      </c>
      <c r="B802" s="257" t="s">
        <v>169</v>
      </c>
      <c r="C802" s="24" t="s">
        <v>171</v>
      </c>
      <c r="D802" s="24" t="s">
        <v>189</v>
      </c>
      <c r="E802" s="81" t="s">
        <v>186</v>
      </c>
      <c r="F802" s="31">
        <v>1922.45</v>
      </c>
      <c r="G802" s="31">
        <v>1919.41</v>
      </c>
      <c r="H802" s="31">
        <v>1915.35</v>
      </c>
      <c r="I802" s="31">
        <v>1919.27</v>
      </c>
      <c r="J802" s="31">
        <v>1928.33</v>
      </c>
      <c r="K802" s="31">
        <v>1925.87</v>
      </c>
      <c r="L802" s="31">
        <v>1917.61</v>
      </c>
      <c r="M802" s="31">
        <v>1920.38</v>
      </c>
      <c r="N802" s="31">
        <v>1923.01</v>
      </c>
      <c r="O802" s="81">
        <f>IF((N803=""),"",MAX(F804:N804))</f>
        <v>2001.9899999999998</v>
      </c>
      <c r="P802" s="81">
        <f>IF(N803="","",MIN(F804:N804))</f>
        <v>1945.0799999999997</v>
      </c>
      <c r="Q802" s="82">
        <f>IF((N804=""),"",AVERAGE(F804:N804))</f>
        <v>1974.0133333333335</v>
      </c>
      <c r="R802" s="82">
        <f>IF((N803=""),"",(O802-P802)/(O802+P802)*100)</f>
        <v>1.4418290022725739</v>
      </c>
      <c r="S802" s="178">
        <f>STDEV(F804:N804)</f>
        <v>18.393927666488231</v>
      </c>
      <c r="T802" s="23" t="str">
        <f>IF(N803="","",IF(Q802&gt;1940,IF(R802&lt;8.3,IF(Q802&lt;2180,"Pass","Fail"),"Fail"),"Fail"))</f>
        <v>Pass</v>
      </c>
      <c r="U802" s="188">
        <v>74</v>
      </c>
      <c r="V802" s="166"/>
      <c r="W802" s="31"/>
      <c r="X802" s="155">
        <v>2000</v>
      </c>
      <c r="Y802" s="155">
        <v>3000</v>
      </c>
      <c r="Z802" s="155">
        <v>1940</v>
      </c>
      <c r="AA802" s="155">
        <v>2180</v>
      </c>
      <c r="AC802" s="51">
        <v>5.2</v>
      </c>
    </row>
    <row r="803" spans="1:29" ht="16.100000000000001" x14ac:dyDescent="0.35">
      <c r="A803"/>
      <c r="B803" s="44"/>
      <c r="C803" s="24"/>
      <c r="D803" s="24"/>
      <c r="E803" s="81" t="s">
        <v>187</v>
      </c>
      <c r="F803" s="31">
        <v>1258.3599999999999</v>
      </c>
      <c r="G803" s="31">
        <v>1262.26</v>
      </c>
      <c r="H803" s="31">
        <v>1266.99</v>
      </c>
      <c r="I803" s="31">
        <v>1262.5999999999999</v>
      </c>
      <c r="J803" s="31">
        <v>1266.17</v>
      </c>
      <c r="K803" s="31">
        <v>1258.54</v>
      </c>
      <c r="L803" s="31">
        <v>1265.06</v>
      </c>
      <c r="M803" s="31">
        <v>1259.54</v>
      </c>
      <c r="N803" s="31">
        <v>1270.1199999999999</v>
      </c>
      <c r="O803" s="81"/>
      <c r="P803" s="81"/>
      <c r="Q803" s="82"/>
      <c r="R803" s="82"/>
      <c r="S803" s="178"/>
      <c r="T803" s="23"/>
      <c r="U803" s="179"/>
      <c r="V803" s="212"/>
      <c r="W803" s="31"/>
      <c r="X803" s="157"/>
      <c r="Y803" s="157"/>
      <c r="Z803" s="157"/>
      <c r="AA803" s="157"/>
    </row>
    <row r="804" spans="1:29" ht="16.649999999999999" thickBot="1" x14ac:dyDescent="0.4">
      <c r="A804"/>
      <c r="B804" s="44"/>
      <c r="C804" s="24"/>
      <c r="D804" s="24"/>
      <c r="E804" s="81" t="s">
        <v>190</v>
      </c>
      <c r="F804" s="60">
        <f t="shared" ref="F804:N804" si="264">IF(((F802="")*AND(F803="")),"",(F802-F803)*3)</f>
        <v>1992.2700000000004</v>
      </c>
      <c r="G804" s="60">
        <f t="shared" si="264"/>
        <v>1971.4500000000003</v>
      </c>
      <c r="H804" s="60">
        <f t="shared" si="264"/>
        <v>1945.0799999999997</v>
      </c>
      <c r="I804" s="60">
        <f t="shared" si="264"/>
        <v>1970.0100000000002</v>
      </c>
      <c r="J804" s="60">
        <f t="shared" si="264"/>
        <v>1986.4799999999996</v>
      </c>
      <c r="K804" s="60">
        <f t="shared" si="264"/>
        <v>2001.9899999999998</v>
      </c>
      <c r="L804" s="60">
        <f t="shared" si="264"/>
        <v>1957.6499999999999</v>
      </c>
      <c r="M804" s="60">
        <f t="shared" si="264"/>
        <v>1982.5200000000004</v>
      </c>
      <c r="N804" s="60">
        <f t="shared" si="264"/>
        <v>1958.6700000000003</v>
      </c>
      <c r="O804" s="81"/>
      <c r="P804" s="81"/>
      <c r="Q804" s="82"/>
      <c r="R804" s="82"/>
      <c r="S804" s="178"/>
      <c r="T804" s="23"/>
      <c r="U804" s="179"/>
      <c r="V804" s="212"/>
      <c r="W804" s="31"/>
      <c r="X804" s="157"/>
      <c r="Y804" s="157"/>
      <c r="Z804" s="157"/>
      <c r="AA804" s="157"/>
    </row>
    <row r="805" spans="1:29" x14ac:dyDescent="0.25">
      <c r="A805" s="249">
        <v>43478</v>
      </c>
      <c r="B805" s="260" t="s">
        <v>185</v>
      </c>
      <c r="C805" s="24" t="s">
        <v>173</v>
      </c>
      <c r="D805" s="24" t="s">
        <v>172</v>
      </c>
      <c r="E805" s="81" t="s">
        <v>186</v>
      </c>
      <c r="F805" s="31">
        <v>24543.46</v>
      </c>
      <c r="G805" s="31">
        <v>24833.8</v>
      </c>
      <c r="H805" s="31">
        <v>25004.29</v>
      </c>
      <c r="I805" s="31">
        <v>24879.01</v>
      </c>
      <c r="J805" s="31">
        <v>24614.34</v>
      </c>
      <c r="K805" s="31">
        <v>24643.3</v>
      </c>
      <c r="L805" s="31">
        <v>24831.48</v>
      </c>
      <c r="M805" s="31">
        <v>24773.84</v>
      </c>
      <c r="N805" s="31">
        <v>24643.3</v>
      </c>
      <c r="O805" s="81">
        <f>IF((N806=""),"",MAX(F807:N807))</f>
        <v>4999.5299999999952</v>
      </c>
      <c r="P805" s="81">
        <f>IF(N806="","",MIN(F807:N807))</f>
        <v>3631.4100000000035</v>
      </c>
      <c r="Q805" s="82">
        <f>IF((N807=""),"",AVERAGE(F807:N807))</f>
        <v>4117.9166666666652</v>
      </c>
      <c r="R805" s="82">
        <f>IF((N806=""),"",(O805-P805)/(O805+P805)*100)</f>
        <v>15.85134411779009</v>
      </c>
      <c r="S805" s="178">
        <f>STDEV(F807:N807)</f>
        <v>394.61487199546747</v>
      </c>
      <c r="T805" s="23" t="str">
        <f>IF(N806="","",IF(R805&lt;16,IF(Q805&gt;3200,IF(R805,IF(Q805&lt;5240,"Pass","Fail"),"Fail"),"Fail")))</f>
        <v>Pass</v>
      </c>
      <c r="U805" s="188">
        <v>74</v>
      </c>
      <c r="V805" s="166"/>
      <c r="W805" s="31"/>
      <c r="X805" s="155">
        <v>4200</v>
      </c>
      <c r="Y805" s="155">
        <v>5500</v>
      </c>
      <c r="Z805" s="155">
        <v>3200</v>
      </c>
      <c r="AA805" s="155">
        <v>5240</v>
      </c>
      <c r="AC805" s="51">
        <v>16</v>
      </c>
    </row>
    <row r="806" spans="1:29" ht="16.100000000000001" x14ac:dyDescent="0.35">
      <c r="A806"/>
      <c r="B806" s="44"/>
      <c r="C806" s="24"/>
      <c r="D806" s="24"/>
      <c r="E806" s="81" t="s">
        <v>187</v>
      </c>
      <c r="F806" s="31">
        <v>23104.91</v>
      </c>
      <c r="G806" s="31">
        <v>23511.88</v>
      </c>
      <c r="H806" s="31">
        <v>23671.15</v>
      </c>
      <c r="I806" s="31">
        <v>23552.14</v>
      </c>
      <c r="J806" s="31">
        <v>23166.01</v>
      </c>
      <c r="K806" s="31">
        <v>23335.4</v>
      </c>
      <c r="L806" s="31">
        <v>23621.01</v>
      </c>
      <c r="M806" s="31">
        <v>23473.78</v>
      </c>
      <c r="N806" s="31">
        <v>22976.79</v>
      </c>
      <c r="O806" s="81"/>
      <c r="P806" s="81"/>
      <c r="Q806" s="82"/>
      <c r="R806" s="82"/>
      <c r="S806" s="178"/>
      <c r="T806" s="23"/>
      <c r="U806" s="179"/>
      <c r="V806" s="212"/>
      <c r="W806" s="31"/>
      <c r="X806" s="157"/>
      <c r="Y806" s="157"/>
      <c r="Z806" s="157"/>
      <c r="AA806" s="157"/>
    </row>
    <row r="807" spans="1:29" ht="22.75" thickBot="1" x14ac:dyDescent="0.4">
      <c r="A807"/>
      <c r="B807" s="83"/>
      <c r="C807" s="84"/>
      <c r="D807" s="84"/>
      <c r="E807" s="85" t="s">
        <v>188</v>
      </c>
      <c r="F807" s="73">
        <f t="shared" ref="F807:N807" si="265">IF(((F805="")*AND(F806="")),"",(F805-F806)*3)</f>
        <v>4315.6499999999978</v>
      </c>
      <c r="G807" s="73">
        <f t="shared" si="265"/>
        <v>3965.7599999999948</v>
      </c>
      <c r="H807" s="73">
        <f t="shared" si="265"/>
        <v>3999.4199999999983</v>
      </c>
      <c r="I807" s="73">
        <f t="shared" si="265"/>
        <v>3980.6099999999969</v>
      </c>
      <c r="J807" s="73">
        <f t="shared" si="265"/>
        <v>4344.9900000000052</v>
      </c>
      <c r="K807" s="73">
        <f t="shared" si="265"/>
        <v>3923.6999999999935</v>
      </c>
      <c r="L807" s="73">
        <f t="shared" si="265"/>
        <v>3631.4100000000035</v>
      </c>
      <c r="M807" s="73">
        <f t="shared" si="265"/>
        <v>3900.1800000000039</v>
      </c>
      <c r="N807" s="73">
        <f t="shared" si="265"/>
        <v>4999.5299999999952</v>
      </c>
      <c r="O807" s="85"/>
      <c r="P807" s="85"/>
      <c r="Q807" s="86"/>
      <c r="R807" s="86"/>
      <c r="S807" s="181"/>
      <c r="T807" s="182"/>
      <c r="U807" s="183"/>
      <c r="V807" s="212"/>
      <c r="W807" s="31"/>
      <c r="X807" s="157"/>
      <c r="Y807" s="157"/>
      <c r="Z807" s="157"/>
      <c r="AA807" s="157"/>
    </row>
    <row r="808" spans="1:29" x14ac:dyDescent="0.25">
      <c r="A808" s="249">
        <v>43480</v>
      </c>
      <c r="B808" s="261" t="s">
        <v>174</v>
      </c>
      <c r="C808" s="59" t="s">
        <v>176</v>
      </c>
      <c r="D808" s="59" t="s">
        <v>175</v>
      </c>
      <c r="E808" s="61" t="s">
        <v>186</v>
      </c>
      <c r="F808" s="31">
        <v>5160.83</v>
      </c>
      <c r="G808" s="31">
        <v>5075.62</v>
      </c>
      <c r="H808" s="31">
        <v>5080.17</v>
      </c>
      <c r="I808" s="31">
        <v>5042.2</v>
      </c>
      <c r="J808" s="31">
        <v>5184.54</v>
      </c>
      <c r="K808" s="31">
        <v>5182.7</v>
      </c>
      <c r="L808" s="31">
        <v>5058.43</v>
      </c>
      <c r="M808" s="31">
        <v>5056.38</v>
      </c>
      <c r="N808" s="31">
        <v>5184.5200000000004</v>
      </c>
      <c r="O808" s="79">
        <f>IF((N809=""),"",MAX(F810:N810))</f>
        <v>3845.2800000000007</v>
      </c>
      <c r="P808" s="79">
        <f>IF(N809="","",MIN(F810:N810))</f>
        <v>3563.3999999999996</v>
      </c>
      <c r="Q808" s="80">
        <f>IF((N810=""),"",AVERAGE(F810:N810))</f>
        <v>3749.4644444444452</v>
      </c>
      <c r="R808" s="80">
        <f>IF((N809=""),"",(O808-P808)/(O808+P808)*100)</f>
        <v>3.8047263480134248</v>
      </c>
      <c r="S808" s="152">
        <f>STDEV(F810:N810)</f>
        <v>94.300986091227074</v>
      </c>
      <c r="T808" s="176" t="str">
        <f>IF(N809="","",IF(Q808&gt;3650,IF(R808&lt;7,IF(Q808&lt;4450,"Pass","Fail"),"Fail"),"Fail"))</f>
        <v>Pass</v>
      </c>
      <c r="U808" s="188">
        <v>1159</v>
      </c>
      <c r="V808" s="166"/>
      <c r="W808" s="31"/>
      <c r="X808" s="155">
        <v>3650</v>
      </c>
      <c r="Y808" s="155">
        <v>4450</v>
      </c>
      <c r="Z808" s="155">
        <v>3700</v>
      </c>
      <c r="AA808" s="155">
        <v>4100</v>
      </c>
      <c r="AB808" s="51">
        <v>7</v>
      </c>
      <c r="AC808" s="51">
        <v>6.5</v>
      </c>
    </row>
    <row r="809" spans="1:29" ht="16.100000000000001" x14ac:dyDescent="0.35">
      <c r="A809"/>
      <c r="B809" s="44"/>
      <c r="C809" s="24"/>
      <c r="D809" s="24"/>
      <c r="E809" s="81" t="s">
        <v>187</v>
      </c>
      <c r="F809" s="31">
        <v>3321.24</v>
      </c>
      <c r="G809" s="31">
        <v>3172.78</v>
      </c>
      <c r="H809" s="31">
        <v>3167.34</v>
      </c>
      <c r="I809" s="31">
        <v>3140.79</v>
      </c>
      <c r="J809" s="31">
        <v>3355.33</v>
      </c>
      <c r="K809" s="31">
        <v>3401</v>
      </c>
      <c r="L809" s="31">
        <v>3163.16</v>
      </c>
      <c r="M809" s="31">
        <v>3133.74</v>
      </c>
      <c r="N809" s="31">
        <v>3297.42</v>
      </c>
      <c r="O809" s="81"/>
      <c r="P809" s="81"/>
      <c r="Q809" s="82"/>
      <c r="R809" s="82"/>
      <c r="S809" s="178"/>
      <c r="T809" s="28"/>
      <c r="U809" s="185"/>
      <c r="V809" s="166"/>
      <c r="W809" s="31"/>
      <c r="X809" s="157"/>
      <c r="Y809" s="157"/>
      <c r="Z809" s="157"/>
      <c r="AA809" s="157"/>
    </row>
    <row r="810" spans="1:29" ht="22.75" thickBot="1" x14ac:dyDescent="0.4">
      <c r="A810"/>
      <c r="B810" s="44"/>
      <c r="C810" s="24"/>
      <c r="D810" s="24"/>
      <c r="E810" s="81" t="s">
        <v>188</v>
      </c>
      <c r="F810" s="60">
        <f t="shared" ref="F810:N810" si="266">IF(((F808="")*AND(F809="")),"",(F808-F809)*2)</f>
        <v>3679.1800000000003</v>
      </c>
      <c r="G810" s="60">
        <f t="shared" si="266"/>
        <v>3805.6799999999994</v>
      </c>
      <c r="H810" s="60">
        <f t="shared" si="266"/>
        <v>3825.66</v>
      </c>
      <c r="I810" s="60">
        <f t="shared" si="266"/>
        <v>3802.8199999999997</v>
      </c>
      <c r="J810" s="60">
        <f t="shared" si="266"/>
        <v>3658.42</v>
      </c>
      <c r="K810" s="60">
        <f t="shared" si="266"/>
        <v>3563.3999999999996</v>
      </c>
      <c r="L810" s="60">
        <f t="shared" si="266"/>
        <v>3790.5400000000009</v>
      </c>
      <c r="M810" s="60">
        <f t="shared" si="266"/>
        <v>3845.2800000000007</v>
      </c>
      <c r="N810" s="60">
        <f t="shared" si="266"/>
        <v>3774.2000000000007</v>
      </c>
      <c r="O810" s="81"/>
      <c r="P810" s="81"/>
      <c r="Q810" s="82"/>
      <c r="R810" s="82"/>
      <c r="S810" s="178"/>
      <c r="T810" s="28"/>
      <c r="U810" s="185"/>
      <c r="V810" s="166"/>
      <c r="W810" s="31"/>
      <c r="X810" s="157"/>
      <c r="Y810" s="157"/>
      <c r="Z810" s="157"/>
      <c r="AA810" s="157"/>
    </row>
    <row r="811" spans="1:29" x14ac:dyDescent="0.25">
      <c r="A811" s="249">
        <v>43480</v>
      </c>
      <c r="B811" s="257" t="s">
        <v>169</v>
      </c>
      <c r="C811" s="24" t="s">
        <v>171</v>
      </c>
      <c r="D811" s="24" t="s">
        <v>189</v>
      </c>
      <c r="E811" s="81" t="s">
        <v>186</v>
      </c>
      <c r="F811" s="31">
        <v>1935.21</v>
      </c>
      <c r="G811" s="31">
        <v>1932.6</v>
      </c>
      <c r="H811" s="31">
        <v>1927.4</v>
      </c>
      <c r="I811" s="31">
        <v>1935.54</v>
      </c>
      <c r="J811" s="31">
        <v>1940.7</v>
      </c>
      <c r="K811" s="31">
        <v>1940.74</v>
      </c>
      <c r="L811" s="31">
        <v>1935.35</v>
      </c>
      <c r="M811" s="31">
        <v>1930.72</v>
      </c>
      <c r="N811" s="31">
        <v>1940.2</v>
      </c>
      <c r="O811" s="81">
        <f>IF((N812=""),"",MAX(F813:N813))</f>
        <v>2008.8600000000004</v>
      </c>
      <c r="P811" s="81">
        <f>IF(N812="","",MIN(F813:N813))</f>
        <v>1955.97</v>
      </c>
      <c r="Q811" s="82">
        <f>IF((N813=""),"",AVERAGE(F813:N813))</f>
        <v>1974.8500000000001</v>
      </c>
      <c r="R811" s="82">
        <f>IF((N812=""),"",(O811-P811)/(O811+P811)*100)</f>
        <v>1.3339790104493843</v>
      </c>
      <c r="S811" s="178">
        <f>STDEV(F813:N813)</f>
        <v>16.761411038453861</v>
      </c>
      <c r="T811" s="23" t="str">
        <f>IF(N812="","",IF(Q811&gt;1940,IF(R811&lt;8.3,IF(Q811&lt;2180,"Pass","Fail"),"Fail"),"Fail"))</f>
        <v>Pass</v>
      </c>
      <c r="U811" s="188">
        <v>1159</v>
      </c>
      <c r="V811" s="166"/>
      <c r="W811" s="31"/>
      <c r="X811" s="155">
        <v>2000</v>
      </c>
      <c r="Y811" s="155">
        <v>3000</v>
      </c>
      <c r="Z811" s="155">
        <v>1940</v>
      </c>
      <c r="AA811" s="155">
        <v>2180</v>
      </c>
      <c r="AC811" s="51">
        <v>5.2</v>
      </c>
    </row>
    <row r="812" spans="1:29" ht="16.100000000000001" x14ac:dyDescent="0.35">
      <c r="A812"/>
      <c r="B812" s="44"/>
      <c r="C812" s="24"/>
      <c r="D812" s="24"/>
      <c r="E812" s="81" t="s">
        <v>187</v>
      </c>
      <c r="F812" s="31">
        <v>1265.5899999999999</v>
      </c>
      <c r="G812" s="31">
        <v>1276.6600000000001</v>
      </c>
      <c r="H812" s="31">
        <v>1271.8900000000001</v>
      </c>
      <c r="I812" s="31">
        <v>1279.0899999999999</v>
      </c>
      <c r="J812" s="31">
        <v>1288.71</v>
      </c>
      <c r="K812" s="31">
        <v>1275.9000000000001</v>
      </c>
      <c r="L812" s="31">
        <v>1279.05</v>
      </c>
      <c r="M812" s="31">
        <v>1271.07</v>
      </c>
      <c r="N812" s="31">
        <v>1285.95</v>
      </c>
      <c r="O812" s="81"/>
      <c r="P812" s="81"/>
      <c r="Q812" s="82"/>
      <c r="R812" s="82"/>
      <c r="S812" s="178"/>
      <c r="T812" s="23"/>
      <c r="U812" s="179"/>
      <c r="V812" s="212"/>
      <c r="W812" s="31"/>
      <c r="X812" s="157"/>
      <c r="Y812" s="157"/>
      <c r="Z812" s="157"/>
      <c r="AA812" s="157"/>
    </row>
    <row r="813" spans="1:29" ht="16.649999999999999" thickBot="1" x14ac:dyDescent="0.4">
      <c r="A813"/>
      <c r="B813" s="44"/>
      <c r="C813" s="24"/>
      <c r="D813" s="24"/>
      <c r="E813" s="81" t="s">
        <v>190</v>
      </c>
      <c r="F813" s="60">
        <f t="shared" ref="F813:N813" si="267">IF(((F811="")*AND(F812="")),"",(F811-F812)*3)</f>
        <v>2008.8600000000004</v>
      </c>
      <c r="G813" s="60">
        <f t="shared" si="267"/>
        <v>1967.8199999999995</v>
      </c>
      <c r="H813" s="60">
        <f t="shared" si="267"/>
        <v>1966.53</v>
      </c>
      <c r="I813" s="60">
        <f t="shared" si="267"/>
        <v>1969.3500000000001</v>
      </c>
      <c r="J813" s="60">
        <f t="shared" si="267"/>
        <v>1955.97</v>
      </c>
      <c r="K813" s="60">
        <f t="shared" si="267"/>
        <v>1994.5199999999998</v>
      </c>
      <c r="L813" s="60">
        <f t="shared" si="267"/>
        <v>1968.8999999999999</v>
      </c>
      <c r="M813" s="60">
        <f t="shared" si="267"/>
        <v>1978.9500000000003</v>
      </c>
      <c r="N813" s="60">
        <f t="shared" si="267"/>
        <v>1962.75</v>
      </c>
      <c r="O813" s="81"/>
      <c r="P813" s="81"/>
      <c r="Q813" s="82"/>
      <c r="R813" s="82"/>
      <c r="S813" s="178"/>
      <c r="T813" s="23"/>
      <c r="U813" s="179"/>
      <c r="V813" s="212"/>
      <c r="W813" s="31"/>
      <c r="X813" s="157"/>
      <c r="Y813" s="157"/>
      <c r="Z813" s="157"/>
      <c r="AA813" s="157"/>
    </row>
    <row r="814" spans="1:29" x14ac:dyDescent="0.25">
      <c r="A814" s="249">
        <v>43480</v>
      </c>
      <c r="B814" s="260" t="s">
        <v>185</v>
      </c>
      <c r="C814" s="24" t="s">
        <v>173</v>
      </c>
      <c r="D814" s="24" t="s">
        <v>172</v>
      </c>
      <c r="E814" s="81" t="s">
        <v>186</v>
      </c>
      <c r="F814" s="31">
        <v>29008.16</v>
      </c>
      <c r="G814" s="31">
        <v>28940.29</v>
      </c>
      <c r="H814" s="31">
        <v>28951.41</v>
      </c>
      <c r="I814" s="31">
        <v>28949.55</v>
      </c>
      <c r="J814" s="31">
        <v>29040.33</v>
      </c>
      <c r="K814" s="31">
        <v>29008.79</v>
      </c>
      <c r="L814" s="31">
        <v>28936.06</v>
      </c>
      <c r="M814" s="31">
        <v>28946.67</v>
      </c>
      <c r="N814" s="31">
        <v>29037.42</v>
      </c>
      <c r="O814" s="81">
        <f>IF((N815=""),"",MAX(F816:N816))</f>
        <v>4374.9599999999991</v>
      </c>
      <c r="P814" s="81">
        <f>IF(N815="","",MIN(F816:N816))</f>
        <v>3938.4899999999943</v>
      </c>
      <c r="Q814" s="82">
        <f>IF((N816=""),"",AVERAGE(F816:N816))</f>
        <v>4118.0966666666673</v>
      </c>
      <c r="R814" s="82">
        <f>IF((N815=""),"",(O814-P814)/(O814+P814)*100)</f>
        <v>5.2501668982192129</v>
      </c>
      <c r="S814" s="178">
        <f>STDEV(F816:N816)</f>
        <v>175.59900184796115</v>
      </c>
      <c r="T814" s="23" t="str">
        <f>IF(N815="","",IF(R814&lt;16,IF(Q814&gt;3200,IF(R814,IF(Q814&lt;5240,"Pass","Fail"),"Fail"),"Fail")))</f>
        <v>Pass</v>
      </c>
      <c r="U814" s="188">
        <v>1159</v>
      </c>
      <c r="V814" s="166"/>
      <c r="W814" s="31"/>
      <c r="X814" s="155">
        <v>4200</v>
      </c>
      <c r="Y814" s="155">
        <v>5500</v>
      </c>
      <c r="Z814" s="155">
        <v>3200</v>
      </c>
      <c r="AA814" s="155">
        <v>5240</v>
      </c>
      <c r="AC814" s="51">
        <v>16</v>
      </c>
    </row>
    <row r="815" spans="1:29" ht="16.100000000000001" x14ac:dyDescent="0.35">
      <c r="A815"/>
      <c r="B815" s="44"/>
      <c r="C815" s="24"/>
      <c r="D815" s="24"/>
      <c r="E815" s="81" t="s">
        <v>187</v>
      </c>
      <c r="F815" s="31">
        <v>27594.22</v>
      </c>
      <c r="G815" s="31">
        <v>27617.1</v>
      </c>
      <c r="H815" s="31">
        <v>27638.58</v>
      </c>
      <c r="I815" s="31">
        <v>27615.7</v>
      </c>
      <c r="J815" s="31">
        <v>27594.37</v>
      </c>
      <c r="K815" s="31">
        <v>27599.45</v>
      </c>
      <c r="L815" s="31">
        <v>27617.71</v>
      </c>
      <c r="M815" s="31">
        <v>27608.16</v>
      </c>
      <c r="N815" s="31">
        <v>27579.1</v>
      </c>
      <c r="O815" s="81"/>
      <c r="P815" s="81"/>
      <c r="Q815" s="82"/>
      <c r="R815" s="82"/>
      <c r="S815" s="178"/>
      <c r="T815" s="23"/>
      <c r="U815" s="179"/>
      <c r="V815" s="212"/>
      <c r="W815" s="31"/>
      <c r="X815" s="157"/>
      <c r="Y815" s="157"/>
      <c r="Z815" s="157"/>
      <c r="AA815" s="157"/>
    </row>
    <row r="816" spans="1:29" ht="22.75" thickBot="1" x14ac:dyDescent="0.4">
      <c r="A816"/>
      <c r="B816" s="83"/>
      <c r="C816" s="84"/>
      <c r="D816" s="84"/>
      <c r="E816" s="85" t="s">
        <v>188</v>
      </c>
      <c r="F816" s="73">
        <f t="shared" ref="F816:N816" si="268">IF(((F814="")*AND(F815="")),"",(F814-F815)*3)</f>
        <v>4241.8199999999961</v>
      </c>
      <c r="G816" s="73">
        <f t="shared" si="268"/>
        <v>3969.570000000007</v>
      </c>
      <c r="H816" s="73">
        <f t="shared" si="268"/>
        <v>3938.4899999999943</v>
      </c>
      <c r="I816" s="73">
        <f t="shared" si="268"/>
        <v>4001.5499999999956</v>
      </c>
      <c r="J816" s="73">
        <f t="shared" si="268"/>
        <v>4337.8800000000083</v>
      </c>
      <c r="K816" s="73">
        <f t="shared" si="268"/>
        <v>4228.0200000000004</v>
      </c>
      <c r="L816" s="73">
        <f t="shared" si="268"/>
        <v>3955.0500000000065</v>
      </c>
      <c r="M816" s="73">
        <f t="shared" si="268"/>
        <v>4015.5299999999952</v>
      </c>
      <c r="N816" s="73">
        <f t="shared" si="268"/>
        <v>4374.9599999999991</v>
      </c>
      <c r="O816" s="85"/>
      <c r="P816" s="85"/>
      <c r="Q816" s="86"/>
      <c r="R816" s="86"/>
      <c r="S816" s="181"/>
      <c r="T816" s="182"/>
      <c r="U816" s="183"/>
      <c r="V816" s="212"/>
      <c r="W816" s="31"/>
      <c r="X816" s="157"/>
      <c r="Y816" s="157"/>
      <c r="Z816" s="157"/>
      <c r="AA816" s="157"/>
    </row>
    <row r="817" spans="1:29" x14ac:dyDescent="0.25">
      <c r="A817" s="249">
        <v>43486</v>
      </c>
      <c r="B817" s="261" t="s">
        <v>174</v>
      </c>
      <c r="C817" s="59" t="s">
        <v>176</v>
      </c>
      <c r="D817" s="59" t="s">
        <v>175</v>
      </c>
      <c r="E817" s="61" t="s">
        <v>186</v>
      </c>
      <c r="F817" s="31">
        <v>3329.62</v>
      </c>
      <c r="G817" s="31">
        <v>3180.47</v>
      </c>
      <c r="H817" s="31">
        <v>3175.09</v>
      </c>
      <c r="I817" s="31">
        <v>3148.09</v>
      </c>
      <c r="J817" s="31">
        <v>3363.15</v>
      </c>
      <c r="K817" s="31">
        <v>3409.82</v>
      </c>
      <c r="L817" s="31">
        <v>3170.93</v>
      </c>
      <c r="M817" s="31">
        <v>3141.27</v>
      </c>
      <c r="N817" s="31">
        <v>3305.73</v>
      </c>
      <c r="O817" s="79">
        <f>IF((N818=""),"",MAX(F819:N819))</f>
        <v>3891.4600000000005</v>
      </c>
      <c r="P817" s="79">
        <f>IF(N818="","",MIN(F819:N819))</f>
        <v>3657.7000000000003</v>
      </c>
      <c r="Q817" s="80">
        <f>IF((N819=""),"",AVERAGE(F819:N819))</f>
        <v>3825.8866666666672</v>
      </c>
      <c r="R817" s="80">
        <f>IF((N818=""),"",(O817-P817)/(O817+P817)*100)</f>
        <v>3.0965034520396997</v>
      </c>
      <c r="S817" s="152">
        <f>STDEV(F819:N819)</f>
        <v>80.488584904941604</v>
      </c>
      <c r="T817" s="176" t="str">
        <f>IF(N818="","",IF(Q817&gt;3650,IF(R817&lt;7,IF(Q817&lt;4450,"Pass","Fail"),"Fail"),"Fail"))</f>
        <v>Pass</v>
      </c>
      <c r="U817" s="188">
        <v>1428</v>
      </c>
      <c r="V817" s="166"/>
      <c r="W817" s="31"/>
      <c r="X817" s="155">
        <v>3650</v>
      </c>
      <c r="Y817" s="155">
        <v>4450</v>
      </c>
      <c r="Z817" s="155">
        <v>3700</v>
      </c>
      <c r="AA817" s="155">
        <v>4100</v>
      </c>
      <c r="AB817" s="51">
        <v>7</v>
      </c>
      <c r="AC817" s="51">
        <v>6.5</v>
      </c>
    </row>
    <row r="818" spans="1:29" ht="16.100000000000001" x14ac:dyDescent="0.35">
      <c r="A818"/>
      <c r="B818" s="44"/>
      <c r="C818" s="24"/>
      <c r="D818" s="24"/>
      <c r="E818" s="81" t="s">
        <v>187</v>
      </c>
      <c r="F818" s="31">
        <v>1447.07</v>
      </c>
      <c r="G818" s="31">
        <v>1242.52</v>
      </c>
      <c r="H818" s="31">
        <v>1229.3599999999999</v>
      </c>
      <c r="I818" s="31">
        <v>1218.54</v>
      </c>
      <c r="J818" s="31">
        <v>1483.3</v>
      </c>
      <c r="K818" s="31">
        <v>1580.97</v>
      </c>
      <c r="L818" s="31">
        <v>1240.04</v>
      </c>
      <c r="M818" s="31">
        <v>1196.0899999999999</v>
      </c>
      <c r="N818" s="31">
        <v>1369.79</v>
      </c>
      <c r="O818" s="81"/>
      <c r="P818" s="81"/>
      <c r="Q818" s="82"/>
      <c r="R818" s="82"/>
      <c r="S818" s="178"/>
      <c r="T818" s="28"/>
      <c r="U818" s="185"/>
      <c r="V818" s="166"/>
      <c r="W818" s="31"/>
      <c r="X818" s="157"/>
      <c r="Y818" s="157"/>
      <c r="Z818" s="157"/>
      <c r="AA818" s="157"/>
    </row>
    <row r="819" spans="1:29" ht="22.75" thickBot="1" x14ac:dyDescent="0.4">
      <c r="A819"/>
      <c r="B819" s="44"/>
      <c r="C819" s="24"/>
      <c r="D819" s="24"/>
      <c r="E819" s="81" t="s">
        <v>188</v>
      </c>
      <c r="F819" s="60">
        <f t="shared" ref="F819:N819" si="269">IF(((F817="")*AND(F818="")),"",(F817-F818)*2)</f>
        <v>3765.1</v>
      </c>
      <c r="G819" s="60">
        <f t="shared" si="269"/>
        <v>3875.8999999999996</v>
      </c>
      <c r="H819" s="60">
        <f t="shared" si="269"/>
        <v>3891.4600000000005</v>
      </c>
      <c r="I819" s="60">
        <f t="shared" si="269"/>
        <v>3859.1000000000004</v>
      </c>
      <c r="J819" s="60">
        <f t="shared" si="269"/>
        <v>3759.7000000000003</v>
      </c>
      <c r="K819" s="60">
        <f t="shared" si="269"/>
        <v>3657.7000000000003</v>
      </c>
      <c r="L819" s="60">
        <f t="shared" si="269"/>
        <v>3861.7799999999997</v>
      </c>
      <c r="M819" s="60">
        <f t="shared" si="269"/>
        <v>3890.36</v>
      </c>
      <c r="N819" s="60">
        <f t="shared" si="269"/>
        <v>3871.88</v>
      </c>
      <c r="O819" s="81"/>
      <c r="P819" s="81"/>
      <c r="Q819" s="82"/>
      <c r="R819" s="82"/>
      <c r="S819" s="178"/>
      <c r="T819" s="28"/>
      <c r="U819" s="185"/>
      <c r="V819" s="166"/>
      <c r="W819" s="31"/>
      <c r="X819" s="157"/>
      <c r="Y819" s="157"/>
      <c r="Z819" s="157"/>
      <c r="AA819" s="157"/>
    </row>
    <row r="820" spans="1:29" x14ac:dyDescent="0.25">
      <c r="A820" s="249">
        <v>43486</v>
      </c>
      <c r="B820" s="257" t="s">
        <v>169</v>
      </c>
      <c r="C820" s="24" t="s">
        <v>171</v>
      </c>
      <c r="D820" s="24" t="s">
        <v>189</v>
      </c>
      <c r="E820" s="81" t="s">
        <v>186</v>
      </c>
      <c r="F820" s="31">
        <v>1268.8599999999999</v>
      </c>
      <c r="G820" s="31">
        <v>1279.6300000000001</v>
      </c>
      <c r="H820" s="31">
        <v>1278.8599999999999</v>
      </c>
      <c r="I820" s="31">
        <v>1281.79</v>
      </c>
      <c r="J820" s="31">
        <v>1293.1600000000001</v>
      </c>
      <c r="K820" s="31">
        <v>1279.47</v>
      </c>
      <c r="L820" s="31">
        <v>1283.6099999999999</v>
      </c>
      <c r="M820" s="31">
        <v>1274.48</v>
      </c>
      <c r="N820" s="31">
        <v>1283.55</v>
      </c>
      <c r="O820" s="81">
        <f>IF((N821=""),"",MAX(F822:N822))</f>
        <v>2017.6799999999998</v>
      </c>
      <c r="P820" s="81">
        <f>IF(N821="","",MIN(F822:N822))</f>
        <v>1970.85</v>
      </c>
      <c r="Q820" s="82">
        <f>IF((N822=""),"",AVERAGE(F822:N822))</f>
        <v>1992.1033333333335</v>
      </c>
      <c r="R820" s="82">
        <f>IF((N821=""),"",(O820-P820)/(O820+P820)*100)</f>
        <v>1.1741167798662648</v>
      </c>
      <c r="S820" s="178">
        <f>STDEV(F822:N822)</f>
        <v>14.432284988871256</v>
      </c>
      <c r="T820" s="23" t="str">
        <f>IF(N821="","",IF(Q820&gt;1940,IF(R820&lt;8.3,IF(Q820&lt;2180,"Pass","Fail"),"Fail"),"Fail"))</f>
        <v>Pass</v>
      </c>
      <c r="U820" s="188">
        <v>1428</v>
      </c>
      <c r="V820" s="166"/>
      <c r="W820" s="31"/>
      <c r="X820" s="155">
        <v>2000</v>
      </c>
      <c r="Y820" s="155">
        <v>3000</v>
      </c>
      <c r="Z820" s="155">
        <v>1940</v>
      </c>
      <c r="AA820" s="155">
        <v>2180</v>
      </c>
      <c r="AC820" s="51">
        <v>5.2</v>
      </c>
    </row>
    <row r="821" spans="1:29" ht="16.100000000000001" x14ac:dyDescent="0.35">
      <c r="A821"/>
      <c r="B821" s="44"/>
      <c r="C821" s="24"/>
      <c r="D821" s="24"/>
      <c r="E821" s="81" t="s">
        <v>187</v>
      </c>
      <c r="F821" s="31">
        <v>596.29999999999995</v>
      </c>
      <c r="G821" s="31">
        <v>615.21</v>
      </c>
      <c r="H821" s="31">
        <v>614.11</v>
      </c>
      <c r="I821" s="31">
        <v>619.34</v>
      </c>
      <c r="J821" s="31">
        <v>634.20000000000005</v>
      </c>
      <c r="K821" s="31">
        <v>618.22</v>
      </c>
      <c r="L821" s="31">
        <v>626.66</v>
      </c>
      <c r="M821" s="31">
        <v>607.94000000000005</v>
      </c>
      <c r="N821" s="31">
        <v>615.12</v>
      </c>
      <c r="O821" s="81"/>
      <c r="P821" s="81"/>
      <c r="Q821" s="82"/>
      <c r="R821" s="82"/>
      <c r="S821" s="178"/>
      <c r="T821" s="23"/>
      <c r="U821" s="179"/>
      <c r="V821" s="212"/>
      <c r="W821" s="31"/>
      <c r="X821" s="157"/>
      <c r="Y821" s="157"/>
      <c r="Z821" s="157"/>
      <c r="AA821" s="157"/>
    </row>
    <row r="822" spans="1:29" ht="16.649999999999999" thickBot="1" x14ac:dyDescent="0.4">
      <c r="A822"/>
      <c r="B822" s="44"/>
      <c r="C822" s="24"/>
      <c r="D822" s="24"/>
      <c r="E822" s="81" t="s">
        <v>190</v>
      </c>
      <c r="F822" s="60">
        <f t="shared" ref="F822:N822" si="270">IF(((F820="")*AND(F821="")),"",(F820-F821)*3)</f>
        <v>2017.6799999999998</v>
      </c>
      <c r="G822" s="60">
        <f t="shared" si="270"/>
        <v>1993.2600000000002</v>
      </c>
      <c r="H822" s="60">
        <f t="shared" si="270"/>
        <v>1994.2499999999995</v>
      </c>
      <c r="I822" s="60">
        <f t="shared" si="270"/>
        <v>1987.35</v>
      </c>
      <c r="J822" s="60">
        <f t="shared" si="270"/>
        <v>1976.88</v>
      </c>
      <c r="K822" s="60">
        <f t="shared" si="270"/>
        <v>1983.75</v>
      </c>
      <c r="L822" s="60">
        <f t="shared" si="270"/>
        <v>1970.85</v>
      </c>
      <c r="M822" s="60">
        <f t="shared" si="270"/>
        <v>1999.62</v>
      </c>
      <c r="N822" s="60">
        <f t="shared" si="270"/>
        <v>2005.29</v>
      </c>
      <c r="O822" s="81"/>
      <c r="P822" s="81"/>
      <c r="Q822" s="82"/>
      <c r="R822" s="82"/>
      <c r="S822" s="178"/>
      <c r="T822" s="23"/>
      <c r="U822" s="179"/>
      <c r="V822" s="212"/>
      <c r="W822" s="31"/>
      <c r="X822" s="157"/>
      <c r="Y822" s="157"/>
      <c r="Z822" s="157"/>
      <c r="AA822" s="157"/>
    </row>
    <row r="823" spans="1:29" x14ac:dyDescent="0.25">
      <c r="A823" s="249">
        <v>43486</v>
      </c>
      <c r="B823" s="260" t="s">
        <v>185</v>
      </c>
      <c r="C823" s="24" t="s">
        <v>173</v>
      </c>
      <c r="D823" s="24" t="s">
        <v>172</v>
      </c>
      <c r="E823" s="81" t="s">
        <v>186</v>
      </c>
      <c r="F823" s="31">
        <v>27536.29</v>
      </c>
      <c r="G823" s="31">
        <v>27567.97</v>
      </c>
      <c r="H823" s="31">
        <v>27582.51</v>
      </c>
      <c r="I823" s="31">
        <v>27557.19</v>
      </c>
      <c r="J823" s="31">
        <v>27537.82</v>
      </c>
      <c r="K823" s="31">
        <v>27541.13</v>
      </c>
      <c r="L823" s="31">
        <v>27559.32</v>
      </c>
      <c r="M823" s="31">
        <v>27548.45</v>
      </c>
      <c r="N823" s="31">
        <v>27519.11</v>
      </c>
      <c r="O823" s="81">
        <f>IF((N824=""),"",MAX(F825:N825))</f>
        <v>4459.1699999999983</v>
      </c>
      <c r="P823" s="81">
        <f>IF(N824="","",MIN(F825:N825))</f>
        <v>3929.1299999999974</v>
      </c>
      <c r="Q823" s="82">
        <f>IF((N825=""),"",AVERAGE(F825:N825))</f>
        <v>4135.93</v>
      </c>
      <c r="R823" s="82">
        <f>IF((N824=""),"",(O823-P823)/(O823+P823)*100)</f>
        <v>6.318801187368134</v>
      </c>
      <c r="S823" s="178">
        <f>STDEV(F825:N825)</f>
        <v>193.64542035638326</v>
      </c>
      <c r="T823" s="23" t="str">
        <f>IF(N824="","",IF(R823&lt;16,IF(Q823&gt;3200,IF(R823,IF(Q823&lt;5240,"Pass","Fail"),"Fail"),"Fail")))</f>
        <v>Pass</v>
      </c>
      <c r="U823" s="188">
        <v>1428</v>
      </c>
      <c r="V823" s="166"/>
      <c r="W823" s="31"/>
      <c r="X823" s="155">
        <v>4200</v>
      </c>
      <c r="Y823" s="155">
        <v>5500</v>
      </c>
      <c r="Z823" s="155">
        <v>3200</v>
      </c>
      <c r="AA823" s="155">
        <v>5240</v>
      </c>
      <c r="AC823" s="51">
        <v>16</v>
      </c>
    </row>
    <row r="824" spans="1:29" ht="16.100000000000001" x14ac:dyDescent="0.35">
      <c r="A824"/>
      <c r="B824" s="44"/>
      <c r="C824" s="24"/>
      <c r="D824" s="24"/>
      <c r="E824" s="81" t="s">
        <v>187</v>
      </c>
      <c r="F824" s="31">
        <v>26086.14</v>
      </c>
      <c r="G824" s="31">
        <v>26226.66</v>
      </c>
      <c r="H824" s="31">
        <v>26272.799999999999</v>
      </c>
      <c r="I824" s="31">
        <v>26231.17</v>
      </c>
      <c r="J824" s="31">
        <v>26107.87</v>
      </c>
      <c r="K824" s="31">
        <v>26143.88</v>
      </c>
      <c r="L824" s="31">
        <v>26243.72</v>
      </c>
      <c r="M824" s="31">
        <v>26197.040000000001</v>
      </c>
      <c r="N824" s="31">
        <v>26032.720000000001</v>
      </c>
      <c r="O824" s="81"/>
      <c r="P824" s="81"/>
      <c r="Q824" s="82"/>
      <c r="R824" s="82"/>
      <c r="S824" s="178"/>
      <c r="T824" s="23"/>
      <c r="U824" s="179"/>
      <c r="V824" s="212"/>
      <c r="W824" s="31"/>
      <c r="X824" s="157"/>
      <c r="Y824" s="157"/>
      <c r="Z824" s="157"/>
      <c r="AA824" s="157"/>
    </row>
    <row r="825" spans="1:29" ht="22.75" thickBot="1" x14ac:dyDescent="0.4">
      <c r="A825"/>
      <c r="B825" s="83"/>
      <c r="C825" s="84"/>
      <c r="D825" s="84"/>
      <c r="E825" s="85" t="s">
        <v>188</v>
      </c>
      <c r="F825" s="73">
        <f t="shared" ref="F825:N825" si="271">IF(((F823="")*AND(F824="")),"",(F823-F824)*3)</f>
        <v>4350.4500000000044</v>
      </c>
      <c r="G825" s="73">
        <f t="shared" si="271"/>
        <v>4023.9300000000039</v>
      </c>
      <c r="H825" s="73">
        <f t="shared" si="271"/>
        <v>3929.1299999999974</v>
      </c>
      <c r="I825" s="73">
        <f t="shared" si="271"/>
        <v>3978.0600000000013</v>
      </c>
      <c r="J825" s="73">
        <f t="shared" si="271"/>
        <v>4289.8500000000022</v>
      </c>
      <c r="K825" s="73">
        <f t="shared" si="271"/>
        <v>4191.75</v>
      </c>
      <c r="L825" s="73">
        <f t="shared" si="271"/>
        <v>3946.7999999999956</v>
      </c>
      <c r="M825" s="73">
        <f t="shared" si="271"/>
        <v>4054.2299999999996</v>
      </c>
      <c r="N825" s="73">
        <f t="shared" si="271"/>
        <v>4459.1699999999983</v>
      </c>
      <c r="O825" s="85"/>
      <c r="P825" s="85"/>
      <c r="Q825" s="86"/>
      <c r="R825" s="86"/>
      <c r="S825" s="181"/>
      <c r="T825" s="182"/>
      <c r="U825" s="183"/>
      <c r="V825" s="212"/>
      <c r="W825" s="31"/>
      <c r="X825" s="157"/>
      <c r="Y825" s="157"/>
      <c r="Z825" s="157"/>
      <c r="AA825" s="157"/>
    </row>
    <row r="826" spans="1:29" x14ac:dyDescent="0.25">
      <c r="A826" s="249">
        <v>43489</v>
      </c>
      <c r="B826" s="261" t="s">
        <v>174</v>
      </c>
      <c r="C826" s="59" t="s">
        <v>176</v>
      </c>
      <c r="D826" s="59" t="s">
        <v>175</v>
      </c>
      <c r="E826" s="61" t="s">
        <v>186</v>
      </c>
      <c r="F826" s="31">
        <v>6929.83</v>
      </c>
      <c r="G826" s="31">
        <v>6937.99</v>
      </c>
      <c r="H826" s="31">
        <v>6957.14</v>
      </c>
      <c r="I826" s="31">
        <v>6895.84</v>
      </c>
      <c r="J826" s="31">
        <v>6938.07</v>
      </c>
      <c r="K826" s="31">
        <v>6881.99</v>
      </c>
      <c r="L826" s="31">
        <v>6901.4</v>
      </c>
      <c r="M826" s="31">
        <v>6941.57</v>
      </c>
      <c r="N826" s="31">
        <v>7005.33</v>
      </c>
      <c r="O826" s="79">
        <f>IF((N827=""),"",MAX(F828:N828))</f>
        <v>3811.5</v>
      </c>
      <c r="P826" s="79">
        <f>IF(N827="","",MIN(F828:N828))</f>
        <v>3536.2999999999993</v>
      </c>
      <c r="Q826" s="80">
        <f>IF((N828=""),"",AVERAGE(F828:N828))</f>
        <v>3714.9377777777781</v>
      </c>
      <c r="R826" s="80">
        <f>IF((N827=""),"",(O826-P826)/(O826+P826)*100)</f>
        <v>3.7453387408476111</v>
      </c>
      <c r="S826" s="152">
        <f>STDEV(F828:N828)</f>
        <v>92.705022757370116</v>
      </c>
      <c r="T826" s="176" t="str">
        <f>IF(N827="","",IF(Q826&gt;3650,IF(R826&lt;7,IF(Q826&lt;4450,"Pass","Fail"),"Fail"),"Fail"))</f>
        <v>Pass</v>
      </c>
      <c r="U826" s="188">
        <v>1340</v>
      </c>
      <c r="V826" s="31" t="s">
        <v>219</v>
      </c>
      <c r="X826" s="155">
        <v>3650</v>
      </c>
      <c r="Y826" s="155">
        <v>4450</v>
      </c>
      <c r="Z826" s="155">
        <v>3700</v>
      </c>
      <c r="AA826" s="155">
        <v>4100</v>
      </c>
      <c r="AB826" s="51">
        <v>7</v>
      </c>
      <c r="AC826" s="51">
        <v>6.5</v>
      </c>
    </row>
    <row r="827" spans="1:29" ht="16.100000000000001" x14ac:dyDescent="0.35">
      <c r="A827"/>
      <c r="B827" s="44"/>
      <c r="C827" s="24"/>
      <c r="D827" s="24"/>
      <c r="E827" s="81" t="s">
        <v>187</v>
      </c>
      <c r="F827" s="31">
        <v>5118.41</v>
      </c>
      <c r="G827" s="31">
        <v>5057.74</v>
      </c>
      <c r="H827" s="31">
        <v>5060.37</v>
      </c>
      <c r="I827" s="31">
        <v>5010.05</v>
      </c>
      <c r="J827" s="31">
        <v>5117.1000000000004</v>
      </c>
      <c r="K827" s="31">
        <v>5113.84</v>
      </c>
      <c r="L827" s="31">
        <v>5025.03</v>
      </c>
      <c r="M827" s="31">
        <v>5035.82</v>
      </c>
      <c r="N827" s="31">
        <v>5133.58</v>
      </c>
      <c r="O827" s="81"/>
      <c r="P827" s="81"/>
      <c r="Q827" s="82"/>
      <c r="R827" s="82"/>
      <c r="S827" s="178"/>
      <c r="T827" s="28"/>
      <c r="U827" s="185"/>
      <c r="X827" s="157"/>
      <c r="Y827" s="157"/>
      <c r="Z827" s="157"/>
      <c r="AA827" s="157"/>
    </row>
    <row r="828" spans="1:29" ht="22.75" thickBot="1" x14ac:dyDescent="0.4">
      <c r="A828"/>
      <c r="B828" s="44"/>
      <c r="C828" s="24"/>
      <c r="D828" s="24"/>
      <c r="E828" s="81" t="s">
        <v>188</v>
      </c>
      <c r="F828" s="60">
        <f t="shared" ref="F828:N828" si="272">IF(((F826="")*AND(F827="")),"",(F826-F827)*2)</f>
        <v>3622.84</v>
      </c>
      <c r="G828" s="60">
        <f t="shared" si="272"/>
        <v>3760.5</v>
      </c>
      <c r="H828" s="60">
        <f t="shared" si="272"/>
        <v>3793.5400000000009</v>
      </c>
      <c r="I828" s="60">
        <f t="shared" si="272"/>
        <v>3771.58</v>
      </c>
      <c r="J828" s="60">
        <f t="shared" si="272"/>
        <v>3641.9399999999987</v>
      </c>
      <c r="K828" s="60">
        <f t="shared" si="272"/>
        <v>3536.2999999999993</v>
      </c>
      <c r="L828" s="60">
        <f t="shared" si="272"/>
        <v>3752.74</v>
      </c>
      <c r="M828" s="60">
        <f t="shared" si="272"/>
        <v>3811.5</v>
      </c>
      <c r="N828" s="60">
        <f t="shared" si="272"/>
        <v>3743.5</v>
      </c>
      <c r="O828" s="81"/>
      <c r="P828" s="81"/>
      <c r="Q828" s="82"/>
      <c r="R828" s="82"/>
      <c r="S828" s="178"/>
      <c r="T828" s="28"/>
      <c r="U828" s="185"/>
      <c r="X828" s="157"/>
      <c r="Y828" s="157"/>
      <c r="Z828" s="157"/>
      <c r="AA828" s="157"/>
    </row>
    <row r="829" spans="1:29" x14ac:dyDescent="0.25">
      <c r="A829" s="249">
        <v>43489</v>
      </c>
      <c r="B829" s="257" t="s">
        <v>169</v>
      </c>
      <c r="C829" s="24" t="s">
        <v>171</v>
      </c>
      <c r="D829" s="24" t="s">
        <v>189</v>
      </c>
      <c r="E829" s="81" t="s">
        <v>186</v>
      </c>
      <c r="F829" s="31">
        <v>1958.05</v>
      </c>
      <c r="G829" s="31">
        <v>1951.31</v>
      </c>
      <c r="H829" s="31">
        <v>1949.48</v>
      </c>
      <c r="I829" s="31">
        <v>1950.57</v>
      </c>
      <c r="J829" s="31">
        <v>1955.24</v>
      </c>
      <c r="K829" s="31">
        <v>1956.39</v>
      </c>
      <c r="L829" s="31">
        <v>1951.83</v>
      </c>
      <c r="M829" s="31">
        <v>1953.31</v>
      </c>
      <c r="N829" s="31">
        <v>1954.85</v>
      </c>
      <c r="O829" s="81">
        <f>IF((N830=""),"",MAX(F831:N831))</f>
        <v>2002.7699999999998</v>
      </c>
      <c r="P829" s="81">
        <f>IF(N830="","",MIN(F831:N831))</f>
        <v>1928.1000000000001</v>
      </c>
      <c r="Q829" s="82">
        <f>IF((N831=""),"",AVERAGE(F831:N831))</f>
        <v>1963.3933333333334</v>
      </c>
      <c r="R829" s="82">
        <f>IF((N830=""),"",(O829-P829)/(O829+P829)*100)</f>
        <v>1.8995794824046488</v>
      </c>
      <c r="S829" s="178">
        <f>STDEV(F831:N831)</f>
        <v>21.130827007005596</v>
      </c>
      <c r="T829" s="23" t="str">
        <f>IF(N830="","",IF(Q829&gt;1940,IF(R829&lt;8.3,IF(Q829&lt;2180,"Pass","Fail"),"Fail"),"Fail"))</f>
        <v>Pass</v>
      </c>
      <c r="U829" s="188">
        <v>1340</v>
      </c>
      <c r="V829" s="31" t="s">
        <v>219</v>
      </c>
      <c r="X829" s="155">
        <v>2000</v>
      </c>
      <c r="Y829" s="155">
        <v>3000</v>
      </c>
      <c r="Z829" s="155">
        <v>1940</v>
      </c>
      <c r="AA829" s="155">
        <v>2180</v>
      </c>
      <c r="AC829" s="51">
        <v>5.2</v>
      </c>
    </row>
    <row r="830" spans="1:29" ht="16.100000000000001" x14ac:dyDescent="0.35">
      <c r="A830"/>
      <c r="B830" s="44"/>
      <c r="C830" s="24"/>
      <c r="D830" s="24"/>
      <c r="E830" s="81" t="s">
        <v>187</v>
      </c>
      <c r="F830" s="31">
        <v>1290.46</v>
      </c>
      <c r="G830" s="31">
        <v>1294.3499999999999</v>
      </c>
      <c r="H830" s="31">
        <v>1294.78</v>
      </c>
      <c r="I830" s="31">
        <v>1299.71</v>
      </c>
      <c r="J830" s="31">
        <v>1312.54</v>
      </c>
      <c r="K830" s="31">
        <v>1299.98</v>
      </c>
      <c r="L830" s="31">
        <v>1302.52</v>
      </c>
      <c r="M830" s="31">
        <v>1293.43</v>
      </c>
      <c r="N830" s="31">
        <v>1303.08</v>
      </c>
      <c r="O830" s="81"/>
      <c r="P830" s="81"/>
      <c r="Q830" s="82"/>
      <c r="R830" s="82"/>
      <c r="S830" s="178"/>
      <c r="T830" s="23"/>
      <c r="U830" s="179"/>
      <c r="X830" s="157"/>
      <c r="Y830" s="157"/>
      <c r="Z830" s="157"/>
      <c r="AA830" s="157"/>
    </row>
    <row r="831" spans="1:29" ht="24.4" customHeight="1" thickBot="1" x14ac:dyDescent="0.4">
      <c r="A831"/>
      <c r="B831" s="44"/>
      <c r="C831" s="24"/>
      <c r="D831" s="24"/>
      <c r="E831" s="81" t="s">
        <v>190</v>
      </c>
      <c r="F831" s="60">
        <f t="shared" ref="F831:N831" si="273">IF(((F829="")*AND(F830="")),"",(F829-F830)*3)</f>
        <v>2002.7699999999998</v>
      </c>
      <c r="G831" s="60">
        <f t="shared" si="273"/>
        <v>1970.88</v>
      </c>
      <c r="H831" s="60">
        <f t="shared" si="273"/>
        <v>1964.1000000000001</v>
      </c>
      <c r="I831" s="60">
        <f t="shared" si="273"/>
        <v>1952.5799999999997</v>
      </c>
      <c r="J831" s="60">
        <f t="shared" si="273"/>
        <v>1928.1000000000001</v>
      </c>
      <c r="K831" s="60">
        <f t="shared" si="273"/>
        <v>1969.2300000000002</v>
      </c>
      <c r="L831" s="60">
        <f t="shared" si="273"/>
        <v>1947.9299999999998</v>
      </c>
      <c r="M831" s="60">
        <f t="shared" si="273"/>
        <v>1979.6399999999996</v>
      </c>
      <c r="N831" s="60">
        <f t="shared" si="273"/>
        <v>1955.31</v>
      </c>
      <c r="O831" s="81"/>
      <c r="P831" s="81"/>
      <c r="Q831" s="82"/>
      <c r="R831" s="82"/>
      <c r="S831" s="178"/>
      <c r="T831" s="23"/>
      <c r="U831" s="179"/>
      <c r="X831" s="157"/>
      <c r="Y831" s="157"/>
      <c r="Z831" s="157"/>
      <c r="AA831" s="157"/>
    </row>
    <row r="832" spans="1:29" x14ac:dyDescent="0.25">
      <c r="A832" s="249">
        <v>43489</v>
      </c>
      <c r="B832" s="260" t="s">
        <v>185</v>
      </c>
      <c r="C832" s="24" t="s">
        <v>173</v>
      </c>
      <c r="D832" s="24" t="s">
        <v>172</v>
      </c>
      <c r="E832" s="81" t="s">
        <v>186</v>
      </c>
      <c r="F832" s="31">
        <v>29045.200000000001</v>
      </c>
      <c r="G832" s="31">
        <v>28966.57</v>
      </c>
      <c r="H832" s="31">
        <v>28963.95</v>
      </c>
      <c r="I832" s="31">
        <v>28954.89</v>
      </c>
      <c r="J832" s="31">
        <v>29054.51</v>
      </c>
      <c r="K832" s="31">
        <v>29029.49</v>
      </c>
      <c r="L832" s="31">
        <v>28955.59</v>
      </c>
      <c r="M832" s="31">
        <v>28950.46</v>
      </c>
      <c r="N832" s="31">
        <v>29028.49</v>
      </c>
      <c r="O832" s="81">
        <f>IF((N833=""),"",MAX(F834:N834))</f>
        <v>4417.7700000000004</v>
      </c>
      <c r="P832" s="81">
        <f>IF(N833="","",MIN(F834:N834))</f>
        <v>3921.3000000000065</v>
      </c>
      <c r="Q832" s="82">
        <f>IF((N834=""),"",AVERAGE(F834:N834))</f>
        <v>4136.4000000000005</v>
      </c>
      <c r="R832" s="82">
        <f>IF((N833=""),"",(O832-P832)/(O832+P832)*100)</f>
        <v>5.95354158197489</v>
      </c>
      <c r="S832" s="178">
        <f>STDEV(F834:N834)</f>
        <v>195.07817240788248</v>
      </c>
      <c r="T832" s="23" t="str">
        <f>IF(N833="","",IF(R832&lt;16,IF(Q832&gt;3200,IF(R832,IF(Q832&lt;5240,"Pass","Fail"),"Fail"),"Fail")))</f>
        <v>Pass</v>
      </c>
      <c r="U832" s="188">
        <v>1340</v>
      </c>
      <c r="V832" s="31" t="s">
        <v>219</v>
      </c>
      <c r="X832" s="155">
        <v>4200</v>
      </c>
      <c r="Y832" s="155">
        <v>5500</v>
      </c>
      <c r="Z832" s="155">
        <v>3200</v>
      </c>
      <c r="AA832" s="155">
        <v>5240</v>
      </c>
      <c r="AC832" s="51">
        <v>16</v>
      </c>
    </row>
    <row r="833" spans="1:29" ht="16.100000000000001" x14ac:dyDescent="0.35">
      <c r="A833"/>
      <c r="B833" s="44"/>
      <c r="C833" s="24"/>
      <c r="D833" s="24"/>
      <c r="E833" s="81" t="s">
        <v>187</v>
      </c>
      <c r="F833" s="31">
        <v>27622.63</v>
      </c>
      <c r="G833" s="31">
        <v>27645.07</v>
      </c>
      <c r="H833" s="31">
        <v>27656.85</v>
      </c>
      <c r="I833" s="31">
        <v>27624.33</v>
      </c>
      <c r="J833" s="31">
        <v>27596.240000000002</v>
      </c>
      <c r="K833" s="31">
        <v>27604.92</v>
      </c>
      <c r="L833" s="31">
        <v>27631.67</v>
      </c>
      <c r="M833" s="31">
        <v>27602.34</v>
      </c>
      <c r="N833" s="31">
        <v>27555.9</v>
      </c>
      <c r="O833" s="81"/>
      <c r="P833" s="81"/>
      <c r="Q833" s="82"/>
      <c r="R833" s="82"/>
      <c r="S833" s="178"/>
      <c r="T833" s="23"/>
      <c r="U833" s="179"/>
      <c r="X833" s="157"/>
      <c r="Y833" s="157"/>
      <c r="Z833" s="157"/>
      <c r="AA833" s="157"/>
    </row>
    <row r="834" spans="1:29" ht="22.75" thickBot="1" x14ac:dyDescent="0.4">
      <c r="A834"/>
      <c r="B834" s="83"/>
      <c r="C834" s="84"/>
      <c r="D834" s="84"/>
      <c r="E834" s="85" t="s">
        <v>188</v>
      </c>
      <c r="F834" s="73">
        <f t="shared" ref="F834:N834" si="274">IF(((F832="")*AND(F833="")),"",(F832-F833)*3)</f>
        <v>4267.7099999999991</v>
      </c>
      <c r="G834" s="73">
        <f t="shared" si="274"/>
        <v>3964.5</v>
      </c>
      <c r="H834" s="73">
        <f t="shared" si="274"/>
        <v>3921.3000000000065</v>
      </c>
      <c r="I834" s="73">
        <f t="shared" si="274"/>
        <v>3991.679999999993</v>
      </c>
      <c r="J834" s="73">
        <f t="shared" si="274"/>
        <v>4374.8099999999904</v>
      </c>
      <c r="K834" s="73">
        <f t="shared" si="274"/>
        <v>4273.71000000001</v>
      </c>
      <c r="L834" s="73">
        <f t="shared" si="274"/>
        <v>3971.7600000000057</v>
      </c>
      <c r="M834" s="73">
        <f t="shared" si="274"/>
        <v>4044.3599999999969</v>
      </c>
      <c r="N834" s="73">
        <f t="shared" si="274"/>
        <v>4417.7700000000004</v>
      </c>
      <c r="O834" s="85"/>
      <c r="P834" s="85"/>
      <c r="Q834" s="86"/>
      <c r="R834" s="86"/>
      <c r="S834" s="181"/>
      <c r="T834" s="182"/>
      <c r="U834" s="183"/>
      <c r="X834" s="157"/>
      <c r="Y834" s="157"/>
      <c r="Z834" s="157"/>
      <c r="AA834" s="157"/>
    </row>
    <row r="835" spans="1:29" x14ac:dyDescent="0.25">
      <c r="A835" s="249">
        <v>43493</v>
      </c>
      <c r="B835" s="261" t="s">
        <v>174</v>
      </c>
      <c r="C835" s="59" t="s">
        <v>176</v>
      </c>
      <c r="D835" s="59" t="s">
        <v>175</v>
      </c>
      <c r="E835" s="61" t="s">
        <v>186</v>
      </c>
      <c r="F835" s="31">
        <v>5118.41</v>
      </c>
      <c r="G835" s="31">
        <v>5057.74</v>
      </c>
      <c r="H835" s="31">
        <v>5060.37</v>
      </c>
      <c r="I835" s="31">
        <v>5010.05</v>
      </c>
      <c r="J835" s="31">
        <v>5117.1000000000004</v>
      </c>
      <c r="K835" s="31">
        <v>5113.84</v>
      </c>
      <c r="L835" s="31">
        <v>5025.03</v>
      </c>
      <c r="M835" s="31">
        <v>5035.82</v>
      </c>
      <c r="N835" s="31">
        <v>5133.58</v>
      </c>
      <c r="O835" s="79">
        <f>IF((N836=""),"",MAX(F837:N837))</f>
        <v>3885.7599999999993</v>
      </c>
      <c r="P835" s="79">
        <f>IF(N836="","",MIN(F837:N837))</f>
        <v>3599.46</v>
      </c>
      <c r="Q835" s="80">
        <f>IF((N837=""),"",AVERAGE(F837:N837))</f>
        <v>3787.2111111111103</v>
      </c>
      <c r="R835" s="80">
        <f>IF((N836=""),"",(O835-P835)/(O835+P835)*100)</f>
        <v>3.8248708788786341</v>
      </c>
      <c r="S835" s="152">
        <f>STDEV(F837:N837)</f>
        <v>94.614286506378548</v>
      </c>
      <c r="T835" s="176" t="str">
        <f>IF(N836="","",IF(Q835&gt;3650,IF(R835&lt;7,IF(Q835&lt;4450,"Pass","Fail"),"Fail"),"Fail"))</f>
        <v>Pass</v>
      </c>
      <c r="U835" s="188">
        <v>1340</v>
      </c>
      <c r="V835" s="31" t="s">
        <v>220</v>
      </c>
      <c r="X835" s="155">
        <v>3650</v>
      </c>
      <c r="Y835" s="155">
        <v>4450</v>
      </c>
      <c r="Z835" s="155">
        <v>3700</v>
      </c>
      <c r="AA835" s="155">
        <v>4100</v>
      </c>
      <c r="AB835" s="51">
        <v>7</v>
      </c>
      <c r="AC835" s="51">
        <v>6.5</v>
      </c>
    </row>
    <row r="836" spans="1:29" ht="16.100000000000001" x14ac:dyDescent="0.35">
      <c r="A836"/>
      <c r="B836" s="44"/>
      <c r="C836" s="24"/>
      <c r="D836" s="24"/>
      <c r="E836" s="81" t="s">
        <v>187</v>
      </c>
      <c r="F836" s="31">
        <v>3262.07</v>
      </c>
      <c r="G836" s="31">
        <v>3137.22</v>
      </c>
      <c r="H836" s="31">
        <v>3129.12</v>
      </c>
      <c r="I836" s="31">
        <v>3090.11</v>
      </c>
      <c r="J836" s="31">
        <v>3266.58</v>
      </c>
      <c r="K836" s="31">
        <v>3314.11</v>
      </c>
      <c r="L836" s="31">
        <v>3113.16</v>
      </c>
      <c r="M836" s="31">
        <v>3092.94</v>
      </c>
      <c r="N836" s="31">
        <v>3224.18</v>
      </c>
      <c r="O836" s="81"/>
      <c r="P836" s="81"/>
      <c r="Q836" s="82"/>
      <c r="R836" s="82"/>
      <c r="S836" s="178"/>
      <c r="T836" s="28"/>
      <c r="U836" s="185"/>
      <c r="X836" s="157"/>
      <c r="Y836" s="157"/>
      <c r="Z836" s="157"/>
      <c r="AA836" s="157"/>
    </row>
    <row r="837" spans="1:29" ht="22.75" thickBot="1" x14ac:dyDescent="0.4">
      <c r="A837"/>
      <c r="B837" s="44"/>
      <c r="C837" s="24"/>
      <c r="D837" s="24"/>
      <c r="E837" s="81" t="s">
        <v>188</v>
      </c>
      <c r="F837" s="60">
        <f t="shared" ref="F837:N837" si="275">IF(((F835="")*AND(F836="")),"",(F835-F836)*2)</f>
        <v>3712.6799999999994</v>
      </c>
      <c r="G837" s="60">
        <f t="shared" si="275"/>
        <v>3841.04</v>
      </c>
      <c r="H837" s="60">
        <f t="shared" si="275"/>
        <v>3862.5</v>
      </c>
      <c r="I837" s="60">
        <f t="shared" si="275"/>
        <v>3839.88</v>
      </c>
      <c r="J837" s="60">
        <f t="shared" si="275"/>
        <v>3701.0400000000009</v>
      </c>
      <c r="K837" s="60">
        <f t="shared" si="275"/>
        <v>3599.46</v>
      </c>
      <c r="L837" s="60">
        <f t="shared" si="275"/>
        <v>3823.74</v>
      </c>
      <c r="M837" s="60">
        <f t="shared" si="275"/>
        <v>3885.7599999999993</v>
      </c>
      <c r="N837" s="60">
        <f t="shared" si="275"/>
        <v>3818.8</v>
      </c>
      <c r="O837" s="81"/>
      <c r="P837" s="81"/>
      <c r="Q837" s="82"/>
      <c r="R837" s="82"/>
      <c r="S837" s="178"/>
      <c r="T837" s="28"/>
      <c r="U837" s="185"/>
      <c r="X837" s="157"/>
      <c r="Y837" s="157"/>
      <c r="Z837" s="157"/>
      <c r="AA837" s="157"/>
    </row>
    <row r="838" spans="1:29" x14ac:dyDescent="0.25">
      <c r="A838" s="249">
        <v>43493</v>
      </c>
      <c r="B838" s="257" t="s">
        <v>169</v>
      </c>
      <c r="C838" s="24" t="s">
        <v>171</v>
      </c>
      <c r="D838" s="24" t="s">
        <v>189</v>
      </c>
      <c r="E838" s="81" t="s">
        <v>186</v>
      </c>
      <c r="F838" s="31">
        <v>1290.46</v>
      </c>
      <c r="G838" s="31">
        <v>1294.3499999999999</v>
      </c>
      <c r="H838" s="31">
        <v>1294.78</v>
      </c>
      <c r="I838" s="31">
        <v>1299.71</v>
      </c>
      <c r="J838" s="31">
        <v>1312.54</v>
      </c>
      <c r="K838" s="31">
        <v>1299.98</v>
      </c>
      <c r="L838" s="31">
        <v>1302.52</v>
      </c>
      <c r="M838" s="31">
        <v>1293.43</v>
      </c>
      <c r="N838" s="31">
        <v>1303.08</v>
      </c>
      <c r="O838" s="81">
        <f>IF((N839=""),"",MAX(F840:N840))</f>
        <v>2025.15</v>
      </c>
      <c r="P838" s="81">
        <f>IF(N839="","",MIN(F840:N840))</f>
        <v>1944.1499999999999</v>
      </c>
      <c r="Q838" s="82">
        <f>IF((N840=""),"",AVERAGE(F840:N840))</f>
        <v>1982.1733333333332</v>
      </c>
      <c r="R838" s="82">
        <f>IF((N839=""),"",(O838-P838)/(O838+P838)*100)</f>
        <v>2.0406620814753285</v>
      </c>
      <c r="S838" s="178">
        <f>STDEV(F840:N840)</f>
        <v>22.320494506170792</v>
      </c>
      <c r="T838" s="23" t="str">
        <f>IF(N839="","",IF(Q838&gt;1940,IF(R838&lt;8.3,IF(Q838&lt;2180,"Pass","Fail"),"Fail"),"Fail"))</f>
        <v>Pass</v>
      </c>
      <c r="U838" s="188">
        <v>1340</v>
      </c>
      <c r="V838" s="31" t="s">
        <v>220</v>
      </c>
      <c r="X838" s="155">
        <v>2000</v>
      </c>
      <c r="Y838" s="155">
        <v>3000</v>
      </c>
      <c r="Z838" s="155">
        <v>1940</v>
      </c>
      <c r="AA838" s="155">
        <v>2180</v>
      </c>
      <c r="AC838" s="51">
        <v>5.2</v>
      </c>
    </row>
    <row r="839" spans="1:29" ht="16.100000000000001" x14ac:dyDescent="0.35">
      <c r="A839"/>
      <c r="B839" s="44"/>
      <c r="C839" s="24"/>
      <c r="D839" s="24"/>
      <c r="E839" s="81" t="s">
        <v>187</v>
      </c>
      <c r="F839" s="31">
        <v>615.41</v>
      </c>
      <c r="G839" s="31">
        <v>629.28</v>
      </c>
      <c r="H839" s="31">
        <v>636.97</v>
      </c>
      <c r="I839" s="31">
        <v>642.65</v>
      </c>
      <c r="J839" s="31">
        <v>664.49</v>
      </c>
      <c r="K839" s="31">
        <v>640.63</v>
      </c>
      <c r="L839" s="31">
        <v>645.38</v>
      </c>
      <c r="M839" s="31">
        <v>628.19000000000005</v>
      </c>
      <c r="N839" s="31">
        <v>641.33000000000004</v>
      </c>
      <c r="O839" s="81"/>
      <c r="P839" s="81"/>
      <c r="Q839" s="82"/>
      <c r="R839" s="82"/>
      <c r="S839" s="178"/>
      <c r="T839" s="23"/>
      <c r="U839" s="179"/>
      <c r="X839" s="157"/>
      <c r="Y839" s="157"/>
      <c r="Z839" s="157"/>
      <c r="AA839" s="157"/>
    </row>
    <row r="840" spans="1:29" ht="23.3" customHeight="1" thickBot="1" x14ac:dyDescent="0.4">
      <c r="A840"/>
      <c r="B840" s="44"/>
      <c r="C840" s="24"/>
      <c r="D840" s="24"/>
      <c r="E840" s="81" t="s">
        <v>190</v>
      </c>
      <c r="F840" s="60">
        <f t="shared" ref="F840:N840" si="276">IF(((F838="")*AND(F839="")),"",(F838-F839)*3)</f>
        <v>2025.15</v>
      </c>
      <c r="G840" s="60">
        <f t="shared" si="276"/>
        <v>1995.2099999999998</v>
      </c>
      <c r="H840" s="60">
        <f t="shared" si="276"/>
        <v>1973.4299999999998</v>
      </c>
      <c r="I840" s="60">
        <f t="shared" si="276"/>
        <v>1971.1800000000003</v>
      </c>
      <c r="J840" s="60">
        <f t="shared" si="276"/>
        <v>1944.1499999999999</v>
      </c>
      <c r="K840" s="60">
        <f t="shared" si="276"/>
        <v>1978.0500000000002</v>
      </c>
      <c r="L840" s="60">
        <f t="shared" si="276"/>
        <v>1971.42</v>
      </c>
      <c r="M840" s="60">
        <f t="shared" si="276"/>
        <v>1995.72</v>
      </c>
      <c r="N840" s="60">
        <f t="shared" si="276"/>
        <v>1985.2499999999995</v>
      </c>
      <c r="O840" s="81"/>
      <c r="P840" s="81"/>
      <c r="Q840" s="82"/>
      <c r="R840" s="82"/>
      <c r="S840" s="178"/>
      <c r="T840" s="23"/>
      <c r="U840" s="179"/>
      <c r="X840" s="157"/>
      <c r="Y840" s="157"/>
      <c r="Z840" s="157"/>
      <c r="AA840" s="157"/>
    </row>
    <row r="841" spans="1:29" x14ac:dyDescent="0.25">
      <c r="A841" s="249">
        <v>43493</v>
      </c>
      <c r="B841" s="260" t="s">
        <v>185</v>
      </c>
      <c r="C841" s="24" t="s">
        <v>173</v>
      </c>
      <c r="D841" s="24" t="s">
        <v>172</v>
      </c>
      <c r="E841" s="81" t="s">
        <v>186</v>
      </c>
      <c r="F841" s="31">
        <v>27622.63</v>
      </c>
      <c r="G841" s="31">
        <v>27645.07</v>
      </c>
      <c r="H841" s="31">
        <v>27656.85</v>
      </c>
      <c r="I841" s="31">
        <v>27624.33</v>
      </c>
      <c r="J841" s="31">
        <v>27596.240000000002</v>
      </c>
      <c r="K841" s="31">
        <v>27604.92</v>
      </c>
      <c r="L841" s="31">
        <v>27631.67</v>
      </c>
      <c r="M841" s="31">
        <v>27602.34</v>
      </c>
      <c r="N841" s="31">
        <v>27555.9</v>
      </c>
      <c r="O841" s="81">
        <f>IF((N842=""),"",MAX(F843:N843))</f>
        <v>4598.7600000000057</v>
      </c>
      <c r="P841" s="81">
        <f>IF(N842="","",MIN(F843:N843))</f>
        <v>4078.9799999999996</v>
      </c>
      <c r="Q841" s="82">
        <f>IF((N843=""),"",AVERAGE(F843:N843))</f>
        <v>4281.6133333333337</v>
      </c>
      <c r="R841" s="82">
        <f>IF((N842=""),"",(O841-P841)/(O841+P841)*100)</f>
        <v>5.9898084063362784</v>
      </c>
      <c r="S841" s="178">
        <f>STDEV(F843:N843)</f>
        <v>184.83170067658924</v>
      </c>
      <c r="T841" s="23" t="str">
        <f>IF(N842="","",IF(R841&lt;16,IF(Q841&gt;3200,IF(R841,IF(Q841&lt;5240,"Pass","Fail"),"Fail"),"Fail")))</f>
        <v>Pass</v>
      </c>
      <c r="U841" s="188">
        <v>1340</v>
      </c>
      <c r="V841" s="31" t="s">
        <v>220</v>
      </c>
      <c r="X841" s="155">
        <v>4200</v>
      </c>
      <c r="Y841" s="155">
        <v>5500</v>
      </c>
      <c r="Z841" s="155">
        <v>3200</v>
      </c>
      <c r="AA841" s="155">
        <v>5240</v>
      </c>
      <c r="AC841" s="51">
        <v>16</v>
      </c>
    </row>
    <row r="842" spans="1:29" ht="16.100000000000001" x14ac:dyDescent="0.35">
      <c r="A842"/>
      <c r="B842" s="44"/>
      <c r="C842" s="24"/>
      <c r="D842" s="24"/>
      <c r="E842" s="81" t="s">
        <v>187</v>
      </c>
      <c r="F842" s="31">
        <v>26126.99</v>
      </c>
      <c r="G842" s="31">
        <v>26253.37</v>
      </c>
      <c r="H842" s="31">
        <v>26297.19</v>
      </c>
      <c r="I842" s="31">
        <v>26247.21</v>
      </c>
      <c r="J842" s="31">
        <v>26122.240000000002</v>
      </c>
      <c r="K842" s="31">
        <v>26163.07</v>
      </c>
      <c r="L842" s="31">
        <v>26259.34</v>
      </c>
      <c r="M842" s="31">
        <v>26202.720000000001</v>
      </c>
      <c r="N842" s="31">
        <v>26022.98</v>
      </c>
      <c r="O842" s="81"/>
      <c r="P842" s="81"/>
      <c r="Q842" s="82"/>
      <c r="R842" s="82"/>
      <c r="S842" s="178"/>
      <c r="T842" s="23"/>
      <c r="U842" s="179"/>
      <c r="X842" s="157"/>
      <c r="Y842" s="157"/>
      <c r="Z842" s="157"/>
      <c r="AA842" s="157"/>
    </row>
    <row r="843" spans="1:29" ht="22.75" thickBot="1" x14ac:dyDescent="0.4">
      <c r="A843"/>
      <c r="B843" s="83"/>
      <c r="C843" s="84"/>
      <c r="D843" s="84"/>
      <c r="E843" s="85" t="s">
        <v>188</v>
      </c>
      <c r="F843" s="73">
        <f t="shared" ref="F843:N843" si="277">IF(((F841="")*AND(F842="")),"",(F841-F842)*3)</f>
        <v>4486.9199999999983</v>
      </c>
      <c r="G843" s="73">
        <f t="shared" si="277"/>
        <v>4175.1000000000022</v>
      </c>
      <c r="H843" s="73">
        <f t="shared" si="277"/>
        <v>4078.9799999999996</v>
      </c>
      <c r="I843" s="73">
        <f t="shared" si="277"/>
        <v>4131.3600000000079</v>
      </c>
      <c r="J843" s="73">
        <f t="shared" si="277"/>
        <v>4422</v>
      </c>
      <c r="K843" s="73">
        <f t="shared" si="277"/>
        <v>4325.5499999999956</v>
      </c>
      <c r="L843" s="73">
        <f t="shared" si="277"/>
        <v>4116.9899999999943</v>
      </c>
      <c r="M843" s="73">
        <f t="shared" si="277"/>
        <v>4198.8599999999969</v>
      </c>
      <c r="N843" s="73">
        <f t="shared" si="277"/>
        <v>4598.7600000000057</v>
      </c>
      <c r="O843" s="85"/>
      <c r="P843" s="85"/>
      <c r="Q843" s="86"/>
      <c r="R843" s="86"/>
      <c r="S843" s="181"/>
      <c r="T843" s="182"/>
      <c r="U843" s="183"/>
      <c r="X843" s="157"/>
      <c r="Y843" s="157"/>
      <c r="Z843" s="157"/>
      <c r="AA843" s="157"/>
    </row>
    <row r="844" spans="1:29" x14ac:dyDescent="0.25">
      <c r="A844" s="249">
        <v>43497</v>
      </c>
      <c r="B844" s="261" t="s">
        <v>174</v>
      </c>
      <c r="C844" s="59" t="s">
        <v>176</v>
      </c>
      <c r="D844" s="59" t="s">
        <v>175</v>
      </c>
      <c r="E844" s="61" t="s">
        <v>186</v>
      </c>
      <c r="F844" s="31">
        <v>3269.02</v>
      </c>
      <c r="G844" s="31">
        <v>3143.67</v>
      </c>
      <c r="H844" s="31">
        <v>3135.49</v>
      </c>
      <c r="I844" s="31">
        <v>3096</v>
      </c>
      <c r="J844" s="31">
        <v>3273.08</v>
      </c>
      <c r="K844" s="31">
        <v>3321.21</v>
      </c>
      <c r="L844" s="31">
        <v>3119.42</v>
      </c>
      <c r="M844" s="31">
        <v>3098.94</v>
      </c>
      <c r="N844" s="31">
        <v>3230.45</v>
      </c>
      <c r="O844" s="79">
        <f>IF((N845=""),"",MAX(F846:N846))</f>
        <v>3875.06</v>
      </c>
      <c r="P844" s="79">
        <f>IF(N845="","",MIN(F846:N846))</f>
        <v>3647.84</v>
      </c>
      <c r="Q844" s="80">
        <f>IF((N846=""),"",AVERAGE(F846:N846))</f>
        <v>3806.8244444444445</v>
      </c>
      <c r="R844" s="80">
        <f>IF((N845=""),"",(O844-P844)/(O844+P844)*100)</f>
        <v>3.020377779845536</v>
      </c>
      <c r="S844" s="152">
        <f>STDEV(F846:N846)</f>
        <v>75.9381924842682</v>
      </c>
      <c r="T844" s="176" t="str">
        <f>IF(N845="","",IF(Q844&gt;3650,IF(R844&lt;7,IF(Q844&lt;4450,"Pass","Fail"),"Fail"),"Fail"))</f>
        <v>Pass</v>
      </c>
      <c r="U844" s="188">
        <v>1159</v>
      </c>
      <c r="V844" s="31" t="s">
        <v>221</v>
      </c>
      <c r="X844" s="155">
        <v>3650</v>
      </c>
      <c r="Y844" s="155">
        <v>4450</v>
      </c>
      <c r="Z844" s="155">
        <v>3700</v>
      </c>
      <c r="AA844" s="155">
        <v>4100</v>
      </c>
      <c r="AB844" s="51">
        <v>7</v>
      </c>
      <c r="AC844" s="51">
        <v>6.5</v>
      </c>
    </row>
    <row r="845" spans="1:29" ht="16.100000000000001" x14ac:dyDescent="0.35">
      <c r="A845"/>
      <c r="B845" s="44"/>
      <c r="C845" s="24"/>
      <c r="D845" s="24"/>
      <c r="E845" s="81" t="s">
        <v>187</v>
      </c>
      <c r="F845" s="31">
        <v>1389.52</v>
      </c>
      <c r="G845" s="31">
        <v>1217.71</v>
      </c>
      <c r="H845" s="31">
        <v>1201.06</v>
      </c>
      <c r="I845" s="31">
        <v>1178.52</v>
      </c>
      <c r="J845" s="31">
        <v>1403.46</v>
      </c>
      <c r="K845" s="31">
        <v>1497.29</v>
      </c>
      <c r="L845" s="31">
        <v>1202.75</v>
      </c>
      <c r="M845" s="31">
        <v>1161.4100000000001</v>
      </c>
      <c r="N845" s="31">
        <v>1304.8499999999999</v>
      </c>
      <c r="O845" s="81"/>
      <c r="P845" s="81"/>
      <c r="Q845" s="82"/>
      <c r="R845" s="82"/>
      <c r="S845" s="178"/>
      <c r="T845" s="28"/>
      <c r="U845" s="185"/>
      <c r="X845" s="157"/>
      <c r="Y845" s="157"/>
      <c r="Z845" s="157"/>
      <c r="AA845" s="157"/>
    </row>
    <row r="846" spans="1:29" ht="22.75" thickBot="1" x14ac:dyDescent="0.4">
      <c r="A846"/>
      <c r="B846" s="44"/>
      <c r="C846" s="24"/>
      <c r="D846" s="24"/>
      <c r="E846" s="81" t="s">
        <v>188</v>
      </c>
      <c r="F846" s="60">
        <f t="shared" ref="F846:N846" si="278">IF(((F844="")*AND(F845="")),"",(F844-F845)*2)</f>
        <v>3759</v>
      </c>
      <c r="G846" s="60">
        <f t="shared" si="278"/>
        <v>3851.92</v>
      </c>
      <c r="H846" s="60">
        <f t="shared" si="278"/>
        <v>3868.8599999999997</v>
      </c>
      <c r="I846" s="60">
        <f t="shared" si="278"/>
        <v>3834.96</v>
      </c>
      <c r="J846" s="60">
        <f t="shared" si="278"/>
        <v>3739.24</v>
      </c>
      <c r="K846" s="60">
        <f t="shared" si="278"/>
        <v>3647.84</v>
      </c>
      <c r="L846" s="60">
        <f t="shared" si="278"/>
        <v>3833.34</v>
      </c>
      <c r="M846" s="60">
        <f t="shared" si="278"/>
        <v>3875.06</v>
      </c>
      <c r="N846" s="60">
        <f t="shared" si="278"/>
        <v>3851.2</v>
      </c>
      <c r="O846" s="81"/>
      <c r="P846" s="81"/>
      <c r="Q846" s="82"/>
      <c r="R846" s="82"/>
      <c r="S846" s="178"/>
      <c r="T846" s="28"/>
      <c r="U846" s="185"/>
      <c r="X846" s="157"/>
      <c r="Y846" s="157"/>
      <c r="Z846" s="157"/>
      <c r="AA846" s="157"/>
    </row>
    <row r="847" spans="1:29" x14ac:dyDescent="0.25">
      <c r="A847" s="249">
        <v>43497</v>
      </c>
      <c r="B847" s="257" t="s">
        <v>169</v>
      </c>
      <c r="C847" s="24" t="s">
        <v>171</v>
      </c>
      <c r="D847" s="24" t="s">
        <v>189</v>
      </c>
      <c r="E847" s="81" t="s">
        <v>186</v>
      </c>
      <c r="F847" s="31">
        <v>1951.14</v>
      </c>
      <c r="G847" s="31">
        <v>1947.97</v>
      </c>
      <c r="H847" s="31">
        <v>1947.18</v>
      </c>
      <c r="I847" s="31">
        <v>1940.91</v>
      </c>
      <c r="J847" s="31">
        <v>1948.83</v>
      </c>
      <c r="K847" s="31">
        <v>1950.94</v>
      </c>
      <c r="L847" s="31">
        <v>1942.46</v>
      </c>
      <c r="M847" s="31">
        <v>1947.59</v>
      </c>
      <c r="N847" s="31">
        <v>1952.16</v>
      </c>
      <c r="O847" s="81">
        <f>IF((N848=""),"",MAX(F849:N849))</f>
        <v>2026.3200000000002</v>
      </c>
      <c r="P847" s="81">
        <f>IF(N848="","",MIN(F849:N849))</f>
        <v>1937.25</v>
      </c>
      <c r="Q847" s="82">
        <f>IF((N849=""),"",AVERAGE(F849:N849))</f>
        <v>1974.5433333333333</v>
      </c>
      <c r="R847" s="82">
        <f>IF((N848=""),"",(O847-P847)/(O847+P847)*100)</f>
        <v>2.2472165244968592</v>
      </c>
      <c r="S847" s="178">
        <f>STDEV(F849:N849)</f>
        <v>28.464461175297256</v>
      </c>
      <c r="T847" s="23" t="str">
        <f>IF(N848="","",IF(Q847&gt;1940,IF(R847&lt;8.3,IF(Q847&lt;2180,"Pass","Fail"),"Fail"),"Fail"))</f>
        <v>Pass</v>
      </c>
      <c r="U847" s="188">
        <v>1159</v>
      </c>
      <c r="V847" s="31" t="s">
        <v>221</v>
      </c>
      <c r="X847" s="155">
        <v>2000</v>
      </c>
      <c r="Y847" s="155">
        <v>3000</v>
      </c>
      <c r="Z847" s="155">
        <v>1940</v>
      </c>
      <c r="AA847" s="155">
        <v>2180</v>
      </c>
      <c r="AC847" s="51">
        <v>5.2</v>
      </c>
    </row>
    <row r="848" spans="1:29" ht="16.100000000000001" x14ac:dyDescent="0.35">
      <c r="A848"/>
      <c r="B848" s="44"/>
      <c r="C848" s="24"/>
      <c r="D848" s="24"/>
      <c r="E848" s="81" t="s">
        <v>187</v>
      </c>
      <c r="F848" s="31">
        <v>1275.7</v>
      </c>
      <c r="G848" s="31">
        <v>1283.5999999999999</v>
      </c>
      <c r="H848" s="31">
        <v>1287.01</v>
      </c>
      <c r="I848" s="31">
        <v>1293.8900000000001</v>
      </c>
      <c r="J848" s="31">
        <v>1303.08</v>
      </c>
      <c r="K848" s="31">
        <v>1286.78</v>
      </c>
      <c r="L848" s="31">
        <v>1288.67</v>
      </c>
      <c r="M848" s="31">
        <v>1286.6500000000001</v>
      </c>
      <c r="N848" s="31">
        <v>1300.17</v>
      </c>
      <c r="O848" s="81"/>
      <c r="P848" s="81"/>
      <c r="Q848" s="82"/>
      <c r="R848" s="82"/>
      <c r="S848" s="178"/>
      <c r="T848" s="23"/>
      <c r="U848" s="179"/>
      <c r="X848" s="157"/>
      <c r="Y848" s="157"/>
      <c r="Z848" s="157"/>
      <c r="AA848" s="157"/>
    </row>
    <row r="849" spans="1:29" ht="26.6" customHeight="1" thickBot="1" x14ac:dyDescent="0.4">
      <c r="A849"/>
      <c r="B849" s="44"/>
      <c r="C849" s="24"/>
      <c r="D849" s="24"/>
      <c r="E849" s="81" t="s">
        <v>190</v>
      </c>
      <c r="F849" s="60">
        <f t="shared" ref="F849:N849" si="279">IF(((F847="")*AND(F848="")),"",(F847-F848)*3)</f>
        <v>2026.3200000000002</v>
      </c>
      <c r="G849" s="60">
        <f t="shared" si="279"/>
        <v>1993.1100000000004</v>
      </c>
      <c r="H849" s="60">
        <f t="shared" si="279"/>
        <v>1980.5100000000002</v>
      </c>
      <c r="I849" s="60">
        <f t="shared" si="279"/>
        <v>1941.06</v>
      </c>
      <c r="J849" s="60">
        <f t="shared" si="279"/>
        <v>1937.25</v>
      </c>
      <c r="K849" s="60">
        <f t="shared" si="279"/>
        <v>1992.4800000000002</v>
      </c>
      <c r="L849" s="60">
        <f t="shared" si="279"/>
        <v>1961.37</v>
      </c>
      <c r="M849" s="60">
        <f t="shared" si="279"/>
        <v>1982.8199999999995</v>
      </c>
      <c r="N849" s="60">
        <f t="shared" si="279"/>
        <v>1955.97</v>
      </c>
      <c r="O849" s="81"/>
      <c r="P849" s="81"/>
      <c r="Q849" s="82"/>
      <c r="R849" s="82"/>
      <c r="S849" s="178"/>
      <c r="T849" s="23"/>
      <c r="U849" s="179"/>
      <c r="X849" s="157"/>
      <c r="Y849" s="157"/>
      <c r="Z849" s="157"/>
      <c r="AA849" s="157"/>
    </row>
    <row r="850" spans="1:29" x14ac:dyDescent="0.25">
      <c r="A850" s="249">
        <v>43497</v>
      </c>
      <c r="B850" s="260" t="s">
        <v>185</v>
      </c>
      <c r="C850" s="24" t="s">
        <v>173</v>
      </c>
      <c r="D850" s="24" t="s">
        <v>172</v>
      </c>
      <c r="E850" s="81" t="s">
        <v>186</v>
      </c>
      <c r="F850" s="31">
        <v>26057.01</v>
      </c>
      <c r="G850" s="31">
        <v>26203.18</v>
      </c>
      <c r="H850" s="31">
        <v>26252.53</v>
      </c>
      <c r="I850" s="31">
        <v>26209.99</v>
      </c>
      <c r="J850" s="31">
        <v>26081.279999999999</v>
      </c>
      <c r="K850" s="31">
        <v>26115.63</v>
      </c>
      <c r="L850" s="31">
        <v>26214.37</v>
      </c>
      <c r="M850" s="31">
        <v>26158.26</v>
      </c>
      <c r="N850" s="31">
        <v>25981.43</v>
      </c>
      <c r="O850" s="81">
        <f>IF((N851=""),"",MAX(F852:N852))</f>
        <v>4460.6099999999969</v>
      </c>
      <c r="P850" s="81">
        <f>IF(N851="","",MIN(F852:N852))</f>
        <v>3933.7799999999952</v>
      </c>
      <c r="Q850" s="82">
        <f>IF((N852=""),"",AVERAGE(F852:N852))</f>
        <v>4172.21</v>
      </c>
      <c r="R850" s="82">
        <f>IF((N851=""),"",(O850-P850)/(O850+P850)*100)</f>
        <v>6.2759771704674465</v>
      </c>
      <c r="S850" s="178">
        <f>STDEV(F852:N852)</f>
        <v>206.5429051069049</v>
      </c>
      <c r="T850" s="23" t="str">
        <f>IF(N851="","",IF(R850&lt;16,IF(Q850&gt;3200,IF(R850,IF(Q850&lt;5240,"Pass","Fail"),"Fail"),"Fail")))</f>
        <v>Pass</v>
      </c>
      <c r="U850" s="188">
        <v>1159</v>
      </c>
      <c r="V850" s="31" t="s">
        <v>221</v>
      </c>
      <c r="X850" s="155">
        <v>4200</v>
      </c>
      <c r="Y850" s="155">
        <v>5500</v>
      </c>
      <c r="Z850" s="155">
        <v>3200</v>
      </c>
      <c r="AA850" s="155">
        <v>5240</v>
      </c>
      <c r="AC850" s="51">
        <v>16</v>
      </c>
    </row>
    <row r="851" spans="1:29" ht="16.100000000000001" x14ac:dyDescent="0.35">
      <c r="A851"/>
      <c r="B851" s="44"/>
      <c r="C851" s="24"/>
      <c r="D851" s="24"/>
      <c r="E851" s="81" t="s">
        <v>187</v>
      </c>
      <c r="F851" s="31">
        <v>24620.38</v>
      </c>
      <c r="G851" s="31">
        <v>24867.4</v>
      </c>
      <c r="H851" s="31">
        <v>24941.27</v>
      </c>
      <c r="I851" s="31">
        <v>24850.3</v>
      </c>
      <c r="J851" s="31">
        <v>24605.82</v>
      </c>
      <c r="K851" s="31">
        <v>24673.85</v>
      </c>
      <c r="L851" s="31">
        <v>24889.3</v>
      </c>
      <c r="M851" s="31">
        <v>24814.17</v>
      </c>
      <c r="N851" s="31">
        <v>24494.560000000001</v>
      </c>
      <c r="O851" s="81"/>
      <c r="P851" s="81"/>
      <c r="Q851" s="82"/>
      <c r="R851" s="82"/>
      <c r="S851" s="178"/>
      <c r="T851" s="23"/>
      <c r="U851" s="179"/>
      <c r="X851" s="157"/>
      <c r="Y851" s="157"/>
      <c r="Z851" s="157"/>
      <c r="AA851" s="157"/>
    </row>
    <row r="852" spans="1:29" ht="22.75" thickBot="1" x14ac:dyDescent="0.4">
      <c r="A852"/>
      <c r="B852" s="83"/>
      <c r="C852" s="84"/>
      <c r="D852" s="84"/>
      <c r="E852" s="85" t="s">
        <v>188</v>
      </c>
      <c r="F852" s="73">
        <f t="shared" ref="F852:N852" si="280">IF(((F850="")*AND(F851="")),"",(F850-F851)*3)</f>
        <v>4309.8899999999921</v>
      </c>
      <c r="G852" s="73">
        <f t="shared" si="280"/>
        <v>4007.3399999999965</v>
      </c>
      <c r="H852" s="73">
        <f t="shared" si="280"/>
        <v>3933.7799999999952</v>
      </c>
      <c r="I852" s="73">
        <f t="shared" si="280"/>
        <v>4079.070000000007</v>
      </c>
      <c r="J852" s="73">
        <f t="shared" si="280"/>
        <v>4426.3799999999974</v>
      </c>
      <c r="K852" s="73">
        <f t="shared" si="280"/>
        <v>4325.3400000000074</v>
      </c>
      <c r="L852" s="73">
        <f t="shared" si="280"/>
        <v>3975.2099999999991</v>
      </c>
      <c r="M852" s="73">
        <f t="shared" si="280"/>
        <v>4032.2700000000004</v>
      </c>
      <c r="N852" s="73">
        <f t="shared" si="280"/>
        <v>4460.6099999999969</v>
      </c>
      <c r="O852" s="85"/>
      <c r="P852" s="85"/>
      <c r="Q852" s="86"/>
      <c r="R852" s="86"/>
      <c r="S852" s="181"/>
      <c r="T852" s="182"/>
      <c r="U852" s="183"/>
      <c r="X852" s="157"/>
      <c r="Y852" s="157"/>
      <c r="Z852" s="157"/>
      <c r="AA852" s="157"/>
    </row>
    <row r="853" spans="1:29" x14ac:dyDescent="0.25">
      <c r="A853" s="249">
        <v>43503</v>
      </c>
      <c r="B853" s="261" t="s">
        <v>174</v>
      </c>
      <c r="C853" s="59" t="s">
        <v>176</v>
      </c>
      <c r="D853" s="59" t="s">
        <v>175</v>
      </c>
      <c r="E853" s="61" t="s">
        <v>186</v>
      </c>
      <c r="F853" s="31">
        <v>6845.34</v>
      </c>
      <c r="G853" s="31">
        <v>6831.55</v>
      </c>
      <c r="H853" s="31">
        <v>6876.31</v>
      </c>
      <c r="I853" s="31">
        <v>6837.8</v>
      </c>
      <c r="J853" s="31">
        <v>6889.62</v>
      </c>
      <c r="K853" s="31">
        <v>6867.8</v>
      </c>
      <c r="L853" s="31">
        <v>6863.99</v>
      </c>
      <c r="M853" s="31">
        <v>6867.53</v>
      </c>
      <c r="N853" s="31">
        <v>6950.11</v>
      </c>
      <c r="O853" s="79">
        <f>IF((N854=""),"",MAX(F855:N855))</f>
        <v>3808.7000000000007</v>
      </c>
      <c r="P853" s="79">
        <f>IF(N854="","",MIN(F855:N855))</f>
        <v>3579.0400000000009</v>
      </c>
      <c r="Q853" s="80">
        <f>IF((N855=""),"",AVERAGE(F855:N855))</f>
        <v>3730.0311111111109</v>
      </c>
      <c r="R853" s="80">
        <f>IF((N854=""),"",(O853-P853)/(O853+P853)*100)</f>
        <v>3.1086638132906654</v>
      </c>
      <c r="S853" s="152">
        <f>STDEV(F855:N855)</f>
        <v>82.571386757829558</v>
      </c>
      <c r="T853" s="176" t="str">
        <f>IF(N854="","",IF(Q853&gt;3650,IF(R853&lt;7,IF(Q853&lt;4450,"Pass","Fail"),"Fail"),"Fail"))</f>
        <v>Pass</v>
      </c>
      <c r="U853" s="188">
        <v>1340</v>
      </c>
      <c r="V853" s="31" t="s">
        <v>222</v>
      </c>
      <c r="X853" s="155">
        <v>3650</v>
      </c>
      <c r="Y853" s="155">
        <v>4450</v>
      </c>
      <c r="Z853" s="155">
        <v>3700</v>
      </c>
      <c r="AA853" s="155">
        <v>4100</v>
      </c>
      <c r="AB853" s="51">
        <v>7</v>
      </c>
      <c r="AC853" s="51">
        <v>6.5</v>
      </c>
    </row>
    <row r="854" spans="1:29" ht="16.100000000000001" x14ac:dyDescent="0.35">
      <c r="A854"/>
      <c r="B854" s="44"/>
      <c r="C854" s="24"/>
      <c r="D854" s="24"/>
      <c r="E854" s="81" t="s">
        <v>187</v>
      </c>
      <c r="F854" s="31">
        <v>5021.13</v>
      </c>
      <c r="G854" s="31">
        <v>4944.96</v>
      </c>
      <c r="H854" s="31">
        <v>4971.96</v>
      </c>
      <c r="I854" s="31">
        <v>4945.7</v>
      </c>
      <c r="J854" s="31">
        <v>5062.12</v>
      </c>
      <c r="K854" s="31">
        <v>5078.28</v>
      </c>
      <c r="L854" s="31">
        <v>4972.71</v>
      </c>
      <c r="M854" s="31">
        <v>4964.7700000000004</v>
      </c>
      <c r="N854" s="31">
        <v>5083.28</v>
      </c>
      <c r="O854" s="81"/>
      <c r="P854" s="81"/>
      <c r="Q854" s="82"/>
      <c r="R854" s="82"/>
      <c r="S854" s="178"/>
      <c r="T854" s="28"/>
      <c r="U854" s="185"/>
      <c r="X854" s="157"/>
      <c r="Y854" s="157"/>
      <c r="Z854" s="157"/>
      <c r="AA854" s="157"/>
    </row>
    <row r="855" spans="1:29" ht="22.75" thickBot="1" x14ac:dyDescent="0.4">
      <c r="A855"/>
      <c r="B855" s="44"/>
      <c r="C855" s="24"/>
      <c r="D855" s="24"/>
      <c r="E855" s="81" t="s">
        <v>188</v>
      </c>
      <c r="F855" s="60">
        <f t="shared" ref="F855:N855" si="281">IF(((F853="")*AND(F854="")),"",(F853-F854)*2)</f>
        <v>3648.42</v>
      </c>
      <c r="G855" s="60">
        <f t="shared" si="281"/>
        <v>3773.1800000000003</v>
      </c>
      <c r="H855" s="60">
        <f t="shared" si="281"/>
        <v>3808.7000000000007</v>
      </c>
      <c r="I855" s="60">
        <f t="shared" si="281"/>
        <v>3784.2000000000007</v>
      </c>
      <c r="J855" s="60">
        <f t="shared" si="281"/>
        <v>3655</v>
      </c>
      <c r="K855" s="60">
        <f t="shared" si="281"/>
        <v>3579.0400000000009</v>
      </c>
      <c r="L855" s="60">
        <f t="shared" si="281"/>
        <v>3782.5599999999995</v>
      </c>
      <c r="M855" s="60">
        <f t="shared" si="281"/>
        <v>3805.5199999999986</v>
      </c>
      <c r="N855" s="60">
        <f t="shared" si="281"/>
        <v>3733.66</v>
      </c>
      <c r="O855" s="81"/>
      <c r="P855" s="81"/>
      <c r="Q855" s="82"/>
      <c r="R855" s="82"/>
      <c r="S855" s="178"/>
      <c r="T855" s="28"/>
      <c r="U855" s="185"/>
      <c r="X855" s="157"/>
      <c r="Y855" s="157"/>
      <c r="Z855" s="157"/>
      <c r="AA855" s="157"/>
    </row>
    <row r="856" spans="1:29" x14ac:dyDescent="0.25">
      <c r="A856" s="249">
        <v>43503</v>
      </c>
      <c r="B856" s="257" t="s">
        <v>169</v>
      </c>
      <c r="C856" s="24" t="s">
        <v>171</v>
      </c>
      <c r="D856" s="24" t="s">
        <v>189</v>
      </c>
      <c r="E856" s="81" t="s">
        <v>186</v>
      </c>
      <c r="F856" s="31">
        <v>1974.93</v>
      </c>
      <c r="G856" s="31">
        <v>1968.42</v>
      </c>
      <c r="H856" s="31">
        <v>1964.79</v>
      </c>
      <c r="I856" s="31">
        <v>1970.54</v>
      </c>
      <c r="J856" s="31">
        <v>1980.92</v>
      </c>
      <c r="K856" s="31">
        <v>1979.97</v>
      </c>
      <c r="L856" s="31">
        <v>1969.2</v>
      </c>
      <c r="M856" s="31">
        <v>1972.04</v>
      </c>
      <c r="N856" s="31">
        <v>1977.76</v>
      </c>
      <c r="O856" s="81">
        <f>IF((N857=""),"",MAX(F858:N858))</f>
        <v>2057.7300000000005</v>
      </c>
      <c r="P856" s="81">
        <f>IF(N857="","",MIN(F858:N858))</f>
        <v>2007.2999999999997</v>
      </c>
      <c r="Q856" s="82">
        <f>IF((N858=""),"",AVERAGE(F858:N858))</f>
        <v>2028.6233333333334</v>
      </c>
      <c r="R856" s="82">
        <f>IF((N857=""),"",(O856-P856)/(O856+P856)*100)</f>
        <v>1.2405812503228941</v>
      </c>
      <c r="S856" s="178">
        <f>STDEV(F858:N858)</f>
        <v>15.687022502693249</v>
      </c>
      <c r="T856" s="23" t="str">
        <f>IF(N857="","",IF(Q856&gt;1940,IF(R856&lt;8.3,IF(Q856&lt;2180,"Pass","Fail"),"Fail"),"Fail"))</f>
        <v>Pass</v>
      </c>
      <c r="U856" s="188">
        <v>1340</v>
      </c>
      <c r="V856" s="31" t="s">
        <v>222</v>
      </c>
      <c r="X856" s="155">
        <v>2000</v>
      </c>
      <c r="Y856" s="155">
        <v>3000</v>
      </c>
      <c r="Z856" s="155">
        <v>1940</v>
      </c>
      <c r="AA856" s="155">
        <v>2180</v>
      </c>
      <c r="AC856" s="51">
        <v>5.2</v>
      </c>
    </row>
    <row r="857" spans="1:29" ht="16.100000000000001" x14ac:dyDescent="0.35">
      <c r="A857"/>
      <c r="B857" s="44"/>
      <c r="C857" s="24"/>
      <c r="D857" s="24"/>
      <c r="E857" s="81" t="s">
        <v>187</v>
      </c>
      <c r="F857" s="31">
        <v>1289.02</v>
      </c>
      <c r="G857" s="31">
        <v>1291.1099999999999</v>
      </c>
      <c r="H857" s="31">
        <v>1295.69</v>
      </c>
      <c r="I857" s="31">
        <v>1296.32</v>
      </c>
      <c r="J857" s="31">
        <v>1307.78</v>
      </c>
      <c r="K857" s="31">
        <v>1298.27</v>
      </c>
      <c r="L857" s="31">
        <v>1296.42</v>
      </c>
      <c r="M857" s="31">
        <v>1293.24</v>
      </c>
      <c r="N857" s="31">
        <v>1304.8499999999999</v>
      </c>
      <c r="O857" s="81"/>
      <c r="P857" s="81"/>
      <c r="Q857" s="82"/>
      <c r="R857" s="82"/>
      <c r="S857" s="178"/>
      <c r="T857" s="23"/>
      <c r="U857" s="179"/>
      <c r="X857" s="157"/>
      <c r="Y857" s="157"/>
      <c r="Z857" s="157"/>
      <c r="AA857" s="157"/>
    </row>
    <row r="858" spans="1:29" ht="25.5" customHeight="1" thickBot="1" x14ac:dyDescent="0.4">
      <c r="A858"/>
      <c r="B858" s="44"/>
      <c r="C858" s="24"/>
      <c r="D858" s="24"/>
      <c r="E858" s="81" t="s">
        <v>190</v>
      </c>
      <c r="F858" s="60">
        <f t="shared" ref="F858:N858" si="282">IF(((F856="")*AND(F857="")),"",(F856-F857)*3)</f>
        <v>2057.7300000000005</v>
      </c>
      <c r="G858" s="60">
        <f t="shared" si="282"/>
        <v>2031.9300000000005</v>
      </c>
      <c r="H858" s="60">
        <f t="shared" si="282"/>
        <v>2007.2999999999997</v>
      </c>
      <c r="I858" s="60">
        <f t="shared" si="282"/>
        <v>2022.66</v>
      </c>
      <c r="J858" s="60">
        <f t="shared" si="282"/>
        <v>2019.4200000000003</v>
      </c>
      <c r="K858" s="60">
        <f t="shared" si="282"/>
        <v>2045.1000000000001</v>
      </c>
      <c r="L858" s="60">
        <f t="shared" si="282"/>
        <v>2018.34</v>
      </c>
      <c r="M858" s="60">
        <f t="shared" si="282"/>
        <v>2036.3999999999999</v>
      </c>
      <c r="N858" s="60">
        <f t="shared" si="282"/>
        <v>2018.7300000000002</v>
      </c>
      <c r="O858" s="81"/>
      <c r="P858" s="81"/>
      <c r="Q858" s="82"/>
      <c r="R858" s="82"/>
      <c r="S858" s="178"/>
      <c r="T858" s="23"/>
      <c r="U858" s="179"/>
      <c r="X858" s="157"/>
      <c r="Y858" s="157"/>
      <c r="Z858" s="157"/>
      <c r="AA858" s="157"/>
    </row>
    <row r="859" spans="1:29" x14ac:dyDescent="0.25">
      <c r="A859" s="249">
        <v>43503</v>
      </c>
      <c r="B859" s="260" t="s">
        <v>185</v>
      </c>
      <c r="C859" s="24" t="s">
        <v>173</v>
      </c>
      <c r="D859" s="24" t="s">
        <v>172</v>
      </c>
      <c r="E859" s="81" t="s">
        <v>186</v>
      </c>
      <c r="F859" s="31">
        <v>29173.66</v>
      </c>
      <c r="G859" s="31">
        <v>29092.11</v>
      </c>
      <c r="H859" s="31">
        <v>29091.13</v>
      </c>
      <c r="I859" s="31">
        <v>29094.62</v>
      </c>
      <c r="J859" s="31">
        <v>29190.21</v>
      </c>
      <c r="K859" s="31">
        <v>29172.45</v>
      </c>
      <c r="L859" s="31">
        <v>29079.79</v>
      </c>
      <c r="M859" s="31">
        <v>29083.22</v>
      </c>
      <c r="N859" s="31">
        <v>29162.14</v>
      </c>
      <c r="O859" s="81">
        <f>IF((N860=""),"",MAX(F861:N861))</f>
        <v>4485</v>
      </c>
      <c r="P859" s="81">
        <f>IF(N860="","",MIN(F861:N861))</f>
        <v>3989.4900000000052</v>
      </c>
      <c r="Q859" s="82">
        <f>IF((N861=""),"",AVERAGE(F861:N861))</f>
        <v>4202.8633333333337</v>
      </c>
      <c r="R859" s="82">
        <f>IF((N860=""),"",(O859-P859)/(O859+P859)*100)</f>
        <v>5.847077523249121</v>
      </c>
      <c r="S859" s="178">
        <f>STDEV(F861:N861)</f>
        <v>194.75707548122526</v>
      </c>
      <c r="T859" s="23" t="str">
        <f>IF(N860="","",IF(R859&lt;16,IF(Q859&gt;3200,IF(R859,IF(Q859&lt;5240,"Pass","Fail"),"Fail"),"Fail")))</f>
        <v>Pass</v>
      </c>
      <c r="U859" s="188">
        <v>1340</v>
      </c>
      <c r="V859" s="31" t="s">
        <v>222</v>
      </c>
      <c r="X859" s="155">
        <v>4200</v>
      </c>
      <c r="Y859" s="155">
        <v>5500</v>
      </c>
      <c r="Z859" s="155">
        <v>3200</v>
      </c>
      <c r="AA859" s="155">
        <v>5240</v>
      </c>
      <c r="AC859" s="51">
        <v>16</v>
      </c>
    </row>
    <row r="860" spans="1:29" ht="16.100000000000001" x14ac:dyDescent="0.35">
      <c r="A860"/>
      <c r="B860" s="44"/>
      <c r="C860" s="24"/>
      <c r="D860" s="24"/>
      <c r="E860" s="81" t="s">
        <v>187</v>
      </c>
      <c r="F860" s="31">
        <v>27725.93</v>
      </c>
      <c r="G860" s="31">
        <v>27740.38</v>
      </c>
      <c r="H860" s="31">
        <v>27761.3</v>
      </c>
      <c r="I860" s="31">
        <v>27740.2</v>
      </c>
      <c r="J860" s="31">
        <v>27705.59</v>
      </c>
      <c r="K860" s="31">
        <v>27734.84</v>
      </c>
      <c r="L860" s="31">
        <v>27737.15</v>
      </c>
      <c r="M860" s="31">
        <v>27718.21</v>
      </c>
      <c r="N860" s="31">
        <v>27667.14</v>
      </c>
      <c r="O860" s="81"/>
      <c r="P860" s="81"/>
      <c r="Q860" s="82"/>
      <c r="R860" s="82"/>
      <c r="S860" s="178"/>
      <c r="T860" s="23"/>
      <c r="U860" s="179"/>
      <c r="X860" s="157"/>
      <c r="Y860" s="157"/>
      <c r="Z860" s="157"/>
      <c r="AA860" s="157"/>
    </row>
    <row r="861" spans="1:29" ht="22.75" thickBot="1" x14ac:dyDescent="0.4">
      <c r="A861"/>
      <c r="B861" s="83"/>
      <c r="C861" s="84"/>
      <c r="D861" s="84"/>
      <c r="E861" s="85" t="s">
        <v>188</v>
      </c>
      <c r="F861" s="73">
        <f t="shared" ref="F861:N861" si="283">IF(((F859="")*AND(F860="")),"",(F859-F860)*3)</f>
        <v>4343.1899999999987</v>
      </c>
      <c r="G861" s="73">
        <f t="shared" si="283"/>
        <v>4055.1899999999987</v>
      </c>
      <c r="H861" s="73">
        <f t="shared" si="283"/>
        <v>3989.4900000000052</v>
      </c>
      <c r="I861" s="73">
        <f t="shared" si="283"/>
        <v>4063.2599999999948</v>
      </c>
      <c r="J861" s="73">
        <f t="shared" si="283"/>
        <v>4453.8599999999969</v>
      </c>
      <c r="K861" s="73">
        <f t="shared" si="283"/>
        <v>4312.8300000000017</v>
      </c>
      <c r="L861" s="73">
        <f t="shared" si="283"/>
        <v>4027.9199999999983</v>
      </c>
      <c r="M861" s="73">
        <f t="shared" si="283"/>
        <v>4095.0300000000061</v>
      </c>
      <c r="N861" s="73">
        <f t="shared" si="283"/>
        <v>4485</v>
      </c>
      <c r="O861" s="85"/>
      <c r="P861" s="85"/>
      <c r="Q861" s="86"/>
      <c r="R861" s="86"/>
      <c r="S861" s="181"/>
      <c r="T861" s="182"/>
      <c r="U861" s="183"/>
      <c r="X861" s="157"/>
      <c r="Y861" s="157"/>
      <c r="Z861" s="157"/>
      <c r="AA861" s="157"/>
    </row>
    <row r="862" spans="1:29" x14ac:dyDescent="0.25">
      <c r="A862" s="249">
        <v>43507</v>
      </c>
      <c r="B862" s="261" t="s">
        <v>174</v>
      </c>
      <c r="C862" s="59" t="s">
        <v>176</v>
      </c>
      <c r="D862" s="59" t="s">
        <v>175</v>
      </c>
      <c r="E862" s="61" t="s">
        <v>186</v>
      </c>
      <c r="F862" s="31">
        <v>5027.67</v>
      </c>
      <c r="G862" s="31">
        <v>4952.79</v>
      </c>
      <c r="H862" s="31">
        <v>4979</v>
      </c>
      <c r="I862" s="31">
        <v>4953.25</v>
      </c>
      <c r="J862" s="31">
        <v>5068.3599999999997</v>
      </c>
      <c r="K862" s="31">
        <v>5084.84</v>
      </c>
      <c r="L862" s="31">
        <v>4979.67</v>
      </c>
      <c r="M862" s="31">
        <v>4971.6499999999996</v>
      </c>
      <c r="N862" s="31">
        <v>5089.3999999999996</v>
      </c>
      <c r="O862" s="79">
        <f>IF((N863=""),"",MAX(F864:N864))</f>
        <v>3912.5199999999995</v>
      </c>
      <c r="P862" s="79">
        <f>IF(N863="","",MIN(F864:N864))</f>
        <v>3645.16</v>
      </c>
      <c r="Q862" s="80">
        <f>IF((N864=""),"",AVERAGE(F864:N864))</f>
        <v>3817.6022222222218</v>
      </c>
      <c r="R862" s="80">
        <f>IF((N863=""),"",(O862-P862)/(O862+P862)*100)</f>
        <v>3.5375935472261291</v>
      </c>
      <c r="S862" s="152">
        <f>STDEV(F864:N864)</f>
        <v>91.919321388076156</v>
      </c>
      <c r="T862" s="176" t="str">
        <f>IF(N863="","",IF(Q862&gt;3650,IF(R862&lt;7,IF(Q862&lt;4450,"Pass","Fail"),"Fail"),"Fail"))</f>
        <v>Pass</v>
      </c>
      <c r="U862" s="188">
        <v>1159</v>
      </c>
      <c r="V862" s="31" t="s">
        <v>223</v>
      </c>
      <c r="X862" s="155">
        <v>3650</v>
      </c>
      <c r="Y862" s="155">
        <v>4450</v>
      </c>
      <c r="Z862" s="155">
        <v>3700</v>
      </c>
      <c r="AA862" s="155">
        <v>4100</v>
      </c>
      <c r="AB862" s="51">
        <v>7</v>
      </c>
      <c r="AC862" s="51">
        <v>6.5</v>
      </c>
    </row>
    <row r="863" spans="1:29" ht="16.100000000000001" x14ac:dyDescent="0.35">
      <c r="A863"/>
      <c r="B863" s="44"/>
      <c r="C863" s="24"/>
      <c r="D863" s="24"/>
      <c r="E863" s="81" t="s">
        <v>187</v>
      </c>
      <c r="F863" s="31">
        <v>3167.62</v>
      </c>
      <c r="G863" s="31">
        <v>3022</v>
      </c>
      <c r="H863" s="31">
        <v>3032.09</v>
      </c>
      <c r="I863" s="31">
        <v>3015.38</v>
      </c>
      <c r="J863" s="31">
        <v>3196.82</v>
      </c>
      <c r="K863" s="31">
        <v>3262.26</v>
      </c>
      <c r="L863" s="31">
        <v>3049.06</v>
      </c>
      <c r="M863" s="31">
        <v>3015.39</v>
      </c>
      <c r="N863" s="31">
        <v>3166.8</v>
      </c>
      <c r="O863" s="81"/>
      <c r="P863" s="81"/>
      <c r="Q863" s="82"/>
      <c r="R863" s="82"/>
      <c r="S863" s="178"/>
      <c r="T863" s="28"/>
      <c r="U863" s="185"/>
      <c r="X863" s="157"/>
      <c r="Y863" s="157"/>
      <c r="Z863" s="157"/>
      <c r="AA863" s="157"/>
    </row>
    <row r="864" spans="1:29" ht="22.75" thickBot="1" x14ac:dyDescent="0.4">
      <c r="A864"/>
      <c r="B864" s="44"/>
      <c r="C864" s="24"/>
      <c r="D864" s="24"/>
      <c r="E864" s="81" t="s">
        <v>188</v>
      </c>
      <c r="F864" s="60">
        <f t="shared" ref="F864:N864" si="284">IF(((F862="")*AND(F863="")),"",(F862-F863)*2)</f>
        <v>3720.1000000000004</v>
      </c>
      <c r="G864" s="60">
        <f t="shared" si="284"/>
        <v>3861.58</v>
      </c>
      <c r="H864" s="60">
        <f t="shared" si="284"/>
        <v>3893.8199999999997</v>
      </c>
      <c r="I864" s="60">
        <f t="shared" si="284"/>
        <v>3875.74</v>
      </c>
      <c r="J864" s="60">
        <f t="shared" si="284"/>
        <v>3743.079999999999</v>
      </c>
      <c r="K864" s="60">
        <f t="shared" si="284"/>
        <v>3645.16</v>
      </c>
      <c r="L864" s="60">
        <f t="shared" si="284"/>
        <v>3861.2200000000003</v>
      </c>
      <c r="M864" s="60">
        <f t="shared" si="284"/>
        <v>3912.5199999999995</v>
      </c>
      <c r="N864" s="60">
        <f t="shared" si="284"/>
        <v>3845.1999999999989</v>
      </c>
      <c r="O864" s="81"/>
      <c r="P864" s="81"/>
      <c r="Q864" s="82"/>
      <c r="R864" s="82"/>
      <c r="S864" s="178"/>
      <c r="T864" s="28"/>
      <c r="U864" s="185"/>
      <c r="X864" s="157"/>
      <c r="Y864" s="157"/>
      <c r="Z864" s="157"/>
      <c r="AA864" s="157"/>
    </row>
    <row r="865" spans="1:29" x14ac:dyDescent="0.25">
      <c r="A865" s="249">
        <v>43507</v>
      </c>
      <c r="B865" s="257" t="s">
        <v>169</v>
      </c>
      <c r="C865" s="24" t="s">
        <v>171</v>
      </c>
      <c r="D865" s="24" t="s">
        <v>189</v>
      </c>
      <c r="E865" s="81" t="s">
        <v>186</v>
      </c>
      <c r="F865" s="31">
        <v>1294.07</v>
      </c>
      <c r="G865" s="31">
        <v>1295.48</v>
      </c>
      <c r="H865" s="31">
        <v>1295.4100000000001</v>
      </c>
      <c r="I865" s="31">
        <v>1299.94</v>
      </c>
      <c r="J865" s="31">
        <v>1310.5899999999999</v>
      </c>
      <c r="K865" s="31">
        <v>1302.56</v>
      </c>
      <c r="L865" s="31">
        <v>1299.6199999999999</v>
      </c>
      <c r="M865" s="31">
        <v>1295.02</v>
      </c>
      <c r="N865" s="31">
        <v>1307.79</v>
      </c>
      <c r="O865" s="81">
        <f>IF((N866=""),"",MAX(F867:N867))</f>
        <v>2036.9699999999998</v>
      </c>
      <c r="P865" s="81">
        <f>IF(N866="","",MIN(F867:N867))</f>
        <v>1955.79</v>
      </c>
      <c r="Q865" s="82">
        <f>IF((N867=""),"",AVERAGE(F867:N867))</f>
        <v>1995.5899999999997</v>
      </c>
      <c r="R865" s="82">
        <f>IF((N866=""),"",(O865-P865)/(O865+P865)*100)</f>
        <v>2.0331800559011772</v>
      </c>
      <c r="S865" s="178">
        <f>STDEV(F867:N867)</f>
        <v>24.255255100699273</v>
      </c>
      <c r="T865" s="23" t="str">
        <f>IF(N866="","",IF(Q865&gt;1940,IF(R865&lt;8.3,IF(Q865&lt;2180,"Pass","Fail"),"Fail"),"Fail"))</f>
        <v>Pass</v>
      </c>
      <c r="U865" s="188">
        <v>1159</v>
      </c>
      <c r="V865" s="31" t="s">
        <v>223</v>
      </c>
      <c r="X865" s="155">
        <v>2000</v>
      </c>
      <c r="Y865" s="155">
        <v>3000</v>
      </c>
      <c r="Z865" s="155">
        <v>1940</v>
      </c>
      <c r="AA865" s="155">
        <v>2180</v>
      </c>
      <c r="AC865" s="51">
        <v>5.2</v>
      </c>
    </row>
    <row r="866" spans="1:29" ht="16.100000000000001" x14ac:dyDescent="0.35">
      <c r="A866"/>
      <c r="B866" s="44"/>
      <c r="C866" s="24"/>
      <c r="D866" s="24"/>
      <c r="E866" s="81" t="s">
        <v>187</v>
      </c>
      <c r="F866" s="31">
        <v>615.08000000000004</v>
      </c>
      <c r="G866" s="31">
        <v>625.34</v>
      </c>
      <c r="H866" s="31">
        <v>636.08000000000004</v>
      </c>
      <c r="I866" s="31">
        <v>633.91</v>
      </c>
      <c r="J866" s="31">
        <v>658.66</v>
      </c>
      <c r="K866" s="31">
        <v>642.9</v>
      </c>
      <c r="L866" s="31">
        <v>636.79999999999995</v>
      </c>
      <c r="M866" s="31">
        <v>622.03</v>
      </c>
      <c r="N866" s="31">
        <v>642.91</v>
      </c>
      <c r="O866" s="81"/>
      <c r="P866" s="81"/>
      <c r="Q866" s="82"/>
      <c r="R866" s="82"/>
      <c r="S866" s="178"/>
      <c r="T866" s="23"/>
      <c r="U866" s="179"/>
      <c r="X866" s="157"/>
      <c r="Y866" s="157"/>
      <c r="Z866" s="157"/>
      <c r="AA866" s="157"/>
    </row>
    <row r="867" spans="1:29" ht="26.6" customHeight="1" thickBot="1" x14ac:dyDescent="0.4">
      <c r="A867"/>
      <c r="B867" s="44"/>
      <c r="C867" s="24"/>
      <c r="D867" s="24"/>
      <c r="E867" s="81" t="s">
        <v>190</v>
      </c>
      <c r="F867" s="60">
        <f t="shared" ref="F867:N867" si="285">IF(((F865="")*AND(F866="")),"",(F865-F866)*3)</f>
        <v>2036.9699999999998</v>
      </c>
      <c r="G867" s="60">
        <f t="shared" si="285"/>
        <v>2010.42</v>
      </c>
      <c r="H867" s="60">
        <f t="shared" si="285"/>
        <v>1977.9900000000002</v>
      </c>
      <c r="I867" s="60">
        <f t="shared" si="285"/>
        <v>1998.0900000000001</v>
      </c>
      <c r="J867" s="60">
        <f t="shared" si="285"/>
        <v>1955.79</v>
      </c>
      <c r="K867" s="60">
        <f t="shared" si="285"/>
        <v>1978.98</v>
      </c>
      <c r="L867" s="60">
        <f t="shared" si="285"/>
        <v>1988.4599999999998</v>
      </c>
      <c r="M867" s="60">
        <f t="shared" si="285"/>
        <v>2018.97</v>
      </c>
      <c r="N867" s="60">
        <f t="shared" si="285"/>
        <v>1994.6399999999999</v>
      </c>
      <c r="O867" s="81"/>
      <c r="P867" s="81"/>
      <c r="Q867" s="82"/>
      <c r="R867" s="82"/>
      <c r="S867" s="178"/>
      <c r="T867" s="23"/>
      <c r="U867" s="179"/>
      <c r="X867" s="157"/>
      <c r="Y867" s="157"/>
      <c r="Z867" s="157"/>
      <c r="AA867" s="157"/>
    </row>
    <row r="868" spans="1:29" x14ac:dyDescent="0.25">
      <c r="A868" s="249">
        <v>43507</v>
      </c>
      <c r="B868" s="260" t="s">
        <v>185</v>
      </c>
      <c r="C868" s="24" t="s">
        <v>173</v>
      </c>
      <c r="D868" s="24" t="s">
        <v>172</v>
      </c>
      <c r="E868" s="81" t="s">
        <v>186</v>
      </c>
      <c r="F868" s="31">
        <v>27655.01</v>
      </c>
      <c r="G868" s="31">
        <v>27670.59</v>
      </c>
      <c r="H868" s="31">
        <v>27695.48</v>
      </c>
      <c r="I868" s="31">
        <v>27668.33</v>
      </c>
      <c r="J868" s="31">
        <v>27627.08</v>
      </c>
      <c r="K868" s="31">
        <v>27663.439999999999</v>
      </c>
      <c r="L868" s="31">
        <v>27665.19</v>
      </c>
      <c r="M868" s="31">
        <v>27652.080000000002</v>
      </c>
      <c r="N868" s="31">
        <v>27609.51</v>
      </c>
      <c r="O868" s="81">
        <f>IF((N869=""),"",MAX(F870:N870))</f>
        <v>4590.8699999999917</v>
      </c>
      <c r="P868" s="81">
        <f>IF(N869="","",MIN(F870:N870))</f>
        <v>4059.7799999999952</v>
      </c>
      <c r="Q868" s="82">
        <f>IF((N870=""),"",AVERAGE(F870:N870))</f>
        <v>4263.2099999999982</v>
      </c>
      <c r="R868" s="82">
        <f>IF((N869=""),"",(O868-P868)/(O868+P868)*100)</f>
        <v>6.1393074508851626</v>
      </c>
      <c r="S868" s="178">
        <f>STDEV(F870:N870)</f>
        <v>186.75119577930201</v>
      </c>
      <c r="T868" s="23" t="str">
        <f>IF(N869="","",IF(R868&lt;16,IF(Q868&gt;3200,IF(R868,IF(Q868&lt;5240,"Pass","Fail"),"Fail"),"Fail")))</f>
        <v>Pass</v>
      </c>
      <c r="U868" s="188">
        <v>1159</v>
      </c>
      <c r="V868" s="31" t="s">
        <v>223</v>
      </c>
      <c r="X868" s="155">
        <v>4200</v>
      </c>
      <c r="Y868" s="155">
        <v>5500</v>
      </c>
      <c r="Z868" s="155">
        <v>3200</v>
      </c>
      <c r="AA868" s="155">
        <v>5240</v>
      </c>
      <c r="AC868" s="51">
        <v>16</v>
      </c>
    </row>
    <row r="869" spans="1:29" ht="16.100000000000001" x14ac:dyDescent="0.35">
      <c r="A869"/>
      <c r="B869" s="44"/>
      <c r="C869" s="24"/>
      <c r="D869" s="24"/>
      <c r="E869" s="81" t="s">
        <v>187</v>
      </c>
      <c r="F869" s="31">
        <v>26171.79</v>
      </c>
      <c r="G869" s="31">
        <v>26293.61</v>
      </c>
      <c r="H869" s="31">
        <v>26342.22</v>
      </c>
      <c r="I869" s="31">
        <v>26294.81</v>
      </c>
      <c r="J869" s="31">
        <v>26158.02</v>
      </c>
      <c r="K869" s="31">
        <v>26222.13</v>
      </c>
      <c r="L869" s="31">
        <v>26299.71</v>
      </c>
      <c r="M869" s="31">
        <v>26255.57</v>
      </c>
      <c r="N869" s="31">
        <v>26079.22</v>
      </c>
      <c r="O869" s="81"/>
      <c r="P869" s="81"/>
      <c r="Q869" s="82"/>
      <c r="R869" s="82"/>
      <c r="S869" s="178"/>
      <c r="T869" s="23"/>
      <c r="U869" s="179"/>
      <c r="X869" s="157"/>
      <c r="Y869" s="157"/>
      <c r="Z869" s="157"/>
      <c r="AA869" s="157"/>
    </row>
    <row r="870" spans="1:29" ht="22.75" thickBot="1" x14ac:dyDescent="0.4">
      <c r="A870"/>
      <c r="B870" s="83"/>
      <c r="C870" s="84"/>
      <c r="D870" s="84"/>
      <c r="E870" s="85" t="s">
        <v>188</v>
      </c>
      <c r="F870" s="73">
        <f t="shared" ref="F870:N870" si="286">IF(((F868="")*AND(F869="")),"",(F868-F869)*3)</f>
        <v>4449.6599999999926</v>
      </c>
      <c r="G870" s="73">
        <f t="shared" si="286"/>
        <v>4130.9399999999987</v>
      </c>
      <c r="H870" s="73">
        <f t="shared" si="286"/>
        <v>4059.7799999999952</v>
      </c>
      <c r="I870" s="73">
        <f t="shared" si="286"/>
        <v>4120.5600000000013</v>
      </c>
      <c r="J870" s="73">
        <f t="shared" si="286"/>
        <v>4407.1800000000039</v>
      </c>
      <c r="K870" s="73">
        <f t="shared" si="286"/>
        <v>4323.929999999993</v>
      </c>
      <c r="L870" s="73">
        <f t="shared" si="286"/>
        <v>4096.4399999999987</v>
      </c>
      <c r="M870" s="73">
        <f t="shared" si="286"/>
        <v>4189.5300000000061</v>
      </c>
      <c r="N870" s="73">
        <f t="shared" si="286"/>
        <v>4590.8699999999917</v>
      </c>
      <c r="O870" s="85"/>
      <c r="P870" s="85"/>
      <c r="Q870" s="86"/>
      <c r="R870" s="86"/>
      <c r="S870" s="181"/>
      <c r="T870" s="182"/>
      <c r="U870" s="183"/>
      <c r="X870" s="157"/>
      <c r="Y870" s="157"/>
      <c r="Z870" s="157"/>
      <c r="AA870" s="157"/>
    </row>
    <row r="871" spans="1:29" x14ac:dyDescent="0.25">
      <c r="A871" s="249">
        <v>43510</v>
      </c>
      <c r="B871" s="261" t="s">
        <v>174</v>
      </c>
      <c r="C871" s="59" t="s">
        <v>176</v>
      </c>
      <c r="D871" s="59" t="s">
        <v>175</v>
      </c>
      <c r="E871" s="61" t="s">
        <v>186</v>
      </c>
      <c r="F871" s="31">
        <v>3167.62</v>
      </c>
      <c r="G871" s="31">
        <v>3022</v>
      </c>
      <c r="H871" s="31">
        <v>3032.09</v>
      </c>
      <c r="I871" s="31">
        <v>3015.38</v>
      </c>
      <c r="J871" s="31">
        <v>3196.82</v>
      </c>
      <c r="K871" s="31">
        <v>3262.26</v>
      </c>
      <c r="L871" s="31">
        <v>3049.06</v>
      </c>
      <c r="M871" s="31">
        <v>3015.39</v>
      </c>
      <c r="N871" s="31">
        <v>3166.8</v>
      </c>
      <c r="O871" s="79">
        <f>IF((N872=""),"",MAX(F873:N873))</f>
        <v>3810.56</v>
      </c>
      <c r="P871" s="79">
        <f>IF(N872="","",MIN(F873:N873))</f>
        <v>3611.5600000000004</v>
      </c>
      <c r="Q871" s="80">
        <f>IF((N873=""),"",AVERAGE(F873:N873))</f>
        <v>3748.0133333333338</v>
      </c>
      <c r="R871" s="80">
        <f>IF((N872=""),"",(O871-P871)/(O871+P871)*100)</f>
        <v>2.6811746509083596</v>
      </c>
      <c r="S871" s="152">
        <f>STDEV(F873:N873)</f>
        <v>66.797431088328537</v>
      </c>
      <c r="T871" s="176" t="str">
        <f>IF(N872="","",IF(Q871&gt;3650,IF(R871&lt;7,IF(Q871&lt;4450,"Pass","Fail"),"Fail"),"Fail"))</f>
        <v>Pass</v>
      </c>
      <c r="U871" s="188">
        <v>121</v>
      </c>
      <c r="X871" s="155">
        <v>3650</v>
      </c>
      <c r="Y871" s="155">
        <v>4450</v>
      </c>
      <c r="Z871" s="155">
        <v>3700</v>
      </c>
      <c r="AA871" s="155">
        <v>4100</v>
      </c>
      <c r="AB871" s="51">
        <v>7</v>
      </c>
      <c r="AC871" s="51">
        <v>6.5</v>
      </c>
    </row>
    <row r="872" spans="1:29" ht="16.100000000000001" x14ac:dyDescent="0.35">
      <c r="A872"/>
      <c r="B872" s="44"/>
      <c r="C872" s="24"/>
      <c r="D872" s="24"/>
      <c r="E872" s="81" t="s">
        <v>187</v>
      </c>
      <c r="F872" s="31">
        <v>1328.67</v>
      </c>
      <c r="G872" s="31">
        <v>1139.4100000000001</v>
      </c>
      <c r="H872" s="31">
        <v>1130.22</v>
      </c>
      <c r="I872" s="31">
        <v>1125.1199999999999</v>
      </c>
      <c r="J872" s="31">
        <v>1339.13</v>
      </c>
      <c r="K872" s="31">
        <v>1456.48</v>
      </c>
      <c r="L872" s="31">
        <v>1162.08</v>
      </c>
      <c r="M872" s="31">
        <v>1110.1099999999999</v>
      </c>
      <c r="N872" s="31">
        <v>1270.1400000000001</v>
      </c>
      <c r="O872" s="81"/>
      <c r="P872" s="81"/>
      <c r="Q872" s="82"/>
      <c r="R872" s="82"/>
      <c r="S872" s="178"/>
      <c r="T872" s="28"/>
      <c r="U872" s="185"/>
      <c r="X872" s="157"/>
      <c r="Y872" s="157"/>
      <c r="Z872" s="157"/>
      <c r="AA872" s="157"/>
    </row>
    <row r="873" spans="1:29" ht="22.75" thickBot="1" x14ac:dyDescent="0.4">
      <c r="A873"/>
      <c r="B873" s="44"/>
      <c r="C873" s="24"/>
      <c r="D873" s="24"/>
      <c r="E873" s="81" t="s">
        <v>188</v>
      </c>
      <c r="F873" s="60">
        <f t="shared" ref="F873:N873" si="287">IF(((F871="")*AND(F872="")),"",(F871-F872)*2)</f>
        <v>3677.8999999999996</v>
      </c>
      <c r="G873" s="60">
        <f t="shared" si="287"/>
        <v>3765.18</v>
      </c>
      <c r="H873" s="60">
        <f t="shared" si="287"/>
        <v>3803.7400000000002</v>
      </c>
      <c r="I873" s="60">
        <f t="shared" si="287"/>
        <v>3780.5200000000004</v>
      </c>
      <c r="J873" s="60">
        <f t="shared" si="287"/>
        <v>3715.38</v>
      </c>
      <c r="K873" s="60">
        <f t="shared" si="287"/>
        <v>3611.5600000000004</v>
      </c>
      <c r="L873" s="60">
        <f t="shared" si="287"/>
        <v>3773.96</v>
      </c>
      <c r="M873" s="60">
        <f t="shared" si="287"/>
        <v>3810.56</v>
      </c>
      <c r="N873" s="60">
        <f t="shared" si="287"/>
        <v>3793.32</v>
      </c>
      <c r="O873" s="81"/>
      <c r="P873" s="81"/>
      <c r="Q873" s="82"/>
      <c r="R873" s="82"/>
      <c r="S873" s="178"/>
      <c r="T873" s="28"/>
      <c r="U873" s="185"/>
      <c r="X873" s="157"/>
      <c r="Y873" s="157"/>
      <c r="Z873" s="157"/>
      <c r="AA873" s="157"/>
    </row>
    <row r="874" spans="1:29" x14ac:dyDescent="0.25">
      <c r="A874" s="249">
        <v>43510</v>
      </c>
      <c r="B874" s="257" t="s">
        <v>169</v>
      </c>
      <c r="C874" s="24" t="s">
        <v>171</v>
      </c>
      <c r="D874" s="24" t="s">
        <v>189</v>
      </c>
      <c r="E874" s="81" t="s">
        <v>186</v>
      </c>
      <c r="F874" s="31">
        <v>1930.41</v>
      </c>
      <c r="G874" s="31">
        <v>1928.62</v>
      </c>
      <c r="H874" s="31">
        <v>1923.58</v>
      </c>
      <c r="I874" s="31">
        <v>1924.63</v>
      </c>
      <c r="J874" s="31">
        <v>1928.55</v>
      </c>
      <c r="K874" s="31">
        <v>1932.74</v>
      </c>
      <c r="L874" s="31">
        <v>1927.92</v>
      </c>
      <c r="M874" s="31">
        <v>1923.6</v>
      </c>
      <c r="N874" s="31">
        <v>1932.51</v>
      </c>
      <c r="O874" s="81">
        <f>IF((N875=""),"",MAX(F876:N876))</f>
        <v>2003.1000000000001</v>
      </c>
      <c r="P874" s="81">
        <f>IF(N875="","",MIN(F876:N876))</f>
        <v>1938.09</v>
      </c>
      <c r="Q874" s="82">
        <f>IF((N876=""),"",AVERAGE(F876:N876))</f>
        <v>1967.0133333333333</v>
      </c>
      <c r="R874" s="82">
        <f>IF((N875=""),"",(O874-P874)/(O874+P874)*100)</f>
        <v>1.6495018002177064</v>
      </c>
      <c r="S874" s="178">
        <f>STDEV(F876:N876)</f>
        <v>18.466312571815735</v>
      </c>
      <c r="T874" s="23" t="str">
        <f>IF(N875="","",IF(Q874&gt;1940,IF(R874&lt;8.3,IF(Q874&lt;2180,"Pass","Fail"),"Fail"),"Fail"))</f>
        <v>Pass</v>
      </c>
      <c r="U874" s="188">
        <v>121</v>
      </c>
      <c r="X874" s="155">
        <v>2000</v>
      </c>
      <c r="Y874" s="155">
        <v>3000</v>
      </c>
      <c r="Z874" s="155">
        <v>1940</v>
      </c>
      <c r="AA874" s="155">
        <v>2180</v>
      </c>
      <c r="AC874" s="51">
        <v>5.2</v>
      </c>
    </row>
    <row r="875" spans="1:29" ht="16.100000000000001" x14ac:dyDescent="0.35">
      <c r="A875"/>
      <c r="B875" s="44"/>
      <c r="C875" s="24"/>
      <c r="D875" s="24"/>
      <c r="E875" s="81" t="s">
        <v>187</v>
      </c>
      <c r="F875" s="31">
        <v>1262.71</v>
      </c>
      <c r="G875" s="31">
        <v>1269.8599999999999</v>
      </c>
      <c r="H875" s="31">
        <v>1270.83</v>
      </c>
      <c r="I875" s="31">
        <v>1274.6099999999999</v>
      </c>
      <c r="J875" s="31">
        <v>1282.52</v>
      </c>
      <c r="K875" s="31">
        <v>1273.8499999999999</v>
      </c>
      <c r="L875" s="31">
        <v>1274.1300000000001</v>
      </c>
      <c r="M875" s="31">
        <v>1267.1400000000001</v>
      </c>
      <c r="N875" s="31">
        <v>1275.8699999999999</v>
      </c>
      <c r="O875" s="81"/>
      <c r="P875" s="81"/>
      <c r="Q875" s="82"/>
      <c r="R875" s="82"/>
      <c r="S875" s="178"/>
      <c r="T875" s="23"/>
      <c r="U875" s="179"/>
      <c r="X875" s="157"/>
      <c r="Y875" s="157"/>
      <c r="Z875" s="157"/>
      <c r="AA875" s="157"/>
    </row>
    <row r="876" spans="1:29" ht="25.5" customHeight="1" thickBot="1" x14ac:dyDescent="0.4">
      <c r="A876"/>
      <c r="B876" s="44"/>
      <c r="C876" s="24"/>
      <c r="D876" s="24"/>
      <c r="E876" s="81" t="s">
        <v>190</v>
      </c>
      <c r="F876" s="60">
        <f t="shared" ref="F876:N876" si="288">IF(((F874="")*AND(F875="")),"",(F874-F875)*3)</f>
        <v>2003.1000000000001</v>
      </c>
      <c r="G876" s="60">
        <f t="shared" si="288"/>
        <v>1976.28</v>
      </c>
      <c r="H876" s="60">
        <f t="shared" si="288"/>
        <v>1958.25</v>
      </c>
      <c r="I876" s="60">
        <f t="shared" si="288"/>
        <v>1950.0600000000006</v>
      </c>
      <c r="J876" s="60">
        <f t="shared" si="288"/>
        <v>1938.09</v>
      </c>
      <c r="K876" s="60">
        <f t="shared" si="288"/>
        <v>1976.6700000000003</v>
      </c>
      <c r="L876" s="60">
        <f t="shared" si="288"/>
        <v>1961.37</v>
      </c>
      <c r="M876" s="60">
        <f t="shared" si="288"/>
        <v>1969.3799999999994</v>
      </c>
      <c r="N876" s="60">
        <f t="shared" si="288"/>
        <v>1969.9200000000003</v>
      </c>
      <c r="O876" s="81"/>
      <c r="P876" s="81"/>
      <c r="Q876" s="82"/>
      <c r="R876" s="82"/>
      <c r="S876" s="178"/>
      <c r="T876" s="23"/>
      <c r="U876" s="179"/>
      <c r="X876" s="157"/>
      <c r="Y876" s="157"/>
      <c r="Z876" s="157"/>
      <c r="AA876" s="157"/>
    </row>
    <row r="877" spans="1:29" x14ac:dyDescent="0.25">
      <c r="A877" s="249">
        <v>43510</v>
      </c>
      <c r="B877" s="260" t="s">
        <v>185</v>
      </c>
      <c r="C877" s="24" t="s">
        <v>173</v>
      </c>
      <c r="D877" s="24" t="s">
        <v>172</v>
      </c>
      <c r="E877" s="81" t="s">
        <v>186</v>
      </c>
      <c r="F877" s="31">
        <v>26171.79</v>
      </c>
      <c r="G877" s="31">
        <v>26293.61</v>
      </c>
      <c r="H877" s="31">
        <v>26342.22</v>
      </c>
      <c r="I877" s="31">
        <v>26294.81</v>
      </c>
      <c r="J877" s="31">
        <v>26158.02</v>
      </c>
      <c r="K877" s="31">
        <v>26222.13</v>
      </c>
      <c r="L877" s="31">
        <v>26299.71</v>
      </c>
      <c r="M877" s="31">
        <v>26255.57</v>
      </c>
      <c r="N877" s="31">
        <v>26079.22</v>
      </c>
      <c r="O877" s="81">
        <f>IF((N878=""),"",MAX(F879:N879))</f>
        <v>4543.7400000000052</v>
      </c>
      <c r="P877" s="81">
        <f>IF(N878="","",MIN(F879:N879))</f>
        <v>4064.7000000000044</v>
      </c>
      <c r="Q877" s="82">
        <f>IF((N879=""),"",AVERAGE(F879:N879))</f>
        <v>4279.5766666666686</v>
      </c>
      <c r="R877" s="82">
        <f>IF((N878=""),"",(O877-P877)/(O877+P877)*100)</f>
        <v>5.5647713174512496</v>
      </c>
      <c r="S877" s="178">
        <f>STDEV(F879:N879)</f>
        <v>196.7513349382919</v>
      </c>
      <c r="T877" s="23" t="str">
        <f>IF(N878="","",IF(R877&lt;16,IF(Q877&gt;3200,IF(R877,IF(Q877&lt;5240,"Pass","Fail"),"Fail"),"Fail")))</f>
        <v>Pass</v>
      </c>
      <c r="U877" s="188">
        <v>121</v>
      </c>
      <c r="X877" s="155">
        <v>4200</v>
      </c>
      <c r="Y877" s="155">
        <v>5500</v>
      </c>
      <c r="Z877" s="155">
        <v>3200</v>
      </c>
      <c r="AA877" s="155">
        <v>5240</v>
      </c>
      <c r="AC877" s="51">
        <v>16</v>
      </c>
    </row>
    <row r="878" spans="1:29" ht="16.100000000000001" x14ac:dyDescent="0.35">
      <c r="A878"/>
      <c r="B878" s="44"/>
      <c r="C878" s="24"/>
      <c r="D878" s="24"/>
      <c r="E878" s="81" t="s">
        <v>187</v>
      </c>
      <c r="F878" s="31">
        <v>24666.240000000002</v>
      </c>
      <c r="G878" s="31">
        <v>24914.84</v>
      </c>
      <c r="H878" s="31">
        <v>24987.32</v>
      </c>
      <c r="I878" s="31">
        <v>24920.09</v>
      </c>
      <c r="J878" s="31">
        <v>24668.29</v>
      </c>
      <c r="K878" s="31">
        <v>24756.67</v>
      </c>
      <c r="L878" s="31">
        <v>24921.48</v>
      </c>
      <c r="M878" s="31">
        <v>24878.78</v>
      </c>
      <c r="N878" s="31">
        <v>24564.639999999999</v>
      </c>
      <c r="O878" s="81"/>
      <c r="P878" s="81"/>
      <c r="Q878" s="82"/>
      <c r="R878" s="82"/>
      <c r="S878" s="178"/>
      <c r="T878" s="23"/>
      <c r="U878" s="179"/>
      <c r="X878" s="157"/>
      <c r="Y878" s="157"/>
      <c r="Z878" s="157"/>
      <c r="AA878" s="157"/>
    </row>
    <row r="879" spans="1:29" ht="22.75" thickBot="1" x14ac:dyDescent="0.4">
      <c r="A879"/>
      <c r="B879" s="83"/>
      <c r="C879" s="84"/>
      <c r="D879" s="84"/>
      <c r="E879" s="85" t="s">
        <v>188</v>
      </c>
      <c r="F879" s="73">
        <f t="shared" ref="F879:N879" si="289">IF(((F877="")*AND(F878="")),"",(F877-F878)*3)</f>
        <v>4516.6499999999978</v>
      </c>
      <c r="G879" s="73">
        <f t="shared" si="289"/>
        <v>4136.3100000000013</v>
      </c>
      <c r="H879" s="73">
        <f t="shared" si="289"/>
        <v>4064.7000000000044</v>
      </c>
      <c r="I879" s="73">
        <f t="shared" si="289"/>
        <v>4124.1600000000035</v>
      </c>
      <c r="J879" s="73">
        <f t="shared" si="289"/>
        <v>4469.1899999999987</v>
      </c>
      <c r="K879" s="73">
        <f t="shared" si="289"/>
        <v>4396.3800000000083</v>
      </c>
      <c r="L879" s="73">
        <f t="shared" si="289"/>
        <v>4134.6899999999987</v>
      </c>
      <c r="M879" s="73">
        <f t="shared" si="289"/>
        <v>4130.3700000000026</v>
      </c>
      <c r="N879" s="73">
        <f t="shared" si="289"/>
        <v>4543.7400000000052</v>
      </c>
      <c r="O879" s="85"/>
      <c r="P879" s="85"/>
      <c r="Q879" s="86"/>
      <c r="R879" s="86"/>
      <c r="S879" s="181"/>
      <c r="T879" s="182"/>
      <c r="U879" s="183"/>
      <c r="X879" s="157"/>
      <c r="Y879" s="157"/>
      <c r="Z879" s="157"/>
      <c r="AA879" s="157"/>
    </row>
    <row r="880" spans="1:29" x14ac:dyDescent="0.25">
      <c r="A880" s="249">
        <v>43514</v>
      </c>
      <c r="B880" s="261" t="s">
        <v>174</v>
      </c>
      <c r="C880" s="59" t="s">
        <v>176</v>
      </c>
      <c r="D880" s="59" t="s">
        <v>175</v>
      </c>
      <c r="E880" s="61" t="s">
        <v>186</v>
      </c>
      <c r="F880" s="31">
        <v>6831.48</v>
      </c>
      <c r="G880" s="31">
        <v>6810.46</v>
      </c>
      <c r="H880" s="31">
        <v>6822.97</v>
      </c>
      <c r="I880" s="31">
        <v>6777.55</v>
      </c>
      <c r="J880" s="31">
        <v>6717.69</v>
      </c>
      <c r="K880" s="31">
        <v>6773.31</v>
      </c>
      <c r="L880" s="31">
        <v>6797.6</v>
      </c>
      <c r="M880" s="31">
        <v>6844.34</v>
      </c>
      <c r="N880" s="31">
        <v>6871.12</v>
      </c>
      <c r="O880" s="79">
        <f>IF((N881=""),"",MAX(F882:N882))</f>
        <v>3890.2800000000007</v>
      </c>
      <c r="P880" s="79">
        <f>IF(N881="","",MIN(F882:N882))</f>
        <v>3617.3000000000011</v>
      </c>
      <c r="Q880" s="80">
        <f>IF((N882=""),"",AVERAGE(F882:N882))</f>
        <v>3792.1311111111113</v>
      </c>
      <c r="R880" s="80">
        <f>IF((N881=""),"",(O880-P880)/(O880+P880)*100)</f>
        <v>3.6360584902192121</v>
      </c>
      <c r="S880" s="152">
        <f>STDEV(F882:N882)</f>
        <v>102.28929959243575</v>
      </c>
      <c r="T880" s="176" t="str">
        <f>IF(N881="","",IF(Q880&gt;3650,IF(R880&lt;7,IF(Q880&lt;4450,"Pass","Fail"),"Fail"),"Fail"))</f>
        <v>Pass</v>
      </c>
      <c r="U880" s="188">
        <v>1428</v>
      </c>
      <c r="X880" s="155">
        <v>3650</v>
      </c>
      <c r="Y880" s="155">
        <v>4450</v>
      </c>
      <c r="Z880" s="155">
        <v>3700</v>
      </c>
      <c r="AA880" s="155">
        <v>4100</v>
      </c>
      <c r="AB880" s="51">
        <v>7</v>
      </c>
      <c r="AC880" s="51">
        <v>6.5</v>
      </c>
    </row>
    <row r="881" spans="1:29" ht="16.100000000000001" x14ac:dyDescent="0.35">
      <c r="A881"/>
      <c r="B881" s="44"/>
      <c r="C881" s="24"/>
      <c r="D881" s="24"/>
      <c r="E881" s="81" t="s">
        <v>187</v>
      </c>
      <c r="F881" s="31">
        <v>4979.1099999999997</v>
      </c>
      <c r="G881" s="31">
        <v>4880.13</v>
      </c>
      <c r="H881" s="31">
        <v>4879.97</v>
      </c>
      <c r="I881" s="31">
        <v>4851.43</v>
      </c>
      <c r="J881" s="31">
        <v>4882.7299999999996</v>
      </c>
      <c r="K881" s="31">
        <v>4964.66</v>
      </c>
      <c r="L881" s="31">
        <v>4870.68</v>
      </c>
      <c r="M881" s="31">
        <v>4899.2</v>
      </c>
      <c r="N881" s="31">
        <v>4974.0200000000004</v>
      </c>
      <c r="O881" s="81"/>
      <c r="P881" s="81"/>
      <c r="Q881" s="82"/>
      <c r="R881" s="82"/>
      <c r="S881" s="178"/>
      <c r="T881" s="28"/>
      <c r="U881" s="185"/>
      <c r="X881" s="157"/>
      <c r="Y881" s="157"/>
      <c r="Z881" s="157"/>
      <c r="AA881" s="157"/>
    </row>
    <row r="882" spans="1:29" ht="22.75" thickBot="1" x14ac:dyDescent="0.4">
      <c r="A882"/>
      <c r="B882" s="44"/>
      <c r="C882" s="24"/>
      <c r="D882" s="24"/>
      <c r="E882" s="81" t="s">
        <v>188</v>
      </c>
      <c r="F882" s="60">
        <f t="shared" ref="F882:N882" si="290">IF(((F880="")*AND(F881="")),"",(F880-F881)*2)</f>
        <v>3704.74</v>
      </c>
      <c r="G882" s="60">
        <f t="shared" si="290"/>
        <v>3860.66</v>
      </c>
      <c r="H882" s="60">
        <f t="shared" si="290"/>
        <v>3886</v>
      </c>
      <c r="I882" s="60">
        <f t="shared" si="290"/>
        <v>3852.24</v>
      </c>
      <c r="J882" s="60">
        <f t="shared" si="290"/>
        <v>3669.92</v>
      </c>
      <c r="K882" s="60">
        <f t="shared" si="290"/>
        <v>3617.3000000000011</v>
      </c>
      <c r="L882" s="60">
        <f t="shared" si="290"/>
        <v>3853.84</v>
      </c>
      <c r="M882" s="60">
        <f t="shared" si="290"/>
        <v>3890.2800000000007</v>
      </c>
      <c r="N882" s="60">
        <f t="shared" si="290"/>
        <v>3794.1999999999989</v>
      </c>
      <c r="O882" s="81"/>
      <c r="P882" s="81"/>
      <c r="Q882" s="82"/>
      <c r="R882" s="82"/>
      <c r="S882" s="178"/>
      <c r="T882" s="28"/>
      <c r="U882" s="185"/>
      <c r="X882" s="157"/>
      <c r="Y882" s="157"/>
      <c r="Z882" s="157"/>
      <c r="AA882" s="157"/>
    </row>
    <row r="883" spans="1:29" x14ac:dyDescent="0.25">
      <c r="A883" s="249">
        <v>43514</v>
      </c>
      <c r="B883" s="257" t="s">
        <v>169</v>
      </c>
      <c r="C883" s="24" t="s">
        <v>171</v>
      </c>
      <c r="D883" s="24" t="s">
        <v>189</v>
      </c>
      <c r="E883" s="81" t="s">
        <v>186</v>
      </c>
      <c r="F883" s="31">
        <v>1933.9</v>
      </c>
      <c r="G883" s="31">
        <v>1928.16</v>
      </c>
      <c r="H883" s="31">
        <v>1923.04</v>
      </c>
      <c r="I883" s="31">
        <v>1931.92</v>
      </c>
      <c r="J883" s="31">
        <v>1937.51</v>
      </c>
      <c r="K883" s="31">
        <v>1934.59</v>
      </c>
      <c r="L883" s="31">
        <v>1930.76</v>
      </c>
      <c r="M883" s="31">
        <v>1929.56</v>
      </c>
      <c r="N883" s="31">
        <v>1937.25</v>
      </c>
      <c r="O883" s="81">
        <f>IF((N884=""),"",MAX(F885:N885))</f>
        <v>1987.7100000000005</v>
      </c>
      <c r="P883" s="81">
        <f>IF(N884="","",MIN(F885:N885))</f>
        <v>1943.5499999999997</v>
      </c>
      <c r="Q883" s="82">
        <f>IF((N885=""),"",AVERAGE(F885:N885))</f>
        <v>1968.3000000000002</v>
      </c>
      <c r="R883" s="82">
        <f>IF((N884=""),"",(O883-P883)/(O883+P883)*100)</f>
        <v>1.1233039788770205</v>
      </c>
      <c r="S883" s="178">
        <f>STDEV(F885:N885)</f>
        <v>13.449572483912071</v>
      </c>
      <c r="T883" s="23" t="str">
        <f>IF(N884="","",IF(Q883&gt;1940,IF(R883&lt;8.3,IF(Q883&lt;2180,"Pass","Fail"),"Fail"),"Fail"))</f>
        <v>Pass</v>
      </c>
      <c r="U883" s="188">
        <v>1428</v>
      </c>
      <c r="X883" s="155">
        <v>2000</v>
      </c>
      <c r="Y883" s="155">
        <v>3000</v>
      </c>
      <c r="Z883" s="155">
        <v>1940</v>
      </c>
      <c r="AA883" s="155">
        <v>2180</v>
      </c>
      <c r="AC883" s="51">
        <v>5.2</v>
      </c>
    </row>
    <row r="884" spans="1:29" ht="16.100000000000001" x14ac:dyDescent="0.35">
      <c r="A884"/>
      <c r="B884" s="44"/>
      <c r="C884" s="24"/>
      <c r="D884" s="24"/>
      <c r="E884" s="81" t="s">
        <v>187</v>
      </c>
      <c r="F884" s="31">
        <v>1271.33</v>
      </c>
      <c r="G884" s="31">
        <v>1269.24</v>
      </c>
      <c r="H884" s="31">
        <v>1267.4000000000001</v>
      </c>
      <c r="I884" s="31">
        <v>1276.44</v>
      </c>
      <c r="J884" s="31">
        <v>1289.6600000000001</v>
      </c>
      <c r="K884" s="31">
        <v>1278.96</v>
      </c>
      <c r="L884" s="31">
        <v>1273.58</v>
      </c>
      <c r="M884" s="31">
        <v>1269.23</v>
      </c>
      <c r="N884" s="31">
        <v>1285.95</v>
      </c>
      <c r="O884" s="81"/>
      <c r="P884" s="81"/>
      <c r="Q884" s="82"/>
      <c r="R884" s="82"/>
      <c r="S884" s="178"/>
      <c r="T884" s="23"/>
      <c r="U884" s="179"/>
      <c r="X884" s="157"/>
      <c r="Y884" s="157"/>
      <c r="Z884" s="157"/>
      <c r="AA884" s="157"/>
    </row>
    <row r="885" spans="1:29" ht="26.6" customHeight="1" thickBot="1" x14ac:dyDescent="0.4">
      <c r="A885"/>
      <c r="B885" s="44"/>
      <c r="C885" s="24"/>
      <c r="D885" s="24"/>
      <c r="E885" s="81" t="s">
        <v>190</v>
      </c>
      <c r="F885" s="60">
        <f t="shared" ref="F885:N885" si="291">IF(((F883="")*AND(F884="")),"",(F883-F884)*3)</f>
        <v>1987.7100000000005</v>
      </c>
      <c r="G885" s="60">
        <f t="shared" si="291"/>
        <v>1976.7600000000002</v>
      </c>
      <c r="H885" s="60">
        <f t="shared" si="291"/>
        <v>1966.9199999999996</v>
      </c>
      <c r="I885" s="60">
        <f t="shared" si="291"/>
        <v>1966.44</v>
      </c>
      <c r="J885" s="60">
        <f t="shared" si="291"/>
        <v>1943.5499999999997</v>
      </c>
      <c r="K885" s="60">
        <f t="shared" si="291"/>
        <v>1966.8899999999996</v>
      </c>
      <c r="L885" s="60">
        <f t="shared" si="291"/>
        <v>1971.5400000000002</v>
      </c>
      <c r="M885" s="60">
        <f t="shared" si="291"/>
        <v>1980.9899999999998</v>
      </c>
      <c r="N885" s="60">
        <f t="shared" si="291"/>
        <v>1953.8999999999999</v>
      </c>
      <c r="O885" s="81"/>
      <c r="P885" s="81"/>
      <c r="Q885" s="82"/>
      <c r="R885" s="82"/>
      <c r="S885" s="178"/>
      <c r="T885" s="23"/>
      <c r="U885" s="179"/>
      <c r="X885" s="157"/>
      <c r="Y885" s="157"/>
      <c r="Z885" s="157"/>
      <c r="AA885" s="157"/>
    </row>
    <row r="886" spans="1:29" x14ac:dyDescent="0.25">
      <c r="A886" s="249">
        <v>43514</v>
      </c>
      <c r="B886" s="260" t="s">
        <v>185</v>
      </c>
      <c r="C886" s="24" t="s">
        <v>173</v>
      </c>
      <c r="D886" s="24" t="s">
        <v>172</v>
      </c>
      <c r="E886" s="81" t="s">
        <v>186</v>
      </c>
      <c r="F886" s="31">
        <v>29126.880000000001</v>
      </c>
      <c r="G886" s="31">
        <v>29058.02</v>
      </c>
      <c r="H886" s="31">
        <v>29088.14</v>
      </c>
      <c r="I886" s="31">
        <v>29064.51</v>
      </c>
      <c r="J886" s="31">
        <v>29159.599999999999</v>
      </c>
      <c r="K886" s="31">
        <v>29102.89</v>
      </c>
      <c r="L886" s="31">
        <v>29071.16</v>
      </c>
      <c r="M886" s="31">
        <v>29076.28</v>
      </c>
      <c r="N886" s="31">
        <v>29122.34</v>
      </c>
      <c r="O886" s="81">
        <f>IF((N887=""),"",MAX(F888:N888))</f>
        <v>4428.6899999999987</v>
      </c>
      <c r="P886" s="81">
        <f>IF(N887="","",MIN(F888:N888))</f>
        <v>3937.5300000000061</v>
      </c>
      <c r="Q886" s="82">
        <f>IF((N888=""),"",AVERAGE(F888:N888))</f>
        <v>4148.126666666667</v>
      </c>
      <c r="R886" s="82">
        <f>IF((N887=""),"",(O886-P886)/(O886+P886)*100)</f>
        <v>5.8707516656266785</v>
      </c>
      <c r="S886" s="178">
        <f>STDEV(F888:N888)</f>
        <v>187.93563179982473</v>
      </c>
      <c r="T886" s="23" t="str">
        <f>IF(N887="","",IF(R886&lt;16,IF(Q886&gt;3200,IF(R886,IF(Q886&lt;5240,"Pass","Fail"),"Fail"),"Fail")))</f>
        <v>Pass</v>
      </c>
      <c r="U886" s="188">
        <v>1428</v>
      </c>
      <c r="X886" s="155">
        <v>4200</v>
      </c>
      <c r="Y886" s="155">
        <v>5500</v>
      </c>
      <c r="Z886" s="155">
        <v>3200</v>
      </c>
      <c r="AA886" s="155">
        <v>5240</v>
      </c>
      <c r="AC886" s="51">
        <v>16</v>
      </c>
    </row>
    <row r="887" spans="1:29" ht="16.100000000000001" x14ac:dyDescent="0.35">
      <c r="A887"/>
      <c r="B887" s="44"/>
      <c r="C887" s="24"/>
      <c r="D887" s="24"/>
      <c r="E887" s="81" t="s">
        <v>187</v>
      </c>
      <c r="F887" s="31">
        <v>27709.08</v>
      </c>
      <c r="G887" s="31">
        <v>27745.51</v>
      </c>
      <c r="H887" s="31">
        <v>27766.5</v>
      </c>
      <c r="I887" s="31">
        <v>27735.1</v>
      </c>
      <c r="J887" s="31">
        <v>27692.880000000001</v>
      </c>
      <c r="K887" s="31">
        <v>27689.78</v>
      </c>
      <c r="L887" s="31">
        <v>27728.38</v>
      </c>
      <c r="M887" s="31">
        <v>27712.1</v>
      </c>
      <c r="N887" s="31">
        <v>27646.11</v>
      </c>
      <c r="O887" s="81"/>
      <c r="P887" s="81"/>
      <c r="Q887" s="82"/>
      <c r="R887" s="82"/>
      <c r="S887" s="178"/>
      <c r="T887" s="23"/>
      <c r="U887" s="179"/>
      <c r="X887" s="157"/>
      <c r="Y887" s="157"/>
      <c r="Z887" s="157"/>
      <c r="AA887" s="157"/>
    </row>
    <row r="888" spans="1:29" ht="22.75" thickBot="1" x14ac:dyDescent="0.4">
      <c r="A888"/>
      <c r="B888" s="83"/>
      <c r="C888" s="84"/>
      <c r="D888" s="84"/>
      <c r="E888" s="85" t="s">
        <v>188</v>
      </c>
      <c r="F888" s="73">
        <f t="shared" ref="F888:N888" si="292">IF(((F886="")*AND(F887="")),"",(F886-F887)*3)</f>
        <v>4253.3999999999978</v>
      </c>
      <c r="G888" s="73">
        <f t="shared" si="292"/>
        <v>3937.5300000000061</v>
      </c>
      <c r="H888" s="73">
        <f t="shared" si="292"/>
        <v>3964.9199999999983</v>
      </c>
      <c r="I888" s="73">
        <f t="shared" si="292"/>
        <v>3988.2299999999996</v>
      </c>
      <c r="J888" s="73">
        <f t="shared" si="292"/>
        <v>4400.1599999999926</v>
      </c>
      <c r="K888" s="73">
        <f t="shared" si="292"/>
        <v>4239.3300000000017</v>
      </c>
      <c r="L888" s="73">
        <f t="shared" si="292"/>
        <v>4028.3399999999965</v>
      </c>
      <c r="M888" s="73">
        <f t="shared" si="292"/>
        <v>4092.5400000000009</v>
      </c>
      <c r="N888" s="73">
        <f t="shared" si="292"/>
        <v>4428.6899999999987</v>
      </c>
      <c r="O888" s="85"/>
      <c r="P888" s="85"/>
      <c r="Q888" s="86"/>
      <c r="R888" s="86"/>
      <c r="S888" s="181"/>
      <c r="T888" s="182"/>
      <c r="U888" s="183"/>
      <c r="X888" s="157"/>
      <c r="Y888" s="157"/>
      <c r="Z888" s="157"/>
      <c r="AA888" s="157"/>
    </row>
    <row r="889" spans="1:29" x14ac:dyDescent="0.25">
      <c r="A889" s="249">
        <v>43517</v>
      </c>
      <c r="B889" s="261" t="s">
        <v>174</v>
      </c>
      <c r="C889" s="59" t="s">
        <v>176</v>
      </c>
      <c r="D889" s="59" t="s">
        <v>175</v>
      </c>
      <c r="E889" s="61" t="s">
        <v>186</v>
      </c>
      <c r="F889" s="31">
        <v>4984.8599999999997</v>
      </c>
      <c r="G889" s="31">
        <v>4889.7</v>
      </c>
      <c r="H889" s="31">
        <v>4889.24</v>
      </c>
      <c r="I889" s="31">
        <v>4861.38</v>
      </c>
      <c r="J889" s="31">
        <v>4890.8500000000004</v>
      </c>
      <c r="K889" s="31">
        <v>4970.7299999999996</v>
      </c>
      <c r="L889" s="31">
        <v>4880.1400000000003</v>
      </c>
      <c r="M889" s="31">
        <v>4907.9399999999996</v>
      </c>
      <c r="N889" s="31">
        <v>4981.17</v>
      </c>
      <c r="O889" s="79">
        <f>IF((N890=""),"",MAX(F891:N891))</f>
        <v>3918.7599999999993</v>
      </c>
      <c r="P889" s="79">
        <f>IF(N890="","",MIN(F891:N891))</f>
        <v>3642.6999999999989</v>
      </c>
      <c r="Q889" s="80">
        <f>IF((N891=""),"",AVERAGE(F891:N891))</f>
        <v>3823.2688888888888</v>
      </c>
      <c r="R889" s="80">
        <f>IF((N890=""),"",(O889-P889)/(O889+P889)*100)</f>
        <v>3.6508822370283052</v>
      </c>
      <c r="S889" s="152">
        <f>STDEV(F891:N891)</f>
        <v>102.82517693206826</v>
      </c>
      <c r="T889" s="176" t="str">
        <f>IF(N890="","",IF(Q889&gt;3650,IF(R889&lt;7,IF(Q889&lt;4450,"Pass","Fail"),"Fail"),"Fail"))</f>
        <v>Pass</v>
      </c>
      <c r="U889" s="188">
        <v>1428</v>
      </c>
      <c r="X889" s="155">
        <v>3650</v>
      </c>
      <c r="Y889" s="155">
        <v>4450</v>
      </c>
      <c r="Z889" s="155">
        <v>3700</v>
      </c>
      <c r="AA889" s="155">
        <v>4100</v>
      </c>
      <c r="AB889" s="51">
        <v>7</v>
      </c>
      <c r="AC889" s="51">
        <v>6.5</v>
      </c>
    </row>
    <row r="890" spans="1:29" ht="16.100000000000001" x14ac:dyDescent="0.35">
      <c r="A890"/>
      <c r="B890" s="44"/>
      <c r="C890" s="24"/>
      <c r="D890" s="24"/>
      <c r="E890" s="81" t="s">
        <v>187</v>
      </c>
      <c r="F890" s="31">
        <v>3121.23</v>
      </c>
      <c r="G890" s="31">
        <v>2940.37</v>
      </c>
      <c r="H890" s="31">
        <v>2932.23</v>
      </c>
      <c r="I890" s="31">
        <v>2915.83</v>
      </c>
      <c r="J890" s="31">
        <v>3032.02</v>
      </c>
      <c r="K890" s="31">
        <v>3149.38</v>
      </c>
      <c r="L890" s="31">
        <v>2937.37</v>
      </c>
      <c r="M890" s="31">
        <v>2948.56</v>
      </c>
      <c r="N890" s="31">
        <v>3074.31</v>
      </c>
      <c r="O890" s="81"/>
      <c r="P890" s="81"/>
      <c r="Q890" s="82"/>
      <c r="R890" s="82"/>
      <c r="S890" s="178"/>
      <c r="T890" s="28"/>
      <c r="U890" s="185"/>
      <c r="X890" s="157"/>
      <c r="Y890" s="157"/>
      <c r="Z890" s="157"/>
      <c r="AA890" s="157"/>
    </row>
    <row r="891" spans="1:29" ht="22.75" thickBot="1" x14ac:dyDescent="0.4">
      <c r="A891"/>
      <c r="B891" s="44"/>
      <c r="C891" s="24"/>
      <c r="D891" s="24"/>
      <c r="E891" s="81" t="s">
        <v>188</v>
      </c>
      <c r="F891" s="60">
        <f t="shared" ref="F891:N891" si="293">IF(((F889="")*AND(F890="")),"",(F889-F890)*2)</f>
        <v>3727.2599999999993</v>
      </c>
      <c r="G891" s="60">
        <f t="shared" si="293"/>
        <v>3898.66</v>
      </c>
      <c r="H891" s="60">
        <f t="shared" si="293"/>
        <v>3914.0199999999995</v>
      </c>
      <c r="I891" s="60">
        <f t="shared" si="293"/>
        <v>3891.1000000000004</v>
      </c>
      <c r="J891" s="60">
        <f t="shared" si="293"/>
        <v>3717.6600000000008</v>
      </c>
      <c r="K891" s="60">
        <f t="shared" si="293"/>
        <v>3642.6999999999989</v>
      </c>
      <c r="L891" s="60">
        <f t="shared" si="293"/>
        <v>3885.5400000000009</v>
      </c>
      <c r="M891" s="60">
        <f t="shared" si="293"/>
        <v>3918.7599999999993</v>
      </c>
      <c r="N891" s="60">
        <f t="shared" si="293"/>
        <v>3813.7200000000003</v>
      </c>
      <c r="O891" s="81"/>
      <c r="P891" s="81"/>
      <c r="Q891" s="82"/>
      <c r="R891" s="82"/>
      <c r="S891" s="178"/>
      <c r="T891" s="28"/>
      <c r="U891" s="185"/>
      <c r="X891" s="157"/>
      <c r="Y891" s="157"/>
      <c r="Z891" s="157"/>
      <c r="AA891" s="157"/>
    </row>
    <row r="892" spans="1:29" x14ac:dyDescent="0.25">
      <c r="A892" s="249">
        <v>43517</v>
      </c>
      <c r="B892" s="257" t="s">
        <v>169</v>
      </c>
      <c r="C892" s="24" t="s">
        <v>171</v>
      </c>
      <c r="D892" s="24" t="s">
        <v>189</v>
      </c>
      <c r="E892" s="81" t="s">
        <v>186</v>
      </c>
      <c r="F892" s="31">
        <v>1273.5999999999999</v>
      </c>
      <c r="G892" s="31">
        <v>1268.7</v>
      </c>
      <c r="H892" s="31">
        <v>1264.7</v>
      </c>
      <c r="I892" s="31">
        <v>1278.45</v>
      </c>
      <c r="J892" s="31">
        <v>1288.94</v>
      </c>
      <c r="K892" s="31">
        <v>1278.6400000000001</v>
      </c>
      <c r="L892" s="31">
        <v>1276.1400000000001</v>
      </c>
      <c r="M892" s="31">
        <v>1269.68</v>
      </c>
      <c r="N892" s="31">
        <v>1288.4000000000001</v>
      </c>
      <c r="O892" s="81">
        <f>IF((N893=""),"",MAX(F894:N894))</f>
        <v>2038.3199999999997</v>
      </c>
      <c r="P892" s="81">
        <f>IF(N893="","",MIN(F894:N894))</f>
        <v>1955.8200000000002</v>
      </c>
      <c r="Q892" s="82">
        <f>IF((N894=""),"",AVERAGE(F894:N894))</f>
        <v>2003.98</v>
      </c>
      <c r="R892" s="82">
        <f>IF((N893=""),"",(O892-P892)/(O892+P892)*100)</f>
        <v>2.0655259955835183</v>
      </c>
      <c r="S892" s="178">
        <f>STDEV(F894:N894)</f>
        <v>22.938482404030022</v>
      </c>
      <c r="T892" s="23" t="str">
        <f>IF(N893="","",IF(Q892&gt;1940,IF(R892&lt;8.3,IF(Q892&lt;2180,"Pass","Fail"),"Fail"),"Fail"))</f>
        <v>Pass</v>
      </c>
      <c r="U892" s="188">
        <v>1428</v>
      </c>
      <c r="X892" s="155">
        <v>2000</v>
      </c>
      <c r="Y892" s="155">
        <v>3000</v>
      </c>
      <c r="Z892" s="155">
        <v>1940</v>
      </c>
      <c r="AA892" s="155">
        <v>2180</v>
      </c>
      <c r="AC892" s="51">
        <v>5.2</v>
      </c>
    </row>
    <row r="893" spans="1:29" ht="16.100000000000001" x14ac:dyDescent="0.35">
      <c r="A893"/>
      <c r="B893" s="44"/>
      <c r="C893" s="24"/>
      <c r="D893" s="24"/>
      <c r="E893" s="81" t="s">
        <v>187</v>
      </c>
      <c r="F893" s="31">
        <v>594.16</v>
      </c>
      <c r="G893" s="31">
        <v>594.58000000000004</v>
      </c>
      <c r="H893" s="31">
        <v>599.42999999999995</v>
      </c>
      <c r="I893" s="31">
        <v>610.59</v>
      </c>
      <c r="J893" s="31">
        <v>637</v>
      </c>
      <c r="K893" s="31">
        <v>610.1</v>
      </c>
      <c r="L893" s="31">
        <v>608.32000000000005</v>
      </c>
      <c r="M893" s="31">
        <v>597.13</v>
      </c>
      <c r="N893" s="31">
        <v>624</v>
      </c>
      <c r="O893" s="81"/>
      <c r="P893" s="81"/>
      <c r="Q893" s="82"/>
      <c r="R893" s="82"/>
      <c r="S893" s="178"/>
      <c r="T893" s="23"/>
      <c r="U893" s="179"/>
      <c r="X893" s="157"/>
      <c r="Y893" s="157"/>
      <c r="Z893" s="157"/>
      <c r="AA893" s="157"/>
    </row>
    <row r="894" spans="1:29" ht="25.5" customHeight="1" thickBot="1" x14ac:dyDescent="0.4">
      <c r="A894"/>
      <c r="B894" s="44"/>
      <c r="C894" s="24"/>
      <c r="D894" s="24"/>
      <c r="E894" s="81" t="s">
        <v>190</v>
      </c>
      <c r="F894" s="60">
        <f t="shared" ref="F894:N894" si="294">IF(((F892="")*AND(F893="")),"",(F892-F893)*3)</f>
        <v>2038.3199999999997</v>
      </c>
      <c r="G894" s="60">
        <f t="shared" si="294"/>
        <v>2022.3600000000001</v>
      </c>
      <c r="H894" s="60">
        <f t="shared" si="294"/>
        <v>1995.8100000000004</v>
      </c>
      <c r="I894" s="60">
        <f t="shared" si="294"/>
        <v>2003.58</v>
      </c>
      <c r="J894" s="60">
        <f t="shared" si="294"/>
        <v>1955.8200000000002</v>
      </c>
      <c r="K894" s="60">
        <f t="shared" si="294"/>
        <v>2005.6200000000003</v>
      </c>
      <c r="L894" s="60">
        <f t="shared" si="294"/>
        <v>2003.46</v>
      </c>
      <c r="M894" s="60">
        <f t="shared" si="294"/>
        <v>2017.65</v>
      </c>
      <c r="N894" s="60">
        <f t="shared" si="294"/>
        <v>1993.2000000000003</v>
      </c>
      <c r="O894" s="81"/>
      <c r="P894" s="81"/>
      <c r="Q894" s="82"/>
      <c r="R894" s="82"/>
      <c r="S894" s="178"/>
      <c r="T894" s="23"/>
      <c r="U894" s="179"/>
      <c r="X894" s="157"/>
      <c r="Y894" s="157"/>
      <c r="Z894" s="157"/>
      <c r="AA894" s="157"/>
    </row>
    <row r="895" spans="1:29" x14ac:dyDescent="0.25">
      <c r="A895" s="249">
        <v>43517</v>
      </c>
      <c r="B895" s="260" t="s">
        <v>185</v>
      </c>
      <c r="C895" s="24" t="s">
        <v>173</v>
      </c>
      <c r="D895" s="24" t="s">
        <v>172</v>
      </c>
      <c r="E895" s="81" t="s">
        <v>186</v>
      </c>
      <c r="F895" s="31">
        <v>27647.17</v>
      </c>
      <c r="G895" s="31">
        <v>27703.62</v>
      </c>
      <c r="H895" s="31">
        <v>27724</v>
      </c>
      <c r="I895" s="31">
        <v>27682.32</v>
      </c>
      <c r="J895" s="31">
        <v>27634.66</v>
      </c>
      <c r="K895" s="31">
        <v>27617.360000000001</v>
      </c>
      <c r="L895" s="31">
        <v>27709.3</v>
      </c>
      <c r="M895" s="31">
        <v>27637.09</v>
      </c>
      <c r="N895" s="31">
        <v>27603.66</v>
      </c>
      <c r="O895" s="81">
        <f>IF((N896=""),"",MAX(F897:N897))</f>
        <v>4525.8599999999969</v>
      </c>
      <c r="P895" s="81">
        <f>IF(N896="","",MIN(F897:N897))</f>
        <v>3950.0699999999961</v>
      </c>
      <c r="Q895" s="82">
        <f>IF((N897=""),"",AVERAGE(F897:N897))</f>
        <v>4200.7499999999982</v>
      </c>
      <c r="R895" s="82">
        <f>IF((N896=""),"",(O895-P895)/(O895+P895)*100)</f>
        <v>6.7932368483458614</v>
      </c>
      <c r="S895" s="178">
        <f>STDEV(F897:N897)</f>
        <v>197.72572594379369</v>
      </c>
      <c r="T895" s="23" t="str">
        <f>IF(N896="","",IF(R895&lt;16,IF(Q895&gt;3200,IF(R895,IF(Q895&lt;5240,"Pass","Fail"),"Fail"),"Fail")))</f>
        <v>Pass</v>
      </c>
      <c r="U895" s="188">
        <v>1428</v>
      </c>
      <c r="X895" s="155">
        <v>4200</v>
      </c>
      <c r="Y895" s="155">
        <v>5500</v>
      </c>
      <c r="Z895" s="155">
        <v>3200</v>
      </c>
      <c r="AA895" s="155">
        <v>5240</v>
      </c>
      <c r="AC895" s="51">
        <v>16</v>
      </c>
    </row>
    <row r="896" spans="1:29" ht="16.100000000000001" x14ac:dyDescent="0.35">
      <c r="A896"/>
      <c r="B896" s="44"/>
      <c r="C896" s="24"/>
      <c r="D896" s="24"/>
      <c r="E896" s="81" t="s">
        <v>187</v>
      </c>
      <c r="F896" s="31">
        <v>26179</v>
      </c>
      <c r="G896" s="31">
        <v>26334.58</v>
      </c>
      <c r="H896" s="31">
        <v>26407.31</v>
      </c>
      <c r="I896" s="31">
        <v>26326.07</v>
      </c>
      <c r="J896" s="31">
        <v>26164.959999999999</v>
      </c>
      <c r="K896" s="31">
        <v>26218.41</v>
      </c>
      <c r="L896" s="31">
        <v>26349.97</v>
      </c>
      <c r="M896" s="31">
        <v>26281.59</v>
      </c>
      <c r="N896" s="31">
        <v>26095.040000000001</v>
      </c>
      <c r="O896" s="81"/>
      <c r="P896" s="81"/>
      <c r="Q896" s="82"/>
      <c r="R896" s="82"/>
      <c r="S896" s="178"/>
      <c r="T896" s="23"/>
      <c r="U896" s="179"/>
      <c r="X896" s="157"/>
      <c r="Y896" s="157"/>
      <c r="Z896" s="157"/>
      <c r="AA896" s="157"/>
    </row>
    <row r="897" spans="1:29" ht="22.75" thickBot="1" x14ac:dyDescent="0.4">
      <c r="A897"/>
      <c r="B897" s="83"/>
      <c r="C897" s="84"/>
      <c r="D897" s="84"/>
      <c r="E897" s="85" t="s">
        <v>188</v>
      </c>
      <c r="F897" s="73">
        <f t="shared" ref="F897:N897" si="295">IF(((F895="")*AND(F896="")),"",(F895-F896)*3)</f>
        <v>4404.5099999999948</v>
      </c>
      <c r="G897" s="73">
        <f t="shared" si="295"/>
        <v>4107.1199999999917</v>
      </c>
      <c r="H897" s="73">
        <f t="shared" si="295"/>
        <v>3950.0699999999961</v>
      </c>
      <c r="I897" s="73">
        <f t="shared" si="295"/>
        <v>4068.75</v>
      </c>
      <c r="J897" s="73">
        <f t="shared" si="295"/>
        <v>4409.1000000000022</v>
      </c>
      <c r="K897" s="73">
        <f t="shared" si="295"/>
        <v>4196.8500000000022</v>
      </c>
      <c r="L897" s="73">
        <f t="shared" si="295"/>
        <v>4077.9899999999943</v>
      </c>
      <c r="M897" s="73">
        <f t="shared" si="295"/>
        <v>4066.5</v>
      </c>
      <c r="N897" s="73">
        <f t="shared" si="295"/>
        <v>4525.8599999999969</v>
      </c>
      <c r="O897" s="85"/>
      <c r="P897" s="85"/>
      <c r="Q897" s="86"/>
      <c r="R897" s="86"/>
      <c r="S897" s="181"/>
      <c r="T897" s="182"/>
      <c r="U897" s="183"/>
      <c r="X897" s="157"/>
      <c r="Y897" s="157"/>
      <c r="Z897" s="157"/>
      <c r="AA897" s="157"/>
    </row>
    <row r="898" spans="1:29" x14ac:dyDescent="0.25">
      <c r="A898" s="249">
        <v>43521</v>
      </c>
      <c r="B898" s="261" t="s">
        <v>174</v>
      </c>
      <c r="C898" s="59" t="s">
        <v>176</v>
      </c>
      <c r="D898" s="59" t="s">
        <v>175</v>
      </c>
      <c r="E898" s="61" t="s">
        <v>186</v>
      </c>
      <c r="F898" s="31">
        <v>3134.87</v>
      </c>
      <c r="G898" s="31">
        <v>2954.5</v>
      </c>
      <c r="H898" s="31">
        <v>2944.49</v>
      </c>
      <c r="I898" s="31">
        <v>2925.52</v>
      </c>
      <c r="J898" s="31">
        <v>3040.59</v>
      </c>
      <c r="K898" s="31">
        <v>3160.65</v>
      </c>
      <c r="L898" s="31">
        <v>2948.81</v>
      </c>
      <c r="M898" s="31">
        <v>2960.1</v>
      </c>
      <c r="N898" s="31">
        <v>3087.13</v>
      </c>
      <c r="O898" s="79">
        <f>IF((N899=""),"",MAX(F900:N900))</f>
        <v>3909.8999999999996</v>
      </c>
      <c r="P898" s="79">
        <f>IF(N899="","",MIN(F900:N900))</f>
        <v>3627.36</v>
      </c>
      <c r="Q898" s="80">
        <f>IF((N900=""),"",AVERAGE(F900:N900))</f>
        <v>3812.255555555555</v>
      </c>
      <c r="R898" s="80">
        <f>IF((N899=""),"",(O898-P898)/(O898+P898)*100)</f>
        <v>3.7485770691206026</v>
      </c>
      <c r="S898" s="152">
        <f>STDEV(F900:N900)</f>
        <v>100.93238171061721</v>
      </c>
      <c r="T898" s="176" t="str">
        <f>IF(N899="","",IF(Q898&gt;3650,IF(R898&lt;7,IF(Q898&lt;4450,"Pass","Fail"),"Fail"),"Fail"))</f>
        <v>Pass</v>
      </c>
      <c r="U898" s="188"/>
      <c r="V898" s="265" t="s">
        <v>224</v>
      </c>
      <c r="X898" s="155">
        <v>3650</v>
      </c>
      <c r="Y898" s="155">
        <v>4450</v>
      </c>
      <c r="Z898" s="155">
        <v>3700</v>
      </c>
      <c r="AA898" s="155">
        <v>4100</v>
      </c>
      <c r="AB898" s="51">
        <v>7</v>
      </c>
      <c r="AC898" s="51">
        <v>6.5</v>
      </c>
    </row>
    <row r="899" spans="1:29" ht="16.100000000000001" x14ac:dyDescent="0.35">
      <c r="A899"/>
      <c r="B899" s="44"/>
      <c r="C899" s="24"/>
      <c r="D899" s="24"/>
      <c r="E899" s="81" t="s">
        <v>187</v>
      </c>
      <c r="F899" s="31">
        <v>1281.1099999999999</v>
      </c>
      <c r="G899" s="31">
        <v>1019.99</v>
      </c>
      <c r="H899" s="31">
        <v>994.32</v>
      </c>
      <c r="I899" s="31">
        <v>987.19</v>
      </c>
      <c r="J899" s="31">
        <v>1179.06</v>
      </c>
      <c r="K899" s="31">
        <v>1346.97</v>
      </c>
      <c r="L899" s="31">
        <v>1012.78</v>
      </c>
      <c r="M899" s="31">
        <v>1005.15</v>
      </c>
      <c r="N899" s="31">
        <v>1174.94</v>
      </c>
      <c r="O899" s="81"/>
      <c r="P899" s="81"/>
      <c r="Q899" s="82"/>
      <c r="R899" s="82"/>
      <c r="S899" s="178"/>
      <c r="T899" s="28"/>
      <c r="U899" s="185"/>
      <c r="V899" s="217"/>
      <c r="X899" s="157"/>
      <c r="Y899" s="157"/>
      <c r="Z899" s="157"/>
      <c r="AA899" s="157"/>
    </row>
    <row r="900" spans="1:29" ht="22.75" thickBot="1" x14ac:dyDescent="0.4">
      <c r="A900"/>
      <c r="B900" s="44"/>
      <c r="C900" s="24"/>
      <c r="D900" s="24"/>
      <c r="E900" s="81" t="s">
        <v>188</v>
      </c>
      <c r="F900" s="60">
        <f t="shared" ref="F900:N900" si="296">IF(((F898="")*AND(F899="")),"",(F898-F899)*2)</f>
        <v>3707.52</v>
      </c>
      <c r="G900" s="60">
        <f t="shared" si="296"/>
        <v>3869.02</v>
      </c>
      <c r="H900" s="60">
        <f t="shared" si="296"/>
        <v>3900.3399999999992</v>
      </c>
      <c r="I900" s="60">
        <f t="shared" si="296"/>
        <v>3876.66</v>
      </c>
      <c r="J900" s="60">
        <f t="shared" si="296"/>
        <v>3723.0600000000004</v>
      </c>
      <c r="K900" s="60">
        <f t="shared" si="296"/>
        <v>3627.36</v>
      </c>
      <c r="L900" s="60">
        <f t="shared" si="296"/>
        <v>3872.06</v>
      </c>
      <c r="M900" s="60">
        <f t="shared" si="296"/>
        <v>3909.8999999999996</v>
      </c>
      <c r="N900" s="60">
        <f t="shared" si="296"/>
        <v>3824.38</v>
      </c>
      <c r="O900" s="81"/>
      <c r="P900" s="81"/>
      <c r="Q900" s="82"/>
      <c r="R900" s="82"/>
      <c r="S900" s="178"/>
      <c r="T900" s="28"/>
      <c r="U900" s="185"/>
      <c r="V900" s="217"/>
      <c r="X900" s="157"/>
      <c r="Y900" s="157"/>
      <c r="Z900" s="157"/>
      <c r="AA900" s="157"/>
    </row>
    <row r="901" spans="1:29" x14ac:dyDescent="0.25">
      <c r="A901" s="249">
        <v>43521</v>
      </c>
      <c r="B901" s="257" t="s">
        <v>169</v>
      </c>
      <c r="C901" s="24" t="s">
        <v>171</v>
      </c>
      <c r="D901" s="24" t="s">
        <v>189</v>
      </c>
      <c r="E901" s="81" t="s">
        <v>186</v>
      </c>
      <c r="F901" s="31">
        <v>1950.16</v>
      </c>
      <c r="G901" s="31">
        <v>1942.9</v>
      </c>
      <c r="H901" s="31">
        <v>1943.48</v>
      </c>
      <c r="I901" s="31">
        <v>1946.06</v>
      </c>
      <c r="J901" s="31">
        <v>1950.68</v>
      </c>
      <c r="K901" s="31">
        <v>1950.59</v>
      </c>
      <c r="L901" s="31">
        <v>1941.85</v>
      </c>
      <c r="M901" s="31">
        <v>1942.18</v>
      </c>
      <c r="N901" s="31">
        <v>1948.12</v>
      </c>
      <c r="O901" s="81">
        <f>IF((N902=""),"",MAX(F903:N903))</f>
        <v>2010.2700000000004</v>
      </c>
      <c r="P901" s="81">
        <f>IF(N902="","",MIN(F903:N903))</f>
        <v>1956.5400000000002</v>
      </c>
      <c r="Q901" s="82">
        <f>IF((N903=""),"",AVERAGE(F903:N903))</f>
        <v>1979.04</v>
      </c>
      <c r="R901" s="82">
        <f>IF((N902=""),"",(O901-P901)/(O901+P901)*100)</f>
        <v>1.354488871410535</v>
      </c>
      <c r="S901" s="178">
        <f>STDEV(F903:N903)</f>
        <v>15.742548237182094</v>
      </c>
      <c r="T901" s="23" t="str">
        <f>IF(N902="","",IF(Q901&gt;1940,IF(R901&lt;8.3,IF(Q901&lt;2180,"Pass","Fail"),"Fail"),"Fail"))</f>
        <v>Pass</v>
      </c>
      <c r="U901" s="188"/>
      <c r="V901" s="217" t="s">
        <v>224</v>
      </c>
      <c r="X901" s="155">
        <v>2000</v>
      </c>
      <c r="Y901" s="155">
        <v>3000</v>
      </c>
      <c r="Z901" s="155">
        <v>1940</v>
      </c>
      <c r="AA901" s="155">
        <v>2180</v>
      </c>
      <c r="AC901" s="51">
        <v>5.2</v>
      </c>
    </row>
    <row r="902" spans="1:29" ht="16.100000000000001" x14ac:dyDescent="0.35">
      <c r="A902"/>
      <c r="B902" s="44"/>
      <c r="C902" s="24"/>
      <c r="D902" s="24"/>
      <c r="E902" s="81" t="s">
        <v>187</v>
      </c>
      <c r="F902" s="31">
        <v>1280.07</v>
      </c>
      <c r="G902" s="31">
        <v>1282.32</v>
      </c>
      <c r="H902" s="31">
        <v>1284.55</v>
      </c>
      <c r="I902" s="31">
        <v>1285.72</v>
      </c>
      <c r="J902" s="31">
        <v>1298.5</v>
      </c>
      <c r="K902" s="31">
        <v>1287.42</v>
      </c>
      <c r="L902" s="31">
        <v>1287.42</v>
      </c>
      <c r="M902" s="31">
        <v>1281.01</v>
      </c>
      <c r="N902" s="31">
        <v>1291.8900000000001</v>
      </c>
      <c r="O902" s="81"/>
      <c r="P902" s="81"/>
      <c r="Q902" s="82"/>
      <c r="R902" s="82"/>
      <c r="S902" s="178"/>
      <c r="T902" s="23"/>
      <c r="U902" s="179"/>
      <c r="V902" s="217"/>
      <c r="X902" s="157"/>
      <c r="Y902" s="157"/>
      <c r="Z902" s="157"/>
      <c r="AA902" s="157"/>
    </row>
    <row r="903" spans="1:29" ht="25.5" customHeight="1" thickBot="1" x14ac:dyDescent="0.4">
      <c r="A903"/>
      <c r="B903" s="44"/>
      <c r="C903" s="24"/>
      <c r="D903" s="24"/>
      <c r="E903" s="81" t="s">
        <v>190</v>
      </c>
      <c r="F903" s="60">
        <f t="shared" ref="F903:N903" si="297">IF(((F901="")*AND(F902="")),"",(F901-F902)*3)</f>
        <v>2010.2700000000004</v>
      </c>
      <c r="G903" s="60">
        <f t="shared" si="297"/>
        <v>1981.7400000000005</v>
      </c>
      <c r="H903" s="60">
        <f t="shared" si="297"/>
        <v>1976.7900000000002</v>
      </c>
      <c r="I903" s="60">
        <f t="shared" si="297"/>
        <v>1981.0199999999998</v>
      </c>
      <c r="J903" s="60">
        <f t="shared" si="297"/>
        <v>1956.5400000000002</v>
      </c>
      <c r="K903" s="60">
        <f t="shared" si="297"/>
        <v>1989.5099999999995</v>
      </c>
      <c r="L903" s="60">
        <f t="shared" si="297"/>
        <v>1963.2899999999995</v>
      </c>
      <c r="M903" s="60">
        <f t="shared" si="297"/>
        <v>1983.5100000000002</v>
      </c>
      <c r="N903" s="60">
        <f t="shared" si="297"/>
        <v>1968.6899999999994</v>
      </c>
      <c r="O903" s="81"/>
      <c r="P903" s="81"/>
      <c r="Q903" s="82"/>
      <c r="R903" s="82"/>
      <c r="S903" s="178"/>
      <c r="T903" s="23"/>
      <c r="U903" s="179"/>
      <c r="V903" s="217"/>
      <c r="X903" s="157"/>
      <c r="Y903" s="157"/>
      <c r="Z903" s="157"/>
      <c r="AA903" s="157"/>
    </row>
    <row r="904" spans="1:29" x14ac:dyDescent="0.25">
      <c r="A904" s="249">
        <v>43521</v>
      </c>
      <c r="B904" s="260" t="s">
        <v>185</v>
      </c>
      <c r="C904" s="24" t="s">
        <v>173</v>
      </c>
      <c r="D904" s="24" t="s">
        <v>172</v>
      </c>
      <c r="E904" s="81" t="s">
        <v>186</v>
      </c>
      <c r="F904" s="31">
        <v>26151.34</v>
      </c>
      <c r="G904" s="31">
        <v>26265.5</v>
      </c>
      <c r="H904" s="31">
        <v>26343.1</v>
      </c>
      <c r="I904" s="31">
        <v>26279.200000000001</v>
      </c>
      <c r="J904" s="31">
        <v>26130.95</v>
      </c>
      <c r="K904" s="31">
        <v>26164.61</v>
      </c>
      <c r="L904" s="31">
        <v>26287.84</v>
      </c>
      <c r="M904" s="31">
        <v>26242.33</v>
      </c>
      <c r="N904" s="31">
        <v>26058.080000000002</v>
      </c>
      <c r="O904" s="81">
        <f>IF((N905=""),"",MAX(F906:N906))</f>
        <v>4632.4200000000092</v>
      </c>
      <c r="P904" s="81">
        <f>IF(N905="","",MIN(F906:N906))</f>
        <v>4175.8799999999974</v>
      </c>
      <c r="Q904" s="82">
        <f>IF((N906=""),"",AVERAGE(F906:N906))</f>
        <v>4404.2400000000016</v>
      </c>
      <c r="R904" s="82">
        <f>IF((N905=""),"",(O904-P904)/(O904+P904)*100)</f>
        <v>5.1830659718675731</v>
      </c>
      <c r="S904" s="178">
        <f>STDEV(F906:N906)</f>
        <v>204.54803995638858</v>
      </c>
      <c r="T904" s="23" t="str">
        <f>IF(N905="","",IF(R904&lt;16,IF(Q904&gt;3200,IF(R904,IF(Q904&lt;5240,"Pass","Fail"),"Fail"),"Fail")))</f>
        <v>Pass</v>
      </c>
      <c r="U904" s="188"/>
      <c r="V904" s="217" t="s">
        <v>224</v>
      </c>
      <c r="X904" s="155">
        <v>4200</v>
      </c>
      <c r="Y904" s="155">
        <v>5500</v>
      </c>
      <c r="Z904" s="155">
        <v>3200</v>
      </c>
      <c r="AA904" s="155">
        <v>5240</v>
      </c>
      <c r="AC904" s="51">
        <v>16</v>
      </c>
    </row>
    <row r="905" spans="1:29" ht="16.100000000000001" x14ac:dyDescent="0.35">
      <c r="A905"/>
      <c r="B905" s="44"/>
      <c r="C905" s="24"/>
      <c r="D905" s="24"/>
      <c r="E905" s="81" t="s">
        <v>187</v>
      </c>
      <c r="F905" s="31">
        <v>24609.61</v>
      </c>
      <c r="G905" s="31">
        <v>24869.79</v>
      </c>
      <c r="H905" s="31">
        <v>24893.86</v>
      </c>
      <c r="I905" s="31">
        <v>24887.24</v>
      </c>
      <c r="J905" s="31">
        <v>24589.53</v>
      </c>
      <c r="K905" s="31">
        <v>24643.49</v>
      </c>
      <c r="L905" s="31">
        <v>24858.51</v>
      </c>
      <c r="M905" s="31">
        <v>24844.26</v>
      </c>
      <c r="N905" s="31">
        <v>24513.94</v>
      </c>
      <c r="O905" s="81"/>
      <c r="P905" s="81"/>
      <c r="Q905" s="82"/>
      <c r="R905" s="82"/>
      <c r="S905" s="178"/>
      <c r="T905" s="23"/>
      <c r="U905" s="179"/>
      <c r="V905" s="217"/>
      <c r="X905" s="157"/>
      <c r="Y905" s="157"/>
      <c r="Z905" s="157"/>
      <c r="AA905" s="157"/>
    </row>
    <row r="906" spans="1:29" ht="22.75" thickBot="1" x14ac:dyDescent="0.4">
      <c r="A906"/>
      <c r="B906" s="83"/>
      <c r="C906" s="84"/>
      <c r="D906" s="84"/>
      <c r="E906" s="85" t="s">
        <v>188</v>
      </c>
      <c r="F906" s="73">
        <f t="shared" ref="F906:N906" si="298">IF(((F904="")*AND(F905="")),"",(F904-F905)*3)</f>
        <v>4625.1899999999987</v>
      </c>
      <c r="G906" s="73">
        <f t="shared" si="298"/>
        <v>4187.1299999999974</v>
      </c>
      <c r="H906" s="73">
        <f t="shared" si="298"/>
        <v>4347.7199999999939</v>
      </c>
      <c r="I906" s="73">
        <f t="shared" si="298"/>
        <v>4175.8799999999974</v>
      </c>
      <c r="J906" s="73">
        <f t="shared" si="298"/>
        <v>4624.2600000000057</v>
      </c>
      <c r="K906" s="73">
        <f t="shared" si="298"/>
        <v>4563.3599999999969</v>
      </c>
      <c r="L906" s="73">
        <f t="shared" si="298"/>
        <v>4287.9900000000052</v>
      </c>
      <c r="M906" s="73">
        <f t="shared" si="298"/>
        <v>4194.21000000001</v>
      </c>
      <c r="N906" s="73">
        <f t="shared" si="298"/>
        <v>4632.4200000000092</v>
      </c>
      <c r="O906" s="85"/>
      <c r="P906" s="85"/>
      <c r="Q906" s="86"/>
      <c r="R906" s="86"/>
      <c r="S906" s="181"/>
      <c r="T906" s="182"/>
      <c r="U906" s="183"/>
      <c r="V906" s="217"/>
      <c r="X906" s="157"/>
      <c r="Y906" s="157"/>
      <c r="Z906" s="157"/>
      <c r="AA906" s="157"/>
    </row>
    <row r="907" spans="1:29" x14ac:dyDescent="0.25">
      <c r="A907" s="249">
        <v>43524</v>
      </c>
      <c r="B907" s="261" t="s">
        <v>174</v>
      </c>
      <c r="C907" s="59" t="s">
        <v>176</v>
      </c>
      <c r="D907" s="59" t="s">
        <v>175</v>
      </c>
      <c r="E907" s="61" t="s">
        <v>186</v>
      </c>
      <c r="F907" s="31">
        <v>6899.66</v>
      </c>
      <c r="G907" s="31">
        <v>6867.25</v>
      </c>
      <c r="H907" s="31">
        <v>6889.77</v>
      </c>
      <c r="I907" s="31">
        <v>6846.95</v>
      </c>
      <c r="J907" s="31">
        <v>6808.74</v>
      </c>
      <c r="K907" s="31">
        <v>6878.9</v>
      </c>
      <c r="L907" s="31">
        <v>6869.11</v>
      </c>
      <c r="M907" s="31">
        <v>6903.36</v>
      </c>
      <c r="N907" s="31">
        <v>6937.64</v>
      </c>
      <c r="O907" s="79">
        <f>IF((N908=""),"",MAX(F909:N909))</f>
        <v>3907.34</v>
      </c>
      <c r="P907" s="79">
        <f>IF(N908="","",MIN(F909:N909))</f>
        <v>3640.4399999999987</v>
      </c>
      <c r="Q907" s="80">
        <f>IF((N909=""),"",AVERAGE(F909:N909))</f>
        <v>3809.9444444444434</v>
      </c>
      <c r="R907" s="80">
        <f>IF((N908=""),"",(O907-P907)/(O907+P907)*100)</f>
        <v>3.5361391031535301</v>
      </c>
      <c r="S907" s="152">
        <f>STDEV(F909:N909)</f>
        <v>96.754457663602722</v>
      </c>
      <c r="T907" s="176" t="str">
        <f>IF(N908="","",IF(Q907&gt;3650,IF(R907&lt;7,IF(Q907&lt;4450,"Pass","Fail"),"Fail"),"Fail"))</f>
        <v>Pass</v>
      </c>
      <c r="U907" s="188" t="s">
        <v>99</v>
      </c>
      <c r="V907" s="265" t="s">
        <v>225</v>
      </c>
      <c r="X907" s="155">
        <v>3650</v>
      </c>
      <c r="Y907" s="155">
        <v>4450</v>
      </c>
      <c r="Z907" s="155">
        <v>3700</v>
      </c>
      <c r="AA907" s="155">
        <v>4100</v>
      </c>
      <c r="AB907" s="51">
        <v>7</v>
      </c>
      <c r="AC907" s="51">
        <v>6.5</v>
      </c>
    </row>
    <row r="908" spans="1:29" ht="16.100000000000001" x14ac:dyDescent="0.35">
      <c r="A908"/>
      <c r="B908" s="44"/>
      <c r="C908" s="24"/>
      <c r="D908" s="24"/>
      <c r="E908" s="81" t="s">
        <v>187</v>
      </c>
      <c r="F908" s="31">
        <v>5034.5200000000004</v>
      </c>
      <c r="G908" s="31">
        <v>4929.45</v>
      </c>
      <c r="H908" s="31">
        <v>4940.93</v>
      </c>
      <c r="I908" s="31">
        <v>4914.3900000000003</v>
      </c>
      <c r="J908" s="31">
        <v>4958.8900000000003</v>
      </c>
      <c r="K908" s="31">
        <v>5058.68</v>
      </c>
      <c r="L908" s="31">
        <v>4936.2299999999996</v>
      </c>
      <c r="M908" s="31">
        <v>4949.6899999999996</v>
      </c>
      <c r="N908" s="31">
        <v>5033.8500000000004</v>
      </c>
      <c r="O908" s="81"/>
      <c r="P908" s="81"/>
      <c r="Q908" s="82"/>
      <c r="R908" s="82"/>
      <c r="S908" s="178"/>
      <c r="T908" s="28"/>
      <c r="U908" s="185"/>
      <c r="V908" s="217"/>
      <c r="X908" s="157"/>
      <c r="Y908" s="157"/>
      <c r="Z908" s="157"/>
      <c r="AA908" s="157"/>
    </row>
    <row r="909" spans="1:29" ht="22.75" thickBot="1" x14ac:dyDescent="0.4">
      <c r="A909"/>
      <c r="B909" s="44"/>
      <c r="C909" s="24"/>
      <c r="D909" s="24"/>
      <c r="E909" s="81" t="s">
        <v>188</v>
      </c>
      <c r="F909" s="60">
        <f t="shared" ref="F909:N909" si="299">IF(((F907="")*AND(F908="")),"",(F907-F908)*2)</f>
        <v>3730.2799999999988</v>
      </c>
      <c r="G909" s="60">
        <f t="shared" si="299"/>
        <v>3875.6000000000004</v>
      </c>
      <c r="H909" s="60">
        <f t="shared" si="299"/>
        <v>3897.6800000000003</v>
      </c>
      <c r="I909" s="60">
        <f t="shared" si="299"/>
        <v>3865.119999999999</v>
      </c>
      <c r="J909" s="60">
        <f t="shared" si="299"/>
        <v>3699.6999999999989</v>
      </c>
      <c r="K909" s="60">
        <f t="shared" si="299"/>
        <v>3640.4399999999987</v>
      </c>
      <c r="L909" s="60">
        <f t="shared" si="299"/>
        <v>3865.76</v>
      </c>
      <c r="M909" s="60">
        <f t="shared" si="299"/>
        <v>3907.34</v>
      </c>
      <c r="N909" s="60">
        <f t="shared" si="299"/>
        <v>3807.58</v>
      </c>
      <c r="O909" s="81"/>
      <c r="P909" s="81"/>
      <c r="Q909" s="82"/>
      <c r="R909" s="82"/>
      <c r="S909" s="178"/>
      <c r="T909" s="28"/>
      <c r="U909" s="185"/>
      <c r="V909" s="217"/>
      <c r="X909" s="157"/>
      <c r="Y909" s="157"/>
      <c r="Z909" s="157"/>
      <c r="AA909" s="157"/>
    </row>
    <row r="910" spans="1:29" x14ac:dyDescent="0.25">
      <c r="A910" s="249">
        <v>43524</v>
      </c>
      <c r="B910" s="257" t="s">
        <v>169</v>
      </c>
      <c r="C910" s="24" t="s">
        <v>171</v>
      </c>
      <c r="D910" s="24" t="s">
        <v>189</v>
      </c>
      <c r="E910" s="81" t="s">
        <v>186</v>
      </c>
      <c r="F910" s="31">
        <v>1281.19</v>
      </c>
      <c r="G910" s="31">
        <v>1284.1400000000001</v>
      </c>
      <c r="H910" s="31">
        <v>1290.67</v>
      </c>
      <c r="I910" s="31">
        <v>1287.79</v>
      </c>
      <c r="J910" s="31">
        <v>1301.1099999999999</v>
      </c>
      <c r="K910" s="31">
        <v>1288.4100000000001</v>
      </c>
      <c r="L910" s="31">
        <v>1289.07</v>
      </c>
      <c r="M910" s="31">
        <v>1284.05</v>
      </c>
      <c r="N910" s="31">
        <v>1293.94</v>
      </c>
      <c r="O910" s="81">
        <f>IF((N911=""),"",MAX(F912:N912))</f>
        <v>2026.41</v>
      </c>
      <c r="P910" s="81">
        <f>IF(N911="","",MIN(F912:N912))</f>
        <v>1985.6699999999996</v>
      </c>
      <c r="Q910" s="82">
        <f>IF((N912=""),"",AVERAGE(F912:N912))</f>
        <v>2011.6666666666667</v>
      </c>
      <c r="R910" s="82">
        <f>IF((N911=""),"",(O910-P910)/(O910+P910)*100)</f>
        <v>1.0154333911587123</v>
      </c>
      <c r="S910" s="178">
        <f>STDEV(F912:N912)</f>
        <v>13.526874176985757</v>
      </c>
      <c r="T910" s="23" t="str">
        <f>IF(N911="","",IF(Q910&gt;1940,IF(R910&lt;8.3,IF(Q910&lt;2180,"Pass","Fail"),"Fail"),"Fail"))</f>
        <v>Pass</v>
      </c>
      <c r="U910" s="188" t="s">
        <v>99</v>
      </c>
      <c r="V910" s="217" t="s">
        <v>225</v>
      </c>
      <c r="X910" s="155">
        <v>2000</v>
      </c>
      <c r="Y910" s="155">
        <v>3000</v>
      </c>
      <c r="Z910" s="155">
        <v>1940</v>
      </c>
      <c r="AA910" s="155">
        <v>2180</v>
      </c>
      <c r="AC910" s="51">
        <v>5.2</v>
      </c>
    </row>
    <row r="911" spans="1:29" ht="16.100000000000001" x14ac:dyDescent="0.35">
      <c r="A911"/>
      <c r="B911" s="44"/>
      <c r="C911" s="24"/>
      <c r="D911" s="24"/>
      <c r="E911" s="81" t="s">
        <v>187</v>
      </c>
      <c r="F911" s="31">
        <v>605.72</v>
      </c>
      <c r="G911" s="31">
        <v>611</v>
      </c>
      <c r="H911" s="31">
        <v>619.54999999999995</v>
      </c>
      <c r="I911" s="31">
        <v>620.30999999999995</v>
      </c>
      <c r="J911" s="31">
        <v>639.22</v>
      </c>
      <c r="K911" s="31">
        <v>614.41999999999996</v>
      </c>
      <c r="L911" s="31">
        <v>619.54</v>
      </c>
      <c r="M911" s="31">
        <v>608.78</v>
      </c>
      <c r="N911" s="31">
        <v>626.83000000000004</v>
      </c>
      <c r="O911" s="81"/>
      <c r="P911" s="81"/>
      <c r="Q911" s="82"/>
      <c r="R911" s="82"/>
      <c r="S911" s="178"/>
      <c r="T911" s="23"/>
      <c r="U911" s="179"/>
      <c r="V911" s="217"/>
      <c r="X911" s="157"/>
      <c r="Y911" s="157"/>
      <c r="Z911" s="157"/>
      <c r="AA911" s="157"/>
    </row>
    <row r="912" spans="1:29" ht="27.15" customHeight="1" thickBot="1" x14ac:dyDescent="0.4">
      <c r="A912"/>
      <c r="B912" s="44"/>
      <c r="C912" s="24"/>
      <c r="D912" s="24"/>
      <c r="E912" s="81" t="s">
        <v>190</v>
      </c>
      <c r="F912" s="60">
        <f t="shared" ref="F912:N912" si="300">IF(((F910="")*AND(F911="")),"",(F910-F911)*3)</f>
        <v>2026.41</v>
      </c>
      <c r="G912" s="60">
        <f t="shared" si="300"/>
        <v>2019.4200000000003</v>
      </c>
      <c r="H912" s="60">
        <f t="shared" si="300"/>
        <v>2013.3600000000004</v>
      </c>
      <c r="I912" s="60">
        <f t="shared" si="300"/>
        <v>2002.44</v>
      </c>
      <c r="J912" s="60">
        <f t="shared" si="300"/>
        <v>1985.6699999999996</v>
      </c>
      <c r="K912" s="60">
        <f t="shared" si="300"/>
        <v>2021.9700000000003</v>
      </c>
      <c r="L912" s="60">
        <f t="shared" si="300"/>
        <v>2008.59</v>
      </c>
      <c r="M912" s="60">
        <f t="shared" si="300"/>
        <v>2025.81</v>
      </c>
      <c r="N912" s="60">
        <f t="shared" si="300"/>
        <v>2001.33</v>
      </c>
      <c r="O912" s="81"/>
      <c r="P912" s="81"/>
      <c r="Q912" s="82"/>
      <c r="R912" s="82"/>
      <c r="S912" s="178"/>
      <c r="T912" s="23"/>
      <c r="U912" s="179"/>
      <c r="V912" s="217"/>
      <c r="X912" s="157"/>
      <c r="Y912" s="157"/>
      <c r="Z912" s="157"/>
      <c r="AA912" s="157"/>
    </row>
    <row r="913" spans="1:29" x14ac:dyDescent="0.25">
      <c r="A913" s="249">
        <v>43524</v>
      </c>
      <c r="B913" s="260" t="s">
        <v>185</v>
      </c>
      <c r="C913" s="24" t="s">
        <v>173</v>
      </c>
      <c r="D913" s="24" t="s">
        <v>172</v>
      </c>
      <c r="E913" s="81" t="s">
        <v>186</v>
      </c>
      <c r="F913" s="31">
        <v>24531.32</v>
      </c>
      <c r="G913" s="31">
        <v>24793.599999999999</v>
      </c>
      <c r="H913" s="31">
        <v>24896.32</v>
      </c>
      <c r="I913" s="31">
        <v>24844.31</v>
      </c>
      <c r="J913" s="31">
        <v>24555.31</v>
      </c>
      <c r="K913" s="31">
        <v>24585.13</v>
      </c>
      <c r="L913" s="31">
        <v>24834.71</v>
      </c>
      <c r="M913" s="31">
        <v>24799.86</v>
      </c>
      <c r="N913" s="31">
        <v>24447.53</v>
      </c>
      <c r="O913" s="81">
        <f>IF((N914=""),"",MAX(F915:N915))</f>
        <v>5003.0999999999913</v>
      </c>
      <c r="P913" s="81">
        <f>IF(N914="","",MIN(F915:N915))</f>
        <v>4010.4599999999991</v>
      </c>
      <c r="Q913" s="82">
        <f>IF((N915=""),"",AVERAGE(F915:N915))</f>
        <v>4453.3933333333343</v>
      </c>
      <c r="R913" s="82">
        <f>IF((N914=""),"",(O913-P913)/(O913+P913)*100)</f>
        <v>11.012740803855449</v>
      </c>
      <c r="S913" s="178">
        <f>STDEV(F915:N915)</f>
        <v>340.68986527338848</v>
      </c>
      <c r="T913" s="23" t="str">
        <f>IF(N914="","",IF(R913&lt;16,IF(Q913&gt;3200,IF(R913,IF(Q913&lt;5240,"Pass","Fail"),"Fail"),"Fail")))</f>
        <v>Pass</v>
      </c>
      <c r="U913" s="188" t="s">
        <v>99</v>
      </c>
      <c r="V913" s="217" t="s">
        <v>225</v>
      </c>
      <c r="X913" s="155">
        <v>4200</v>
      </c>
      <c r="Y913" s="155">
        <v>5500</v>
      </c>
      <c r="Z913" s="155">
        <v>3200</v>
      </c>
      <c r="AA913" s="155">
        <v>5240</v>
      </c>
      <c r="AC913" s="51">
        <v>16</v>
      </c>
    </row>
    <row r="914" spans="1:29" ht="16.100000000000001" x14ac:dyDescent="0.35">
      <c r="A914"/>
      <c r="B914" s="44"/>
      <c r="C914" s="24"/>
      <c r="D914" s="24"/>
      <c r="E914" s="81" t="s">
        <v>187</v>
      </c>
      <c r="F914" s="31">
        <v>22945.35</v>
      </c>
      <c r="G914" s="31">
        <v>23416.14</v>
      </c>
      <c r="H914" s="31">
        <v>23559.5</v>
      </c>
      <c r="I914" s="31">
        <v>23424.19</v>
      </c>
      <c r="J914" s="31">
        <v>22976.98</v>
      </c>
      <c r="K914" s="31">
        <v>23033.78</v>
      </c>
      <c r="L914" s="31">
        <v>23431.1</v>
      </c>
      <c r="M914" s="31">
        <v>23361.040000000001</v>
      </c>
      <c r="N914" s="31">
        <v>22779.83</v>
      </c>
      <c r="O914" s="81"/>
      <c r="P914" s="81"/>
      <c r="Q914" s="82"/>
      <c r="R914" s="82"/>
      <c r="S914" s="178"/>
      <c r="T914" s="23"/>
      <c r="U914" s="179"/>
      <c r="V914" s="217"/>
      <c r="X914" s="157"/>
      <c r="Y914" s="157"/>
      <c r="Z914" s="157"/>
      <c r="AA914" s="157"/>
    </row>
    <row r="915" spans="1:29" ht="22.75" thickBot="1" x14ac:dyDescent="0.4">
      <c r="A915"/>
      <c r="B915" s="83"/>
      <c r="C915" s="84"/>
      <c r="D915" s="84"/>
      <c r="E915" s="85" t="s">
        <v>188</v>
      </c>
      <c r="F915" s="73">
        <f t="shared" ref="F915:N915" si="301">IF(((F913="")*AND(F914="")),"",(F913-F914)*3)</f>
        <v>4757.9100000000035</v>
      </c>
      <c r="G915" s="73">
        <f t="shared" si="301"/>
        <v>4132.3799999999974</v>
      </c>
      <c r="H915" s="73">
        <f t="shared" si="301"/>
        <v>4010.4599999999991</v>
      </c>
      <c r="I915" s="73">
        <f t="shared" si="301"/>
        <v>4260.3600000000079</v>
      </c>
      <c r="J915" s="73">
        <f t="shared" si="301"/>
        <v>4734.9900000000052</v>
      </c>
      <c r="K915" s="73">
        <f t="shared" si="301"/>
        <v>4654.0500000000065</v>
      </c>
      <c r="L915" s="73">
        <f t="shared" si="301"/>
        <v>4210.8300000000017</v>
      </c>
      <c r="M915" s="73">
        <f t="shared" si="301"/>
        <v>4316.4599999999991</v>
      </c>
      <c r="N915" s="73">
        <f t="shared" si="301"/>
        <v>5003.0999999999913</v>
      </c>
      <c r="O915" s="85"/>
      <c r="P915" s="85"/>
      <c r="Q915" s="86"/>
      <c r="R915" s="86"/>
      <c r="S915" s="181"/>
      <c r="T915" s="182"/>
      <c r="U915" s="183"/>
      <c r="V915" s="217"/>
      <c r="X915" s="157"/>
      <c r="Y915" s="157"/>
      <c r="Z915" s="157"/>
      <c r="AA915" s="157"/>
    </row>
    <row r="916" spans="1:29" x14ac:dyDescent="0.25">
      <c r="A916" s="249">
        <v>43528</v>
      </c>
      <c r="B916" s="261" t="s">
        <v>174</v>
      </c>
      <c r="C916" s="59" t="s">
        <v>176</v>
      </c>
      <c r="D916" s="59" t="s">
        <v>175</v>
      </c>
      <c r="E916" s="61" t="s">
        <v>186</v>
      </c>
      <c r="F916" s="31">
        <v>5041.7299999999996</v>
      </c>
      <c r="G916" s="31">
        <v>4938.58</v>
      </c>
      <c r="H916" s="31">
        <v>4949.63</v>
      </c>
      <c r="I916" s="31">
        <v>4923.26</v>
      </c>
      <c r="J916" s="31">
        <v>4965.93</v>
      </c>
      <c r="K916" s="31">
        <v>5065.49</v>
      </c>
      <c r="L916" s="31">
        <v>4945.03</v>
      </c>
      <c r="M916" s="31">
        <v>4957.7299999999996</v>
      </c>
      <c r="N916" s="31">
        <v>5041.1899999999996</v>
      </c>
      <c r="O916" s="79">
        <f>IF((N917=""),"",MAX(F918:N918))</f>
        <v>3965.4399999999987</v>
      </c>
      <c r="P916" s="79">
        <f>IF(N917="","",MIN(F918:N918))</f>
        <v>3701.8999999999996</v>
      </c>
      <c r="Q916" s="80">
        <f>IF((N918=""),"",AVERAGE(F918:N918))</f>
        <v>3873.0933333333328</v>
      </c>
      <c r="R916" s="80">
        <f>IF((N917=""),"",(O916-P916)/(O916+P916)*100)</f>
        <v>3.4371763871172938</v>
      </c>
      <c r="S916" s="152">
        <f>STDEV(F918:N918)</f>
        <v>96.315950911570297</v>
      </c>
      <c r="T916" s="176" t="str">
        <f>IF(N917="","",IF(Q916&gt;3650,IF(R916&lt;7,IF(Q916&lt;4450,"Pass","Fail"),"Fail"),"Fail"))</f>
        <v>Pass</v>
      </c>
      <c r="U916" s="188">
        <v>74</v>
      </c>
      <c r="V916" s="265" t="s">
        <v>226</v>
      </c>
      <c r="X916" s="155">
        <v>3650</v>
      </c>
      <c r="Y916" s="155">
        <v>4450</v>
      </c>
      <c r="Z916" s="155">
        <v>3700</v>
      </c>
      <c r="AA916" s="155">
        <v>4100</v>
      </c>
      <c r="AB916" s="51">
        <v>7</v>
      </c>
      <c r="AC916" s="51">
        <v>6.5</v>
      </c>
    </row>
    <row r="917" spans="1:29" ht="16.100000000000001" x14ac:dyDescent="0.35">
      <c r="A917"/>
      <c r="B917" s="44"/>
      <c r="C917" s="24"/>
      <c r="D917" s="24"/>
      <c r="E917" s="81" t="s">
        <v>187</v>
      </c>
      <c r="F917" s="31">
        <v>3156.5</v>
      </c>
      <c r="G917" s="31">
        <v>2974.1</v>
      </c>
      <c r="H917" s="31">
        <v>2970.22</v>
      </c>
      <c r="I917" s="31">
        <v>2952.18</v>
      </c>
      <c r="J917" s="31">
        <v>3071.42</v>
      </c>
      <c r="K917" s="31">
        <v>3214.54</v>
      </c>
      <c r="L917" s="31">
        <v>2978.83</v>
      </c>
      <c r="M917" s="31">
        <v>2975.01</v>
      </c>
      <c r="N917" s="31">
        <v>3106.85</v>
      </c>
      <c r="O917" s="81"/>
      <c r="P917" s="81"/>
      <c r="Q917" s="82"/>
      <c r="R917" s="82"/>
      <c r="S917" s="178"/>
      <c r="T917" s="28"/>
      <c r="U917" s="185"/>
      <c r="V917" s="217"/>
      <c r="X917" s="157"/>
      <c r="Y917" s="157"/>
      <c r="Z917" s="157"/>
      <c r="AA917" s="157"/>
    </row>
    <row r="918" spans="1:29" ht="22.75" thickBot="1" x14ac:dyDescent="0.4">
      <c r="A918"/>
      <c r="B918" s="44"/>
      <c r="C918" s="24"/>
      <c r="D918" s="24"/>
      <c r="E918" s="81" t="s">
        <v>188</v>
      </c>
      <c r="F918" s="60">
        <f t="shared" ref="F918:N918" si="302">IF(((F916="")*AND(F917="")),"",(F916-F917)*2)</f>
        <v>3770.4599999999991</v>
      </c>
      <c r="G918" s="60">
        <f t="shared" si="302"/>
        <v>3928.96</v>
      </c>
      <c r="H918" s="60">
        <f t="shared" si="302"/>
        <v>3958.8200000000006</v>
      </c>
      <c r="I918" s="60">
        <f t="shared" si="302"/>
        <v>3942.1600000000008</v>
      </c>
      <c r="J918" s="60">
        <f t="shared" si="302"/>
        <v>3789.0200000000004</v>
      </c>
      <c r="K918" s="60">
        <f t="shared" si="302"/>
        <v>3701.8999999999996</v>
      </c>
      <c r="L918" s="60">
        <f t="shared" si="302"/>
        <v>3932.3999999999996</v>
      </c>
      <c r="M918" s="60">
        <f t="shared" si="302"/>
        <v>3965.4399999999987</v>
      </c>
      <c r="N918" s="60">
        <f t="shared" si="302"/>
        <v>3868.6799999999994</v>
      </c>
      <c r="O918" s="81"/>
      <c r="P918" s="81"/>
      <c r="Q918" s="82"/>
      <c r="R918" s="82"/>
      <c r="S918" s="178"/>
      <c r="T918" s="28"/>
      <c r="U918" s="185"/>
      <c r="V918" s="217"/>
      <c r="X918" s="157"/>
      <c r="Y918" s="157"/>
      <c r="Z918" s="157"/>
      <c r="AA918" s="157"/>
    </row>
    <row r="919" spans="1:29" x14ac:dyDescent="0.25">
      <c r="A919" s="249">
        <v>43528</v>
      </c>
      <c r="B919" s="257" t="s">
        <v>169</v>
      </c>
      <c r="C919" s="24" t="s">
        <v>171</v>
      </c>
      <c r="D919" s="24" t="s">
        <v>189</v>
      </c>
      <c r="E919" s="81" t="s">
        <v>186</v>
      </c>
      <c r="F919" s="31">
        <v>1306.44</v>
      </c>
      <c r="G919" s="31">
        <v>1295.1199999999999</v>
      </c>
      <c r="H919" s="31">
        <v>1294.72</v>
      </c>
      <c r="I919" s="31">
        <v>1285.74</v>
      </c>
      <c r="J919" s="31">
        <v>1280.18</v>
      </c>
      <c r="K919" s="31">
        <v>1300.6199999999999</v>
      </c>
      <c r="L919" s="31">
        <v>1289.79</v>
      </c>
      <c r="M919" s="31">
        <v>1292.97</v>
      </c>
      <c r="N919" s="31">
        <v>1289.8599999999999</v>
      </c>
      <c r="O919" s="81">
        <f>IF((N920=""),"",MAX(F921:N921))</f>
        <v>2135.16</v>
      </c>
      <c r="P919" s="81">
        <f>IF(N920="","",MIN(F921:N921))</f>
        <v>1925.0700000000002</v>
      </c>
      <c r="Q919" s="82">
        <f>IF((N921=""),"",AVERAGE(F921:N921))</f>
        <v>2025.8799999999999</v>
      </c>
      <c r="R919" s="82">
        <f>IF((N920=""),"",(O919-P919)/(O919+P919)*100)</f>
        <v>5.1743374143829213</v>
      </c>
      <c r="S919" s="178">
        <f>STDEV(F921:N921)</f>
        <v>59.580821368960564</v>
      </c>
      <c r="T919" s="23" t="str">
        <f>IF(N920="","",IF(Q919&gt;1940,IF(R919&lt;8.3,IF(Q919&lt;2180,"Pass","Fail"),"Fail"),"Fail"))</f>
        <v>Pass</v>
      </c>
      <c r="U919" s="188">
        <v>74</v>
      </c>
      <c r="V919" s="217" t="s">
        <v>226</v>
      </c>
      <c r="X919" s="155">
        <v>2000</v>
      </c>
      <c r="Y919" s="155">
        <v>3000</v>
      </c>
      <c r="Z919" s="155">
        <v>1940</v>
      </c>
      <c r="AA919" s="155">
        <v>2180</v>
      </c>
      <c r="AC919" s="51">
        <v>5.2</v>
      </c>
    </row>
    <row r="920" spans="1:29" ht="16.100000000000001" x14ac:dyDescent="0.35">
      <c r="A920"/>
      <c r="B920" s="44"/>
      <c r="C920" s="24"/>
      <c r="D920" s="24"/>
      <c r="E920" s="81" t="s">
        <v>187</v>
      </c>
      <c r="F920" s="31">
        <v>594.72</v>
      </c>
      <c r="G920" s="31">
        <v>607.62</v>
      </c>
      <c r="H920" s="31">
        <v>617.33000000000004</v>
      </c>
      <c r="I920" s="31">
        <v>622.77</v>
      </c>
      <c r="J920" s="31">
        <v>638.49</v>
      </c>
      <c r="K920" s="31">
        <v>616.91</v>
      </c>
      <c r="L920" s="31">
        <v>621.58000000000004</v>
      </c>
      <c r="M920" s="31">
        <v>609.47</v>
      </c>
      <c r="N920" s="31">
        <v>628.91</v>
      </c>
      <c r="O920" s="81"/>
      <c r="P920" s="81"/>
      <c r="Q920" s="82"/>
      <c r="R920" s="82"/>
      <c r="S920" s="178"/>
      <c r="T920" s="23"/>
      <c r="U920" s="179"/>
      <c r="V920" s="217"/>
      <c r="X920" s="157"/>
      <c r="Y920" s="157"/>
      <c r="Z920" s="157"/>
      <c r="AA920" s="157"/>
    </row>
    <row r="921" spans="1:29" ht="24.4" customHeight="1" thickBot="1" x14ac:dyDescent="0.4">
      <c r="A921"/>
      <c r="B921" s="44"/>
      <c r="C921" s="24"/>
      <c r="D921" s="24"/>
      <c r="E921" s="81" t="s">
        <v>190</v>
      </c>
      <c r="F921" s="60">
        <f t="shared" ref="F921:N921" si="303">IF(((F919="")*AND(F920="")),"",(F919-F920)*3)</f>
        <v>2135.16</v>
      </c>
      <c r="G921" s="60">
        <f t="shared" si="303"/>
        <v>2062.4999999999995</v>
      </c>
      <c r="H921" s="60">
        <f t="shared" si="303"/>
        <v>2032.17</v>
      </c>
      <c r="I921" s="60">
        <f t="shared" si="303"/>
        <v>1988.91</v>
      </c>
      <c r="J921" s="60">
        <f t="shared" si="303"/>
        <v>1925.0700000000002</v>
      </c>
      <c r="K921" s="60">
        <f t="shared" si="303"/>
        <v>2051.1299999999997</v>
      </c>
      <c r="L921" s="60">
        <f t="shared" si="303"/>
        <v>2004.6299999999997</v>
      </c>
      <c r="M921" s="60">
        <f t="shared" si="303"/>
        <v>2050.5</v>
      </c>
      <c r="N921" s="60">
        <f t="shared" si="303"/>
        <v>1982.85</v>
      </c>
      <c r="O921" s="81"/>
      <c r="P921" s="81"/>
      <c r="Q921" s="82"/>
      <c r="R921" s="82"/>
      <c r="S921" s="178"/>
      <c r="T921" s="23"/>
      <c r="U921" s="179"/>
      <c r="V921" s="217"/>
      <c r="X921" s="157"/>
      <c r="Y921" s="157"/>
      <c r="Z921" s="157"/>
      <c r="AA921" s="157"/>
    </row>
    <row r="922" spans="1:29" x14ac:dyDescent="0.25">
      <c r="A922" s="249">
        <v>43528</v>
      </c>
      <c r="B922" s="260" t="s">
        <v>185</v>
      </c>
      <c r="C922" s="24" t="s">
        <v>173</v>
      </c>
      <c r="D922" s="24" t="s">
        <v>172</v>
      </c>
      <c r="E922" s="81" t="s">
        <v>186</v>
      </c>
      <c r="F922" s="31">
        <v>22877.63</v>
      </c>
      <c r="G922" s="31">
        <v>23370.69</v>
      </c>
      <c r="H922" s="31">
        <v>23501.88</v>
      </c>
      <c r="I922" s="31">
        <v>23376.61</v>
      </c>
      <c r="J922" s="31">
        <v>23376.61</v>
      </c>
      <c r="K922" s="31">
        <v>22980.68</v>
      </c>
      <c r="L922" s="31">
        <v>23410.06</v>
      </c>
      <c r="M922" s="31">
        <v>23314.49</v>
      </c>
      <c r="N922" s="31">
        <v>22696.46</v>
      </c>
      <c r="O922" s="81">
        <f>IF((N923=""),"",MAX(F924:N924))</f>
        <v>4837.8300000000017</v>
      </c>
      <c r="P922" s="81">
        <f>IF(N923="","",MIN(F924:N924))</f>
        <v>4089.6300000000083</v>
      </c>
      <c r="Q922" s="82">
        <f>IF((N924=""),"",AVERAGE(F924:N924))</f>
        <v>4340.5366666666687</v>
      </c>
      <c r="R922" s="82">
        <f>IF((N923=""),"",(O922-P922)/(O922+P922)*100)</f>
        <v>8.3808832523471697</v>
      </c>
      <c r="S922" s="178">
        <f>STDEV(F924:N924)</f>
        <v>249.03472805012535</v>
      </c>
      <c r="T922" s="23" t="str">
        <f>IF(N923="","",IF(R922&lt;16,IF(Q922&gt;3200,IF(R922,IF(Q922&lt;5240,"Pass","Fail"),"Fail"),"Fail")))</f>
        <v>Pass</v>
      </c>
      <c r="U922" s="188">
        <v>74</v>
      </c>
      <c r="V922" s="217" t="s">
        <v>226</v>
      </c>
      <c r="X922" s="155">
        <v>4200</v>
      </c>
      <c r="Y922" s="155">
        <v>5500</v>
      </c>
      <c r="Z922" s="155">
        <v>3200</v>
      </c>
      <c r="AA922" s="155">
        <v>5240</v>
      </c>
      <c r="AC922" s="51">
        <v>16</v>
      </c>
    </row>
    <row r="923" spans="1:29" ht="16.100000000000001" x14ac:dyDescent="0.35">
      <c r="A923"/>
      <c r="B923" s="44"/>
      <c r="C923" s="24"/>
      <c r="D923" s="24"/>
      <c r="E923" s="81" t="s">
        <v>187</v>
      </c>
      <c r="F923" s="31">
        <v>21360.19</v>
      </c>
      <c r="G923" s="31">
        <v>21981.72</v>
      </c>
      <c r="H923" s="31">
        <v>22138.67</v>
      </c>
      <c r="I923" s="31">
        <v>21977.77</v>
      </c>
      <c r="J923" s="31">
        <v>21764</v>
      </c>
      <c r="K923" s="31">
        <v>21487.34</v>
      </c>
      <c r="L923" s="31">
        <v>22029.96</v>
      </c>
      <c r="M923" s="31">
        <v>21919.97</v>
      </c>
      <c r="N923" s="31">
        <v>21223.88</v>
      </c>
      <c r="O923" s="81"/>
      <c r="P923" s="81"/>
      <c r="Q923" s="82"/>
      <c r="R923" s="82"/>
      <c r="S923" s="178"/>
      <c r="T923" s="23"/>
      <c r="U923" s="179"/>
      <c r="V923" s="217"/>
      <c r="X923" s="157"/>
      <c r="Y923" s="157"/>
      <c r="Z923" s="157"/>
      <c r="AA923" s="157"/>
    </row>
    <row r="924" spans="1:29" ht="22.75" thickBot="1" x14ac:dyDescent="0.4">
      <c r="A924"/>
      <c r="B924" s="83"/>
      <c r="C924" s="84"/>
      <c r="D924" s="84"/>
      <c r="E924" s="85" t="s">
        <v>188</v>
      </c>
      <c r="F924" s="73">
        <f t="shared" ref="F924:N924" si="304">IF(((F922="")*AND(F923="")),"",(F922-F923)*3)</f>
        <v>4552.320000000007</v>
      </c>
      <c r="G924" s="73">
        <f t="shared" si="304"/>
        <v>4166.9099999999926</v>
      </c>
      <c r="H924" s="73">
        <f t="shared" si="304"/>
        <v>4089.6300000000083</v>
      </c>
      <c r="I924" s="73">
        <f t="shared" si="304"/>
        <v>4196.5200000000004</v>
      </c>
      <c r="J924" s="73">
        <f t="shared" si="304"/>
        <v>4837.8300000000017</v>
      </c>
      <c r="K924" s="73">
        <f t="shared" si="304"/>
        <v>4480.0200000000004</v>
      </c>
      <c r="L924" s="73">
        <f t="shared" si="304"/>
        <v>4140.3000000000065</v>
      </c>
      <c r="M924" s="73">
        <f t="shared" si="304"/>
        <v>4183.5600000000013</v>
      </c>
      <c r="N924" s="73">
        <f t="shared" si="304"/>
        <v>4417.7399999999943</v>
      </c>
      <c r="O924" s="85"/>
      <c r="P924" s="85"/>
      <c r="Q924" s="86"/>
      <c r="R924" s="86"/>
      <c r="S924" s="181"/>
      <c r="T924" s="182"/>
      <c r="U924" s="183"/>
      <c r="V924" s="217"/>
      <c r="X924" s="157"/>
      <c r="Y924" s="157"/>
      <c r="Z924" s="157"/>
      <c r="AA924" s="157"/>
    </row>
    <row r="925" spans="1:29" x14ac:dyDescent="0.25">
      <c r="A925" s="249">
        <v>43531</v>
      </c>
      <c r="B925" s="261" t="s">
        <v>174</v>
      </c>
      <c r="C925" s="59" t="s">
        <v>176</v>
      </c>
      <c r="D925" s="59" t="s">
        <v>175</v>
      </c>
      <c r="E925" s="61" t="s">
        <v>186</v>
      </c>
      <c r="F925" s="31">
        <v>3165.93</v>
      </c>
      <c r="G925" s="31">
        <v>2983.92</v>
      </c>
      <c r="H925" s="31">
        <v>2978.56</v>
      </c>
      <c r="I925" s="31">
        <v>2958.13</v>
      </c>
      <c r="J925" s="31">
        <v>3076.09</v>
      </c>
      <c r="K925" s="31">
        <v>3221.3</v>
      </c>
      <c r="L925" s="31">
        <v>2986.34</v>
      </c>
      <c r="M925" s="31">
        <v>2982.86</v>
      </c>
      <c r="N925" s="31">
        <v>3115.68</v>
      </c>
      <c r="O925" s="79">
        <f>IF((N926=""),"",MAX(F927:N927))</f>
        <v>3917.8600000000006</v>
      </c>
      <c r="P925" s="79">
        <f>IF(N926="","",MIN(F927:N927))</f>
        <v>3620.76</v>
      </c>
      <c r="Q925" s="80">
        <f>IF((N927=""),"",AVERAGE(F927:N927))</f>
        <v>3814.3311111111107</v>
      </c>
      <c r="R925" s="80">
        <f>IF((N926=""),"",(O925-P925)/(O925+P925)*100)</f>
        <v>3.941039606718475</v>
      </c>
      <c r="S925" s="152">
        <f>STDEV(F927:N927)</f>
        <v>100.9878503143379</v>
      </c>
      <c r="T925" s="176" t="str">
        <f>IF(N926="","",IF(Q925&gt;3650,IF(R925&lt;7,IF(Q925&lt;4450,"Pass","Fail"),"Fail"),"Fail"))</f>
        <v>Pass</v>
      </c>
      <c r="U925" s="188" t="s">
        <v>217</v>
      </c>
      <c r="V925" s="265" t="s">
        <v>227</v>
      </c>
      <c r="X925" s="155">
        <v>3650</v>
      </c>
      <c r="Y925" s="155">
        <v>4450</v>
      </c>
      <c r="Z925" s="155">
        <v>3700</v>
      </c>
      <c r="AA925" s="155">
        <v>4100</v>
      </c>
      <c r="AB925" s="51">
        <v>7</v>
      </c>
      <c r="AC925" s="51">
        <v>6.5</v>
      </c>
    </row>
    <row r="926" spans="1:29" ht="16.100000000000001" x14ac:dyDescent="0.35">
      <c r="A926"/>
      <c r="B926" s="44"/>
      <c r="C926" s="24"/>
      <c r="D926" s="24"/>
      <c r="E926" s="81" t="s">
        <v>187</v>
      </c>
      <c r="F926" s="31">
        <v>1301.3</v>
      </c>
      <c r="G926" s="31">
        <v>1046.22</v>
      </c>
      <c r="H926" s="31">
        <v>1029.17</v>
      </c>
      <c r="I926" s="31">
        <v>1023.37</v>
      </c>
      <c r="J926" s="31">
        <v>1217.47</v>
      </c>
      <c r="K926" s="31">
        <v>1410.92</v>
      </c>
      <c r="L926" s="31">
        <v>1055.45</v>
      </c>
      <c r="M926" s="31">
        <v>1023.93</v>
      </c>
      <c r="N926" s="31">
        <v>1196.49</v>
      </c>
      <c r="O926" s="81"/>
      <c r="P926" s="81"/>
      <c r="Q926" s="82"/>
      <c r="R926" s="82"/>
      <c r="S926" s="178"/>
      <c r="T926" s="28"/>
      <c r="U926" s="185"/>
      <c r="V926" s="217"/>
      <c r="X926" s="157"/>
      <c r="Y926" s="157"/>
      <c r="Z926" s="157"/>
      <c r="AA926" s="157"/>
    </row>
    <row r="927" spans="1:29" ht="22.75" thickBot="1" x14ac:dyDescent="0.4">
      <c r="A927"/>
      <c r="B927" s="44"/>
      <c r="C927" s="24"/>
      <c r="D927" s="24"/>
      <c r="E927" s="81" t="s">
        <v>188</v>
      </c>
      <c r="F927" s="60">
        <f t="shared" ref="F927:N927" si="305">IF(((F925="")*AND(F926="")),"",(F925-F926)*2)</f>
        <v>3729.2599999999998</v>
      </c>
      <c r="G927" s="60">
        <f t="shared" si="305"/>
        <v>3875.4</v>
      </c>
      <c r="H927" s="60">
        <f t="shared" si="305"/>
        <v>3898.7799999999997</v>
      </c>
      <c r="I927" s="60">
        <f t="shared" si="305"/>
        <v>3869.5200000000004</v>
      </c>
      <c r="J927" s="60">
        <f t="shared" si="305"/>
        <v>3717.2400000000002</v>
      </c>
      <c r="K927" s="60">
        <f t="shared" si="305"/>
        <v>3620.76</v>
      </c>
      <c r="L927" s="60">
        <f t="shared" si="305"/>
        <v>3861.78</v>
      </c>
      <c r="M927" s="60">
        <f t="shared" si="305"/>
        <v>3917.8600000000006</v>
      </c>
      <c r="N927" s="60">
        <f t="shared" si="305"/>
        <v>3838.3799999999997</v>
      </c>
      <c r="O927" s="81"/>
      <c r="P927" s="81"/>
      <c r="Q927" s="82"/>
      <c r="R927" s="82"/>
      <c r="S927" s="178"/>
      <c r="T927" s="28"/>
      <c r="U927" s="185"/>
      <c r="V927" s="217"/>
      <c r="X927" s="157"/>
      <c r="Y927" s="157"/>
      <c r="Z927" s="157"/>
      <c r="AA927" s="157"/>
    </row>
    <row r="928" spans="1:29" x14ac:dyDescent="0.25">
      <c r="A928" s="249">
        <v>43531</v>
      </c>
      <c r="B928" s="257" t="s">
        <v>169</v>
      </c>
      <c r="C928" s="24" t="s">
        <v>171</v>
      </c>
      <c r="D928" s="24" t="s">
        <v>189</v>
      </c>
      <c r="E928" s="81" t="s">
        <v>186</v>
      </c>
      <c r="F928" s="31">
        <v>1929.32</v>
      </c>
      <c r="G928" s="31">
        <v>1927.02</v>
      </c>
      <c r="H928" s="31">
        <v>1923.41</v>
      </c>
      <c r="I928" s="31">
        <v>1929.46</v>
      </c>
      <c r="J928" s="31">
        <v>1928.46</v>
      </c>
      <c r="K928" s="31">
        <v>1933.56</v>
      </c>
      <c r="L928" s="31">
        <v>1924.44</v>
      </c>
      <c r="M928" s="31">
        <v>1926.96</v>
      </c>
      <c r="N928" s="31">
        <v>1936.05</v>
      </c>
      <c r="O928" s="81">
        <f>IF((N929=""),"",MAX(F930:N930))</f>
        <v>2006.91</v>
      </c>
      <c r="P928" s="81">
        <f>IF(N929="","",MIN(F930:N930))</f>
        <v>1957.1400000000003</v>
      </c>
      <c r="Q928" s="82">
        <f>IF((N930=""),"",AVERAGE(F930:N930))</f>
        <v>1993.4400000000003</v>
      </c>
      <c r="R928" s="82">
        <f>IF((N929=""),"",(O928-P928)/(O928+P928)*100)</f>
        <v>1.2555341128391355</v>
      </c>
      <c r="S928" s="178">
        <f>STDEV(F930:N930)</f>
        <v>16.570635171893642</v>
      </c>
      <c r="T928" s="23" t="str">
        <f>IF(N929="","",IF(Q928&gt;1940,IF(R928&lt;8.3,IF(Q928&lt;2180,"Pass","Fail"),"Fail"),"Fail"))</f>
        <v>Pass</v>
      </c>
      <c r="U928" s="188" t="s">
        <v>217</v>
      </c>
      <c r="V928" s="217" t="s">
        <v>227</v>
      </c>
      <c r="X928" s="155">
        <v>2000</v>
      </c>
      <c r="Y928" s="155">
        <v>3000</v>
      </c>
      <c r="Z928" s="155">
        <v>1940</v>
      </c>
      <c r="AA928" s="155">
        <v>2180</v>
      </c>
      <c r="AC928" s="51">
        <v>5.2</v>
      </c>
    </row>
    <row r="929" spans="1:29" ht="16.100000000000001" x14ac:dyDescent="0.35">
      <c r="A929"/>
      <c r="B929" s="44"/>
      <c r="C929" s="24"/>
      <c r="D929" s="24"/>
      <c r="E929" s="81" t="s">
        <v>187</v>
      </c>
      <c r="F929" s="31">
        <v>1265.75</v>
      </c>
      <c r="G929" s="31">
        <v>1258.28</v>
      </c>
      <c r="H929" s="31">
        <v>1254.44</v>
      </c>
      <c r="I929" s="31">
        <v>1262.0999999999999</v>
      </c>
      <c r="J929" s="31">
        <v>1276.08</v>
      </c>
      <c r="K929" s="31">
        <v>1265.3499999999999</v>
      </c>
      <c r="L929" s="31">
        <v>1261.18</v>
      </c>
      <c r="M929" s="31">
        <v>1258.9100000000001</v>
      </c>
      <c r="N929" s="31">
        <v>1276.27</v>
      </c>
      <c r="O929" s="81"/>
      <c r="P929" s="81"/>
      <c r="Q929" s="82"/>
      <c r="R929" s="82"/>
      <c r="S929" s="178"/>
      <c r="T929" s="23"/>
      <c r="U929" s="179"/>
      <c r="V929" s="217"/>
      <c r="X929" s="157"/>
      <c r="Y929" s="157"/>
      <c r="Z929" s="157"/>
      <c r="AA929" s="157"/>
    </row>
    <row r="930" spans="1:29" ht="24.95" customHeight="1" thickBot="1" x14ac:dyDescent="0.4">
      <c r="A930"/>
      <c r="B930" s="44"/>
      <c r="C930" s="24"/>
      <c r="D930" s="24"/>
      <c r="E930" s="81" t="s">
        <v>190</v>
      </c>
      <c r="F930" s="60">
        <f t="shared" ref="F930:N930" si="306">IF(((F928="")*AND(F929="")),"",(F928-F929)*3)</f>
        <v>1990.7099999999998</v>
      </c>
      <c r="G930" s="60">
        <f t="shared" si="306"/>
        <v>2006.22</v>
      </c>
      <c r="H930" s="60">
        <f t="shared" si="306"/>
        <v>2006.91</v>
      </c>
      <c r="I930" s="60">
        <f t="shared" si="306"/>
        <v>2002.0800000000004</v>
      </c>
      <c r="J930" s="60">
        <f t="shared" si="306"/>
        <v>1957.1400000000003</v>
      </c>
      <c r="K930" s="60">
        <f t="shared" si="306"/>
        <v>2004.63</v>
      </c>
      <c r="L930" s="60">
        <f t="shared" si="306"/>
        <v>1989.78</v>
      </c>
      <c r="M930" s="60">
        <f t="shared" si="306"/>
        <v>2004.1499999999999</v>
      </c>
      <c r="N930" s="60">
        <f t="shared" si="306"/>
        <v>1979.34</v>
      </c>
      <c r="O930" s="81"/>
      <c r="P930" s="81"/>
      <c r="Q930" s="82"/>
      <c r="R930" s="82"/>
      <c r="S930" s="178"/>
      <c r="T930" s="23"/>
      <c r="U930" s="179"/>
      <c r="V930" s="217"/>
      <c r="X930" s="157"/>
      <c r="Y930" s="157"/>
      <c r="Z930" s="157"/>
      <c r="AA930" s="157"/>
    </row>
    <row r="931" spans="1:29" x14ac:dyDescent="0.25">
      <c r="A931" s="249">
        <v>43531</v>
      </c>
      <c r="B931" s="260" t="s">
        <v>185</v>
      </c>
      <c r="C931" s="24" t="s">
        <v>173</v>
      </c>
      <c r="D931" s="24" t="s">
        <v>172</v>
      </c>
      <c r="E931" s="81" t="s">
        <v>186</v>
      </c>
      <c r="F931" s="31">
        <v>26873.55</v>
      </c>
      <c r="G931" s="31">
        <v>26845.3</v>
      </c>
      <c r="H931" s="31">
        <v>26908.77</v>
      </c>
      <c r="I931" s="31">
        <v>26790.18</v>
      </c>
      <c r="J931" s="31">
        <v>26831.55</v>
      </c>
      <c r="K931" s="31">
        <v>26795.98</v>
      </c>
      <c r="L931" s="31">
        <v>26851.86</v>
      </c>
      <c r="M931" s="31">
        <v>26809.35</v>
      </c>
      <c r="N931" s="31">
        <v>26821.32</v>
      </c>
      <c r="O931" s="81">
        <f>IF((N932=""),"",MAX(F933:N933))</f>
        <v>5050.9500000000044</v>
      </c>
      <c r="P931" s="81">
        <f>IF(N932="","",MIN(F933:N933))</f>
        <v>4193.6099999999969</v>
      </c>
      <c r="Q931" s="82">
        <f>IF((N933=""),"",AVERAGE(F933:N933))</f>
        <v>4521.9533333333311</v>
      </c>
      <c r="R931" s="82">
        <f>IF((N932=""),"",(O931-P931)/(O931+P931)*100)</f>
        <v>9.2739946519900052</v>
      </c>
      <c r="S931" s="178">
        <f>STDEV(F933:N933)</f>
        <v>284.17195555684413</v>
      </c>
      <c r="T931" s="23" t="str">
        <f>IF(N932="","",IF(R931&lt;16,IF(Q931&gt;3200,IF(R931,IF(Q931&lt;5240,"Pass","Fail"),"Fail"),"Fail")))</f>
        <v>Pass</v>
      </c>
      <c r="U931" s="188" t="s">
        <v>217</v>
      </c>
      <c r="V931" s="217" t="s">
        <v>227</v>
      </c>
      <c r="X931" s="155">
        <v>4200</v>
      </c>
      <c r="Y931" s="155">
        <v>5500</v>
      </c>
      <c r="Z931" s="155">
        <v>3200</v>
      </c>
      <c r="AA931" s="155">
        <v>5240</v>
      </c>
      <c r="AC931" s="51">
        <v>16</v>
      </c>
    </row>
    <row r="932" spans="1:29" ht="16.100000000000001" x14ac:dyDescent="0.35">
      <c r="A932"/>
      <c r="B932" s="44"/>
      <c r="C932" s="24"/>
      <c r="D932" s="24"/>
      <c r="E932" s="81" t="s">
        <v>187</v>
      </c>
      <c r="F932" s="31">
        <v>25286.74</v>
      </c>
      <c r="G932" s="31">
        <v>25385.63</v>
      </c>
      <c r="H932" s="31">
        <v>25510.9</v>
      </c>
      <c r="I932" s="31">
        <v>25362.86</v>
      </c>
      <c r="J932" s="31">
        <v>25257.42</v>
      </c>
      <c r="K932" s="31">
        <v>25250.54</v>
      </c>
      <c r="L932" s="31">
        <v>25415.22</v>
      </c>
      <c r="M932" s="31">
        <v>25355.02</v>
      </c>
      <c r="N932" s="31">
        <v>25137.67</v>
      </c>
      <c r="O932" s="81"/>
      <c r="P932" s="81"/>
      <c r="Q932" s="82"/>
      <c r="R932" s="82"/>
      <c r="S932" s="178"/>
      <c r="T932" s="23"/>
      <c r="U932" s="179"/>
      <c r="V932" s="217"/>
      <c r="X932" s="157"/>
      <c r="Y932" s="157"/>
      <c r="Z932" s="157"/>
      <c r="AA932" s="157"/>
    </row>
    <row r="933" spans="1:29" ht="22.75" thickBot="1" x14ac:dyDescent="0.4">
      <c r="A933"/>
      <c r="B933" s="83"/>
      <c r="C933" s="84"/>
      <c r="D933" s="84"/>
      <c r="E933" s="85" t="s">
        <v>188</v>
      </c>
      <c r="F933" s="73">
        <f t="shared" ref="F933:N933" si="307">IF(((F931="")*AND(F932="")),"",(F931-F932)*3)</f>
        <v>4760.429999999993</v>
      </c>
      <c r="G933" s="73">
        <f t="shared" si="307"/>
        <v>4379.0099999999948</v>
      </c>
      <c r="H933" s="73">
        <f t="shared" si="307"/>
        <v>4193.6099999999969</v>
      </c>
      <c r="I933" s="73">
        <f t="shared" si="307"/>
        <v>4281.9599999999991</v>
      </c>
      <c r="J933" s="73">
        <f t="shared" si="307"/>
        <v>4722.3900000000031</v>
      </c>
      <c r="K933" s="73">
        <f t="shared" si="307"/>
        <v>4636.3199999999961</v>
      </c>
      <c r="L933" s="73">
        <f t="shared" si="307"/>
        <v>4309.9199999999983</v>
      </c>
      <c r="M933" s="73">
        <f t="shared" si="307"/>
        <v>4362.9899999999943</v>
      </c>
      <c r="N933" s="73">
        <f t="shared" si="307"/>
        <v>5050.9500000000044</v>
      </c>
      <c r="O933" s="85"/>
      <c r="P933" s="85"/>
      <c r="Q933" s="86"/>
      <c r="R933" s="86"/>
      <c r="S933" s="181"/>
      <c r="T933" s="182"/>
      <c r="U933" s="183"/>
      <c r="V933" s="217"/>
      <c r="X933" s="157"/>
      <c r="Y933" s="157"/>
      <c r="Z933" s="157"/>
      <c r="AA933" s="157"/>
    </row>
    <row r="934" spans="1:29" x14ac:dyDescent="0.25">
      <c r="A934" s="249">
        <v>43535</v>
      </c>
      <c r="B934" s="261" t="s">
        <v>174</v>
      </c>
      <c r="C934" s="59" t="s">
        <v>176</v>
      </c>
      <c r="D934" s="59" t="s">
        <v>175</v>
      </c>
      <c r="E934" s="61" t="s">
        <v>186</v>
      </c>
      <c r="F934" s="31">
        <v>6911.39</v>
      </c>
      <c r="G934" s="31">
        <v>6874.94</v>
      </c>
      <c r="H934" s="31">
        <v>6888.93</v>
      </c>
      <c r="I934" s="31">
        <v>6843.16</v>
      </c>
      <c r="J934" s="31">
        <v>6807.85</v>
      </c>
      <c r="K934" s="31">
        <v>6871.49</v>
      </c>
      <c r="L934" s="31">
        <v>6864.56</v>
      </c>
      <c r="M934" s="31">
        <v>6908.57</v>
      </c>
      <c r="N934" s="31">
        <v>6957.81</v>
      </c>
      <c r="O934" s="79">
        <f>IF((N935=""),"",MAX(F936:N936))</f>
        <v>3954.0399999999991</v>
      </c>
      <c r="P934" s="79">
        <f>IF(N935="","",MIN(F936:N936))</f>
        <v>3692.9599999999991</v>
      </c>
      <c r="Q934" s="80">
        <f>IF((N936=""),"",AVERAGE(F936:N936))</f>
        <v>3860.9022222222225</v>
      </c>
      <c r="R934" s="80">
        <f>IF((N935=""),"",(O934-P934)/(O934+P934)*100)</f>
        <v>3.4141493396103049</v>
      </c>
      <c r="S934" s="152">
        <f>STDEV(F936:N936)</f>
        <v>94.170383053508232</v>
      </c>
      <c r="T934" s="176" t="str">
        <f>IF(N935="","",IF(Q934&gt;3650,IF(R934&lt;7,IF(Q934&lt;4450,"Pass","Fail"),"Fail"),"Fail"))</f>
        <v>Pass</v>
      </c>
      <c r="U934" s="188">
        <v>74</v>
      </c>
      <c r="V934" s="166"/>
      <c r="W934" s="31"/>
      <c r="X934" s="155">
        <v>3650</v>
      </c>
      <c r="Y934" s="155">
        <v>4450</v>
      </c>
      <c r="Z934" s="155">
        <v>3700</v>
      </c>
      <c r="AA934" s="155">
        <v>4100</v>
      </c>
      <c r="AB934" s="51">
        <v>7</v>
      </c>
      <c r="AC934" s="51">
        <v>6.5</v>
      </c>
    </row>
    <row r="935" spans="1:29" ht="16.100000000000001" x14ac:dyDescent="0.35">
      <c r="A935"/>
      <c r="B935" s="44"/>
      <c r="C935" s="24"/>
      <c r="D935" s="24"/>
      <c r="E935" s="81" t="s">
        <v>187</v>
      </c>
      <c r="F935" s="31">
        <v>5021.43</v>
      </c>
      <c r="G935" s="31">
        <v>4913.83</v>
      </c>
      <c r="H935" s="31">
        <v>4915.3999999999996</v>
      </c>
      <c r="I935" s="31">
        <v>4885.05</v>
      </c>
      <c r="J935" s="31">
        <v>4927.51</v>
      </c>
      <c r="K935" s="31">
        <v>5025.01</v>
      </c>
      <c r="L935" s="31">
        <v>4905.79</v>
      </c>
      <c r="M935" s="31">
        <v>4931.55</v>
      </c>
      <c r="N935" s="31">
        <v>5029.07</v>
      </c>
      <c r="O935" s="81"/>
      <c r="P935" s="81"/>
      <c r="Q935" s="82"/>
      <c r="R935" s="82"/>
      <c r="S935" s="178"/>
      <c r="T935" s="28"/>
      <c r="U935" s="185"/>
      <c r="V935" s="166"/>
      <c r="W935" s="31"/>
      <c r="X935" s="157"/>
      <c r="Y935" s="157"/>
      <c r="Z935" s="157"/>
      <c r="AA935" s="157"/>
    </row>
    <row r="936" spans="1:29" ht="22.75" thickBot="1" x14ac:dyDescent="0.4">
      <c r="A936"/>
      <c r="B936" s="44"/>
      <c r="C936" s="24"/>
      <c r="D936" s="24"/>
      <c r="E936" s="81" t="s">
        <v>188</v>
      </c>
      <c r="F936" s="60">
        <f t="shared" ref="F936:N936" si="308">IF(((F934="")*AND(F935="")),"",(F934-F935)*2)</f>
        <v>3779.92</v>
      </c>
      <c r="G936" s="60">
        <f t="shared" si="308"/>
        <v>3922.2199999999993</v>
      </c>
      <c r="H936" s="60">
        <f t="shared" si="308"/>
        <v>3947.0600000000013</v>
      </c>
      <c r="I936" s="60">
        <f t="shared" si="308"/>
        <v>3916.2199999999993</v>
      </c>
      <c r="J936" s="60">
        <f t="shared" si="308"/>
        <v>3760.6800000000003</v>
      </c>
      <c r="K936" s="60">
        <f t="shared" si="308"/>
        <v>3692.9599999999991</v>
      </c>
      <c r="L936" s="60">
        <f t="shared" si="308"/>
        <v>3917.5400000000009</v>
      </c>
      <c r="M936" s="60">
        <f t="shared" si="308"/>
        <v>3954.0399999999991</v>
      </c>
      <c r="N936" s="60">
        <f t="shared" si="308"/>
        <v>3857.4800000000014</v>
      </c>
      <c r="O936" s="81"/>
      <c r="P936" s="81"/>
      <c r="Q936" s="82"/>
      <c r="R936" s="82"/>
      <c r="S936" s="178"/>
      <c r="T936" s="28"/>
      <c r="U936" s="185"/>
      <c r="V936" s="166"/>
      <c r="W936" s="31"/>
      <c r="X936" s="157"/>
      <c r="Y936" s="157"/>
      <c r="Z936" s="157"/>
      <c r="AA936" s="157"/>
    </row>
    <row r="937" spans="1:29" x14ac:dyDescent="0.25">
      <c r="A937" s="249">
        <v>43535</v>
      </c>
      <c r="B937" s="257" t="s">
        <v>169</v>
      </c>
      <c r="C937" s="24" t="s">
        <v>171</v>
      </c>
      <c r="D937" s="24" t="s">
        <v>189</v>
      </c>
      <c r="E937" s="81" t="s">
        <v>186</v>
      </c>
      <c r="F937" s="31">
        <v>1950.17</v>
      </c>
      <c r="G937" s="31">
        <v>1943.46</v>
      </c>
      <c r="H937" s="31">
        <v>1941.35</v>
      </c>
      <c r="I937" s="31">
        <v>1937.41</v>
      </c>
      <c r="J937" s="31">
        <v>1946.79</v>
      </c>
      <c r="K937" s="31">
        <v>1949.47</v>
      </c>
      <c r="L937" s="31">
        <v>1940.85</v>
      </c>
      <c r="M937" s="31">
        <v>1941.49</v>
      </c>
      <c r="N937" s="31">
        <v>1948.58</v>
      </c>
      <c r="O937" s="81">
        <f>IF((N938=""),"",MAX(F939:N939))</f>
        <v>2065.5</v>
      </c>
      <c r="P937" s="81">
        <f>IF(N938="","",MIN(F939:N939))</f>
        <v>2032.53</v>
      </c>
      <c r="Q937" s="82">
        <f>IF((N939=""),"",AVERAGE(F939:N939))</f>
        <v>2046.9066666666668</v>
      </c>
      <c r="R937" s="82">
        <f>IF((N938=""),"",(O937-P937)/(O937+P937)*100)</f>
        <v>0.80453290971515645</v>
      </c>
      <c r="S937" s="178">
        <f>STDEV(F939:N939)</f>
        <v>13.655280114300355</v>
      </c>
      <c r="T937" s="23" t="str">
        <f>IF(N938="","",IF(Q937&gt;1940,IF(R937&lt;8.3,IF(Q937&lt;2180,"Pass","Fail"),"Fail"),"Fail"))</f>
        <v>Pass</v>
      </c>
      <c r="U937" s="188">
        <v>74</v>
      </c>
      <c r="V937" s="166"/>
      <c r="W937" s="31"/>
      <c r="X937" s="155">
        <v>2000</v>
      </c>
      <c r="Y937" s="155">
        <v>3000</v>
      </c>
      <c r="Z937" s="155">
        <v>1940</v>
      </c>
      <c r="AA937" s="155">
        <v>2180</v>
      </c>
      <c r="AC937" s="51">
        <v>5.2</v>
      </c>
    </row>
    <row r="938" spans="1:29" ht="16.100000000000001" x14ac:dyDescent="0.35">
      <c r="A938"/>
      <c r="B938" s="44"/>
      <c r="C938" s="24"/>
      <c r="D938" s="24"/>
      <c r="E938" s="81" t="s">
        <v>187</v>
      </c>
      <c r="F938" s="31">
        <v>1262.3499999999999</v>
      </c>
      <c r="G938" s="31">
        <v>1255.0999999999999</v>
      </c>
      <c r="H938" s="31">
        <v>1262.98</v>
      </c>
      <c r="I938" s="31">
        <v>1259.9000000000001</v>
      </c>
      <c r="J938" s="31">
        <v>1267.2</v>
      </c>
      <c r="K938" s="31">
        <v>1268.96</v>
      </c>
      <c r="L938" s="31">
        <v>1261.48</v>
      </c>
      <c r="M938" s="31">
        <v>1252.99</v>
      </c>
      <c r="N938" s="31">
        <v>1267.8900000000001</v>
      </c>
      <c r="O938" s="81"/>
      <c r="P938" s="81"/>
      <c r="Q938" s="82"/>
      <c r="R938" s="82"/>
      <c r="S938" s="178"/>
      <c r="T938" s="23"/>
      <c r="U938" s="179"/>
      <c r="V938" s="212"/>
      <c r="W938" s="31"/>
      <c r="X938" s="157"/>
      <c r="Y938" s="157"/>
      <c r="Z938" s="157"/>
      <c r="AA938" s="157"/>
    </row>
    <row r="939" spans="1:29" ht="25.5" customHeight="1" thickBot="1" x14ac:dyDescent="0.4">
      <c r="A939"/>
      <c r="B939" s="44"/>
      <c r="C939" s="24"/>
      <c r="D939" s="24"/>
      <c r="E939" s="81" t="s">
        <v>190</v>
      </c>
      <c r="F939" s="60">
        <f t="shared" ref="F939:N939" si="309">IF(((F937="")*AND(F938="")),"",(F937-F938)*3)</f>
        <v>2063.4600000000005</v>
      </c>
      <c r="G939" s="60">
        <f t="shared" si="309"/>
        <v>2065.0800000000004</v>
      </c>
      <c r="H939" s="60">
        <f t="shared" si="309"/>
        <v>2035.1099999999997</v>
      </c>
      <c r="I939" s="60">
        <f t="shared" si="309"/>
        <v>2032.53</v>
      </c>
      <c r="J939" s="60">
        <f t="shared" si="309"/>
        <v>2038.7699999999998</v>
      </c>
      <c r="K939" s="60">
        <f t="shared" si="309"/>
        <v>2041.53</v>
      </c>
      <c r="L939" s="60">
        <f t="shared" si="309"/>
        <v>2038.1099999999997</v>
      </c>
      <c r="M939" s="60">
        <f t="shared" si="309"/>
        <v>2065.5</v>
      </c>
      <c r="N939" s="60">
        <f t="shared" si="309"/>
        <v>2042.0699999999995</v>
      </c>
      <c r="O939" s="81"/>
      <c r="P939" s="81"/>
      <c r="Q939" s="82"/>
      <c r="R939" s="82"/>
      <c r="S939" s="178"/>
      <c r="T939" s="23"/>
      <c r="U939" s="179"/>
      <c r="V939" s="212"/>
      <c r="W939" s="31"/>
      <c r="X939" s="157"/>
      <c r="Y939" s="157"/>
      <c r="Z939" s="157"/>
      <c r="AA939" s="157"/>
    </row>
    <row r="940" spans="1:29" x14ac:dyDescent="0.25">
      <c r="A940" s="249">
        <v>43535</v>
      </c>
      <c r="B940" s="260" t="s">
        <v>185</v>
      </c>
      <c r="C940" s="24" t="s">
        <v>173</v>
      </c>
      <c r="D940" s="24" t="s">
        <v>172</v>
      </c>
      <c r="E940" s="81" t="s">
        <v>186</v>
      </c>
      <c r="F940" s="31">
        <v>25249.62</v>
      </c>
      <c r="G940" s="31">
        <v>25342.58</v>
      </c>
      <c r="H940" s="31">
        <v>25462.38</v>
      </c>
      <c r="I940" s="31">
        <v>25351.66</v>
      </c>
      <c r="J940" s="31">
        <v>25198.57</v>
      </c>
      <c r="K940" s="31">
        <v>25233.57</v>
      </c>
      <c r="L940" s="31">
        <v>25396.13</v>
      </c>
      <c r="M940" s="31">
        <v>25290.53</v>
      </c>
      <c r="N940" s="31">
        <v>25315</v>
      </c>
      <c r="O940" s="81">
        <f>IF((N941=""),"",MAX(F942:N942))</f>
        <v>4819.5899999999965</v>
      </c>
      <c r="P940" s="81">
        <f>IF(N941="","",MIN(F942:N942))</f>
        <v>4319.9700000000048</v>
      </c>
      <c r="Q940" s="82">
        <f>IF((N942=""),"",AVERAGE(F942:N942))</f>
        <v>4555.5333333333338</v>
      </c>
      <c r="R940" s="82">
        <f>IF((N941=""),"",(O940-P940)/(O940+P940)*100)</f>
        <v>5.4665651300499327</v>
      </c>
      <c r="S940" s="178">
        <f>STDEV(F942:N942)</f>
        <v>187.82500858511767</v>
      </c>
      <c r="T940" s="23" t="str">
        <f>IF(N941="","",IF(R940&lt;16,IF(Q940&gt;3200,IF(R940,IF(Q940&lt;5240,"Pass","Fail"),"Fail"),"Fail")))</f>
        <v>Pass</v>
      </c>
      <c r="U940" s="188">
        <v>74</v>
      </c>
      <c r="V940" s="166"/>
      <c r="W940" s="31"/>
      <c r="X940" s="155">
        <v>4200</v>
      </c>
      <c r="Y940" s="155">
        <v>5500</v>
      </c>
      <c r="Z940" s="155">
        <v>3200</v>
      </c>
      <c r="AA940" s="155">
        <v>5240</v>
      </c>
      <c r="AC940" s="51">
        <v>16</v>
      </c>
    </row>
    <row r="941" spans="1:29" ht="16.100000000000001" x14ac:dyDescent="0.35">
      <c r="A941"/>
      <c r="B941" s="44"/>
      <c r="C941" s="24"/>
      <c r="D941" s="24"/>
      <c r="E941" s="81" t="s">
        <v>187</v>
      </c>
      <c r="F941" s="31">
        <v>23643.09</v>
      </c>
      <c r="G941" s="31">
        <v>23873.42</v>
      </c>
      <c r="H941" s="31">
        <v>24022.39</v>
      </c>
      <c r="I941" s="31">
        <v>23871.34</v>
      </c>
      <c r="J941" s="31">
        <v>23593.919999999998</v>
      </c>
      <c r="K941" s="31">
        <v>23662.27</v>
      </c>
      <c r="L941" s="31">
        <v>23909.99</v>
      </c>
      <c r="M941" s="31">
        <v>23817.02</v>
      </c>
      <c r="N941" s="31">
        <v>23780</v>
      </c>
      <c r="O941" s="81"/>
      <c r="P941" s="81"/>
      <c r="Q941" s="82"/>
      <c r="R941" s="82"/>
      <c r="S941" s="178"/>
      <c r="T941" s="23"/>
      <c r="U941" s="179"/>
      <c r="V941" s="212"/>
      <c r="W941" s="31"/>
      <c r="X941" s="157"/>
      <c r="Y941" s="157"/>
      <c r="Z941" s="157"/>
      <c r="AA941" s="157"/>
    </row>
    <row r="942" spans="1:29" ht="22.75" thickBot="1" x14ac:dyDescent="0.4">
      <c r="A942"/>
      <c r="B942" s="83"/>
      <c r="C942" s="84"/>
      <c r="D942" s="84"/>
      <c r="E942" s="85" t="s">
        <v>188</v>
      </c>
      <c r="F942" s="73">
        <f t="shared" ref="F942:N942" si="310">IF(((F940="")*AND(F941="")),"",(F940-F941)*3)</f>
        <v>4819.5899999999965</v>
      </c>
      <c r="G942" s="73">
        <f t="shared" si="310"/>
        <v>4407.4800000000105</v>
      </c>
      <c r="H942" s="73">
        <f t="shared" si="310"/>
        <v>4319.9700000000048</v>
      </c>
      <c r="I942" s="73">
        <f t="shared" si="310"/>
        <v>4440.9599999999991</v>
      </c>
      <c r="J942" s="73">
        <f t="shared" si="310"/>
        <v>4813.9500000000044</v>
      </c>
      <c r="K942" s="73">
        <f t="shared" si="310"/>
        <v>4713.8999999999978</v>
      </c>
      <c r="L942" s="73">
        <f t="shared" si="310"/>
        <v>4458.4199999999983</v>
      </c>
      <c r="M942" s="73">
        <f t="shared" si="310"/>
        <v>4420.5299999999952</v>
      </c>
      <c r="N942" s="73">
        <f t="shared" si="310"/>
        <v>4605</v>
      </c>
      <c r="O942" s="85"/>
      <c r="P942" s="85"/>
      <c r="Q942" s="86"/>
      <c r="R942" s="86"/>
      <c r="S942" s="181"/>
      <c r="T942" s="182"/>
      <c r="U942" s="183"/>
      <c r="V942" s="212"/>
      <c r="W942" s="31"/>
      <c r="X942" s="157"/>
      <c r="Y942" s="157"/>
      <c r="Z942" s="157"/>
      <c r="AA942" s="157"/>
    </row>
    <row r="943" spans="1:29" x14ac:dyDescent="0.25">
      <c r="A943" s="249">
        <v>43538</v>
      </c>
      <c r="B943" s="261" t="s">
        <v>174</v>
      </c>
      <c r="C943" s="59" t="s">
        <v>176</v>
      </c>
      <c r="D943" s="59" t="s">
        <v>175</v>
      </c>
      <c r="E943" s="61" t="s">
        <v>186</v>
      </c>
      <c r="F943" s="31">
        <v>5021.43</v>
      </c>
      <c r="G943" s="31">
        <v>4913.83</v>
      </c>
      <c r="H943" s="31">
        <v>4915.3999999999996</v>
      </c>
      <c r="I943" s="31">
        <v>4885.05</v>
      </c>
      <c r="J943" s="31">
        <v>4927.51</v>
      </c>
      <c r="K943" s="31">
        <v>5025.01</v>
      </c>
      <c r="L943" s="31">
        <v>4905.79</v>
      </c>
      <c r="M943" s="31">
        <v>4931.55</v>
      </c>
      <c r="N943" s="31">
        <v>5029.07</v>
      </c>
      <c r="O943" s="79">
        <f>IF((N944=""),"",MAX(F945:N945))</f>
        <v>4052.1399999999994</v>
      </c>
      <c r="P943" s="79">
        <f>IF(N944="","",MIN(F945:N945))</f>
        <v>3687.46</v>
      </c>
      <c r="Q943" s="80">
        <f>IF((N945=""),"",AVERAGE(F945:N945))</f>
        <v>3893.9688888888891</v>
      </c>
      <c r="R943" s="80">
        <f>IF((N944=""),"",(O943-P943)/(O943+P943)*100)</f>
        <v>4.7118714145433795</v>
      </c>
      <c r="S943" s="152">
        <f>STDEV(F945:N945)</f>
        <v>110.04607585512102</v>
      </c>
      <c r="T943" s="176" t="str">
        <f>IF(N944="","",IF(Q943&gt;3650,IF(R943&lt;7,IF(Q943&lt;4450,"Pass","Fail"),"Fail"),"Fail"))</f>
        <v>Pass</v>
      </c>
      <c r="U943" s="188">
        <v>121</v>
      </c>
      <c r="V943" s="265" t="s">
        <v>228</v>
      </c>
      <c r="X943" s="155">
        <v>3650</v>
      </c>
      <c r="Y943" s="155">
        <v>4450</v>
      </c>
      <c r="Z943" s="155">
        <v>3700</v>
      </c>
      <c r="AA943" s="155">
        <v>4100</v>
      </c>
      <c r="AB943" s="51">
        <v>7</v>
      </c>
      <c r="AC943" s="51">
        <v>6.5</v>
      </c>
    </row>
    <row r="944" spans="1:29" ht="16.100000000000001" x14ac:dyDescent="0.35">
      <c r="A944"/>
      <c r="B944" s="44"/>
      <c r="C944" s="24"/>
      <c r="D944" s="24"/>
      <c r="E944" s="81" t="s">
        <v>187</v>
      </c>
      <c r="F944" s="31">
        <v>3137.81</v>
      </c>
      <c r="G944" s="31">
        <v>2954.78</v>
      </c>
      <c r="H944" s="31">
        <v>2940.64</v>
      </c>
      <c r="I944" s="31">
        <v>2916.07</v>
      </c>
      <c r="J944" s="31">
        <v>3003</v>
      </c>
      <c r="K944" s="31">
        <v>3181.28</v>
      </c>
      <c r="L944" s="31">
        <v>2945.28</v>
      </c>
      <c r="M944" s="31">
        <v>2949.92</v>
      </c>
      <c r="N944" s="31">
        <v>3003</v>
      </c>
      <c r="O944" s="81"/>
      <c r="P944" s="81"/>
      <c r="Q944" s="82"/>
      <c r="R944" s="82"/>
      <c r="S944" s="178"/>
      <c r="T944" s="28"/>
      <c r="U944" s="185"/>
      <c r="V944" s="217"/>
      <c r="X944" s="157"/>
      <c r="Y944" s="157"/>
      <c r="Z944" s="157"/>
      <c r="AA944" s="157"/>
    </row>
    <row r="945" spans="1:29" ht="22.75" thickBot="1" x14ac:dyDescent="0.4">
      <c r="A945"/>
      <c r="B945" s="44"/>
      <c r="C945" s="24"/>
      <c r="D945" s="24"/>
      <c r="E945" s="81" t="s">
        <v>188</v>
      </c>
      <c r="F945" s="60">
        <f t="shared" ref="F945:N945" si="311">IF(((F943="")*AND(F944="")),"",(F943-F944)*2)</f>
        <v>3767.2400000000007</v>
      </c>
      <c r="G945" s="60">
        <f t="shared" si="311"/>
        <v>3918.0999999999995</v>
      </c>
      <c r="H945" s="60">
        <f t="shared" si="311"/>
        <v>3949.5199999999995</v>
      </c>
      <c r="I945" s="60">
        <f t="shared" si="311"/>
        <v>3937.96</v>
      </c>
      <c r="J945" s="60">
        <f t="shared" si="311"/>
        <v>3849.0200000000004</v>
      </c>
      <c r="K945" s="60">
        <f t="shared" si="311"/>
        <v>3687.46</v>
      </c>
      <c r="L945" s="60">
        <f t="shared" si="311"/>
        <v>3921.0199999999995</v>
      </c>
      <c r="M945" s="60">
        <f t="shared" si="311"/>
        <v>3963.26</v>
      </c>
      <c r="N945" s="60">
        <f t="shared" si="311"/>
        <v>4052.1399999999994</v>
      </c>
      <c r="O945" s="81"/>
      <c r="P945" s="81"/>
      <c r="Q945" s="82"/>
      <c r="R945" s="82"/>
      <c r="S945" s="178"/>
      <c r="T945" s="28"/>
      <c r="U945" s="185"/>
      <c r="V945" s="217"/>
      <c r="X945" s="157"/>
      <c r="Y945" s="157"/>
      <c r="Z945" s="157"/>
      <c r="AA945" s="157"/>
    </row>
    <row r="946" spans="1:29" x14ac:dyDescent="0.25">
      <c r="A946" s="249">
        <v>43538</v>
      </c>
      <c r="B946" s="257" t="s">
        <v>169</v>
      </c>
      <c r="C946" s="24" t="s">
        <v>171</v>
      </c>
      <c r="D946" s="24" t="s">
        <v>189</v>
      </c>
      <c r="E946" s="81" t="s">
        <v>186</v>
      </c>
      <c r="F946" s="31">
        <v>1262.3499999999999</v>
      </c>
      <c r="G946" s="31">
        <v>1255.0999999999999</v>
      </c>
      <c r="H946" s="31">
        <v>1262.98</v>
      </c>
      <c r="I946" s="31">
        <v>1259.9000000000001</v>
      </c>
      <c r="J946" s="31">
        <v>1267.2</v>
      </c>
      <c r="K946" s="31">
        <v>1268.96</v>
      </c>
      <c r="L946" s="31">
        <v>1261.48</v>
      </c>
      <c r="M946" s="31">
        <v>1252.99</v>
      </c>
      <c r="N946" s="31">
        <v>1267.8900000000001</v>
      </c>
      <c r="O946" s="81">
        <f>IF((N947=""),"",MAX(F948:N948))</f>
        <v>2043.9599999999998</v>
      </c>
      <c r="P946" s="81">
        <f>IF(N947="","",MIN(F948:N948))</f>
        <v>1978.9800000000002</v>
      </c>
      <c r="Q946" s="82">
        <f>IF((N948=""),"",AVERAGE(F948:N948))</f>
        <v>2014.8733333333334</v>
      </c>
      <c r="R946" s="82">
        <f>IF((N947=""),"",(O946-P946)/(O946+P946)*100)</f>
        <v>1.6152366179957831</v>
      </c>
      <c r="S946" s="178">
        <f>STDEV(F948:N948)</f>
        <v>21.418960642383936</v>
      </c>
      <c r="T946" s="23" t="str">
        <f>IF(N947="","",IF(Q946&gt;1940,IF(R946&lt;8.3,IF(Q946&lt;2180,"Pass","Fail"),"Fail"),"Fail"))</f>
        <v>Pass</v>
      </c>
      <c r="U946" s="188">
        <v>121</v>
      </c>
      <c r="V946" s="217" t="s">
        <v>228</v>
      </c>
      <c r="X946" s="155">
        <v>2000</v>
      </c>
      <c r="Y946" s="155">
        <v>3000</v>
      </c>
      <c r="Z946" s="155">
        <v>1940</v>
      </c>
      <c r="AA946" s="155">
        <v>2180</v>
      </c>
      <c r="AC946" s="51">
        <v>5.2</v>
      </c>
    </row>
    <row r="947" spans="1:29" ht="16.100000000000001" x14ac:dyDescent="0.35">
      <c r="A947"/>
      <c r="B947" s="44"/>
      <c r="C947" s="24"/>
      <c r="D947" s="24"/>
      <c r="E947" s="81" t="s">
        <v>187</v>
      </c>
      <c r="F947" s="31">
        <v>581.03</v>
      </c>
      <c r="G947" s="31">
        <v>579.45000000000005</v>
      </c>
      <c r="H947" s="31">
        <v>588.04999999999995</v>
      </c>
      <c r="I947" s="31">
        <v>590.09</v>
      </c>
      <c r="J947" s="31">
        <v>607.54</v>
      </c>
      <c r="K947" s="31">
        <v>591.69000000000005</v>
      </c>
      <c r="L947" s="31">
        <v>591.19000000000005</v>
      </c>
      <c r="M947" s="31">
        <v>578.9</v>
      </c>
      <c r="N947" s="31">
        <v>606.29</v>
      </c>
      <c r="O947" s="81"/>
      <c r="P947" s="81"/>
      <c r="Q947" s="82"/>
      <c r="R947" s="82"/>
      <c r="S947" s="178"/>
      <c r="T947" s="23"/>
      <c r="U947" s="179"/>
      <c r="V947" s="217"/>
      <c r="X947" s="157"/>
      <c r="Y947" s="157"/>
      <c r="Z947" s="157"/>
      <c r="AA947" s="157"/>
    </row>
    <row r="948" spans="1:29" ht="25.5" customHeight="1" thickBot="1" x14ac:dyDescent="0.4">
      <c r="A948"/>
      <c r="B948" s="44"/>
      <c r="C948" s="24"/>
      <c r="D948" s="24"/>
      <c r="E948" s="81" t="s">
        <v>190</v>
      </c>
      <c r="F948" s="60">
        <f t="shared" ref="F948:N948" si="312">IF(((F946="")*AND(F947="")),"",(F946-F947)*3)</f>
        <v>2043.9599999999998</v>
      </c>
      <c r="G948" s="60">
        <f t="shared" si="312"/>
        <v>2026.9499999999996</v>
      </c>
      <c r="H948" s="60">
        <f t="shared" si="312"/>
        <v>2024.7900000000002</v>
      </c>
      <c r="I948" s="60">
        <f t="shared" si="312"/>
        <v>2009.4300000000003</v>
      </c>
      <c r="J948" s="60">
        <f t="shared" si="312"/>
        <v>1978.9800000000002</v>
      </c>
      <c r="K948" s="60">
        <f t="shared" si="312"/>
        <v>2031.81</v>
      </c>
      <c r="L948" s="60">
        <f t="shared" si="312"/>
        <v>2010.87</v>
      </c>
      <c r="M948" s="60">
        <f t="shared" si="312"/>
        <v>2022.27</v>
      </c>
      <c r="N948" s="60">
        <f t="shared" si="312"/>
        <v>1984.8000000000004</v>
      </c>
      <c r="O948" s="81"/>
      <c r="P948" s="81"/>
      <c r="Q948" s="82"/>
      <c r="R948" s="82"/>
      <c r="S948" s="178"/>
      <c r="T948" s="23"/>
      <c r="U948" s="179"/>
      <c r="V948" s="217"/>
      <c r="X948" s="157"/>
      <c r="Y948" s="157"/>
      <c r="Z948" s="157"/>
      <c r="AA948" s="157"/>
    </row>
    <row r="949" spans="1:29" x14ac:dyDescent="0.25">
      <c r="A949" s="249">
        <v>43538</v>
      </c>
      <c r="B949" s="260" t="s">
        <v>185</v>
      </c>
      <c r="C949" s="24" t="s">
        <v>173</v>
      </c>
      <c r="D949" s="24" t="s">
        <v>172</v>
      </c>
      <c r="E949" s="81" t="s">
        <v>186</v>
      </c>
      <c r="F949" s="31">
        <v>23643.09</v>
      </c>
      <c r="G949" s="31">
        <v>23873.42</v>
      </c>
      <c r="H949" s="31">
        <v>24022.39</v>
      </c>
      <c r="I949" s="31">
        <v>23871.34</v>
      </c>
      <c r="J949" s="31">
        <v>23593.919999999998</v>
      </c>
      <c r="K949" s="31">
        <v>23662.27</v>
      </c>
      <c r="L949" s="31">
        <v>23909.99</v>
      </c>
      <c r="M949" s="31">
        <v>23817.02</v>
      </c>
      <c r="N949" s="31">
        <v>23699</v>
      </c>
      <c r="O949" s="81">
        <f>IF((N950=""),"",MAX(F951:N951))</f>
        <v>5715.9900000000052</v>
      </c>
      <c r="P949" s="81">
        <f>IF(N950="","",MIN(F951:N951))</f>
        <v>4239</v>
      </c>
      <c r="Q949" s="82">
        <f>IF((N951=""),"",AVERAGE(F951:N951))</f>
        <v>4674.9599999999991</v>
      </c>
      <c r="R949" s="82">
        <f>IF((N950=""),"",(O949-P949)/(O949+P949)*100)</f>
        <v>14.836679896212898</v>
      </c>
      <c r="S949" s="178">
        <f>STDEV(F951:N951)</f>
        <v>469.02956583247601</v>
      </c>
      <c r="T949" s="23" t="str">
        <f>IF(N950="","",IF(R949&lt;16,IF(Q949&gt;3200,IF(R949,IF(Q949&lt;5240,"Pass","Fail"),"Fail"),"Fail")))</f>
        <v>Pass</v>
      </c>
      <c r="U949" s="188">
        <v>121</v>
      </c>
      <c r="V949" s="217" t="s">
        <v>228</v>
      </c>
      <c r="X949" s="155">
        <v>4200</v>
      </c>
      <c r="Y949" s="155">
        <v>5500</v>
      </c>
      <c r="Z949" s="155">
        <v>3200</v>
      </c>
      <c r="AA949" s="155">
        <v>5240</v>
      </c>
      <c r="AC949" s="51">
        <v>16</v>
      </c>
    </row>
    <row r="950" spans="1:29" ht="16.100000000000001" x14ac:dyDescent="0.35">
      <c r="A950"/>
      <c r="B950" s="44"/>
      <c r="C950" s="24"/>
      <c r="D950" s="24"/>
      <c r="E950" s="81" t="s">
        <v>187</v>
      </c>
      <c r="F950" s="31">
        <v>21967.79</v>
      </c>
      <c r="G950" s="31">
        <v>22399.29</v>
      </c>
      <c r="H950" s="31">
        <v>22609.39</v>
      </c>
      <c r="I950" s="31">
        <v>22411.86</v>
      </c>
      <c r="J950" s="31">
        <v>21995.77</v>
      </c>
      <c r="K950" s="31">
        <v>22082.7</v>
      </c>
      <c r="L950" s="31">
        <v>22482.3</v>
      </c>
      <c r="M950" s="31">
        <v>22324.79</v>
      </c>
      <c r="N950" s="31">
        <v>21793.67</v>
      </c>
      <c r="O950" s="81"/>
      <c r="P950" s="81"/>
      <c r="Q950" s="82"/>
      <c r="R950" s="82"/>
      <c r="S950" s="178"/>
      <c r="T950" s="23"/>
      <c r="U950" s="179"/>
      <c r="V950" s="217"/>
      <c r="X950" s="157"/>
      <c r="Y950" s="157"/>
      <c r="Z950" s="157"/>
      <c r="AA950" s="157"/>
    </row>
    <row r="951" spans="1:29" ht="22.75" thickBot="1" x14ac:dyDescent="0.4">
      <c r="A951"/>
      <c r="B951" s="83"/>
      <c r="C951" s="84"/>
      <c r="D951" s="84"/>
      <c r="E951" s="85" t="s">
        <v>188</v>
      </c>
      <c r="F951" s="73">
        <f t="shared" ref="F951:N951" si="313">IF(((F949="")*AND(F950="")),"",(F949-F950)*3)</f>
        <v>5025.8999999999978</v>
      </c>
      <c r="G951" s="73">
        <f t="shared" si="313"/>
        <v>4422.3899999999921</v>
      </c>
      <c r="H951" s="73">
        <f t="shared" si="313"/>
        <v>4239</v>
      </c>
      <c r="I951" s="73">
        <f t="shared" si="313"/>
        <v>4378.4399999999987</v>
      </c>
      <c r="J951" s="73">
        <f t="shared" si="313"/>
        <v>4794.4499999999935</v>
      </c>
      <c r="K951" s="73">
        <f t="shared" si="313"/>
        <v>4738.7099999999991</v>
      </c>
      <c r="L951" s="73">
        <f t="shared" si="313"/>
        <v>4283.070000000007</v>
      </c>
      <c r="M951" s="73">
        <f t="shared" si="313"/>
        <v>4476.6899999999987</v>
      </c>
      <c r="N951" s="73">
        <f t="shared" si="313"/>
        <v>5715.9900000000052</v>
      </c>
      <c r="O951" s="85"/>
      <c r="P951" s="85"/>
      <c r="Q951" s="86"/>
      <c r="R951" s="86"/>
      <c r="S951" s="181"/>
      <c r="T951" s="182"/>
      <c r="U951" s="183"/>
      <c r="V951" s="217"/>
      <c r="X951" s="157"/>
      <c r="Y951" s="157"/>
      <c r="Z951" s="157"/>
      <c r="AA951" s="157"/>
    </row>
    <row r="952" spans="1:29" x14ac:dyDescent="0.25">
      <c r="A952" s="249">
        <v>43542</v>
      </c>
      <c r="B952" s="261" t="s">
        <v>174</v>
      </c>
      <c r="C952" s="59" t="s">
        <v>176</v>
      </c>
      <c r="D952" s="59" t="s">
        <v>175</v>
      </c>
      <c r="E952" s="61" t="s">
        <v>186</v>
      </c>
      <c r="F952" s="31">
        <v>6959.52</v>
      </c>
      <c r="G952" s="31">
        <v>6936.07</v>
      </c>
      <c r="H952" s="31">
        <v>6959.36</v>
      </c>
      <c r="I952" s="31">
        <v>6905.43</v>
      </c>
      <c r="J952" s="31">
        <v>6842.86</v>
      </c>
      <c r="K952" s="31">
        <v>6906.74</v>
      </c>
      <c r="L952" s="31">
        <v>6921.74</v>
      </c>
      <c r="M952" s="31">
        <v>6979.01</v>
      </c>
      <c r="N952" s="31">
        <v>6913.47</v>
      </c>
      <c r="O952" s="79">
        <f>IF((N953=""),"",MAX(F954:N954))</f>
        <v>3987.1800000000003</v>
      </c>
      <c r="P952" s="79">
        <f>IF(N953="","",MIN(F954:N954))</f>
        <v>3717.76</v>
      </c>
      <c r="Q952" s="80">
        <f>IF((N954=""),"",AVERAGE(F954:N954))</f>
        <v>3892.3488888888887</v>
      </c>
      <c r="R952" s="80">
        <f>IF((N953=""),"",(O952-P952)/(O952+P952)*100)</f>
        <v>3.496717690209139</v>
      </c>
      <c r="S952" s="152">
        <f>STDEV(F954:N954)</f>
        <v>96.548252242653746</v>
      </c>
      <c r="T952" s="176" t="str">
        <f>IF(N953="","",IF(Q952&gt;3650,IF(R952&lt;7,IF(Q952&lt;4450,"Pass","Fail"),"Fail"),"Fail"))</f>
        <v>Pass</v>
      </c>
      <c r="U952" s="188">
        <v>1428</v>
      </c>
      <c r="V952" s="166"/>
      <c r="W952" s="304"/>
      <c r="X952" s="155">
        <v>3650</v>
      </c>
      <c r="Y952" s="155">
        <v>4450</v>
      </c>
      <c r="Z952" s="155">
        <v>3700</v>
      </c>
      <c r="AA952" s="155">
        <v>4100</v>
      </c>
      <c r="AB952" s="51">
        <v>7</v>
      </c>
      <c r="AC952" s="51">
        <v>6.5</v>
      </c>
    </row>
    <row r="953" spans="1:29" ht="16.100000000000001" x14ac:dyDescent="0.35">
      <c r="A953"/>
      <c r="B953" s="44"/>
      <c r="C953" s="24"/>
      <c r="D953" s="24"/>
      <c r="E953" s="81" t="s">
        <v>187</v>
      </c>
      <c r="F953" s="31">
        <v>5064.68</v>
      </c>
      <c r="G953" s="31">
        <v>4964.33</v>
      </c>
      <c r="H953" s="31">
        <v>4971</v>
      </c>
      <c r="I953" s="31">
        <v>4925.88</v>
      </c>
      <c r="J953" s="31">
        <v>4939.6099999999997</v>
      </c>
      <c r="K953" s="31">
        <v>5047.8599999999997</v>
      </c>
      <c r="L953" s="31">
        <v>4948.9399999999996</v>
      </c>
      <c r="M953" s="31">
        <v>4985.42</v>
      </c>
      <c r="N953" s="31">
        <v>4960.91</v>
      </c>
      <c r="O953" s="81"/>
      <c r="P953" s="81"/>
      <c r="Q953" s="82"/>
      <c r="R953" s="82"/>
      <c r="S953" s="178"/>
      <c r="T953" s="28"/>
      <c r="U953" s="185"/>
      <c r="V953" s="166"/>
      <c r="W953" s="304"/>
      <c r="X953" s="157"/>
      <c r="Y953" s="157"/>
      <c r="Z953" s="157"/>
      <c r="AA953" s="157"/>
    </row>
    <row r="954" spans="1:29" ht="22.75" thickBot="1" x14ac:dyDescent="0.4">
      <c r="A954"/>
      <c r="B954" s="44"/>
      <c r="C954" s="24"/>
      <c r="D954" s="24"/>
      <c r="E954" s="81" t="s">
        <v>188</v>
      </c>
      <c r="F954" s="60">
        <f t="shared" ref="F954:N954" si="314">IF(((F952="")*AND(F953="")),"",(F952-F953)*2)</f>
        <v>3789.6800000000003</v>
      </c>
      <c r="G954" s="60">
        <f t="shared" si="314"/>
        <v>3943.4799999999996</v>
      </c>
      <c r="H954" s="60">
        <f t="shared" si="314"/>
        <v>3976.7199999999993</v>
      </c>
      <c r="I954" s="60">
        <f t="shared" si="314"/>
        <v>3959.1000000000004</v>
      </c>
      <c r="J954" s="60">
        <f t="shared" si="314"/>
        <v>3806.5</v>
      </c>
      <c r="K954" s="60">
        <f t="shared" si="314"/>
        <v>3717.76</v>
      </c>
      <c r="L954" s="60">
        <f t="shared" si="314"/>
        <v>3945.6000000000004</v>
      </c>
      <c r="M954" s="60">
        <f t="shared" si="314"/>
        <v>3987.1800000000003</v>
      </c>
      <c r="N954" s="60">
        <f t="shared" si="314"/>
        <v>3905.1200000000008</v>
      </c>
      <c r="O954" s="81"/>
      <c r="P954" s="81"/>
      <c r="Q954" s="82"/>
      <c r="R954" s="82"/>
      <c r="S954" s="178"/>
      <c r="T954" s="28"/>
      <c r="U954" s="185"/>
      <c r="V954" s="166"/>
      <c r="W954" s="304"/>
      <c r="X954" s="157"/>
      <c r="Y954" s="157"/>
      <c r="Z954" s="157"/>
      <c r="AA954" s="157"/>
    </row>
    <row r="955" spans="1:29" x14ac:dyDescent="0.25">
      <c r="A955" s="249">
        <v>43542</v>
      </c>
      <c r="B955" s="257" t="s">
        <v>169</v>
      </c>
      <c r="C955" s="24" t="s">
        <v>171</v>
      </c>
      <c r="D955" s="24" t="s">
        <v>189</v>
      </c>
      <c r="E955" s="81" t="s">
        <v>186</v>
      </c>
      <c r="F955" s="31">
        <v>1866.56</v>
      </c>
      <c r="G955" s="31">
        <v>1818.2</v>
      </c>
      <c r="H955" s="31">
        <v>1846.8</v>
      </c>
      <c r="I955" s="31">
        <v>1837.15</v>
      </c>
      <c r="J955" s="31">
        <v>1824.71</v>
      </c>
      <c r="K955" s="31">
        <v>1844.45</v>
      </c>
      <c r="L955" s="31">
        <v>1832.25</v>
      </c>
      <c r="M955" s="31">
        <v>1875.4</v>
      </c>
      <c r="N955" s="31">
        <v>1832.64</v>
      </c>
      <c r="O955" s="81">
        <f>IF((N956=""),"",MAX(F957:N957))</f>
        <v>1905.0900000000006</v>
      </c>
      <c r="P955" s="81">
        <f>IF(N956="","",MIN(F957:N957))</f>
        <v>1671.72</v>
      </c>
      <c r="Q955" s="82">
        <f>IF((N957=""),"",AVERAGE(F957:N957))</f>
        <v>1771.3766666666666</v>
      </c>
      <c r="R955" s="82">
        <f>IF((N956=""),"",(O955-P955)/(O955+P955)*100)</f>
        <v>6.5245288399439882</v>
      </c>
      <c r="S955" s="178">
        <f>STDEV(F957:N957)</f>
        <v>75.478341761064144</v>
      </c>
      <c r="T955" s="23" t="str">
        <f>IF(N956="","",IF(Q955&gt;1940,IF(R955&lt;8.3,IF(Q955&lt;2180,"Pass","Fail"),"Fail"),"Fail"))</f>
        <v>Fail</v>
      </c>
      <c r="U955" s="188">
        <v>1428</v>
      </c>
      <c r="V955" s="166"/>
      <c r="W955" s="304"/>
      <c r="X955" s="155">
        <v>2000</v>
      </c>
      <c r="Y955" s="155">
        <v>3000</v>
      </c>
      <c r="Z955" s="155">
        <v>1940</v>
      </c>
      <c r="AA955" s="155">
        <v>2180</v>
      </c>
      <c r="AC955" s="51">
        <v>5.2</v>
      </c>
    </row>
    <row r="956" spans="1:29" ht="16.100000000000001" x14ac:dyDescent="0.35">
      <c r="A956"/>
      <c r="B956" s="44"/>
      <c r="C956" s="24"/>
      <c r="D956" s="24"/>
      <c r="E956" s="81" t="s">
        <v>187</v>
      </c>
      <c r="F956" s="31">
        <v>1243.99</v>
      </c>
      <c r="G956" s="31">
        <v>1249.5999999999999</v>
      </c>
      <c r="H956" s="31">
        <v>1246.4100000000001</v>
      </c>
      <c r="I956" s="31">
        <v>1251.22</v>
      </c>
      <c r="J956" s="31">
        <v>1267.47</v>
      </c>
      <c r="K956" s="31">
        <v>1255.18</v>
      </c>
      <c r="L956" s="31">
        <v>1257.06</v>
      </c>
      <c r="M956" s="31">
        <v>1240.3699999999999</v>
      </c>
      <c r="N956" s="31">
        <v>1252.73</v>
      </c>
      <c r="O956" s="81"/>
      <c r="P956" s="81"/>
      <c r="Q956" s="82"/>
      <c r="R956" s="82"/>
      <c r="S956" s="178"/>
      <c r="T956" s="23"/>
      <c r="U956" s="179"/>
      <c r="V956" s="212"/>
      <c r="W956" s="304"/>
      <c r="X956" s="157"/>
      <c r="Y956" s="157"/>
      <c r="Z956" s="157"/>
      <c r="AA956" s="157"/>
    </row>
    <row r="957" spans="1:29" ht="24.95" customHeight="1" thickBot="1" x14ac:dyDescent="0.4">
      <c r="A957"/>
      <c r="B957" s="44"/>
      <c r="C957" s="24"/>
      <c r="D957" s="24"/>
      <c r="E957" s="81" t="s">
        <v>190</v>
      </c>
      <c r="F957" s="60">
        <f t="shared" ref="F957:N957" si="315">IF(((F955="")*AND(F956="")),"",(F955-F956)*3)</f>
        <v>1867.7099999999998</v>
      </c>
      <c r="G957" s="60">
        <f t="shared" si="315"/>
        <v>1705.8000000000004</v>
      </c>
      <c r="H957" s="60">
        <f t="shared" si="315"/>
        <v>1801.1699999999996</v>
      </c>
      <c r="I957" s="60">
        <f t="shared" si="315"/>
        <v>1757.7900000000002</v>
      </c>
      <c r="J957" s="60">
        <f t="shared" si="315"/>
        <v>1671.72</v>
      </c>
      <c r="K957" s="60">
        <f t="shared" si="315"/>
        <v>1767.81</v>
      </c>
      <c r="L957" s="60">
        <f t="shared" si="315"/>
        <v>1725.5700000000002</v>
      </c>
      <c r="M957" s="60">
        <f t="shared" si="315"/>
        <v>1905.0900000000006</v>
      </c>
      <c r="N957" s="60">
        <f t="shared" si="315"/>
        <v>1739.7300000000002</v>
      </c>
      <c r="O957" s="81"/>
      <c r="P957" s="81"/>
      <c r="Q957" s="82"/>
      <c r="R957" s="82"/>
      <c r="S957" s="178"/>
      <c r="T957" s="23"/>
      <c r="U957" s="179"/>
      <c r="V957" s="212"/>
      <c r="W957" s="304"/>
      <c r="X957" s="157"/>
      <c r="Y957" s="157"/>
      <c r="Z957" s="157"/>
      <c r="AA957" s="157"/>
    </row>
    <row r="958" spans="1:29" x14ac:dyDescent="0.25">
      <c r="A958" s="249">
        <v>43542</v>
      </c>
      <c r="B958" s="260" t="s">
        <v>185</v>
      </c>
      <c r="C958" s="24" t="s">
        <v>173</v>
      </c>
      <c r="D958" s="24" t="s">
        <v>172</v>
      </c>
      <c r="E958" s="81" t="s">
        <v>186</v>
      </c>
      <c r="F958" s="31">
        <v>29320.66</v>
      </c>
      <c r="G958" s="31">
        <v>29210.94</v>
      </c>
      <c r="H958" s="31">
        <v>29218.36</v>
      </c>
      <c r="I958" s="31">
        <v>29196.26</v>
      </c>
      <c r="J958" s="31">
        <v>29308.9</v>
      </c>
      <c r="K958" s="31">
        <v>29285.5</v>
      </c>
      <c r="L958" s="31">
        <v>29203.82</v>
      </c>
      <c r="M958" s="31">
        <v>29159.9</v>
      </c>
      <c r="N958" s="31">
        <v>29270.16</v>
      </c>
      <c r="O958" s="81">
        <f>IF((N959=""),"",MAX(F960:N960))</f>
        <v>4818.6000000000022</v>
      </c>
      <c r="P958" s="81">
        <f>IF(N959="","",MIN(F960:N960))</f>
        <v>4205.7000000000044</v>
      </c>
      <c r="Q958" s="82">
        <f>IF((N960=""),"",AVERAGE(F960:N960))</f>
        <v>4463.4700000000012</v>
      </c>
      <c r="R958" s="82">
        <f>IF((N959=""),"",(O958-P958)/(O958+P958)*100)</f>
        <v>6.7916625112196778</v>
      </c>
      <c r="S958" s="178">
        <f>STDEV(F960:N960)</f>
        <v>223.33790296320151</v>
      </c>
      <c r="T958" s="23" t="str">
        <f>IF(N959="","",IF(R958&lt;16,IF(Q958&gt;3200,IF(R958,IF(Q958&lt;5240,"Pass","Fail"),"Fail"),"Fail")))</f>
        <v>Pass</v>
      </c>
      <c r="U958" s="188">
        <v>1428</v>
      </c>
      <c r="V958" s="166"/>
      <c r="W958" s="304"/>
      <c r="X958" s="155">
        <v>4200</v>
      </c>
      <c r="Y958" s="155">
        <v>5500</v>
      </c>
      <c r="Z958" s="155">
        <v>3200</v>
      </c>
      <c r="AA958" s="155">
        <v>5240</v>
      </c>
      <c r="AC958" s="51">
        <v>16</v>
      </c>
    </row>
    <row r="959" spans="1:29" ht="16.100000000000001" x14ac:dyDescent="0.35">
      <c r="A959"/>
      <c r="B959" s="44"/>
      <c r="C959" s="24"/>
      <c r="D959" s="24"/>
      <c r="E959" s="81" t="s">
        <v>187</v>
      </c>
      <c r="F959" s="31">
        <v>27714.46</v>
      </c>
      <c r="G959" s="31">
        <v>27755.79</v>
      </c>
      <c r="H959" s="31">
        <v>27798.94</v>
      </c>
      <c r="I959" s="31">
        <v>27751.51</v>
      </c>
      <c r="J959" s="31">
        <v>27783.87</v>
      </c>
      <c r="K959" s="31">
        <v>27729.279999999999</v>
      </c>
      <c r="L959" s="31">
        <v>27780.99</v>
      </c>
      <c r="M959" s="31">
        <v>27758</v>
      </c>
      <c r="N959" s="31">
        <v>27711.25</v>
      </c>
      <c r="O959" s="81"/>
      <c r="P959" s="81"/>
      <c r="Q959" s="82"/>
      <c r="R959" s="82"/>
      <c r="S959" s="178"/>
      <c r="T959" s="23"/>
      <c r="U959" s="179"/>
      <c r="V959" s="212"/>
      <c r="W959" s="304"/>
      <c r="X959" s="157"/>
      <c r="Y959" s="157"/>
      <c r="Z959" s="157"/>
      <c r="AA959" s="157"/>
    </row>
    <row r="960" spans="1:29" ht="22.75" thickBot="1" x14ac:dyDescent="0.4">
      <c r="A960"/>
      <c r="B960" s="83"/>
      <c r="C960" s="84"/>
      <c r="D960" s="84"/>
      <c r="E960" s="85" t="s">
        <v>188</v>
      </c>
      <c r="F960" s="73">
        <f t="shared" ref="F960:N960" si="316">IF(((F958="")*AND(F959="")),"",(F958-F959)*3)</f>
        <v>4818.6000000000022</v>
      </c>
      <c r="G960" s="73">
        <f t="shared" si="316"/>
        <v>4365.4499999999935</v>
      </c>
      <c r="H960" s="73">
        <f t="shared" si="316"/>
        <v>4258.2600000000057</v>
      </c>
      <c r="I960" s="73">
        <f t="shared" si="316"/>
        <v>4334.25</v>
      </c>
      <c r="J960" s="73">
        <f t="shared" si="316"/>
        <v>4575.0900000000074</v>
      </c>
      <c r="K960" s="73">
        <f t="shared" si="316"/>
        <v>4668.6600000000035</v>
      </c>
      <c r="L960" s="73">
        <f t="shared" si="316"/>
        <v>4268.4899999999943</v>
      </c>
      <c r="M960" s="73">
        <f t="shared" si="316"/>
        <v>4205.7000000000044</v>
      </c>
      <c r="N960" s="73">
        <f t="shared" si="316"/>
        <v>4676.7299999999996</v>
      </c>
      <c r="O960" s="85"/>
      <c r="P960" s="85"/>
      <c r="Q960" s="86"/>
      <c r="R960" s="86"/>
      <c r="S960" s="181"/>
      <c r="T960" s="182"/>
      <c r="U960" s="183"/>
      <c r="V960" s="212"/>
      <c r="W960" s="304"/>
      <c r="X960" s="157"/>
      <c r="Y960" s="157"/>
      <c r="Z960" s="157"/>
      <c r="AA960" s="157"/>
    </row>
    <row r="961" spans="1:29" x14ac:dyDescent="0.25">
      <c r="A961" s="249">
        <v>43542</v>
      </c>
      <c r="B961" s="257" t="s">
        <v>169</v>
      </c>
      <c r="C961" s="24" t="s">
        <v>171</v>
      </c>
      <c r="D961" s="24" t="s">
        <v>189</v>
      </c>
      <c r="E961" s="81" t="s">
        <v>186</v>
      </c>
      <c r="F961" s="31">
        <v>1243.99</v>
      </c>
      <c r="G961" s="31">
        <v>1249.5999999999999</v>
      </c>
      <c r="H961" s="31">
        <v>1246.4100000000001</v>
      </c>
      <c r="I961" s="31">
        <v>1251.22</v>
      </c>
      <c r="J961" s="31">
        <v>1267.47</v>
      </c>
      <c r="K961" s="31">
        <v>1255.18</v>
      </c>
      <c r="L961" s="31">
        <v>1257.06</v>
      </c>
      <c r="M961" s="31">
        <v>1240.3699999999999</v>
      </c>
      <c r="N961" s="31">
        <v>1252.73</v>
      </c>
      <c r="O961" s="81">
        <f>IF((N962=""),"",MAX(F963:N963))</f>
        <v>2098.8000000000002</v>
      </c>
      <c r="P961" s="81">
        <f>IF(N962="","",MIN(F963:N963))</f>
        <v>1994.19</v>
      </c>
      <c r="Q961" s="82">
        <f>IF((N963=""),"",AVERAGE(F963:N963))</f>
        <v>2039.3166666666668</v>
      </c>
      <c r="R961" s="82">
        <f>IF((N962=""),"",(O961-P961)/(O961+P961)*100)</f>
        <v>2.5558332661452901</v>
      </c>
      <c r="S961" s="178">
        <f>STDEV(F963:N963)</f>
        <v>41.867272719870364</v>
      </c>
      <c r="T961" s="23" t="str">
        <f>IF(N962="","",IF(Q961&gt;1940,IF(R961&lt;8.3,IF(Q961&lt;2180,"Pass","Fail"),"Fail"),"Fail"))</f>
        <v>Pass</v>
      </c>
      <c r="U961" s="188">
        <v>1428</v>
      </c>
      <c r="V961" s="166"/>
      <c r="W961" s="31"/>
      <c r="X961" s="155">
        <v>2000</v>
      </c>
      <c r="Y961" s="155">
        <v>3000</v>
      </c>
      <c r="Z961" s="155">
        <v>1940</v>
      </c>
      <c r="AA961" s="155">
        <v>2180</v>
      </c>
      <c r="AC961" s="51">
        <v>5.2</v>
      </c>
    </row>
    <row r="962" spans="1:29" ht="16.100000000000001" x14ac:dyDescent="0.35">
      <c r="A962"/>
      <c r="B962" s="44"/>
      <c r="C962" s="24"/>
      <c r="D962" s="24"/>
      <c r="E962" s="81" t="s">
        <v>187</v>
      </c>
      <c r="F962" s="31">
        <v>546.57000000000005</v>
      </c>
      <c r="G962" s="31">
        <v>571.66999999999996</v>
      </c>
      <c r="H962" s="31">
        <v>580.55999999999995</v>
      </c>
      <c r="I962" s="31">
        <v>586.49</v>
      </c>
      <c r="J962" s="31">
        <v>574.6</v>
      </c>
      <c r="K962" s="31">
        <v>555.58000000000004</v>
      </c>
      <c r="L962" s="31">
        <v>587.97</v>
      </c>
      <c r="M962" s="31">
        <v>572.32000000000005</v>
      </c>
      <c r="N962" s="31">
        <v>570.32000000000005</v>
      </c>
      <c r="O962" s="81"/>
      <c r="P962" s="81"/>
      <c r="Q962" s="82"/>
      <c r="R962" s="82"/>
      <c r="S962" s="178"/>
      <c r="T962" s="23"/>
      <c r="U962" s="179"/>
      <c r="V962" s="212"/>
      <c r="W962" s="31"/>
      <c r="X962" s="157"/>
      <c r="Y962" s="157"/>
      <c r="Z962" s="157"/>
      <c r="AA962" s="157"/>
    </row>
    <row r="963" spans="1:29" ht="27.15" customHeight="1" thickBot="1" x14ac:dyDescent="0.4">
      <c r="A963"/>
      <c r="B963" s="44"/>
      <c r="C963" s="24"/>
      <c r="D963" s="24"/>
      <c r="E963" s="81" t="s">
        <v>190</v>
      </c>
      <c r="F963" s="60">
        <f t="shared" ref="F963:N963" si="317">IF(((F961="")*AND(F962="")),"",(F961-F962)*3)</f>
        <v>2092.2599999999998</v>
      </c>
      <c r="G963" s="60">
        <f t="shared" si="317"/>
        <v>2033.79</v>
      </c>
      <c r="H963" s="60">
        <f t="shared" si="317"/>
        <v>1997.5500000000004</v>
      </c>
      <c r="I963" s="60">
        <f t="shared" si="317"/>
        <v>1994.19</v>
      </c>
      <c r="J963" s="60">
        <f t="shared" si="317"/>
        <v>2078.61</v>
      </c>
      <c r="K963" s="60">
        <f t="shared" si="317"/>
        <v>2098.8000000000002</v>
      </c>
      <c r="L963" s="60">
        <f t="shared" si="317"/>
        <v>2007.2699999999998</v>
      </c>
      <c r="M963" s="60">
        <f t="shared" si="317"/>
        <v>2004.1499999999996</v>
      </c>
      <c r="N963" s="60">
        <f t="shared" si="317"/>
        <v>2047.23</v>
      </c>
      <c r="O963" s="81"/>
      <c r="P963" s="81"/>
      <c r="Q963" s="82"/>
      <c r="R963" s="82"/>
      <c r="S963" s="178"/>
      <c r="T963" s="23"/>
      <c r="U963" s="179"/>
      <c r="V963" s="212"/>
      <c r="W963" s="31"/>
      <c r="X963" s="157"/>
      <c r="Y963" s="157"/>
      <c r="Z963" s="157"/>
      <c r="AA963" s="157"/>
    </row>
    <row r="964" spans="1:29" x14ac:dyDescent="0.25">
      <c r="A964" s="249">
        <v>43546</v>
      </c>
      <c r="B964" s="261" t="s">
        <v>174</v>
      </c>
      <c r="C964" s="59" t="s">
        <v>176</v>
      </c>
      <c r="D964" s="59" t="s">
        <v>175</v>
      </c>
      <c r="E964" s="61" t="s">
        <v>186</v>
      </c>
      <c r="F964" s="31">
        <v>5064.68</v>
      </c>
      <c r="G964" s="31">
        <v>4964.33</v>
      </c>
      <c r="H964" s="31">
        <v>4971</v>
      </c>
      <c r="I964" s="31">
        <v>4925.88</v>
      </c>
      <c r="J964" s="31">
        <v>4939.6099999999997</v>
      </c>
      <c r="K964" s="31">
        <v>5047.8599999999997</v>
      </c>
      <c r="L964" s="31">
        <v>4948.9399999999996</v>
      </c>
      <c r="M964" s="31">
        <v>4985.42</v>
      </c>
      <c r="N964" s="31">
        <v>4960.91</v>
      </c>
      <c r="O964" s="79">
        <f>IF((N965=""),"",MAX(F966:N966))</f>
        <v>3959.08</v>
      </c>
      <c r="P964" s="79">
        <f>IF(N965="","",MIN(F966:N966))</f>
        <v>3668.38</v>
      </c>
      <c r="Q964" s="80">
        <f>IF((N966=""),"",AVERAGE(F966:N966))</f>
        <v>3851.6000000000004</v>
      </c>
      <c r="R964" s="80">
        <f>IF((N965=""),"",(O964-P964)/(O964+P964)*100)</f>
        <v>3.8112294263096738</v>
      </c>
      <c r="S964" s="152">
        <f>STDEV(F966:N966)</f>
        <v>117.70309596607919</v>
      </c>
      <c r="T964" s="176" t="str">
        <f>IF(N965="","",IF(Q964&gt;3650,IF(R964&lt;7,IF(Q964&lt;4450,"Pass","Fail"),"Fail"),"Fail"))</f>
        <v>Pass</v>
      </c>
      <c r="U964" s="188">
        <v>1428</v>
      </c>
      <c r="V964" s="166"/>
      <c r="W964" s="31"/>
      <c r="X964" s="155">
        <v>3650</v>
      </c>
      <c r="Y964" s="155">
        <v>4450</v>
      </c>
      <c r="Z964" s="155">
        <v>3700</v>
      </c>
      <c r="AA964" s="155">
        <v>4100</v>
      </c>
      <c r="AB964" s="51">
        <v>7</v>
      </c>
      <c r="AC964" s="51">
        <v>6.5</v>
      </c>
    </row>
    <row r="965" spans="1:29" ht="16.100000000000001" x14ac:dyDescent="0.35">
      <c r="A965"/>
      <c r="B965" s="44"/>
      <c r="C965" s="24"/>
      <c r="D965" s="24"/>
      <c r="E965" s="81" t="s">
        <v>187</v>
      </c>
      <c r="F965" s="31">
        <v>3173.33</v>
      </c>
      <c r="G965" s="31">
        <v>2995.97</v>
      </c>
      <c r="H965" s="31">
        <v>2991.46</v>
      </c>
      <c r="I965" s="31">
        <v>2956.62</v>
      </c>
      <c r="J965" s="31">
        <v>3044.36</v>
      </c>
      <c r="K965" s="31">
        <v>3199.86</v>
      </c>
      <c r="L965" s="31">
        <v>2981.95</v>
      </c>
      <c r="M965" s="31">
        <v>3006.16</v>
      </c>
      <c r="N965" s="31">
        <v>3126.72</v>
      </c>
      <c r="O965" s="81"/>
      <c r="P965" s="81"/>
      <c r="Q965" s="82"/>
      <c r="R965" s="82"/>
      <c r="S965" s="178"/>
      <c r="T965" s="28"/>
      <c r="U965" s="185"/>
      <c r="V965" s="166"/>
      <c r="W965" s="31"/>
      <c r="X965" s="157"/>
      <c r="Y965" s="157"/>
      <c r="Z965" s="157"/>
      <c r="AA965" s="157"/>
    </row>
    <row r="966" spans="1:29" ht="22.75" thickBot="1" x14ac:dyDescent="0.4">
      <c r="A966"/>
      <c r="B966" s="44"/>
      <c r="C966" s="24"/>
      <c r="D966" s="24"/>
      <c r="E966" s="81" t="s">
        <v>188</v>
      </c>
      <c r="F966" s="60">
        <f t="shared" ref="F966:N966" si="318">IF(((F964="")*AND(F965="")),"",(F964-F965)*2)</f>
        <v>3782.7000000000007</v>
      </c>
      <c r="G966" s="60">
        <f t="shared" si="318"/>
        <v>3936.7200000000003</v>
      </c>
      <c r="H966" s="60">
        <f t="shared" si="318"/>
        <v>3959.08</v>
      </c>
      <c r="I966" s="60">
        <f t="shared" si="318"/>
        <v>3938.5200000000004</v>
      </c>
      <c r="J966" s="60">
        <f t="shared" si="318"/>
        <v>3790.4999999999991</v>
      </c>
      <c r="K966" s="60">
        <f t="shared" si="318"/>
        <v>3695.9999999999991</v>
      </c>
      <c r="L966" s="60">
        <f t="shared" si="318"/>
        <v>3933.9799999999996</v>
      </c>
      <c r="M966" s="60">
        <f t="shared" si="318"/>
        <v>3958.5200000000004</v>
      </c>
      <c r="N966" s="60">
        <f t="shared" si="318"/>
        <v>3668.38</v>
      </c>
      <c r="O966" s="81"/>
      <c r="P966" s="81"/>
      <c r="Q966" s="82"/>
      <c r="R966" s="82"/>
      <c r="S966" s="178"/>
      <c r="T966" s="28"/>
      <c r="U966" s="185"/>
      <c r="V966" s="166"/>
      <c r="W966" s="31"/>
      <c r="X966" s="157"/>
      <c r="Y966" s="157"/>
      <c r="Z966" s="157"/>
      <c r="AA966" s="157"/>
    </row>
    <row r="967" spans="1:29" x14ac:dyDescent="0.25">
      <c r="A967" s="249">
        <v>43546</v>
      </c>
      <c r="B967" s="257" t="s">
        <v>169</v>
      </c>
      <c r="C967" s="24" t="s">
        <v>171</v>
      </c>
      <c r="D967" s="24" t="s">
        <v>189</v>
      </c>
      <c r="E967" s="81" t="s">
        <v>186</v>
      </c>
      <c r="F967" s="31">
        <v>1981.98</v>
      </c>
      <c r="G967" s="31">
        <v>1978.12</v>
      </c>
      <c r="H967" s="31">
        <v>1975.4</v>
      </c>
      <c r="I967" s="31">
        <v>1976.25</v>
      </c>
      <c r="J967" s="31">
        <v>1975.39</v>
      </c>
      <c r="K967" s="31">
        <v>1977.61</v>
      </c>
      <c r="L967" s="31">
        <v>1972.4</v>
      </c>
      <c r="M967" s="31">
        <v>1976.36</v>
      </c>
      <c r="N967" s="31">
        <v>1986.83</v>
      </c>
      <c r="O967" s="81">
        <f>IF((N968=""),"",MAX(F969:N969))</f>
        <v>2073.54</v>
      </c>
      <c r="P967" s="81">
        <f>IF(N968="","",MIN(F969:N969))</f>
        <v>2028.3000000000004</v>
      </c>
      <c r="Q967" s="82">
        <f>IF((N969=""),"",AVERAGE(F969:N969))</f>
        <v>2054.0166666666669</v>
      </c>
      <c r="R967" s="82">
        <f>IF((N968=""),"",(O967-P967)/(O967+P967)*100)</f>
        <v>1.1029196653209183</v>
      </c>
      <c r="S967" s="178">
        <f>STDEV(F969:N969)</f>
        <v>16.683586245169156</v>
      </c>
      <c r="T967" s="23" t="str">
        <f>IF(N968="","",IF(Q967&gt;1940,IF(R967&lt;8.3,IF(Q967&lt;2180,"Pass","Fail"),"Fail"),"Fail"))</f>
        <v>Pass</v>
      </c>
      <c r="U967" s="188">
        <v>1428</v>
      </c>
      <c r="V967" s="166"/>
      <c r="W967" s="31"/>
      <c r="X967" s="155">
        <v>2000</v>
      </c>
      <c r="Y967" s="155">
        <v>3000</v>
      </c>
      <c r="Z967" s="155">
        <v>1940</v>
      </c>
      <c r="AA967" s="155">
        <v>2180</v>
      </c>
      <c r="AC967" s="51">
        <v>5.2</v>
      </c>
    </row>
    <row r="968" spans="1:29" ht="16.100000000000001" x14ac:dyDescent="0.35">
      <c r="A968"/>
      <c r="B968" s="44"/>
      <c r="C968" s="24"/>
      <c r="D968" s="24"/>
      <c r="E968" s="81" t="s">
        <v>187</v>
      </c>
      <c r="F968" s="31">
        <v>1290.8</v>
      </c>
      <c r="G968" s="31">
        <v>1287.58</v>
      </c>
      <c r="H968" s="31">
        <v>1293.5</v>
      </c>
      <c r="I968" s="31">
        <v>1292.1600000000001</v>
      </c>
      <c r="J968" s="31">
        <v>1299.29</v>
      </c>
      <c r="K968" s="31">
        <v>1298.96</v>
      </c>
      <c r="L968" s="31">
        <v>1291.19</v>
      </c>
      <c r="M968" s="31">
        <v>1287.33</v>
      </c>
      <c r="N968" s="31">
        <v>1297.48</v>
      </c>
      <c r="O968" s="81"/>
      <c r="P968" s="81"/>
      <c r="Q968" s="82"/>
      <c r="R968" s="82"/>
      <c r="S968" s="178"/>
      <c r="T968" s="23"/>
      <c r="U968" s="179"/>
      <c r="V968" s="212"/>
      <c r="W968" s="31"/>
      <c r="X968" s="157"/>
      <c r="Y968" s="157"/>
      <c r="Z968" s="157"/>
      <c r="AA968" s="157"/>
    </row>
    <row r="969" spans="1:29" ht="26.6" customHeight="1" thickBot="1" x14ac:dyDescent="0.4">
      <c r="A969"/>
      <c r="B969" s="44"/>
      <c r="C969" s="24"/>
      <c r="D969" s="24"/>
      <c r="E969" s="81" t="s">
        <v>190</v>
      </c>
      <c r="F969" s="60">
        <f t="shared" ref="F969:N969" si="319">IF(((F967="")*AND(F968="")),"",(F967-F968)*3)</f>
        <v>2073.54</v>
      </c>
      <c r="G969" s="60">
        <f t="shared" si="319"/>
        <v>2071.62</v>
      </c>
      <c r="H969" s="60">
        <f t="shared" si="319"/>
        <v>2045.7000000000003</v>
      </c>
      <c r="I969" s="60">
        <f t="shared" si="319"/>
        <v>2052.2699999999995</v>
      </c>
      <c r="J969" s="60">
        <f t="shared" si="319"/>
        <v>2028.3000000000004</v>
      </c>
      <c r="K969" s="60">
        <f t="shared" si="319"/>
        <v>2035.9499999999996</v>
      </c>
      <c r="L969" s="60">
        <f t="shared" si="319"/>
        <v>2043.63</v>
      </c>
      <c r="M969" s="60">
        <f t="shared" si="319"/>
        <v>2067.09</v>
      </c>
      <c r="N969" s="60">
        <f t="shared" si="319"/>
        <v>2068.0499999999997</v>
      </c>
      <c r="O969" s="81"/>
      <c r="P969" s="81"/>
      <c r="Q969" s="82"/>
      <c r="R969" s="82"/>
      <c r="S969" s="178"/>
      <c r="T969" s="23"/>
      <c r="U969" s="179"/>
      <c r="V969" s="212"/>
      <c r="W969" s="31"/>
      <c r="X969" s="157"/>
      <c r="Y969" s="157"/>
      <c r="Z969" s="157"/>
      <c r="AA969" s="157"/>
    </row>
    <row r="970" spans="1:29" x14ac:dyDescent="0.25">
      <c r="A970" s="249">
        <v>43546</v>
      </c>
      <c r="B970" s="260" t="s">
        <v>185</v>
      </c>
      <c r="C970" s="24" t="s">
        <v>173</v>
      </c>
      <c r="D970" s="24" t="s">
        <v>172</v>
      </c>
      <c r="E970" s="81" t="s">
        <v>186</v>
      </c>
      <c r="F970" s="31">
        <v>27640.98</v>
      </c>
      <c r="G970" s="31">
        <v>27679.78</v>
      </c>
      <c r="H970" s="31">
        <v>27688.44</v>
      </c>
      <c r="I970" s="31">
        <v>27691.31</v>
      </c>
      <c r="J970" s="31">
        <v>27664.3</v>
      </c>
      <c r="K970" s="31">
        <v>27665.38</v>
      </c>
      <c r="L970" s="31">
        <v>27698.27</v>
      </c>
      <c r="M970" s="31">
        <v>27648.09</v>
      </c>
      <c r="N970" s="31">
        <v>27623.43</v>
      </c>
      <c r="O970" s="81">
        <f>IF((N971=""),"",MAX(F972:N972))</f>
        <v>4659.6299999999974</v>
      </c>
      <c r="P970" s="81">
        <f>IF(N971="","",MIN(F972:N972))</f>
        <v>3964.0499999999956</v>
      </c>
      <c r="Q970" s="82">
        <f>IF((N972=""),"",AVERAGE(F972:N972))</f>
        <v>4320.2633333333351</v>
      </c>
      <c r="R970" s="82">
        <f>IF((N971=""),"",(O970-P970)/(O970+P970)*100)</f>
        <v>8.0659300901703475</v>
      </c>
      <c r="S970" s="178">
        <f>STDEV(F972:N972)</f>
        <v>243.04051966698819</v>
      </c>
      <c r="T970" s="23" t="str">
        <f>IF(N971="","",IF(R970&lt;16,IF(Q970&gt;3200,IF(R970,IF(Q970&lt;5240,"Pass","Fail"),"Fail"),"Fail")))</f>
        <v>Pass</v>
      </c>
      <c r="U970" s="188">
        <v>1428</v>
      </c>
      <c r="V970" s="166"/>
      <c r="W970" s="31"/>
      <c r="X970" s="155">
        <v>4200</v>
      </c>
      <c r="Y970" s="155">
        <v>5500</v>
      </c>
      <c r="Z970" s="155">
        <v>3200</v>
      </c>
      <c r="AA970" s="155">
        <v>5240</v>
      </c>
      <c r="AC970" s="51">
        <v>16</v>
      </c>
    </row>
    <row r="971" spans="1:29" ht="16.100000000000001" x14ac:dyDescent="0.35">
      <c r="A971"/>
      <c r="B971" s="44"/>
      <c r="C971" s="24"/>
      <c r="D971" s="24"/>
      <c r="E971" s="81" t="s">
        <v>187</v>
      </c>
      <c r="F971" s="31">
        <v>26140.75</v>
      </c>
      <c r="G971" s="31">
        <v>26301.439999999999</v>
      </c>
      <c r="H971" s="31">
        <v>26367.09</v>
      </c>
      <c r="I971" s="31">
        <v>26313.19</v>
      </c>
      <c r="J971" s="31">
        <v>26132.48</v>
      </c>
      <c r="K971" s="31">
        <v>26170.87</v>
      </c>
      <c r="L971" s="31">
        <v>26297.64</v>
      </c>
      <c r="M971" s="31">
        <v>26245.51</v>
      </c>
      <c r="N971" s="31">
        <v>26070.22</v>
      </c>
      <c r="O971" s="81"/>
      <c r="P971" s="81"/>
      <c r="Q971" s="82"/>
      <c r="R971" s="82"/>
      <c r="S971" s="178"/>
      <c r="T971" s="23"/>
      <c r="U971" s="179"/>
      <c r="V971" s="212"/>
      <c r="W971" s="31"/>
      <c r="X971" s="157"/>
      <c r="Y971" s="157"/>
      <c r="Z971" s="157"/>
      <c r="AA971" s="157"/>
    </row>
    <row r="972" spans="1:29" ht="22.75" thickBot="1" x14ac:dyDescent="0.4">
      <c r="A972"/>
      <c r="B972" s="83"/>
      <c r="C972" s="84"/>
      <c r="D972" s="84"/>
      <c r="E972" s="85" t="s">
        <v>188</v>
      </c>
      <c r="F972" s="73">
        <f t="shared" ref="F972:N972" si="320">IF(((F970="")*AND(F971="")),"",(F970-F971)*3)</f>
        <v>4500.6899999999987</v>
      </c>
      <c r="G972" s="73">
        <f t="shared" si="320"/>
        <v>4135.0200000000004</v>
      </c>
      <c r="H972" s="73">
        <f t="shared" si="320"/>
        <v>3964.0499999999956</v>
      </c>
      <c r="I972" s="73">
        <f t="shared" si="320"/>
        <v>4134.3600000000079</v>
      </c>
      <c r="J972" s="73">
        <f t="shared" si="320"/>
        <v>4595.4599999999991</v>
      </c>
      <c r="K972" s="73">
        <f t="shared" si="320"/>
        <v>4483.5300000000061</v>
      </c>
      <c r="L972" s="73">
        <f t="shared" si="320"/>
        <v>4201.8900000000031</v>
      </c>
      <c r="M972" s="73">
        <f t="shared" si="320"/>
        <v>4207.7400000000052</v>
      </c>
      <c r="N972" s="73">
        <f t="shared" si="320"/>
        <v>4659.6299999999974</v>
      </c>
      <c r="O972" s="85"/>
      <c r="P972" s="85"/>
      <c r="Q972" s="86"/>
      <c r="R972" s="86"/>
      <c r="S972" s="181"/>
      <c r="T972" s="182"/>
      <c r="U972" s="183"/>
      <c r="V972" s="212"/>
      <c r="W972" s="31"/>
      <c r="X972" s="157"/>
      <c r="Y972" s="157"/>
      <c r="Z972" s="157"/>
      <c r="AA972" s="157"/>
    </row>
    <row r="973" spans="1:29" x14ac:dyDescent="0.25">
      <c r="A973" s="249">
        <v>43549</v>
      </c>
      <c r="B973" s="261" t="s">
        <v>174</v>
      </c>
      <c r="C973" s="59" t="s">
        <v>176</v>
      </c>
      <c r="D973" s="59" t="s">
        <v>175</v>
      </c>
      <c r="E973" s="61" t="s">
        <v>186</v>
      </c>
      <c r="F973" s="31">
        <v>3185.74</v>
      </c>
      <c r="G973" s="31">
        <v>3008.39</v>
      </c>
      <c r="H973" s="31">
        <v>3003.78</v>
      </c>
      <c r="I973" s="31">
        <v>2966.22</v>
      </c>
      <c r="J973" s="31">
        <v>3053.3</v>
      </c>
      <c r="K973" s="31">
        <v>3208.26</v>
      </c>
      <c r="L973" s="31">
        <v>2993.3</v>
      </c>
      <c r="M973" s="31">
        <v>3017.06</v>
      </c>
      <c r="N973" s="31">
        <v>3135.22</v>
      </c>
      <c r="O973" s="79">
        <f>IF((N974=""),"",MAX(F975:N975))</f>
        <v>3976.2</v>
      </c>
      <c r="P973" s="79">
        <f>IF(N974="","",MIN(F975:N975))</f>
        <v>3719.1400000000003</v>
      </c>
      <c r="Q973" s="80">
        <f>IF((N975=""),"",AVERAGE(F975:N975))</f>
        <v>3889.6022222222218</v>
      </c>
      <c r="R973" s="80">
        <f>IF((N974=""),"",(O973-P973)/(O973+P973)*100)</f>
        <v>3.3404631894107277</v>
      </c>
      <c r="S973" s="152">
        <f>STDEV(F975:N975)</f>
        <v>91.843680481807951</v>
      </c>
      <c r="T973" s="176" t="str">
        <f>IF(N974="","",IF(Q973&gt;3650,IF(R973&lt;7,IF(Q973&lt;4450,"Pass","Fail"),"Fail"),"Fail"))</f>
        <v>Pass</v>
      </c>
      <c r="U973" s="188">
        <v>102</v>
      </c>
      <c r="V973" s="166"/>
      <c r="W973" s="219" t="s">
        <v>160</v>
      </c>
      <c r="X973" s="155">
        <v>3650</v>
      </c>
      <c r="Y973" s="155">
        <v>4450</v>
      </c>
      <c r="Z973" s="155">
        <v>3700</v>
      </c>
      <c r="AA973" s="155">
        <v>4100</v>
      </c>
      <c r="AB973" s="51">
        <v>7</v>
      </c>
      <c r="AC973" s="51">
        <v>6.5</v>
      </c>
    </row>
    <row r="974" spans="1:29" ht="16.100000000000001" x14ac:dyDescent="0.35">
      <c r="A974"/>
      <c r="B974" s="44"/>
      <c r="C974" s="24"/>
      <c r="D974" s="24"/>
      <c r="E974" s="81" t="s">
        <v>187</v>
      </c>
      <c r="F974" s="31">
        <v>1273.6400000000001</v>
      </c>
      <c r="G974" s="31">
        <v>1030.3900000000001</v>
      </c>
      <c r="H974" s="31">
        <v>1017.48</v>
      </c>
      <c r="I974" s="31">
        <v>993.83</v>
      </c>
      <c r="J974" s="31">
        <v>1158.23</v>
      </c>
      <c r="K974" s="31">
        <v>1348.69</v>
      </c>
      <c r="L974" s="31">
        <v>1024.05</v>
      </c>
      <c r="M974" s="31">
        <v>1028.96</v>
      </c>
      <c r="N974" s="31">
        <v>1192.79</v>
      </c>
      <c r="O974" s="81"/>
      <c r="P974" s="81"/>
      <c r="Q974" s="82"/>
      <c r="R974" s="82"/>
      <c r="S974" s="178"/>
      <c r="T974" s="28"/>
      <c r="U974" s="185"/>
      <c r="V974" s="166"/>
      <c r="W974" s="219"/>
      <c r="X974" s="157"/>
      <c r="Y974" s="157"/>
      <c r="Z974" s="157"/>
      <c r="AA974" s="157"/>
    </row>
    <row r="975" spans="1:29" ht="22.75" thickBot="1" x14ac:dyDescent="0.4">
      <c r="A975"/>
      <c r="B975" s="44"/>
      <c r="C975" s="24"/>
      <c r="D975" s="24"/>
      <c r="E975" s="81" t="s">
        <v>188</v>
      </c>
      <c r="F975" s="60">
        <f t="shared" ref="F975:N975" si="321">IF(((F973="")*AND(F974="")),"",(F973-F974)*2)</f>
        <v>3824.1999999999994</v>
      </c>
      <c r="G975" s="60">
        <f t="shared" si="321"/>
        <v>3955.9999999999995</v>
      </c>
      <c r="H975" s="60">
        <f t="shared" si="321"/>
        <v>3972.6000000000004</v>
      </c>
      <c r="I975" s="60">
        <f t="shared" si="321"/>
        <v>3944.7799999999997</v>
      </c>
      <c r="J975" s="60">
        <f t="shared" si="321"/>
        <v>3790.1400000000003</v>
      </c>
      <c r="K975" s="60">
        <f t="shared" si="321"/>
        <v>3719.1400000000003</v>
      </c>
      <c r="L975" s="60">
        <f t="shared" si="321"/>
        <v>3938.5000000000005</v>
      </c>
      <c r="M975" s="60">
        <f t="shared" si="321"/>
        <v>3976.2</v>
      </c>
      <c r="N975" s="60">
        <f t="shared" si="321"/>
        <v>3884.8599999999997</v>
      </c>
      <c r="O975" s="81"/>
      <c r="P975" s="81"/>
      <c r="Q975" s="82"/>
      <c r="R975" s="82"/>
      <c r="S975" s="178"/>
      <c r="T975" s="28"/>
      <c r="U975" s="185"/>
      <c r="V975" s="166"/>
      <c r="W975" s="219"/>
      <c r="X975" s="157"/>
      <c r="Y975" s="157"/>
      <c r="Z975" s="157"/>
      <c r="AA975" s="157"/>
    </row>
    <row r="976" spans="1:29" x14ac:dyDescent="0.25">
      <c r="A976" s="249">
        <v>43549</v>
      </c>
      <c r="B976" s="257" t="s">
        <v>169</v>
      </c>
      <c r="C976" s="24" t="s">
        <v>171</v>
      </c>
      <c r="D976" s="24" t="s">
        <v>189</v>
      </c>
      <c r="E976" s="81" t="s">
        <v>186</v>
      </c>
      <c r="F976" s="31">
        <v>1293.55</v>
      </c>
      <c r="G976" s="31">
        <v>1289.58</v>
      </c>
      <c r="H976" s="31">
        <v>1295.52</v>
      </c>
      <c r="I976" s="31">
        <v>1293.23</v>
      </c>
      <c r="J976" s="31">
        <v>1299.3699999999999</v>
      </c>
      <c r="K976" s="31">
        <v>1299.7</v>
      </c>
      <c r="L976" s="31">
        <v>1292.26</v>
      </c>
      <c r="M976" s="31">
        <v>1290.6400000000001</v>
      </c>
      <c r="N976" s="31">
        <v>1302.33</v>
      </c>
      <c r="O976" s="81">
        <f>IF((N977=""),"",MAX(F978:N978))</f>
        <v>2038.3800000000006</v>
      </c>
      <c r="P976" s="81">
        <f>IF(N977="","",MIN(F978:N978))</f>
        <v>1993.7399999999998</v>
      </c>
      <c r="Q976" s="82">
        <f>IF((N978=""),"",AVERAGE(F978:N978))</f>
        <v>2019.49</v>
      </c>
      <c r="R976" s="82">
        <f>IF((N977=""),"",(O976-P976)/(O976+P976)*100)</f>
        <v>1.10710990744325</v>
      </c>
      <c r="S976" s="178">
        <f>STDEV(F978:N978)</f>
        <v>15.576913205125297</v>
      </c>
      <c r="T976" s="23" t="str">
        <f>IF(N977="","",IF(Q976&gt;1940,IF(R976&lt;8.3,IF(Q976&lt;2180,"Pass","Fail"),"Fail"),"Fail"))</f>
        <v>Pass</v>
      </c>
      <c r="U976" s="188">
        <v>102</v>
      </c>
      <c r="V976" s="166"/>
      <c r="W976" s="219" t="s">
        <v>160</v>
      </c>
      <c r="X976" s="155">
        <v>2000</v>
      </c>
      <c r="Y976" s="155">
        <v>3000</v>
      </c>
      <c r="Z976" s="155">
        <v>1940</v>
      </c>
      <c r="AA976" s="155">
        <v>2180</v>
      </c>
      <c r="AC976" s="51">
        <v>5.2</v>
      </c>
    </row>
    <row r="977" spans="1:29" ht="16.100000000000001" x14ac:dyDescent="0.35">
      <c r="A977"/>
      <c r="B977" s="44"/>
      <c r="C977" s="24"/>
      <c r="D977" s="24"/>
      <c r="E977" s="81" t="s">
        <v>187</v>
      </c>
      <c r="F977" s="31">
        <v>618.62</v>
      </c>
      <c r="G977" s="31">
        <v>613.91999999999996</v>
      </c>
      <c r="H977" s="31">
        <v>619.54</v>
      </c>
      <c r="I977" s="31">
        <v>616</v>
      </c>
      <c r="J977" s="31">
        <v>634.46</v>
      </c>
      <c r="K977" s="31">
        <v>627.17999999999995</v>
      </c>
      <c r="L977" s="31">
        <v>619.05999999999995</v>
      </c>
      <c r="M977" s="31">
        <v>611.17999999999995</v>
      </c>
      <c r="N977" s="31">
        <v>637.75</v>
      </c>
      <c r="O977" s="81"/>
      <c r="P977" s="81"/>
      <c r="Q977" s="82"/>
      <c r="R977" s="82"/>
      <c r="S977" s="178"/>
      <c r="T977" s="23"/>
      <c r="U977" s="179"/>
      <c r="V977" s="212"/>
      <c r="W977" s="219"/>
      <c r="X977" s="157"/>
      <c r="Y977" s="157"/>
      <c r="Z977" s="157"/>
      <c r="AA977" s="157"/>
    </row>
    <row r="978" spans="1:29" ht="26.6" customHeight="1" thickBot="1" x14ac:dyDescent="0.4">
      <c r="A978"/>
      <c r="B978" s="44"/>
      <c r="C978" s="24"/>
      <c r="D978" s="24"/>
      <c r="E978" s="81" t="s">
        <v>190</v>
      </c>
      <c r="F978" s="60">
        <f t="shared" ref="F978:N978" si="322">IF(((F976="")*AND(F977="")),"",(F976-F977)*3)</f>
        <v>2024.79</v>
      </c>
      <c r="G978" s="60">
        <f t="shared" si="322"/>
        <v>2026.98</v>
      </c>
      <c r="H978" s="60">
        <f t="shared" si="322"/>
        <v>2027.94</v>
      </c>
      <c r="I978" s="60">
        <f t="shared" si="322"/>
        <v>2031.69</v>
      </c>
      <c r="J978" s="60">
        <f t="shared" si="322"/>
        <v>1994.7299999999996</v>
      </c>
      <c r="K978" s="60">
        <f t="shared" si="322"/>
        <v>2017.5600000000004</v>
      </c>
      <c r="L978" s="60">
        <f t="shared" si="322"/>
        <v>2019.6000000000001</v>
      </c>
      <c r="M978" s="60">
        <f t="shared" si="322"/>
        <v>2038.3800000000006</v>
      </c>
      <c r="N978" s="60">
        <f t="shared" si="322"/>
        <v>1993.7399999999998</v>
      </c>
      <c r="O978" s="81"/>
      <c r="P978" s="81"/>
      <c r="Q978" s="82"/>
      <c r="R978" s="82"/>
      <c r="S978" s="178"/>
      <c r="T978" s="23"/>
      <c r="U978" s="179"/>
      <c r="V978" s="212"/>
      <c r="W978" s="219"/>
      <c r="X978" s="157"/>
      <c r="Y978" s="157"/>
      <c r="Z978" s="157"/>
      <c r="AA978" s="157"/>
    </row>
    <row r="979" spans="1:29" x14ac:dyDescent="0.25">
      <c r="A979" s="249">
        <v>43549</v>
      </c>
      <c r="B979" s="260" t="s">
        <v>185</v>
      </c>
      <c r="C979" s="24" t="s">
        <v>173</v>
      </c>
      <c r="D979" s="24" t="s">
        <v>172</v>
      </c>
      <c r="E979" s="81" t="s">
        <v>186</v>
      </c>
      <c r="F979" s="31">
        <v>26073.18</v>
      </c>
      <c r="G979" s="31">
        <v>26212.59</v>
      </c>
      <c r="H979" s="31">
        <v>26300.21</v>
      </c>
      <c r="I979" s="31">
        <v>26233.040000000001</v>
      </c>
      <c r="J979" s="31">
        <v>26063.62</v>
      </c>
      <c r="K979" s="31">
        <v>26102.5</v>
      </c>
      <c r="L979" s="31">
        <v>26238.04</v>
      </c>
      <c r="M979" s="31">
        <v>26195.11</v>
      </c>
      <c r="N979" s="31">
        <v>26031.26</v>
      </c>
      <c r="O979" s="81">
        <f>IF((N980=""),"",MAX(F981:N981))</f>
        <v>4901.7299999999996</v>
      </c>
      <c r="P979" s="81">
        <f>IF(N980="","",MIN(F981:N981))</f>
        <v>4202.0400000000009</v>
      </c>
      <c r="Q979" s="82">
        <f>IF((N981=""),"",AVERAGE(F981:N981))</f>
        <v>4519.6266666666652</v>
      </c>
      <c r="R979" s="82">
        <f>IF((N980=""),"",(O979-P979)/(O979+P979)*100)</f>
        <v>7.6857170161372554</v>
      </c>
      <c r="S979" s="178">
        <f>STDEV(F981:N981)</f>
        <v>226.24944226450572</v>
      </c>
      <c r="T979" s="23" t="str">
        <f>IF(N980="","",IF(R979&lt;16,IF(Q979&gt;3200,IF(R979,IF(Q979&lt;5240,"Pass","Fail"),"Fail"),"Fail")))</f>
        <v>Pass</v>
      </c>
      <c r="U979" s="188">
        <v>102</v>
      </c>
      <c r="V979" s="166"/>
      <c r="W979" s="219" t="s">
        <v>160</v>
      </c>
      <c r="X979" s="155">
        <v>4200</v>
      </c>
      <c r="Y979" s="155">
        <v>5500</v>
      </c>
      <c r="Z979" s="155">
        <v>3200</v>
      </c>
      <c r="AA979" s="155">
        <v>5240</v>
      </c>
      <c r="AC979" s="51">
        <v>16</v>
      </c>
    </row>
    <row r="980" spans="1:29" ht="16.100000000000001" x14ac:dyDescent="0.35">
      <c r="A980"/>
      <c r="B980" s="44"/>
      <c r="C980" s="24"/>
      <c r="D980" s="24"/>
      <c r="E980" s="81" t="s">
        <v>187</v>
      </c>
      <c r="F980" s="31">
        <v>24496.73</v>
      </c>
      <c r="G980" s="31">
        <v>24737.360000000001</v>
      </c>
      <c r="H980" s="31">
        <v>24846.54</v>
      </c>
      <c r="I980" s="31">
        <v>24782.95</v>
      </c>
      <c r="J980" s="31">
        <v>24488.720000000001</v>
      </c>
      <c r="K980" s="31">
        <v>24579.39</v>
      </c>
      <c r="L980" s="31">
        <v>24837.360000000001</v>
      </c>
      <c r="M980" s="31">
        <v>24724.27</v>
      </c>
      <c r="N980" s="31">
        <v>24397.35</v>
      </c>
      <c r="O980" s="31"/>
      <c r="P980" s="81"/>
      <c r="Q980" s="82"/>
      <c r="R980" s="82"/>
      <c r="S980" s="178"/>
      <c r="T980" s="23"/>
      <c r="U980" s="179"/>
      <c r="V980" s="212"/>
      <c r="W980" s="219"/>
      <c r="X980" s="157"/>
      <c r="Y980" s="157"/>
      <c r="Z980" s="157"/>
      <c r="AA980" s="157"/>
    </row>
    <row r="981" spans="1:29" ht="22.75" thickBot="1" x14ac:dyDescent="0.4">
      <c r="A981"/>
      <c r="B981" s="83"/>
      <c r="C981" s="84"/>
      <c r="D981" s="84"/>
      <c r="E981" s="85" t="s">
        <v>188</v>
      </c>
      <c r="F981" s="73">
        <f t="shared" ref="F981:N981" si="323">IF(((F979="")*AND(F980="")),"",(F979-F980)*3)</f>
        <v>4729.3500000000022</v>
      </c>
      <c r="G981" s="73">
        <f t="shared" si="323"/>
        <v>4425.6899999999987</v>
      </c>
      <c r="H981" s="73">
        <f t="shared" si="323"/>
        <v>4361.0099999999948</v>
      </c>
      <c r="I981" s="73">
        <f t="shared" si="323"/>
        <v>4350.2700000000004</v>
      </c>
      <c r="J981" s="73">
        <f t="shared" si="323"/>
        <v>4724.6999999999935</v>
      </c>
      <c r="K981" s="73">
        <f t="shared" si="323"/>
        <v>4569.3300000000017</v>
      </c>
      <c r="L981" s="73">
        <f t="shared" si="323"/>
        <v>4202.0400000000009</v>
      </c>
      <c r="M981" s="73">
        <f t="shared" si="323"/>
        <v>4412.5200000000004</v>
      </c>
      <c r="N981" s="73">
        <f t="shared" si="323"/>
        <v>4901.7299999999996</v>
      </c>
      <c r="O981" s="85"/>
      <c r="P981" s="85"/>
      <c r="Q981" s="86"/>
      <c r="R981" s="86"/>
      <c r="S981" s="181"/>
      <c r="T981" s="182"/>
      <c r="U981" s="183"/>
      <c r="V981" s="212"/>
      <c r="W981" s="219"/>
      <c r="X981" s="157"/>
      <c r="Y981" s="157"/>
      <c r="Z981" s="157"/>
      <c r="AA981" s="157"/>
    </row>
    <row r="982" spans="1:29" x14ac:dyDescent="0.25">
      <c r="A982" s="249">
        <v>43552</v>
      </c>
      <c r="B982" s="261" t="s">
        <v>174</v>
      </c>
      <c r="C982" s="59" t="s">
        <v>176</v>
      </c>
      <c r="D982" s="59" t="s">
        <v>175</v>
      </c>
      <c r="E982" s="61" t="s">
        <v>186</v>
      </c>
      <c r="F982" s="31">
        <v>6955.91</v>
      </c>
      <c r="G982" s="31">
        <v>6914.94</v>
      </c>
      <c r="H982" s="31">
        <v>6932.83</v>
      </c>
      <c r="I982" s="31">
        <v>6887.4</v>
      </c>
      <c r="J982" s="31">
        <v>6853.48</v>
      </c>
      <c r="K982" s="31">
        <v>6929.08</v>
      </c>
      <c r="L982" s="31">
        <v>6910.03</v>
      </c>
      <c r="M982" s="31">
        <v>6945.56</v>
      </c>
      <c r="N982" s="31">
        <v>6984.13</v>
      </c>
      <c r="O982" s="79">
        <f>IF((N983=""),"",MAX(F984:N984))</f>
        <v>3916.3200000000015</v>
      </c>
      <c r="P982" s="79">
        <f>IF(N983="","",MIN(F984:N984))</f>
        <v>3645.42</v>
      </c>
      <c r="Q982" s="80">
        <f>IF((N984=""),"",AVERAGE(F984:N984))</f>
        <v>3822.2533333333331</v>
      </c>
      <c r="R982" s="80">
        <f>IF((N983=""),"",(O982-P982)/(O982+P982)*100)</f>
        <v>3.5825087876600015</v>
      </c>
      <c r="S982" s="152">
        <f>STDEV(F984:N984)</f>
        <v>97.834542468394019</v>
      </c>
      <c r="T982" s="176" t="str">
        <f>IF(N983="","",IF(Q982&gt;3650,IF(R982&lt;7,IF(Q982&lt;4450,"Pass","Fail"),"Fail"),"Fail"))</f>
        <v>Pass</v>
      </c>
      <c r="U982" s="188">
        <v>121</v>
      </c>
      <c r="V982" s="166"/>
      <c r="W982" s="31"/>
      <c r="X982" s="155">
        <v>3650</v>
      </c>
      <c r="Y982" s="155">
        <v>4450</v>
      </c>
      <c r="Z982" s="155">
        <v>3700</v>
      </c>
      <c r="AA982" s="155">
        <v>4100</v>
      </c>
      <c r="AB982" s="51">
        <v>7</v>
      </c>
      <c r="AC982" s="51">
        <v>6.5</v>
      </c>
    </row>
    <row r="983" spans="1:29" ht="16.100000000000001" x14ac:dyDescent="0.35">
      <c r="A983"/>
      <c r="B983" s="44"/>
      <c r="C983" s="24"/>
      <c r="D983" s="24"/>
      <c r="E983" s="81" t="s">
        <v>187</v>
      </c>
      <c r="F983" s="31">
        <v>5095.32</v>
      </c>
      <c r="G983" s="31">
        <v>4974.83</v>
      </c>
      <c r="H983" s="31">
        <v>4977.04</v>
      </c>
      <c r="I983" s="31">
        <v>4943.42</v>
      </c>
      <c r="J983" s="31">
        <v>4985.07</v>
      </c>
      <c r="K983" s="31">
        <v>5106.37</v>
      </c>
      <c r="L983" s="31">
        <v>4970.26</v>
      </c>
      <c r="M983" s="31">
        <v>4987.3999999999996</v>
      </c>
      <c r="N983" s="31">
        <v>5073.51</v>
      </c>
      <c r="O983" s="81"/>
      <c r="P983" s="81"/>
      <c r="Q983" s="82"/>
      <c r="R983" s="82"/>
      <c r="S983" s="178"/>
      <c r="T983" s="28"/>
      <c r="U983" s="185"/>
      <c r="V983" s="166"/>
      <c r="W983" s="31"/>
      <c r="X983" s="157"/>
      <c r="Y983" s="157"/>
      <c r="Z983" s="157"/>
      <c r="AA983" s="157"/>
    </row>
    <row r="984" spans="1:29" ht="22.75" thickBot="1" x14ac:dyDescent="0.4">
      <c r="A984"/>
      <c r="B984" s="44"/>
      <c r="C984" s="24"/>
      <c r="D984" s="24"/>
      <c r="E984" s="81" t="s">
        <v>188</v>
      </c>
      <c r="F984" s="60">
        <f t="shared" ref="F984:N984" si="324">IF(((F982="")*AND(F983="")),"",(F982-F983)*2)</f>
        <v>3721.1800000000003</v>
      </c>
      <c r="G984" s="60">
        <f t="shared" si="324"/>
        <v>3880.2199999999993</v>
      </c>
      <c r="H984" s="60">
        <f t="shared" si="324"/>
        <v>3911.58</v>
      </c>
      <c r="I984" s="60">
        <f t="shared" si="324"/>
        <v>3887.9599999999991</v>
      </c>
      <c r="J984" s="60">
        <f t="shared" si="324"/>
        <v>3736.8199999999997</v>
      </c>
      <c r="K984" s="60">
        <f t="shared" si="324"/>
        <v>3645.42</v>
      </c>
      <c r="L984" s="60">
        <f t="shared" si="324"/>
        <v>3879.5399999999991</v>
      </c>
      <c r="M984" s="60">
        <f t="shared" si="324"/>
        <v>3916.3200000000015</v>
      </c>
      <c r="N984" s="60">
        <f t="shared" si="324"/>
        <v>3821.24</v>
      </c>
      <c r="O984" s="81"/>
      <c r="P984" s="81"/>
      <c r="Q984" s="82"/>
      <c r="R984" s="82"/>
      <c r="S984" s="178"/>
      <c r="T984" s="28"/>
      <c r="U984" s="185"/>
      <c r="V984" s="166"/>
      <c r="W984" s="31"/>
      <c r="X984" s="157"/>
      <c r="Y984" s="157"/>
      <c r="Z984" s="157"/>
      <c r="AA984" s="157"/>
    </row>
    <row r="985" spans="1:29" x14ac:dyDescent="0.25">
      <c r="A985" s="249">
        <v>43552</v>
      </c>
      <c r="B985" s="257" t="s">
        <v>169</v>
      </c>
      <c r="C985" s="24" t="s">
        <v>171</v>
      </c>
      <c r="D985" s="24" t="s">
        <v>189</v>
      </c>
      <c r="E985" s="81" t="s">
        <v>186</v>
      </c>
      <c r="F985" s="31">
        <v>2016.99</v>
      </c>
      <c r="G985" s="31">
        <v>2013.65</v>
      </c>
      <c r="H985" s="31">
        <v>2000.25</v>
      </c>
      <c r="I985" s="31">
        <v>2008.73</v>
      </c>
      <c r="J985" s="31">
        <v>2016.28</v>
      </c>
      <c r="K985" s="31">
        <v>2019.05</v>
      </c>
      <c r="L985" s="31">
        <v>2003.13</v>
      </c>
      <c r="M985" s="31">
        <v>2006.5</v>
      </c>
      <c r="N985" s="31">
        <v>2024.56</v>
      </c>
      <c r="O985" s="81">
        <f>IF((N986=""),"",MAX(F987:N987))</f>
        <v>2130.2400000000007</v>
      </c>
      <c r="P985" s="81">
        <f>IF(N986="","",MIN(F987:N987))</f>
        <v>2080.2600000000002</v>
      </c>
      <c r="Q985" s="82">
        <f>IF((N987=""),"",AVERAGE(F987:N987))</f>
        <v>2103.8166666666671</v>
      </c>
      <c r="R985" s="82">
        <f>IF((N986=""),"",(O985-P985)/(O985+P985)*100)</f>
        <v>1.1870324189526293</v>
      </c>
      <c r="S985" s="178">
        <f>STDEV(F987:N987)</f>
        <v>17.091878188192211</v>
      </c>
      <c r="T985" s="23" t="str">
        <f>IF(N986="","",IF(Q985&gt;1940,IF(R985&lt;8.3,IF(Q985&lt;2180,"Pass","Fail"),"Fail"),"Fail"))</f>
        <v>Pass</v>
      </c>
      <c r="U985" s="188">
        <v>121</v>
      </c>
      <c r="V985" s="166"/>
      <c r="W985" s="31"/>
      <c r="X985" s="155">
        <v>2000</v>
      </c>
      <c r="Y985" s="155">
        <v>3000</v>
      </c>
      <c r="Z985" s="155">
        <v>1940</v>
      </c>
      <c r="AA985" s="155">
        <v>2180</v>
      </c>
      <c r="AC985" s="51">
        <v>5.2</v>
      </c>
    </row>
    <row r="986" spans="1:29" ht="16.100000000000001" x14ac:dyDescent="0.35">
      <c r="A986"/>
      <c r="B986" s="44"/>
      <c r="C986" s="24"/>
      <c r="D986" s="24"/>
      <c r="E986" s="81" t="s">
        <v>187</v>
      </c>
      <c r="F986" s="31">
        <v>1313.24</v>
      </c>
      <c r="G986" s="31">
        <v>1303.57</v>
      </c>
      <c r="H986" s="31">
        <v>1299.48</v>
      </c>
      <c r="I986" s="31">
        <v>1308.1600000000001</v>
      </c>
      <c r="J986" s="31">
        <v>1322.86</v>
      </c>
      <c r="K986" s="31">
        <v>1321.63</v>
      </c>
      <c r="L986" s="31">
        <v>1309.18</v>
      </c>
      <c r="M986" s="31">
        <v>1299.1600000000001</v>
      </c>
      <c r="N986" s="31">
        <v>1320.41</v>
      </c>
      <c r="O986" s="81"/>
      <c r="P986" s="81"/>
      <c r="Q986" s="82"/>
      <c r="R986" s="82"/>
      <c r="S986" s="178"/>
      <c r="T986" s="23"/>
      <c r="U986" s="179"/>
      <c r="V986" s="212"/>
      <c r="W986" s="31"/>
      <c r="X986" s="157"/>
      <c r="Y986" s="157"/>
      <c r="Z986" s="157"/>
      <c r="AA986" s="157"/>
    </row>
    <row r="987" spans="1:29" ht="26.6" customHeight="1" thickBot="1" x14ac:dyDescent="0.4">
      <c r="A987"/>
      <c r="B987" s="44"/>
      <c r="C987" s="24"/>
      <c r="D987" s="24"/>
      <c r="E987" s="81" t="s">
        <v>190</v>
      </c>
      <c r="F987" s="60">
        <f t="shared" ref="F987:N987" si="325">IF(((F985="")*AND(F986="")),"",(F985-F986)*3)</f>
        <v>2111.25</v>
      </c>
      <c r="G987" s="60">
        <f t="shared" si="325"/>
        <v>2130.2400000000007</v>
      </c>
      <c r="H987" s="60">
        <f t="shared" si="325"/>
        <v>2102.31</v>
      </c>
      <c r="I987" s="60">
        <f t="shared" si="325"/>
        <v>2101.71</v>
      </c>
      <c r="J987" s="60">
        <f t="shared" si="325"/>
        <v>2080.2600000000002</v>
      </c>
      <c r="K987" s="60">
        <f t="shared" si="325"/>
        <v>2092.2599999999993</v>
      </c>
      <c r="L987" s="60">
        <f t="shared" si="325"/>
        <v>2081.8500000000004</v>
      </c>
      <c r="M987" s="60">
        <f t="shared" si="325"/>
        <v>2122.0199999999995</v>
      </c>
      <c r="N987" s="60">
        <f t="shared" si="325"/>
        <v>2112.4499999999998</v>
      </c>
      <c r="O987" s="81"/>
      <c r="P987" s="81"/>
      <c r="Q987" s="82"/>
      <c r="R987" s="82"/>
      <c r="S987" s="178"/>
      <c r="T987" s="23"/>
      <c r="U987" s="179"/>
      <c r="V987" s="212"/>
      <c r="W987" s="31"/>
      <c r="X987" s="157"/>
      <c r="Y987" s="157"/>
      <c r="Z987" s="157"/>
      <c r="AA987" s="157"/>
    </row>
    <row r="988" spans="1:29" x14ac:dyDescent="0.25">
      <c r="A988" s="249">
        <v>43552</v>
      </c>
      <c r="B988" s="260" t="s">
        <v>185</v>
      </c>
      <c r="C988" s="24" t="s">
        <v>173</v>
      </c>
      <c r="D988" s="24" t="s">
        <v>172</v>
      </c>
      <c r="E988" s="81" t="s">
        <v>186</v>
      </c>
      <c r="F988" s="31">
        <v>24416.3</v>
      </c>
      <c r="G988" s="31">
        <v>24682.66</v>
      </c>
      <c r="H988" s="31">
        <v>24818.03</v>
      </c>
      <c r="I988" s="31">
        <v>24720.61</v>
      </c>
      <c r="J988" s="31">
        <v>24418.87</v>
      </c>
      <c r="K988" s="31">
        <v>24492.03</v>
      </c>
      <c r="L988" s="31">
        <v>24745.56</v>
      </c>
      <c r="M988" s="31">
        <v>24685.74</v>
      </c>
      <c r="N988" s="31">
        <v>24347.29</v>
      </c>
      <c r="O988" s="81">
        <f>IF((N989=""),"",MAX(F990:N990))</f>
        <v>5149.5600000000013</v>
      </c>
      <c r="P988" s="81">
        <f>IF(N989="","",MIN(F990:N990))</f>
        <v>4201.3500000000022</v>
      </c>
      <c r="Q988" s="82">
        <f>IF((N990=""),"",AVERAGE(F990:N990))</f>
        <v>4547.7533333333331</v>
      </c>
      <c r="R988" s="82">
        <f>IF((N989=""),"",(O988-P988)/(O988+P988)*100)</f>
        <v>10.140296505901551</v>
      </c>
      <c r="S988" s="178">
        <f>STDEV(F990:N990)</f>
        <v>301.57438999358044</v>
      </c>
      <c r="T988" s="23" t="str">
        <f>IF(N989="","",IF(R988&lt;16,IF(Q988&gt;3200,IF(R988,IF(Q988&lt;5240,"Pass","Fail"),"Fail"),"Fail")))</f>
        <v>Pass</v>
      </c>
      <c r="U988" s="188">
        <v>121</v>
      </c>
      <c r="V988" s="166"/>
      <c r="W988" s="31"/>
      <c r="X988" s="155">
        <v>4200</v>
      </c>
      <c r="Y988" s="155">
        <v>5500</v>
      </c>
      <c r="Z988" s="155">
        <v>3200</v>
      </c>
      <c r="AA988" s="155">
        <v>5240</v>
      </c>
      <c r="AC988" s="51">
        <v>16</v>
      </c>
    </row>
    <row r="989" spans="1:29" ht="16.100000000000001" x14ac:dyDescent="0.35">
      <c r="A989"/>
      <c r="B989" s="44"/>
      <c r="C989" s="24"/>
      <c r="D989" s="24"/>
      <c r="E989" s="81" t="s">
        <v>187</v>
      </c>
      <c r="F989" s="31">
        <v>22806.639999999999</v>
      </c>
      <c r="G989" s="31">
        <v>23282.21</v>
      </c>
      <c r="H989" s="31">
        <v>23359.9</v>
      </c>
      <c r="I989" s="31">
        <v>23283.52</v>
      </c>
      <c r="J989" s="31">
        <v>22862.44</v>
      </c>
      <c r="K989" s="31">
        <v>22947.93</v>
      </c>
      <c r="L989" s="31">
        <v>23298.080000000002</v>
      </c>
      <c r="M989" s="31">
        <v>23212.34</v>
      </c>
      <c r="N989" s="31">
        <v>22630.77</v>
      </c>
      <c r="O989" s="31"/>
      <c r="P989" s="81"/>
      <c r="Q989" s="82"/>
      <c r="R989" s="82"/>
      <c r="S989" s="178"/>
      <c r="T989" s="23"/>
      <c r="U989" s="179"/>
      <c r="V989" s="212"/>
      <c r="W989" s="31"/>
      <c r="X989" s="157"/>
      <c r="Y989" s="157"/>
      <c r="Z989" s="157"/>
      <c r="AA989" s="157"/>
    </row>
    <row r="990" spans="1:29" ht="22.75" thickBot="1" x14ac:dyDescent="0.4">
      <c r="A990"/>
      <c r="B990" s="83"/>
      <c r="C990" s="84"/>
      <c r="D990" s="84"/>
      <c r="E990" s="85" t="s">
        <v>188</v>
      </c>
      <c r="F990" s="73">
        <f t="shared" ref="F990:N990" si="326">IF(((F988="")*AND(F989="")),"",(F988-F989)*3)</f>
        <v>4828.9799999999996</v>
      </c>
      <c r="G990" s="73">
        <f t="shared" si="326"/>
        <v>4201.3500000000022</v>
      </c>
      <c r="H990" s="73">
        <f t="shared" si="326"/>
        <v>4374.3899999999921</v>
      </c>
      <c r="I990" s="73">
        <f t="shared" si="326"/>
        <v>4311.2700000000004</v>
      </c>
      <c r="J990" s="73">
        <f t="shared" si="326"/>
        <v>4669.2900000000009</v>
      </c>
      <c r="K990" s="73">
        <f t="shared" si="326"/>
        <v>4632.2999999999956</v>
      </c>
      <c r="L990" s="73">
        <f t="shared" si="326"/>
        <v>4342.4399999999987</v>
      </c>
      <c r="M990" s="73">
        <f t="shared" si="326"/>
        <v>4420.2000000000044</v>
      </c>
      <c r="N990" s="73">
        <f t="shared" si="326"/>
        <v>5149.5600000000013</v>
      </c>
      <c r="O990" s="85"/>
      <c r="P990" s="85"/>
      <c r="Q990" s="86"/>
      <c r="R990" s="86"/>
      <c r="S990" s="181"/>
      <c r="T990" s="182"/>
      <c r="U990" s="183"/>
      <c r="V990" s="212"/>
      <c r="W990" s="31"/>
      <c r="X990" s="157"/>
      <c r="Y990" s="157"/>
      <c r="Z990" s="157"/>
      <c r="AA990" s="157"/>
    </row>
    <row r="991" spans="1:29" x14ac:dyDescent="0.25">
      <c r="A991" s="249">
        <v>43556</v>
      </c>
      <c r="B991" s="261" t="s">
        <v>174</v>
      </c>
      <c r="C991" s="59" t="s">
        <v>176</v>
      </c>
      <c r="D991" s="59" t="s">
        <v>175</v>
      </c>
      <c r="E991" s="61" t="s">
        <v>186</v>
      </c>
      <c r="F991" s="31">
        <v>5095.32</v>
      </c>
      <c r="G991" s="31">
        <v>4974.83</v>
      </c>
      <c r="H991" s="31">
        <v>4977.04</v>
      </c>
      <c r="I991" s="31">
        <v>4943.42</v>
      </c>
      <c r="J991" s="31">
        <v>4985.07</v>
      </c>
      <c r="K991" s="31">
        <v>5106.37</v>
      </c>
      <c r="L991" s="31">
        <v>4970.26</v>
      </c>
      <c r="M991" s="31">
        <v>4987.3999999999996</v>
      </c>
      <c r="N991" s="31">
        <v>5073.51</v>
      </c>
      <c r="O991" s="79">
        <f>IF((N992=""),"",MAX(F993:N993))</f>
        <v>3950.579999999999</v>
      </c>
      <c r="P991" s="79">
        <f>IF(N992="","",MIN(F993:N993))</f>
        <v>3660.3999999999996</v>
      </c>
      <c r="Q991" s="80">
        <f>IF((N993=""),"",AVERAGE(F993:N993))</f>
        <v>3853.6977777777774</v>
      </c>
      <c r="R991" s="80">
        <f>IF((N992=""),"",(O991-P991)/(O991+P991)*100)</f>
        <v>3.8126496193656982</v>
      </c>
      <c r="S991" s="152">
        <f>STDEV(F993:N993)</f>
        <v>103.34393472499717</v>
      </c>
      <c r="T991" s="176" t="str">
        <f>IF(N992="","",IF(Q991&gt;3650,IF(R991&lt;7,IF(Q991&lt;4450,"Pass","Fail"),"Fail"),"Fail"))</f>
        <v>Pass</v>
      </c>
      <c r="U991" s="188">
        <v>1340</v>
      </c>
      <c r="V991" s="166"/>
      <c r="W991" s="31"/>
      <c r="X991" s="155">
        <v>3650</v>
      </c>
      <c r="Y991" s="155">
        <v>4450</v>
      </c>
      <c r="Z991" s="155">
        <v>3700</v>
      </c>
      <c r="AA991" s="155">
        <v>4100</v>
      </c>
      <c r="AB991" s="51">
        <v>7</v>
      </c>
      <c r="AC991" s="51">
        <v>6.5</v>
      </c>
    </row>
    <row r="992" spans="1:29" ht="16.100000000000001" x14ac:dyDescent="0.35">
      <c r="A992"/>
      <c r="B992" s="44"/>
      <c r="C992" s="24"/>
      <c r="D992" s="24"/>
      <c r="E992" s="81" t="s">
        <v>187</v>
      </c>
      <c r="F992" s="31">
        <v>3223.5</v>
      </c>
      <c r="G992" s="31">
        <v>3021.11</v>
      </c>
      <c r="H992" s="31">
        <v>3004.71</v>
      </c>
      <c r="I992" s="31">
        <v>2977.85</v>
      </c>
      <c r="J992" s="31">
        <v>3095.65</v>
      </c>
      <c r="K992" s="31">
        <v>3276.17</v>
      </c>
      <c r="L992" s="31">
        <v>3012.56</v>
      </c>
      <c r="M992" s="31">
        <v>3012.11</v>
      </c>
      <c r="N992" s="31">
        <v>3147.92</v>
      </c>
      <c r="O992" s="81"/>
      <c r="P992" s="81"/>
      <c r="Q992" s="82"/>
      <c r="R992" s="82"/>
      <c r="S992" s="178"/>
      <c r="T992" s="28"/>
      <c r="U992" s="185"/>
      <c r="V992" s="166"/>
      <c r="W992" s="31"/>
      <c r="X992" s="157"/>
      <c r="Y992" s="157"/>
      <c r="Z992" s="157"/>
      <c r="AA992" s="157"/>
    </row>
    <row r="993" spans="1:30" ht="22.75" thickBot="1" x14ac:dyDescent="0.4">
      <c r="A993"/>
      <c r="B993" s="44"/>
      <c r="C993" s="24"/>
      <c r="D993" s="24"/>
      <c r="E993" s="81" t="s">
        <v>188</v>
      </c>
      <c r="F993" s="60">
        <f t="shared" ref="F993:N993" si="327">IF(((F991="")*AND(F992="")),"",(F991-F992)*2)</f>
        <v>3743.6399999999994</v>
      </c>
      <c r="G993" s="60">
        <f t="shared" si="327"/>
        <v>3907.4399999999996</v>
      </c>
      <c r="H993" s="60">
        <f t="shared" si="327"/>
        <v>3944.66</v>
      </c>
      <c r="I993" s="60">
        <f t="shared" si="327"/>
        <v>3931.1400000000003</v>
      </c>
      <c r="J993" s="60">
        <f t="shared" si="327"/>
        <v>3778.8399999999992</v>
      </c>
      <c r="K993" s="60">
        <f t="shared" si="327"/>
        <v>3660.3999999999996</v>
      </c>
      <c r="L993" s="60">
        <f t="shared" si="327"/>
        <v>3915.4000000000005</v>
      </c>
      <c r="M993" s="60">
        <f t="shared" si="327"/>
        <v>3950.579999999999</v>
      </c>
      <c r="N993" s="60">
        <f t="shared" si="327"/>
        <v>3851.1800000000003</v>
      </c>
      <c r="O993" s="81"/>
      <c r="P993" s="81"/>
      <c r="Q993" s="82"/>
      <c r="R993" s="82"/>
      <c r="S993" s="178"/>
      <c r="T993" s="28"/>
      <c r="U993" s="185"/>
      <c r="V993" s="166"/>
      <c r="W993" s="31"/>
      <c r="X993" s="157"/>
      <c r="Y993" s="157"/>
      <c r="Z993" s="157"/>
      <c r="AA993" s="157"/>
    </row>
    <row r="994" spans="1:30" s="37" customFormat="1" x14ac:dyDescent="0.25">
      <c r="A994" s="249">
        <v>43556</v>
      </c>
      <c r="B994" s="257" t="s">
        <v>169</v>
      </c>
      <c r="C994" s="24" t="s">
        <v>171</v>
      </c>
      <c r="D994" s="24" t="s">
        <v>189</v>
      </c>
      <c r="E994" s="81" t="s">
        <v>186</v>
      </c>
      <c r="F994" s="31">
        <v>1955.66</v>
      </c>
      <c r="G994" s="31">
        <v>1954.47</v>
      </c>
      <c r="H994" s="31">
        <v>1949.4</v>
      </c>
      <c r="I994" s="31">
        <v>1947.01</v>
      </c>
      <c r="J994" s="31">
        <v>1953.23</v>
      </c>
      <c r="K994" s="31">
        <v>1958.07</v>
      </c>
      <c r="L994" s="31">
        <v>1946.31</v>
      </c>
      <c r="M994" s="31">
        <v>1949.97</v>
      </c>
      <c r="N994" s="31">
        <v>1953.87</v>
      </c>
      <c r="O994" s="81">
        <f>IF((N995=""),"",MAX(F996:N996))</f>
        <v>2034.84</v>
      </c>
      <c r="P994" s="81">
        <f>IF(N995="","",MIN(F996:N996))</f>
        <v>1966.1100000000004</v>
      </c>
      <c r="Q994" s="82">
        <f>IF((N996=""),"",AVERAGE(F996:N996))</f>
        <v>2003.7333333333331</v>
      </c>
      <c r="R994" s="82">
        <f>IF((N995=""),"",(O994-P994)/(O994+P994)*100)</f>
        <v>1.7178420125220151</v>
      </c>
      <c r="S994" s="178">
        <f>STDEV(F996:N996)</f>
        <v>24.313132768115299</v>
      </c>
      <c r="T994" s="23" t="str">
        <f>IF(N995="","",IF(Q994&gt;1940,IF(R994&lt;8.3,IF(Q994&lt;2180,"Pass","Fail"),"Fail"),"Fail"))</f>
        <v>Pass</v>
      </c>
      <c r="U994" s="188">
        <v>1340</v>
      </c>
      <c r="V994" s="166"/>
      <c r="W994" s="31"/>
      <c r="X994" s="155">
        <v>2000</v>
      </c>
      <c r="Y994" s="155">
        <v>3000</v>
      </c>
      <c r="Z994" s="155">
        <v>1940</v>
      </c>
      <c r="AA994" s="155">
        <v>2180</v>
      </c>
      <c r="AB994" s="31"/>
      <c r="AC994" s="51">
        <v>5.2</v>
      </c>
      <c r="AD994" s="10"/>
    </row>
    <row r="995" spans="1:30" s="37" customFormat="1" ht="16.100000000000001" x14ac:dyDescent="0.35">
      <c r="A995"/>
      <c r="B995" s="44"/>
      <c r="C995" s="24"/>
      <c r="D995" s="24"/>
      <c r="E995" s="81" t="s">
        <v>187</v>
      </c>
      <c r="F995" s="31">
        <v>1285.76</v>
      </c>
      <c r="G995" s="31">
        <v>1276.19</v>
      </c>
      <c r="H995" s="31">
        <v>1273.92</v>
      </c>
      <c r="I995" s="31">
        <v>1280.22</v>
      </c>
      <c r="J995" s="31">
        <v>1297.8599999999999</v>
      </c>
      <c r="K995" s="31">
        <v>1295.29</v>
      </c>
      <c r="L995" s="31">
        <v>1282.93</v>
      </c>
      <c r="M995" s="31">
        <v>1271.83</v>
      </c>
      <c r="N995" s="31">
        <v>1292.79</v>
      </c>
      <c r="O995" s="81"/>
      <c r="P995" s="81"/>
      <c r="Q995" s="82"/>
      <c r="R995" s="82"/>
      <c r="S995" s="178"/>
      <c r="T995" s="23"/>
      <c r="U995" s="179"/>
      <c r="V995" s="212"/>
      <c r="W995" s="31"/>
      <c r="X995" s="157"/>
      <c r="Y995" s="157"/>
      <c r="Z995" s="157"/>
      <c r="AA995" s="157"/>
      <c r="AB995" s="31"/>
      <c r="AC995" s="31"/>
      <c r="AD995" s="10"/>
    </row>
    <row r="996" spans="1:30" s="37" customFormat="1" ht="25.5" customHeight="1" thickBot="1" x14ac:dyDescent="0.4">
      <c r="A996"/>
      <c r="B996" s="44"/>
      <c r="C996" s="24"/>
      <c r="D996" s="24"/>
      <c r="E996" s="81" t="s">
        <v>190</v>
      </c>
      <c r="F996" s="60">
        <f t="shared" ref="F996:N996" si="328">IF(((F994="")*AND(F995="")),"",(F994-F995)*3)</f>
        <v>2009.7000000000003</v>
      </c>
      <c r="G996" s="60">
        <f t="shared" si="328"/>
        <v>2034.84</v>
      </c>
      <c r="H996" s="60">
        <f t="shared" si="328"/>
        <v>2026.44</v>
      </c>
      <c r="I996" s="60">
        <f t="shared" si="328"/>
        <v>2000.37</v>
      </c>
      <c r="J996" s="60">
        <f t="shared" si="328"/>
        <v>1966.1100000000004</v>
      </c>
      <c r="K996" s="60">
        <f t="shared" si="328"/>
        <v>1988.34</v>
      </c>
      <c r="L996" s="60">
        <f t="shared" si="328"/>
        <v>1990.1399999999996</v>
      </c>
      <c r="M996" s="60">
        <f t="shared" si="328"/>
        <v>2034.4200000000003</v>
      </c>
      <c r="N996" s="60">
        <f t="shared" si="328"/>
        <v>1983.2399999999998</v>
      </c>
      <c r="O996" s="81"/>
      <c r="P996" s="81"/>
      <c r="Q996" s="82"/>
      <c r="R996" s="82"/>
      <c r="S996" s="178"/>
      <c r="T996" s="23"/>
      <c r="U996" s="179"/>
      <c r="V996" s="212"/>
      <c r="W996" s="31"/>
      <c r="X996" s="157"/>
      <c r="Y996" s="157"/>
      <c r="Z996" s="157"/>
      <c r="AA996" s="157"/>
      <c r="AB996" s="31"/>
      <c r="AC996" s="31"/>
      <c r="AD996" s="10"/>
    </row>
    <row r="997" spans="1:30" s="37" customFormat="1" x14ac:dyDescent="0.25">
      <c r="A997" s="249">
        <v>43556</v>
      </c>
      <c r="B997" s="260" t="s">
        <v>185</v>
      </c>
      <c r="C997" s="24" t="s">
        <v>173</v>
      </c>
      <c r="D997" s="24" t="s">
        <v>172</v>
      </c>
      <c r="E997" s="81" t="s">
        <v>186</v>
      </c>
      <c r="F997" s="31">
        <v>29250.91</v>
      </c>
      <c r="G997" s="31">
        <v>29139.78</v>
      </c>
      <c r="H997" s="31">
        <v>29115.360000000001</v>
      </c>
      <c r="I997" s="31">
        <v>29156.240000000002</v>
      </c>
      <c r="J997" s="31">
        <v>29203.64</v>
      </c>
      <c r="K997" s="31">
        <v>29221.06</v>
      </c>
      <c r="L997" s="31">
        <v>29138.95</v>
      </c>
      <c r="M997" s="31">
        <v>29121.06</v>
      </c>
      <c r="N997" s="31">
        <v>29250.58</v>
      </c>
      <c r="O997" s="81">
        <f>IF((N998=""),"",MAX(F999:N999))</f>
        <v>4770.1200000000026</v>
      </c>
      <c r="P997" s="81">
        <f>IF(N998="","",MIN(F999:N999))</f>
        <v>4110.6600000000035</v>
      </c>
      <c r="Q997" s="82">
        <f>IF((N999=""),"",AVERAGE(F999:N999))</f>
        <v>4401.4133333333339</v>
      </c>
      <c r="R997" s="82">
        <f>IF((N998=""),"",(O997-P997)/(O997+P997)*100)</f>
        <v>7.4256990939984853</v>
      </c>
      <c r="S997" s="178">
        <f>STDEV(F999:N999)</f>
        <v>228.33768206321301</v>
      </c>
      <c r="T997" s="23" t="str">
        <f>IF(N998="","",IF(R997&lt;16,IF(Q997&gt;3200,IF(R997,IF(Q997&lt;5240,"Pass","Fail"),"Fail"),"Fail")))</f>
        <v>Pass</v>
      </c>
      <c r="U997" s="188">
        <v>1340</v>
      </c>
      <c r="V997" s="166"/>
      <c r="W997" s="31"/>
      <c r="X997" s="155">
        <v>4200</v>
      </c>
      <c r="Y997" s="155">
        <v>5500</v>
      </c>
      <c r="Z997" s="155">
        <v>3200</v>
      </c>
      <c r="AA997" s="155">
        <v>5240</v>
      </c>
      <c r="AB997" s="31"/>
      <c r="AC997" s="51">
        <v>16</v>
      </c>
      <c r="AD997" s="10"/>
    </row>
    <row r="998" spans="1:30" s="37" customFormat="1" ht="16.100000000000001" x14ac:dyDescent="0.35">
      <c r="A998"/>
      <c r="B998" s="44"/>
      <c r="C998" s="24"/>
      <c r="D998" s="24"/>
      <c r="E998" s="81" t="s">
        <v>187</v>
      </c>
      <c r="F998" s="31">
        <v>27749.040000000001</v>
      </c>
      <c r="G998" s="31">
        <v>27736.13</v>
      </c>
      <c r="H998" s="31">
        <v>27697.73</v>
      </c>
      <c r="I998" s="31">
        <v>27687.4</v>
      </c>
      <c r="J998" s="31">
        <v>27710.18</v>
      </c>
      <c r="K998" s="31">
        <v>27631.02</v>
      </c>
      <c r="L998" s="31">
        <v>27740.83</v>
      </c>
      <c r="M998" s="31">
        <v>27750.84</v>
      </c>
      <c r="N998" s="31">
        <v>27690.17</v>
      </c>
      <c r="O998" s="31"/>
      <c r="P998" s="81"/>
      <c r="Q998" s="82"/>
      <c r="R998" s="82"/>
      <c r="S998" s="178"/>
      <c r="T998" s="23"/>
      <c r="U998" s="179"/>
      <c r="V998" s="212"/>
      <c r="W998" s="31"/>
      <c r="X998" s="157"/>
      <c r="Y998" s="157"/>
      <c r="Z998" s="157"/>
      <c r="AA998" s="157"/>
      <c r="AB998" s="31"/>
      <c r="AC998" s="31"/>
      <c r="AD998" s="10"/>
    </row>
    <row r="999" spans="1:30" s="37" customFormat="1" ht="22.75" thickBot="1" x14ac:dyDescent="0.4">
      <c r="A999"/>
      <c r="B999" s="83"/>
      <c r="C999" s="84"/>
      <c r="D999" s="84"/>
      <c r="E999" s="85" t="s">
        <v>188</v>
      </c>
      <c r="F999" s="73">
        <f t="shared" ref="F999:N999" si="329">IF(((F997="")*AND(F998="")),"",(F997-F998)*3)</f>
        <v>4505.6099999999969</v>
      </c>
      <c r="G999" s="73">
        <f t="shared" si="329"/>
        <v>4210.9499999999935</v>
      </c>
      <c r="H999" s="73">
        <f t="shared" si="329"/>
        <v>4252.8900000000031</v>
      </c>
      <c r="I999" s="73">
        <f t="shared" si="329"/>
        <v>4406.5200000000004</v>
      </c>
      <c r="J999" s="73">
        <f t="shared" si="329"/>
        <v>4480.3799999999974</v>
      </c>
      <c r="K999" s="73">
        <f t="shared" si="329"/>
        <v>4770.1200000000026</v>
      </c>
      <c r="L999" s="73">
        <f t="shared" si="329"/>
        <v>4194.3599999999969</v>
      </c>
      <c r="M999" s="73">
        <f t="shared" si="329"/>
        <v>4110.6600000000035</v>
      </c>
      <c r="N999" s="73">
        <f t="shared" si="329"/>
        <v>4681.2300000000105</v>
      </c>
      <c r="O999" s="85"/>
      <c r="P999" s="85"/>
      <c r="Q999" s="86"/>
      <c r="R999" s="86"/>
      <c r="S999" s="181"/>
      <c r="T999" s="182"/>
      <c r="U999" s="183"/>
      <c r="V999" s="212"/>
      <c r="W999" s="31"/>
      <c r="X999" s="157"/>
      <c r="Y999" s="157"/>
      <c r="Z999" s="157"/>
      <c r="AA999" s="157"/>
      <c r="AB999" s="31"/>
      <c r="AC999" s="31"/>
      <c r="AD999" s="10"/>
    </row>
    <row r="1000" spans="1:30" s="37" customFormat="1" x14ac:dyDescent="0.25">
      <c r="A1000" s="249">
        <v>43559</v>
      </c>
      <c r="B1000" s="261" t="s">
        <v>174</v>
      </c>
      <c r="C1000" s="59" t="s">
        <v>176</v>
      </c>
      <c r="D1000" s="59" t="s">
        <v>175</v>
      </c>
      <c r="E1000" s="61" t="s">
        <v>186</v>
      </c>
      <c r="F1000" s="31">
        <v>3223.5</v>
      </c>
      <c r="G1000" s="31">
        <v>3021.11</v>
      </c>
      <c r="H1000" s="31">
        <v>3004.71</v>
      </c>
      <c r="I1000" s="31">
        <v>2977.85</v>
      </c>
      <c r="J1000" s="31">
        <v>3095.65</v>
      </c>
      <c r="K1000" s="31">
        <v>3276.17</v>
      </c>
      <c r="L1000" s="31">
        <v>3012.56</v>
      </c>
      <c r="M1000" s="31">
        <v>3012.11</v>
      </c>
      <c r="N1000" s="31">
        <v>3147.92</v>
      </c>
      <c r="O1000" s="79">
        <f>IF((N1001=""),"",MAX(F1002:N1002))</f>
        <v>3903.2400000000002</v>
      </c>
      <c r="P1000" s="79">
        <f>IF(N1001="","",MIN(F1002:N1002))</f>
        <v>3528.5200000000004</v>
      </c>
      <c r="Q1000" s="80">
        <f>IF((N1002=""),"",AVERAGE(F1002:N1002))</f>
        <v>3783.3111111111116</v>
      </c>
      <c r="R1000" s="80">
        <f>IF((N1001=""),"",(O1000-P1000)/(O1000+P1000)*100)</f>
        <v>5.042143449196419</v>
      </c>
      <c r="S1000" s="152">
        <f>STDEV(F1002:N1002)</f>
        <v>122.49340068391879</v>
      </c>
      <c r="T1000" s="176" t="str">
        <f>IF(N1001="","",IF(Q1000&gt;3650,IF(R1000&lt;7,IF(Q1000&lt;4450,"Pass","Fail"),"Fail"),"Fail"))</f>
        <v>Pass</v>
      </c>
      <c r="U1000" s="188">
        <v>1340</v>
      </c>
      <c r="V1000" s="166"/>
      <c r="W1000" s="31"/>
      <c r="X1000" s="155">
        <v>3650</v>
      </c>
      <c r="Y1000" s="155">
        <v>4450</v>
      </c>
      <c r="Z1000" s="155">
        <v>3700</v>
      </c>
      <c r="AA1000" s="155">
        <v>4100</v>
      </c>
      <c r="AB1000" s="51">
        <v>7</v>
      </c>
      <c r="AC1000" s="51">
        <v>6.5</v>
      </c>
      <c r="AD1000" s="10"/>
    </row>
    <row r="1001" spans="1:30" s="37" customFormat="1" ht="16.100000000000001" x14ac:dyDescent="0.35">
      <c r="A1001"/>
      <c r="B1001" s="44"/>
      <c r="C1001" s="24"/>
      <c r="D1001" s="24"/>
      <c r="E1001" s="81" t="s">
        <v>187</v>
      </c>
      <c r="F1001" s="31">
        <v>1337.31</v>
      </c>
      <c r="G1001" s="31">
        <v>1134.49</v>
      </c>
      <c r="H1001" s="31">
        <v>1053.0899999999999</v>
      </c>
      <c r="I1001" s="31">
        <v>1031.17</v>
      </c>
      <c r="J1001" s="31">
        <v>1212.43</v>
      </c>
      <c r="K1001" s="31">
        <v>1440.91</v>
      </c>
      <c r="L1001" s="31">
        <v>1077.43</v>
      </c>
      <c r="M1001" s="31">
        <v>1247.8499999999999</v>
      </c>
      <c r="N1001" s="31">
        <v>1212</v>
      </c>
      <c r="O1001" s="81"/>
      <c r="P1001" s="81"/>
      <c r="Q1001" s="82"/>
      <c r="R1001" s="82"/>
      <c r="S1001" s="178"/>
      <c r="T1001" s="28"/>
      <c r="U1001" s="185"/>
      <c r="V1001" s="166"/>
      <c r="W1001" s="31"/>
      <c r="X1001" s="157"/>
      <c r="Y1001" s="157"/>
      <c r="Z1001" s="157"/>
      <c r="AA1001" s="157"/>
      <c r="AB1001" s="31"/>
      <c r="AC1001" s="31"/>
      <c r="AD1001" s="10"/>
    </row>
    <row r="1002" spans="1:30" s="37" customFormat="1" ht="22.75" thickBot="1" x14ac:dyDescent="0.4">
      <c r="A1002"/>
      <c r="B1002" s="44"/>
      <c r="C1002" s="24"/>
      <c r="D1002" s="24"/>
      <c r="E1002" s="81" t="s">
        <v>188</v>
      </c>
      <c r="F1002" s="60">
        <f t="shared" ref="F1002:N1002" si="330">IF(((F1000="")*AND(F1001="")),"",(F1000-F1001)*2)</f>
        <v>3772.38</v>
      </c>
      <c r="G1002" s="60">
        <f t="shared" si="330"/>
        <v>3773.2400000000002</v>
      </c>
      <c r="H1002" s="60">
        <f t="shared" si="330"/>
        <v>3903.2400000000002</v>
      </c>
      <c r="I1002" s="60">
        <f t="shared" si="330"/>
        <v>3893.3599999999997</v>
      </c>
      <c r="J1002" s="60">
        <f t="shared" si="330"/>
        <v>3766.44</v>
      </c>
      <c r="K1002" s="60">
        <f t="shared" si="330"/>
        <v>3670.52</v>
      </c>
      <c r="L1002" s="60">
        <f t="shared" si="330"/>
        <v>3870.2599999999998</v>
      </c>
      <c r="M1002" s="60">
        <f t="shared" si="330"/>
        <v>3528.5200000000004</v>
      </c>
      <c r="N1002" s="60">
        <f t="shared" si="330"/>
        <v>3871.84</v>
      </c>
      <c r="O1002" s="81"/>
      <c r="P1002" s="81"/>
      <c r="Q1002" s="82"/>
      <c r="R1002" s="82"/>
      <c r="S1002" s="178"/>
      <c r="T1002" s="28"/>
      <c r="U1002" s="185"/>
      <c r="V1002" s="166"/>
      <c r="W1002" s="31"/>
      <c r="X1002" s="157"/>
      <c r="Y1002" s="157"/>
      <c r="Z1002" s="157"/>
      <c r="AA1002" s="157"/>
      <c r="AB1002" s="31"/>
      <c r="AC1002" s="31"/>
      <c r="AD1002" s="10"/>
    </row>
    <row r="1003" spans="1:30" s="37" customFormat="1" x14ac:dyDescent="0.25">
      <c r="A1003" s="249">
        <v>43559</v>
      </c>
      <c r="B1003" s="257" t="s">
        <v>169</v>
      </c>
      <c r="C1003" s="24" t="s">
        <v>171</v>
      </c>
      <c r="D1003" s="24" t="s">
        <v>189</v>
      </c>
      <c r="E1003" s="81" t="s">
        <v>186</v>
      </c>
      <c r="F1003" s="31">
        <v>1285.76</v>
      </c>
      <c r="G1003" s="31">
        <v>1276.19</v>
      </c>
      <c r="H1003" s="31">
        <v>1273.92</v>
      </c>
      <c r="I1003" s="31">
        <v>1280.22</v>
      </c>
      <c r="J1003" s="31">
        <v>1297.8599999999999</v>
      </c>
      <c r="K1003" s="31">
        <v>1295.29</v>
      </c>
      <c r="L1003" s="31">
        <v>1282.93</v>
      </c>
      <c r="M1003" s="31">
        <v>1271.83</v>
      </c>
      <c r="N1003" s="31">
        <v>1292.79</v>
      </c>
      <c r="O1003" s="81">
        <f>IF((N1004=""),"",MAX(F1005:N1005))</f>
        <v>2038.7399999999998</v>
      </c>
      <c r="P1003" s="81">
        <f>IF(N1004="","",MIN(F1005:N1005))</f>
        <v>1969.2299999999996</v>
      </c>
      <c r="Q1003" s="82">
        <f>IF((N1005=""),"",AVERAGE(F1005:N1005))</f>
        <v>2006.78</v>
      </c>
      <c r="R1003" s="82">
        <f>IF((N1004=""),"",(O1003-P1003)/(O1003+P1003)*100)</f>
        <v>1.7342944183714009</v>
      </c>
      <c r="S1003" s="178">
        <f>STDEV(F1005:N1005)</f>
        <v>24.195106943347145</v>
      </c>
      <c r="T1003" s="23" t="str">
        <f>IF(N1004="","",IF(Q1003&gt;1940,IF(R1003&lt;8.3,IF(Q1003&lt;2180,"Pass","Fail"),"Fail"),"Fail"))</f>
        <v>Pass</v>
      </c>
      <c r="U1003" s="188">
        <v>1340</v>
      </c>
      <c r="V1003" s="166"/>
      <c r="W1003" s="31"/>
      <c r="X1003" s="155">
        <v>2000</v>
      </c>
      <c r="Y1003" s="155">
        <v>3000</v>
      </c>
      <c r="Z1003" s="155">
        <v>1940</v>
      </c>
      <c r="AA1003" s="155">
        <v>2180</v>
      </c>
      <c r="AB1003" s="31"/>
      <c r="AC1003" s="51">
        <v>5.2</v>
      </c>
      <c r="AD1003" s="10"/>
    </row>
    <row r="1004" spans="1:30" s="37" customFormat="1" ht="16.100000000000001" x14ac:dyDescent="0.35">
      <c r="A1004"/>
      <c r="B1004" s="44"/>
      <c r="C1004" s="24"/>
      <c r="D1004" s="24"/>
      <c r="E1004" s="81" t="s">
        <v>187</v>
      </c>
      <c r="F1004" s="31">
        <v>616.32000000000005</v>
      </c>
      <c r="G1004" s="31">
        <v>597.66999999999996</v>
      </c>
      <c r="H1004" s="31">
        <v>607.16</v>
      </c>
      <c r="I1004" s="31">
        <v>607.04999999999995</v>
      </c>
      <c r="J1004" s="31">
        <v>641.45000000000005</v>
      </c>
      <c r="K1004" s="31">
        <v>627.17999999999995</v>
      </c>
      <c r="L1004" s="31">
        <v>612.07000000000005</v>
      </c>
      <c r="M1004" s="31">
        <v>592.25</v>
      </c>
      <c r="N1004" s="31">
        <v>635.29999999999995</v>
      </c>
      <c r="O1004" s="81"/>
      <c r="P1004" s="81"/>
      <c r="Q1004" s="82"/>
      <c r="R1004" s="82"/>
      <c r="S1004" s="178"/>
      <c r="T1004" s="23"/>
      <c r="U1004" s="179"/>
      <c r="V1004" s="212"/>
      <c r="W1004" s="31"/>
      <c r="X1004" s="157"/>
      <c r="Y1004" s="157"/>
      <c r="Z1004" s="157"/>
      <c r="AA1004" s="157"/>
      <c r="AB1004" s="31"/>
      <c r="AC1004" s="31"/>
      <c r="AD1004" s="10"/>
    </row>
    <row r="1005" spans="1:30" s="37" customFormat="1" ht="26.6" customHeight="1" thickBot="1" x14ac:dyDescent="0.4">
      <c r="A1005"/>
      <c r="B1005" s="44"/>
      <c r="C1005" s="24"/>
      <c r="D1005" s="24"/>
      <c r="E1005" s="81" t="s">
        <v>190</v>
      </c>
      <c r="F1005" s="60">
        <f t="shared" ref="F1005:N1005" si="331">IF(((F1003="")*AND(F1004="")),"",(F1003-F1004)*3)</f>
        <v>2008.3199999999997</v>
      </c>
      <c r="G1005" s="60">
        <f t="shared" si="331"/>
        <v>2035.5600000000004</v>
      </c>
      <c r="H1005" s="60">
        <f t="shared" si="331"/>
        <v>2000.2800000000002</v>
      </c>
      <c r="I1005" s="60">
        <f t="shared" si="331"/>
        <v>2019.5100000000002</v>
      </c>
      <c r="J1005" s="60">
        <f t="shared" si="331"/>
        <v>1969.2299999999996</v>
      </c>
      <c r="K1005" s="60">
        <f t="shared" si="331"/>
        <v>2004.33</v>
      </c>
      <c r="L1005" s="60">
        <f t="shared" si="331"/>
        <v>2012.58</v>
      </c>
      <c r="M1005" s="60">
        <f t="shared" si="331"/>
        <v>2038.7399999999998</v>
      </c>
      <c r="N1005" s="60">
        <f t="shared" si="331"/>
        <v>1972.47</v>
      </c>
      <c r="O1005" s="81"/>
      <c r="P1005" s="81"/>
      <c r="Q1005" s="82"/>
      <c r="R1005" s="82"/>
      <c r="S1005" s="178"/>
      <c r="T1005" s="23"/>
      <c r="U1005" s="179"/>
      <c r="V1005" s="212"/>
      <c r="W1005" s="31"/>
      <c r="X1005" s="157"/>
      <c r="Y1005" s="157"/>
      <c r="Z1005" s="157"/>
      <c r="AA1005" s="157"/>
      <c r="AB1005" s="31"/>
      <c r="AC1005" s="31"/>
      <c r="AD1005" s="10"/>
    </row>
    <row r="1006" spans="1:30" s="37" customFormat="1" x14ac:dyDescent="0.25">
      <c r="A1006" s="249">
        <v>43559</v>
      </c>
      <c r="B1006" s="260" t="s">
        <v>185</v>
      </c>
      <c r="C1006" s="24" t="s">
        <v>173</v>
      </c>
      <c r="D1006" s="24" t="s">
        <v>172</v>
      </c>
      <c r="E1006" s="81" t="s">
        <v>186</v>
      </c>
      <c r="F1006" s="31">
        <v>27749.040000000001</v>
      </c>
      <c r="G1006" s="31">
        <v>27736.13</v>
      </c>
      <c r="H1006" s="31">
        <v>27697.73</v>
      </c>
      <c r="I1006" s="31">
        <v>27687.4</v>
      </c>
      <c r="J1006" s="31">
        <v>27710.18</v>
      </c>
      <c r="K1006" s="31">
        <v>27631.02</v>
      </c>
      <c r="L1006" s="31">
        <v>27740.83</v>
      </c>
      <c r="M1006" s="31">
        <v>27750.84</v>
      </c>
      <c r="N1006" s="31">
        <v>27690.17</v>
      </c>
      <c r="O1006" s="81">
        <f>IF((N1007=""),"",MAX(F1008:N1008))</f>
        <v>5017.7700000000004</v>
      </c>
      <c r="P1006" s="81">
        <f>IF(N1007="","",MIN(F1008:N1008))</f>
        <v>4320.7199999999939</v>
      </c>
      <c r="Q1006" s="82">
        <f>IF((N1008=""),"",AVERAGE(F1008:N1008))</f>
        <v>4630.5733333333337</v>
      </c>
      <c r="R1006" s="82">
        <f>IF((N1007=""),"",(O1006-P1006)/(O1006+P1006)*100)</f>
        <v>7.4642688486040774</v>
      </c>
      <c r="S1006" s="178">
        <f>STDEV(F1008:N1008)</f>
        <v>257.69353634695563</v>
      </c>
      <c r="T1006" s="23" t="str">
        <f>IF(N1007="","",IF(R1006&lt;16,IF(Q1006&gt;3200,IF(R1006,IF(Q1006&lt;5240,"Pass","Fail"),"Fail"),"Fail")))</f>
        <v>Pass</v>
      </c>
      <c r="U1006" s="188">
        <v>1340</v>
      </c>
      <c r="V1006" s="166"/>
      <c r="W1006" s="31"/>
      <c r="X1006" s="155">
        <v>4200</v>
      </c>
      <c r="Y1006" s="155">
        <v>5500</v>
      </c>
      <c r="Z1006" s="155">
        <v>3200</v>
      </c>
      <c r="AA1006" s="155">
        <v>5240</v>
      </c>
      <c r="AB1006" s="31"/>
      <c r="AC1006" s="51">
        <v>16</v>
      </c>
      <c r="AD1006" s="10"/>
    </row>
    <row r="1007" spans="1:30" s="37" customFormat="1" ht="16.100000000000001" x14ac:dyDescent="0.35">
      <c r="A1007"/>
      <c r="B1007" s="44"/>
      <c r="C1007" s="24"/>
      <c r="D1007" s="24"/>
      <c r="E1007" s="81" t="s">
        <v>187</v>
      </c>
      <c r="F1007" s="31">
        <v>26085.25</v>
      </c>
      <c r="G1007" s="31">
        <v>26227.77</v>
      </c>
      <c r="H1007" s="31">
        <v>26257.49</v>
      </c>
      <c r="I1007" s="31">
        <v>26241.48</v>
      </c>
      <c r="J1007" s="31">
        <v>26037.59</v>
      </c>
      <c r="K1007" s="31">
        <v>26082.11</v>
      </c>
      <c r="L1007" s="31">
        <v>26242.42</v>
      </c>
      <c r="M1007" s="31">
        <v>26239.15</v>
      </c>
      <c r="N1007" s="31">
        <v>26088.36</v>
      </c>
      <c r="O1007" s="31"/>
      <c r="P1007" s="81"/>
      <c r="Q1007" s="82"/>
      <c r="R1007" s="82"/>
      <c r="S1007" s="178"/>
      <c r="T1007" s="23"/>
      <c r="U1007" s="179"/>
      <c r="V1007" s="212"/>
      <c r="W1007" s="31"/>
      <c r="X1007" s="157"/>
      <c r="Y1007" s="157"/>
      <c r="Z1007" s="157"/>
      <c r="AA1007" s="157"/>
      <c r="AB1007" s="31"/>
      <c r="AC1007" s="31"/>
      <c r="AD1007" s="10"/>
    </row>
    <row r="1008" spans="1:30" s="37" customFormat="1" ht="22.75" thickBot="1" x14ac:dyDescent="0.4">
      <c r="A1008"/>
      <c r="B1008" s="83"/>
      <c r="C1008" s="84"/>
      <c r="D1008" s="84"/>
      <c r="E1008" s="85" t="s">
        <v>188</v>
      </c>
      <c r="F1008" s="73">
        <f t="shared" ref="F1008:N1008" si="332">IF(((F1006="")*AND(F1007="")),"",(F1006-F1007)*3)</f>
        <v>4991.3700000000026</v>
      </c>
      <c r="G1008" s="73">
        <f t="shared" si="332"/>
        <v>4525.0800000000017</v>
      </c>
      <c r="H1008" s="73">
        <f t="shared" si="332"/>
        <v>4320.7199999999939</v>
      </c>
      <c r="I1008" s="73">
        <f t="shared" si="332"/>
        <v>4337.7600000000057</v>
      </c>
      <c r="J1008" s="73">
        <f t="shared" si="332"/>
        <v>5017.7700000000004</v>
      </c>
      <c r="K1008" s="73">
        <f t="shared" si="332"/>
        <v>4646.7299999999996</v>
      </c>
      <c r="L1008" s="73">
        <f t="shared" si="332"/>
        <v>4495.2300000000105</v>
      </c>
      <c r="M1008" s="73">
        <f t="shared" si="332"/>
        <v>4535.0699999999961</v>
      </c>
      <c r="N1008" s="73">
        <f t="shared" si="332"/>
        <v>4805.429999999993</v>
      </c>
      <c r="O1008" s="85"/>
      <c r="P1008" s="85"/>
      <c r="Q1008" s="86"/>
      <c r="R1008" s="86"/>
      <c r="S1008" s="181"/>
      <c r="T1008" s="182"/>
      <c r="U1008" s="183"/>
      <c r="V1008" s="212"/>
      <c r="W1008" s="31"/>
      <c r="X1008" s="157"/>
      <c r="Y1008" s="157"/>
      <c r="Z1008" s="157"/>
      <c r="AA1008" s="157"/>
      <c r="AB1008" s="31"/>
      <c r="AC1008" s="31"/>
      <c r="AD1008" s="10"/>
    </row>
    <row r="1009" spans="1:30" s="37" customFormat="1" x14ac:dyDescent="0.25">
      <c r="A1009" s="249">
        <v>43565</v>
      </c>
      <c r="B1009" s="261" t="s">
        <v>174</v>
      </c>
      <c r="C1009" s="59" t="s">
        <v>176</v>
      </c>
      <c r="D1009" s="59" t="s">
        <v>175</v>
      </c>
      <c r="E1009" s="61" t="s">
        <v>186</v>
      </c>
      <c r="F1009" s="31">
        <v>7047.1</v>
      </c>
      <c r="G1009" s="31">
        <v>7013.85</v>
      </c>
      <c r="H1009" s="31">
        <v>7042.53</v>
      </c>
      <c r="I1009" s="31">
        <v>6996.14</v>
      </c>
      <c r="J1009" s="31">
        <v>6944.66</v>
      </c>
      <c r="K1009" s="31">
        <v>7005.13</v>
      </c>
      <c r="L1009" s="31">
        <v>7002.94</v>
      </c>
      <c r="M1009" s="31">
        <v>7061.08</v>
      </c>
      <c r="N1009" s="31">
        <v>7087.6</v>
      </c>
      <c r="O1009" s="79">
        <f>IF((N1010=""),"",MAX(F1011:N1011))</f>
        <v>4010.9599999999991</v>
      </c>
      <c r="P1009" s="79">
        <f>IF(N1010="","",MIN(F1011:N1011))</f>
        <v>3649.6200000000008</v>
      </c>
      <c r="Q1009" s="80">
        <f>IF((N1011=""),"",AVERAGE(F1011:N1011))</f>
        <v>3898.4933333333342</v>
      </c>
      <c r="R1009" s="80">
        <f>IF((N1010=""),"",(O1009-P1009)/(O1009+P1009)*100)</f>
        <v>4.7168752235470199</v>
      </c>
      <c r="S1009" s="152">
        <f>STDEV(F1011:N1011)</f>
        <v>119.77308796219599</v>
      </c>
      <c r="T1009" s="176" t="str">
        <f>IF(N1010="","",IF(Q1009&gt;3650,IF(R1009&lt;7,IF(Q1009&lt;4450,"Pass","Fail"),"Fail"),"Fail"))</f>
        <v>Pass</v>
      </c>
      <c r="U1009" s="188">
        <v>1159</v>
      </c>
      <c r="V1009" s="31" t="s">
        <v>229</v>
      </c>
      <c r="X1009" s="155">
        <v>3650</v>
      </c>
      <c r="Y1009" s="155">
        <v>4450</v>
      </c>
      <c r="Z1009" s="155">
        <v>3700</v>
      </c>
      <c r="AA1009" s="155">
        <v>4100</v>
      </c>
      <c r="AB1009" s="51">
        <v>7</v>
      </c>
      <c r="AC1009" s="51">
        <v>6.5</v>
      </c>
      <c r="AD1009" s="10"/>
    </row>
    <row r="1010" spans="1:30" s="37" customFormat="1" ht="16.100000000000001" x14ac:dyDescent="0.35">
      <c r="A1010"/>
      <c r="B1010" s="44"/>
      <c r="C1010" s="24"/>
      <c r="D1010" s="24"/>
      <c r="E1010" s="81" t="s">
        <v>187</v>
      </c>
      <c r="F1010" s="31">
        <v>5153.8999999999996</v>
      </c>
      <c r="G1010" s="31">
        <v>5035.7299999999996</v>
      </c>
      <c r="H1010" s="31">
        <v>5045.49</v>
      </c>
      <c r="I1010" s="31">
        <v>5008.29</v>
      </c>
      <c r="J1010" s="31">
        <v>5029.7700000000004</v>
      </c>
      <c r="K1010" s="31">
        <v>5180.32</v>
      </c>
      <c r="L1010" s="31">
        <v>5022.6499999999996</v>
      </c>
      <c r="M1010" s="31">
        <v>5055.6000000000004</v>
      </c>
      <c r="N1010" s="31">
        <v>5126.0600000000004</v>
      </c>
      <c r="O1010" s="81"/>
      <c r="P1010" s="81"/>
      <c r="Q1010" s="82"/>
      <c r="R1010" s="82"/>
      <c r="S1010" s="178"/>
      <c r="T1010" s="28"/>
      <c r="U1010" s="185"/>
      <c r="V1010" s="31"/>
      <c r="X1010" s="157"/>
      <c r="Y1010" s="157"/>
      <c r="Z1010" s="157"/>
      <c r="AA1010" s="157"/>
      <c r="AB1010" s="31"/>
      <c r="AC1010" s="31"/>
      <c r="AD1010" s="10"/>
    </row>
    <row r="1011" spans="1:30" s="37" customFormat="1" ht="22.75" thickBot="1" x14ac:dyDescent="0.4">
      <c r="A1011"/>
      <c r="B1011" s="44"/>
      <c r="C1011" s="24"/>
      <c r="D1011" s="24"/>
      <c r="E1011" s="81" t="s">
        <v>188</v>
      </c>
      <c r="F1011" s="60">
        <f t="shared" ref="F1011:N1011" si="333">IF(((F1009="")*AND(F1010="")),"",(F1009-F1010)*2)</f>
        <v>3786.4000000000015</v>
      </c>
      <c r="G1011" s="60">
        <f t="shared" si="333"/>
        <v>3956.2400000000016</v>
      </c>
      <c r="H1011" s="60">
        <f t="shared" si="333"/>
        <v>3994.08</v>
      </c>
      <c r="I1011" s="60">
        <f t="shared" si="333"/>
        <v>3975.7000000000007</v>
      </c>
      <c r="J1011" s="60">
        <f t="shared" si="333"/>
        <v>3829.7799999999988</v>
      </c>
      <c r="K1011" s="60">
        <f t="shared" si="333"/>
        <v>3649.6200000000008</v>
      </c>
      <c r="L1011" s="60">
        <f t="shared" si="333"/>
        <v>3960.58</v>
      </c>
      <c r="M1011" s="60">
        <f t="shared" si="333"/>
        <v>4010.9599999999991</v>
      </c>
      <c r="N1011" s="60">
        <f t="shared" si="333"/>
        <v>3923.08</v>
      </c>
      <c r="O1011" s="81"/>
      <c r="P1011" s="81"/>
      <c r="Q1011" s="82"/>
      <c r="R1011" s="82"/>
      <c r="S1011" s="178"/>
      <c r="T1011" s="28"/>
      <c r="U1011" s="185"/>
      <c r="V1011" s="31"/>
      <c r="X1011" s="157"/>
      <c r="Y1011" s="157"/>
      <c r="Z1011" s="157"/>
      <c r="AA1011" s="157"/>
      <c r="AB1011" s="31"/>
      <c r="AC1011" s="31"/>
      <c r="AD1011" s="10"/>
    </row>
    <row r="1012" spans="1:30" s="37" customFormat="1" x14ac:dyDescent="0.25">
      <c r="A1012" s="249">
        <v>43565</v>
      </c>
      <c r="B1012" s="257" t="s">
        <v>169</v>
      </c>
      <c r="C1012" s="24" t="s">
        <v>171</v>
      </c>
      <c r="D1012" s="24" t="s">
        <v>189</v>
      </c>
      <c r="E1012" s="81" t="s">
        <v>186</v>
      </c>
      <c r="F1012" s="31">
        <v>1930.42</v>
      </c>
      <c r="G1012" s="31">
        <v>1926.41</v>
      </c>
      <c r="H1012" s="31">
        <v>1926.41</v>
      </c>
      <c r="I1012" s="31">
        <v>1932.38</v>
      </c>
      <c r="J1012" s="31">
        <v>1939.19</v>
      </c>
      <c r="K1012" s="31">
        <v>1935.73</v>
      </c>
      <c r="L1012" s="31">
        <v>1932.55</v>
      </c>
      <c r="M1012" s="31">
        <v>1924.3</v>
      </c>
      <c r="N1012" s="31">
        <v>1932.48</v>
      </c>
      <c r="O1012" s="81">
        <f>IF((N1013=""),"",MAX(F1014:N1014))</f>
        <v>2027.28</v>
      </c>
      <c r="P1012" s="81">
        <f>IF(N1013="","",MIN(F1014:N1014))</f>
        <v>1994.6700000000003</v>
      </c>
      <c r="Q1012" s="82">
        <f>IF((N1014=""),"",AVERAGE(F1014:N1014))</f>
        <v>2013.3600000000001</v>
      </c>
      <c r="R1012" s="82">
        <f>IF((N1013=""),"",(O1012-P1012)/(O1012+P1012)*100)</f>
        <v>0.81080073098869132</v>
      </c>
      <c r="S1012" s="178">
        <f>STDEV(F1014:N1014)</f>
        <v>12.033730718276791</v>
      </c>
      <c r="T1012" s="23" t="str">
        <f>IF(N1013="","",IF(Q1012&gt;1940,IF(R1012&lt;8.3,IF(Q1012&lt;2180,"Pass","Fail"),"Fail"),"Fail"))</f>
        <v>Pass</v>
      </c>
      <c r="U1012" s="188">
        <v>1159</v>
      </c>
      <c r="V1012" s="31" t="s">
        <v>229</v>
      </c>
      <c r="X1012" s="155">
        <v>2000</v>
      </c>
      <c r="Y1012" s="155">
        <v>3000</v>
      </c>
      <c r="Z1012" s="155">
        <v>1940</v>
      </c>
      <c r="AA1012" s="155">
        <v>2180</v>
      </c>
      <c r="AB1012" s="31"/>
      <c r="AC1012" s="51">
        <v>5.2</v>
      </c>
      <c r="AD1012" s="10"/>
    </row>
    <row r="1013" spans="1:30" s="37" customFormat="1" ht="16.100000000000001" x14ac:dyDescent="0.35">
      <c r="A1013"/>
      <c r="B1013" s="44"/>
      <c r="C1013" s="24"/>
      <c r="D1013" s="24"/>
      <c r="E1013" s="81" t="s">
        <v>187</v>
      </c>
      <c r="F1013" s="31">
        <v>1258.8900000000001</v>
      </c>
      <c r="G1013" s="31">
        <v>1252.6199999999999</v>
      </c>
      <c r="H1013" s="31">
        <v>1253.1400000000001</v>
      </c>
      <c r="I1013" s="31">
        <v>1257.8900000000001</v>
      </c>
      <c r="J1013" s="31">
        <v>1273.99</v>
      </c>
      <c r="K1013" s="31">
        <v>1267.33</v>
      </c>
      <c r="L1013" s="31">
        <v>1256.79</v>
      </c>
      <c r="M1013" s="31">
        <v>1251.55</v>
      </c>
      <c r="N1013" s="31">
        <v>1267.5899999999999</v>
      </c>
      <c r="O1013" s="81"/>
      <c r="P1013" s="81"/>
      <c r="Q1013" s="82"/>
      <c r="R1013" s="82"/>
      <c r="S1013" s="178"/>
      <c r="T1013" s="23"/>
      <c r="U1013" s="179"/>
      <c r="V1013" s="31"/>
      <c r="X1013" s="157"/>
      <c r="Y1013" s="157"/>
      <c r="Z1013" s="157"/>
      <c r="AA1013" s="157"/>
      <c r="AB1013" s="31"/>
      <c r="AC1013" s="31"/>
      <c r="AD1013" s="10"/>
    </row>
    <row r="1014" spans="1:30" s="37" customFormat="1" ht="26.6" customHeight="1" thickBot="1" x14ac:dyDescent="0.4">
      <c r="A1014"/>
      <c r="B1014" s="44"/>
      <c r="C1014" s="24"/>
      <c r="D1014" s="24"/>
      <c r="E1014" s="81" t="s">
        <v>190</v>
      </c>
      <c r="F1014" s="60">
        <f t="shared" ref="F1014:N1014" si="334">IF(((F1012="")*AND(F1013="")),"",(F1012-F1013)*3)</f>
        <v>2014.59</v>
      </c>
      <c r="G1014" s="60">
        <f t="shared" si="334"/>
        <v>2021.3700000000006</v>
      </c>
      <c r="H1014" s="60">
        <f t="shared" si="334"/>
        <v>2019.81</v>
      </c>
      <c r="I1014" s="60">
        <f t="shared" si="334"/>
        <v>2023.47</v>
      </c>
      <c r="J1014" s="60">
        <f t="shared" si="334"/>
        <v>1995.6000000000001</v>
      </c>
      <c r="K1014" s="60">
        <f t="shared" si="334"/>
        <v>2005.2000000000003</v>
      </c>
      <c r="L1014" s="60">
        <f t="shared" si="334"/>
        <v>2027.28</v>
      </c>
      <c r="M1014" s="60">
        <f t="shared" si="334"/>
        <v>2018.25</v>
      </c>
      <c r="N1014" s="60">
        <f t="shared" si="334"/>
        <v>1994.6700000000003</v>
      </c>
      <c r="O1014" s="81"/>
      <c r="P1014" s="81"/>
      <c r="Q1014" s="82"/>
      <c r="R1014" s="82"/>
      <c r="S1014" s="178"/>
      <c r="T1014" s="23"/>
      <c r="U1014" s="179"/>
      <c r="V1014" s="31"/>
      <c r="X1014" s="157"/>
      <c r="Y1014" s="157"/>
      <c r="Z1014" s="157"/>
      <c r="AA1014" s="157"/>
      <c r="AB1014" s="31"/>
      <c r="AC1014" s="31"/>
      <c r="AD1014" s="10"/>
    </row>
    <row r="1015" spans="1:30" s="37" customFormat="1" x14ac:dyDescent="0.25">
      <c r="A1015" s="249">
        <v>43565</v>
      </c>
      <c r="B1015" s="260" t="s">
        <v>185</v>
      </c>
      <c r="C1015" s="24" t="s">
        <v>173</v>
      </c>
      <c r="D1015" s="24" t="s">
        <v>172</v>
      </c>
      <c r="E1015" s="81" t="s">
        <v>186</v>
      </c>
      <c r="F1015" s="31">
        <v>25983.01</v>
      </c>
      <c r="G1015" s="31">
        <v>26158.89</v>
      </c>
      <c r="H1015" s="31">
        <v>26168.31</v>
      </c>
      <c r="I1015" s="31">
        <v>26140.03</v>
      </c>
      <c r="J1015" s="31">
        <v>25953.34</v>
      </c>
      <c r="K1015" s="31">
        <v>25989.21</v>
      </c>
      <c r="L1015" s="31">
        <v>26126.95</v>
      </c>
      <c r="M1015" s="31">
        <v>26123.39</v>
      </c>
      <c r="N1015" s="31">
        <v>26006.82</v>
      </c>
      <c r="O1015" s="81">
        <f>IF((N1016=""),"",MAX(F1017:N1017))</f>
        <v>4732.5299999999952</v>
      </c>
      <c r="P1015" s="81">
        <f>IF(N1016="","",MIN(F1017:N1017))</f>
        <v>4071.6600000000035</v>
      </c>
      <c r="Q1015" s="82">
        <f>IF((N1017=""),"",AVERAGE(F1017:N1017))</f>
        <v>4363.7999999999984</v>
      </c>
      <c r="R1015" s="82">
        <f>IF((N1016=""),"",(O1015-P1015)/(O1015+P1015)*100)</f>
        <v>7.5063123353765864</v>
      </c>
      <c r="S1015" s="178">
        <f>STDEV(F1017:N1017)</f>
        <v>238.94732060644316</v>
      </c>
      <c r="T1015" s="23" t="str">
        <f>IF(N1016="","",IF(R1015&lt;16,IF(Q1015&gt;3200,IF(R1015,IF(Q1015&lt;5240,"Pass","Fail"),"Fail"),"Fail")))</f>
        <v>Pass</v>
      </c>
      <c r="U1015" s="188">
        <v>1159</v>
      </c>
      <c r="V1015" s="31" t="s">
        <v>229</v>
      </c>
      <c r="X1015" s="155">
        <v>4200</v>
      </c>
      <c r="Y1015" s="155">
        <v>5500</v>
      </c>
      <c r="Z1015" s="155">
        <v>3200</v>
      </c>
      <c r="AA1015" s="155">
        <v>5240</v>
      </c>
      <c r="AB1015" s="31"/>
      <c r="AC1015" s="51">
        <v>16</v>
      </c>
      <c r="AD1015" s="10"/>
    </row>
    <row r="1016" spans="1:30" s="37" customFormat="1" ht="16.100000000000001" x14ac:dyDescent="0.35">
      <c r="A1016"/>
      <c r="B1016" s="44"/>
      <c r="C1016" s="24"/>
      <c r="D1016" s="24"/>
      <c r="E1016" s="81" t="s">
        <v>187</v>
      </c>
      <c r="F1016" s="31">
        <v>24462.22</v>
      </c>
      <c r="G1016" s="31">
        <v>24757.34</v>
      </c>
      <c r="H1016" s="31">
        <v>24811.09</v>
      </c>
      <c r="I1016" s="31">
        <v>24751.48</v>
      </c>
      <c r="J1016" s="31">
        <v>24425.15</v>
      </c>
      <c r="K1016" s="31">
        <v>24478.74</v>
      </c>
      <c r="L1016" s="31">
        <v>24702.69</v>
      </c>
      <c r="M1016" s="31">
        <v>24740.53</v>
      </c>
      <c r="N1016" s="31">
        <v>24429.31</v>
      </c>
      <c r="O1016" s="31"/>
      <c r="P1016" s="81"/>
      <c r="Q1016" s="82"/>
      <c r="R1016" s="82"/>
      <c r="S1016" s="178"/>
      <c r="T1016" s="23"/>
      <c r="U1016" s="179"/>
      <c r="V1016" s="31"/>
      <c r="X1016" s="157"/>
      <c r="Y1016" s="157"/>
      <c r="Z1016" s="157"/>
      <c r="AA1016" s="157"/>
      <c r="AB1016" s="31"/>
      <c r="AC1016" s="31"/>
      <c r="AD1016" s="10"/>
    </row>
    <row r="1017" spans="1:30" s="37" customFormat="1" ht="22.75" thickBot="1" x14ac:dyDescent="0.4">
      <c r="A1017"/>
      <c r="B1017" s="87"/>
      <c r="C1017" s="66"/>
      <c r="D1017" s="66"/>
      <c r="E1017" s="68" t="s">
        <v>188</v>
      </c>
      <c r="F1017" s="65">
        <f t="shared" ref="F1017:N1017" si="335">IF(((F1015="")*AND(F1016="")),"",(F1015-F1016)*3)</f>
        <v>4562.3699999999917</v>
      </c>
      <c r="G1017" s="65">
        <f t="shared" si="335"/>
        <v>4204.6499999999978</v>
      </c>
      <c r="H1017" s="65">
        <f t="shared" si="335"/>
        <v>4071.6600000000035</v>
      </c>
      <c r="I1017" s="65">
        <f t="shared" si="335"/>
        <v>4165.6499999999978</v>
      </c>
      <c r="J1017" s="65">
        <f t="shared" si="335"/>
        <v>4584.5699999999961</v>
      </c>
      <c r="K1017" s="65">
        <f t="shared" si="335"/>
        <v>4531.4099999999926</v>
      </c>
      <c r="L1017" s="65">
        <f t="shared" si="335"/>
        <v>4272.7800000000061</v>
      </c>
      <c r="M1017" s="65">
        <f t="shared" si="335"/>
        <v>4148.5800000000017</v>
      </c>
      <c r="N1017" s="65">
        <f t="shared" si="335"/>
        <v>4732.5299999999952</v>
      </c>
      <c r="O1017" s="68"/>
      <c r="P1017" s="68"/>
      <c r="Q1017" s="69"/>
      <c r="R1017" s="69"/>
      <c r="S1017" s="186"/>
      <c r="T1017" s="160"/>
      <c r="U1017" s="187"/>
      <c r="V1017" s="31"/>
      <c r="X1017" s="157"/>
      <c r="Y1017" s="157"/>
      <c r="Z1017" s="157"/>
      <c r="AA1017" s="157"/>
      <c r="AB1017" s="31"/>
      <c r="AC1017" s="31"/>
      <c r="AD1017" s="10"/>
    </row>
    <row r="1018" spans="1:30" s="37" customFormat="1" x14ac:dyDescent="0.25">
      <c r="A1018" s="251">
        <v>43568</v>
      </c>
      <c r="B1018" s="259" t="s">
        <v>174</v>
      </c>
      <c r="C1018" s="64" t="s">
        <v>176</v>
      </c>
      <c r="D1018" s="64" t="s">
        <v>175</v>
      </c>
      <c r="E1018" s="79" t="s">
        <v>186</v>
      </c>
      <c r="F1018" s="165">
        <v>5162.29</v>
      </c>
      <c r="G1018" s="165">
        <v>5043.22</v>
      </c>
      <c r="H1018" s="165">
        <v>5052.78</v>
      </c>
      <c r="I1018" s="165">
        <v>5015.88</v>
      </c>
      <c r="J1018" s="165">
        <v>5037.63</v>
      </c>
      <c r="K1018" s="165">
        <v>5188.75</v>
      </c>
      <c r="L1018" s="165">
        <v>5030.34</v>
      </c>
      <c r="M1018" s="165">
        <v>5062.71</v>
      </c>
      <c r="N1018" s="165">
        <v>5133.8999999999996</v>
      </c>
      <c r="O1018" s="79">
        <f>IF((N1019=""),"",MAX(F1020:N1020))</f>
        <v>4069.34</v>
      </c>
      <c r="P1018" s="79">
        <f>IF(N1019="","",MIN(F1020:N1020))</f>
        <v>3767.1000000000004</v>
      </c>
      <c r="Q1018" s="80">
        <f>IF((N1020=""),"",AVERAGE(F1020:N1020))</f>
        <v>3910.2555555555559</v>
      </c>
      <c r="R1018" s="80">
        <f>IF((N1019=""),"",(O1018-P1018)/(O1018+P1018)*100)</f>
        <v>3.8568533670901552</v>
      </c>
      <c r="S1018" s="170">
        <f>STDEV(F1020:N1020)</f>
        <v>94.928268591488546</v>
      </c>
      <c r="T1018" s="176" t="str">
        <f>IF(N1019="","",IF(Q1018&gt;3650,IF(R1018&lt;7,IF(Q1018&lt;4450,"Pass","Fail"),"Fail"),"Fail"))</f>
        <v>Pass</v>
      </c>
      <c r="U1018" s="188">
        <v>1159</v>
      </c>
      <c r="V1018" s="166"/>
      <c r="W1018" s="305"/>
      <c r="X1018" s="155">
        <v>3650</v>
      </c>
      <c r="Y1018" s="155">
        <v>4450</v>
      </c>
      <c r="Z1018" s="155">
        <v>3700</v>
      </c>
      <c r="AA1018" s="155">
        <v>4100</v>
      </c>
      <c r="AB1018" s="51">
        <v>7</v>
      </c>
      <c r="AC1018" s="51">
        <v>6.5</v>
      </c>
      <c r="AD1018" s="10"/>
    </row>
    <row r="1019" spans="1:30" s="37" customFormat="1" ht="16.100000000000001" x14ac:dyDescent="0.35">
      <c r="A1019" s="254"/>
      <c r="B1019" s="44"/>
      <c r="C1019" s="24"/>
      <c r="D1019" s="24"/>
      <c r="E1019" s="81" t="s">
        <v>187</v>
      </c>
      <c r="F1019" s="166">
        <v>3273.38</v>
      </c>
      <c r="G1019" s="166">
        <v>3075.52</v>
      </c>
      <c r="H1019" s="166">
        <v>3074.54</v>
      </c>
      <c r="I1019" s="166">
        <v>3050.66</v>
      </c>
      <c r="J1019" s="166">
        <v>3154.08</v>
      </c>
      <c r="K1019" s="166">
        <v>3154.08</v>
      </c>
      <c r="L1019" s="166">
        <v>3068.56</v>
      </c>
      <c r="M1019" s="166">
        <v>3078.86</v>
      </c>
      <c r="N1019" s="166">
        <v>3201.67</v>
      </c>
      <c r="O1019" s="81"/>
      <c r="P1019" s="81"/>
      <c r="Q1019" s="82"/>
      <c r="R1019" s="82"/>
      <c r="S1019" s="178"/>
      <c r="T1019" s="28"/>
      <c r="U1019" s="185"/>
      <c r="V1019" s="166"/>
      <c r="W1019" s="305"/>
      <c r="X1019" s="157"/>
      <c r="Y1019" s="157"/>
      <c r="Z1019" s="157"/>
      <c r="AA1019" s="157"/>
      <c r="AB1019" s="31"/>
      <c r="AC1019" s="31"/>
      <c r="AD1019" s="10"/>
    </row>
    <row r="1020" spans="1:30" s="37" customFormat="1" ht="22.75" thickBot="1" x14ac:dyDescent="0.4">
      <c r="A1020" s="254"/>
      <c r="B1020" s="44"/>
      <c r="C1020" s="24"/>
      <c r="D1020" s="24"/>
      <c r="E1020" s="81" t="s">
        <v>188</v>
      </c>
      <c r="F1020" s="60">
        <f t="shared" ref="F1020:N1020" si="336">IF(((F1018="")*AND(F1019="")),"",(F1018-F1019)*2)</f>
        <v>3777.8199999999997</v>
      </c>
      <c r="G1020" s="60">
        <f t="shared" si="336"/>
        <v>3935.4000000000005</v>
      </c>
      <c r="H1020" s="60">
        <f t="shared" si="336"/>
        <v>3956.4799999999996</v>
      </c>
      <c r="I1020" s="60">
        <f t="shared" si="336"/>
        <v>3930.4400000000005</v>
      </c>
      <c r="J1020" s="60">
        <f t="shared" si="336"/>
        <v>3767.1000000000004</v>
      </c>
      <c r="K1020" s="60">
        <f t="shared" si="336"/>
        <v>4069.34</v>
      </c>
      <c r="L1020" s="60">
        <f t="shared" si="336"/>
        <v>3923.5600000000004</v>
      </c>
      <c r="M1020" s="60">
        <f t="shared" si="336"/>
        <v>3967.7</v>
      </c>
      <c r="N1020" s="60">
        <f t="shared" si="336"/>
        <v>3864.4599999999991</v>
      </c>
      <c r="O1020" s="81"/>
      <c r="P1020" s="81"/>
      <c r="Q1020" s="82"/>
      <c r="R1020" s="82"/>
      <c r="S1020" s="178"/>
      <c r="T1020" s="28"/>
      <c r="U1020" s="185"/>
      <c r="V1020" s="166"/>
      <c r="W1020" s="305"/>
      <c r="X1020" s="157"/>
      <c r="Y1020" s="157"/>
      <c r="Z1020" s="157"/>
      <c r="AA1020" s="157"/>
      <c r="AB1020" s="31"/>
      <c r="AC1020" s="31"/>
      <c r="AD1020" s="10"/>
    </row>
    <row r="1021" spans="1:30" s="37" customFormat="1" x14ac:dyDescent="0.25">
      <c r="A1021" s="249">
        <v>43568</v>
      </c>
      <c r="B1021" s="257" t="s">
        <v>169</v>
      </c>
      <c r="C1021" s="24" t="s">
        <v>171</v>
      </c>
      <c r="D1021" s="24" t="s">
        <v>189</v>
      </c>
      <c r="E1021" s="81" t="s">
        <v>186</v>
      </c>
      <c r="F1021" s="166">
        <v>1265.31</v>
      </c>
      <c r="G1021" s="166">
        <v>1255.78</v>
      </c>
      <c r="H1021" s="166">
        <v>1258.3699999999999</v>
      </c>
      <c r="I1021" s="166">
        <v>1262.32</v>
      </c>
      <c r="J1021" s="166">
        <v>1278.3800000000001</v>
      </c>
      <c r="K1021" s="166">
        <v>1270.97</v>
      </c>
      <c r="L1021" s="166">
        <v>1259.47</v>
      </c>
      <c r="M1021" s="166">
        <v>1255.24</v>
      </c>
      <c r="N1021" s="166">
        <v>1271.29</v>
      </c>
      <c r="O1021" s="81">
        <f>IF((N1022=""),"",MAX(F1023:N1023))</f>
        <v>2055.2999999999997</v>
      </c>
      <c r="P1021" s="81">
        <f>IF(N1022="","",MIN(F1023:N1023))</f>
        <v>2003.1</v>
      </c>
      <c r="Q1021" s="82">
        <f>IF((N1023=""),"",AVERAGE(F1023:N1023))</f>
        <v>2035.0033333333331</v>
      </c>
      <c r="R1021" s="82">
        <f>IF((N1022=""),"",(O1021-P1021)/(O1021+P1021)*100)</f>
        <v>1.2862211709047857</v>
      </c>
      <c r="S1021" s="178">
        <f>STDEV(F1023:N1023)</f>
        <v>17.03034570993783</v>
      </c>
      <c r="T1021" s="23" t="str">
        <f>IF(N1022="","",IF(Q1021&gt;1940,IF(R1021&lt;8.3,IF(Q1021&lt;2180,"Pass","Fail"),"Fail"),"Fail"))</f>
        <v>Pass</v>
      </c>
      <c r="U1021" s="188">
        <v>1428</v>
      </c>
      <c r="V1021" s="166"/>
      <c r="W1021" s="305"/>
      <c r="X1021" s="155">
        <v>2000</v>
      </c>
      <c r="Y1021" s="155">
        <v>3000</v>
      </c>
      <c r="Z1021" s="155">
        <v>1940</v>
      </c>
      <c r="AA1021" s="155">
        <v>2180</v>
      </c>
      <c r="AB1021" s="31"/>
      <c r="AC1021" s="51">
        <v>5.2</v>
      </c>
      <c r="AD1021" s="10"/>
    </row>
    <row r="1022" spans="1:30" s="37" customFormat="1" ht="16.100000000000001" x14ac:dyDescent="0.35">
      <c r="A1022" s="254"/>
      <c r="B1022" s="44"/>
      <c r="C1022" s="24"/>
      <c r="D1022" s="24"/>
      <c r="E1022" s="81" t="s">
        <v>187</v>
      </c>
      <c r="F1022" s="166">
        <v>590.33000000000004</v>
      </c>
      <c r="G1022" s="166">
        <v>573.82000000000005</v>
      </c>
      <c r="H1022" s="166">
        <v>578.91999999999996</v>
      </c>
      <c r="I1022" s="166">
        <v>577.22</v>
      </c>
      <c r="J1022" s="166">
        <v>602.41</v>
      </c>
      <c r="K1022" s="166">
        <v>597.29</v>
      </c>
      <c r="L1022" s="166">
        <v>577.05999999999995</v>
      </c>
      <c r="M1022" s="166">
        <v>571.48</v>
      </c>
      <c r="N1022" s="166">
        <v>603.59</v>
      </c>
      <c r="O1022" s="81"/>
      <c r="P1022" s="81"/>
      <c r="Q1022" s="82"/>
      <c r="R1022" s="82"/>
      <c r="S1022" s="178"/>
      <c r="T1022" s="23"/>
      <c r="U1022" s="179"/>
      <c r="V1022" s="212"/>
      <c r="W1022" s="305"/>
      <c r="X1022" s="157"/>
      <c r="Y1022" s="157"/>
      <c r="Z1022" s="157"/>
      <c r="AA1022" s="157"/>
      <c r="AB1022" s="31"/>
      <c r="AC1022" s="31"/>
      <c r="AD1022" s="10"/>
    </row>
    <row r="1023" spans="1:30" s="37" customFormat="1" ht="27.15" customHeight="1" thickBot="1" x14ac:dyDescent="0.4">
      <c r="A1023" s="254"/>
      <c r="B1023" s="44"/>
      <c r="C1023" s="24"/>
      <c r="D1023" s="24"/>
      <c r="E1023" s="81" t="s">
        <v>190</v>
      </c>
      <c r="F1023" s="60">
        <f t="shared" ref="F1023:N1023" si="337">IF(((F1021="")*AND(F1022="")),"",(F1021-F1022)*3)</f>
        <v>2024.9399999999996</v>
      </c>
      <c r="G1023" s="60">
        <f t="shared" si="337"/>
        <v>2045.8799999999997</v>
      </c>
      <c r="H1023" s="60">
        <f t="shared" si="337"/>
        <v>2038.35</v>
      </c>
      <c r="I1023" s="60">
        <f t="shared" si="337"/>
        <v>2055.2999999999997</v>
      </c>
      <c r="J1023" s="60">
        <f t="shared" si="337"/>
        <v>2027.9100000000003</v>
      </c>
      <c r="K1023" s="60">
        <f t="shared" si="337"/>
        <v>2021.0400000000002</v>
      </c>
      <c r="L1023" s="60">
        <f t="shared" si="337"/>
        <v>2047.2300000000002</v>
      </c>
      <c r="M1023" s="60">
        <f t="shared" si="337"/>
        <v>2051.2799999999997</v>
      </c>
      <c r="N1023" s="60">
        <f t="shared" si="337"/>
        <v>2003.1</v>
      </c>
      <c r="O1023" s="81"/>
      <c r="P1023" s="81"/>
      <c r="Q1023" s="82"/>
      <c r="R1023" s="82"/>
      <c r="S1023" s="178"/>
      <c r="T1023" s="23"/>
      <c r="U1023" s="179"/>
      <c r="V1023" s="212"/>
      <c r="W1023" s="305"/>
      <c r="X1023" s="157"/>
      <c r="Y1023" s="157"/>
      <c r="Z1023" s="157"/>
      <c r="AA1023" s="157"/>
      <c r="AB1023" s="31"/>
      <c r="AC1023" s="31"/>
      <c r="AD1023" s="10"/>
    </row>
    <row r="1024" spans="1:30" s="37" customFormat="1" x14ac:dyDescent="0.25">
      <c r="A1024" s="249">
        <v>43568</v>
      </c>
      <c r="B1024" s="260" t="s">
        <v>185</v>
      </c>
      <c r="C1024" s="24" t="s">
        <v>173</v>
      </c>
      <c r="D1024" s="24" t="s">
        <v>172</v>
      </c>
      <c r="E1024" s="81" t="s">
        <v>186</v>
      </c>
      <c r="F1024" s="166">
        <v>25983.01</v>
      </c>
      <c r="G1024" s="166">
        <v>26158.89</v>
      </c>
      <c r="H1024" s="166">
        <v>26168.31</v>
      </c>
      <c r="I1024" s="166">
        <v>26140.03</v>
      </c>
      <c r="J1024" s="166">
        <v>25953.34</v>
      </c>
      <c r="K1024" s="166">
        <v>25989.21</v>
      </c>
      <c r="L1024" s="166">
        <v>26126.95</v>
      </c>
      <c r="M1024" s="166">
        <v>26123.39</v>
      </c>
      <c r="N1024" s="166">
        <v>26006.82</v>
      </c>
      <c r="O1024" s="81">
        <f>IF((N1025=""),"",MAX(F1026:N1026))</f>
        <v>9298.5599999999904</v>
      </c>
      <c r="P1024" s="81">
        <f>IF(N1025="","",MIN(F1026:N1026))</f>
        <v>8017.5600000000013</v>
      </c>
      <c r="Q1024" s="82">
        <f>IF((N1026=""),"",AVERAGE(F1026:N1026))</f>
        <v>8729.9066666666677</v>
      </c>
      <c r="R1024" s="82">
        <f>IF((N1025=""),"",(O1024-P1024)/(O1024+P1024)*100)</f>
        <v>7.3977311314543313</v>
      </c>
      <c r="S1024" s="178">
        <f>STDEV(F1026:N1026)</f>
        <v>479.90423992709123</v>
      </c>
      <c r="T1024" s="23" t="str">
        <f>IF(N1025="","",IF(R1024&lt;16,IF(Q1024&gt;3200,IF(R1024,IF(Q1024&lt;5240,"Pass","Fail"),"Fail"),"Fail")))</f>
        <v>Fail</v>
      </c>
      <c r="U1024" s="188">
        <v>1428</v>
      </c>
      <c r="V1024" s="166"/>
      <c r="W1024" s="305"/>
      <c r="X1024" s="155">
        <v>4200</v>
      </c>
      <c r="Y1024" s="155">
        <v>5500</v>
      </c>
      <c r="Z1024" s="155">
        <v>3200</v>
      </c>
      <c r="AA1024" s="155">
        <v>5240</v>
      </c>
      <c r="AB1024" s="31"/>
      <c r="AC1024" s="51">
        <v>16</v>
      </c>
      <c r="AD1024" s="10"/>
    </row>
    <row r="1025" spans="1:30" s="37" customFormat="1" ht="16.100000000000001" x14ac:dyDescent="0.35">
      <c r="A1025" s="254"/>
      <c r="B1025" s="44"/>
      <c r="C1025" s="24"/>
      <c r="D1025" s="24"/>
      <c r="E1025" s="81" t="s">
        <v>187</v>
      </c>
      <c r="F1025" s="166">
        <v>22883.49</v>
      </c>
      <c r="G1025" s="166">
        <v>23329.3</v>
      </c>
      <c r="H1025" s="166">
        <v>23495.79</v>
      </c>
      <c r="I1025" s="166">
        <v>23314.7</v>
      </c>
      <c r="J1025" s="166">
        <v>22905.8</v>
      </c>
      <c r="K1025" s="166">
        <v>22950.6</v>
      </c>
      <c r="L1025" s="166">
        <v>23334.91</v>
      </c>
      <c r="M1025" s="166">
        <v>23334.91</v>
      </c>
      <c r="N1025" s="166">
        <v>22910.73</v>
      </c>
      <c r="O1025" s="166"/>
      <c r="P1025" s="81"/>
      <c r="Q1025" s="82"/>
      <c r="R1025" s="82"/>
      <c r="S1025" s="178"/>
      <c r="T1025" s="23"/>
      <c r="U1025" s="179"/>
      <c r="V1025" s="212"/>
      <c r="W1025" s="305"/>
      <c r="X1025" s="157"/>
      <c r="Y1025" s="157"/>
      <c r="Z1025" s="157"/>
      <c r="AA1025" s="157"/>
      <c r="AB1025" s="31"/>
      <c r="AC1025" s="31"/>
      <c r="AD1025" s="10"/>
    </row>
    <row r="1026" spans="1:30" s="37" customFormat="1" ht="22.75" thickBot="1" x14ac:dyDescent="0.4">
      <c r="A1026" s="254"/>
      <c r="B1026" s="83"/>
      <c r="C1026" s="84"/>
      <c r="D1026" s="84"/>
      <c r="E1026" s="85" t="s">
        <v>188</v>
      </c>
      <c r="F1026" s="73">
        <f t="shared" ref="F1026:N1026" si="338">IF(((F1024="")*AND(F1025="")),"",(F1024-F1025)*3)</f>
        <v>9298.5599999999904</v>
      </c>
      <c r="G1026" s="73">
        <f t="shared" si="338"/>
        <v>8488.77</v>
      </c>
      <c r="H1026" s="73">
        <f t="shared" si="338"/>
        <v>8017.5600000000013</v>
      </c>
      <c r="I1026" s="73">
        <f t="shared" si="338"/>
        <v>8475.9899999999943</v>
      </c>
      <c r="J1026" s="73">
        <f t="shared" si="338"/>
        <v>9142.6200000000026</v>
      </c>
      <c r="K1026" s="73">
        <f t="shared" si="338"/>
        <v>9115.8300000000017</v>
      </c>
      <c r="L1026" s="73">
        <f t="shared" si="338"/>
        <v>8376.1200000000026</v>
      </c>
      <c r="M1026" s="73">
        <f t="shared" si="338"/>
        <v>8365.4399999999987</v>
      </c>
      <c r="N1026" s="73">
        <f t="shared" si="338"/>
        <v>9288.27</v>
      </c>
      <c r="O1026" s="85"/>
      <c r="P1026" s="85"/>
      <c r="Q1026" s="86"/>
      <c r="R1026" s="86"/>
      <c r="S1026" s="181"/>
      <c r="T1026" s="182"/>
      <c r="U1026" s="183"/>
      <c r="V1026" s="212"/>
      <c r="W1026" s="305"/>
      <c r="X1026" s="157"/>
      <c r="Y1026" s="157"/>
      <c r="Z1026" s="157"/>
      <c r="AA1026" s="157"/>
      <c r="AB1026" s="31"/>
      <c r="AC1026" s="31"/>
      <c r="AD1026" s="10"/>
    </row>
    <row r="1027" spans="1:30" s="37" customFormat="1" x14ac:dyDescent="0.25">
      <c r="A1027" s="249">
        <v>43568</v>
      </c>
      <c r="B1027" s="260" t="s">
        <v>185</v>
      </c>
      <c r="C1027" s="24" t="s">
        <v>173</v>
      </c>
      <c r="D1027" s="24" t="s">
        <v>172</v>
      </c>
      <c r="E1027" s="81" t="s">
        <v>186</v>
      </c>
      <c r="F1027" s="166">
        <v>29370.55</v>
      </c>
      <c r="G1027" s="166">
        <v>29279.26</v>
      </c>
      <c r="H1027" s="166">
        <v>29267.54</v>
      </c>
      <c r="I1027" s="166">
        <v>29267.14</v>
      </c>
      <c r="J1027" s="166">
        <v>29383.05</v>
      </c>
      <c r="K1027" s="166">
        <v>29340.73</v>
      </c>
      <c r="L1027" s="166">
        <v>29258.91</v>
      </c>
      <c r="M1027" s="166">
        <v>29258.59</v>
      </c>
      <c r="N1027" s="166">
        <v>29391.52</v>
      </c>
      <c r="O1027" s="81">
        <f>IF((N1028=""),"",MAX(F1029:N1029))</f>
        <v>4564.8300000000017</v>
      </c>
      <c r="P1027" s="81">
        <f>IF(N1028="","",MIN(F1029:N1029))</f>
        <v>4031.5800000000017</v>
      </c>
      <c r="Q1027" s="82">
        <f>IF((N1029=""),"",AVERAGE(F1029:N1029))</f>
        <v>4248.3033333333324</v>
      </c>
      <c r="R1027" s="82">
        <f>IF((N1028=""),"",(O1027-P1027)/(O1027+P1027)*100)</f>
        <v>6.2031708585328031</v>
      </c>
      <c r="S1027" s="178">
        <f>STDEV(F1029:N1029)</f>
        <v>192.64980515173247</v>
      </c>
      <c r="T1027" s="23" t="str">
        <f>IF(N1028="","",IF(R1027&lt;16,IF(Q1027&gt;3200,IF(R1027,IF(Q1027&lt;5240,"Pass","Fail"),"Fail"),"Fail")))</f>
        <v>Pass</v>
      </c>
      <c r="U1027" s="188">
        <v>1428</v>
      </c>
      <c r="V1027" s="166"/>
      <c r="W1027" s="31"/>
      <c r="X1027" s="155">
        <v>4200</v>
      </c>
      <c r="Y1027" s="155">
        <v>5500</v>
      </c>
      <c r="Z1027" s="155">
        <v>3200</v>
      </c>
      <c r="AA1027" s="155">
        <v>5240</v>
      </c>
      <c r="AB1027" s="31"/>
      <c r="AC1027" s="51">
        <v>16</v>
      </c>
      <c r="AD1027" s="10"/>
    </row>
    <row r="1028" spans="1:30" s="37" customFormat="1" ht="16.100000000000001" x14ac:dyDescent="0.35">
      <c r="A1028" s="254"/>
      <c r="B1028" s="44"/>
      <c r="C1028" s="24"/>
      <c r="D1028" s="24"/>
      <c r="E1028" s="81" t="s">
        <v>187</v>
      </c>
      <c r="F1028" s="166">
        <v>27903.38</v>
      </c>
      <c r="G1028" s="166">
        <v>27907.33</v>
      </c>
      <c r="H1028" s="166">
        <v>27923.68</v>
      </c>
      <c r="I1028" s="166">
        <v>27898.75</v>
      </c>
      <c r="J1028" s="166">
        <v>27895.759999999998</v>
      </c>
      <c r="K1028" s="166">
        <v>27900.05</v>
      </c>
      <c r="L1028" s="166">
        <v>27897.88</v>
      </c>
      <c r="M1028" s="166">
        <v>27875.64</v>
      </c>
      <c r="N1028" s="166">
        <v>27869.91</v>
      </c>
      <c r="O1028" s="166"/>
      <c r="P1028" s="81"/>
      <c r="Q1028" s="82"/>
      <c r="R1028" s="82"/>
      <c r="S1028" s="178"/>
      <c r="T1028" s="23"/>
      <c r="U1028" s="179"/>
      <c r="V1028" s="212"/>
      <c r="W1028" s="31"/>
      <c r="X1028" s="157"/>
      <c r="Y1028" s="157"/>
      <c r="Z1028" s="157"/>
      <c r="AA1028" s="157"/>
      <c r="AB1028" s="31"/>
      <c r="AC1028" s="31"/>
      <c r="AD1028" s="10"/>
    </row>
    <row r="1029" spans="1:30" s="37" customFormat="1" ht="22.75" thickBot="1" x14ac:dyDescent="0.4">
      <c r="A1029" s="255"/>
      <c r="B1029" s="83"/>
      <c r="C1029" s="84"/>
      <c r="D1029" s="84"/>
      <c r="E1029" s="85" t="s">
        <v>188</v>
      </c>
      <c r="F1029" s="73">
        <f t="shared" ref="F1029:N1029" si="339">IF(((F1027="")*AND(F1028="")),"",(F1027-F1028)*3)</f>
        <v>4401.5099999999948</v>
      </c>
      <c r="G1029" s="73">
        <f t="shared" si="339"/>
        <v>4115.78999999999</v>
      </c>
      <c r="H1029" s="73">
        <f t="shared" si="339"/>
        <v>4031.5800000000017</v>
      </c>
      <c r="I1029" s="73">
        <f t="shared" si="339"/>
        <v>4105.1699999999983</v>
      </c>
      <c r="J1029" s="73">
        <f t="shared" si="339"/>
        <v>4461.8700000000026</v>
      </c>
      <c r="K1029" s="73">
        <f t="shared" si="339"/>
        <v>4322.0400000000009</v>
      </c>
      <c r="L1029" s="73">
        <f t="shared" si="339"/>
        <v>4083.0899999999965</v>
      </c>
      <c r="M1029" s="73">
        <f t="shared" si="339"/>
        <v>4148.8500000000022</v>
      </c>
      <c r="N1029" s="73">
        <f t="shared" si="339"/>
        <v>4564.8300000000017</v>
      </c>
      <c r="O1029" s="85"/>
      <c r="P1029" s="85"/>
      <c r="Q1029" s="86"/>
      <c r="R1029" s="86"/>
      <c r="S1029" s="181"/>
      <c r="T1029" s="182"/>
      <c r="U1029" s="183"/>
      <c r="V1029" s="212"/>
      <c r="W1029" s="31"/>
      <c r="X1029" s="157"/>
      <c r="Y1029" s="157"/>
      <c r="Z1029" s="157"/>
      <c r="AA1029" s="157"/>
      <c r="AB1029" s="31"/>
      <c r="AC1029" s="31"/>
      <c r="AD1029" s="10"/>
    </row>
    <row r="1030" spans="1:30" s="37" customFormat="1" x14ac:dyDescent="0.25">
      <c r="A1030" s="251">
        <v>43577</v>
      </c>
      <c r="B1030" s="259" t="s">
        <v>174</v>
      </c>
      <c r="C1030" s="64" t="s">
        <v>176</v>
      </c>
      <c r="D1030" s="64" t="s">
        <v>175</v>
      </c>
      <c r="E1030" s="79" t="s">
        <v>186</v>
      </c>
      <c r="F1030" s="165">
        <v>3277.2</v>
      </c>
      <c r="G1030" s="165">
        <v>3176.7</v>
      </c>
      <c r="H1030" s="165">
        <v>3189.2</v>
      </c>
      <c r="I1030" s="165">
        <v>3181.2</v>
      </c>
      <c r="J1030" s="165">
        <v>3279.8</v>
      </c>
      <c r="K1030" s="165">
        <v>3272.8</v>
      </c>
      <c r="L1030" s="165">
        <v>3212.3</v>
      </c>
      <c r="M1030" s="165">
        <v>3230</v>
      </c>
      <c r="N1030" s="165">
        <v>3512.8</v>
      </c>
      <c r="O1030" s="79">
        <f>IF((N1031=""),"",MAX(F1032:N1032))</f>
        <v>4252.2</v>
      </c>
      <c r="P1030" s="79">
        <f>IF(N1031="","",MIN(F1032:N1032))</f>
        <v>3720.6000000000004</v>
      </c>
      <c r="Q1030" s="80">
        <f>IF((N1032=""),"",AVERAGE(F1032:N1032))</f>
        <v>4088.7777777777778</v>
      </c>
      <c r="R1030" s="80">
        <f>IF((N1031=""),"",(O1030-P1030)/(O1030+P1030)*100)</f>
        <v>6.6676700782660987</v>
      </c>
      <c r="S1030" s="170">
        <f>STDEV(F1032:N1032)</f>
        <v>187.42319612162311</v>
      </c>
      <c r="T1030" s="176" t="str">
        <f>IF(N1031="","",IF(Q1030&gt;3650,IF(R1030&lt;7,IF(Q1030&lt;4450,"Pass","Fail"),"Fail"),"Fail"))</f>
        <v>Pass</v>
      </c>
      <c r="U1030" s="188">
        <v>1159</v>
      </c>
      <c r="V1030" s="166"/>
      <c r="W1030" s="305"/>
      <c r="X1030" s="155">
        <v>3650</v>
      </c>
      <c r="Y1030" s="155">
        <v>4450</v>
      </c>
      <c r="Z1030" s="155">
        <v>3700</v>
      </c>
      <c r="AA1030" s="155">
        <v>4100</v>
      </c>
      <c r="AB1030" s="51">
        <v>7</v>
      </c>
      <c r="AC1030" s="51">
        <v>6.5</v>
      </c>
      <c r="AD1030" s="10"/>
    </row>
    <row r="1031" spans="1:30" s="37" customFormat="1" ht="16.100000000000001" x14ac:dyDescent="0.35">
      <c r="A1031" s="254"/>
      <c r="B1031" s="44"/>
      <c r="C1031" s="24"/>
      <c r="D1031" s="24"/>
      <c r="E1031" s="81" t="s">
        <v>187</v>
      </c>
      <c r="F1031" s="166">
        <v>1286.2</v>
      </c>
      <c r="G1031" s="166">
        <v>1057.2</v>
      </c>
      <c r="H1031" s="166">
        <v>1063.0999999999999</v>
      </c>
      <c r="I1031" s="166">
        <v>1068.5999999999999</v>
      </c>
      <c r="J1031" s="166">
        <v>1329.2</v>
      </c>
      <c r="K1031" s="166">
        <v>1243.8</v>
      </c>
      <c r="L1031" s="166">
        <v>1099.5</v>
      </c>
      <c r="M1031" s="166">
        <v>1132.4000000000001</v>
      </c>
      <c r="N1031" s="166">
        <v>1652.5</v>
      </c>
      <c r="O1031" s="81"/>
      <c r="P1031" s="81"/>
      <c r="Q1031" s="82"/>
      <c r="R1031" s="82"/>
      <c r="S1031" s="178"/>
      <c r="T1031" s="28"/>
      <c r="U1031" s="185"/>
      <c r="V1031" s="166"/>
      <c r="W1031" s="305"/>
      <c r="X1031" s="157"/>
      <c r="Y1031" s="157"/>
      <c r="Z1031" s="157"/>
      <c r="AA1031" s="157"/>
      <c r="AB1031" s="31"/>
      <c r="AC1031" s="31"/>
      <c r="AD1031" s="10"/>
    </row>
    <row r="1032" spans="1:30" s="37" customFormat="1" ht="22.75" thickBot="1" x14ac:dyDescent="0.4">
      <c r="A1032" s="254"/>
      <c r="B1032" s="44"/>
      <c r="C1032" s="24"/>
      <c r="D1032" s="24"/>
      <c r="E1032" s="81" t="s">
        <v>188</v>
      </c>
      <c r="F1032" s="60">
        <f t="shared" ref="F1032:N1032" si="340">IF(((F1030="")*AND(F1031="")),"",(F1030-F1031)*2)</f>
        <v>3981.9999999999995</v>
      </c>
      <c r="G1032" s="60">
        <f t="shared" si="340"/>
        <v>4239</v>
      </c>
      <c r="H1032" s="60">
        <f t="shared" si="340"/>
        <v>4252.2</v>
      </c>
      <c r="I1032" s="60">
        <f t="shared" si="340"/>
        <v>4225.2</v>
      </c>
      <c r="J1032" s="60">
        <f t="shared" si="340"/>
        <v>3901.2000000000003</v>
      </c>
      <c r="K1032" s="60">
        <f t="shared" si="340"/>
        <v>4058.0000000000005</v>
      </c>
      <c r="L1032" s="60">
        <f t="shared" si="340"/>
        <v>4225.6000000000004</v>
      </c>
      <c r="M1032" s="60">
        <f t="shared" si="340"/>
        <v>4195.2</v>
      </c>
      <c r="N1032" s="60">
        <f t="shared" si="340"/>
        <v>3720.6000000000004</v>
      </c>
      <c r="O1032" s="81"/>
      <c r="P1032" s="81"/>
      <c r="Q1032" s="82"/>
      <c r="R1032" s="82"/>
      <c r="S1032" s="178"/>
      <c r="T1032" s="28"/>
      <c r="U1032" s="185"/>
      <c r="V1032" s="166"/>
      <c r="W1032" s="305"/>
      <c r="X1032" s="157"/>
      <c r="Y1032" s="157"/>
      <c r="Z1032" s="157"/>
      <c r="AA1032" s="157"/>
      <c r="AB1032" s="31"/>
      <c r="AC1032" s="31"/>
      <c r="AD1032" s="10"/>
    </row>
    <row r="1033" spans="1:30" s="37" customFormat="1" x14ac:dyDescent="0.25">
      <c r="A1033" s="249">
        <v>43577</v>
      </c>
      <c r="B1033" s="257" t="s">
        <v>169</v>
      </c>
      <c r="C1033" s="24" t="s">
        <v>171</v>
      </c>
      <c r="D1033" s="24" t="s">
        <v>189</v>
      </c>
      <c r="E1033" s="81" t="s">
        <v>186</v>
      </c>
      <c r="F1033" s="166">
        <v>2012.6</v>
      </c>
      <c r="G1033" s="166">
        <v>2009.4</v>
      </c>
      <c r="H1033" s="166">
        <v>1998.2</v>
      </c>
      <c r="I1033" s="166">
        <v>2011.4</v>
      </c>
      <c r="J1033" s="166">
        <v>2016.2</v>
      </c>
      <c r="K1033" s="166">
        <v>2015.5</v>
      </c>
      <c r="L1033" s="166">
        <v>2007.4</v>
      </c>
      <c r="M1033" s="166">
        <v>2013.6</v>
      </c>
      <c r="N1033" s="166">
        <v>2018.8</v>
      </c>
      <c r="O1033" s="81">
        <f>IF((N1034=""),"",MAX(F1035:N1035))</f>
        <v>2204.7000000000003</v>
      </c>
      <c r="P1033" s="81">
        <f>IF(N1034="","",MIN(F1035:N1035))</f>
        <v>2121.8999999999996</v>
      </c>
      <c r="Q1033" s="82">
        <f>IF((N1035=""),"",AVERAGE(F1035:N1035))</f>
        <v>2171.3366666666666</v>
      </c>
      <c r="R1033" s="82">
        <f>IF((N1034=""),"",(O1033-P1033)/(O1033+P1033)*100)</f>
        <v>1.9137428928026772</v>
      </c>
      <c r="S1033" s="178">
        <f>STDEV(F1035:N1035)</f>
        <v>26.070562901479629</v>
      </c>
      <c r="T1033" s="23" t="str">
        <f>IF(N1034="","",IF(Q1033&gt;1940,IF(R1033&lt;8.3,IF(Q1033&lt;2180,"Pass","Fail"),"Fail"),"Fail"))</f>
        <v>Pass</v>
      </c>
      <c r="U1033" s="188">
        <v>1428</v>
      </c>
      <c r="V1033" s="166"/>
      <c r="W1033" s="305"/>
      <c r="X1033" s="155">
        <v>2000</v>
      </c>
      <c r="Y1033" s="155">
        <v>3000</v>
      </c>
      <c r="Z1033" s="155">
        <v>1940</v>
      </c>
      <c r="AA1033" s="155">
        <v>2180</v>
      </c>
      <c r="AB1033" s="31"/>
      <c r="AC1033" s="51">
        <v>5.2</v>
      </c>
      <c r="AD1033" s="10"/>
    </row>
    <row r="1034" spans="1:30" s="37" customFormat="1" ht="16.100000000000001" x14ac:dyDescent="0.35">
      <c r="A1034" s="254"/>
      <c r="B1034" s="44"/>
      <c r="C1034" s="24"/>
      <c r="D1034" s="24"/>
      <c r="E1034" s="81" t="s">
        <v>187</v>
      </c>
      <c r="F1034" s="166">
        <v>1283.0899999999999</v>
      </c>
      <c r="G1034" s="166">
        <v>1274.5</v>
      </c>
      <c r="H1034" s="166">
        <v>1275.78</v>
      </c>
      <c r="I1034" s="166">
        <v>1285.1199999999999</v>
      </c>
      <c r="J1034" s="166">
        <v>1308.9000000000001</v>
      </c>
      <c r="K1034" s="166">
        <v>1295.4000000000001</v>
      </c>
      <c r="L1034" s="166">
        <v>1281.9000000000001</v>
      </c>
      <c r="M1034" s="166">
        <v>1280.9000000000001</v>
      </c>
      <c r="N1034" s="166">
        <v>1303.5</v>
      </c>
      <c r="O1034" s="81"/>
      <c r="P1034" s="81"/>
      <c r="Q1034" s="82"/>
      <c r="R1034" s="82"/>
      <c r="S1034" s="178"/>
      <c r="T1034" s="23"/>
      <c r="U1034" s="179"/>
      <c r="V1034" s="212"/>
      <c r="W1034" s="305"/>
      <c r="X1034" s="157"/>
      <c r="Y1034" s="157"/>
      <c r="Z1034" s="157"/>
      <c r="AA1034" s="157"/>
      <c r="AB1034" s="31"/>
      <c r="AC1034" s="31"/>
      <c r="AD1034" s="10"/>
    </row>
    <row r="1035" spans="1:30" s="37" customFormat="1" ht="25.5" customHeight="1" thickBot="1" x14ac:dyDescent="0.4">
      <c r="A1035" s="254"/>
      <c r="B1035" s="44"/>
      <c r="C1035" s="24"/>
      <c r="D1035" s="24"/>
      <c r="E1035" s="81" t="s">
        <v>190</v>
      </c>
      <c r="F1035" s="60">
        <f t="shared" ref="F1035:N1035" si="341">IF(((F1033="")*AND(F1034="")),"",(F1033-F1034)*3)</f>
        <v>2188.5299999999997</v>
      </c>
      <c r="G1035" s="60">
        <f t="shared" si="341"/>
        <v>2204.7000000000003</v>
      </c>
      <c r="H1035" s="60">
        <f t="shared" si="341"/>
        <v>2167.2600000000002</v>
      </c>
      <c r="I1035" s="60">
        <f t="shared" si="341"/>
        <v>2178.8400000000006</v>
      </c>
      <c r="J1035" s="60">
        <f t="shared" si="341"/>
        <v>2121.8999999999996</v>
      </c>
      <c r="K1035" s="60">
        <f t="shared" si="341"/>
        <v>2160.2999999999997</v>
      </c>
      <c r="L1035" s="60">
        <f t="shared" si="341"/>
        <v>2176.5</v>
      </c>
      <c r="M1035" s="60">
        <f t="shared" si="341"/>
        <v>2198.0999999999995</v>
      </c>
      <c r="N1035" s="60">
        <f t="shared" si="341"/>
        <v>2145.8999999999996</v>
      </c>
      <c r="O1035" s="81"/>
      <c r="P1035" s="81"/>
      <c r="Q1035" s="82"/>
      <c r="R1035" s="82"/>
      <c r="S1035" s="178"/>
      <c r="T1035" s="23"/>
      <c r="U1035" s="179"/>
      <c r="V1035" s="212"/>
      <c r="W1035" s="305"/>
      <c r="X1035" s="157"/>
      <c r="Y1035" s="157"/>
      <c r="Z1035" s="157"/>
      <c r="AA1035" s="157"/>
      <c r="AB1035" s="31"/>
      <c r="AC1035" s="31"/>
      <c r="AD1035" s="10"/>
    </row>
    <row r="1036" spans="1:30" s="37" customFormat="1" x14ac:dyDescent="0.25">
      <c r="A1036" s="249">
        <v>43577</v>
      </c>
      <c r="B1036" s="260" t="s">
        <v>185</v>
      </c>
      <c r="C1036" s="24" t="s">
        <v>173</v>
      </c>
      <c r="D1036" s="24" t="s">
        <v>172</v>
      </c>
      <c r="E1036" s="81" t="s">
        <v>186</v>
      </c>
      <c r="F1036" s="166">
        <v>27771.5</v>
      </c>
      <c r="G1036" s="166">
        <v>27773.599999999999</v>
      </c>
      <c r="H1036" s="166">
        <v>27807.7</v>
      </c>
      <c r="I1036" s="166">
        <v>27773.5</v>
      </c>
      <c r="J1036" s="166">
        <v>27768.7</v>
      </c>
      <c r="K1036" s="166">
        <v>27784.400000000001</v>
      </c>
      <c r="L1036" s="166">
        <v>27781.9</v>
      </c>
      <c r="M1036" s="166">
        <v>27754.2</v>
      </c>
      <c r="N1036" s="166">
        <v>27741.8</v>
      </c>
      <c r="O1036" s="81">
        <f>IF((N1037=""),"",MAX(F1038:N1038))</f>
        <v>4934.7000000000044</v>
      </c>
      <c r="P1036" s="81">
        <f>IF(N1037="","",MIN(F1038:N1038))</f>
        <v>4148.3999999999978</v>
      </c>
      <c r="Q1036" s="82">
        <f>IF((N1038=""),"",AVERAGE(F1038:N1038))</f>
        <v>4531.0666666666675</v>
      </c>
      <c r="R1036" s="82">
        <f>IF((N1037=""),"",(O1036-P1036)/(O1036+P1036)*100)</f>
        <v>8.6567361363411859</v>
      </c>
      <c r="S1036" s="178">
        <f>STDEV(F1038:N1038)</f>
        <v>364.20723153172059</v>
      </c>
      <c r="T1036" s="23" t="str">
        <f>IF(N1037="","",IF(R1036&lt;16,IF(Q1036&gt;3200,IF(R1036,IF(Q1036&lt;5240,"Pass","Fail"),"Fail"),"Fail")))</f>
        <v>Pass</v>
      </c>
      <c r="U1036" s="188">
        <v>1428</v>
      </c>
      <c r="V1036" s="166"/>
      <c r="W1036" s="305"/>
      <c r="X1036" s="155">
        <v>4200</v>
      </c>
      <c r="Y1036" s="155">
        <v>5500</v>
      </c>
      <c r="Z1036" s="155">
        <v>3200</v>
      </c>
      <c r="AA1036" s="155">
        <v>5240</v>
      </c>
      <c r="AB1036" s="31"/>
      <c r="AC1036" s="51">
        <v>16</v>
      </c>
      <c r="AD1036" s="10"/>
    </row>
    <row r="1037" spans="1:30" s="37" customFormat="1" ht="16.100000000000001" x14ac:dyDescent="0.35">
      <c r="A1037" s="254"/>
      <c r="B1037" s="44"/>
      <c r="C1037" s="24"/>
      <c r="D1037" s="24"/>
      <c r="E1037" s="81" t="s">
        <v>187</v>
      </c>
      <c r="F1037" s="166">
        <v>26126.6</v>
      </c>
      <c r="G1037" s="166">
        <v>26362.400000000001</v>
      </c>
      <c r="H1037" s="166">
        <v>26424.9</v>
      </c>
      <c r="I1037" s="166">
        <v>26359.5</v>
      </c>
      <c r="J1037" s="166">
        <v>26131.4</v>
      </c>
      <c r="K1037" s="166">
        <v>26153.4</v>
      </c>
      <c r="L1037" s="166">
        <v>26368.5</v>
      </c>
      <c r="M1037" s="166">
        <v>26333.599999999999</v>
      </c>
      <c r="N1037" s="166">
        <v>26103.8</v>
      </c>
      <c r="O1037" s="166"/>
      <c r="P1037" s="81"/>
      <c r="Q1037" s="82"/>
      <c r="R1037" s="82"/>
      <c r="S1037" s="178"/>
      <c r="T1037" s="23"/>
      <c r="U1037" s="179"/>
      <c r="V1037" s="212"/>
      <c r="W1037" s="305"/>
      <c r="X1037" s="157"/>
      <c r="Y1037" s="157"/>
      <c r="Z1037" s="157"/>
      <c r="AA1037" s="157"/>
      <c r="AB1037" s="31"/>
      <c r="AC1037" s="31"/>
      <c r="AD1037" s="10"/>
    </row>
    <row r="1038" spans="1:30" s="37" customFormat="1" ht="22.75" thickBot="1" x14ac:dyDescent="0.4">
      <c r="A1038" s="255"/>
      <c r="B1038" s="83"/>
      <c r="C1038" s="84"/>
      <c r="D1038" s="84"/>
      <c r="E1038" s="85" t="s">
        <v>188</v>
      </c>
      <c r="F1038" s="73">
        <f t="shared" ref="F1038:N1038" si="342">IF(((F1036="")*AND(F1037="")),"",(F1036-F1037)*3)</f>
        <v>4934.7000000000044</v>
      </c>
      <c r="G1038" s="73">
        <f t="shared" si="342"/>
        <v>4233.5999999999913</v>
      </c>
      <c r="H1038" s="73">
        <f t="shared" si="342"/>
        <v>4148.3999999999978</v>
      </c>
      <c r="I1038" s="73">
        <f t="shared" si="342"/>
        <v>4242</v>
      </c>
      <c r="J1038" s="73">
        <f t="shared" si="342"/>
        <v>4911.8999999999978</v>
      </c>
      <c r="K1038" s="73">
        <f t="shared" si="342"/>
        <v>4893</v>
      </c>
      <c r="L1038" s="73">
        <f t="shared" si="342"/>
        <v>4240.2000000000044</v>
      </c>
      <c r="M1038" s="73">
        <f t="shared" si="342"/>
        <v>4261.8000000000065</v>
      </c>
      <c r="N1038" s="73">
        <f t="shared" si="342"/>
        <v>4914</v>
      </c>
      <c r="O1038" s="85"/>
      <c r="P1038" s="85"/>
      <c r="Q1038" s="86"/>
      <c r="R1038" s="86"/>
      <c r="S1038" s="181"/>
      <c r="T1038" s="182"/>
      <c r="U1038" s="183"/>
      <c r="V1038" s="212"/>
      <c r="W1038" s="305"/>
      <c r="X1038" s="157"/>
      <c r="Y1038" s="157"/>
      <c r="Z1038" s="157"/>
      <c r="AA1038" s="157"/>
      <c r="AB1038" s="31"/>
      <c r="AC1038" s="31"/>
      <c r="AD1038" s="10"/>
    </row>
    <row r="1039" spans="1:30" s="37" customFormat="1" x14ac:dyDescent="0.25">
      <c r="A1039" s="251">
        <v>43581</v>
      </c>
      <c r="B1039" s="259" t="s">
        <v>174</v>
      </c>
      <c r="C1039" s="64" t="s">
        <v>176</v>
      </c>
      <c r="D1039" s="64" t="s">
        <v>175</v>
      </c>
      <c r="E1039" s="79" t="s">
        <v>186</v>
      </c>
      <c r="F1039" s="165">
        <v>6971.21</v>
      </c>
      <c r="G1039" s="165">
        <v>6953.23</v>
      </c>
      <c r="H1039" s="165">
        <v>6970.1</v>
      </c>
      <c r="I1039" s="165">
        <v>6913.28</v>
      </c>
      <c r="J1039" s="165">
        <v>6831.42</v>
      </c>
      <c r="K1039" s="165">
        <v>6902.73</v>
      </c>
      <c r="L1039" s="165">
        <v>6925.35</v>
      </c>
      <c r="M1039" s="165">
        <v>6986.35</v>
      </c>
      <c r="N1039" s="165">
        <v>6998.53</v>
      </c>
      <c r="O1039" s="79">
        <f>IF((N1040=""),"",MAX(F1041:N1041))</f>
        <v>3932.3000000000011</v>
      </c>
      <c r="P1039" s="79">
        <f>IF(N1040="","",MIN(F1041:N1041))</f>
        <v>3572.7999999999993</v>
      </c>
      <c r="Q1039" s="80">
        <f>IF((N1041=""),"",AVERAGE(F1041:N1041))</f>
        <v>3824.1777777777775</v>
      </c>
      <c r="R1039" s="80">
        <f>IF((N1040=""),"",(O1039-P1039)/(O1039+P1039)*100)</f>
        <v>4.7900760815978707</v>
      </c>
      <c r="S1039" s="170">
        <f>STDEV(F1041:N1041)</f>
        <v>120.23788938784857</v>
      </c>
      <c r="T1039" s="176" t="str">
        <f>IF(N1040="","",IF(Q1039&gt;3650,IF(R1039&lt;7,IF(Q1039&lt;4450,"Pass","Fail"),"Fail"),"Fail"))</f>
        <v>Pass</v>
      </c>
      <c r="U1039" s="188">
        <v>74</v>
      </c>
      <c r="V1039" s="166"/>
      <c r="W1039" s="31"/>
      <c r="X1039" s="155">
        <v>3650</v>
      </c>
      <c r="Y1039" s="155">
        <v>4450</v>
      </c>
      <c r="Z1039" s="155">
        <v>3700</v>
      </c>
      <c r="AA1039" s="155">
        <v>4100</v>
      </c>
      <c r="AB1039" s="51">
        <v>7</v>
      </c>
      <c r="AC1039" s="51">
        <v>6.5</v>
      </c>
      <c r="AD1039" s="10"/>
    </row>
    <row r="1040" spans="1:30" s="37" customFormat="1" ht="16.100000000000001" x14ac:dyDescent="0.35">
      <c r="A1040" s="254"/>
      <c r="B1040" s="44"/>
      <c r="C1040" s="24"/>
      <c r="D1040" s="24"/>
      <c r="E1040" s="81" t="s">
        <v>187</v>
      </c>
      <c r="F1040" s="166">
        <v>5100.32</v>
      </c>
      <c r="G1040" s="166">
        <v>5003.17</v>
      </c>
      <c r="H1040" s="166">
        <v>5009.54</v>
      </c>
      <c r="I1040" s="166">
        <v>4967.3900000000003</v>
      </c>
      <c r="J1040" s="166">
        <v>4968.1000000000004</v>
      </c>
      <c r="K1040" s="166">
        <v>5116.33</v>
      </c>
      <c r="L1040" s="166">
        <v>4979.75</v>
      </c>
      <c r="M1040" s="166">
        <v>5020.2</v>
      </c>
      <c r="N1040" s="166">
        <v>5078.6000000000004</v>
      </c>
      <c r="O1040" s="81"/>
      <c r="P1040" s="81"/>
      <c r="Q1040" s="82"/>
      <c r="R1040" s="82"/>
      <c r="S1040" s="178"/>
      <c r="T1040" s="28"/>
      <c r="U1040" s="185"/>
      <c r="V1040" s="166"/>
      <c r="W1040" s="31"/>
      <c r="X1040" s="157"/>
      <c r="Y1040" s="157"/>
      <c r="Z1040" s="157"/>
      <c r="AA1040" s="157"/>
      <c r="AB1040" s="31"/>
      <c r="AC1040" s="31"/>
      <c r="AD1040" s="10"/>
    </row>
    <row r="1041" spans="1:30" s="37" customFormat="1" ht="22.75" thickBot="1" x14ac:dyDescent="0.4">
      <c r="A1041" s="254"/>
      <c r="B1041" s="44"/>
      <c r="C1041" s="24"/>
      <c r="D1041" s="24"/>
      <c r="E1041" s="81" t="s">
        <v>188</v>
      </c>
      <c r="F1041" s="60">
        <f t="shared" ref="F1041:N1041" si="343">IF(((F1039="")*AND(F1040="")),"",(F1039-F1040)*2)</f>
        <v>3741.7800000000007</v>
      </c>
      <c r="G1041" s="60">
        <f t="shared" si="343"/>
        <v>3900.119999999999</v>
      </c>
      <c r="H1041" s="60">
        <f t="shared" si="343"/>
        <v>3921.1200000000008</v>
      </c>
      <c r="I1041" s="60">
        <f t="shared" si="343"/>
        <v>3891.7799999999988</v>
      </c>
      <c r="J1041" s="60">
        <f t="shared" si="343"/>
        <v>3726.6399999999994</v>
      </c>
      <c r="K1041" s="60">
        <f t="shared" si="343"/>
        <v>3572.7999999999993</v>
      </c>
      <c r="L1041" s="60">
        <f t="shared" si="343"/>
        <v>3891.2000000000007</v>
      </c>
      <c r="M1041" s="60">
        <f t="shared" si="343"/>
        <v>3932.3000000000011</v>
      </c>
      <c r="N1041" s="60">
        <f t="shared" si="343"/>
        <v>3839.8599999999988</v>
      </c>
      <c r="O1041" s="81"/>
      <c r="P1041" s="81"/>
      <c r="Q1041" s="82"/>
      <c r="R1041" s="82"/>
      <c r="S1041" s="178"/>
      <c r="T1041" s="28"/>
      <c r="U1041" s="185"/>
      <c r="V1041" s="166"/>
      <c r="W1041" s="31"/>
      <c r="X1041" s="157"/>
      <c r="Y1041" s="157"/>
      <c r="Z1041" s="157"/>
      <c r="AA1041" s="157"/>
      <c r="AB1041" s="31"/>
      <c r="AC1041" s="31"/>
      <c r="AD1041" s="10"/>
    </row>
    <row r="1042" spans="1:30" x14ac:dyDescent="0.25">
      <c r="A1042" s="249">
        <v>43581</v>
      </c>
      <c r="B1042" s="257" t="s">
        <v>169</v>
      </c>
      <c r="C1042" s="24" t="s">
        <v>171</v>
      </c>
      <c r="D1042" s="24" t="s">
        <v>189</v>
      </c>
      <c r="E1042" s="81" t="s">
        <v>186</v>
      </c>
      <c r="F1042" s="166">
        <v>1957.03</v>
      </c>
      <c r="G1042" s="166">
        <v>1952.41</v>
      </c>
      <c r="H1042" s="166">
        <v>1952.66</v>
      </c>
      <c r="I1042" s="166">
        <v>1952.94</v>
      </c>
      <c r="J1042" s="166">
        <v>1956.39</v>
      </c>
      <c r="K1042" s="166">
        <v>1957.09</v>
      </c>
      <c r="L1042" s="166">
        <v>1954.16</v>
      </c>
      <c r="M1042" s="166">
        <v>1949.49</v>
      </c>
      <c r="N1042" s="166">
        <v>1958.18</v>
      </c>
      <c r="O1042" s="81">
        <f>IF((N1043=""),"",MAX(F1044:N1044))</f>
        <v>2044.5</v>
      </c>
      <c r="P1042" s="81">
        <f>IF(N1043="","",MIN(F1044:N1044))</f>
        <v>2002.6800000000005</v>
      </c>
      <c r="Q1042" s="82">
        <f>IF((N1044=""),"",AVERAGE(F1044:N1044))</f>
        <v>2024.25</v>
      </c>
      <c r="R1042" s="82">
        <f>IF((N1043=""),"",(O1042-P1042)/(O1042+P1042)*100)</f>
        <v>1.033312083969566</v>
      </c>
      <c r="S1042" s="178">
        <f>STDEV(F1044:N1044)</f>
        <v>14.496077917836894</v>
      </c>
      <c r="T1042" s="23" t="str">
        <f>IF(N1043="","",IF(Q1042&gt;1940,IF(R1042&lt;8.3,IF(Q1042&lt;2180,"Pass","Fail"),"Fail"),"Fail"))</f>
        <v>Pass</v>
      </c>
      <c r="U1042" s="188">
        <v>74</v>
      </c>
      <c r="V1042" s="166"/>
      <c r="W1042" s="31"/>
      <c r="X1042" s="155">
        <v>2000</v>
      </c>
      <c r="Y1042" s="155">
        <v>3000</v>
      </c>
      <c r="Z1042" s="155">
        <v>1940</v>
      </c>
      <c r="AA1042" s="155">
        <v>2180</v>
      </c>
      <c r="AC1042" s="51">
        <v>5.2</v>
      </c>
    </row>
    <row r="1043" spans="1:30" ht="16.100000000000001" x14ac:dyDescent="0.35">
      <c r="A1043" s="254"/>
      <c r="B1043" s="44"/>
      <c r="C1043" s="24"/>
      <c r="D1043" s="24"/>
      <c r="E1043" s="81" t="s">
        <v>187</v>
      </c>
      <c r="F1043" s="166">
        <v>1287.54</v>
      </c>
      <c r="G1043" s="166">
        <v>1273.04</v>
      </c>
      <c r="H1043" s="166">
        <v>1274.46</v>
      </c>
      <c r="I1043" s="166">
        <v>1275.92</v>
      </c>
      <c r="J1043" s="166">
        <v>1285.71</v>
      </c>
      <c r="K1043" s="166">
        <v>1284.46</v>
      </c>
      <c r="L1043" s="166">
        <v>1272.6600000000001</v>
      </c>
      <c r="M1043" s="166">
        <v>1273.19</v>
      </c>
      <c r="N1043" s="166">
        <v>1290.6199999999999</v>
      </c>
      <c r="O1043" s="81"/>
      <c r="P1043" s="81"/>
      <c r="Q1043" s="82"/>
      <c r="R1043" s="82"/>
      <c r="S1043" s="178"/>
      <c r="T1043" s="23"/>
      <c r="U1043" s="179"/>
      <c r="V1043" s="212"/>
      <c r="W1043" s="31"/>
      <c r="X1043" s="157"/>
      <c r="Y1043" s="157"/>
      <c r="Z1043" s="157"/>
      <c r="AA1043" s="157"/>
    </row>
    <row r="1044" spans="1:30" ht="26.6" customHeight="1" thickBot="1" x14ac:dyDescent="0.4">
      <c r="A1044" s="254"/>
      <c r="B1044" s="44"/>
      <c r="C1044" s="24"/>
      <c r="D1044" s="24"/>
      <c r="E1044" s="81" t="s">
        <v>190</v>
      </c>
      <c r="F1044" s="60">
        <f t="shared" ref="F1044:N1044" si="344">IF(((F1042="")*AND(F1043="")),"",(F1042-F1043)*3)</f>
        <v>2008.47</v>
      </c>
      <c r="G1044" s="60">
        <f t="shared" si="344"/>
        <v>2038.1100000000004</v>
      </c>
      <c r="H1044" s="60">
        <f t="shared" si="344"/>
        <v>2034.6000000000001</v>
      </c>
      <c r="I1044" s="60">
        <f t="shared" si="344"/>
        <v>2031.06</v>
      </c>
      <c r="J1044" s="60">
        <f t="shared" si="344"/>
        <v>2012.0400000000002</v>
      </c>
      <c r="K1044" s="60">
        <f t="shared" si="344"/>
        <v>2017.8899999999996</v>
      </c>
      <c r="L1044" s="60">
        <f t="shared" si="344"/>
        <v>2044.5</v>
      </c>
      <c r="M1044" s="60">
        <f t="shared" si="344"/>
        <v>2028.8999999999999</v>
      </c>
      <c r="N1044" s="60">
        <f t="shared" si="344"/>
        <v>2002.6800000000005</v>
      </c>
      <c r="O1044" s="81"/>
      <c r="P1044" s="81"/>
      <c r="Q1044" s="82"/>
      <c r="R1044" s="82"/>
      <c r="S1044" s="178"/>
      <c r="T1044" s="23"/>
      <c r="U1044" s="179"/>
      <c r="V1044" s="212"/>
      <c r="W1044" s="31"/>
      <c r="X1044" s="157"/>
      <c r="Y1044" s="157"/>
      <c r="Z1044" s="157"/>
      <c r="AA1044" s="157"/>
    </row>
    <row r="1045" spans="1:30" x14ac:dyDescent="0.25">
      <c r="A1045" s="249">
        <v>43581</v>
      </c>
      <c r="B1045" s="260" t="s">
        <v>185</v>
      </c>
      <c r="C1045" s="24" t="s">
        <v>173</v>
      </c>
      <c r="D1045" s="24" t="s">
        <v>172</v>
      </c>
      <c r="E1045" s="81" t="s">
        <v>186</v>
      </c>
      <c r="F1045" s="166">
        <v>20760.099999999999</v>
      </c>
      <c r="G1045" s="166">
        <v>20538.080000000002</v>
      </c>
      <c r="H1045" s="166">
        <v>20527.27</v>
      </c>
      <c r="I1045" s="166">
        <v>20446.2</v>
      </c>
      <c r="J1045" s="166">
        <v>20522.68</v>
      </c>
      <c r="K1045" s="166">
        <v>20481.07</v>
      </c>
      <c r="L1045" s="166">
        <v>20476.16</v>
      </c>
      <c r="M1045" s="166">
        <v>20562.62</v>
      </c>
      <c r="N1045" s="166">
        <v>20674.13</v>
      </c>
      <c r="O1045" s="81">
        <f>IF((N1046=""),"",MAX(F1047:N1047))</f>
        <v>5016.3900000000031</v>
      </c>
      <c r="P1045" s="81">
        <f>IF(N1046="","",MIN(F1047:N1047))</f>
        <v>4301.0400000000009</v>
      </c>
      <c r="Q1045" s="82">
        <f>IF((N1047=""),"",AVERAGE(F1047:N1047))</f>
        <v>4656.0266666666676</v>
      </c>
      <c r="R1045" s="82">
        <f>IF((N1046=""),"",(O1045-P1045)/(O1045+P1045)*100)</f>
        <v>7.677546276172742</v>
      </c>
      <c r="S1045" s="178">
        <f>STDEV(F1047:N1047)</f>
        <v>247.72843659943334</v>
      </c>
      <c r="T1045" s="23" t="str">
        <f>IF(N1046="","",IF(R1045&lt;16,IF(Q1045&gt;3200,IF(R1045,IF(Q1045&lt;5240,"Pass","Fail"),"Fail"),"Fail")))</f>
        <v>Pass</v>
      </c>
      <c r="U1045" s="188">
        <v>74</v>
      </c>
      <c r="V1045" s="166"/>
      <c r="W1045" s="31"/>
      <c r="X1045" s="155">
        <v>4200</v>
      </c>
      <c r="Y1045" s="155">
        <v>5500</v>
      </c>
      <c r="Z1045" s="155">
        <v>3200</v>
      </c>
      <c r="AA1045" s="155">
        <v>5240</v>
      </c>
      <c r="AC1045" s="51">
        <v>16</v>
      </c>
    </row>
    <row r="1046" spans="1:30" ht="16.100000000000001" x14ac:dyDescent="0.35">
      <c r="A1046" s="254"/>
      <c r="B1046" s="44"/>
      <c r="C1046" s="24"/>
      <c r="D1046" s="24"/>
      <c r="E1046" s="81" t="s">
        <v>187</v>
      </c>
      <c r="F1046" s="166">
        <v>19150.38</v>
      </c>
      <c r="G1046" s="166">
        <v>19104.400000000001</v>
      </c>
      <c r="H1046" s="166">
        <v>19065.93</v>
      </c>
      <c r="I1046" s="166">
        <v>18957.71</v>
      </c>
      <c r="J1046" s="166">
        <v>18902.91</v>
      </c>
      <c r="K1046" s="166">
        <v>18863.36</v>
      </c>
      <c r="L1046" s="166">
        <v>18964.439999999999</v>
      </c>
      <c r="M1046" s="166">
        <v>19009.099999999999</v>
      </c>
      <c r="N1046" s="166">
        <v>19002</v>
      </c>
      <c r="O1046" s="166"/>
      <c r="P1046" s="81"/>
      <c r="Q1046" s="82"/>
      <c r="R1046" s="82"/>
      <c r="S1046" s="178"/>
      <c r="T1046" s="23"/>
      <c r="U1046" s="179"/>
      <c r="V1046" s="212"/>
      <c r="W1046" s="31"/>
      <c r="X1046" s="157"/>
      <c r="Y1046" s="157"/>
      <c r="Z1046" s="157"/>
      <c r="AA1046" s="157"/>
    </row>
    <row r="1047" spans="1:30" ht="22.75" thickBot="1" x14ac:dyDescent="0.4">
      <c r="A1047" s="255"/>
      <c r="B1047" s="83"/>
      <c r="C1047" s="84"/>
      <c r="D1047" s="84"/>
      <c r="E1047" s="85" t="s">
        <v>188</v>
      </c>
      <c r="F1047" s="73">
        <f t="shared" ref="F1047:N1047" si="345">IF(((F1045="")*AND(F1046="")),"",(F1045-F1046)*3)</f>
        <v>4829.1599999999926</v>
      </c>
      <c r="G1047" s="73">
        <f t="shared" si="345"/>
        <v>4301.0400000000009</v>
      </c>
      <c r="H1047" s="73">
        <f t="shared" si="345"/>
        <v>4384.0200000000004</v>
      </c>
      <c r="I1047" s="73">
        <f t="shared" si="345"/>
        <v>4465.4700000000048</v>
      </c>
      <c r="J1047" s="73">
        <f t="shared" si="345"/>
        <v>4859.3100000000013</v>
      </c>
      <c r="K1047" s="73">
        <f t="shared" si="345"/>
        <v>4853.1299999999974</v>
      </c>
      <c r="L1047" s="73">
        <f t="shared" si="345"/>
        <v>4535.1600000000035</v>
      </c>
      <c r="M1047" s="73">
        <f t="shared" si="345"/>
        <v>4660.5600000000013</v>
      </c>
      <c r="N1047" s="73">
        <f t="shared" si="345"/>
        <v>5016.3900000000031</v>
      </c>
      <c r="O1047" s="85"/>
      <c r="P1047" s="85"/>
      <c r="Q1047" s="86"/>
      <c r="R1047" s="86"/>
      <c r="S1047" s="181"/>
      <c r="T1047" s="182"/>
      <c r="U1047" s="183"/>
      <c r="V1047" s="212"/>
      <c r="W1047" s="31"/>
      <c r="X1047" s="157"/>
      <c r="Y1047" s="157"/>
      <c r="Z1047" s="157"/>
      <c r="AA1047" s="157"/>
    </row>
    <row r="1048" spans="1:30" x14ac:dyDescent="0.25">
      <c r="A1048" s="251">
        <v>43585</v>
      </c>
      <c r="B1048" s="259" t="s">
        <v>174</v>
      </c>
      <c r="C1048" s="64" t="s">
        <v>176</v>
      </c>
      <c r="D1048" s="64" t="s">
        <v>175</v>
      </c>
      <c r="E1048" s="79" t="s">
        <v>186</v>
      </c>
      <c r="F1048" s="165">
        <v>3264</v>
      </c>
      <c r="G1048" s="165">
        <v>3145</v>
      </c>
      <c r="H1048" s="165">
        <v>3153</v>
      </c>
      <c r="I1048" s="165">
        <v>3137</v>
      </c>
      <c r="J1048" s="165">
        <v>3252</v>
      </c>
      <c r="K1048" s="165">
        <v>3241</v>
      </c>
      <c r="L1048" s="165">
        <v>3173</v>
      </c>
      <c r="M1048" s="165">
        <v>3190</v>
      </c>
      <c r="N1048" s="165">
        <v>3457</v>
      </c>
      <c r="O1048" s="79">
        <f>IF((N1049=""),"",MAX(F1050:N1050))</f>
        <v>4206</v>
      </c>
      <c r="P1048" s="79">
        <f>IF(N1049="","",MIN(F1050:N1050))</f>
        <v>3864</v>
      </c>
      <c r="Q1048" s="80">
        <f>IF((N1050=""),"",AVERAGE(F1050:N1050))</f>
        <v>4086</v>
      </c>
      <c r="R1048" s="80">
        <f>IF((N1049=""),"",(O1048-P1048)/(O1048+P1048)*100)</f>
        <v>4.2379182156133828</v>
      </c>
      <c r="S1048" s="170">
        <f>STDEV(F1050:N1050)</f>
        <v>109.80892495603443</v>
      </c>
      <c r="T1048" s="176" t="str">
        <f>IF(N1049="","",IF(Q1048&gt;3650,IF(R1048&lt;7,IF(Q1048&lt;4450,"Pass","Fail"),"Fail"),"Fail"))</f>
        <v>Pass</v>
      </c>
      <c r="U1048" s="188">
        <v>1340</v>
      </c>
      <c r="V1048" s="166"/>
      <c r="W1048" s="31"/>
      <c r="X1048" s="155">
        <v>3650</v>
      </c>
      <c r="Y1048" s="155">
        <v>4450</v>
      </c>
      <c r="Z1048" s="155">
        <v>3700</v>
      </c>
      <c r="AA1048" s="155">
        <v>4100</v>
      </c>
      <c r="AB1048" s="51">
        <v>7</v>
      </c>
      <c r="AC1048" s="51">
        <v>6.5</v>
      </c>
    </row>
    <row r="1049" spans="1:30" ht="16.100000000000001" x14ac:dyDescent="0.35">
      <c r="A1049" s="254"/>
      <c r="B1049" s="44"/>
      <c r="C1049" s="24"/>
      <c r="D1049" s="24"/>
      <c r="E1049" s="81" t="s">
        <v>187</v>
      </c>
      <c r="F1049" s="166">
        <v>1269</v>
      </c>
      <c r="G1049" s="166">
        <v>1069</v>
      </c>
      <c r="H1049" s="166">
        <v>1074</v>
      </c>
      <c r="I1049" s="166">
        <v>1073</v>
      </c>
      <c r="J1049" s="166">
        <v>1320</v>
      </c>
      <c r="K1049" s="166">
        <v>1240</v>
      </c>
      <c r="L1049" s="166">
        <v>1104</v>
      </c>
      <c r="M1049" s="166">
        <v>1122</v>
      </c>
      <c r="N1049" s="166">
        <v>1354</v>
      </c>
      <c r="O1049" s="81"/>
      <c r="P1049" s="81"/>
      <c r="Q1049" s="82"/>
      <c r="R1049" s="82"/>
      <c r="S1049" s="178"/>
      <c r="T1049" s="28"/>
      <c r="U1049" s="185"/>
      <c r="V1049" s="166"/>
      <c r="W1049" s="31"/>
      <c r="X1049" s="157"/>
      <c r="Y1049" s="157"/>
      <c r="Z1049" s="157"/>
      <c r="AA1049" s="157"/>
    </row>
    <row r="1050" spans="1:30" ht="22.75" thickBot="1" x14ac:dyDescent="0.4">
      <c r="A1050" s="254"/>
      <c r="B1050" s="44"/>
      <c r="C1050" s="24"/>
      <c r="D1050" s="24"/>
      <c r="E1050" s="81" t="s">
        <v>188</v>
      </c>
      <c r="F1050" s="60">
        <f t="shared" ref="F1050:N1050" si="346">IF(((F1048="")*AND(F1049="")),"",(F1048-F1049)*2)</f>
        <v>3990</v>
      </c>
      <c r="G1050" s="60">
        <f t="shared" si="346"/>
        <v>4152</v>
      </c>
      <c r="H1050" s="60">
        <f t="shared" si="346"/>
        <v>4158</v>
      </c>
      <c r="I1050" s="60">
        <f t="shared" si="346"/>
        <v>4128</v>
      </c>
      <c r="J1050" s="60">
        <f t="shared" si="346"/>
        <v>3864</v>
      </c>
      <c r="K1050" s="60">
        <f t="shared" si="346"/>
        <v>4002</v>
      </c>
      <c r="L1050" s="60">
        <f t="shared" si="346"/>
        <v>4138</v>
      </c>
      <c r="M1050" s="60">
        <f t="shared" si="346"/>
        <v>4136</v>
      </c>
      <c r="N1050" s="60">
        <f t="shared" si="346"/>
        <v>4206</v>
      </c>
      <c r="O1050" s="81"/>
      <c r="P1050" s="81"/>
      <c r="Q1050" s="82"/>
      <c r="R1050" s="82"/>
      <c r="S1050" s="178"/>
      <c r="T1050" s="28"/>
      <c r="U1050" s="185"/>
      <c r="V1050" s="166"/>
      <c r="W1050" s="31"/>
      <c r="X1050" s="157"/>
      <c r="Y1050" s="157"/>
      <c r="Z1050" s="157"/>
      <c r="AA1050" s="157"/>
    </row>
    <row r="1051" spans="1:30" x14ac:dyDescent="0.25">
      <c r="A1051" s="249">
        <v>43585</v>
      </c>
      <c r="B1051" s="257" t="s">
        <v>169</v>
      </c>
      <c r="C1051" s="24" t="s">
        <v>171</v>
      </c>
      <c r="D1051" s="24" t="s">
        <v>189</v>
      </c>
      <c r="E1051" s="81" t="s">
        <v>186</v>
      </c>
      <c r="F1051" s="166">
        <v>1997</v>
      </c>
      <c r="G1051" s="166">
        <v>1992</v>
      </c>
      <c r="H1051" s="166">
        <v>1983</v>
      </c>
      <c r="I1051" s="166">
        <v>1999</v>
      </c>
      <c r="J1051" s="166">
        <v>1998</v>
      </c>
      <c r="K1051" s="166">
        <v>2000</v>
      </c>
      <c r="L1051" s="166">
        <v>1994</v>
      </c>
      <c r="M1051" s="166">
        <v>1993</v>
      </c>
      <c r="N1051" s="166">
        <v>2003</v>
      </c>
      <c r="O1051" s="81">
        <f>IF((N1052=""),"",MAX(F1053:N1053))</f>
        <v>2196</v>
      </c>
      <c r="P1051" s="81">
        <f>IF(N1052="","",MIN(F1053:N1053))</f>
        <v>2121</v>
      </c>
      <c r="Q1051" s="82">
        <f>IF((N1053=""),"",AVERAGE(F1053:N1053))</f>
        <v>2171</v>
      </c>
      <c r="R1051" s="82">
        <f>IF((N1052=""),"",(O1051-P1051)/(O1051+P1051)*100)</f>
        <v>1.7373175816539264</v>
      </c>
      <c r="S1051" s="178">
        <f>STDEV(F1053:N1053)</f>
        <v>26.196373794859472</v>
      </c>
      <c r="T1051" s="23" t="str">
        <f>IF(N1052="","",IF(Q1051&gt;1940,IF(R1051&lt;8.3,IF(Q1051&lt;2180,"Pass","Fail"),"Fail"),"Fail"))</f>
        <v>Pass</v>
      </c>
      <c r="U1051" s="188">
        <v>1340</v>
      </c>
      <c r="V1051" s="166"/>
      <c r="W1051" s="31"/>
      <c r="X1051" s="155">
        <v>2000</v>
      </c>
      <c r="Y1051" s="155">
        <v>3000</v>
      </c>
      <c r="Z1051" s="155">
        <v>1940</v>
      </c>
      <c r="AA1051" s="155">
        <v>2180</v>
      </c>
      <c r="AC1051" s="51">
        <v>5.2</v>
      </c>
    </row>
    <row r="1052" spans="1:30" ht="16.100000000000001" x14ac:dyDescent="0.35">
      <c r="A1052" s="254"/>
      <c r="B1052" s="44"/>
      <c r="C1052" s="24"/>
      <c r="D1052" s="24"/>
      <c r="E1052" s="81" t="s">
        <v>187</v>
      </c>
      <c r="F1052" s="166">
        <v>1277</v>
      </c>
      <c r="G1052" s="166">
        <v>1260</v>
      </c>
      <c r="H1052" s="166">
        <v>1255</v>
      </c>
      <c r="I1052" s="167">
        <v>1271</v>
      </c>
      <c r="J1052" s="167">
        <v>1291</v>
      </c>
      <c r="K1052" s="167">
        <v>1272</v>
      </c>
      <c r="L1052" s="166">
        <v>1265</v>
      </c>
      <c r="M1052" s="166">
        <v>1264</v>
      </c>
      <c r="N1052" s="166">
        <v>1291</v>
      </c>
      <c r="O1052" s="81"/>
      <c r="P1052" s="81"/>
      <c r="Q1052" s="82"/>
      <c r="R1052" s="82"/>
      <c r="S1052" s="178"/>
      <c r="T1052" s="23"/>
      <c r="U1052" s="179"/>
      <c r="V1052" s="212"/>
      <c r="W1052" s="31"/>
      <c r="X1052" s="157"/>
      <c r="Y1052" s="157"/>
      <c r="Z1052" s="157"/>
      <c r="AA1052" s="157"/>
    </row>
    <row r="1053" spans="1:30" ht="25.5" customHeight="1" thickBot="1" x14ac:dyDescent="0.4">
      <c r="A1053" s="254"/>
      <c r="B1053" s="44"/>
      <c r="C1053" s="24"/>
      <c r="D1053" s="24"/>
      <c r="E1053" s="81" t="s">
        <v>190</v>
      </c>
      <c r="F1053" s="60">
        <f t="shared" ref="F1053:N1053" si="347">IF(((F1051="")*AND(F1052="")),"",(F1051-F1052)*3)</f>
        <v>2160</v>
      </c>
      <c r="G1053" s="60">
        <f t="shared" si="347"/>
        <v>2196</v>
      </c>
      <c r="H1053" s="60">
        <f t="shared" si="347"/>
        <v>2184</v>
      </c>
      <c r="I1053" s="60">
        <f t="shared" si="347"/>
        <v>2184</v>
      </c>
      <c r="J1053" s="60">
        <f t="shared" si="347"/>
        <v>2121</v>
      </c>
      <c r="K1053" s="60">
        <f t="shared" si="347"/>
        <v>2184</v>
      </c>
      <c r="L1053" s="60">
        <f t="shared" si="347"/>
        <v>2187</v>
      </c>
      <c r="M1053" s="60">
        <f t="shared" si="347"/>
        <v>2187</v>
      </c>
      <c r="N1053" s="60">
        <f t="shared" si="347"/>
        <v>2136</v>
      </c>
      <c r="O1053" s="81"/>
      <c r="P1053" s="81"/>
      <c r="Q1053" s="82"/>
      <c r="R1053" s="82"/>
      <c r="S1053" s="178"/>
      <c r="T1053" s="23"/>
      <c r="U1053" s="179"/>
      <c r="V1053" s="212"/>
      <c r="W1053" s="31"/>
      <c r="X1053" s="157"/>
      <c r="Y1053" s="157"/>
      <c r="Z1053" s="157"/>
      <c r="AA1053" s="157"/>
    </row>
    <row r="1054" spans="1:30" x14ac:dyDescent="0.25">
      <c r="A1054" s="249">
        <v>43585</v>
      </c>
      <c r="B1054" s="260" t="s">
        <v>185</v>
      </c>
      <c r="C1054" s="24" t="s">
        <v>173</v>
      </c>
      <c r="D1054" s="24" t="s">
        <v>172</v>
      </c>
      <c r="E1054" s="81" t="s">
        <v>186</v>
      </c>
      <c r="F1054" s="166">
        <v>29103</v>
      </c>
      <c r="G1054" s="166">
        <v>29086</v>
      </c>
      <c r="H1054" s="166">
        <v>29068</v>
      </c>
      <c r="I1054" s="166">
        <v>29136</v>
      </c>
      <c r="J1054" s="166">
        <v>29051</v>
      </c>
      <c r="K1054" s="167">
        <v>29369</v>
      </c>
      <c r="L1054" s="167">
        <v>29151</v>
      </c>
      <c r="M1054" s="167">
        <v>29105</v>
      </c>
      <c r="N1054" s="167">
        <v>29364</v>
      </c>
      <c r="O1054" s="81">
        <f>IF((N1055=""),"",MAX(F1056:N1056))</f>
        <v>4833</v>
      </c>
      <c r="P1054" s="81">
        <f>IF(N1055="","",MIN(F1056:N1056))</f>
        <v>3951</v>
      </c>
      <c r="Q1054" s="82">
        <f>IF((N1056=""),"",AVERAGE(F1056:N1056))</f>
        <v>4244.333333333333</v>
      </c>
      <c r="R1054" s="82">
        <f>IF((N1055=""),"",(O1054-P1054)/(O1054+P1054)*100)</f>
        <v>10.040983606557377</v>
      </c>
      <c r="S1054" s="178">
        <f>STDEV(F1056:N1056)</f>
        <v>344.14059626844374</v>
      </c>
      <c r="T1054" s="23" t="str">
        <f>IF(N1055="","",IF(R1054&lt;16,IF(Q1054&gt;3200,IF(R1054,IF(Q1054&lt;5240,"Pass","Fail"),"Fail"),"Fail")))</f>
        <v>Pass</v>
      </c>
      <c r="U1054" s="188">
        <v>1340</v>
      </c>
      <c r="V1054" s="166"/>
      <c r="W1054" s="31"/>
      <c r="X1054" s="155">
        <v>4200</v>
      </c>
      <c r="Y1054" s="155">
        <v>5500</v>
      </c>
      <c r="Z1054" s="155">
        <v>3200</v>
      </c>
      <c r="AA1054" s="155">
        <v>5240</v>
      </c>
      <c r="AC1054" s="51">
        <v>16</v>
      </c>
    </row>
    <row r="1055" spans="1:30" ht="16.100000000000001" x14ac:dyDescent="0.35">
      <c r="A1055" s="254"/>
      <c r="B1055" s="44"/>
      <c r="C1055" s="24"/>
      <c r="D1055" s="24"/>
      <c r="E1055" s="81" t="s">
        <v>187</v>
      </c>
      <c r="F1055" s="166">
        <v>27692</v>
      </c>
      <c r="G1055" s="166">
        <v>27769</v>
      </c>
      <c r="H1055" s="166">
        <v>27733</v>
      </c>
      <c r="I1055" s="167">
        <v>27713</v>
      </c>
      <c r="J1055" s="167">
        <v>27719</v>
      </c>
      <c r="K1055" s="167">
        <v>27758</v>
      </c>
      <c r="L1055" s="167">
        <v>27790</v>
      </c>
      <c r="M1055" s="167">
        <v>27765</v>
      </c>
      <c r="N1055" s="167">
        <v>27761</v>
      </c>
      <c r="O1055" s="166"/>
      <c r="P1055" s="81"/>
      <c r="Q1055" s="82"/>
      <c r="R1055" s="82"/>
      <c r="S1055" s="178"/>
      <c r="T1055" s="23"/>
      <c r="U1055" s="179"/>
      <c r="V1055" s="212"/>
      <c r="W1055" s="31"/>
      <c r="X1055" s="157"/>
      <c r="Y1055" s="157"/>
      <c r="Z1055" s="157"/>
      <c r="AA1055" s="157"/>
    </row>
    <row r="1056" spans="1:30" ht="22.75" thickBot="1" x14ac:dyDescent="0.4">
      <c r="A1056" s="255"/>
      <c r="B1056" s="83"/>
      <c r="C1056" s="84"/>
      <c r="D1056" s="84"/>
      <c r="E1056" s="85" t="s">
        <v>188</v>
      </c>
      <c r="F1056" s="73">
        <f t="shared" ref="F1056:N1056" si="348">IF(((F1054="")*AND(F1055="")),"",(F1054-F1055)*3)</f>
        <v>4233</v>
      </c>
      <c r="G1056" s="73">
        <f t="shared" si="348"/>
        <v>3951</v>
      </c>
      <c r="H1056" s="73">
        <f t="shared" si="348"/>
        <v>4005</v>
      </c>
      <c r="I1056" s="73">
        <f t="shared" si="348"/>
        <v>4269</v>
      </c>
      <c r="J1056" s="73">
        <f t="shared" si="348"/>
        <v>3996</v>
      </c>
      <c r="K1056" s="73">
        <f t="shared" si="348"/>
        <v>4833</v>
      </c>
      <c r="L1056" s="73">
        <f t="shared" si="348"/>
        <v>4083</v>
      </c>
      <c r="M1056" s="73">
        <f t="shared" si="348"/>
        <v>4020</v>
      </c>
      <c r="N1056" s="73">
        <f t="shared" si="348"/>
        <v>4809</v>
      </c>
      <c r="O1056" s="85"/>
      <c r="P1056" s="85"/>
      <c r="Q1056" s="86"/>
      <c r="R1056" s="86"/>
      <c r="S1056" s="181"/>
      <c r="T1056" s="182"/>
      <c r="U1056" s="183"/>
      <c r="V1056" s="212"/>
      <c r="W1056" s="31"/>
      <c r="X1056" s="157"/>
      <c r="Y1056" s="157"/>
      <c r="Z1056" s="157"/>
      <c r="AA1056" s="157"/>
    </row>
    <row r="1057" spans="1:29" x14ac:dyDescent="0.25">
      <c r="A1057" s="251">
        <v>43588</v>
      </c>
      <c r="B1057" s="259" t="s">
        <v>174</v>
      </c>
      <c r="C1057" s="64" t="s">
        <v>176</v>
      </c>
      <c r="D1057" s="64" t="s">
        <v>175</v>
      </c>
      <c r="E1057" s="79" t="s">
        <v>186</v>
      </c>
      <c r="F1057" s="165">
        <v>3264</v>
      </c>
      <c r="G1057" s="165">
        <v>3145</v>
      </c>
      <c r="H1057" s="165">
        <v>3153</v>
      </c>
      <c r="I1057" s="165">
        <v>3137</v>
      </c>
      <c r="J1057" s="165">
        <v>3252</v>
      </c>
      <c r="K1057" s="165">
        <v>3241</v>
      </c>
      <c r="L1057" s="165">
        <v>3173</v>
      </c>
      <c r="M1057" s="165">
        <v>3190</v>
      </c>
      <c r="N1057" s="165">
        <v>3457</v>
      </c>
      <c r="O1057" s="79">
        <f>IF((N1058=""),"",MAX(F1059:N1059))</f>
        <v>4206</v>
      </c>
      <c r="P1057" s="79">
        <f>IF(N1058="","",MIN(F1059:N1059))</f>
        <v>3864</v>
      </c>
      <c r="Q1057" s="80">
        <f>IF((N1059=""),"",AVERAGE(F1059:N1059))</f>
        <v>4086</v>
      </c>
      <c r="R1057" s="80">
        <f>IF((N1058=""),"",(O1057-P1057)/(O1057+P1057)*100)</f>
        <v>4.2379182156133828</v>
      </c>
      <c r="S1057" s="170">
        <f>STDEV(F1059:N1059)</f>
        <v>109.80892495603443</v>
      </c>
      <c r="T1057" s="176" t="str">
        <f>IF(N1058="","",IF(Q1057&gt;3650,IF(R1057&lt;7,IF(Q1057&lt;4450,"Pass","Fail"),"Fail"),"Fail"))</f>
        <v>Pass</v>
      </c>
      <c r="U1057" s="188">
        <v>1340</v>
      </c>
      <c r="V1057" s="166"/>
      <c r="W1057" s="31"/>
      <c r="X1057" s="155">
        <v>3650</v>
      </c>
      <c r="Y1057" s="155">
        <v>4450</v>
      </c>
      <c r="Z1057" s="155">
        <v>3700</v>
      </c>
      <c r="AA1057" s="155">
        <v>4100</v>
      </c>
      <c r="AB1057" s="51">
        <v>7</v>
      </c>
      <c r="AC1057" s="51">
        <v>6.5</v>
      </c>
    </row>
    <row r="1058" spans="1:29" ht="16.100000000000001" x14ac:dyDescent="0.35">
      <c r="A1058" s="254"/>
      <c r="B1058" s="44"/>
      <c r="C1058" s="24"/>
      <c r="D1058" s="24"/>
      <c r="E1058" s="81" t="s">
        <v>187</v>
      </c>
      <c r="F1058" s="166">
        <v>1269</v>
      </c>
      <c r="G1058" s="166">
        <v>1069</v>
      </c>
      <c r="H1058" s="166">
        <v>1074</v>
      </c>
      <c r="I1058" s="166">
        <v>1073</v>
      </c>
      <c r="J1058" s="166">
        <v>1320</v>
      </c>
      <c r="K1058" s="166">
        <v>1240</v>
      </c>
      <c r="L1058" s="166">
        <v>1104</v>
      </c>
      <c r="M1058" s="166">
        <v>1122</v>
      </c>
      <c r="N1058" s="166">
        <v>1354</v>
      </c>
      <c r="O1058" s="81"/>
      <c r="P1058" s="81"/>
      <c r="Q1058" s="82"/>
      <c r="R1058" s="82"/>
      <c r="S1058" s="178"/>
      <c r="T1058" s="28"/>
      <c r="U1058" s="185"/>
      <c r="V1058" s="166"/>
      <c r="W1058" s="31"/>
      <c r="X1058" s="157"/>
      <c r="Y1058" s="157"/>
      <c r="Z1058" s="157"/>
      <c r="AA1058" s="157"/>
    </row>
    <row r="1059" spans="1:29" ht="22.75" thickBot="1" x14ac:dyDescent="0.4">
      <c r="A1059" s="254"/>
      <c r="B1059" s="44"/>
      <c r="C1059" s="24"/>
      <c r="D1059" s="24"/>
      <c r="E1059" s="81" t="s">
        <v>188</v>
      </c>
      <c r="F1059" s="60">
        <f t="shared" ref="F1059:N1059" si="349">IF(((F1057="")*AND(F1058="")),"",(F1057-F1058)*2)</f>
        <v>3990</v>
      </c>
      <c r="G1059" s="60">
        <f t="shared" si="349"/>
        <v>4152</v>
      </c>
      <c r="H1059" s="60">
        <f t="shared" si="349"/>
        <v>4158</v>
      </c>
      <c r="I1059" s="60">
        <f t="shared" si="349"/>
        <v>4128</v>
      </c>
      <c r="J1059" s="60">
        <f t="shared" si="349"/>
        <v>3864</v>
      </c>
      <c r="K1059" s="60">
        <f t="shared" si="349"/>
        <v>4002</v>
      </c>
      <c r="L1059" s="60">
        <f t="shared" si="349"/>
        <v>4138</v>
      </c>
      <c r="M1059" s="60">
        <f t="shared" si="349"/>
        <v>4136</v>
      </c>
      <c r="N1059" s="60">
        <f t="shared" si="349"/>
        <v>4206</v>
      </c>
      <c r="O1059" s="81"/>
      <c r="P1059" s="81"/>
      <c r="Q1059" s="82"/>
      <c r="R1059" s="82"/>
      <c r="S1059" s="178"/>
      <c r="T1059" s="28"/>
      <c r="U1059" s="185"/>
      <c r="V1059" s="166"/>
      <c r="W1059" s="31"/>
      <c r="X1059" s="157"/>
      <c r="Y1059" s="157"/>
      <c r="Z1059" s="157"/>
      <c r="AA1059" s="157"/>
    </row>
    <row r="1060" spans="1:29" x14ac:dyDescent="0.25">
      <c r="A1060" s="249">
        <v>43588</v>
      </c>
      <c r="B1060" s="257" t="s">
        <v>169</v>
      </c>
      <c r="C1060" s="24" t="s">
        <v>171</v>
      </c>
      <c r="D1060" s="24" t="s">
        <v>189</v>
      </c>
      <c r="E1060" s="81" t="s">
        <v>186</v>
      </c>
      <c r="F1060" s="166">
        <v>1964.26</v>
      </c>
      <c r="G1060" s="166">
        <v>1969.48</v>
      </c>
      <c r="H1060" s="166">
        <v>1964.81</v>
      </c>
      <c r="I1060" s="166">
        <v>1967.28</v>
      </c>
      <c r="J1060" s="166">
        <v>1969.39</v>
      </c>
      <c r="K1060" s="166">
        <v>1965.98</v>
      </c>
      <c r="L1060" s="166">
        <v>1970.58</v>
      </c>
      <c r="M1060" s="166">
        <v>1968.79</v>
      </c>
      <c r="N1060" s="166">
        <v>1966.36</v>
      </c>
      <c r="O1060" s="81">
        <f>IF((N1061=""),"",MAX(F1062:N1062))</f>
        <v>2059.6799999999998</v>
      </c>
      <c r="P1060" s="81">
        <f>IF(N1061="","",MIN(F1062:N1062))</f>
        <v>2012.8199999999995</v>
      </c>
      <c r="Q1060" s="82">
        <f>IF((N1062=""),"",AVERAGE(F1062:N1062))</f>
        <v>2045.0633333333333</v>
      </c>
      <c r="R1060" s="82">
        <f>IF((N1061=""),"",(O1060-P1060)/(O1060+P1060)*100)</f>
        <v>1.1506445672191619</v>
      </c>
      <c r="S1060" s="178">
        <f>STDEV(F1062:N1062)</f>
        <v>17.807209916210859</v>
      </c>
      <c r="T1060" s="23" t="str">
        <f>IF(N1061="","",IF(Q1060&gt;1940,IF(R1060&lt;8.3,IF(Q1060&lt;2180,"Pass","Fail"),"Fail"),"Fail"))</f>
        <v>Pass</v>
      </c>
      <c r="U1060" s="188">
        <v>1340</v>
      </c>
      <c r="V1060" s="166"/>
      <c r="W1060" s="31"/>
      <c r="X1060" s="155">
        <v>2000</v>
      </c>
      <c r="Y1060" s="155">
        <v>3000</v>
      </c>
      <c r="Z1060" s="155">
        <v>1940</v>
      </c>
      <c r="AA1060" s="155">
        <v>2180</v>
      </c>
      <c r="AC1060" s="51">
        <v>5.2</v>
      </c>
    </row>
    <row r="1061" spans="1:29" ht="16.100000000000001" x14ac:dyDescent="0.35">
      <c r="A1061" s="254"/>
      <c r="B1061" s="44"/>
      <c r="C1061" s="24"/>
      <c r="D1061" s="24"/>
      <c r="E1061" s="81" t="s">
        <v>187</v>
      </c>
      <c r="F1061" s="166">
        <v>1292.0999999999999</v>
      </c>
      <c r="G1061" s="166">
        <v>1284.1600000000001</v>
      </c>
      <c r="H1061" s="166">
        <v>1281.67</v>
      </c>
      <c r="I1061" s="166">
        <v>1281.3900000000001</v>
      </c>
      <c r="J1061" s="166">
        <v>1285.92</v>
      </c>
      <c r="K1061" s="166">
        <v>1283.9000000000001</v>
      </c>
      <c r="L1061" s="166">
        <v>1284.95</v>
      </c>
      <c r="M1061" s="166">
        <v>1282.23</v>
      </c>
      <c r="N1061" s="166">
        <v>1295.42</v>
      </c>
      <c r="O1061" s="81"/>
      <c r="P1061" s="81"/>
      <c r="Q1061" s="82"/>
      <c r="R1061" s="82"/>
      <c r="S1061" s="178"/>
      <c r="T1061" s="23"/>
      <c r="U1061" s="179"/>
      <c r="V1061" s="212"/>
      <c r="W1061" s="31"/>
      <c r="X1061" s="157"/>
      <c r="Y1061" s="157"/>
      <c r="Z1061" s="157"/>
      <c r="AA1061" s="157"/>
    </row>
    <row r="1062" spans="1:29" ht="21.6" customHeight="1" thickBot="1" x14ac:dyDescent="0.4">
      <c r="A1062" s="254"/>
      <c r="B1062" s="44"/>
      <c r="C1062" s="24"/>
      <c r="D1062" s="24"/>
      <c r="E1062" s="81" t="s">
        <v>190</v>
      </c>
      <c r="F1062" s="60">
        <f t="shared" ref="F1062:N1062" si="350">IF(((F1060="")*AND(F1061="")),"",(F1060-F1061)*3)</f>
        <v>2016.4800000000002</v>
      </c>
      <c r="G1062" s="60">
        <f t="shared" si="350"/>
        <v>2055.96</v>
      </c>
      <c r="H1062" s="60">
        <f t="shared" si="350"/>
        <v>2049.4199999999996</v>
      </c>
      <c r="I1062" s="60">
        <f t="shared" si="350"/>
        <v>2057.6699999999996</v>
      </c>
      <c r="J1062" s="60">
        <f t="shared" si="350"/>
        <v>2050.41</v>
      </c>
      <c r="K1062" s="60">
        <f t="shared" si="350"/>
        <v>2046.2399999999998</v>
      </c>
      <c r="L1062" s="60">
        <f t="shared" si="350"/>
        <v>2056.8899999999994</v>
      </c>
      <c r="M1062" s="60">
        <f t="shared" si="350"/>
        <v>2059.6799999999998</v>
      </c>
      <c r="N1062" s="60">
        <f t="shared" si="350"/>
        <v>2012.8199999999995</v>
      </c>
      <c r="O1062" s="81"/>
      <c r="P1062" s="81"/>
      <c r="Q1062" s="82"/>
      <c r="R1062" s="82"/>
      <c r="S1062" s="178"/>
      <c r="T1062" s="23"/>
      <c r="U1062" s="179"/>
      <c r="V1062" s="212"/>
      <c r="W1062" s="31"/>
      <c r="X1062" s="157"/>
      <c r="Y1062" s="157"/>
      <c r="Z1062" s="157"/>
      <c r="AA1062" s="157"/>
    </row>
    <row r="1063" spans="1:29" x14ac:dyDescent="0.25">
      <c r="A1063" s="249">
        <v>43588</v>
      </c>
      <c r="B1063" s="260" t="s">
        <v>185</v>
      </c>
      <c r="C1063" s="24" t="s">
        <v>173</v>
      </c>
      <c r="D1063" s="24" t="s">
        <v>172</v>
      </c>
      <c r="E1063" s="81" t="s">
        <v>186</v>
      </c>
      <c r="F1063" s="166">
        <v>28987.5</v>
      </c>
      <c r="G1063" s="166">
        <v>28920.44</v>
      </c>
      <c r="H1063" s="166">
        <v>28948.17</v>
      </c>
      <c r="I1063" s="166">
        <v>28918.13</v>
      </c>
      <c r="J1063" s="166">
        <v>29030.97</v>
      </c>
      <c r="K1063" s="166">
        <v>29043</v>
      </c>
      <c r="L1063" s="166">
        <v>28914.52</v>
      </c>
      <c r="M1063" s="166">
        <v>28912.21</v>
      </c>
      <c r="N1063" s="166">
        <v>29035.66</v>
      </c>
      <c r="O1063" s="81">
        <f>IF((N1064=""),"",MAX(F1065:N1065))</f>
        <v>4749.2399999999943</v>
      </c>
      <c r="P1063" s="81">
        <f>IF(N1064="","",MIN(F1065:N1065))</f>
        <v>4106.8500000000022</v>
      </c>
      <c r="Q1063" s="82">
        <f>IF((N1065=""),"",AVERAGE(F1065:N1065))</f>
        <v>4344.5066666666644</v>
      </c>
      <c r="R1063" s="82">
        <f>IF((N1064=""),"",(O1063-P1063)/(O1063+P1063)*100)</f>
        <v>7.2536525712813713</v>
      </c>
      <c r="S1063" s="178">
        <f>STDEV(F1065:N1065)</f>
        <v>223.33280799067603</v>
      </c>
      <c r="T1063" s="23" t="str">
        <f>IF(N1064="","",IF(R1063&lt;16,IF(Q1063&gt;3200,IF(R1063,IF(Q1063&lt;5240,"Pass","Fail"),"Fail"),"Fail")))</f>
        <v>Pass</v>
      </c>
      <c r="U1063" s="188">
        <v>1340</v>
      </c>
      <c r="V1063" s="166"/>
      <c r="W1063" s="31"/>
      <c r="X1063" s="155">
        <v>4200</v>
      </c>
      <c r="Y1063" s="155">
        <v>5500</v>
      </c>
      <c r="Z1063" s="155">
        <v>3200</v>
      </c>
      <c r="AA1063" s="155">
        <v>5240</v>
      </c>
      <c r="AC1063" s="51">
        <v>16</v>
      </c>
    </row>
    <row r="1064" spans="1:29" ht="16.100000000000001" x14ac:dyDescent="0.35">
      <c r="A1064" s="254"/>
      <c r="B1064" s="44"/>
      <c r="C1064" s="24"/>
      <c r="D1064" s="24"/>
      <c r="E1064" s="81" t="s">
        <v>187</v>
      </c>
      <c r="F1064" s="166">
        <v>27491.84</v>
      </c>
      <c r="G1064" s="166">
        <v>27512.63</v>
      </c>
      <c r="H1064" s="166">
        <v>27576.27</v>
      </c>
      <c r="I1064" s="166">
        <v>27517.23</v>
      </c>
      <c r="J1064" s="166">
        <v>27513.89</v>
      </c>
      <c r="K1064" s="166">
        <v>27559.3</v>
      </c>
      <c r="L1064" s="166">
        <v>27545.57</v>
      </c>
      <c r="M1064" s="166">
        <v>27507.77</v>
      </c>
      <c r="N1064" s="166">
        <v>27452.58</v>
      </c>
      <c r="O1064" s="166"/>
      <c r="P1064" s="81"/>
      <c r="Q1064" s="82"/>
      <c r="R1064" s="82"/>
      <c r="S1064" s="178"/>
      <c r="T1064" s="23"/>
      <c r="U1064" s="179"/>
      <c r="V1064" s="212"/>
      <c r="W1064" s="31"/>
      <c r="X1064" s="157"/>
      <c r="Y1064" s="157"/>
      <c r="Z1064" s="157"/>
      <c r="AA1064" s="157"/>
    </row>
    <row r="1065" spans="1:29" ht="22.75" thickBot="1" x14ac:dyDescent="0.4">
      <c r="A1065" s="255"/>
      <c r="B1065" s="83"/>
      <c r="C1065" s="84"/>
      <c r="D1065" s="84"/>
      <c r="E1065" s="85" t="s">
        <v>188</v>
      </c>
      <c r="F1065" s="73">
        <f t="shared" ref="F1065:N1065" si="351">IF(((F1063="")*AND(F1064="")),"",(F1063-F1064)*3)</f>
        <v>4486.9799999999996</v>
      </c>
      <c r="G1065" s="73">
        <f t="shared" si="351"/>
        <v>4223.429999999993</v>
      </c>
      <c r="H1065" s="73">
        <f t="shared" si="351"/>
        <v>4115.6999999999935</v>
      </c>
      <c r="I1065" s="73">
        <f t="shared" si="351"/>
        <v>4202.7000000000044</v>
      </c>
      <c r="J1065" s="73">
        <f t="shared" si="351"/>
        <v>4551.2400000000052</v>
      </c>
      <c r="K1065" s="73">
        <f t="shared" si="351"/>
        <v>4451.1000000000022</v>
      </c>
      <c r="L1065" s="73">
        <f t="shared" si="351"/>
        <v>4106.8500000000022</v>
      </c>
      <c r="M1065" s="73">
        <f t="shared" si="351"/>
        <v>4213.3199999999961</v>
      </c>
      <c r="N1065" s="73">
        <f t="shared" si="351"/>
        <v>4749.2399999999943</v>
      </c>
      <c r="O1065" s="85"/>
      <c r="P1065" s="85"/>
      <c r="Q1065" s="86"/>
      <c r="R1065" s="86"/>
      <c r="S1065" s="181"/>
      <c r="T1065" s="182"/>
      <c r="U1065" s="183"/>
      <c r="V1065" s="212"/>
      <c r="W1065" s="31"/>
      <c r="X1065" s="157"/>
      <c r="Y1065" s="157"/>
      <c r="Z1065" s="157"/>
      <c r="AA1065" s="157"/>
    </row>
    <row r="1066" spans="1:29" customFormat="1" ht="16.649999999999999" thickBot="1" x14ac:dyDescent="0.4">
      <c r="A1066" s="251">
        <v>43595</v>
      </c>
      <c r="B1066" s="270" t="s">
        <v>174</v>
      </c>
      <c r="C1066" s="271" t="s">
        <v>176</v>
      </c>
      <c r="D1066" s="271" t="s">
        <v>175</v>
      </c>
      <c r="E1066" s="79" t="s">
        <v>186</v>
      </c>
      <c r="F1066">
        <v>3264</v>
      </c>
      <c r="G1066">
        <v>3045</v>
      </c>
      <c r="H1066">
        <v>3153</v>
      </c>
      <c r="I1066">
        <v>3037</v>
      </c>
      <c r="J1066">
        <v>3152</v>
      </c>
      <c r="K1066">
        <v>3241</v>
      </c>
      <c r="L1066">
        <v>3073</v>
      </c>
      <c r="M1066">
        <v>3090</v>
      </c>
      <c r="N1066">
        <v>3157</v>
      </c>
      <c r="O1066" s="272">
        <f>IF((N1067=""),"",MAX(F1068:N1068))</f>
        <v>4317</v>
      </c>
      <c r="P1066" s="272">
        <f>IF(N1067="","",MIN(F1068:N1068))</f>
        <v>3908.18</v>
      </c>
      <c r="Q1066" s="273">
        <f>IF((N1068=""),"",AVERAGE(F1068:N1068))</f>
        <v>4039.6644444444441</v>
      </c>
      <c r="R1066" s="273">
        <f>IF((N1067=""),"",(O1066-P1066)/(O1066+P1066)*100)</f>
        <v>4.9703471534969461</v>
      </c>
      <c r="S1066" s="274">
        <f>STDEV(F1068:N1068)</f>
        <v>122.72901400148939</v>
      </c>
      <c r="T1066" s="176" t="str">
        <f>IF(N1067="","",IF(Q1066&gt;3650,IF(R1066&lt;7,IF(Q1066&lt;4450,"Pass","Fail"),"Fail"),"Fail"))</f>
        <v>Pass</v>
      </c>
      <c r="U1066" s="292">
        <v>102</v>
      </c>
      <c r="V1066" t="s">
        <v>269</v>
      </c>
      <c r="W1066" s="275"/>
      <c r="X1066" s="155">
        <v>3650</v>
      </c>
      <c r="Y1066" s="155">
        <v>4450</v>
      </c>
      <c r="Z1066" s="155">
        <v>3700</v>
      </c>
      <c r="AA1066" s="155">
        <v>4100</v>
      </c>
      <c r="AB1066" s="51">
        <v>7</v>
      </c>
      <c r="AC1066" s="51">
        <v>6.5</v>
      </c>
    </row>
    <row r="1067" spans="1:29" customFormat="1" ht="16.649999999999999" customHeight="1" thickBot="1" x14ac:dyDescent="0.4">
      <c r="A1067" s="251"/>
      <c r="B1067" s="276"/>
      <c r="C1067" s="277"/>
      <c r="D1067" s="277"/>
      <c r="E1067" s="278" t="s">
        <v>187</v>
      </c>
      <c r="F1067">
        <v>1287.3599999999999</v>
      </c>
      <c r="G1067">
        <v>1019.48</v>
      </c>
      <c r="H1067">
        <v>994.5</v>
      </c>
      <c r="I1067">
        <v>993.6</v>
      </c>
      <c r="J1067">
        <v>1180.33</v>
      </c>
      <c r="K1067">
        <v>1227.54</v>
      </c>
      <c r="L1067">
        <v>1025.81</v>
      </c>
      <c r="M1067">
        <v>1135.9100000000001</v>
      </c>
      <c r="N1067">
        <v>1168.98</v>
      </c>
      <c r="O1067" s="279"/>
      <c r="P1067" s="279"/>
      <c r="Q1067" s="280"/>
      <c r="R1067" s="280"/>
      <c r="S1067" s="281"/>
      <c r="T1067" s="28"/>
      <c r="U1067" s="293"/>
      <c r="W1067" s="282"/>
      <c r="X1067" s="282"/>
      <c r="Y1067" s="282"/>
      <c r="Z1067" s="282"/>
      <c r="AA1067" s="263"/>
      <c r="AB1067" s="263"/>
    </row>
    <row r="1068" spans="1:29" customFormat="1" ht="22.75" customHeight="1" thickBot="1" x14ac:dyDescent="0.4">
      <c r="A1068" s="251"/>
      <c r="B1068" s="276"/>
      <c r="C1068" s="277"/>
      <c r="D1068" s="277"/>
      <c r="E1068" s="278" t="s">
        <v>188</v>
      </c>
      <c r="F1068" s="283">
        <f t="shared" ref="F1068:N1068" si="352">IF(((F1066="")*AND(F1067="")),"",(F1066-F1067)*2)</f>
        <v>3953.28</v>
      </c>
      <c r="G1068" s="283">
        <f t="shared" si="352"/>
        <v>4051.04</v>
      </c>
      <c r="H1068" s="283">
        <f t="shared" si="352"/>
        <v>4317</v>
      </c>
      <c r="I1068" s="283">
        <f t="shared" si="352"/>
        <v>4086.8</v>
      </c>
      <c r="J1068" s="283">
        <f t="shared" si="352"/>
        <v>3943.34</v>
      </c>
      <c r="K1068" s="283">
        <f t="shared" si="352"/>
        <v>4026.92</v>
      </c>
      <c r="L1068" s="283">
        <f t="shared" si="352"/>
        <v>4094.38</v>
      </c>
      <c r="M1068" s="283">
        <f t="shared" si="352"/>
        <v>3908.18</v>
      </c>
      <c r="N1068" s="283">
        <f t="shared" si="352"/>
        <v>3976.04</v>
      </c>
      <c r="O1068" s="279"/>
      <c r="P1068" s="279"/>
      <c r="Q1068" s="280"/>
      <c r="R1068" s="280"/>
      <c r="S1068" s="281"/>
      <c r="T1068" s="28"/>
      <c r="U1068" s="293"/>
      <c r="W1068" s="282"/>
      <c r="X1068" s="282"/>
      <c r="Y1068" s="282"/>
      <c r="Z1068" s="282"/>
      <c r="AA1068" s="263"/>
      <c r="AB1068" s="263"/>
    </row>
    <row r="1069" spans="1:29" customFormat="1" ht="16.649999999999999" customHeight="1" thickBot="1" x14ac:dyDescent="0.4">
      <c r="A1069" s="251">
        <v>43595</v>
      </c>
      <c r="B1069" s="277" t="s">
        <v>169</v>
      </c>
      <c r="C1069" s="277" t="s">
        <v>171</v>
      </c>
      <c r="D1069" s="277" t="s">
        <v>189</v>
      </c>
      <c r="E1069" s="81" t="s">
        <v>186</v>
      </c>
      <c r="F1069">
        <v>1974.88</v>
      </c>
      <c r="G1069">
        <v>1969.49</v>
      </c>
      <c r="H1069">
        <v>1961.5</v>
      </c>
      <c r="I1069">
        <v>1968.36</v>
      </c>
      <c r="J1069">
        <v>1973.96</v>
      </c>
      <c r="K1069">
        <v>1977.38</v>
      </c>
      <c r="L1069">
        <v>1969.85</v>
      </c>
      <c r="M1069">
        <v>1969.05</v>
      </c>
      <c r="N1069">
        <v>1971.46</v>
      </c>
      <c r="O1069" s="279">
        <f>IF((N1070=""),"",MAX(F1071:N1071))</f>
        <v>2115.66</v>
      </c>
      <c r="P1069" s="279">
        <f>IF(N1070="","",MIN(F1071:N1071))</f>
        <v>2043.12</v>
      </c>
      <c r="Q1069" s="280">
        <f>IF((N1071=""),"",AVERAGE(F1071:N1071))</f>
        <v>2089.2133333333331</v>
      </c>
      <c r="R1069" s="280">
        <f>IF((N1070=""),"",(O1069-P1069)/(O1069+P1069)*100)</f>
        <v>1.744261538239579</v>
      </c>
      <c r="S1069" s="281">
        <f>STDEV(F1071:N1071)</f>
        <v>27.425075205001587</v>
      </c>
      <c r="T1069" s="23" t="str">
        <f>IF(N1070="","",IF(Q1069&gt;1940,IF(R1069&lt;8.3,IF(Q1069&lt;2180,"Pass","Fail"),"Fail"),"Fail"))</f>
        <v>Pass</v>
      </c>
      <c r="U1069" s="292">
        <v>102</v>
      </c>
      <c r="V1069" t="s">
        <v>269</v>
      </c>
      <c r="W1069" s="275"/>
      <c r="X1069" s="155">
        <v>2000</v>
      </c>
      <c r="Y1069" s="155">
        <v>3000</v>
      </c>
      <c r="Z1069" s="155">
        <v>1940</v>
      </c>
      <c r="AA1069" s="155">
        <v>2180</v>
      </c>
      <c r="AB1069" s="31"/>
      <c r="AC1069" s="51">
        <v>5.2</v>
      </c>
    </row>
    <row r="1070" spans="1:29" customFormat="1" ht="16.649999999999999" customHeight="1" thickBot="1" x14ac:dyDescent="0.4">
      <c r="A1070" s="251"/>
      <c r="B1070" s="276"/>
      <c r="C1070" s="277"/>
      <c r="D1070" s="277"/>
      <c r="E1070" s="278" t="s">
        <v>187</v>
      </c>
      <c r="F1070">
        <v>1287.71</v>
      </c>
      <c r="G1070">
        <v>1265.5999999999999</v>
      </c>
      <c r="H1070">
        <v>1259.24</v>
      </c>
      <c r="I1070">
        <v>1265.08</v>
      </c>
      <c r="J1070">
        <v>1292.92</v>
      </c>
      <c r="K1070">
        <v>1285.33</v>
      </c>
      <c r="L1070">
        <v>1265.97</v>
      </c>
      <c r="M1070">
        <v>1263.83</v>
      </c>
      <c r="N1070">
        <v>1282.6099999999999</v>
      </c>
      <c r="O1070" s="279"/>
      <c r="P1070" s="279"/>
      <c r="Q1070" s="280"/>
      <c r="R1070" s="280"/>
      <c r="S1070" s="281"/>
      <c r="T1070" s="23"/>
      <c r="U1070" s="294"/>
      <c r="W1070" s="282"/>
      <c r="X1070" s="282"/>
      <c r="Y1070" s="282"/>
      <c r="Z1070" s="282"/>
      <c r="AA1070" s="263"/>
      <c r="AB1070" s="263"/>
    </row>
    <row r="1071" spans="1:29" customFormat="1" ht="16.649999999999999" customHeight="1" thickBot="1" x14ac:dyDescent="0.4">
      <c r="A1071" s="251"/>
      <c r="B1071" s="276"/>
      <c r="C1071" s="277"/>
      <c r="D1071" s="277"/>
      <c r="E1071" s="278" t="s">
        <v>190</v>
      </c>
      <c r="F1071" s="283">
        <f t="shared" ref="F1071:N1071" si="353">IF(((F1069="")*AND(F1070="")),"",(F1069-F1070)*3)</f>
        <v>2061.5100000000002</v>
      </c>
      <c r="G1071" s="283">
        <f t="shared" si="353"/>
        <v>2111.67</v>
      </c>
      <c r="H1071" s="283">
        <f t="shared" si="353"/>
        <v>2106.7799999999997</v>
      </c>
      <c r="I1071" s="283">
        <f t="shared" si="353"/>
        <v>2109.84</v>
      </c>
      <c r="J1071" s="283">
        <f t="shared" si="353"/>
        <v>2043.12</v>
      </c>
      <c r="K1071" s="283">
        <f t="shared" si="353"/>
        <v>2076.1500000000005</v>
      </c>
      <c r="L1071" s="283">
        <f t="shared" si="353"/>
        <v>2111.6399999999994</v>
      </c>
      <c r="M1071" s="283">
        <f t="shared" si="353"/>
        <v>2115.66</v>
      </c>
      <c r="N1071" s="283">
        <f t="shared" si="353"/>
        <v>2066.5500000000002</v>
      </c>
      <c r="O1071" s="279"/>
      <c r="P1071" s="279"/>
      <c r="Q1071" s="280"/>
      <c r="R1071" s="280"/>
      <c r="S1071" s="281"/>
      <c r="T1071" s="23"/>
      <c r="U1071" s="294"/>
      <c r="W1071" s="282"/>
      <c r="X1071" s="282"/>
      <c r="Y1071" s="282"/>
      <c r="Z1071" s="282"/>
      <c r="AA1071" s="263"/>
      <c r="AB1071" s="263"/>
    </row>
    <row r="1072" spans="1:29" customFormat="1" ht="16.649999999999999" customHeight="1" thickBot="1" x14ac:dyDescent="0.4">
      <c r="A1072" s="251">
        <v>43595</v>
      </c>
      <c r="B1072" s="276" t="s">
        <v>185</v>
      </c>
      <c r="C1072" s="277" t="s">
        <v>173</v>
      </c>
      <c r="D1072" s="277" t="s">
        <v>172</v>
      </c>
      <c r="E1072" s="81" t="s">
        <v>186</v>
      </c>
      <c r="F1072">
        <v>25857.46</v>
      </c>
      <c r="G1072">
        <v>25998.35</v>
      </c>
      <c r="H1072">
        <v>26062.97</v>
      </c>
      <c r="I1072">
        <v>26004.799999999999</v>
      </c>
      <c r="J1072">
        <v>25885.54</v>
      </c>
      <c r="K1072">
        <v>25854.34</v>
      </c>
      <c r="L1072">
        <v>26021.57</v>
      </c>
      <c r="M1072">
        <v>26004.9</v>
      </c>
      <c r="N1072">
        <v>25830.71</v>
      </c>
      <c r="O1072" s="279">
        <f>IF((N1073=""),"",MAX(F1074:N1074))</f>
        <v>4754.9699999999939</v>
      </c>
      <c r="P1072" s="279">
        <f>IF(N1073="","",MIN(F1074:N1074))</f>
        <v>4133.070000000007</v>
      </c>
      <c r="Q1072" s="280">
        <f>IF((N1074=""),"",AVERAGE(F1074:N1074))</f>
        <v>4429.2666666666664</v>
      </c>
      <c r="R1072" s="280">
        <f>IF((N1073=""),"",(O1072-P1072)/(O1072+P1072)*100)</f>
        <v>6.9970432176271355</v>
      </c>
      <c r="S1072" s="281">
        <f>STDEV(F1074:N1074)</f>
        <v>248.28584957665078</v>
      </c>
      <c r="T1072" s="23" t="str">
        <f>IF(N1073="","",IF(R1072&lt;16,IF(Q1072&gt;3200,IF(R1072,IF(Q1072&lt;5240,"Pass","Fail"),"Fail"),"Fail")))</f>
        <v>Pass</v>
      </c>
      <c r="U1072" s="292">
        <v>102</v>
      </c>
      <c r="V1072" t="s">
        <v>269</v>
      </c>
      <c r="W1072" s="275"/>
      <c r="X1072" s="155">
        <v>4200</v>
      </c>
      <c r="Y1072" s="155">
        <v>5500</v>
      </c>
      <c r="Z1072" s="155">
        <v>3200</v>
      </c>
      <c r="AA1072" s="155">
        <v>5240</v>
      </c>
      <c r="AB1072" s="31"/>
      <c r="AC1072" s="51">
        <v>16</v>
      </c>
    </row>
    <row r="1073" spans="1:29" customFormat="1" ht="16.649999999999999" customHeight="1" thickBot="1" x14ac:dyDescent="0.4">
      <c r="A1073" s="251"/>
      <c r="B1073" s="276"/>
      <c r="C1073" s="277"/>
      <c r="D1073" s="277"/>
      <c r="E1073" s="81" t="s">
        <v>187</v>
      </c>
      <c r="F1073">
        <v>24272.47</v>
      </c>
      <c r="G1073">
        <v>24592.09</v>
      </c>
      <c r="H1073">
        <v>24685.279999999999</v>
      </c>
      <c r="I1073">
        <v>24580.1</v>
      </c>
      <c r="J1073">
        <v>24320.5</v>
      </c>
      <c r="K1073">
        <v>24346.799999999999</v>
      </c>
      <c r="L1073">
        <v>24615.200000000001</v>
      </c>
      <c r="M1073">
        <v>24567.97</v>
      </c>
      <c r="N1073">
        <v>24252.43</v>
      </c>
      <c r="P1073" s="279"/>
      <c r="Q1073" s="280"/>
      <c r="R1073" s="280"/>
      <c r="S1073" s="281"/>
      <c r="T1073" s="23"/>
      <c r="U1073" s="294"/>
      <c r="W1073" s="282"/>
      <c r="X1073" s="282"/>
      <c r="Y1073" s="282"/>
      <c r="Z1073" s="282"/>
      <c r="AA1073" s="263"/>
      <c r="AB1073" s="263"/>
    </row>
    <row r="1074" spans="1:29" customFormat="1" ht="22.75" customHeight="1" thickBot="1" x14ac:dyDescent="0.4">
      <c r="A1074" s="251"/>
      <c r="B1074" s="284"/>
      <c r="C1074" s="285"/>
      <c r="D1074" s="285"/>
      <c r="E1074" s="81" t="s">
        <v>188</v>
      </c>
      <c r="F1074" s="286">
        <f t="shared" ref="F1074:N1074" si="354">IF(((F1072="")*AND(F1073="")),"",(F1072-F1073)*3)</f>
        <v>4754.9699999999939</v>
      </c>
      <c r="G1074" s="286">
        <f t="shared" si="354"/>
        <v>4218.7799999999952</v>
      </c>
      <c r="H1074" s="286">
        <f t="shared" si="354"/>
        <v>4133.070000000007</v>
      </c>
      <c r="I1074" s="286">
        <f t="shared" si="354"/>
        <v>4274.1000000000022</v>
      </c>
      <c r="J1074" s="286">
        <f t="shared" si="354"/>
        <v>4695.1200000000026</v>
      </c>
      <c r="K1074" s="286">
        <f t="shared" si="354"/>
        <v>4522.6200000000026</v>
      </c>
      <c r="L1074" s="286">
        <f t="shared" si="354"/>
        <v>4219.1099999999969</v>
      </c>
      <c r="M1074" s="286">
        <f t="shared" si="354"/>
        <v>4310.7900000000009</v>
      </c>
      <c r="N1074" s="286">
        <f t="shared" si="354"/>
        <v>4734.8399999999965</v>
      </c>
      <c r="O1074" s="287"/>
      <c r="P1074" s="287"/>
      <c r="Q1074" s="288"/>
      <c r="R1074" s="288"/>
      <c r="S1074" s="289"/>
      <c r="T1074" s="182"/>
      <c r="U1074" s="295"/>
      <c r="W1074" s="282"/>
      <c r="X1074" s="282"/>
      <c r="Y1074" s="282"/>
      <c r="Z1074" s="282"/>
      <c r="AA1074" s="263"/>
      <c r="AB1074" s="263"/>
    </row>
    <row r="1075" spans="1:29" customFormat="1" ht="16.649999999999999" customHeight="1" thickBot="1" x14ac:dyDescent="0.4">
      <c r="A1075" s="251">
        <v>43602</v>
      </c>
      <c r="B1075" s="270" t="s">
        <v>174</v>
      </c>
      <c r="C1075" s="271" t="s">
        <v>176</v>
      </c>
      <c r="D1075" s="271" t="s">
        <v>175</v>
      </c>
      <c r="E1075" s="81" t="s">
        <v>186</v>
      </c>
      <c r="F1075">
        <v>3264</v>
      </c>
      <c r="G1075">
        <v>3045</v>
      </c>
      <c r="H1075">
        <v>3153</v>
      </c>
      <c r="I1075">
        <v>3037</v>
      </c>
      <c r="J1075">
        <v>3152</v>
      </c>
      <c r="K1075">
        <v>3241</v>
      </c>
      <c r="L1075">
        <v>3073</v>
      </c>
      <c r="M1075">
        <v>3090</v>
      </c>
      <c r="N1075">
        <v>3157</v>
      </c>
      <c r="O1075" s="272">
        <f>IF((N1076=""),"",MAX(F1077:N1077))</f>
        <v>4317</v>
      </c>
      <c r="P1075" s="272">
        <f>IF(N1076="","",MIN(F1077:N1077))</f>
        <v>3908.18</v>
      </c>
      <c r="Q1075" s="273">
        <f>IF((N1077=""),"",AVERAGE(F1077:N1077))</f>
        <v>4039.6644444444441</v>
      </c>
      <c r="R1075" s="273">
        <f>IF((N1076=""),"",(O1075-P1075)/(O1075+P1075)*100)</f>
        <v>4.9703471534969461</v>
      </c>
      <c r="S1075" s="274">
        <f>STDEV(F1077:N1077)</f>
        <v>122.72901400148939</v>
      </c>
      <c r="T1075" s="176" t="str">
        <f>IF(N1076="","",IF(Q1075&gt;3650,IF(R1075&lt;7,IF(Q1075&lt;4450,"Pass","Fail"),"Fail"),"Fail"))</f>
        <v>Pass</v>
      </c>
      <c r="U1075" s="292">
        <v>102</v>
      </c>
      <c r="W1075" s="275"/>
      <c r="X1075" s="155">
        <v>3650</v>
      </c>
      <c r="Y1075" s="155">
        <v>4450</v>
      </c>
      <c r="Z1075" s="155">
        <v>3700</v>
      </c>
      <c r="AA1075" s="155">
        <v>4100</v>
      </c>
      <c r="AB1075" s="51">
        <v>7</v>
      </c>
      <c r="AC1075" s="51">
        <v>6.5</v>
      </c>
    </row>
    <row r="1076" spans="1:29" customFormat="1" ht="16.649999999999999" customHeight="1" thickBot="1" x14ac:dyDescent="0.4">
      <c r="A1076" s="251"/>
      <c r="B1076" s="276"/>
      <c r="C1076" s="277"/>
      <c r="D1076" s="277"/>
      <c r="E1076" s="81" t="s">
        <v>187</v>
      </c>
      <c r="F1076">
        <v>1287.3599999999999</v>
      </c>
      <c r="G1076">
        <v>1019.48</v>
      </c>
      <c r="H1076">
        <v>994.5</v>
      </c>
      <c r="I1076">
        <v>993.6</v>
      </c>
      <c r="J1076">
        <v>1180.33</v>
      </c>
      <c r="K1076">
        <v>1227.54</v>
      </c>
      <c r="L1076">
        <v>1025.81</v>
      </c>
      <c r="M1076">
        <v>1135.9100000000001</v>
      </c>
      <c r="N1076">
        <v>1168.98</v>
      </c>
      <c r="O1076" s="279"/>
      <c r="P1076" s="279"/>
      <c r="Q1076" s="280"/>
      <c r="R1076" s="280"/>
      <c r="S1076" s="281"/>
      <c r="T1076" s="28"/>
      <c r="U1076" s="293"/>
      <c r="W1076" s="282"/>
      <c r="X1076" s="282"/>
      <c r="Y1076" s="282"/>
      <c r="Z1076" s="282"/>
      <c r="AA1076" s="263"/>
      <c r="AB1076" s="263"/>
    </row>
    <row r="1077" spans="1:29" customFormat="1" ht="22.75" customHeight="1" thickBot="1" x14ac:dyDescent="0.4">
      <c r="A1077" s="251"/>
      <c r="B1077" s="276"/>
      <c r="C1077" s="277"/>
      <c r="D1077" s="277"/>
      <c r="E1077" s="81" t="s">
        <v>188</v>
      </c>
      <c r="F1077" s="283">
        <f t="shared" ref="F1077:N1077" si="355">IF(((F1075="")*AND(F1076="")),"",(F1075-F1076)*2)</f>
        <v>3953.28</v>
      </c>
      <c r="G1077" s="283">
        <f t="shared" si="355"/>
        <v>4051.04</v>
      </c>
      <c r="H1077" s="283">
        <f t="shared" si="355"/>
        <v>4317</v>
      </c>
      <c r="I1077" s="283">
        <f t="shared" si="355"/>
        <v>4086.8</v>
      </c>
      <c r="J1077" s="283">
        <f t="shared" si="355"/>
        <v>3943.34</v>
      </c>
      <c r="K1077" s="283">
        <f t="shared" si="355"/>
        <v>4026.92</v>
      </c>
      <c r="L1077" s="283">
        <f t="shared" si="355"/>
        <v>4094.38</v>
      </c>
      <c r="M1077" s="283">
        <f t="shared" si="355"/>
        <v>3908.18</v>
      </c>
      <c r="N1077" s="283">
        <f t="shared" si="355"/>
        <v>3976.04</v>
      </c>
      <c r="O1077" s="279"/>
      <c r="P1077" s="279"/>
      <c r="Q1077" s="280"/>
      <c r="R1077" s="280"/>
      <c r="S1077" s="281"/>
      <c r="T1077" s="28"/>
      <c r="U1077" s="293"/>
      <c r="W1077" s="282"/>
      <c r="X1077" s="282"/>
      <c r="Y1077" s="282"/>
      <c r="Z1077" s="282"/>
      <c r="AA1077" s="263"/>
      <c r="AB1077" s="263"/>
    </row>
    <row r="1078" spans="1:29" customFormat="1" ht="16.649999999999999" customHeight="1" thickBot="1" x14ac:dyDescent="0.4">
      <c r="A1078" s="251">
        <v>43602</v>
      </c>
      <c r="B1078" s="277" t="s">
        <v>169</v>
      </c>
      <c r="C1078" s="277" t="s">
        <v>171</v>
      </c>
      <c r="D1078" s="277" t="s">
        <v>189</v>
      </c>
      <c r="E1078" s="81" t="s">
        <v>186</v>
      </c>
      <c r="F1078">
        <v>1974.88</v>
      </c>
      <c r="G1078">
        <v>1969.49</v>
      </c>
      <c r="H1078">
        <v>1961.5</v>
      </c>
      <c r="I1078">
        <v>1968.36</v>
      </c>
      <c r="J1078">
        <v>1973.96</v>
      </c>
      <c r="K1078">
        <v>1977.38</v>
      </c>
      <c r="L1078">
        <v>1969.85</v>
      </c>
      <c r="M1078">
        <v>1969.05</v>
      </c>
      <c r="N1078">
        <v>1971.46</v>
      </c>
      <c r="O1078" s="279">
        <f>IF((N1079=""),"",MAX(F1080:N1080))</f>
        <v>2115.66</v>
      </c>
      <c r="P1078" s="279">
        <f>IF(N1079="","",MIN(F1080:N1080))</f>
        <v>2043.12</v>
      </c>
      <c r="Q1078" s="280">
        <f>IF((N1080=""),"",AVERAGE(F1080:N1080))</f>
        <v>2089.2133333333331</v>
      </c>
      <c r="R1078" s="280">
        <f>IF((N1079=""),"",(O1078-P1078)/(O1078+P1078)*100)</f>
        <v>1.744261538239579</v>
      </c>
      <c r="S1078" s="281">
        <f>STDEV(F1080:N1080)</f>
        <v>27.425075205001587</v>
      </c>
      <c r="T1078" s="23" t="str">
        <f>IF(N1079="","",IF(Q1078&gt;1940,IF(R1078&lt;8.3,IF(Q1078&lt;2180,"Pass","Fail"),"Fail"),"Fail"))</f>
        <v>Pass</v>
      </c>
      <c r="U1078" s="292">
        <v>1428</v>
      </c>
      <c r="W1078" s="275"/>
      <c r="X1078" s="155">
        <v>2000</v>
      </c>
      <c r="Y1078" s="155">
        <v>3000</v>
      </c>
      <c r="Z1078" s="155">
        <v>1940</v>
      </c>
      <c r="AA1078" s="155">
        <v>2180</v>
      </c>
      <c r="AB1078" s="31"/>
      <c r="AC1078" s="51">
        <v>5.2</v>
      </c>
    </row>
    <row r="1079" spans="1:29" customFormat="1" ht="16.649999999999999" customHeight="1" thickBot="1" x14ac:dyDescent="0.4">
      <c r="A1079" s="251"/>
      <c r="B1079" s="276"/>
      <c r="C1079" s="277"/>
      <c r="D1079" s="277"/>
      <c r="E1079" s="81" t="s">
        <v>187</v>
      </c>
      <c r="F1079">
        <v>1287.71</v>
      </c>
      <c r="G1079">
        <v>1265.5999999999999</v>
      </c>
      <c r="H1079">
        <v>1259.24</v>
      </c>
      <c r="I1079">
        <v>1265.08</v>
      </c>
      <c r="J1079">
        <v>1292.92</v>
      </c>
      <c r="K1079">
        <v>1285.33</v>
      </c>
      <c r="L1079">
        <v>1265.97</v>
      </c>
      <c r="M1079">
        <v>1263.83</v>
      </c>
      <c r="N1079">
        <v>1282.6099999999999</v>
      </c>
      <c r="O1079" s="279"/>
      <c r="P1079" s="279"/>
      <c r="Q1079" s="280"/>
      <c r="R1079" s="280"/>
      <c r="S1079" s="281"/>
      <c r="T1079" s="23"/>
      <c r="U1079" s="294"/>
      <c r="W1079" s="282"/>
      <c r="X1079" s="282"/>
      <c r="Y1079" s="282"/>
      <c r="Z1079" s="282"/>
      <c r="AA1079" s="263"/>
      <c r="AB1079" s="263"/>
    </row>
    <row r="1080" spans="1:29" customFormat="1" ht="16.649999999999999" customHeight="1" thickBot="1" x14ac:dyDescent="0.4">
      <c r="A1080" s="251"/>
      <c r="B1080" s="276"/>
      <c r="C1080" s="277"/>
      <c r="D1080" s="277"/>
      <c r="E1080" s="81" t="s">
        <v>190</v>
      </c>
      <c r="F1080" s="283">
        <f t="shared" ref="F1080:N1080" si="356">IF(((F1078="")*AND(F1079="")),"",(F1078-F1079)*3)</f>
        <v>2061.5100000000002</v>
      </c>
      <c r="G1080" s="283">
        <f t="shared" si="356"/>
        <v>2111.67</v>
      </c>
      <c r="H1080" s="283">
        <f t="shared" si="356"/>
        <v>2106.7799999999997</v>
      </c>
      <c r="I1080" s="283">
        <f t="shared" si="356"/>
        <v>2109.84</v>
      </c>
      <c r="J1080" s="283">
        <f t="shared" si="356"/>
        <v>2043.12</v>
      </c>
      <c r="K1080" s="283">
        <f t="shared" si="356"/>
        <v>2076.1500000000005</v>
      </c>
      <c r="L1080" s="283">
        <f t="shared" si="356"/>
        <v>2111.6399999999994</v>
      </c>
      <c r="M1080" s="283">
        <f t="shared" si="356"/>
        <v>2115.66</v>
      </c>
      <c r="N1080" s="283">
        <f t="shared" si="356"/>
        <v>2066.5500000000002</v>
      </c>
      <c r="O1080" s="279"/>
      <c r="P1080" s="279"/>
      <c r="Q1080" s="280"/>
      <c r="R1080" s="280"/>
      <c r="S1080" s="281"/>
      <c r="T1080" s="23"/>
      <c r="U1080" s="294"/>
      <c r="W1080" s="282"/>
      <c r="X1080" s="282"/>
      <c r="Y1080" s="282"/>
      <c r="Z1080" s="282"/>
      <c r="AA1080" s="263"/>
      <c r="AB1080" s="263"/>
    </row>
    <row r="1081" spans="1:29" customFormat="1" ht="16.649999999999999" customHeight="1" thickBot="1" x14ac:dyDescent="0.4">
      <c r="A1081" s="251">
        <v>43602</v>
      </c>
      <c r="B1081" s="276" t="s">
        <v>185</v>
      </c>
      <c r="C1081" s="277" t="s">
        <v>173</v>
      </c>
      <c r="D1081" s="277" t="s">
        <v>172</v>
      </c>
      <c r="E1081" s="81" t="s">
        <v>186</v>
      </c>
      <c r="F1081">
        <v>25857.46</v>
      </c>
      <c r="G1081">
        <v>25998.35</v>
      </c>
      <c r="H1081">
        <v>26062.97</v>
      </c>
      <c r="I1081">
        <v>26004.799999999999</v>
      </c>
      <c r="J1081">
        <v>25885.54</v>
      </c>
      <c r="K1081">
        <v>25854.34</v>
      </c>
      <c r="L1081">
        <v>26021.57</v>
      </c>
      <c r="M1081">
        <v>26004.9</v>
      </c>
      <c r="N1081">
        <v>25830.71</v>
      </c>
      <c r="O1081" s="279">
        <f>IF((N1082=""),"",MAX(F1083:N1083))</f>
        <v>4754.9699999999939</v>
      </c>
      <c r="P1081" s="279">
        <f>IF(N1082="","",MIN(F1083:N1083))</f>
        <v>4133.070000000007</v>
      </c>
      <c r="Q1081" s="280">
        <f>IF((N1083=""),"",AVERAGE(F1083:N1083))</f>
        <v>4429.2666666666664</v>
      </c>
      <c r="R1081" s="280">
        <f>IF((N1082=""),"",(O1081-P1081)/(O1081+P1081)*100)</f>
        <v>6.9970432176271355</v>
      </c>
      <c r="S1081" s="281">
        <f>STDEV(F1083:N1083)</f>
        <v>248.28584957665078</v>
      </c>
      <c r="T1081" s="23" t="str">
        <f>IF(N1082="","",IF(R1081&lt;16,IF(Q1081&gt;3200,IF(R1081,IF(Q1081&lt;5240,"Pass","Fail"),"Fail"),"Fail")))</f>
        <v>Pass</v>
      </c>
      <c r="U1081" s="292">
        <v>1428</v>
      </c>
      <c r="W1081" s="275"/>
      <c r="X1081" s="155">
        <v>4200</v>
      </c>
      <c r="Y1081" s="155">
        <v>5500</v>
      </c>
      <c r="Z1081" s="155">
        <v>3200</v>
      </c>
      <c r="AA1081" s="155">
        <v>5240</v>
      </c>
      <c r="AB1081" s="31"/>
      <c r="AC1081" s="51">
        <v>16</v>
      </c>
    </row>
    <row r="1082" spans="1:29" customFormat="1" ht="16.649999999999999" customHeight="1" thickBot="1" x14ac:dyDescent="0.4">
      <c r="A1082" s="251"/>
      <c r="B1082" s="276"/>
      <c r="C1082" s="277"/>
      <c r="D1082" s="277"/>
      <c r="E1082" s="81" t="s">
        <v>187</v>
      </c>
      <c r="F1082">
        <v>24272.47</v>
      </c>
      <c r="G1082">
        <v>24592.09</v>
      </c>
      <c r="H1082">
        <v>24685.279999999999</v>
      </c>
      <c r="I1082">
        <v>24580.1</v>
      </c>
      <c r="J1082">
        <v>24320.5</v>
      </c>
      <c r="K1082">
        <v>24346.799999999999</v>
      </c>
      <c r="L1082">
        <v>24615.200000000001</v>
      </c>
      <c r="M1082">
        <v>24567.97</v>
      </c>
      <c r="N1082">
        <v>24252.43</v>
      </c>
      <c r="P1082" s="279"/>
      <c r="Q1082" s="280"/>
      <c r="R1082" s="280"/>
      <c r="S1082" s="281"/>
      <c r="T1082" s="23"/>
      <c r="U1082" s="294"/>
      <c r="W1082" s="282"/>
      <c r="X1082" s="282"/>
      <c r="Y1082" s="282"/>
      <c r="Z1082" s="282"/>
      <c r="AA1082" s="263"/>
      <c r="AB1082" s="263"/>
    </row>
    <row r="1083" spans="1:29" customFormat="1" ht="22.75" customHeight="1" thickBot="1" x14ac:dyDescent="0.4">
      <c r="A1083" s="251"/>
      <c r="B1083" s="284"/>
      <c r="C1083" s="285"/>
      <c r="D1083" s="285"/>
      <c r="E1083" s="81" t="s">
        <v>188</v>
      </c>
      <c r="F1083" s="286">
        <f t="shared" ref="F1083:N1083" si="357">IF(((F1081="")*AND(F1082="")),"",(F1081-F1082)*3)</f>
        <v>4754.9699999999939</v>
      </c>
      <c r="G1083" s="286">
        <f t="shared" si="357"/>
        <v>4218.7799999999952</v>
      </c>
      <c r="H1083" s="286">
        <f t="shared" si="357"/>
        <v>4133.070000000007</v>
      </c>
      <c r="I1083" s="286">
        <f t="shared" si="357"/>
        <v>4274.1000000000022</v>
      </c>
      <c r="J1083" s="286">
        <f t="shared" si="357"/>
        <v>4695.1200000000026</v>
      </c>
      <c r="K1083" s="286">
        <f t="shared" si="357"/>
        <v>4522.6200000000026</v>
      </c>
      <c r="L1083" s="286">
        <f t="shared" si="357"/>
        <v>4219.1099999999969</v>
      </c>
      <c r="M1083" s="286">
        <f t="shared" si="357"/>
        <v>4310.7900000000009</v>
      </c>
      <c r="N1083" s="286">
        <f t="shared" si="357"/>
        <v>4734.8399999999965</v>
      </c>
      <c r="O1083" s="287"/>
      <c r="P1083" s="287"/>
      <c r="Q1083" s="288"/>
      <c r="R1083" s="288"/>
      <c r="S1083" s="289"/>
      <c r="T1083" s="182"/>
      <c r="U1083" s="295"/>
      <c r="W1083" s="282"/>
      <c r="X1083" s="282"/>
      <c r="Y1083" s="282"/>
      <c r="Z1083" s="282"/>
      <c r="AA1083" s="263"/>
      <c r="AB1083" s="263"/>
    </row>
    <row r="1084" spans="1:29" customFormat="1" ht="16.649999999999999" customHeight="1" x14ac:dyDescent="0.35">
      <c r="A1084" s="251">
        <v>43605</v>
      </c>
      <c r="B1084" s="270" t="s">
        <v>174</v>
      </c>
      <c r="C1084" s="271" t="s">
        <v>176</v>
      </c>
      <c r="D1084" s="271" t="s">
        <v>175</v>
      </c>
      <c r="E1084" s="81" t="s">
        <v>186</v>
      </c>
      <c r="F1084">
        <v>6985.07</v>
      </c>
      <c r="G1084">
        <v>6962.33</v>
      </c>
      <c r="H1084">
        <v>6987.82</v>
      </c>
      <c r="I1084">
        <v>6933.05</v>
      </c>
      <c r="J1084">
        <v>6861.1</v>
      </c>
      <c r="K1084">
        <v>6921.48</v>
      </c>
      <c r="L1084">
        <v>6943.73</v>
      </c>
      <c r="M1084">
        <v>6999.98</v>
      </c>
      <c r="N1084">
        <v>6999.98</v>
      </c>
      <c r="O1084" s="272">
        <f>IF((N1085=""),"",MAX(F1086:N1086))</f>
        <v>3979.8599999999988</v>
      </c>
      <c r="P1084" s="272">
        <f>IF(N1085="","",MIN(F1086:N1086))</f>
        <v>3581.9199999999983</v>
      </c>
      <c r="Q1084" s="273">
        <f>IF((N1086=""),"",AVERAGE(F1086:N1086))</f>
        <v>3859.8933333333325</v>
      </c>
      <c r="R1084" s="273">
        <f>IF((N1085=""),"",(O1084-P1084)/(O1084+P1084)*100)</f>
        <v>5.2625175553904064</v>
      </c>
      <c r="S1084" s="274">
        <f>STDEV(F1086:N1086)</f>
        <v>130.31598942570344</v>
      </c>
      <c r="T1084" s="176" t="str">
        <f>IF(N1085="","",IF(Q1084&gt;3650,IF(R1084&lt;7,IF(Q1084&lt;4450,"Pass","Fail"),"Fail"),"Fail"))</f>
        <v>Pass</v>
      </c>
      <c r="U1084" s="292">
        <v>74</v>
      </c>
      <c r="W1084" s="275"/>
      <c r="X1084" s="155">
        <v>3650</v>
      </c>
      <c r="Y1084" s="155">
        <v>4450</v>
      </c>
      <c r="Z1084" s="155">
        <v>3700</v>
      </c>
      <c r="AA1084" s="155">
        <v>4100</v>
      </c>
      <c r="AB1084" s="51">
        <v>7</v>
      </c>
      <c r="AC1084" s="51">
        <v>6.5</v>
      </c>
    </row>
    <row r="1085" spans="1:29" customFormat="1" ht="16.649999999999999" customHeight="1" x14ac:dyDescent="0.35">
      <c r="A1085" s="249"/>
      <c r="B1085" s="276"/>
      <c r="C1085" s="277"/>
      <c r="D1085" s="277"/>
      <c r="E1085" s="81" t="s">
        <v>187</v>
      </c>
      <c r="F1085">
        <v>5103.62</v>
      </c>
      <c r="G1085">
        <v>4994.4799999999996</v>
      </c>
      <c r="H1085">
        <v>5004.67</v>
      </c>
      <c r="I1085">
        <v>4961.87</v>
      </c>
      <c r="J1085">
        <v>4971.07</v>
      </c>
      <c r="K1085">
        <v>5130.5200000000004</v>
      </c>
      <c r="L1085">
        <v>4980.1000000000004</v>
      </c>
      <c r="M1085">
        <v>5010.05</v>
      </c>
      <c r="N1085">
        <v>5068.6400000000003</v>
      </c>
      <c r="O1085" s="279"/>
      <c r="P1085" s="279"/>
      <c r="Q1085" s="280"/>
      <c r="R1085" s="280"/>
      <c r="S1085" s="281"/>
      <c r="T1085" s="28"/>
      <c r="U1085" s="293"/>
      <c r="W1085" s="282"/>
      <c r="X1085" s="282"/>
      <c r="Y1085" s="282"/>
      <c r="Z1085" s="282"/>
      <c r="AA1085" s="263"/>
      <c r="AB1085" s="263"/>
    </row>
    <row r="1086" spans="1:29" customFormat="1" ht="22.75" customHeight="1" thickBot="1" x14ac:dyDescent="0.4">
      <c r="A1086" s="249"/>
      <c r="B1086" s="276"/>
      <c r="C1086" s="277"/>
      <c r="D1086" s="277"/>
      <c r="E1086" s="81" t="s">
        <v>188</v>
      </c>
      <c r="F1086" s="283">
        <f t="shared" ref="F1086:N1086" si="358">IF(((F1084="")*AND(F1085="")),"",(F1084-F1085)*2)</f>
        <v>3762.8999999999996</v>
      </c>
      <c r="G1086" s="283">
        <f t="shared" si="358"/>
        <v>3935.7000000000007</v>
      </c>
      <c r="H1086" s="283">
        <f t="shared" si="358"/>
        <v>3966.2999999999993</v>
      </c>
      <c r="I1086" s="283">
        <f t="shared" si="358"/>
        <v>3942.3600000000006</v>
      </c>
      <c r="J1086" s="283">
        <f t="shared" si="358"/>
        <v>3780.0600000000013</v>
      </c>
      <c r="K1086" s="283">
        <f t="shared" si="358"/>
        <v>3581.9199999999983</v>
      </c>
      <c r="L1086" s="283">
        <f t="shared" si="358"/>
        <v>3927.2599999999984</v>
      </c>
      <c r="M1086" s="283">
        <f t="shared" si="358"/>
        <v>3979.8599999999988</v>
      </c>
      <c r="N1086" s="283">
        <f t="shared" si="358"/>
        <v>3862.6799999999985</v>
      </c>
      <c r="O1086" s="279"/>
      <c r="P1086" s="279"/>
      <c r="Q1086" s="280"/>
      <c r="R1086" s="280"/>
      <c r="S1086" s="281"/>
      <c r="T1086" s="28"/>
      <c r="U1086" s="293"/>
      <c r="W1086" s="282"/>
      <c r="X1086" s="282"/>
      <c r="Y1086" s="282"/>
      <c r="Z1086" s="282"/>
      <c r="AA1086" s="263"/>
      <c r="AB1086" s="263"/>
    </row>
    <row r="1087" spans="1:29" customFormat="1" ht="16.649999999999999" customHeight="1" x14ac:dyDescent="0.35">
      <c r="A1087" s="249">
        <v>43605</v>
      </c>
      <c r="B1087" s="277" t="s">
        <v>169</v>
      </c>
      <c r="C1087" s="277" t="s">
        <v>171</v>
      </c>
      <c r="D1087" s="277" t="s">
        <v>189</v>
      </c>
      <c r="E1087" s="81" t="s">
        <v>186</v>
      </c>
      <c r="F1087">
        <v>1964.27</v>
      </c>
      <c r="G1087">
        <v>1959.68</v>
      </c>
      <c r="H1087">
        <v>1951.09</v>
      </c>
      <c r="I1087">
        <v>1960.11</v>
      </c>
      <c r="J1087">
        <v>1965.53</v>
      </c>
      <c r="K1087">
        <v>1970.76</v>
      </c>
      <c r="L1087">
        <v>1962.83</v>
      </c>
      <c r="M1087">
        <v>1957.17</v>
      </c>
      <c r="N1087">
        <v>1965.8</v>
      </c>
      <c r="O1087" s="279">
        <f>IF((N1088=""),"",MAX(F1089:N1089))</f>
        <v>2099.1000000000004</v>
      </c>
      <c r="P1087" s="279">
        <f>IF(N1088="","",MIN(F1089:N1089))</f>
        <v>2040.72</v>
      </c>
      <c r="Q1087" s="280">
        <f>IF((N1089=""),"",AVERAGE(F1089:N1089))</f>
        <v>2078.6066666666666</v>
      </c>
      <c r="R1087" s="280">
        <f>IF((N1088=""),"",(O1087-P1087)/(O1087+P1087)*100)</f>
        <v>1.4102062408510594</v>
      </c>
      <c r="S1087" s="281">
        <f>STDEV(F1089:N1089)</f>
        <v>22.294917582265303</v>
      </c>
      <c r="T1087" s="23" t="str">
        <f>IF(N1088="","",IF(Q1087&gt;1940,IF(R1087&lt;8.3,IF(Q1087&lt;2180,"Pass","Fail"),"Fail"),"Fail"))</f>
        <v>Pass</v>
      </c>
      <c r="U1087" s="292">
        <v>74</v>
      </c>
      <c r="W1087" s="275"/>
      <c r="X1087" s="155">
        <v>2000</v>
      </c>
      <c r="Y1087" s="155">
        <v>3000</v>
      </c>
      <c r="Z1087" s="155">
        <v>1940</v>
      </c>
      <c r="AA1087" s="155">
        <v>2180</v>
      </c>
      <c r="AB1087" s="31"/>
      <c r="AC1087" s="51">
        <v>5.2</v>
      </c>
    </row>
    <row r="1088" spans="1:29" customFormat="1" ht="16.649999999999999" customHeight="1" x14ac:dyDescent="0.35">
      <c r="A1088" s="249"/>
      <c r="B1088" s="276"/>
      <c r="C1088" s="277"/>
      <c r="D1088" s="277"/>
      <c r="E1088" s="81" t="s">
        <v>187</v>
      </c>
      <c r="F1088">
        <v>1271.51</v>
      </c>
      <c r="G1088">
        <v>1262.47</v>
      </c>
      <c r="H1088">
        <v>1255.18</v>
      </c>
      <c r="I1088">
        <v>1260.5999999999999</v>
      </c>
      <c r="J1088">
        <v>1285.29</v>
      </c>
      <c r="K1088">
        <v>1290.1400000000001</v>
      </c>
      <c r="L1088">
        <v>1266.33</v>
      </c>
      <c r="M1088">
        <v>1257.47</v>
      </c>
      <c r="N1088">
        <v>1272.43</v>
      </c>
      <c r="O1088" s="279"/>
      <c r="P1088" s="279"/>
      <c r="Q1088" s="280"/>
      <c r="R1088" s="280"/>
      <c r="S1088" s="281"/>
      <c r="T1088" s="23"/>
      <c r="U1088" s="294"/>
      <c r="W1088" s="282"/>
      <c r="X1088" s="282"/>
      <c r="Y1088" s="282"/>
      <c r="Z1088" s="282"/>
      <c r="AA1088" s="263"/>
      <c r="AB1088" s="263"/>
    </row>
    <row r="1089" spans="1:29" customFormat="1" ht="16.649999999999999" customHeight="1" thickBot="1" x14ac:dyDescent="0.4">
      <c r="A1089" s="249"/>
      <c r="B1089" s="276"/>
      <c r="C1089" s="277"/>
      <c r="D1089" s="277"/>
      <c r="E1089" s="81" t="s">
        <v>190</v>
      </c>
      <c r="F1089" s="283">
        <f t="shared" ref="F1089:N1089" si="359">IF(((F1087="")*AND(F1088="")),"",(F1087-F1088)*3)</f>
        <v>2078.2799999999997</v>
      </c>
      <c r="G1089" s="283">
        <f t="shared" si="359"/>
        <v>2091.63</v>
      </c>
      <c r="H1089" s="283">
        <f t="shared" si="359"/>
        <v>2087.7299999999996</v>
      </c>
      <c r="I1089" s="283">
        <f t="shared" si="359"/>
        <v>2098.5299999999997</v>
      </c>
      <c r="J1089" s="283">
        <f t="shared" si="359"/>
        <v>2040.72</v>
      </c>
      <c r="K1089" s="283">
        <f t="shared" si="359"/>
        <v>2041.8599999999997</v>
      </c>
      <c r="L1089" s="283">
        <f t="shared" si="359"/>
        <v>2089.5</v>
      </c>
      <c r="M1089" s="283">
        <f t="shared" si="359"/>
        <v>2099.1000000000004</v>
      </c>
      <c r="N1089" s="283">
        <f t="shared" si="359"/>
        <v>2080.1099999999997</v>
      </c>
      <c r="O1089" s="279"/>
      <c r="P1089" s="279"/>
      <c r="Q1089" s="280"/>
      <c r="R1089" s="280"/>
      <c r="S1089" s="281"/>
      <c r="T1089" s="23"/>
      <c r="U1089" s="294"/>
      <c r="W1089" s="282"/>
      <c r="X1089" s="282"/>
      <c r="Y1089" s="282"/>
      <c r="Z1089" s="282"/>
      <c r="AA1089" s="263"/>
      <c r="AB1089" s="263"/>
    </row>
    <row r="1090" spans="1:29" customFormat="1" ht="16.100000000000001" x14ac:dyDescent="0.35">
      <c r="A1090" s="249">
        <v>43605</v>
      </c>
      <c r="B1090" s="276" t="s">
        <v>185</v>
      </c>
      <c r="C1090" s="277" t="s">
        <v>173</v>
      </c>
      <c r="D1090" s="277" t="s">
        <v>172</v>
      </c>
      <c r="E1090" s="81" t="s">
        <v>186</v>
      </c>
      <c r="F1090">
        <v>26988.639999999999</v>
      </c>
      <c r="G1090">
        <v>26892.52</v>
      </c>
      <c r="H1090">
        <v>26958.959999999999</v>
      </c>
      <c r="I1090">
        <v>26877.53</v>
      </c>
      <c r="J1090">
        <v>26938.14</v>
      </c>
      <c r="K1090">
        <v>26887.22</v>
      </c>
      <c r="L1090">
        <v>26869.77</v>
      </c>
      <c r="M1090">
        <v>26861.18</v>
      </c>
      <c r="N1090">
        <v>26949.4</v>
      </c>
      <c r="O1090" s="279">
        <f>IF((N1091=""),"",MAX(F1092:N1092))</f>
        <v>4429.1699999999983</v>
      </c>
      <c r="P1090" s="279">
        <f>IF(N1091="","",MIN(F1092:N1092))</f>
        <v>3879.3300000000017</v>
      </c>
      <c r="Q1090" s="280">
        <f>IF((N1092=""),"",AVERAGE(F1092:N1092))</f>
        <v>4128.5433333333331</v>
      </c>
      <c r="R1090" s="280">
        <f>IF((N1091=""),"",(O1090-P1090)/(O1090+P1090)*100)</f>
        <v>6.617801047120377</v>
      </c>
      <c r="S1090" s="281">
        <f>STDEV(F1092:N1092)</f>
        <v>209.33650870070409</v>
      </c>
      <c r="T1090" s="23" t="str">
        <f>IF(N1091="","",IF(R1090&lt;16,IF(Q1090&gt;3200,IF(R1090,IF(Q1090&lt;5240,"Pass","Fail"),"Fail"),"Fail")))</f>
        <v>Pass</v>
      </c>
      <c r="U1090" s="292">
        <v>74</v>
      </c>
      <c r="W1090" s="275"/>
      <c r="X1090" s="155">
        <v>4200</v>
      </c>
      <c r="Y1090" s="155">
        <v>5500</v>
      </c>
      <c r="Z1090" s="155">
        <v>3200</v>
      </c>
      <c r="AA1090" s="155">
        <v>5240</v>
      </c>
      <c r="AB1090" s="31"/>
      <c r="AC1090" s="51">
        <v>16</v>
      </c>
    </row>
    <row r="1091" spans="1:29" customFormat="1" ht="16.100000000000001" customHeight="1" x14ac:dyDescent="0.35">
      <c r="A1091" s="249"/>
      <c r="B1091" s="276"/>
      <c r="C1091" s="277"/>
      <c r="D1091" s="277"/>
      <c r="E1091" s="81" t="s">
        <v>187</v>
      </c>
      <c r="F1091">
        <v>25568.13</v>
      </c>
      <c r="G1091">
        <v>25589.57</v>
      </c>
      <c r="H1091">
        <v>25665.85</v>
      </c>
      <c r="I1091">
        <v>25532.59</v>
      </c>
      <c r="J1091">
        <v>25461.75</v>
      </c>
      <c r="K1091">
        <v>25449.89</v>
      </c>
      <c r="L1091">
        <v>25545.32</v>
      </c>
      <c r="M1091">
        <v>25526.2</v>
      </c>
      <c r="N1091">
        <v>25498.43</v>
      </c>
      <c r="P1091" s="279"/>
      <c r="Q1091" s="280"/>
      <c r="R1091" s="280"/>
      <c r="S1091" s="281"/>
      <c r="T1091" s="23"/>
      <c r="U1091" s="294"/>
      <c r="W1091" s="282"/>
      <c r="X1091" s="282"/>
      <c r="Y1091" s="282"/>
      <c r="Z1091" s="282"/>
      <c r="AA1091" s="263"/>
      <c r="AB1091" s="263"/>
    </row>
    <row r="1092" spans="1:29" customFormat="1" ht="22.75" customHeight="1" thickBot="1" x14ac:dyDescent="0.4">
      <c r="A1092" s="249"/>
      <c r="B1092" s="284"/>
      <c r="C1092" s="285"/>
      <c r="D1092" s="285"/>
      <c r="E1092" s="81" t="s">
        <v>188</v>
      </c>
      <c r="F1092" s="286">
        <f t="shared" ref="F1092:N1092" si="360">IF(((F1090="")*AND(F1091="")),"",(F1090-F1091)*3)</f>
        <v>4261.5299999999952</v>
      </c>
      <c r="G1092" s="286">
        <f t="shared" si="360"/>
        <v>3908.8500000000022</v>
      </c>
      <c r="H1092" s="286">
        <f t="shared" si="360"/>
        <v>3879.3300000000017</v>
      </c>
      <c r="I1092" s="286">
        <f t="shared" si="360"/>
        <v>4034.8199999999961</v>
      </c>
      <c r="J1092" s="286">
        <f t="shared" si="360"/>
        <v>4429.1699999999983</v>
      </c>
      <c r="K1092" s="286">
        <f t="shared" si="360"/>
        <v>4311.9900000000052</v>
      </c>
      <c r="L1092" s="286">
        <f t="shared" si="360"/>
        <v>3973.3500000000022</v>
      </c>
      <c r="M1092" s="286">
        <f t="shared" si="360"/>
        <v>4004.9399999999987</v>
      </c>
      <c r="N1092" s="286">
        <f t="shared" si="360"/>
        <v>4352.9100000000035</v>
      </c>
      <c r="O1092" s="287"/>
      <c r="P1092" s="287"/>
      <c r="Q1092" s="288"/>
      <c r="R1092" s="288"/>
      <c r="S1092" s="289"/>
      <c r="T1092" s="182"/>
      <c r="U1092" s="295"/>
      <c r="W1092" s="282"/>
      <c r="X1092" s="282"/>
      <c r="Y1092" s="282"/>
      <c r="Z1092" s="282"/>
      <c r="AA1092" s="263"/>
      <c r="AB1092" s="263"/>
    </row>
    <row r="1093" spans="1:29" x14ac:dyDescent="0.25">
      <c r="A1093" s="251"/>
      <c r="B1093" s="259" t="s">
        <v>174</v>
      </c>
      <c r="C1093" s="64" t="s">
        <v>176</v>
      </c>
      <c r="D1093" s="64" t="s">
        <v>175</v>
      </c>
      <c r="E1093" s="81" t="s">
        <v>186</v>
      </c>
      <c r="F1093" s="165"/>
      <c r="G1093" s="165"/>
      <c r="H1093" s="165"/>
      <c r="I1093" s="165"/>
      <c r="J1093" s="165"/>
      <c r="K1093" s="165"/>
      <c r="L1093" s="165"/>
      <c r="M1093" s="165"/>
      <c r="N1093" s="165"/>
      <c r="O1093" s="79" t="str">
        <f>IF((N1094=""),"",MAX(F1095:N1095))</f>
        <v/>
      </c>
      <c r="P1093" s="79" t="str">
        <f>IF(N1094="","",MIN(F1095:N1095))</f>
        <v/>
      </c>
      <c r="Q1093" s="80" t="str">
        <f>IF((N1095=""),"",AVERAGE(F1095:N1095))</f>
        <v/>
      </c>
      <c r="R1093" s="80" t="str">
        <f>IF((N1094=""),"",(O1093-P1093)/(O1093+P1093)*100)</f>
        <v/>
      </c>
      <c r="S1093" s="170" t="e">
        <f>STDEV(F1095:N1095)</f>
        <v>#DIV/0!</v>
      </c>
      <c r="T1093" s="176" t="str">
        <f>IF(N1094="","",IF(Q1093&gt;3650,IF(R1093&lt;7,IF(Q1093&lt;4450,"Pass","Fail"),"Fail"),"Fail"))</f>
        <v/>
      </c>
      <c r="U1093" s="188"/>
      <c r="V1093" s="166"/>
      <c r="W1093" s="31"/>
      <c r="X1093" s="155">
        <v>3650</v>
      </c>
      <c r="Y1093" s="155">
        <v>4450</v>
      </c>
      <c r="Z1093" s="155">
        <v>3700</v>
      </c>
      <c r="AA1093" s="155">
        <v>4100</v>
      </c>
      <c r="AB1093" s="51">
        <v>7</v>
      </c>
      <c r="AC1093" s="51">
        <v>6.5</v>
      </c>
    </row>
    <row r="1094" spans="1:29" ht="16.100000000000001" x14ac:dyDescent="0.35">
      <c r="A1094" s="254"/>
      <c r="B1094" s="44"/>
      <c r="C1094" s="24"/>
      <c r="D1094" s="24"/>
      <c r="E1094" s="81" t="s">
        <v>187</v>
      </c>
      <c r="F1094" s="166"/>
      <c r="G1094" s="166"/>
      <c r="H1094" s="166"/>
      <c r="I1094" s="166"/>
      <c r="J1094" s="166"/>
      <c r="K1094" s="166"/>
      <c r="L1094" s="166"/>
      <c r="M1094" s="166"/>
      <c r="N1094" s="166"/>
      <c r="O1094" s="81"/>
      <c r="P1094" s="81"/>
      <c r="Q1094" s="82"/>
      <c r="R1094" s="82"/>
      <c r="S1094" s="178"/>
      <c r="T1094" s="28"/>
      <c r="U1094" s="185"/>
      <c r="V1094" s="166"/>
      <c r="W1094" s="31"/>
      <c r="X1094" s="157"/>
      <c r="Y1094" s="157"/>
      <c r="Z1094" s="157"/>
      <c r="AA1094" s="157"/>
    </row>
    <row r="1095" spans="1:29" ht="22.75" thickBot="1" x14ac:dyDescent="0.4">
      <c r="A1095" s="254"/>
      <c r="B1095" s="44"/>
      <c r="C1095" s="24"/>
      <c r="D1095" s="24"/>
      <c r="E1095" s="81" t="s">
        <v>188</v>
      </c>
      <c r="F1095" s="60" t="str">
        <f t="shared" ref="F1095:N1095" si="361">IF(((F1093="")*AND(F1094="")),"",(F1093-F1094)*2)</f>
        <v/>
      </c>
      <c r="G1095" s="60" t="str">
        <f t="shared" si="361"/>
        <v/>
      </c>
      <c r="H1095" s="60" t="str">
        <f t="shared" si="361"/>
        <v/>
      </c>
      <c r="I1095" s="60" t="str">
        <f t="shared" si="361"/>
        <v/>
      </c>
      <c r="J1095" s="60" t="str">
        <f t="shared" si="361"/>
        <v/>
      </c>
      <c r="K1095" s="60" t="str">
        <f t="shared" si="361"/>
        <v/>
      </c>
      <c r="L1095" s="60" t="str">
        <f t="shared" si="361"/>
        <v/>
      </c>
      <c r="M1095" s="60" t="str">
        <f t="shared" si="361"/>
        <v/>
      </c>
      <c r="N1095" s="60" t="str">
        <f t="shared" si="361"/>
        <v/>
      </c>
      <c r="O1095" s="81"/>
      <c r="P1095" s="81"/>
      <c r="Q1095" s="82"/>
      <c r="R1095" s="82"/>
      <c r="S1095" s="178"/>
      <c r="T1095" s="28"/>
      <c r="U1095" s="185"/>
      <c r="V1095" s="166"/>
      <c r="W1095" s="31"/>
      <c r="X1095" s="157"/>
      <c r="Y1095" s="157"/>
      <c r="Z1095" s="157"/>
      <c r="AA1095" s="157"/>
    </row>
    <row r="1096" spans="1:29" x14ac:dyDescent="0.25">
      <c r="A1096" s="249"/>
      <c r="B1096" s="257" t="s">
        <v>169</v>
      </c>
      <c r="C1096" s="24" t="s">
        <v>171</v>
      </c>
      <c r="D1096" s="24" t="s">
        <v>189</v>
      </c>
      <c r="E1096" s="81" t="s">
        <v>186</v>
      </c>
      <c r="F1096" s="166"/>
      <c r="G1096" s="166"/>
      <c r="H1096" s="166"/>
      <c r="I1096" s="166"/>
      <c r="J1096" s="166"/>
      <c r="K1096" s="166"/>
      <c r="L1096" s="166"/>
      <c r="M1096" s="166"/>
      <c r="N1096" s="166"/>
      <c r="O1096" s="81" t="str">
        <f>IF((N1097=""),"",MAX(F1098:N1098))</f>
        <v/>
      </c>
      <c r="P1096" s="81" t="str">
        <f>IF(N1097="","",MIN(F1098:N1098))</f>
        <v/>
      </c>
      <c r="Q1096" s="82" t="str">
        <f>IF((N1098=""),"",AVERAGE(F1098:N1098))</f>
        <v/>
      </c>
      <c r="R1096" s="82" t="str">
        <f>IF((N1097=""),"",(O1096-P1096)/(O1096+P1096)*100)</f>
        <v/>
      </c>
      <c r="S1096" s="178" t="e">
        <f>STDEV(F1098:N1098)</f>
        <v>#DIV/0!</v>
      </c>
      <c r="T1096" s="23" t="str">
        <f>IF(N1097="","",IF(Q1096&gt;1940,IF(R1096&lt;8.3,IF(Q1096&lt;2180,"Pass","Fail"),"Fail"),"Fail"))</f>
        <v/>
      </c>
      <c r="U1096" s="188"/>
      <c r="V1096" s="166"/>
      <c r="W1096" s="31"/>
      <c r="X1096" s="155">
        <v>2000</v>
      </c>
      <c r="Y1096" s="155">
        <v>3000</v>
      </c>
      <c r="Z1096" s="155">
        <v>1940</v>
      </c>
      <c r="AA1096" s="155">
        <v>2180</v>
      </c>
      <c r="AC1096" s="51">
        <v>5.2</v>
      </c>
    </row>
    <row r="1097" spans="1:29" ht="16.100000000000001" x14ac:dyDescent="0.35">
      <c r="A1097" s="254"/>
      <c r="B1097" s="44"/>
      <c r="C1097" s="24"/>
      <c r="D1097" s="24"/>
      <c r="E1097" s="81" t="s">
        <v>187</v>
      </c>
      <c r="F1097" s="166"/>
      <c r="G1097" s="166"/>
      <c r="H1097" s="166"/>
      <c r="I1097" s="166"/>
      <c r="J1097" s="166"/>
      <c r="K1097" s="166"/>
      <c r="L1097" s="166"/>
      <c r="M1097" s="166"/>
      <c r="N1097" s="166"/>
      <c r="O1097" s="81"/>
      <c r="P1097" s="81"/>
      <c r="Q1097" s="82"/>
      <c r="R1097" s="82"/>
      <c r="S1097" s="178"/>
      <c r="T1097" s="23"/>
      <c r="U1097" s="179"/>
      <c r="V1097" s="212"/>
      <c r="W1097" s="31"/>
      <c r="X1097" s="157"/>
      <c r="Y1097" s="157"/>
      <c r="Z1097" s="157"/>
      <c r="AA1097" s="157"/>
    </row>
    <row r="1098" spans="1:29" ht="21.6" customHeight="1" thickBot="1" x14ac:dyDescent="0.4">
      <c r="A1098" s="254"/>
      <c r="B1098" s="44"/>
      <c r="C1098" s="24"/>
      <c r="D1098" s="24"/>
      <c r="E1098" s="81" t="s">
        <v>190</v>
      </c>
      <c r="F1098" s="60" t="str">
        <f t="shared" ref="F1098:N1098" si="362">IF(((F1096="")*AND(F1097="")),"",(F1096-F1097)*3)</f>
        <v/>
      </c>
      <c r="G1098" s="60" t="str">
        <f t="shared" si="362"/>
        <v/>
      </c>
      <c r="H1098" s="60" t="str">
        <f t="shared" si="362"/>
        <v/>
      </c>
      <c r="I1098" s="60" t="str">
        <f t="shared" si="362"/>
        <v/>
      </c>
      <c r="J1098" s="60" t="str">
        <f t="shared" si="362"/>
        <v/>
      </c>
      <c r="K1098" s="60" t="str">
        <f t="shared" si="362"/>
        <v/>
      </c>
      <c r="L1098" s="60" t="str">
        <f t="shared" si="362"/>
        <v/>
      </c>
      <c r="M1098" s="60" t="str">
        <f t="shared" si="362"/>
        <v/>
      </c>
      <c r="N1098" s="60" t="str">
        <f t="shared" si="362"/>
        <v/>
      </c>
      <c r="O1098" s="81"/>
      <c r="P1098" s="81"/>
      <c r="Q1098" s="82"/>
      <c r="R1098" s="82"/>
      <c r="S1098" s="178"/>
      <c r="T1098" s="23"/>
      <c r="U1098" s="179"/>
      <c r="V1098" s="212"/>
      <c r="W1098" s="31"/>
      <c r="X1098" s="157"/>
      <c r="Y1098" s="157"/>
      <c r="Z1098" s="157"/>
      <c r="AA1098" s="157"/>
    </row>
    <row r="1099" spans="1:29" x14ac:dyDescent="0.25">
      <c r="A1099" s="249"/>
      <c r="B1099" s="260" t="s">
        <v>185</v>
      </c>
      <c r="C1099" s="24" t="s">
        <v>173</v>
      </c>
      <c r="D1099" s="24" t="s">
        <v>172</v>
      </c>
      <c r="E1099" s="81" t="s">
        <v>186</v>
      </c>
      <c r="F1099" s="166"/>
      <c r="G1099" s="166"/>
      <c r="H1099" s="166"/>
      <c r="I1099" s="166"/>
      <c r="J1099" s="166"/>
      <c r="K1099" s="166"/>
      <c r="L1099" s="166"/>
      <c r="M1099" s="166"/>
      <c r="N1099" s="166"/>
      <c r="O1099" s="81" t="str">
        <f>IF((N1100=""),"",MAX(F1101:N1101))</f>
        <v/>
      </c>
      <c r="P1099" s="81" t="str">
        <f>IF(N1100="","",MIN(F1101:N1101))</f>
        <v/>
      </c>
      <c r="Q1099" s="82" t="str">
        <f>IF((N1101=""),"",AVERAGE(F1101:N1101))</f>
        <v/>
      </c>
      <c r="R1099" s="82" t="str">
        <f>IF((N1100=""),"",(O1099-P1099)/(O1099+P1099)*100)</f>
        <v/>
      </c>
      <c r="S1099" s="178" t="e">
        <f>STDEV(F1101:N1101)</f>
        <v>#DIV/0!</v>
      </c>
      <c r="T1099" s="23" t="str">
        <f>IF(N1100="","",IF(R1099&lt;16,IF(Q1099&gt;3200,IF(R1099,IF(Q1099&lt;5240,"Pass","Fail"),"Fail"),"Fail")))</f>
        <v/>
      </c>
      <c r="U1099" s="188"/>
      <c r="V1099" s="166"/>
      <c r="W1099" s="31"/>
      <c r="X1099" s="155">
        <v>4200</v>
      </c>
      <c r="Y1099" s="155">
        <v>5500</v>
      </c>
      <c r="Z1099" s="155">
        <v>3200</v>
      </c>
      <c r="AA1099" s="155">
        <v>5240</v>
      </c>
      <c r="AC1099" s="51">
        <v>16</v>
      </c>
    </row>
    <row r="1100" spans="1:29" ht="16.100000000000001" x14ac:dyDescent="0.35">
      <c r="A1100" s="254"/>
      <c r="B1100" s="44"/>
      <c r="C1100" s="24"/>
      <c r="D1100" s="24"/>
      <c r="E1100" s="81" t="s">
        <v>187</v>
      </c>
      <c r="F1100" s="166"/>
      <c r="G1100" s="166"/>
      <c r="H1100" s="166"/>
      <c r="I1100" s="166"/>
      <c r="J1100" s="166"/>
      <c r="K1100" s="166"/>
      <c r="L1100" s="166"/>
      <c r="M1100" s="166"/>
      <c r="N1100" s="166"/>
      <c r="O1100" s="166"/>
      <c r="P1100" s="81"/>
      <c r="Q1100" s="82"/>
      <c r="R1100" s="82"/>
      <c r="S1100" s="178"/>
      <c r="T1100" s="23"/>
      <c r="U1100" s="179"/>
      <c r="V1100" s="212"/>
      <c r="W1100" s="31"/>
      <c r="X1100" s="157"/>
      <c r="Y1100" s="157"/>
      <c r="Z1100" s="157"/>
      <c r="AA1100" s="157"/>
    </row>
    <row r="1101" spans="1:29" ht="22.75" thickBot="1" x14ac:dyDescent="0.4">
      <c r="A1101" s="255"/>
      <c r="B1101" s="83"/>
      <c r="C1101" s="84"/>
      <c r="D1101" s="84"/>
      <c r="E1101" s="81" t="s">
        <v>188</v>
      </c>
      <c r="F1101" s="73" t="str">
        <f t="shared" ref="F1101:N1101" si="363">IF(((F1099="")*AND(F1100="")),"",(F1099-F1100)*3)</f>
        <v/>
      </c>
      <c r="G1101" s="73" t="str">
        <f t="shared" si="363"/>
        <v/>
      </c>
      <c r="H1101" s="73" t="str">
        <f t="shared" si="363"/>
        <v/>
      </c>
      <c r="I1101" s="73" t="str">
        <f t="shared" si="363"/>
        <v/>
      </c>
      <c r="J1101" s="73" t="str">
        <f t="shared" si="363"/>
        <v/>
      </c>
      <c r="K1101" s="73" t="str">
        <f t="shared" si="363"/>
        <v/>
      </c>
      <c r="L1101" s="73" t="str">
        <f t="shared" si="363"/>
        <v/>
      </c>
      <c r="M1101" s="73" t="str">
        <f t="shared" si="363"/>
        <v/>
      </c>
      <c r="N1101" s="73" t="str">
        <f t="shared" si="363"/>
        <v/>
      </c>
      <c r="O1101" s="85"/>
      <c r="P1101" s="85"/>
      <c r="Q1101" s="86"/>
      <c r="R1101" s="86"/>
      <c r="S1101" s="181"/>
      <c r="T1101" s="182"/>
      <c r="U1101" s="183"/>
      <c r="V1101" s="212"/>
      <c r="W1101" s="31"/>
      <c r="X1101" s="157"/>
      <c r="Y1101" s="157"/>
      <c r="Z1101" s="157"/>
      <c r="AA1101" s="157"/>
    </row>
    <row r="1102" spans="1:29" x14ac:dyDescent="0.25">
      <c r="A1102" s="251"/>
      <c r="B1102" s="259" t="s">
        <v>174</v>
      </c>
      <c r="C1102" s="64" t="s">
        <v>176</v>
      </c>
      <c r="D1102" s="64" t="s">
        <v>175</v>
      </c>
      <c r="E1102" s="81" t="s">
        <v>186</v>
      </c>
      <c r="F1102" s="165"/>
      <c r="G1102" s="165"/>
      <c r="H1102" s="165"/>
      <c r="I1102" s="165"/>
      <c r="J1102" s="165"/>
      <c r="K1102" s="165"/>
      <c r="L1102" s="165"/>
      <c r="M1102" s="165"/>
      <c r="N1102" s="165"/>
      <c r="O1102" s="79" t="str">
        <f t="shared" ref="O1102" si="364">IF((N1103=""),"",MAX(F1104:N1104))</f>
        <v/>
      </c>
      <c r="P1102" s="79" t="str">
        <f t="shared" ref="P1102" si="365">IF(N1103="","",MIN(F1104:N1104))</f>
        <v/>
      </c>
      <c r="Q1102" s="80" t="str">
        <f t="shared" ref="Q1102" si="366">IF((N1104=""),"",AVERAGE(F1104:N1104))</f>
        <v/>
      </c>
      <c r="R1102" s="80" t="str">
        <f t="shared" ref="R1102" si="367">IF((N1103=""),"",(O1102-P1102)/(O1102+P1102)*100)</f>
        <v/>
      </c>
      <c r="S1102" s="170" t="e">
        <f t="shared" ref="S1102" si="368">STDEV(F1104:N1104)</f>
        <v>#DIV/0!</v>
      </c>
      <c r="T1102" s="176" t="str">
        <f t="shared" ref="T1102" si="369">IF(N1103="","",IF(Q1102&gt;3650,IF(R1102&lt;7,IF(Q1102&lt;4450,"Pass","Fail"),"Fail"),"Fail"))</f>
        <v/>
      </c>
      <c r="U1102" s="188"/>
      <c r="V1102" s="166"/>
      <c r="W1102" s="31"/>
      <c r="X1102" s="155">
        <v>3650</v>
      </c>
      <c r="Y1102" s="155">
        <v>4450</v>
      </c>
      <c r="Z1102" s="155">
        <v>3700</v>
      </c>
      <c r="AA1102" s="155">
        <v>4100</v>
      </c>
      <c r="AB1102" s="51">
        <v>7</v>
      </c>
      <c r="AC1102" s="51">
        <v>6.5</v>
      </c>
    </row>
    <row r="1103" spans="1:29" ht="16.100000000000001" x14ac:dyDescent="0.35">
      <c r="A1103" s="254"/>
      <c r="B1103" s="44"/>
      <c r="C1103" s="24"/>
      <c r="D1103" s="24"/>
      <c r="E1103" s="81" t="s">
        <v>187</v>
      </c>
      <c r="F1103" s="166"/>
      <c r="G1103" s="166"/>
      <c r="H1103" s="166"/>
      <c r="I1103" s="166"/>
      <c r="J1103" s="166"/>
      <c r="K1103" s="166"/>
      <c r="L1103" s="166"/>
      <c r="M1103" s="166"/>
      <c r="N1103" s="166"/>
      <c r="O1103" s="81"/>
      <c r="P1103" s="81"/>
      <c r="Q1103" s="82"/>
      <c r="R1103" s="82"/>
      <c r="S1103" s="178"/>
      <c r="T1103" s="28"/>
      <c r="U1103" s="185"/>
      <c r="V1103" s="166"/>
      <c r="W1103" s="31"/>
      <c r="X1103" s="157"/>
      <c r="Y1103" s="157"/>
      <c r="Z1103" s="157"/>
      <c r="AA1103" s="157"/>
    </row>
    <row r="1104" spans="1:29" ht="22.75" thickBot="1" x14ac:dyDescent="0.4">
      <c r="A1104" s="254"/>
      <c r="B1104" s="44"/>
      <c r="C1104" s="24"/>
      <c r="D1104" s="24"/>
      <c r="E1104" s="81" t="s">
        <v>188</v>
      </c>
      <c r="F1104" s="60" t="str">
        <f t="shared" ref="F1104:N1104" si="370">IF(((F1102="")*AND(F1103="")),"",(F1102-F1103)*2)</f>
        <v/>
      </c>
      <c r="G1104" s="60" t="str">
        <f t="shared" si="370"/>
        <v/>
      </c>
      <c r="H1104" s="60" t="str">
        <f t="shared" si="370"/>
        <v/>
      </c>
      <c r="I1104" s="60" t="str">
        <f t="shared" si="370"/>
        <v/>
      </c>
      <c r="J1104" s="60" t="str">
        <f t="shared" si="370"/>
        <v/>
      </c>
      <c r="K1104" s="60" t="str">
        <f t="shared" si="370"/>
        <v/>
      </c>
      <c r="L1104" s="60" t="str">
        <f t="shared" si="370"/>
        <v/>
      </c>
      <c r="M1104" s="60" t="str">
        <f t="shared" si="370"/>
        <v/>
      </c>
      <c r="N1104" s="60" t="str">
        <f t="shared" si="370"/>
        <v/>
      </c>
      <c r="O1104" s="81"/>
      <c r="P1104" s="81"/>
      <c r="Q1104" s="82"/>
      <c r="R1104" s="82"/>
      <c r="S1104" s="178"/>
      <c r="T1104" s="28"/>
      <c r="U1104" s="185"/>
      <c r="V1104" s="166"/>
      <c r="W1104" s="31"/>
      <c r="X1104" s="157"/>
      <c r="Y1104" s="157"/>
      <c r="Z1104" s="157"/>
      <c r="AA1104" s="157"/>
    </row>
    <row r="1105" spans="1:29" x14ac:dyDescent="0.25">
      <c r="A1105" s="249"/>
      <c r="B1105" s="257" t="s">
        <v>169</v>
      </c>
      <c r="C1105" s="24" t="s">
        <v>171</v>
      </c>
      <c r="D1105" s="24" t="s">
        <v>189</v>
      </c>
      <c r="E1105" s="81" t="s">
        <v>186</v>
      </c>
      <c r="F1105" s="166"/>
      <c r="G1105" s="166"/>
      <c r="H1105" s="166"/>
      <c r="I1105" s="166"/>
      <c r="J1105" s="166"/>
      <c r="K1105" s="166"/>
      <c r="L1105" s="166"/>
      <c r="M1105" s="166"/>
      <c r="N1105" s="166"/>
      <c r="O1105" s="81" t="str">
        <f t="shared" ref="O1105" si="371">IF((N1106=""),"",MAX(F1107:N1107))</f>
        <v/>
      </c>
      <c r="P1105" s="81" t="str">
        <f t="shared" ref="P1105" si="372">IF(N1106="","",MIN(F1107:N1107))</f>
        <v/>
      </c>
      <c r="Q1105" s="82" t="str">
        <f t="shared" ref="Q1105" si="373">IF((N1107=""),"",AVERAGE(F1107:N1107))</f>
        <v/>
      </c>
      <c r="R1105" s="82" t="str">
        <f t="shared" ref="R1105" si="374">IF((N1106=""),"",(O1105-P1105)/(O1105+P1105)*100)</f>
        <v/>
      </c>
      <c r="S1105" s="178" t="e">
        <f t="shared" ref="S1105" si="375">STDEV(F1107:N1107)</f>
        <v>#DIV/0!</v>
      </c>
      <c r="T1105" s="23" t="str">
        <f t="shared" ref="T1105" si="376">IF(N1106="","",IF(Q1105&gt;1940,IF(R1105&lt;8.3,IF(Q1105&lt;2180,"Pass","Fail"),"Fail"),"Fail"))</f>
        <v/>
      </c>
      <c r="U1105" s="188"/>
      <c r="V1105" s="166"/>
      <c r="W1105" s="31"/>
      <c r="X1105" s="155">
        <v>2000</v>
      </c>
      <c r="Y1105" s="155">
        <v>3000</v>
      </c>
      <c r="Z1105" s="155">
        <v>1940</v>
      </c>
      <c r="AA1105" s="155">
        <v>2180</v>
      </c>
      <c r="AC1105" s="51">
        <v>5.2</v>
      </c>
    </row>
    <row r="1106" spans="1:29" ht="16.100000000000001" x14ac:dyDescent="0.35">
      <c r="A1106" s="254"/>
      <c r="B1106" s="44"/>
      <c r="C1106" s="24"/>
      <c r="D1106" s="24"/>
      <c r="E1106" s="81" t="s">
        <v>187</v>
      </c>
      <c r="F1106" s="166"/>
      <c r="G1106" s="166"/>
      <c r="H1106" s="166"/>
      <c r="I1106" s="166"/>
      <c r="J1106" s="166"/>
      <c r="K1106" s="166"/>
      <c r="L1106" s="166"/>
      <c r="M1106" s="166"/>
      <c r="N1106" s="166"/>
      <c r="O1106" s="81"/>
      <c r="P1106" s="81"/>
      <c r="Q1106" s="82"/>
      <c r="R1106" s="82"/>
      <c r="S1106" s="178"/>
      <c r="T1106" s="23"/>
      <c r="U1106" s="179"/>
      <c r="V1106" s="212"/>
      <c r="W1106" s="31"/>
      <c r="X1106" s="157"/>
      <c r="Y1106" s="157"/>
      <c r="Z1106" s="157"/>
      <c r="AA1106" s="157"/>
    </row>
    <row r="1107" spans="1:29" ht="16.649999999999999" thickBot="1" x14ac:dyDescent="0.4">
      <c r="A1107" s="254"/>
      <c r="B1107" s="44"/>
      <c r="C1107" s="24"/>
      <c r="D1107" s="24"/>
      <c r="E1107" s="81" t="s">
        <v>190</v>
      </c>
      <c r="F1107" s="60" t="str">
        <f t="shared" ref="F1107:N1107" si="377">IF(((F1105="")*AND(F1106="")),"",(F1105-F1106)*3)</f>
        <v/>
      </c>
      <c r="G1107" s="60" t="str">
        <f t="shared" si="377"/>
        <v/>
      </c>
      <c r="H1107" s="60" t="str">
        <f t="shared" si="377"/>
        <v/>
      </c>
      <c r="I1107" s="60" t="str">
        <f t="shared" si="377"/>
        <v/>
      </c>
      <c r="J1107" s="60" t="str">
        <f t="shared" si="377"/>
        <v/>
      </c>
      <c r="K1107" s="60" t="str">
        <f t="shared" si="377"/>
        <v/>
      </c>
      <c r="L1107" s="60" t="str">
        <f t="shared" si="377"/>
        <v/>
      </c>
      <c r="M1107" s="60" t="str">
        <f t="shared" si="377"/>
        <v/>
      </c>
      <c r="N1107" s="60" t="str">
        <f t="shared" si="377"/>
        <v/>
      </c>
      <c r="O1107" s="81"/>
      <c r="P1107" s="81"/>
      <c r="Q1107" s="82"/>
      <c r="R1107" s="82"/>
      <c r="S1107" s="178"/>
      <c r="T1107" s="23"/>
      <c r="U1107" s="179"/>
      <c r="V1107" s="212"/>
      <c r="W1107" s="31"/>
      <c r="X1107" s="157"/>
      <c r="Y1107" s="157"/>
      <c r="Z1107" s="157"/>
      <c r="AA1107" s="157"/>
    </row>
    <row r="1108" spans="1:29" x14ac:dyDescent="0.25">
      <c r="A1108" s="249"/>
      <c r="B1108" s="260" t="s">
        <v>185</v>
      </c>
      <c r="C1108" s="24" t="s">
        <v>173</v>
      </c>
      <c r="D1108" s="24" t="s">
        <v>172</v>
      </c>
      <c r="E1108" s="81" t="s">
        <v>186</v>
      </c>
      <c r="F1108" s="166"/>
      <c r="G1108" s="166"/>
      <c r="H1108" s="166"/>
      <c r="I1108" s="166"/>
      <c r="J1108" s="166"/>
      <c r="K1108" s="166"/>
      <c r="L1108" s="166"/>
      <c r="M1108" s="166"/>
      <c r="N1108" s="166"/>
      <c r="O1108" s="81" t="str">
        <f t="shared" ref="O1108" si="378">IF((N1109=""),"",MAX(F1110:N1110))</f>
        <v/>
      </c>
      <c r="P1108" s="81" t="str">
        <f t="shared" ref="P1108" si="379">IF(N1109="","",MIN(F1110:N1110))</f>
        <v/>
      </c>
      <c r="Q1108" s="82" t="str">
        <f t="shared" ref="Q1108" si="380">IF((N1110=""),"",AVERAGE(F1110:N1110))</f>
        <v/>
      </c>
      <c r="R1108" s="82" t="str">
        <f t="shared" ref="R1108" si="381">IF((N1109=""),"",(O1108-P1108)/(O1108+P1108)*100)</f>
        <v/>
      </c>
      <c r="S1108" s="178" t="e">
        <f t="shared" ref="S1108" si="382">STDEV(F1110:N1110)</f>
        <v>#DIV/0!</v>
      </c>
      <c r="T1108" s="23" t="str">
        <f t="shared" ref="T1108" si="383">IF(N1109="","",IF(R1108&lt;16,IF(Q1108&gt;3200,IF(R1108,IF(Q1108&lt;5240,"Pass","Fail"),"Fail"),"Fail")))</f>
        <v/>
      </c>
      <c r="U1108" s="188"/>
      <c r="V1108" s="166"/>
      <c r="W1108" s="31"/>
      <c r="X1108" s="155">
        <v>4200</v>
      </c>
      <c r="Y1108" s="155">
        <v>5500</v>
      </c>
      <c r="Z1108" s="155">
        <v>3200</v>
      </c>
      <c r="AA1108" s="155">
        <v>5240</v>
      </c>
      <c r="AC1108" s="51">
        <v>16</v>
      </c>
    </row>
    <row r="1109" spans="1:29" ht="16.100000000000001" x14ac:dyDescent="0.35">
      <c r="A1109" s="254"/>
      <c r="B1109" s="44"/>
      <c r="C1109" s="24"/>
      <c r="D1109" s="24"/>
      <c r="E1109" s="81" t="s">
        <v>187</v>
      </c>
      <c r="F1109" s="166"/>
      <c r="G1109" s="166"/>
      <c r="H1109" s="166"/>
      <c r="I1109" s="166"/>
      <c r="J1109" s="166"/>
      <c r="K1109" s="166"/>
      <c r="L1109" s="166"/>
      <c r="M1109" s="166"/>
      <c r="N1109" s="166"/>
      <c r="O1109" s="166"/>
      <c r="P1109" s="81"/>
      <c r="Q1109" s="82"/>
      <c r="R1109" s="82"/>
      <c r="S1109" s="178"/>
      <c r="T1109" s="23"/>
      <c r="U1109" s="179"/>
      <c r="V1109" s="212"/>
      <c r="W1109" s="31"/>
      <c r="X1109" s="157"/>
      <c r="Y1109" s="157"/>
      <c r="Z1109" s="157"/>
      <c r="AA1109" s="157"/>
    </row>
    <row r="1110" spans="1:29" ht="22.75" thickBot="1" x14ac:dyDescent="0.4">
      <c r="A1110" s="255"/>
      <c r="B1110" s="83"/>
      <c r="C1110" s="84"/>
      <c r="D1110" s="84"/>
      <c r="E1110" s="81" t="s">
        <v>188</v>
      </c>
      <c r="F1110" s="73" t="str">
        <f t="shared" ref="F1110:N1110" si="384">IF(((F1108="")*AND(F1109="")),"",(F1108-F1109)*3)</f>
        <v/>
      </c>
      <c r="G1110" s="73" t="str">
        <f t="shared" si="384"/>
        <v/>
      </c>
      <c r="H1110" s="73" t="str">
        <f t="shared" si="384"/>
        <v/>
      </c>
      <c r="I1110" s="73" t="str">
        <f t="shared" si="384"/>
        <v/>
      </c>
      <c r="J1110" s="73" t="str">
        <f t="shared" si="384"/>
        <v/>
      </c>
      <c r="K1110" s="73" t="str">
        <f t="shared" si="384"/>
        <v/>
      </c>
      <c r="L1110" s="73" t="str">
        <f t="shared" si="384"/>
        <v/>
      </c>
      <c r="M1110" s="73" t="str">
        <f t="shared" si="384"/>
        <v/>
      </c>
      <c r="N1110" s="73" t="str">
        <f t="shared" si="384"/>
        <v/>
      </c>
      <c r="O1110" s="85"/>
      <c r="P1110" s="85"/>
      <c r="Q1110" s="86"/>
      <c r="R1110" s="86"/>
      <c r="S1110" s="181"/>
      <c r="T1110" s="182"/>
      <c r="U1110" s="183"/>
      <c r="V1110" s="212"/>
      <c r="W1110" s="31"/>
      <c r="X1110" s="157"/>
      <c r="Y1110" s="157"/>
      <c r="Z1110" s="157"/>
      <c r="AA1110" s="157"/>
    </row>
    <row r="1111" spans="1:29" x14ac:dyDescent="0.25">
      <c r="A1111" s="251"/>
      <c r="B1111" s="259" t="s">
        <v>174</v>
      </c>
      <c r="C1111" s="64" t="s">
        <v>176</v>
      </c>
      <c r="D1111" s="64" t="s">
        <v>175</v>
      </c>
      <c r="E1111" s="81" t="s">
        <v>186</v>
      </c>
      <c r="F1111" s="165"/>
      <c r="G1111" s="165"/>
      <c r="H1111" s="165"/>
      <c r="I1111" s="165"/>
      <c r="J1111" s="165"/>
      <c r="K1111" s="165"/>
      <c r="L1111" s="165"/>
      <c r="M1111" s="165"/>
      <c r="N1111" s="165"/>
      <c r="O1111" s="79" t="str">
        <f t="shared" ref="O1111" si="385">IF((N1112=""),"",MAX(F1113:N1113))</f>
        <v/>
      </c>
      <c r="P1111" s="79" t="str">
        <f t="shared" ref="P1111" si="386">IF(N1112="","",MIN(F1113:N1113))</f>
        <v/>
      </c>
      <c r="Q1111" s="80" t="str">
        <f t="shared" ref="Q1111" si="387">IF((N1113=""),"",AVERAGE(F1113:N1113))</f>
        <v/>
      </c>
      <c r="R1111" s="80" t="str">
        <f t="shared" ref="R1111" si="388">IF((N1112=""),"",(O1111-P1111)/(O1111+P1111)*100)</f>
        <v/>
      </c>
      <c r="S1111" s="170" t="e">
        <f t="shared" ref="S1111" si="389">STDEV(F1113:N1113)</f>
        <v>#DIV/0!</v>
      </c>
      <c r="T1111" s="176" t="str">
        <f t="shared" ref="T1111" si="390">IF(N1112="","",IF(Q1111&gt;3650,IF(R1111&lt;7,IF(Q1111&lt;4450,"Pass","Fail"),"Fail"),"Fail"))</f>
        <v/>
      </c>
      <c r="U1111" s="188"/>
      <c r="V1111" s="166"/>
      <c r="W1111" s="31"/>
      <c r="X1111" s="155">
        <v>3650</v>
      </c>
      <c r="Y1111" s="155">
        <v>4450</v>
      </c>
      <c r="Z1111" s="155">
        <v>3700</v>
      </c>
      <c r="AA1111" s="155">
        <v>4100</v>
      </c>
      <c r="AB1111" s="51">
        <v>7</v>
      </c>
      <c r="AC1111" s="51">
        <v>6.5</v>
      </c>
    </row>
    <row r="1112" spans="1:29" ht="16.100000000000001" x14ac:dyDescent="0.35">
      <c r="A1112" s="254"/>
      <c r="B1112" s="44"/>
      <c r="C1112" s="24"/>
      <c r="D1112" s="24"/>
      <c r="E1112" s="81" t="s">
        <v>187</v>
      </c>
      <c r="F1112" s="166"/>
      <c r="G1112" s="166"/>
      <c r="H1112" s="166"/>
      <c r="I1112" s="166"/>
      <c r="J1112" s="166"/>
      <c r="K1112" s="166"/>
      <c r="L1112" s="166"/>
      <c r="M1112" s="166"/>
      <c r="N1112" s="166"/>
      <c r="O1112" s="81"/>
      <c r="P1112" s="81"/>
      <c r="Q1112" s="82"/>
      <c r="R1112" s="82"/>
      <c r="S1112" s="178"/>
      <c r="T1112" s="28"/>
      <c r="U1112" s="185"/>
      <c r="V1112" s="166"/>
      <c r="W1112" s="31"/>
      <c r="X1112" s="157"/>
      <c r="Y1112" s="157"/>
      <c r="Z1112" s="157"/>
      <c r="AA1112" s="157"/>
    </row>
    <row r="1113" spans="1:29" ht="22.75" thickBot="1" x14ac:dyDescent="0.4">
      <c r="A1113" s="254"/>
      <c r="B1113" s="44"/>
      <c r="C1113" s="24"/>
      <c r="D1113" s="24"/>
      <c r="E1113" s="81" t="s">
        <v>188</v>
      </c>
      <c r="F1113" s="60" t="str">
        <f t="shared" ref="F1113:N1113" si="391">IF(((F1111="")*AND(F1112="")),"",(F1111-F1112)*2)</f>
        <v/>
      </c>
      <c r="G1113" s="60" t="str">
        <f t="shared" si="391"/>
        <v/>
      </c>
      <c r="H1113" s="60" t="str">
        <f t="shared" si="391"/>
        <v/>
      </c>
      <c r="I1113" s="60" t="str">
        <f t="shared" si="391"/>
        <v/>
      </c>
      <c r="J1113" s="60" t="str">
        <f t="shared" si="391"/>
        <v/>
      </c>
      <c r="K1113" s="60" t="str">
        <f t="shared" si="391"/>
        <v/>
      </c>
      <c r="L1113" s="60" t="str">
        <f t="shared" si="391"/>
        <v/>
      </c>
      <c r="M1113" s="60" t="str">
        <f t="shared" si="391"/>
        <v/>
      </c>
      <c r="N1113" s="60" t="str">
        <f t="shared" si="391"/>
        <v/>
      </c>
      <c r="O1113" s="81"/>
      <c r="P1113" s="81"/>
      <c r="Q1113" s="82"/>
      <c r="R1113" s="82"/>
      <c r="S1113" s="178"/>
      <c r="T1113" s="28"/>
      <c r="U1113" s="185"/>
      <c r="V1113" s="166"/>
      <c r="W1113" s="31"/>
      <c r="X1113" s="157"/>
      <c r="Y1113" s="157"/>
      <c r="Z1113" s="157"/>
      <c r="AA1113" s="157"/>
    </row>
    <row r="1114" spans="1:29" x14ac:dyDescent="0.25">
      <c r="A1114" s="249"/>
      <c r="B1114" s="257" t="s">
        <v>169</v>
      </c>
      <c r="C1114" s="24" t="s">
        <v>171</v>
      </c>
      <c r="D1114" s="24" t="s">
        <v>189</v>
      </c>
      <c r="E1114" s="81" t="s">
        <v>186</v>
      </c>
      <c r="F1114" s="166"/>
      <c r="G1114" s="166"/>
      <c r="H1114" s="166"/>
      <c r="I1114" s="166"/>
      <c r="J1114" s="166"/>
      <c r="K1114" s="166"/>
      <c r="L1114" s="166"/>
      <c r="M1114" s="166"/>
      <c r="N1114" s="166"/>
      <c r="O1114" s="81" t="str">
        <f t="shared" ref="O1114" si="392">IF((N1115=""),"",MAX(F1116:N1116))</f>
        <v/>
      </c>
      <c r="P1114" s="81" t="str">
        <f t="shared" ref="P1114" si="393">IF(N1115="","",MIN(F1116:N1116))</f>
        <v/>
      </c>
      <c r="Q1114" s="82" t="str">
        <f t="shared" ref="Q1114" si="394">IF((N1116=""),"",AVERAGE(F1116:N1116))</f>
        <v/>
      </c>
      <c r="R1114" s="82" t="str">
        <f t="shared" ref="R1114" si="395">IF((N1115=""),"",(O1114-P1114)/(O1114+P1114)*100)</f>
        <v/>
      </c>
      <c r="S1114" s="178" t="e">
        <f t="shared" ref="S1114" si="396">STDEV(F1116:N1116)</f>
        <v>#DIV/0!</v>
      </c>
      <c r="T1114" s="23" t="str">
        <f t="shared" ref="T1114" si="397">IF(N1115="","",IF(Q1114&gt;1940,IF(R1114&lt;8.3,IF(Q1114&lt;2180,"Pass","Fail"),"Fail"),"Fail"))</f>
        <v/>
      </c>
      <c r="U1114" s="188"/>
      <c r="V1114" s="166"/>
      <c r="W1114" s="31"/>
      <c r="X1114" s="155">
        <v>2000</v>
      </c>
      <c r="Y1114" s="155">
        <v>3000</v>
      </c>
      <c r="Z1114" s="155">
        <v>1940</v>
      </c>
      <c r="AA1114" s="155">
        <v>2180</v>
      </c>
      <c r="AC1114" s="51">
        <v>5.2</v>
      </c>
    </row>
    <row r="1115" spans="1:29" ht="16.100000000000001" x14ac:dyDescent="0.35">
      <c r="A1115" s="254"/>
      <c r="B1115" s="44"/>
      <c r="C1115" s="24"/>
      <c r="D1115" s="24"/>
      <c r="E1115" s="81" t="s">
        <v>187</v>
      </c>
      <c r="F1115" s="166"/>
      <c r="G1115" s="166"/>
      <c r="H1115" s="166"/>
      <c r="I1115" s="166"/>
      <c r="J1115" s="166"/>
      <c r="K1115" s="166"/>
      <c r="L1115" s="166"/>
      <c r="M1115" s="166"/>
      <c r="N1115" s="166"/>
      <c r="O1115" s="81"/>
      <c r="P1115" s="81"/>
      <c r="Q1115" s="82"/>
      <c r="R1115" s="82"/>
      <c r="S1115" s="178"/>
      <c r="T1115" s="23"/>
      <c r="U1115" s="179"/>
      <c r="V1115" s="212"/>
      <c r="W1115" s="31"/>
      <c r="X1115" s="157"/>
      <c r="Y1115" s="157"/>
      <c r="Z1115" s="157"/>
      <c r="AA1115" s="157"/>
    </row>
    <row r="1116" spans="1:29" ht="16.649999999999999" thickBot="1" x14ac:dyDescent="0.4">
      <c r="A1116" s="254"/>
      <c r="B1116" s="44"/>
      <c r="C1116" s="24"/>
      <c r="D1116" s="24"/>
      <c r="E1116" s="81" t="s">
        <v>190</v>
      </c>
      <c r="F1116" s="60" t="str">
        <f t="shared" ref="F1116:N1116" si="398">IF(((F1114="")*AND(F1115="")),"",(F1114-F1115)*3)</f>
        <v/>
      </c>
      <c r="G1116" s="60" t="str">
        <f t="shared" si="398"/>
        <v/>
      </c>
      <c r="H1116" s="60" t="str">
        <f t="shared" si="398"/>
        <v/>
      </c>
      <c r="I1116" s="60" t="str">
        <f t="shared" si="398"/>
        <v/>
      </c>
      <c r="J1116" s="60" t="str">
        <f t="shared" si="398"/>
        <v/>
      </c>
      <c r="K1116" s="60" t="str">
        <f t="shared" si="398"/>
        <v/>
      </c>
      <c r="L1116" s="60" t="str">
        <f t="shared" si="398"/>
        <v/>
      </c>
      <c r="M1116" s="60" t="str">
        <f t="shared" si="398"/>
        <v/>
      </c>
      <c r="N1116" s="60" t="str">
        <f t="shared" si="398"/>
        <v/>
      </c>
      <c r="O1116" s="81"/>
      <c r="P1116" s="81"/>
      <c r="Q1116" s="82"/>
      <c r="R1116" s="82"/>
      <c r="S1116" s="178"/>
      <c r="T1116" s="23"/>
      <c r="U1116" s="179"/>
      <c r="V1116" s="212"/>
      <c r="W1116" s="31"/>
      <c r="X1116" s="157"/>
      <c r="Y1116" s="157"/>
      <c r="Z1116" s="157"/>
      <c r="AA1116" s="157"/>
    </row>
    <row r="1117" spans="1:29" x14ac:dyDescent="0.25">
      <c r="A1117" s="249"/>
      <c r="B1117" s="260" t="s">
        <v>185</v>
      </c>
      <c r="C1117" s="24" t="s">
        <v>173</v>
      </c>
      <c r="D1117" s="24" t="s">
        <v>172</v>
      </c>
      <c r="E1117" s="81" t="s">
        <v>186</v>
      </c>
      <c r="F1117" s="166"/>
      <c r="G1117" s="166"/>
      <c r="H1117" s="166"/>
      <c r="I1117" s="166"/>
      <c r="J1117" s="166"/>
      <c r="K1117" s="166"/>
      <c r="L1117" s="166"/>
      <c r="M1117" s="166"/>
      <c r="N1117" s="166"/>
      <c r="O1117" s="81" t="str">
        <f t="shared" ref="O1117" si="399">IF((N1118=""),"",MAX(F1119:N1119))</f>
        <v/>
      </c>
      <c r="P1117" s="81" t="str">
        <f t="shared" ref="P1117" si="400">IF(N1118="","",MIN(F1119:N1119))</f>
        <v/>
      </c>
      <c r="Q1117" s="82" t="str">
        <f t="shared" ref="Q1117" si="401">IF((N1119=""),"",AVERAGE(F1119:N1119))</f>
        <v/>
      </c>
      <c r="R1117" s="82" t="str">
        <f t="shared" ref="R1117" si="402">IF((N1118=""),"",(O1117-P1117)/(O1117+P1117)*100)</f>
        <v/>
      </c>
      <c r="S1117" s="178" t="e">
        <f t="shared" ref="S1117" si="403">STDEV(F1119:N1119)</f>
        <v>#DIV/0!</v>
      </c>
      <c r="T1117" s="23" t="str">
        <f t="shared" ref="T1117" si="404">IF(N1118="","",IF(R1117&lt;16,IF(Q1117&gt;3200,IF(R1117,IF(Q1117&lt;5240,"Pass","Fail"),"Fail"),"Fail")))</f>
        <v/>
      </c>
      <c r="U1117" s="188"/>
      <c r="V1117" s="166"/>
      <c r="W1117" s="31"/>
      <c r="X1117" s="155">
        <v>4200</v>
      </c>
      <c r="Y1117" s="155">
        <v>5500</v>
      </c>
      <c r="Z1117" s="155">
        <v>3200</v>
      </c>
      <c r="AA1117" s="155">
        <v>5240</v>
      </c>
      <c r="AC1117" s="51">
        <v>16</v>
      </c>
    </row>
    <row r="1118" spans="1:29" ht="16.100000000000001" x14ac:dyDescent="0.35">
      <c r="A1118" s="254"/>
      <c r="B1118" s="44"/>
      <c r="C1118" s="24"/>
      <c r="D1118" s="24"/>
      <c r="E1118" s="81" t="s">
        <v>187</v>
      </c>
      <c r="F1118" s="166"/>
      <c r="G1118" s="166"/>
      <c r="H1118" s="166"/>
      <c r="I1118" s="166"/>
      <c r="J1118" s="166"/>
      <c r="K1118" s="166"/>
      <c r="L1118" s="166"/>
      <c r="M1118" s="166"/>
      <c r="N1118" s="166"/>
      <c r="O1118" s="166"/>
      <c r="P1118" s="81"/>
      <c r="Q1118" s="82"/>
      <c r="R1118" s="82"/>
      <c r="S1118" s="178"/>
      <c r="T1118" s="23"/>
      <c r="U1118" s="179"/>
      <c r="V1118" s="212"/>
      <c r="W1118" s="31"/>
      <c r="X1118" s="157"/>
      <c r="Y1118" s="157"/>
      <c r="Z1118" s="157"/>
      <c r="AA1118" s="157"/>
    </row>
    <row r="1119" spans="1:29" ht="22.75" thickBot="1" x14ac:dyDescent="0.4">
      <c r="A1119" s="255"/>
      <c r="B1119" s="83"/>
      <c r="C1119" s="84"/>
      <c r="D1119" s="84"/>
      <c r="E1119" s="81" t="s">
        <v>188</v>
      </c>
      <c r="F1119" s="73" t="str">
        <f t="shared" ref="F1119:N1119" si="405">IF(((F1117="")*AND(F1118="")),"",(F1117-F1118)*3)</f>
        <v/>
      </c>
      <c r="G1119" s="73" t="str">
        <f t="shared" si="405"/>
        <v/>
      </c>
      <c r="H1119" s="73" t="str">
        <f t="shared" si="405"/>
        <v/>
      </c>
      <c r="I1119" s="73" t="str">
        <f t="shared" si="405"/>
        <v/>
      </c>
      <c r="J1119" s="73" t="str">
        <f t="shared" si="405"/>
        <v/>
      </c>
      <c r="K1119" s="73" t="str">
        <f t="shared" si="405"/>
        <v/>
      </c>
      <c r="L1119" s="73" t="str">
        <f t="shared" si="405"/>
        <v/>
      </c>
      <c r="M1119" s="73" t="str">
        <f t="shared" si="405"/>
        <v/>
      </c>
      <c r="N1119" s="73" t="str">
        <f t="shared" si="405"/>
        <v/>
      </c>
      <c r="O1119" s="85"/>
      <c r="P1119" s="85"/>
      <c r="Q1119" s="86"/>
      <c r="R1119" s="86"/>
      <c r="S1119" s="181"/>
      <c r="T1119" s="182"/>
      <c r="U1119" s="183"/>
      <c r="V1119" s="212"/>
      <c r="W1119" s="31"/>
      <c r="X1119" s="157"/>
      <c r="Y1119" s="157"/>
      <c r="Z1119" s="157"/>
      <c r="AA1119" s="157"/>
    </row>
    <row r="1120" spans="1:29" x14ac:dyDescent="0.25">
      <c r="A1120" s="251"/>
      <c r="B1120" s="259" t="s">
        <v>174</v>
      </c>
      <c r="C1120" s="64" t="s">
        <v>176</v>
      </c>
      <c r="D1120" s="64" t="s">
        <v>175</v>
      </c>
      <c r="E1120" s="81" t="s">
        <v>186</v>
      </c>
      <c r="F1120" s="165"/>
      <c r="G1120" s="165"/>
      <c r="H1120" s="165"/>
      <c r="I1120" s="165"/>
      <c r="J1120" s="165"/>
      <c r="K1120" s="165"/>
      <c r="L1120" s="165"/>
      <c r="M1120" s="165"/>
      <c r="N1120" s="165"/>
      <c r="O1120" s="79" t="str">
        <f t="shared" ref="O1120" si="406">IF((N1121=""),"",MAX(F1122:N1122))</f>
        <v/>
      </c>
      <c r="P1120" s="79" t="str">
        <f t="shared" ref="P1120" si="407">IF(N1121="","",MIN(F1122:N1122))</f>
        <v/>
      </c>
      <c r="Q1120" s="80" t="str">
        <f t="shared" ref="Q1120" si="408">IF((N1122=""),"",AVERAGE(F1122:N1122))</f>
        <v/>
      </c>
      <c r="R1120" s="80" t="str">
        <f t="shared" ref="R1120" si="409">IF((N1121=""),"",(O1120-P1120)/(O1120+P1120)*100)</f>
        <v/>
      </c>
      <c r="S1120" s="170" t="e">
        <f t="shared" ref="S1120" si="410">STDEV(F1122:N1122)</f>
        <v>#DIV/0!</v>
      </c>
      <c r="T1120" s="176" t="str">
        <f t="shared" ref="T1120" si="411">IF(N1121="","",IF(Q1120&gt;3650,IF(R1120&lt;7,IF(Q1120&lt;4450,"Pass","Fail"),"Fail"),"Fail"))</f>
        <v/>
      </c>
      <c r="U1120" s="188"/>
      <c r="V1120" s="166"/>
      <c r="W1120" s="31"/>
      <c r="X1120" s="155">
        <v>3650</v>
      </c>
      <c r="Y1120" s="155">
        <v>4450</v>
      </c>
      <c r="Z1120" s="155">
        <v>3700</v>
      </c>
      <c r="AA1120" s="155">
        <v>4100</v>
      </c>
      <c r="AB1120" s="51">
        <v>7</v>
      </c>
      <c r="AC1120" s="51">
        <v>6.5</v>
      </c>
    </row>
    <row r="1121" spans="1:29" ht="16.100000000000001" x14ac:dyDescent="0.35">
      <c r="A1121" s="254"/>
      <c r="B1121" s="44"/>
      <c r="C1121" s="24"/>
      <c r="D1121" s="24"/>
      <c r="E1121" s="81" t="s">
        <v>187</v>
      </c>
      <c r="F1121" s="166"/>
      <c r="G1121" s="166"/>
      <c r="H1121" s="166"/>
      <c r="I1121" s="166"/>
      <c r="J1121" s="166"/>
      <c r="K1121" s="166"/>
      <c r="L1121" s="166"/>
      <c r="M1121" s="166"/>
      <c r="N1121" s="166"/>
      <c r="O1121" s="81"/>
      <c r="P1121" s="81"/>
      <c r="Q1121" s="82"/>
      <c r="R1121" s="82"/>
      <c r="S1121" s="178"/>
      <c r="T1121" s="28"/>
      <c r="U1121" s="185"/>
      <c r="V1121" s="166"/>
      <c r="W1121" s="31"/>
      <c r="X1121" s="157"/>
      <c r="Y1121" s="157"/>
      <c r="Z1121" s="157"/>
      <c r="AA1121" s="157"/>
    </row>
    <row r="1122" spans="1:29" ht="22.75" thickBot="1" x14ac:dyDescent="0.4">
      <c r="A1122" s="254"/>
      <c r="B1122" s="44"/>
      <c r="C1122" s="24"/>
      <c r="D1122" s="24"/>
      <c r="E1122" s="81" t="s">
        <v>188</v>
      </c>
      <c r="F1122" s="60" t="str">
        <f t="shared" ref="F1122:N1122" si="412">IF(((F1120="")*AND(F1121="")),"",(F1120-F1121)*2)</f>
        <v/>
      </c>
      <c r="G1122" s="60" t="str">
        <f t="shared" si="412"/>
        <v/>
      </c>
      <c r="H1122" s="60" t="str">
        <f t="shared" si="412"/>
        <v/>
      </c>
      <c r="I1122" s="60" t="str">
        <f t="shared" si="412"/>
        <v/>
      </c>
      <c r="J1122" s="60" t="str">
        <f t="shared" si="412"/>
        <v/>
      </c>
      <c r="K1122" s="60" t="str">
        <f t="shared" si="412"/>
        <v/>
      </c>
      <c r="L1122" s="60" t="str">
        <f t="shared" si="412"/>
        <v/>
      </c>
      <c r="M1122" s="60" t="str">
        <f t="shared" si="412"/>
        <v/>
      </c>
      <c r="N1122" s="60" t="str">
        <f t="shared" si="412"/>
        <v/>
      </c>
      <c r="O1122" s="81"/>
      <c r="P1122" s="81"/>
      <c r="Q1122" s="82"/>
      <c r="R1122" s="82"/>
      <c r="S1122" s="178"/>
      <c r="T1122" s="28"/>
      <c r="U1122" s="185"/>
      <c r="V1122" s="166"/>
      <c r="W1122" s="31"/>
      <c r="X1122" s="157"/>
      <c r="Y1122" s="157"/>
      <c r="Z1122" s="157"/>
      <c r="AA1122" s="157"/>
    </row>
    <row r="1123" spans="1:29" x14ac:dyDescent="0.25">
      <c r="A1123" s="249"/>
      <c r="B1123" s="257" t="s">
        <v>169</v>
      </c>
      <c r="C1123" s="24" t="s">
        <v>171</v>
      </c>
      <c r="D1123" s="24" t="s">
        <v>189</v>
      </c>
      <c r="E1123" s="81" t="s">
        <v>186</v>
      </c>
      <c r="F1123" s="166"/>
      <c r="G1123" s="166"/>
      <c r="H1123" s="166"/>
      <c r="I1123" s="166"/>
      <c r="J1123" s="166"/>
      <c r="K1123" s="166"/>
      <c r="L1123" s="166"/>
      <c r="M1123" s="166"/>
      <c r="N1123" s="166"/>
      <c r="O1123" s="81" t="str">
        <f t="shared" ref="O1123" si="413">IF((N1124=""),"",MAX(F1125:N1125))</f>
        <v/>
      </c>
      <c r="P1123" s="81" t="str">
        <f t="shared" ref="P1123" si="414">IF(N1124="","",MIN(F1125:N1125))</f>
        <v/>
      </c>
      <c r="Q1123" s="82" t="str">
        <f t="shared" ref="Q1123" si="415">IF((N1125=""),"",AVERAGE(F1125:N1125))</f>
        <v/>
      </c>
      <c r="R1123" s="82" t="str">
        <f t="shared" ref="R1123" si="416">IF((N1124=""),"",(O1123-P1123)/(O1123+P1123)*100)</f>
        <v/>
      </c>
      <c r="S1123" s="178" t="e">
        <f t="shared" ref="S1123" si="417">STDEV(F1125:N1125)</f>
        <v>#DIV/0!</v>
      </c>
      <c r="T1123" s="23" t="str">
        <f t="shared" ref="T1123" si="418">IF(N1124="","",IF(Q1123&gt;1940,IF(R1123&lt;8.3,IF(Q1123&lt;2180,"Pass","Fail"),"Fail"),"Fail"))</f>
        <v/>
      </c>
      <c r="U1123" s="188"/>
      <c r="V1123" s="166"/>
      <c r="W1123" s="31"/>
      <c r="X1123" s="155">
        <v>2000</v>
      </c>
      <c r="Y1123" s="155">
        <v>3000</v>
      </c>
      <c r="Z1123" s="155">
        <v>1940</v>
      </c>
      <c r="AA1123" s="155">
        <v>2180</v>
      </c>
      <c r="AC1123" s="51">
        <v>5.2</v>
      </c>
    </row>
    <row r="1124" spans="1:29" ht="16.100000000000001" x14ac:dyDescent="0.35">
      <c r="A1124" s="254"/>
      <c r="B1124" s="44"/>
      <c r="C1124" s="24"/>
      <c r="D1124" s="24"/>
      <c r="E1124" s="81" t="s">
        <v>187</v>
      </c>
      <c r="F1124" s="166"/>
      <c r="G1124" s="166"/>
      <c r="H1124" s="166"/>
      <c r="I1124" s="166"/>
      <c r="J1124" s="166"/>
      <c r="K1124" s="166"/>
      <c r="L1124" s="166"/>
      <c r="M1124" s="166"/>
      <c r="N1124" s="166"/>
      <c r="O1124" s="81"/>
      <c r="P1124" s="81"/>
      <c r="Q1124" s="82"/>
      <c r="R1124" s="82"/>
      <c r="S1124" s="178"/>
      <c r="T1124" s="23"/>
      <c r="U1124" s="179"/>
      <c r="V1124" s="212"/>
      <c r="W1124" s="31"/>
      <c r="X1124" s="157"/>
      <c r="Y1124" s="157"/>
      <c r="Z1124" s="157"/>
      <c r="AA1124" s="157"/>
    </row>
    <row r="1125" spans="1:29" ht="16.649999999999999" thickBot="1" x14ac:dyDescent="0.4">
      <c r="A1125" s="254"/>
      <c r="B1125" s="44"/>
      <c r="C1125" s="24"/>
      <c r="D1125" s="24"/>
      <c r="E1125" s="81" t="s">
        <v>190</v>
      </c>
      <c r="F1125" s="60" t="str">
        <f t="shared" ref="F1125:N1125" si="419">IF(((F1123="")*AND(F1124="")),"",(F1123-F1124)*3)</f>
        <v/>
      </c>
      <c r="G1125" s="60" t="str">
        <f t="shared" si="419"/>
        <v/>
      </c>
      <c r="H1125" s="60" t="str">
        <f t="shared" si="419"/>
        <v/>
      </c>
      <c r="I1125" s="60" t="str">
        <f t="shared" si="419"/>
        <v/>
      </c>
      <c r="J1125" s="60" t="str">
        <f t="shared" si="419"/>
        <v/>
      </c>
      <c r="K1125" s="60" t="str">
        <f t="shared" si="419"/>
        <v/>
      </c>
      <c r="L1125" s="60" t="str">
        <f t="shared" si="419"/>
        <v/>
      </c>
      <c r="M1125" s="60" t="str">
        <f t="shared" si="419"/>
        <v/>
      </c>
      <c r="N1125" s="60" t="str">
        <f t="shared" si="419"/>
        <v/>
      </c>
      <c r="O1125" s="81"/>
      <c r="P1125" s="81"/>
      <c r="Q1125" s="82"/>
      <c r="R1125" s="82"/>
      <c r="S1125" s="178"/>
      <c r="T1125" s="23"/>
      <c r="U1125" s="179"/>
      <c r="V1125" s="212"/>
      <c r="W1125" s="31"/>
      <c r="X1125" s="157"/>
      <c r="Y1125" s="157"/>
      <c r="Z1125" s="157"/>
      <c r="AA1125" s="157"/>
    </row>
    <row r="1126" spans="1:29" x14ac:dyDescent="0.25">
      <c r="A1126" s="249"/>
      <c r="B1126" s="260" t="s">
        <v>185</v>
      </c>
      <c r="C1126" s="24" t="s">
        <v>173</v>
      </c>
      <c r="D1126" s="24" t="s">
        <v>172</v>
      </c>
      <c r="E1126" s="81" t="s">
        <v>186</v>
      </c>
      <c r="F1126" s="166"/>
      <c r="G1126" s="166"/>
      <c r="H1126" s="166"/>
      <c r="I1126" s="166"/>
      <c r="J1126" s="166"/>
      <c r="K1126" s="166"/>
      <c r="L1126" s="166"/>
      <c r="M1126" s="166"/>
      <c r="N1126" s="166"/>
      <c r="O1126" s="81" t="str">
        <f t="shared" ref="O1126" si="420">IF((N1127=""),"",MAX(F1128:N1128))</f>
        <v/>
      </c>
      <c r="P1126" s="81" t="str">
        <f t="shared" ref="P1126" si="421">IF(N1127="","",MIN(F1128:N1128))</f>
        <v/>
      </c>
      <c r="Q1126" s="82" t="str">
        <f t="shared" ref="Q1126" si="422">IF((N1128=""),"",AVERAGE(F1128:N1128))</f>
        <v/>
      </c>
      <c r="R1126" s="82" t="str">
        <f t="shared" ref="R1126" si="423">IF((N1127=""),"",(O1126-P1126)/(O1126+P1126)*100)</f>
        <v/>
      </c>
      <c r="S1126" s="178" t="e">
        <f t="shared" ref="S1126" si="424">STDEV(F1128:N1128)</f>
        <v>#DIV/0!</v>
      </c>
      <c r="T1126" s="23" t="str">
        <f t="shared" ref="T1126" si="425">IF(N1127="","",IF(R1126&lt;16,IF(Q1126&gt;3200,IF(R1126,IF(Q1126&lt;5240,"Pass","Fail"),"Fail"),"Fail")))</f>
        <v/>
      </c>
      <c r="U1126" s="188"/>
      <c r="V1126" s="166"/>
      <c r="W1126" s="31"/>
      <c r="X1126" s="155">
        <v>4200</v>
      </c>
      <c r="Y1126" s="155">
        <v>5500</v>
      </c>
      <c r="Z1126" s="155">
        <v>3200</v>
      </c>
      <c r="AA1126" s="155">
        <v>5240</v>
      </c>
      <c r="AC1126" s="51">
        <v>16</v>
      </c>
    </row>
    <row r="1127" spans="1:29" ht="16.100000000000001" x14ac:dyDescent="0.35">
      <c r="A1127" s="254"/>
      <c r="B1127" s="44"/>
      <c r="C1127" s="24"/>
      <c r="D1127" s="24"/>
      <c r="E1127" s="81" t="s">
        <v>187</v>
      </c>
      <c r="F1127" s="166"/>
      <c r="G1127" s="166"/>
      <c r="H1127" s="166"/>
      <c r="I1127" s="166"/>
      <c r="J1127" s="166"/>
      <c r="K1127" s="166"/>
      <c r="L1127" s="166"/>
      <c r="M1127" s="166"/>
      <c r="N1127" s="166"/>
      <c r="O1127" s="166"/>
      <c r="P1127" s="81"/>
      <c r="Q1127" s="82"/>
      <c r="R1127" s="82"/>
      <c r="S1127" s="178"/>
      <c r="T1127" s="23"/>
      <c r="U1127" s="179"/>
      <c r="V1127" s="212"/>
      <c r="W1127" s="31"/>
      <c r="X1127" s="157"/>
      <c r="Y1127" s="157"/>
      <c r="Z1127" s="157"/>
      <c r="AA1127" s="157"/>
    </row>
    <row r="1128" spans="1:29" ht="22.75" thickBot="1" x14ac:dyDescent="0.4">
      <c r="A1128" s="255"/>
      <c r="B1128" s="83"/>
      <c r="C1128" s="84"/>
      <c r="D1128" s="84"/>
      <c r="E1128" s="81" t="s">
        <v>188</v>
      </c>
      <c r="F1128" s="73" t="str">
        <f t="shared" ref="F1128:N1128" si="426">IF(((F1126="")*AND(F1127="")),"",(F1126-F1127)*3)</f>
        <v/>
      </c>
      <c r="G1128" s="73" t="str">
        <f t="shared" si="426"/>
        <v/>
      </c>
      <c r="H1128" s="73" t="str">
        <f t="shared" si="426"/>
        <v/>
      </c>
      <c r="I1128" s="73" t="str">
        <f t="shared" si="426"/>
        <v/>
      </c>
      <c r="J1128" s="73" t="str">
        <f t="shared" si="426"/>
        <v/>
      </c>
      <c r="K1128" s="73" t="str">
        <f t="shared" si="426"/>
        <v/>
      </c>
      <c r="L1128" s="73" t="str">
        <f t="shared" si="426"/>
        <v/>
      </c>
      <c r="M1128" s="73" t="str">
        <f t="shared" si="426"/>
        <v/>
      </c>
      <c r="N1128" s="73" t="str">
        <f t="shared" si="426"/>
        <v/>
      </c>
      <c r="O1128" s="85"/>
      <c r="P1128" s="85"/>
      <c r="Q1128" s="86"/>
      <c r="R1128" s="86"/>
      <c r="S1128" s="181"/>
      <c r="T1128" s="182"/>
      <c r="U1128" s="183"/>
      <c r="V1128" s="212"/>
      <c r="W1128" s="31"/>
      <c r="X1128" s="157"/>
      <c r="Y1128" s="157"/>
      <c r="Z1128" s="157"/>
      <c r="AA1128" s="157"/>
    </row>
    <row r="1129" spans="1:29" x14ac:dyDescent="0.25">
      <c r="A1129" s="251"/>
      <c r="B1129" s="259" t="s">
        <v>174</v>
      </c>
      <c r="C1129" s="64" t="s">
        <v>176</v>
      </c>
      <c r="D1129" s="64" t="s">
        <v>175</v>
      </c>
      <c r="E1129" s="81" t="s">
        <v>186</v>
      </c>
      <c r="F1129" s="165"/>
      <c r="G1129" s="165"/>
      <c r="H1129" s="165"/>
      <c r="I1129" s="165"/>
      <c r="J1129" s="165"/>
      <c r="K1129" s="165"/>
      <c r="L1129" s="165"/>
      <c r="M1129" s="165"/>
      <c r="N1129" s="165"/>
      <c r="O1129" s="79" t="str">
        <f t="shared" ref="O1129" si="427">IF((N1130=""),"",MAX(F1131:N1131))</f>
        <v/>
      </c>
      <c r="P1129" s="79" t="str">
        <f t="shared" ref="P1129" si="428">IF(N1130="","",MIN(F1131:N1131))</f>
        <v/>
      </c>
      <c r="Q1129" s="80" t="str">
        <f t="shared" ref="Q1129" si="429">IF((N1131=""),"",AVERAGE(F1131:N1131))</f>
        <v/>
      </c>
      <c r="R1129" s="80" t="str">
        <f t="shared" ref="R1129" si="430">IF((N1130=""),"",(O1129-P1129)/(O1129+P1129)*100)</f>
        <v/>
      </c>
      <c r="S1129" s="170" t="e">
        <f t="shared" ref="S1129" si="431">STDEV(F1131:N1131)</f>
        <v>#DIV/0!</v>
      </c>
      <c r="T1129" s="176" t="str">
        <f t="shared" ref="T1129" si="432">IF(N1130="","",IF(Q1129&gt;3650,IF(R1129&lt;7,IF(Q1129&lt;4450,"Pass","Fail"),"Fail"),"Fail"))</f>
        <v/>
      </c>
      <c r="U1129" s="188"/>
      <c r="V1129" s="166"/>
      <c r="W1129" s="31"/>
      <c r="X1129" s="155">
        <v>3650</v>
      </c>
      <c r="Y1129" s="155">
        <v>4450</v>
      </c>
      <c r="Z1129" s="155">
        <v>3700</v>
      </c>
      <c r="AA1129" s="155">
        <v>4100</v>
      </c>
      <c r="AB1129" s="51">
        <v>7</v>
      </c>
      <c r="AC1129" s="51">
        <v>6.5</v>
      </c>
    </row>
    <row r="1130" spans="1:29" ht="16.100000000000001" x14ac:dyDescent="0.35">
      <c r="A1130" s="254"/>
      <c r="B1130" s="44"/>
      <c r="C1130" s="24"/>
      <c r="D1130" s="24"/>
      <c r="E1130" s="81" t="s">
        <v>187</v>
      </c>
      <c r="F1130" s="166"/>
      <c r="G1130" s="166"/>
      <c r="H1130" s="166"/>
      <c r="I1130" s="166"/>
      <c r="J1130" s="166"/>
      <c r="K1130" s="166"/>
      <c r="L1130" s="166"/>
      <c r="M1130" s="166"/>
      <c r="N1130" s="166"/>
      <c r="O1130" s="81"/>
      <c r="P1130" s="81"/>
      <c r="Q1130" s="82"/>
      <c r="R1130" s="82"/>
      <c r="S1130" s="178"/>
      <c r="T1130" s="28"/>
      <c r="U1130" s="185"/>
      <c r="V1130" s="166"/>
      <c r="W1130" s="31"/>
      <c r="X1130" s="157"/>
      <c r="Y1130" s="157"/>
      <c r="Z1130" s="157"/>
      <c r="AA1130" s="157"/>
    </row>
    <row r="1131" spans="1:29" ht="22.75" thickBot="1" x14ac:dyDescent="0.4">
      <c r="A1131" s="254"/>
      <c r="B1131" s="44"/>
      <c r="C1131" s="24"/>
      <c r="D1131" s="24"/>
      <c r="E1131" s="81" t="s">
        <v>188</v>
      </c>
      <c r="F1131" s="60" t="str">
        <f t="shared" ref="F1131:N1131" si="433">IF(((F1129="")*AND(F1130="")),"",(F1129-F1130)*2)</f>
        <v/>
      </c>
      <c r="G1131" s="60" t="str">
        <f t="shared" si="433"/>
        <v/>
      </c>
      <c r="H1131" s="60" t="str">
        <f t="shared" si="433"/>
        <v/>
      </c>
      <c r="I1131" s="60" t="str">
        <f t="shared" si="433"/>
        <v/>
      </c>
      <c r="J1131" s="60" t="str">
        <f t="shared" si="433"/>
        <v/>
      </c>
      <c r="K1131" s="60" t="str">
        <f t="shared" si="433"/>
        <v/>
      </c>
      <c r="L1131" s="60" t="str">
        <f t="shared" si="433"/>
        <v/>
      </c>
      <c r="M1131" s="60" t="str">
        <f t="shared" si="433"/>
        <v/>
      </c>
      <c r="N1131" s="60" t="str">
        <f t="shared" si="433"/>
        <v/>
      </c>
      <c r="O1131" s="81"/>
      <c r="P1131" s="81"/>
      <c r="Q1131" s="82"/>
      <c r="R1131" s="82"/>
      <c r="S1131" s="178"/>
      <c r="T1131" s="28"/>
      <c r="U1131" s="185"/>
      <c r="V1131" s="166"/>
      <c r="W1131" s="31"/>
      <c r="X1131" s="157"/>
      <c r="Y1131" s="157"/>
      <c r="Z1131" s="157"/>
      <c r="AA1131" s="157"/>
    </row>
    <row r="1132" spans="1:29" x14ac:dyDescent="0.25">
      <c r="A1132" s="249"/>
      <c r="B1132" s="257" t="s">
        <v>169</v>
      </c>
      <c r="C1132" s="24" t="s">
        <v>171</v>
      </c>
      <c r="D1132" s="24" t="s">
        <v>189</v>
      </c>
      <c r="E1132" s="81" t="s">
        <v>186</v>
      </c>
      <c r="F1132" s="166"/>
      <c r="G1132" s="166"/>
      <c r="H1132" s="166"/>
      <c r="I1132" s="166"/>
      <c r="J1132" s="166"/>
      <c r="K1132" s="166"/>
      <c r="L1132" s="166"/>
      <c r="M1132" s="166"/>
      <c r="N1132" s="166"/>
      <c r="O1132" s="81" t="str">
        <f t="shared" ref="O1132" si="434">IF((N1133=""),"",MAX(F1134:N1134))</f>
        <v/>
      </c>
      <c r="P1132" s="81" t="str">
        <f t="shared" ref="P1132" si="435">IF(N1133="","",MIN(F1134:N1134))</f>
        <v/>
      </c>
      <c r="Q1132" s="82" t="str">
        <f t="shared" ref="Q1132" si="436">IF((N1134=""),"",AVERAGE(F1134:N1134))</f>
        <v/>
      </c>
      <c r="R1132" s="82" t="str">
        <f t="shared" ref="R1132" si="437">IF((N1133=""),"",(O1132-P1132)/(O1132+P1132)*100)</f>
        <v/>
      </c>
      <c r="S1132" s="178" t="e">
        <f t="shared" ref="S1132" si="438">STDEV(F1134:N1134)</f>
        <v>#DIV/0!</v>
      </c>
      <c r="T1132" s="23" t="str">
        <f t="shared" ref="T1132" si="439">IF(N1133="","",IF(Q1132&gt;1940,IF(R1132&lt;8.3,IF(Q1132&lt;2180,"Pass","Fail"),"Fail"),"Fail"))</f>
        <v/>
      </c>
      <c r="U1132" s="188"/>
      <c r="V1132" s="166"/>
      <c r="W1132" s="31"/>
      <c r="X1132" s="155">
        <v>2000</v>
      </c>
      <c r="Y1132" s="155">
        <v>3000</v>
      </c>
      <c r="Z1132" s="155">
        <v>1940</v>
      </c>
      <c r="AA1132" s="155">
        <v>2180</v>
      </c>
      <c r="AC1132" s="51">
        <v>5.2</v>
      </c>
    </row>
    <row r="1133" spans="1:29" ht="16.100000000000001" x14ac:dyDescent="0.35">
      <c r="A1133" s="254"/>
      <c r="B1133" s="44"/>
      <c r="C1133" s="24"/>
      <c r="D1133" s="24"/>
      <c r="E1133" s="81" t="s">
        <v>187</v>
      </c>
      <c r="F1133" s="166"/>
      <c r="G1133" s="166"/>
      <c r="H1133" s="166"/>
      <c r="I1133" s="166"/>
      <c r="J1133" s="166"/>
      <c r="K1133" s="166"/>
      <c r="L1133" s="166"/>
      <c r="M1133" s="166"/>
      <c r="N1133" s="166"/>
      <c r="O1133" s="81"/>
      <c r="P1133" s="81"/>
      <c r="Q1133" s="82"/>
      <c r="R1133" s="82"/>
      <c r="S1133" s="178"/>
      <c r="T1133" s="23"/>
      <c r="U1133" s="179"/>
      <c r="V1133" s="212"/>
      <c r="W1133" s="31"/>
      <c r="X1133" s="157"/>
      <c r="Y1133" s="157"/>
      <c r="Z1133" s="157"/>
      <c r="AA1133" s="157"/>
    </row>
    <row r="1134" spans="1:29" ht="16.649999999999999" thickBot="1" x14ac:dyDescent="0.4">
      <c r="A1134" s="254"/>
      <c r="B1134" s="44"/>
      <c r="C1134" s="24"/>
      <c r="D1134" s="24"/>
      <c r="E1134" s="81" t="s">
        <v>190</v>
      </c>
      <c r="F1134" s="60" t="str">
        <f t="shared" ref="F1134:N1134" si="440">IF(((F1132="")*AND(F1133="")),"",(F1132-F1133)*3)</f>
        <v/>
      </c>
      <c r="G1134" s="60" t="str">
        <f t="shared" si="440"/>
        <v/>
      </c>
      <c r="H1134" s="60" t="str">
        <f t="shared" si="440"/>
        <v/>
      </c>
      <c r="I1134" s="60" t="str">
        <f t="shared" si="440"/>
        <v/>
      </c>
      <c r="J1134" s="60" t="str">
        <f t="shared" si="440"/>
        <v/>
      </c>
      <c r="K1134" s="60" t="str">
        <f t="shared" si="440"/>
        <v/>
      </c>
      <c r="L1134" s="60" t="str">
        <f t="shared" si="440"/>
        <v/>
      </c>
      <c r="M1134" s="60" t="str">
        <f t="shared" si="440"/>
        <v/>
      </c>
      <c r="N1134" s="60" t="str">
        <f t="shared" si="440"/>
        <v/>
      </c>
      <c r="O1134" s="81"/>
      <c r="P1134" s="81"/>
      <c r="Q1134" s="82"/>
      <c r="R1134" s="82"/>
      <c r="S1134" s="178"/>
      <c r="T1134" s="23"/>
      <c r="U1134" s="179"/>
      <c r="V1134" s="212"/>
      <c r="W1134" s="31"/>
      <c r="X1134" s="157"/>
      <c r="Y1134" s="157"/>
      <c r="Z1134" s="157"/>
      <c r="AA1134" s="157"/>
    </row>
    <row r="1135" spans="1:29" x14ac:dyDescent="0.25">
      <c r="A1135" s="249"/>
      <c r="B1135" s="260" t="s">
        <v>185</v>
      </c>
      <c r="C1135" s="24" t="s">
        <v>173</v>
      </c>
      <c r="D1135" s="24" t="s">
        <v>172</v>
      </c>
      <c r="E1135" s="81" t="s">
        <v>186</v>
      </c>
      <c r="F1135" s="166"/>
      <c r="G1135" s="166"/>
      <c r="H1135" s="166"/>
      <c r="I1135" s="166"/>
      <c r="J1135" s="166"/>
      <c r="K1135" s="166"/>
      <c r="L1135" s="166"/>
      <c r="M1135" s="166"/>
      <c r="N1135" s="166"/>
      <c r="O1135" s="81" t="str">
        <f t="shared" ref="O1135" si="441">IF((N1136=""),"",MAX(F1137:N1137))</f>
        <v/>
      </c>
      <c r="P1135" s="81" t="str">
        <f t="shared" ref="P1135" si="442">IF(N1136="","",MIN(F1137:N1137))</f>
        <v/>
      </c>
      <c r="Q1135" s="82" t="str">
        <f t="shared" ref="Q1135" si="443">IF((N1137=""),"",AVERAGE(F1137:N1137))</f>
        <v/>
      </c>
      <c r="R1135" s="82" t="str">
        <f t="shared" ref="R1135" si="444">IF((N1136=""),"",(O1135-P1135)/(O1135+P1135)*100)</f>
        <v/>
      </c>
      <c r="S1135" s="178" t="e">
        <f t="shared" ref="S1135" si="445">STDEV(F1137:N1137)</f>
        <v>#DIV/0!</v>
      </c>
      <c r="T1135" s="23" t="str">
        <f t="shared" ref="T1135" si="446">IF(N1136="","",IF(R1135&lt;16,IF(Q1135&gt;3200,IF(R1135,IF(Q1135&lt;5240,"Pass","Fail"),"Fail"),"Fail")))</f>
        <v/>
      </c>
      <c r="U1135" s="188"/>
      <c r="V1135" s="166"/>
      <c r="W1135" s="31"/>
      <c r="X1135" s="155">
        <v>4200</v>
      </c>
      <c r="Y1135" s="155">
        <v>5500</v>
      </c>
      <c r="Z1135" s="155">
        <v>3200</v>
      </c>
      <c r="AA1135" s="155">
        <v>5240</v>
      </c>
      <c r="AC1135" s="51">
        <v>16</v>
      </c>
    </row>
    <row r="1136" spans="1:29" ht="16.100000000000001" x14ac:dyDescent="0.35">
      <c r="A1136" s="254"/>
      <c r="B1136" s="44"/>
      <c r="C1136" s="24"/>
      <c r="D1136" s="24"/>
      <c r="E1136" s="81" t="s">
        <v>187</v>
      </c>
      <c r="F1136" s="166"/>
      <c r="G1136" s="166"/>
      <c r="H1136" s="166"/>
      <c r="I1136" s="166"/>
      <c r="J1136" s="166"/>
      <c r="K1136" s="166"/>
      <c r="L1136" s="166"/>
      <c r="M1136" s="166"/>
      <c r="N1136" s="166"/>
      <c r="O1136" s="166"/>
      <c r="P1136" s="81"/>
      <c r="Q1136" s="82"/>
      <c r="R1136" s="82"/>
      <c r="S1136" s="178"/>
      <c r="T1136" s="23"/>
      <c r="U1136" s="179"/>
      <c r="V1136" s="212"/>
      <c r="W1136" s="31"/>
      <c r="X1136" s="157"/>
      <c r="Y1136" s="157"/>
      <c r="Z1136" s="157"/>
      <c r="AA1136" s="157"/>
    </row>
    <row r="1137" spans="1:29" ht="22.75" thickBot="1" x14ac:dyDescent="0.4">
      <c r="A1137" s="255"/>
      <c r="B1137" s="83"/>
      <c r="C1137" s="84"/>
      <c r="D1137" s="84"/>
      <c r="E1137" s="81" t="s">
        <v>188</v>
      </c>
      <c r="F1137" s="73" t="str">
        <f t="shared" ref="F1137:N1137" si="447">IF(((F1135="")*AND(F1136="")),"",(F1135-F1136)*3)</f>
        <v/>
      </c>
      <c r="G1137" s="73" t="str">
        <f t="shared" si="447"/>
        <v/>
      </c>
      <c r="H1137" s="73" t="str">
        <f t="shared" si="447"/>
        <v/>
      </c>
      <c r="I1137" s="73" t="str">
        <f t="shared" si="447"/>
        <v/>
      </c>
      <c r="J1137" s="73" t="str">
        <f t="shared" si="447"/>
        <v/>
      </c>
      <c r="K1137" s="73" t="str">
        <f t="shared" si="447"/>
        <v/>
      </c>
      <c r="L1137" s="73" t="str">
        <f t="shared" si="447"/>
        <v/>
      </c>
      <c r="M1137" s="73" t="str">
        <f t="shared" si="447"/>
        <v/>
      </c>
      <c r="N1137" s="73" t="str">
        <f t="shared" si="447"/>
        <v/>
      </c>
      <c r="O1137" s="85"/>
      <c r="P1137" s="85"/>
      <c r="Q1137" s="86"/>
      <c r="R1137" s="86"/>
      <c r="S1137" s="181"/>
      <c r="T1137" s="182"/>
      <c r="U1137" s="183"/>
      <c r="V1137" s="212"/>
      <c r="W1137" s="31"/>
      <c r="X1137" s="157"/>
      <c r="Y1137" s="157"/>
      <c r="Z1137" s="157"/>
      <c r="AA1137" s="157"/>
    </row>
    <row r="1138" spans="1:29" x14ac:dyDescent="0.25">
      <c r="A1138" s="251"/>
      <c r="B1138" s="259" t="s">
        <v>174</v>
      </c>
      <c r="C1138" s="64" t="s">
        <v>176</v>
      </c>
      <c r="D1138" s="64" t="s">
        <v>175</v>
      </c>
      <c r="E1138" s="81" t="s">
        <v>186</v>
      </c>
      <c r="F1138" s="165"/>
      <c r="G1138" s="165"/>
      <c r="H1138" s="165"/>
      <c r="I1138" s="165"/>
      <c r="J1138" s="165"/>
      <c r="K1138" s="165"/>
      <c r="L1138" s="165"/>
      <c r="M1138" s="165"/>
      <c r="N1138" s="165"/>
      <c r="O1138" s="79" t="str">
        <f t="shared" ref="O1138" si="448">IF((N1139=""),"",MAX(F1140:N1140))</f>
        <v/>
      </c>
      <c r="P1138" s="79" t="str">
        <f t="shared" ref="P1138" si="449">IF(N1139="","",MIN(F1140:N1140))</f>
        <v/>
      </c>
      <c r="Q1138" s="80" t="str">
        <f t="shared" ref="Q1138" si="450">IF((N1140=""),"",AVERAGE(F1140:N1140))</f>
        <v/>
      </c>
      <c r="R1138" s="80" t="str">
        <f t="shared" ref="R1138" si="451">IF((N1139=""),"",(O1138-P1138)/(O1138+P1138)*100)</f>
        <v/>
      </c>
      <c r="S1138" s="170" t="e">
        <f t="shared" ref="S1138" si="452">STDEV(F1140:N1140)</f>
        <v>#DIV/0!</v>
      </c>
      <c r="T1138" s="176" t="str">
        <f t="shared" ref="T1138" si="453">IF(N1139="","",IF(Q1138&gt;3650,IF(R1138&lt;7,IF(Q1138&lt;4450,"Pass","Fail"),"Fail"),"Fail"))</f>
        <v/>
      </c>
      <c r="U1138" s="188"/>
      <c r="V1138" s="166"/>
      <c r="W1138" s="31"/>
      <c r="X1138" s="155">
        <v>3650</v>
      </c>
      <c r="Y1138" s="155">
        <v>4450</v>
      </c>
      <c r="Z1138" s="155">
        <v>3700</v>
      </c>
      <c r="AA1138" s="155">
        <v>4100</v>
      </c>
      <c r="AB1138" s="51">
        <v>7</v>
      </c>
      <c r="AC1138" s="51">
        <v>6.5</v>
      </c>
    </row>
    <row r="1139" spans="1:29" ht="16.100000000000001" x14ac:dyDescent="0.35">
      <c r="A1139" s="254"/>
      <c r="B1139" s="44"/>
      <c r="C1139" s="24"/>
      <c r="D1139" s="24"/>
      <c r="E1139" s="81" t="s">
        <v>187</v>
      </c>
      <c r="F1139" s="166"/>
      <c r="G1139" s="166"/>
      <c r="H1139" s="166"/>
      <c r="I1139" s="166"/>
      <c r="J1139" s="166"/>
      <c r="K1139" s="166"/>
      <c r="L1139" s="166"/>
      <c r="M1139" s="166"/>
      <c r="N1139" s="166"/>
      <c r="O1139" s="81"/>
      <c r="P1139" s="81"/>
      <c r="Q1139" s="82"/>
      <c r="R1139" s="82"/>
      <c r="S1139" s="178"/>
      <c r="T1139" s="28"/>
      <c r="U1139" s="185"/>
      <c r="V1139" s="166"/>
      <c r="W1139" s="31"/>
      <c r="X1139" s="157"/>
      <c r="Y1139" s="157"/>
      <c r="Z1139" s="157"/>
      <c r="AA1139" s="157"/>
    </row>
    <row r="1140" spans="1:29" ht="22.75" thickBot="1" x14ac:dyDescent="0.4">
      <c r="A1140" s="254"/>
      <c r="B1140" s="44"/>
      <c r="C1140" s="24"/>
      <c r="D1140" s="24"/>
      <c r="E1140" s="81" t="s">
        <v>188</v>
      </c>
      <c r="F1140" s="60" t="str">
        <f t="shared" ref="F1140:N1140" si="454">IF(((F1138="")*AND(F1139="")),"",(F1138-F1139)*2)</f>
        <v/>
      </c>
      <c r="G1140" s="60" t="str">
        <f t="shared" si="454"/>
        <v/>
      </c>
      <c r="H1140" s="60" t="str">
        <f t="shared" si="454"/>
        <v/>
      </c>
      <c r="I1140" s="60" t="str">
        <f t="shared" si="454"/>
        <v/>
      </c>
      <c r="J1140" s="60" t="str">
        <f t="shared" si="454"/>
        <v/>
      </c>
      <c r="K1140" s="60" t="str">
        <f t="shared" si="454"/>
        <v/>
      </c>
      <c r="L1140" s="60" t="str">
        <f t="shared" si="454"/>
        <v/>
      </c>
      <c r="M1140" s="60" t="str">
        <f t="shared" si="454"/>
        <v/>
      </c>
      <c r="N1140" s="60" t="str">
        <f t="shared" si="454"/>
        <v/>
      </c>
      <c r="O1140" s="81"/>
      <c r="P1140" s="81"/>
      <c r="Q1140" s="82"/>
      <c r="R1140" s="82"/>
      <c r="S1140" s="178"/>
      <c r="T1140" s="28"/>
      <c r="U1140" s="185"/>
      <c r="V1140" s="166"/>
      <c r="W1140" s="31"/>
      <c r="X1140" s="157"/>
      <c r="Y1140" s="157"/>
      <c r="Z1140" s="157"/>
      <c r="AA1140" s="157"/>
    </row>
    <row r="1141" spans="1:29" x14ac:dyDescent="0.25">
      <c r="A1141" s="249"/>
      <c r="B1141" s="257" t="s">
        <v>169</v>
      </c>
      <c r="C1141" s="24" t="s">
        <v>171</v>
      </c>
      <c r="D1141" s="24" t="s">
        <v>189</v>
      </c>
      <c r="E1141" s="81" t="s">
        <v>186</v>
      </c>
      <c r="F1141" s="166"/>
      <c r="G1141" s="166"/>
      <c r="H1141" s="166"/>
      <c r="I1141" s="166"/>
      <c r="J1141" s="166"/>
      <c r="K1141" s="166"/>
      <c r="L1141" s="166"/>
      <c r="M1141" s="166"/>
      <c r="N1141" s="166"/>
      <c r="O1141" s="81" t="str">
        <f t="shared" ref="O1141" si="455">IF((N1142=""),"",MAX(F1143:N1143))</f>
        <v/>
      </c>
      <c r="P1141" s="81" t="str">
        <f t="shared" ref="P1141" si="456">IF(N1142="","",MIN(F1143:N1143))</f>
        <v/>
      </c>
      <c r="Q1141" s="82" t="str">
        <f t="shared" ref="Q1141" si="457">IF((N1143=""),"",AVERAGE(F1143:N1143))</f>
        <v/>
      </c>
      <c r="R1141" s="82" t="str">
        <f t="shared" ref="R1141" si="458">IF((N1142=""),"",(O1141-P1141)/(O1141+P1141)*100)</f>
        <v/>
      </c>
      <c r="S1141" s="178" t="e">
        <f t="shared" ref="S1141" si="459">STDEV(F1143:N1143)</f>
        <v>#DIV/0!</v>
      </c>
      <c r="T1141" s="23" t="str">
        <f t="shared" ref="T1141" si="460">IF(N1142="","",IF(Q1141&gt;1940,IF(R1141&lt;8.3,IF(Q1141&lt;2180,"Pass","Fail"),"Fail"),"Fail"))</f>
        <v/>
      </c>
      <c r="U1141" s="188"/>
      <c r="V1141" s="166"/>
      <c r="W1141" s="31"/>
      <c r="X1141" s="155">
        <v>2000</v>
      </c>
      <c r="Y1141" s="155">
        <v>3000</v>
      </c>
      <c r="Z1141" s="155">
        <v>1940</v>
      </c>
      <c r="AA1141" s="155">
        <v>2180</v>
      </c>
      <c r="AC1141" s="51">
        <v>5.2</v>
      </c>
    </row>
    <row r="1142" spans="1:29" ht="16.100000000000001" x14ac:dyDescent="0.35">
      <c r="A1142" s="254"/>
      <c r="B1142" s="44"/>
      <c r="C1142" s="24"/>
      <c r="D1142" s="24"/>
      <c r="E1142" s="81" t="s">
        <v>187</v>
      </c>
      <c r="F1142" s="166"/>
      <c r="G1142" s="166"/>
      <c r="H1142" s="166"/>
      <c r="I1142" s="166"/>
      <c r="J1142" s="166"/>
      <c r="K1142" s="166"/>
      <c r="L1142" s="166"/>
      <c r="M1142" s="166"/>
      <c r="N1142" s="166"/>
      <c r="O1142" s="81"/>
      <c r="P1142" s="81"/>
      <c r="Q1142" s="82"/>
      <c r="R1142" s="82"/>
      <c r="S1142" s="178"/>
      <c r="T1142" s="23"/>
      <c r="U1142" s="179"/>
      <c r="V1142" s="212"/>
      <c r="W1142" s="31"/>
      <c r="X1142" s="157"/>
      <c r="Y1142" s="157"/>
      <c r="Z1142" s="157"/>
      <c r="AA1142" s="157"/>
    </row>
    <row r="1143" spans="1:29" ht="16.649999999999999" thickBot="1" x14ac:dyDescent="0.4">
      <c r="A1143" s="254"/>
      <c r="B1143" s="44"/>
      <c r="C1143" s="24"/>
      <c r="D1143" s="24"/>
      <c r="E1143" s="81" t="s">
        <v>190</v>
      </c>
      <c r="F1143" s="60" t="str">
        <f t="shared" ref="F1143:N1143" si="461">IF(((F1141="")*AND(F1142="")),"",(F1141-F1142)*3)</f>
        <v/>
      </c>
      <c r="G1143" s="60" t="str">
        <f t="shared" si="461"/>
        <v/>
      </c>
      <c r="H1143" s="60" t="str">
        <f t="shared" si="461"/>
        <v/>
      </c>
      <c r="I1143" s="60" t="str">
        <f t="shared" si="461"/>
        <v/>
      </c>
      <c r="J1143" s="60" t="str">
        <f t="shared" si="461"/>
        <v/>
      </c>
      <c r="K1143" s="60" t="str">
        <f t="shared" si="461"/>
        <v/>
      </c>
      <c r="L1143" s="60" t="str">
        <f t="shared" si="461"/>
        <v/>
      </c>
      <c r="M1143" s="60" t="str">
        <f t="shared" si="461"/>
        <v/>
      </c>
      <c r="N1143" s="60" t="str">
        <f t="shared" si="461"/>
        <v/>
      </c>
      <c r="O1143" s="81"/>
      <c r="P1143" s="81"/>
      <c r="Q1143" s="82"/>
      <c r="R1143" s="82"/>
      <c r="S1143" s="178"/>
      <c r="T1143" s="23"/>
      <c r="U1143" s="179"/>
      <c r="V1143" s="212"/>
      <c r="W1143" s="31"/>
      <c r="X1143" s="157"/>
      <c r="Y1143" s="157"/>
      <c r="Z1143" s="157"/>
      <c r="AA1143" s="157"/>
    </row>
    <row r="1144" spans="1:29" x14ac:dyDescent="0.25">
      <c r="A1144" s="249"/>
      <c r="B1144" s="260" t="s">
        <v>185</v>
      </c>
      <c r="C1144" s="24" t="s">
        <v>173</v>
      </c>
      <c r="D1144" s="24" t="s">
        <v>172</v>
      </c>
      <c r="E1144" s="81" t="s">
        <v>186</v>
      </c>
      <c r="F1144" s="166"/>
      <c r="G1144" s="166"/>
      <c r="H1144" s="166"/>
      <c r="I1144" s="166"/>
      <c r="J1144" s="166"/>
      <c r="K1144" s="166"/>
      <c r="L1144" s="166"/>
      <c r="M1144" s="166"/>
      <c r="N1144" s="166"/>
      <c r="O1144" s="81" t="str">
        <f t="shared" ref="O1144" si="462">IF((N1145=""),"",MAX(F1146:N1146))</f>
        <v/>
      </c>
      <c r="P1144" s="81" t="str">
        <f t="shared" ref="P1144" si="463">IF(N1145="","",MIN(F1146:N1146))</f>
        <v/>
      </c>
      <c r="Q1144" s="82" t="str">
        <f t="shared" ref="Q1144" si="464">IF((N1146=""),"",AVERAGE(F1146:N1146))</f>
        <v/>
      </c>
      <c r="R1144" s="82" t="str">
        <f t="shared" ref="R1144" si="465">IF((N1145=""),"",(O1144-P1144)/(O1144+P1144)*100)</f>
        <v/>
      </c>
      <c r="S1144" s="178" t="e">
        <f t="shared" ref="S1144" si="466">STDEV(F1146:N1146)</f>
        <v>#DIV/0!</v>
      </c>
      <c r="T1144" s="23" t="str">
        <f t="shared" ref="T1144" si="467">IF(N1145="","",IF(R1144&lt;16,IF(Q1144&gt;3200,IF(R1144,IF(Q1144&lt;5240,"Pass","Fail"),"Fail"),"Fail")))</f>
        <v/>
      </c>
      <c r="U1144" s="188"/>
      <c r="V1144" s="166"/>
      <c r="W1144" s="31"/>
      <c r="X1144" s="155">
        <v>4200</v>
      </c>
      <c r="Y1144" s="155">
        <v>5500</v>
      </c>
      <c r="Z1144" s="155">
        <v>3200</v>
      </c>
      <c r="AA1144" s="155">
        <v>5240</v>
      </c>
      <c r="AC1144" s="51">
        <v>16</v>
      </c>
    </row>
    <row r="1145" spans="1:29" ht="16.100000000000001" x14ac:dyDescent="0.35">
      <c r="A1145" s="254"/>
      <c r="B1145" s="44"/>
      <c r="C1145" s="24"/>
      <c r="D1145" s="24"/>
      <c r="E1145" s="81" t="s">
        <v>187</v>
      </c>
      <c r="F1145" s="166"/>
      <c r="G1145" s="166"/>
      <c r="H1145" s="166"/>
      <c r="I1145" s="166"/>
      <c r="J1145" s="166"/>
      <c r="K1145" s="166"/>
      <c r="L1145" s="166"/>
      <c r="M1145" s="166"/>
      <c r="N1145" s="166"/>
      <c r="O1145" s="166"/>
      <c r="P1145" s="81"/>
      <c r="Q1145" s="82"/>
      <c r="R1145" s="82"/>
      <c r="S1145" s="178"/>
      <c r="T1145" s="23"/>
      <c r="U1145" s="179"/>
      <c r="V1145" s="212"/>
      <c r="W1145" s="31"/>
      <c r="X1145" s="157"/>
      <c r="Y1145" s="157"/>
      <c r="Z1145" s="157"/>
      <c r="AA1145" s="157"/>
    </row>
    <row r="1146" spans="1:29" ht="22.75" thickBot="1" x14ac:dyDescent="0.4">
      <c r="A1146" s="255"/>
      <c r="B1146" s="83"/>
      <c r="C1146" s="84"/>
      <c r="D1146" s="84"/>
      <c r="E1146" s="81" t="s">
        <v>188</v>
      </c>
      <c r="F1146" s="73" t="str">
        <f t="shared" ref="F1146:N1146" si="468">IF(((F1144="")*AND(F1145="")),"",(F1144-F1145)*3)</f>
        <v/>
      </c>
      <c r="G1146" s="73" t="str">
        <f t="shared" si="468"/>
        <v/>
      </c>
      <c r="H1146" s="73" t="str">
        <f t="shared" si="468"/>
        <v/>
      </c>
      <c r="I1146" s="73" t="str">
        <f t="shared" si="468"/>
        <v/>
      </c>
      <c r="J1146" s="73" t="str">
        <f t="shared" si="468"/>
        <v/>
      </c>
      <c r="K1146" s="73" t="str">
        <f t="shared" si="468"/>
        <v/>
      </c>
      <c r="L1146" s="73" t="str">
        <f t="shared" si="468"/>
        <v/>
      </c>
      <c r="M1146" s="73" t="str">
        <f t="shared" si="468"/>
        <v/>
      </c>
      <c r="N1146" s="73" t="str">
        <f t="shared" si="468"/>
        <v/>
      </c>
      <c r="O1146" s="85"/>
      <c r="P1146" s="85"/>
      <c r="Q1146" s="86"/>
      <c r="R1146" s="86"/>
      <c r="S1146" s="181"/>
      <c r="T1146" s="182"/>
      <c r="U1146" s="183"/>
      <c r="V1146" s="212"/>
      <c r="W1146" s="31"/>
      <c r="X1146" s="157"/>
      <c r="Y1146" s="157"/>
      <c r="Z1146" s="157"/>
      <c r="AA1146" s="157"/>
    </row>
    <row r="1147" spans="1:29" x14ac:dyDescent="0.25">
      <c r="A1147" s="251"/>
      <c r="B1147" s="259" t="s">
        <v>174</v>
      </c>
      <c r="C1147" s="64" t="s">
        <v>176</v>
      </c>
      <c r="D1147" s="64" t="s">
        <v>175</v>
      </c>
      <c r="E1147" s="81" t="s">
        <v>186</v>
      </c>
      <c r="F1147" s="165"/>
      <c r="G1147" s="165"/>
      <c r="H1147" s="165"/>
      <c r="I1147" s="165"/>
      <c r="J1147" s="165"/>
      <c r="K1147" s="165"/>
      <c r="L1147" s="165"/>
      <c r="M1147" s="165"/>
      <c r="N1147" s="165"/>
      <c r="O1147" s="79" t="str">
        <f t="shared" ref="O1147" si="469">IF((N1148=""),"",MAX(F1149:N1149))</f>
        <v/>
      </c>
      <c r="P1147" s="79" t="str">
        <f t="shared" ref="P1147" si="470">IF(N1148="","",MIN(F1149:N1149))</f>
        <v/>
      </c>
      <c r="Q1147" s="80" t="str">
        <f t="shared" ref="Q1147" si="471">IF((N1149=""),"",AVERAGE(F1149:N1149))</f>
        <v/>
      </c>
      <c r="R1147" s="80" t="str">
        <f t="shared" ref="R1147" si="472">IF((N1148=""),"",(O1147-P1147)/(O1147+P1147)*100)</f>
        <v/>
      </c>
      <c r="S1147" s="170" t="e">
        <f t="shared" ref="S1147" si="473">STDEV(F1149:N1149)</f>
        <v>#DIV/0!</v>
      </c>
      <c r="T1147" s="176" t="str">
        <f t="shared" ref="T1147" si="474">IF(N1148="","",IF(Q1147&gt;3650,IF(R1147&lt;7,IF(Q1147&lt;4450,"Pass","Fail"),"Fail"),"Fail"))</f>
        <v/>
      </c>
      <c r="U1147" s="188"/>
      <c r="V1147" s="166"/>
      <c r="W1147" s="31"/>
      <c r="X1147" s="155">
        <v>3650</v>
      </c>
      <c r="Y1147" s="155">
        <v>4450</v>
      </c>
      <c r="Z1147" s="155">
        <v>3700</v>
      </c>
      <c r="AA1147" s="155">
        <v>4100</v>
      </c>
      <c r="AB1147" s="51">
        <v>7</v>
      </c>
      <c r="AC1147" s="51">
        <v>6.5</v>
      </c>
    </row>
    <row r="1148" spans="1:29" ht="16.100000000000001" x14ac:dyDescent="0.35">
      <c r="A1148" s="254"/>
      <c r="B1148" s="44"/>
      <c r="C1148" s="24"/>
      <c r="D1148" s="24"/>
      <c r="E1148" s="81" t="s">
        <v>187</v>
      </c>
      <c r="F1148" s="166"/>
      <c r="G1148" s="166"/>
      <c r="H1148" s="166"/>
      <c r="I1148" s="166"/>
      <c r="J1148" s="166"/>
      <c r="K1148" s="166"/>
      <c r="L1148" s="166"/>
      <c r="M1148" s="166"/>
      <c r="N1148" s="166"/>
      <c r="O1148" s="81"/>
      <c r="P1148" s="81"/>
      <c r="Q1148" s="82"/>
      <c r="R1148" s="82"/>
      <c r="S1148" s="178"/>
      <c r="T1148" s="28"/>
      <c r="U1148" s="185"/>
      <c r="V1148" s="166"/>
      <c r="W1148" s="31"/>
      <c r="X1148" s="157"/>
      <c r="Y1148" s="157"/>
      <c r="Z1148" s="157"/>
      <c r="AA1148" s="157"/>
    </row>
    <row r="1149" spans="1:29" ht="22.75" thickBot="1" x14ac:dyDescent="0.4">
      <c r="A1149" s="254"/>
      <c r="B1149" s="44"/>
      <c r="C1149" s="24"/>
      <c r="D1149" s="24"/>
      <c r="E1149" s="81" t="s">
        <v>188</v>
      </c>
      <c r="F1149" s="60" t="str">
        <f t="shared" ref="F1149:N1149" si="475">IF(((F1147="")*AND(F1148="")),"",(F1147-F1148)*2)</f>
        <v/>
      </c>
      <c r="G1149" s="60" t="str">
        <f t="shared" si="475"/>
        <v/>
      </c>
      <c r="H1149" s="60" t="str">
        <f t="shared" si="475"/>
        <v/>
      </c>
      <c r="I1149" s="60" t="str">
        <f t="shared" si="475"/>
        <v/>
      </c>
      <c r="J1149" s="60" t="str">
        <f t="shared" si="475"/>
        <v/>
      </c>
      <c r="K1149" s="60" t="str">
        <f t="shared" si="475"/>
        <v/>
      </c>
      <c r="L1149" s="60" t="str">
        <f t="shared" si="475"/>
        <v/>
      </c>
      <c r="M1149" s="60" t="str">
        <f t="shared" si="475"/>
        <v/>
      </c>
      <c r="N1149" s="60" t="str">
        <f t="shared" si="475"/>
        <v/>
      </c>
      <c r="O1149" s="81"/>
      <c r="P1149" s="81"/>
      <c r="Q1149" s="82"/>
      <c r="R1149" s="82"/>
      <c r="S1149" s="178"/>
      <c r="T1149" s="28"/>
      <c r="U1149" s="185"/>
      <c r="V1149" s="166"/>
      <c r="W1149" s="31"/>
      <c r="X1149" s="157"/>
      <c r="Y1149" s="157"/>
      <c r="Z1149" s="157"/>
      <c r="AA1149" s="157"/>
    </row>
    <row r="1150" spans="1:29" x14ac:dyDescent="0.25">
      <c r="A1150" s="249"/>
      <c r="B1150" s="257" t="s">
        <v>169</v>
      </c>
      <c r="C1150" s="24" t="s">
        <v>171</v>
      </c>
      <c r="D1150" s="24" t="s">
        <v>189</v>
      </c>
      <c r="E1150" s="81" t="s">
        <v>186</v>
      </c>
      <c r="F1150" s="166"/>
      <c r="G1150" s="166"/>
      <c r="H1150" s="166"/>
      <c r="I1150" s="166"/>
      <c r="J1150" s="166"/>
      <c r="K1150" s="166"/>
      <c r="L1150" s="166"/>
      <c r="M1150" s="166"/>
      <c r="N1150" s="166"/>
      <c r="O1150" s="81" t="str">
        <f t="shared" ref="O1150" si="476">IF((N1151=""),"",MAX(F1152:N1152))</f>
        <v/>
      </c>
      <c r="P1150" s="81" t="str">
        <f t="shared" ref="P1150" si="477">IF(N1151="","",MIN(F1152:N1152))</f>
        <v/>
      </c>
      <c r="Q1150" s="82" t="str">
        <f t="shared" ref="Q1150" si="478">IF((N1152=""),"",AVERAGE(F1152:N1152))</f>
        <v/>
      </c>
      <c r="R1150" s="82" t="str">
        <f t="shared" ref="R1150" si="479">IF((N1151=""),"",(O1150-P1150)/(O1150+P1150)*100)</f>
        <v/>
      </c>
      <c r="S1150" s="178" t="e">
        <f t="shared" ref="S1150" si="480">STDEV(F1152:N1152)</f>
        <v>#DIV/0!</v>
      </c>
      <c r="T1150" s="23" t="str">
        <f t="shared" ref="T1150" si="481">IF(N1151="","",IF(Q1150&gt;1940,IF(R1150&lt;8.3,IF(Q1150&lt;2180,"Pass","Fail"),"Fail"),"Fail"))</f>
        <v/>
      </c>
      <c r="U1150" s="188"/>
      <c r="V1150" s="166"/>
      <c r="W1150" s="31"/>
      <c r="X1150" s="155">
        <v>2000</v>
      </c>
      <c r="Y1150" s="155">
        <v>3000</v>
      </c>
      <c r="Z1150" s="155">
        <v>1940</v>
      </c>
      <c r="AA1150" s="155">
        <v>2180</v>
      </c>
      <c r="AC1150" s="51">
        <v>5.2</v>
      </c>
    </row>
    <row r="1151" spans="1:29" ht="16.100000000000001" x14ac:dyDescent="0.35">
      <c r="A1151" s="254"/>
      <c r="B1151" s="44"/>
      <c r="C1151" s="24"/>
      <c r="D1151" s="24"/>
      <c r="E1151" s="81" t="s">
        <v>187</v>
      </c>
      <c r="F1151" s="166"/>
      <c r="G1151" s="166"/>
      <c r="H1151" s="166"/>
      <c r="I1151" s="166"/>
      <c r="J1151" s="166"/>
      <c r="K1151" s="166"/>
      <c r="L1151" s="166"/>
      <c r="M1151" s="166"/>
      <c r="N1151" s="166"/>
      <c r="O1151" s="81"/>
      <c r="P1151" s="81"/>
      <c r="Q1151" s="82"/>
      <c r="R1151" s="82"/>
      <c r="S1151" s="178"/>
      <c r="T1151" s="23"/>
      <c r="U1151" s="179"/>
      <c r="V1151" s="212"/>
      <c r="W1151" s="31"/>
      <c r="X1151" s="157"/>
      <c r="Y1151" s="157"/>
      <c r="Z1151" s="157"/>
      <c r="AA1151" s="157"/>
    </row>
    <row r="1152" spans="1:29" ht="16.649999999999999" thickBot="1" x14ac:dyDescent="0.4">
      <c r="A1152" s="254"/>
      <c r="B1152" s="44"/>
      <c r="C1152" s="24"/>
      <c r="D1152" s="24"/>
      <c r="E1152" s="81" t="s">
        <v>190</v>
      </c>
      <c r="F1152" s="60" t="str">
        <f t="shared" ref="F1152:N1152" si="482">IF(((F1150="")*AND(F1151="")),"",(F1150-F1151)*3)</f>
        <v/>
      </c>
      <c r="G1152" s="60" t="str">
        <f t="shared" si="482"/>
        <v/>
      </c>
      <c r="H1152" s="60" t="str">
        <f t="shared" si="482"/>
        <v/>
      </c>
      <c r="I1152" s="60" t="str">
        <f t="shared" si="482"/>
        <v/>
      </c>
      <c r="J1152" s="60" t="str">
        <f t="shared" si="482"/>
        <v/>
      </c>
      <c r="K1152" s="60" t="str">
        <f t="shared" si="482"/>
        <v/>
      </c>
      <c r="L1152" s="60" t="str">
        <f t="shared" si="482"/>
        <v/>
      </c>
      <c r="M1152" s="60" t="str">
        <f t="shared" si="482"/>
        <v/>
      </c>
      <c r="N1152" s="60" t="str">
        <f t="shared" si="482"/>
        <v/>
      </c>
      <c r="O1152" s="81"/>
      <c r="P1152" s="81"/>
      <c r="Q1152" s="82"/>
      <c r="R1152" s="82"/>
      <c r="S1152" s="178"/>
      <c r="T1152" s="23"/>
      <c r="U1152" s="179"/>
      <c r="V1152" s="212"/>
      <c r="W1152" s="31"/>
      <c r="X1152" s="157"/>
      <c r="Y1152" s="157"/>
      <c r="Z1152" s="157"/>
      <c r="AA1152" s="157"/>
    </row>
    <row r="1153" spans="1:29" x14ac:dyDescent="0.25">
      <c r="A1153" s="249"/>
      <c r="B1153" s="260" t="s">
        <v>185</v>
      </c>
      <c r="C1153" s="24" t="s">
        <v>173</v>
      </c>
      <c r="D1153" s="24" t="s">
        <v>172</v>
      </c>
      <c r="E1153" s="81" t="s">
        <v>186</v>
      </c>
      <c r="F1153" s="166"/>
      <c r="G1153" s="166"/>
      <c r="H1153" s="166"/>
      <c r="I1153" s="166"/>
      <c r="J1153" s="166"/>
      <c r="K1153" s="166"/>
      <c r="L1153" s="166"/>
      <c r="M1153" s="166"/>
      <c r="N1153" s="166"/>
      <c r="O1153" s="81" t="str">
        <f t="shared" ref="O1153" si="483">IF((N1154=""),"",MAX(F1155:N1155))</f>
        <v/>
      </c>
      <c r="P1153" s="81" t="str">
        <f t="shared" ref="P1153" si="484">IF(N1154="","",MIN(F1155:N1155))</f>
        <v/>
      </c>
      <c r="Q1153" s="82" t="str">
        <f t="shared" ref="Q1153" si="485">IF((N1155=""),"",AVERAGE(F1155:N1155))</f>
        <v/>
      </c>
      <c r="R1153" s="82" t="str">
        <f t="shared" ref="R1153" si="486">IF((N1154=""),"",(O1153-P1153)/(O1153+P1153)*100)</f>
        <v/>
      </c>
      <c r="S1153" s="178" t="e">
        <f t="shared" ref="S1153" si="487">STDEV(F1155:N1155)</f>
        <v>#DIV/0!</v>
      </c>
      <c r="T1153" s="23" t="str">
        <f t="shared" ref="T1153" si="488">IF(N1154="","",IF(R1153&lt;16,IF(Q1153&gt;3200,IF(R1153,IF(Q1153&lt;5240,"Pass","Fail"),"Fail"),"Fail")))</f>
        <v/>
      </c>
      <c r="U1153" s="188"/>
      <c r="V1153" s="166"/>
      <c r="W1153" s="31"/>
      <c r="X1153" s="155">
        <v>4200</v>
      </c>
      <c r="Y1153" s="155">
        <v>5500</v>
      </c>
      <c r="Z1153" s="155">
        <v>3200</v>
      </c>
      <c r="AA1153" s="155">
        <v>5240</v>
      </c>
      <c r="AC1153" s="51">
        <v>16</v>
      </c>
    </row>
    <row r="1154" spans="1:29" ht="16.100000000000001" x14ac:dyDescent="0.35">
      <c r="A1154" s="254"/>
      <c r="B1154" s="44"/>
      <c r="C1154" s="24"/>
      <c r="D1154" s="24"/>
      <c r="E1154" s="81" t="s">
        <v>187</v>
      </c>
      <c r="F1154" s="166"/>
      <c r="G1154" s="166"/>
      <c r="H1154" s="166"/>
      <c r="I1154" s="166"/>
      <c r="J1154" s="166"/>
      <c r="K1154" s="166"/>
      <c r="L1154" s="166"/>
      <c r="M1154" s="166"/>
      <c r="N1154" s="166"/>
      <c r="O1154" s="166"/>
      <c r="P1154" s="81"/>
      <c r="Q1154" s="82"/>
      <c r="R1154" s="82"/>
      <c r="S1154" s="178"/>
      <c r="T1154" s="23"/>
      <c r="U1154" s="179"/>
      <c r="V1154" s="212"/>
      <c r="W1154" s="31"/>
      <c r="X1154" s="157"/>
      <c r="Y1154" s="157"/>
      <c r="Z1154" s="157"/>
      <c r="AA1154" s="157"/>
    </row>
    <row r="1155" spans="1:29" ht="22.75" thickBot="1" x14ac:dyDescent="0.4">
      <c r="A1155" s="255"/>
      <c r="B1155" s="83"/>
      <c r="C1155" s="84"/>
      <c r="D1155" s="84"/>
      <c r="E1155" s="81" t="s">
        <v>188</v>
      </c>
      <c r="F1155" s="73" t="str">
        <f t="shared" ref="F1155:N1155" si="489">IF(((F1153="")*AND(F1154="")),"",(F1153-F1154)*3)</f>
        <v/>
      </c>
      <c r="G1155" s="73" t="str">
        <f t="shared" si="489"/>
        <v/>
      </c>
      <c r="H1155" s="73" t="str">
        <f t="shared" si="489"/>
        <v/>
      </c>
      <c r="I1155" s="73" t="str">
        <f t="shared" si="489"/>
        <v/>
      </c>
      <c r="J1155" s="73" t="str">
        <f t="shared" si="489"/>
        <v/>
      </c>
      <c r="K1155" s="73" t="str">
        <f t="shared" si="489"/>
        <v/>
      </c>
      <c r="L1155" s="73" t="str">
        <f t="shared" si="489"/>
        <v/>
      </c>
      <c r="M1155" s="73" t="str">
        <f t="shared" si="489"/>
        <v/>
      </c>
      <c r="N1155" s="73" t="str">
        <f t="shared" si="489"/>
        <v/>
      </c>
      <c r="O1155" s="85"/>
      <c r="P1155" s="85"/>
      <c r="Q1155" s="86"/>
      <c r="R1155" s="86"/>
      <c r="S1155" s="181"/>
      <c r="T1155" s="182"/>
      <c r="U1155" s="183"/>
      <c r="V1155" s="212"/>
      <c r="W1155" s="31"/>
      <c r="X1155" s="157"/>
      <c r="Y1155" s="157"/>
      <c r="Z1155" s="157"/>
      <c r="AA1155" s="157"/>
    </row>
    <row r="1156" spans="1:29" x14ac:dyDescent="0.25">
      <c r="A1156" s="251"/>
      <c r="B1156" s="259" t="s">
        <v>174</v>
      </c>
      <c r="C1156" s="64" t="s">
        <v>176</v>
      </c>
      <c r="D1156" s="64" t="s">
        <v>175</v>
      </c>
      <c r="E1156" s="81" t="s">
        <v>186</v>
      </c>
      <c r="F1156" s="165"/>
      <c r="G1156" s="165"/>
      <c r="H1156" s="165"/>
      <c r="I1156" s="165"/>
      <c r="J1156" s="165"/>
      <c r="K1156" s="165"/>
      <c r="L1156" s="165"/>
      <c r="M1156" s="165"/>
      <c r="N1156" s="165"/>
      <c r="O1156" s="79" t="str">
        <f t="shared" ref="O1156" si="490">IF((N1157=""),"",MAX(F1158:N1158))</f>
        <v/>
      </c>
      <c r="P1156" s="79" t="str">
        <f t="shared" ref="P1156" si="491">IF(N1157="","",MIN(F1158:N1158))</f>
        <v/>
      </c>
      <c r="Q1156" s="80" t="str">
        <f t="shared" ref="Q1156" si="492">IF((N1158=""),"",AVERAGE(F1158:N1158))</f>
        <v/>
      </c>
      <c r="R1156" s="80" t="str">
        <f t="shared" ref="R1156" si="493">IF((N1157=""),"",(O1156-P1156)/(O1156+P1156)*100)</f>
        <v/>
      </c>
      <c r="S1156" s="170" t="e">
        <f t="shared" ref="S1156" si="494">STDEV(F1158:N1158)</f>
        <v>#DIV/0!</v>
      </c>
      <c r="T1156" s="176" t="str">
        <f t="shared" ref="T1156" si="495">IF(N1157="","",IF(Q1156&gt;3650,IF(R1156&lt;7,IF(Q1156&lt;4450,"Pass","Fail"),"Fail"),"Fail"))</f>
        <v/>
      </c>
      <c r="U1156" s="188"/>
      <c r="V1156" s="166"/>
      <c r="W1156" s="31"/>
      <c r="X1156" s="155">
        <v>3650</v>
      </c>
      <c r="Y1156" s="155">
        <v>4450</v>
      </c>
      <c r="Z1156" s="155">
        <v>3700</v>
      </c>
      <c r="AA1156" s="155">
        <v>4100</v>
      </c>
      <c r="AB1156" s="51">
        <v>7</v>
      </c>
      <c r="AC1156" s="51">
        <v>6.5</v>
      </c>
    </row>
    <row r="1157" spans="1:29" ht="16.100000000000001" x14ac:dyDescent="0.35">
      <c r="A1157" s="254"/>
      <c r="B1157" s="44"/>
      <c r="C1157" s="24"/>
      <c r="D1157" s="24"/>
      <c r="E1157" s="81" t="s">
        <v>187</v>
      </c>
      <c r="F1157" s="166"/>
      <c r="G1157" s="166"/>
      <c r="H1157" s="166"/>
      <c r="I1157" s="166"/>
      <c r="J1157" s="166"/>
      <c r="K1157" s="166"/>
      <c r="L1157" s="166"/>
      <c r="M1157" s="166"/>
      <c r="N1157" s="166"/>
      <c r="O1157" s="81"/>
      <c r="P1157" s="81"/>
      <c r="Q1157" s="82"/>
      <c r="R1157" s="82"/>
      <c r="S1157" s="178"/>
      <c r="T1157" s="28"/>
      <c r="U1157" s="185"/>
      <c r="V1157" s="166"/>
      <c r="W1157" s="31"/>
      <c r="X1157" s="157"/>
      <c r="Y1157" s="157"/>
      <c r="Z1157" s="157"/>
      <c r="AA1157" s="157"/>
    </row>
    <row r="1158" spans="1:29" ht="22.75" thickBot="1" x14ac:dyDescent="0.4">
      <c r="A1158" s="254"/>
      <c r="B1158" s="44"/>
      <c r="C1158" s="24"/>
      <c r="D1158" s="24"/>
      <c r="E1158" s="81" t="s">
        <v>188</v>
      </c>
      <c r="F1158" s="60" t="str">
        <f t="shared" ref="F1158:N1158" si="496">IF(((F1156="")*AND(F1157="")),"",(F1156-F1157)*2)</f>
        <v/>
      </c>
      <c r="G1158" s="60" t="str">
        <f t="shared" si="496"/>
        <v/>
      </c>
      <c r="H1158" s="60" t="str">
        <f t="shared" si="496"/>
        <v/>
      </c>
      <c r="I1158" s="60" t="str">
        <f t="shared" si="496"/>
        <v/>
      </c>
      <c r="J1158" s="60" t="str">
        <f t="shared" si="496"/>
        <v/>
      </c>
      <c r="K1158" s="60" t="str">
        <f t="shared" si="496"/>
        <v/>
      </c>
      <c r="L1158" s="60" t="str">
        <f t="shared" si="496"/>
        <v/>
      </c>
      <c r="M1158" s="60" t="str">
        <f t="shared" si="496"/>
        <v/>
      </c>
      <c r="N1158" s="60" t="str">
        <f t="shared" si="496"/>
        <v/>
      </c>
      <c r="O1158" s="81"/>
      <c r="P1158" s="81"/>
      <c r="Q1158" s="82"/>
      <c r="R1158" s="82"/>
      <c r="S1158" s="178"/>
      <c r="T1158" s="28"/>
      <c r="U1158" s="185"/>
      <c r="V1158" s="166"/>
      <c r="W1158" s="31"/>
      <c r="X1158" s="157"/>
      <c r="Y1158" s="157"/>
      <c r="Z1158" s="157"/>
      <c r="AA1158" s="157"/>
    </row>
    <row r="1159" spans="1:29" x14ac:dyDescent="0.25">
      <c r="A1159" s="249"/>
      <c r="B1159" s="257" t="s">
        <v>169</v>
      </c>
      <c r="C1159" s="24" t="s">
        <v>171</v>
      </c>
      <c r="D1159" s="24" t="s">
        <v>189</v>
      </c>
      <c r="E1159" s="81" t="s">
        <v>186</v>
      </c>
      <c r="F1159" s="166"/>
      <c r="G1159" s="166"/>
      <c r="H1159" s="166"/>
      <c r="I1159" s="166"/>
      <c r="J1159" s="166"/>
      <c r="K1159" s="166"/>
      <c r="L1159" s="166"/>
      <c r="M1159" s="166"/>
      <c r="N1159" s="166"/>
      <c r="O1159" s="81" t="str">
        <f t="shared" ref="O1159" si="497">IF((N1160=""),"",MAX(F1161:N1161))</f>
        <v/>
      </c>
      <c r="P1159" s="81" t="str">
        <f t="shared" ref="P1159" si="498">IF(N1160="","",MIN(F1161:N1161))</f>
        <v/>
      </c>
      <c r="Q1159" s="82" t="str">
        <f t="shared" ref="Q1159" si="499">IF((N1161=""),"",AVERAGE(F1161:N1161))</f>
        <v/>
      </c>
      <c r="R1159" s="82" t="str">
        <f t="shared" ref="R1159" si="500">IF((N1160=""),"",(O1159-P1159)/(O1159+P1159)*100)</f>
        <v/>
      </c>
      <c r="S1159" s="178" t="e">
        <f t="shared" ref="S1159" si="501">STDEV(F1161:N1161)</f>
        <v>#DIV/0!</v>
      </c>
      <c r="T1159" s="23" t="str">
        <f t="shared" ref="T1159" si="502">IF(N1160="","",IF(Q1159&gt;1940,IF(R1159&lt;8.3,IF(Q1159&lt;2180,"Pass","Fail"),"Fail"),"Fail"))</f>
        <v/>
      </c>
      <c r="U1159" s="188"/>
      <c r="V1159" s="166"/>
      <c r="W1159" s="31"/>
      <c r="X1159" s="155">
        <v>2000</v>
      </c>
      <c r="Y1159" s="155">
        <v>3000</v>
      </c>
      <c r="Z1159" s="155">
        <v>1940</v>
      </c>
      <c r="AA1159" s="155">
        <v>2180</v>
      </c>
      <c r="AC1159" s="51">
        <v>5.2</v>
      </c>
    </row>
    <row r="1160" spans="1:29" ht="16.100000000000001" x14ac:dyDescent="0.35">
      <c r="A1160" s="254"/>
      <c r="B1160" s="44"/>
      <c r="C1160" s="24"/>
      <c r="D1160" s="24"/>
      <c r="E1160" s="81" t="s">
        <v>187</v>
      </c>
      <c r="F1160" s="166"/>
      <c r="G1160" s="166"/>
      <c r="H1160" s="166"/>
      <c r="I1160" s="166"/>
      <c r="J1160" s="166"/>
      <c r="K1160" s="166"/>
      <c r="L1160" s="166"/>
      <c r="M1160" s="166"/>
      <c r="N1160" s="166"/>
      <c r="O1160" s="81"/>
      <c r="P1160" s="81"/>
      <c r="Q1160" s="82"/>
      <c r="R1160" s="82"/>
      <c r="S1160" s="178"/>
      <c r="T1160" s="23"/>
      <c r="U1160" s="179"/>
      <c r="V1160" s="212"/>
      <c r="W1160" s="31"/>
      <c r="X1160" s="157"/>
      <c r="Y1160" s="157"/>
      <c r="Z1160" s="157"/>
      <c r="AA1160" s="157"/>
    </row>
    <row r="1161" spans="1:29" ht="16.649999999999999" thickBot="1" x14ac:dyDescent="0.4">
      <c r="A1161" s="254"/>
      <c r="B1161" s="44"/>
      <c r="C1161" s="24"/>
      <c r="D1161" s="24"/>
      <c r="E1161" s="81" t="s">
        <v>190</v>
      </c>
      <c r="F1161" s="60" t="str">
        <f t="shared" ref="F1161:N1161" si="503">IF(((F1159="")*AND(F1160="")),"",(F1159-F1160)*3)</f>
        <v/>
      </c>
      <c r="G1161" s="60" t="str">
        <f t="shared" si="503"/>
        <v/>
      </c>
      <c r="H1161" s="60" t="str">
        <f t="shared" si="503"/>
        <v/>
      </c>
      <c r="I1161" s="60" t="str">
        <f t="shared" si="503"/>
        <v/>
      </c>
      <c r="J1161" s="60" t="str">
        <f t="shared" si="503"/>
        <v/>
      </c>
      <c r="K1161" s="60" t="str">
        <f t="shared" si="503"/>
        <v/>
      </c>
      <c r="L1161" s="60" t="str">
        <f t="shared" si="503"/>
        <v/>
      </c>
      <c r="M1161" s="60" t="str">
        <f t="shared" si="503"/>
        <v/>
      </c>
      <c r="N1161" s="60" t="str">
        <f t="shared" si="503"/>
        <v/>
      </c>
      <c r="O1161" s="81"/>
      <c r="P1161" s="81"/>
      <c r="Q1161" s="82"/>
      <c r="R1161" s="82"/>
      <c r="S1161" s="178"/>
      <c r="T1161" s="23"/>
      <c r="U1161" s="179"/>
      <c r="V1161" s="212"/>
      <c r="W1161" s="31"/>
      <c r="X1161" s="157"/>
      <c r="Y1161" s="157"/>
      <c r="Z1161" s="157"/>
      <c r="AA1161" s="157"/>
    </row>
    <row r="1162" spans="1:29" x14ac:dyDescent="0.25">
      <c r="A1162" s="249"/>
      <c r="B1162" s="260" t="s">
        <v>185</v>
      </c>
      <c r="C1162" s="24" t="s">
        <v>173</v>
      </c>
      <c r="D1162" s="24" t="s">
        <v>172</v>
      </c>
      <c r="E1162" s="81" t="s">
        <v>186</v>
      </c>
      <c r="F1162" s="166"/>
      <c r="G1162" s="166"/>
      <c r="H1162" s="166"/>
      <c r="I1162" s="166"/>
      <c r="J1162" s="166"/>
      <c r="K1162" s="166"/>
      <c r="L1162" s="166"/>
      <c r="M1162" s="166"/>
      <c r="N1162" s="166"/>
      <c r="O1162" s="81" t="str">
        <f t="shared" ref="O1162" si="504">IF((N1163=""),"",MAX(F1164:N1164))</f>
        <v/>
      </c>
      <c r="P1162" s="81" t="str">
        <f t="shared" ref="P1162" si="505">IF(N1163="","",MIN(F1164:N1164))</f>
        <v/>
      </c>
      <c r="Q1162" s="82" t="str">
        <f t="shared" ref="Q1162" si="506">IF((N1164=""),"",AVERAGE(F1164:N1164))</f>
        <v/>
      </c>
      <c r="R1162" s="82" t="str">
        <f t="shared" ref="R1162" si="507">IF((N1163=""),"",(O1162-P1162)/(O1162+P1162)*100)</f>
        <v/>
      </c>
      <c r="S1162" s="178" t="e">
        <f t="shared" ref="S1162" si="508">STDEV(F1164:N1164)</f>
        <v>#DIV/0!</v>
      </c>
      <c r="T1162" s="23" t="str">
        <f t="shared" ref="T1162" si="509">IF(N1163="","",IF(R1162&lt;16,IF(Q1162&gt;3200,IF(R1162,IF(Q1162&lt;5240,"Pass","Fail"),"Fail"),"Fail")))</f>
        <v/>
      </c>
      <c r="U1162" s="188"/>
      <c r="V1162" s="166"/>
      <c r="W1162" s="31"/>
      <c r="X1162" s="155">
        <v>4200</v>
      </c>
      <c r="Y1162" s="155">
        <v>5500</v>
      </c>
      <c r="Z1162" s="155">
        <v>3200</v>
      </c>
      <c r="AA1162" s="155">
        <v>5240</v>
      </c>
      <c r="AC1162" s="51">
        <v>16</v>
      </c>
    </row>
    <row r="1163" spans="1:29" ht="16.100000000000001" x14ac:dyDescent="0.35">
      <c r="A1163" s="254"/>
      <c r="B1163" s="44"/>
      <c r="C1163" s="24"/>
      <c r="D1163" s="24"/>
      <c r="E1163" s="81" t="s">
        <v>187</v>
      </c>
      <c r="F1163" s="166"/>
      <c r="G1163" s="166"/>
      <c r="H1163" s="166"/>
      <c r="I1163" s="166"/>
      <c r="J1163" s="166"/>
      <c r="K1163" s="166"/>
      <c r="L1163" s="166"/>
      <c r="M1163" s="166"/>
      <c r="N1163" s="166"/>
      <c r="O1163" s="166"/>
      <c r="P1163" s="81"/>
      <c r="Q1163" s="82"/>
      <c r="R1163" s="82"/>
      <c r="S1163" s="178"/>
      <c r="T1163" s="23"/>
      <c r="U1163" s="179"/>
      <c r="V1163" s="212"/>
      <c r="W1163" s="31"/>
      <c r="X1163" s="157"/>
      <c r="Y1163" s="157"/>
      <c r="Z1163" s="157"/>
      <c r="AA1163" s="157"/>
    </row>
    <row r="1164" spans="1:29" ht="22.75" thickBot="1" x14ac:dyDescent="0.4">
      <c r="A1164" s="255"/>
      <c r="B1164" s="83"/>
      <c r="C1164" s="84"/>
      <c r="D1164" s="84"/>
      <c r="E1164" s="81" t="s">
        <v>188</v>
      </c>
      <c r="F1164" s="73" t="str">
        <f t="shared" ref="F1164:N1164" si="510">IF(((F1162="")*AND(F1163="")),"",(F1162-F1163)*3)</f>
        <v/>
      </c>
      <c r="G1164" s="73" t="str">
        <f t="shared" si="510"/>
        <v/>
      </c>
      <c r="H1164" s="73" t="str">
        <f t="shared" si="510"/>
        <v/>
      </c>
      <c r="I1164" s="73" t="str">
        <f t="shared" si="510"/>
        <v/>
      </c>
      <c r="J1164" s="73" t="str">
        <f t="shared" si="510"/>
        <v/>
      </c>
      <c r="K1164" s="73" t="str">
        <f t="shared" si="510"/>
        <v/>
      </c>
      <c r="L1164" s="73" t="str">
        <f t="shared" si="510"/>
        <v/>
      </c>
      <c r="M1164" s="73" t="str">
        <f t="shared" si="510"/>
        <v/>
      </c>
      <c r="N1164" s="73" t="str">
        <f t="shared" si="510"/>
        <v/>
      </c>
      <c r="O1164" s="85"/>
      <c r="P1164" s="85"/>
      <c r="Q1164" s="86"/>
      <c r="R1164" s="86"/>
      <c r="S1164" s="181"/>
      <c r="T1164" s="182"/>
      <c r="U1164" s="183"/>
      <c r="V1164" s="212"/>
      <c r="W1164" s="31"/>
      <c r="X1164" s="157"/>
      <c r="Y1164" s="157"/>
      <c r="Z1164" s="157"/>
      <c r="AA1164" s="157"/>
    </row>
    <row r="1165" spans="1:29" x14ac:dyDescent="0.25">
      <c r="A1165" s="251"/>
      <c r="B1165" s="259" t="s">
        <v>174</v>
      </c>
      <c r="C1165" s="64" t="s">
        <v>176</v>
      </c>
      <c r="D1165" s="64" t="s">
        <v>175</v>
      </c>
      <c r="E1165" s="81" t="s">
        <v>186</v>
      </c>
      <c r="F1165" s="165"/>
      <c r="G1165" s="165"/>
      <c r="H1165" s="165"/>
      <c r="I1165" s="165"/>
      <c r="J1165" s="165"/>
      <c r="K1165" s="165"/>
      <c r="L1165" s="165"/>
      <c r="M1165" s="165"/>
      <c r="N1165" s="165"/>
      <c r="O1165" s="79" t="str">
        <f t="shared" ref="O1165" si="511">IF((N1166=""),"",MAX(F1167:N1167))</f>
        <v/>
      </c>
      <c r="P1165" s="79" t="str">
        <f t="shared" ref="P1165" si="512">IF(N1166="","",MIN(F1167:N1167))</f>
        <v/>
      </c>
      <c r="Q1165" s="80" t="str">
        <f t="shared" ref="Q1165" si="513">IF((N1167=""),"",AVERAGE(F1167:N1167))</f>
        <v/>
      </c>
      <c r="R1165" s="80" t="str">
        <f t="shared" ref="R1165" si="514">IF((N1166=""),"",(O1165-P1165)/(O1165+P1165)*100)</f>
        <v/>
      </c>
      <c r="S1165" s="170" t="e">
        <f t="shared" ref="S1165" si="515">STDEV(F1167:N1167)</f>
        <v>#DIV/0!</v>
      </c>
      <c r="T1165" s="176" t="str">
        <f t="shared" ref="T1165" si="516">IF(N1166="","",IF(Q1165&gt;3650,IF(R1165&lt;7,IF(Q1165&lt;4450,"Pass","Fail"),"Fail"),"Fail"))</f>
        <v/>
      </c>
      <c r="U1165" s="188"/>
      <c r="V1165" s="166"/>
      <c r="W1165" s="31"/>
      <c r="X1165" s="155">
        <v>3650</v>
      </c>
      <c r="Y1165" s="155">
        <v>4450</v>
      </c>
      <c r="Z1165" s="155">
        <v>3700</v>
      </c>
      <c r="AA1165" s="155">
        <v>4100</v>
      </c>
      <c r="AB1165" s="51">
        <v>7</v>
      </c>
      <c r="AC1165" s="51">
        <v>6.5</v>
      </c>
    </row>
    <row r="1166" spans="1:29" ht="16.100000000000001" x14ac:dyDescent="0.35">
      <c r="A1166" s="254"/>
      <c r="B1166" s="44"/>
      <c r="C1166" s="24"/>
      <c r="D1166" s="24"/>
      <c r="E1166" s="81" t="s">
        <v>187</v>
      </c>
      <c r="F1166" s="166"/>
      <c r="G1166" s="166"/>
      <c r="H1166" s="166"/>
      <c r="I1166" s="166"/>
      <c r="J1166" s="166"/>
      <c r="K1166" s="166"/>
      <c r="L1166" s="166"/>
      <c r="M1166" s="166"/>
      <c r="N1166" s="166"/>
      <c r="O1166" s="81"/>
      <c r="P1166" s="81"/>
      <c r="Q1166" s="82"/>
      <c r="R1166" s="82"/>
      <c r="S1166" s="178"/>
      <c r="T1166" s="28"/>
      <c r="U1166" s="185"/>
      <c r="V1166" s="166"/>
      <c r="W1166" s="31"/>
      <c r="X1166" s="157"/>
      <c r="Y1166" s="157"/>
      <c r="Z1166" s="157"/>
      <c r="AA1166" s="157"/>
    </row>
    <row r="1167" spans="1:29" ht="22.75" thickBot="1" x14ac:dyDescent="0.4">
      <c r="A1167" s="254"/>
      <c r="B1167" s="44"/>
      <c r="C1167" s="24"/>
      <c r="D1167" s="24"/>
      <c r="E1167" s="81" t="s">
        <v>188</v>
      </c>
      <c r="F1167" s="60" t="str">
        <f t="shared" ref="F1167:N1167" si="517">IF(((F1165="")*AND(F1166="")),"",(F1165-F1166)*2)</f>
        <v/>
      </c>
      <c r="G1167" s="60" t="str">
        <f t="shared" si="517"/>
        <v/>
      </c>
      <c r="H1167" s="60" t="str">
        <f t="shared" si="517"/>
        <v/>
      </c>
      <c r="I1167" s="60" t="str">
        <f t="shared" si="517"/>
        <v/>
      </c>
      <c r="J1167" s="60" t="str">
        <f t="shared" si="517"/>
        <v/>
      </c>
      <c r="K1167" s="60" t="str">
        <f t="shared" si="517"/>
        <v/>
      </c>
      <c r="L1167" s="60" t="str">
        <f t="shared" si="517"/>
        <v/>
      </c>
      <c r="M1167" s="60" t="str">
        <f t="shared" si="517"/>
        <v/>
      </c>
      <c r="N1167" s="60" t="str">
        <f t="shared" si="517"/>
        <v/>
      </c>
      <c r="O1167" s="81"/>
      <c r="P1167" s="81"/>
      <c r="Q1167" s="82"/>
      <c r="R1167" s="82"/>
      <c r="S1167" s="178"/>
      <c r="T1167" s="28"/>
      <c r="U1167" s="185"/>
      <c r="V1167" s="166"/>
      <c r="W1167" s="31"/>
      <c r="X1167" s="157"/>
      <c r="Y1167" s="157"/>
      <c r="Z1167" s="157"/>
      <c r="AA1167" s="157"/>
    </row>
    <row r="1168" spans="1:29" x14ac:dyDescent="0.25">
      <c r="A1168" s="249"/>
      <c r="B1168" s="257" t="s">
        <v>169</v>
      </c>
      <c r="C1168" s="24" t="s">
        <v>171</v>
      </c>
      <c r="D1168" s="24" t="s">
        <v>189</v>
      </c>
      <c r="E1168" s="81" t="s">
        <v>186</v>
      </c>
      <c r="F1168" s="166"/>
      <c r="G1168" s="166"/>
      <c r="H1168" s="166"/>
      <c r="I1168" s="166"/>
      <c r="J1168" s="166"/>
      <c r="K1168" s="166"/>
      <c r="L1168" s="166"/>
      <c r="M1168" s="166"/>
      <c r="N1168" s="166"/>
      <c r="O1168" s="81" t="str">
        <f t="shared" ref="O1168" si="518">IF((N1169=""),"",MAX(F1170:N1170))</f>
        <v/>
      </c>
      <c r="P1168" s="81" t="str">
        <f t="shared" ref="P1168" si="519">IF(N1169="","",MIN(F1170:N1170))</f>
        <v/>
      </c>
      <c r="Q1168" s="82" t="str">
        <f t="shared" ref="Q1168" si="520">IF((N1170=""),"",AVERAGE(F1170:N1170))</f>
        <v/>
      </c>
      <c r="R1168" s="82" t="str">
        <f t="shared" ref="R1168" si="521">IF((N1169=""),"",(O1168-P1168)/(O1168+P1168)*100)</f>
        <v/>
      </c>
      <c r="S1168" s="178" t="e">
        <f t="shared" ref="S1168" si="522">STDEV(F1170:N1170)</f>
        <v>#DIV/0!</v>
      </c>
      <c r="T1168" s="23" t="str">
        <f t="shared" ref="T1168" si="523">IF(N1169="","",IF(Q1168&gt;1940,IF(R1168&lt;8.3,IF(Q1168&lt;2180,"Pass","Fail"),"Fail"),"Fail"))</f>
        <v/>
      </c>
      <c r="U1168" s="188"/>
      <c r="V1168" s="166"/>
      <c r="W1168" s="31"/>
      <c r="X1168" s="155">
        <v>2000</v>
      </c>
      <c r="Y1168" s="155">
        <v>3000</v>
      </c>
      <c r="Z1168" s="155">
        <v>1940</v>
      </c>
      <c r="AA1168" s="155">
        <v>2180</v>
      </c>
      <c r="AC1168" s="51">
        <v>5.2</v>
      </c>
    </row>
    <row r="1169" spans="1:29" ht="16.100000000000001" x14ac:dyDescent="0.35">
      <c r="A1169" s="254"/>
      <c r="B1169" s="44"/>
      <c r="C1169" s="24"/>
      <c r="D1169" s="24"/>
      <c r="E1169" s="81" t="s">
        <v>187</v>
      </c>
      <c r="F1169" s="166"/>
      <c r="G1169" s="166"/>
      <c r="H1169" s="166"/>
      <c r="I1169" s="166"/>
      <c r="J1169" s="166"/>
      <c r="K1169" s="166"/>
      <c r="L1169" s="166"/>
      <c r="M1169" s="166"/>
      <c r="N1169" s="166"/>
      <c r="O1169" s="81"/>
      <c r="P1169" s="81"/>
      <c r="Q1169" s="82"/>
      <c r="R1169" s="82"/>
      <c r="S1169" s="178"/>
      <c r="T1169" s="23"/>
      <c r="U1169" s="179"/>
      <c r="V1169" s="212"/>
      <c r="W1169" s="31"/>
      <c r="X1169" s="157"/>
      <c r="Y1169" s="157"/>
      <c r="Z1169" s="157"/>
      <c r="AA1169" s="157"/>
    </row>
    <row r="1170" spans="1:29" ht="16.649999999999999" thickBot="1" x14ac:dyDescent="0.4">
      <c r="A1170" s="254"/>
      <c r="B1170" s="44"/>
      <c r="C1170" s="24"/>
      <c r="D1170" s="24"/>
      <c r="E1170" s="81" t="s">
        <v>190</v>
      </c>
      <c r="F1170" s="60" t="str">
        <f t="shared" ref="F1170:N1170" si="524">IF(((F1168="")*AND(F1169="")),"",(F1168-F1169)*3)</f>
        <v/>
      </c>
      <c r="G1170" s="60" t="str">
        <f t="shared" si="524"/>
        <v/>
      </c>
      <c r="H1170" s="60" t="str">
        <f t="shared" si="524"/>
        <v/>
      </c>
      <c r="I1170" s="60" t="str">
        <f t="shared" si="524"/>
        <v/>
      </c>
      <c r="J1170" s="60" t="str">
        <f t="shared" si="524"/>
        <v/>
      </c>
      <c r="K1170" s="60" t="str">
        <f t="shared" si="524"/>
        <v/>
      </c>
      <c r="L1170" s="60" t="str">
        <f t="shared" si="524"/>
        <v/>
      </c>
      <c r="M1170" s="60" t="str">
        <f t="shared" si="524"/>
        <v/>
      </c>
      <c r="N1170" s="60" t="str">
        <f t="shared" si="524"/>
        <v/>
      </c>
      <c r="O1170" s="81"/>
      <c r="P1170" s="81"/>
      <c r="Q1170" s="82"/>
      <c r="R1170" s="82"/>
      <c r="S1170" s="178"/>
      <c r="T1170" s="23"/>
      <c r="U1170" s="179"/>
      <c r="V1170" s="212"/>
      <c r="W1170" s="31"/>
      <c r="X1170" s="157"/>
      <c r="Y1170" s="157"/>
      <c r="Z1170" s="157"/>
      <c r="AA1170" s="157"/>
    </row>
    <row r="1171" spans="1:29" x14ac:dyDescent="0.25">
      <c r="A1171" s="249"/>
      <c r="B1171" s="260" t="s">
        <v>185</v>
      </c>
      <c r="C1171" s="24" t="s">
        <v>173</v>
      </c>
      <c r="D1171" s="24" t="s">
        <v>172</v>
      </c>
      <c r="E1171" s="81" t="s">
        <v>186</v>
      </c>
      <c r="F1171" s="166"/>
      <c r="G1171" s="166"/>
      <c r="H1171" s="166"/>
      <c r="I1171" s="166"/>
      <c r="J1171" s="166"/>
      <c r="K1171" s="166"/>
      <c r="L1171" s="166"/>
      <c r="M1171" s="166"/>
      <c r="N1171" s="166"/>
      <c r="O1171" s="81" t="str">
        <f t="shared" ref="O1171" si="525">IF((N1172=""),"",MAX(F1173:N1173))</f>
        <v/>
      </c>
      <c r="P1171" s="81" t="str">
        <f t="shared" ref="P1171" si="526">IF(N1172="","",MIN(F1173:N1173))</f>
        <v/>
      </c>
      <c r="Q1171" s="82" t="str">
        <f t="shared" ref="Q1171" si="527">IF((N1173=""),"",AVERAGE(F1173:N1173))</f>
        <v/>
      </c>
      <c r="R1171" s="82" t="str">
        <f t="shared" ref="R1171" si="528">IF((N1172=""),"",(O1171-P1171)/(O1171+P1171)*100)</f>
        <v/>
      </c>
      <c r="S1171" s="178" t="e">
        <f t="shared" ref="S1171" si="529">STDEV(F1173:N1173)</f>
        <v>#DIV/0!</v>
      </c>
      <c r="T1171" s="23" t="str">
        <f t="shared" ref="T1171" si="530">IF(N1172="","",IF(R1171&lt;16,IF(Q1171&gt;3200,IF(R1171,IF(Q1171&lt;5240,"Pass","Fail"),"Fail"),"Fail")))</f>
        <v/>
      </c>
      <c r="U1171" s="188"/>
      <c r="V1171" s="166"/>
      <c r="W1171" s="31"/>
      <c r="X1171" s="155">
        <v>4200</v>
      </c>
      <c r="Y1171" s="155">
        <v>5500</v>
      </c>
      <c r="Z1171" s="155">
        <v>3200</v>
      </c>
      <c r="AA1171" s="155">
        <v>5240</v>
      </c>
      <c r="AC1171" s="51">
        <v>16</v>
      </c>
    </row>
    <row r="1172" spans="1:29" ht="16.100000000000001" x14ac:dyDescent="0.35">
      <c r="A1172" s="254"/>
      <c r="B1172" s="44"/>
      <c r="C1172" s="24"/>
      <c r="D1172" s="24"/>
      <c r="E1172" s="81" t="s">
        <v>187</v>
      </c>
      <c r="F1172" s="166"/>
      <c r="G1172" s="166"/>
      <c r="H1172" s="166"/>
      <c r="I1172" s="166"/>
      <c r="J1172" s="166"/>
      <c r="K1172" s="166"/>
      <c r="L1172" s="166"/>
      <c r="M1172" s="166"/>
      <c r="N1172" s="166"/>
      <c r="O1172" s="166"/>
      <c r="P1172" s="81"/>
      <c r="Q1172" s="82"/>
      <c r="R1172" s="82"/>
      <c r="S1172" s="178"/>
      <c r="T1172" s="23"/>
      <c r="U1172" s="179"/>
      <c r="V1172" s="212"/>
      <c r="W1172" s="31"/>
      <c r="X1172" s="157"/>
      <c r="Y1172" s="157"/>
      <c r="Z1172" s="157"/>
      <c r="AA1172" s="157"/>
    </row>
    <row r="1173" spans="1:29" ht="22.75" thickBot="1" x14ac:dyDescent="0.4">
      <c r="A1173" s="255"/>
      <c r="B1173" s="83"/>
      <c r="C1173" s="84"/>
      <c r="D1173" s="84"/>
      <c r="E1173" s="81" t="s">
        <v>188</v>
      </c>
      <c r="F1173" s="73" t="str">
        <f t="shared" ref="F1173:N1173" si="531">IF(((F1171="")*AND(F1172="")),"",(F1171-F1172)*3)</f>
        <v/>
      </c>
      <c r="G1173" s="73" t="str">
        <f t="shared" si="531"/>
        <v/>
      </c>
      <c r="H1173" s="73" t="str">
        <f t="shared" si="531"/>
        <v/>
      </c>
      <c r="I1173" s="73" t="str">
        <f t="shared" si="531"/>
        <v/>
      </c>
      <c r="J1173" s="73" t="str">
        <f t="shared" si="531"/>
        <v/>
      </c>
      <c r="K1173" s="73" t="str">
        <f t="shared" si="531"/>
        <v/>
      </c>
      <c r="L1173" s="73" t="str">
        <f t="shared" si="531"/>
        <v/>
      </c>
      <c r="M1173" s="73" t="str">
        <f t="shared" si="531"/>
        <v/>
      </c>
      <c r="N1173" s="73" t="str">
        <f t="shared" si="531"/>
        <v/>
      </c>
      <c r="O1173" s="85"/>
      <c r="P1173" s="85"/>
      <c r="Q1173" s="86"/>
      <c r="R1173" s="86"/>
      <c r="S1173" s="181"/>
      <c r="T1173" s="182"/>
      <c r="U1173" s="183"/>
      <c r="V1173" s="212"/>
      <c r="W1173" s="31"/>
      <c r="X1173" s="157"/>
      <c r="Y1173" s="157"/>
      <c r="Z1173" s="157"/>
      <c r="AA1173" s="157"/>
    </row>
    <row r="1174" spans="1:29" x14ac:dyDescent="0.25">
      <c r="A1174" s="251"/>
      <c r="B1174" s="259" t="s">
        <v>174</v>
      </c>
      <c r="C1174" s="64" t="s">
        <v>176</v>
      </c>
      <c r="D1174" s="64" t="s">
        <v>175</v>
      </c>
      <c r="E1174" s="81" t="s">
        <v>186</v>
      </c>
      <c r="F1174" s="165"/>
      <c r="G1174" s="165"/>
      <c r="H1174" s="165"/>
      <c r="I1174" s="165"/>
      <c r="J1174" s="165"/>
      <c r="K1174" s="165"/>
      <c r="L1174" s="165"/>
      <c r="M1174" s="165"/>
      <c r="N1174" s="165"/>
      <c r="O1174" s="79" t="str">
        <f t="shared" ref="O1174" si="532">IF((N1175=""),"",MAX(F1176:N1176))</f>
        <v/>
      </c>
      <c r="P1174" s="79" t="str">
        <f t="shared" ref="P1174" si="533">IF(N1175="","",MIN(F1176:N1176))</f>
        <v/>
      </c>
      <c r="Q1174" s="80" t="str">
        <f t="shared" ref="Q1174" si="534">IF((N1176=""),"",AVERAGE(F1176:N1176))</f>
        <v/>
      </c>
      <c r="R1174" s="80" t="str">
        <f t="shared" ref="R1174" si="535">IF((N1175=""),"",(O1174-P1174)/(O1174+P1174)*100)</f>
        <v/>
      </c>
      <c r="S1174" s="170" t="e">
        <f t="shared" ref="S1174" si="536">STDEV(F1176:N1176)</f>
        <v>#DIV/0!</v>
      </c>
      <c r="T1174" s="176" t="str">
        <f t="shared" ref="T1174" si="537">IF(N1175="","",IF(Q1174&gt;3650,IF(R1174&lt;7,IF(Q1174&lt;4450,"Pass","Fail"),"Fail"),"Fail"))</f>
        <v/>
      </c>
      <c r="U1174" s="188"/>
      <c r="V1174" s="166"/>
      <c r="W1174" s="31"/>
      <c r="X1174" s="155">
        <v>3650</v>
      </c>
      <c r="Y1174" s="155">
        <v>4450</v>
      </c>
      <c r="Z1174" s="155">
        <v>3700</v>
      </c>
      <c r="AA1174" s="155">
        <v>4100</v>
      </c>
      <c r="AB1174" s="51">
        <v>7</v>
      </c>
      <c r="AC1174" s="51">
        <v>6.5</v>
      </c>
    </row>
    <row r="1175" spans="1:29" ht="16.100000000000001" x14ac:dyDescent="0.35">
      <c r="A1175" s="254"/>
      <c r="B1175" s="44"/>
      <c r="C1175" s="24"/>
      <c r="D1175" s="24"/>
      <c r="E1175" s="81" t="s">
        <v>187</v>
      </c>
      <c r="F1175" s="166"/>
      <c r="G1175" s="166"/>
      <c r="H1175" s="166"/>
      <c r="I1175" s="166"/>
      <c r="J1175" s="166"/>
      <c r="K1175" s="166"/>
      <c r="L1175" s="166"/>
      <c r="M1175" s="166"/>
      <c r="N1175" s="166"/>
      <c r="O1175" s="81"/>
      <c r="P1175" s="81"/>
      <c r="Q1175" s="82"/>
      <c r="R1175" s="82"/>
      <c r="S1175" s="178"/>
      <c r="T1175" s="28"/>
      <c r="U1175" s="185"/>
      <c r="V1175" s="166"/>
      <c r="W1175" s="31"/>
      <c r="X1175" s="157"/>
      <c r="Y1175" s="157"/>
      <c r="Z1175" s="157"/>
      <c r="AA1175" s="157"/>
    </row>
    <row r="1176" spans="1:29" ht="22.75" thickBot="1" x14ac:dyDescent="0.4">
      <c r="A1176" s="254"/>
      <c r="B1176" s="44"/>
      <c r="C1176" s="24"/>
      <c r="D1176" s="24"/>
      <c r="E1176" s="81" t="s">
        <v>188</v>
      </c>
      <c r="F1176" s="60" t="str">
        <f t="shared" ref="F1176:N1176" si="538">IF(((F1174="")*AND(F1175="")),"",(F1174-F1175)*2)</f>
        <v/>
      </c>
      <c r="G1176" s="60" t="str">
        <f t="shared" si="538"/>
        <v/>
      </c>
      <c r="H1176" s="60" t="str">
        <f t="shared" si="538"/>
        <v/>
      </c>
      <c r="I1176" s="60" t="str">
        <f t="shared" si="538"/>
        <v/>
      </c>
      <c r="J1176" s="60" t="str">
        <f t="shared" si="538"/>
        <v/>
      </c>
      <c r="K1176" s="60" t="str">
        <f t="shared" si="538"/>
        <v/>
      </c>
      <c r="L1176" s="60" t="str">
        <f t="shared" si="538"/>
        <v/>
      </c>
      <c r="M1176" s="60" t="str">
        <f t="shared" si="538"/>
        <v/>
      </c>
      <c r="N1176" s="60" t="str">
        <f t="shared" si="538"/>
        <v/>
      </c>
      <c r="O1176" s="81"/>
      <c r="P1176" s="81"/>
      <c r="Q1176" s="82"/>
      <c r="R1176" s="82"/>
      <c r="S1176" s="178"/>
      <c r="T1176" s="28"/>
      <c r="U1176" s="185"/>
      <c r="V1176" s="166"/>
      <c r="W1176" s="31"/>
      <c r="X1176" s="157"/>
      <c r="Y1176" s="157"/>
      <c r="Z1176" s="157"/>
      <c r="AA1176" s="157"/>
    </row>
    <row r="1177" spans="1:29" x14ac:dyDescent="0.25">
      <c r="A1177" s="249"/>
      <c r="B1177" s="257" t="s">
        <v>169</v>
      </c>
      <c r="C1177" s="24" t="s">
        <v>171</v>
      </c>
      <c r="D1177" s="24" t="s">
        <v>189</v>
      </c>
      <c r="E1177" s="81" t="s">
        <v>186</v>
      </c>
      <c r="F1177" s="166"/>
      <c r="G1177" s="166"/>
      <c r="H1177" s="166"/>
      <c r="I1177" s="166"/>
      <c r="J1177" s="166"/>
      <c r="K1177" s="166"/>
      <c r="L1177" s="166"/>
      <c r="M1177" s="166"/>
      <c r="N1177" s="166"/>
      <c r="O1177" s="81" t="str">
        <f t="shared" ref="O1177" si="539">IF((N1178=""),"",MAX(F1179:N1179))</f>
        <v/>
      </c>
      <c r="P1177" s="81" t="str">
        <f t="shared" ref="P1177" si="540">IF(N1178="","",MIN(F1179:N1179))</f>
        <v/>
      </c>
      <c r="Q1177" s="82" t="str">
        <f t="shared" ref="Q1177" si="541">IF((N1179=""),"",AVERAGE(F1179:N1179))</f>
        <v/>
      </c>
      <c r="R1177" s="82" t="str">
        <f t="shared" ref="R1177" si="542">IF((N1178=""),"",(O1177-P1177)/(O1177+P1177)*100)</f>
        <v/>
      </c>
      <c r="S1177" s="178" t="e">
        <f t="shared" ref="S1177" si="543">STDEV(F1179:N1179)</f>
        <v>#DIV/0!</v>
      </c>
      <c r="T1177" s="23" t="str">
        <f t="shared" ref="T1177" si="544">IF(N1178="","",IF(Q1177&gt;1940,IF(R1177&lt;8.3,IF(Q1177&lt;2180,"Pass","Fail"),"Fail"),"Fail"))</f>
        <v/>
      </c>
      <c r="U1177" s="188"/>
      <c r="V1177" s="166"/>
      <c r="W1177" s="31"/>
      <c r="X1177" s="155">
        <v>2000</v>
      </c>
      <c r="Y1177" s="155">
        <v>3000</v>
      </c>
      <c r="Z1177" s="155">
        <v>1940</v>
      </c>
      <c r="AA1177" s="155">
        <v>2180</v>
      </c>
      <c r="AC1177" s="51">
        <v>5.2</v>
      </c>
    </row>
    <row r="1178" spans="1:29" ht="16.100000000000001" x14ac:dyDescent="0.35">
      <c r="A1178" s="254"/>
      <c r="B1178" s="44"/>
      <c r="C1178" s="24"/>
      <c r="D1178" s="24"/>
      <c r="E1178" s="81" t="s">
        <v>187</v>
      </c>
      <c r="F1178" s="166"/>
      <c r="G1178" s="166"/>
      <c r="H1178" s="166"/>
      <c r="I1178" s="166"/>
      <c r="J1178" s="166"/>
      <c r="K1178" s="166"/>
      <c r="L1178" s="166"/>
      <c r="M1178" s="166"/>
      <c r="N1178" s="166"/>
      <c r="O1178" s="81"/>
      <c r="P1178" s="81"/>
      <c r="Q1178" s="82"/>
      <c r="R1178" s="82"/>
      <c r="S1178" s="178"/>
      <c r="T1178" s="23"/>
      <c r="U1178" s="179"/>
      <c r="V1178" s="212"/>
      <c r="W1178" s="31"/>
      <c r="X1178" s="157"/>
      <c r="Y1178" s="157"/>
      <c r="Z1178" s="157"/>
      <c r="AA1178" s="157"/>
    </row>
    <row r="1179" spans="1:29" ht="16.649999999999999" thickBot="1" x14ac:dyDescent="0.4">
      <c r="A1179" s="254"/>
      <c r="B1179" s="44"/>
      <c r="C1179" s="24"/>
      <c r="D1179" s="24"/>
      <c r="E1179" s="81" t="s">
        <v>190</v>
      </c>
      <c r="F1179" s="60" t="str">
        <f t="shared" ref="F1179:N1179" si="545">IF(((F1177="")*AND(F1178="")),"",(F1177-F1178)*3)</f>
        <v/>
      </c>
      <c r="G1179" s="60" t="str">
        <f t="shared" si="545"/>
        <v/>
      </c>
      <c r="H1179" s="60" t="str">
        <f t="shared" si="545"/>
        <v/>
      </c>
      <c r="I1179" s="60" t="str">
        <f t="shared" si="545"/>
        <v/>
      </c>
      <c r="J1179" s="60" t="str">
        <f t="shared" si="545"/>
        <v/>
      </c>
      <c r="K1179" s="60" t="str">
        <f t="shared" si="545"/>
        <v/>
      </c>
      <c r="L1179" s="60" t="str">
        <f t="shared" si="545"/>
        <v/>
      </c>
      <c r="M1179" s="60" t="str">
        <f t="shared" si="545"/>
        <v/>
      </c>
      <c r="N1179" s="60" t="str">
        <f t="shared" si="545"/>
        <v/>
      </c>
      <c r="O1179" s="81"/>
      <c r="P1179" s="81"/>
      <c r="Q1179" s="82"/>
      <c r="R1179" s="82"/>
      <c r="S1179" s="178"/>
      <c r="T1179" s="23"/>
      <c r="U1179" s="179"/>
      <c r="V1179" s="212"/>
      <c r="W1179" s="31"/>
      <c r="X1179" s="157"/>
      <c r="Y1179" s="157"/>
      <c r="Z1179" s="157"/>
      <c r="AA1179" s="157"/>
    </row>
    <row r="1180" spans="1:29" x14ac:dyDescent="0.25">
      <c r="A1180" s="249"/>
      <c r="B1180" s="260" t="s">
        <v>185</v>
      </c>
      <c r="C1180" s="24" t="s">
        <v>173</v>
      </c>
      <c r="D1180" s="24" t="s">
        <v>172</v>
      </c>
      <c r="E1180" s="81" t="s">
        <v>186</v>
      </c>
      <c r="F1180" s="166"/>
      <c r="G1180" s="166"/>
      <c r="H1180" s="166"/>
      <c r="I1180" s="166"/>
      <c r="J1180" s="166"/>
      <c r="K1180" s="166"/>
      <c r="L1180" s="166"/>
      <c r="M1180" s="166"/>
      <c r="N1180" s="166"/>
      <c r="O1180" s="81" t="str">
        <f t="shared" ref="O1180" si="546">IF((N1181=""),"",MAX(F1182:N1182))</f>
        <v/>
      </c>
      <c r="P1180" s="81" t="str">
        <f t="shared" ref="P1180" si="547">IF(N1181="","",MIN(F1182:N1182))</f>
        <v/>
      </c>
      <c r="Q1180" s="82" t="str">
        <f t="shared" ref="Q1180" si="548">IF((N1182=""),"",AVERAGE(F1182:N1182))</f>
        <v/>
      </c>
      <c r="R1180" s="82" t="str">
        <f t="shared" ref="R1180" si="549">IF((N1181=""),"",(O1180-P1180)/(O1180+P1180)*100)</f>
        <v/>
      </c>
      <c r="S1180" s="178" t="e">
        <f t="shared" ref="S1180" si="550">STDEV(F1182:N1182)</f>
        <v>#DIV/0!</v>
      </c>
      <c r="T1180" s="23" t="str">
        <f t="shared" ref="T1180" si="551">IF(N1181="","",IF(R1180&lt;16,IF(Q1180&gt;3200,IF(R1180,IF(Q1180&lt;5240,"Pass","Fail"),"Fail"),"Fail")))</f>
        <v/>
      </c>
      <c r="U1180" s="188"/>
      <c r="V1180" s="166"/>
      <c r="W1180" s="31"/>
      <c r="X1180" s="155">
        <v>4200</v>
      </c>
      <c r="Y1180" s="155">
        <v>5500</v>
      </c>
      <c r="Z1180" s="155">
        <v>3200</v>
      </c>
      <c r="AA1180" s="155">
        <v>5240</v>
      </c>
      <c r="AC1180" s="51">
        <v>16</v>
      </c>
    </row>
    <row r="1181" spans="1:29" ht="16.100000000000001" x14ac:dyDescent="0.35">
      <c r="A1181" s="254"/>
      <c r="B1181" s="44"/>
      <c r="C1181" s="24"/>
      <c r="D1181" s="24"/>
      <c r="E1181" s="81" t="s">
        <v>187</v>
      </c>
      <c r="F1181" s="166"/>
      <c r="G1181" s="166"/>
      <c r="H1181" s="166"/>
      <c r="I1181" s="166"/>
      <c r="J1181" s="166"/>
      <c r="K1181" s="166"/>
      <c r="L1181" s="166"/>
      <c r="M1181" s="166"/>
      <c r="N1181" s="166"/>
      <c r="O1181" s="166"/>
      <c r="P1181" s="81"/>
      <c r="Q1181" s="82"/>
      <c r="R1181" s="82"/>
      <c r="S1181" s="178"/>
      <c r="T1181" s="23"/>
      <c r="U1181" s="179"/>
      <c r="V1181" s="212"/>
      <c r="W1181" s="31"/>
      <c r="X1181" s="157"/>
      <c r="Y1181" s="157"/>
      <c r="Z1181" s="157"/>
      <c r="AA1181" s="157"/>
    </row>
    <row r="1182" spans="1:29" ht="22.75" thickBot="1" x14ac:dyDescent="0.4">
      <c r="A1182" s="255"/>
      <c r="B1182" s="83"/>
      <c r="C1182" s="84"/>
      <c r="D1182" s="84"/>
      <c r="E1182" s="81" t="s">
        <v>188</v>
      </c>
      <c r="F1182" s="73" t="str">
        <f t="shared" ref="F1182:N1182" si="552">IF(((F1180="")*AND(F1181="")),"",(F1180-F1181)*3)</f>
        <v/>
      </c>
      <c r="G1182" s="73" t="str">
        <f t="shared" si="552"/>
        <v/>
      </c>
      <c r="H1182" s="73" t="str">
        <f t="shared" si="552"/>
        <v/>
      </c>
      <c r="I1182" s="73" t="str">
        <f t="shared" si="552"/>
        <v/>
      </c>
      <c r="J1182" s="73" t="str">
        <f t="shared" si="552"/>
        <v/>
      </c>
      <c r="K1182" s="73" t="str">
        <f t="shared" si="552"/>
        <v/>
      </c>
      <c r="L1182" s="73" t="str">
        <f t="shared" si="552"/>
        <v/>
      </c>
      <c r="M1182" s="73" t="str">
        <f t="shared" si="552"/>
        <v/>
      </c>
      <c r="N1182" s="73" t="str">
        <f t="shared" si="552"/>
        <v/>
      </c>
      <c r="O1182" s="85"/>
      <c r="P1182" s="85"/>
      <c r="Q1182" s="86"/>
      <c r="R1182" s="86"/>
      <c r="S1182" s="181"/>
      <c r="T1182" s="182"/>
      <c r="U1182" s="183"/>
      <c r="V1182" s="212"/>
      <c r="W1182" s="31"/>
      <c r="X1182" s="157"/>
      <c r="Y1182" s="157"/>
      <c r="Z1182" s="157"/>
      <c r="AA1182" s="157"/>
    </row>
    <row r="1183" spans="1:29" x14ac:dyDescent="0.25">
      <c r="A1183" s="251"/>
      <c r="B1183" s="259" t="s">
        <v>174</v>
      </c>
      <c r="C1183" s="64" t="s">
        <v>176</v>
      </c>
      <c r="D1183" s="64" t="s">
        <v>175</v>
      </c>
      <c r="E1183" s="81" t="s">
        <v>186</v>
      </c>
      <c r="F1183" s="165"/>
      <c r="G1183" s="165"/>
      <c r="H1183" s="165"/>
      <c r="I1183" s="165"/>
      <c r="J1183" s="165"/>
      <c r="K1183" s="165"/>
      <c r="L1183" s="165"/>
      <c r="M1183" s="165"/>
      <c r="N1183" s="165"/>
      <c r="O1183" s="79" t="str">
        <f t="shared" ref="O1183" si="553">IF((N1184=""),"",MAX(F1185:N1185))</f>
        <v/>
      </c>
      <c r="P1183" s="79" t="str">
        <f t="shared" ref="P1183" si="554">IF(N1184="","",MIN(F1185:N1185))</f>
        <v/>
      </c>
      <c r="Q1183" s="80" t="str">
        <f t="shared" ref="Q1183" si="555">IF((N1185=""),"",AVERAGE(F1185:N1185))</f>
        <v/>
      </c>
      <c r="R1183" s="80" t="str">
        <f t="shared" ref="R1183" si="556">IF((N1184=""),"",(O1183-P1183)/(O1183+P1183)*100)</f>
        <v/>
      </c>
      <c r="S1183" s="170" t="e">
        <f t="shared" ref="S1183" si="557">STDEV(F1185:N1185)</f>
        <v>#DIV/0!</v>
      </c>
      <c r="T1183" s="176" t="str">
        <f t="shared" ref="T1183" si="558">IF(N1184="","",IF(Q1183&gt;3650,IF(R1183&lt;7,IF(Q1183&lt;4450,"Pass","Fail"),"Fail"),"Fail"))</f>
        <v/>
      </c>
      <c r="U1183" s="188"/>
      <c r="V1183" s="166"/>
      <c r="W1183" s="31"/>
      <c r="X1183" s="155">
        <v>3650</v>
      </c>
      <c r="Y1183" s="155">
        <v>4450</v>
      </c>
      <c r="Z1183" s="155">
        <v>3700</v>
      </c>
      <c r="AA1183" s="155">
        <v>4100</v>
      </c>
      <c r="AB1183" s="51">
        <v>7</v>
      </c>
      <c r="AC1183" s="51">
        <v>6.5</v>
      </c>
    </row>
    <row r="1184" spans="1:29" ht="16.100000000000001" x14ac:dyDescent="0.35">
      <c r="A1184" s="254"/>
      <c r="B1184" s="44"/>
      <c r="C1184" s="24"/>
      <c r="D1184" s="24"/>
      <c r="E1184" s="81" t="s">
        <v>187</v>
      </c>
      <c r="F1184" s="166"/>
      <c r="G1184" s="166"/>
      <c r="H1184" s="166"/>
      <c r="I1184" s="166"/>
      <c r="J1184" s="166"/>
      <c r="K1184" s="166"/>
      <c r="L1184" s="166"/>
      <c r="M1184" s="166"/>
      <c r="N1184" s="166"/>
      <c r="O1184" s="81"/>
      <c r="P1184" s="81"/>
      <c r="Q1184" s="82"/>
      <c r="R1184" s="82"/>
      <c r="S1184" s="178"/>
      <c r="T1184" s="28"/>
      <c r="U1184" s="185"/>
      <c r="V1184" s="166"/>
      <c r="W1184" s="31"/>
      <c r="X1184" s="157"/>
      <c r="Y1184" s="157"/>
      <c r="Z1184" s="157"/>
      <c r="AA1184" s="157"/>
    </row>
    <row r="1185" spans="1:29" ht="22.75" thickBot="1" x14ac:dyDescent="0.4">
      <c r="A1185" s="254"/>
      <c r="B1185" s="44"/>
      <c r="C1185" s="24"/>
      <c r="D1185" s="24"/>
      <c r="E1185" s="81" t="s">
        <v>188</v>
      </c>
      <c r="F1185" s="60" t="str">
        <f t="shared" ref="F1185:N1185" si="559">IF(((F1183="")*AND(F1184="")),"",(F1183-F1184)*2)</f>
        <v/>
      </c>
      <c r="G1185" s="60" t="str">
        <f t="shared" si="559"/>
        <v/>
      </c>
      <c r="H1185" s="60" t="str">
        <f t="shared" si="559"/>
        <v/>
      </c>
      <c r="I1185" s="60" t="str">
        <f t="shared" si="559"/>
        <v/>
      </c>
      <c r="J1185" s="60" t="str">
        <f t="shared" si="559"/>
        <v/>
      </c>
      <c r="K1185" s="60" t="str">
        <f t="shared" si="559"/>
        <v/>
      </c>
      <c r="L1185" s="60" t="str">
        <f t="shared" si="559"/>
        <v/>
      </c>
      <c r="M1185" s="60" t="str">
        <f t="shared" si="559"/>
        <v/>
      </c>
      <c r="N1185" s="60" t="str">
        <f t="shared" si="559"/>
        <v/>
      </c>
      <c r="O1185" s="81"/>
      <c r="P1185" s="81"/>
      <c r="Q1185" s="82"/>
      <c r="R1185" s="82"/>
      <c r="S1185" s="178"/>
      <c r="T1185" s="28"/>
      <c r="U1185" s="185"/>
      <c r="V1185" s="166"/>
      <c r="W1185" s="31"/>
      <c r="X1185" s="157"/>
      <c r="Y1185" s="157"/>
      <c r="Z1185" s="157"/>
      <c r="AA1185" s="157"/>
    </row>
    <row r="1186" spans="1:29" x14ac:dyDescent="0.25">
      <c r="A1186" s="249"/>
      <c r="B1186" s="257" t="s">
        <v>169</v>
      </c>
      <c r="C1186" s="24" t="s">
        <v>171</v>
      </c>
      <c r="D1186" s="24" t="s">
        <v>189</v>
      </c>
      <c r="E1186" s="81" t="s">
        <v>186</v>
      </c>
      <c r="F1186" s="166"/>
      <c r="G1186" s="166"/>
      <c r="H1186" s="166"/>
      <c r="I1186" s="166"/>
      <c r="J1186" s="166"/>
      <c r="K1186" s="166"/>
      <c r="L1186" s="166"/>
      <c r="M1186" s="166"/>
      <c r="N1186" s="166"/>
      <c r="O1186" s="81" t="str">
        <f t="shared" ref="O1186" si="560">IF((N1187=""),"",MAX(F1188:N1188))</f>
        <v/>
      </c>
      <c r="P1186" s="81" t="str">
        <f t="shared" ref="P1186" si="561">IF(N1187="","",MIN(F1188:N1188))</f>
        <v/>
      </c>
      <c r="Q1186" s="82" t="str">
        <f t="shared" ref="Q1186" si="562">IF((N1188=""),"",AVERAGE(F1188:N1188))</f>
        <v/>
      </c>
      <c r="R1186" s="82" t="str">
        <f t="shared" ref="R1186" si="563">IF((N1187=""),"",(O1186-P1186)/(O1186+P1186)*100)</f>
        <v/>
      </c>
      <c r="S1186" s="178" t="e">
        <f t="shared" ref="S1186" si="564">STDEV(F1188:N1188)</f>
        <v>#DIV/0!</v>
      </c>
      <c r="T1186" s="23" t="str">
        <f t="shared" ref="T1186" si="565">IF(N1187="","",IF(Q1186&gt;1940,IF(R1186&lt;8.3,IF(Q1186&lt;2180,"Pass","Fail"),"Fail"),"Fail"))</f>
        <v/>
      </c>
      <c r="U1186" s="188"/>
      <c r="V1186" s="166"/>
      <c r="W1186" s="31"/>
      <c r="X1186" s="155">
        <v>2000</v>
      </c>
      <c r="Y1186" s="155">
        <v>3000</v>
      </c>
      <c r="Z1186" s="155">
        <v>1940</v>
      </c>
      <c r="AA1186" s="155">
        <v>2180</v>
      </c>
      <c r="AC1186" s="51">
        <v>5.2</v>
      </c>
    </row>
    <row r="1187" spans="1:29" ht="16.100000000000001" x14ac:dyDescent="0.35">
      <c r="A1187" s="254"/>
      <c r="B1187" s="44"/>
      <c r="C1187" s="24"/>
      <c r="D1187" s="24"/>
      <c r="E1187" s="81" t="s">
        <v>187</v>
      </c>
      <c r="F1187" s="166"/>
      <c r="G1187" s="166"/>
      <c r="H1187" s="166"/>
      <c r="I1187" s="166"/>
      <c r="J1187" s="166"/>
      <c r="K1187" s="166"/>
      <c r="L1187" s="166"/>
      <c r="M1187" s="166"/>
      <c r="N1187" s="166"/>
      <c r="O1187" s="81"/>
      <c r="P1187" s="81"/>
      <c r="Q1187" s="82"/>
      <c r="R1187" s="82"/>
      <c r="S1187" s="178"/>
      <c r="T1187" s="23"/>
      <c r="U1187" s="179"/>
      <c r="V1187" s="212"/>
      <c r="W1187" s="31"/>
      <c r="X1187" s="157"/>
      <c r="Y1187" s="157"/>
      <c r="Z1187" s="157"/>
      <c r="AA1187" s="157"/>
    </row>
    <row r="1188" spans="1:29" ht="16.649999999999999" thickBot="1" x14ac:dyDescent="0.4">
      <c r="A1188" s="254"/>
      <c r="B1188" s="44"/>
      <c r="C1188" s="24"/>
      <c r="D1188" s="24"/>
      <c r="E1188" s="81" t="s">
        <v>190</v>
      </c>
      <c r="F1188" s="60" t="str">
        <f t="shared" ref="F1188:N1188" si="566">IF(((F1186="")*AND(F1187="")),"",(F1186-F1187)*3)</f>
        <v/>
      </c>
      <c r="G1188" s="60" t="str">
        <f t="shared" si="566"/>
        <v/>
      </c>
      <c r="H1188" s="60" t="str">
        <f t="shared" si="566"/>
        <v/>
      </c>
      <c r="I1188" s="60" t="str">
        <f t="shared" si="566"/>
        <v/>
      </c>
      <c r="J1188" s="60" t="str">
        <f t="shared" si="566"/>
        <v/>
      </c>
      <c r="K1188" s="60" t="str">
        <f t="shared" si="566"/>
        <v/>
      </c>
      <c r="L1188" s="60" t="str">
        <f t="shared" si="566"/>
        <v/>
      </c>
      <c r="M1188" s="60" t="str">
        <f t="shared" si="566"/>
        <v/>
      </c>
      <c r="N1188" s="60" t="str">
        <f t="shared" si="566"/>
        <v/>
      </c>
      <c r="O1188" s="81"/>
      <c r="P1188" s="81"/>
      <c r="Q1188" s="82"/>
      <c r="R1188" s="82"/>
      <c r="S1188" s="178"/>
      <c r="T1188" s="23"/>
      <c r="U1188" s="179"/>
      <c r="V1188" s="212"/>
      <c r="W1188" s="31"/>
      <c r="X1188" s="157"/>
      <c r="Y1188" s="157"/>
      <c r="Z1188" s="157"/>
      <c r="AA1188" s="157"/>
    </row>
    <row r="1189" spans="1:29" x14ac:dyDescent="0.25">
      <c r="A1189" s="249"/>
      <c r="B1189" s="260" t="s">
        <v>185</v>
      </c>
      <c r="C1189" s="24" t="s">
        <v>173</v>
      </c>
      <c r="D1189" s="24" t="s">
        <v>172</v>
      </c>
      <c r="E1189" s="81" t="s">
        <v>186</v>
      </c>
      <c r="F1189" s="166"/>
      <c r="G1189" s="166"/>
      <c r="H1189" s="166"/>
      <c r="I1189" s="166"/>
      <c r="J1189" s="166"/>
      <c r="K1189" s="166"/>
      <c r="L1189" s="166"/>
      <c r="M1189" s="166"/>
      <c r="N1189" s="166"/>
      <c r="O1189" s="81" t="str">
        <f t="shared" ref="O1189" si="567">IF((N1190=""),"",MAX(F1191:N1191))</f>
        <v/>
      </c>
      <c r="P1189" s="81" t="str">
        <f t="shared" ref="P1189" si="568">IF(N1190="","",MIN(F1191:N1191))</f>
        <v/>
      </c>
      <c r="Q1189" s="82" t="str">
        <f t="shared" ref="Q1189" si="569">IF((N1191=""),"",AVERAGE(F1191:N1191))</f>
        <v/>
      </c>
      <c r="R1189" s="82" t="str">
        <f t="shared" ref="R1189" si="570">IF((N1190=""),"",(O1189-P1189)/(O1189+P1189)*100)</f>
        <v/>
      </c>
      <c r="S1189" s="178" t="e">
        <f t="shared" ref="S1189" si="571">STDEV(F1191:N1191)</f>
        <v>#DIV/0!</v>
      </c>
      <c r="T1189" s="23" t="str">
        <f t="shared" ref="T1189" si="572">IF(N1190="","",IF(R1189&lt;16,IF(Q1189&gt;3200,IF(R1189,IF(Q1189&lt;5240,"Pass","Fail"),"Fail"),"Fail")))</f>
        <v/>
      </c>
      <c r="U1189" s="188"/>
      <c r="V1189" s="166"/>
      <c r="W1189" s="31"/>
      <c r="X1189" s="155">
        <v>4200</v>
      </c>
      <c r="Y1189" s="155">
        <v>5500</v>
      </c>
      <c r="Z1189" s="155">
        <v>3200</v>
      </c>
      <c r="AA1189" s="155">
        <v>5240</v>
      </c>
      <c r="AC1189" s="51">
        <v>16</v>
      </c>
    </row>
    <row r="1190" spans="1:29" ht="16.100000000000001" x14ac:dyDescent="0.35">
      <c r="A1190" s="254"/>
      <c r="B1190" s="44"/>
      <c r="C1190" s="24"/>
      <c r="D1190" s="24"/>
      <c r="E1190" s="81" t="s">
        <v>187</v>
      </c>
      <c r="F1190" s="166"/>
      <c r="G1190" s="166"/>
      <c r="H1190" s="166"/>
      <c r="I1190" s="166"/>
      <c r="J1190" s="166"/>
      <c r="K1190" s="166"/>
      <c r="L1190" s="166"/>
      <c r="M1190" s="166"/>
      <c r="N1190" s="166"/>
      <c r="O1190" s="166"/>
      <c r="P1190" s="81"/>
      <c r="Q1190" s="82"/>
      <c r="R1190" s="82"/>
      <c r="S1190" s="178"/>
      <c r="T1190" s="23"/>
      <c r="U1190" s="179"/>
      <c r="V1190" s="212"/>
      <c r="W1190" s="31"/>
      <c r="X1190" s="157"/>
      <c r="Y1190" s="157"/>
      <c r="Z1190" s="157"/>
      <c r="AA1190" s="157"/>
    </row>
    <row r="1191" spans="1:29" ht="22.75" thickBot="1" x14ac:dyDescent="0.4">
      <c r="A1191" s="255"/>
      <c r="B1191" s="83"/>
      <c r="C1191" s="84"/>
      <c r="D1191" s="84"/>
      <c r="E1191" s="81" t="s">
        <v>188</v>
      </c>
      <c r="F1191" s="73" t="str">
        <f t="shared" ref="F1191:N1191" si="573">IF(((F1189="")*AND(F1190="")),"",(F1189-F1190)*3)</f>
        <v/>
      </c>
      <c r="G1191" s="73" t="str">
        <f t="shared" si="573"/>
        <v/>
      </c>
      <c r="H1191" s="73" t="str">
        <f t="shared" si="573"/>
        <v/>
      </c>
      <c r="I1191" s="73" t="str">
        <f t="shared" si="573"/>
        <v/>
      </c>
      <c r="J1191" s="73" t="str">
        <f t="shared" si="573"/>
        <v/>
      </c>
      <c r="K1191" s="73" t="str">
        <f t="shared" si="573"/>
        <v/>
      </c>
      <c r="L1191" s="73" t="str">
        <f t="shared" si="573"/>
        <v/>
      </c>
      <c r="M1191" s="73" t="str">
        <f t="shared" si="573"/>
        <v/>
      </c>
      <c r="N1191" s="73" t="str">
        <f t="shared" si="573"/>
        <v/>
      </c>
      <c r="O1191" s="85"/>
      <c r="P1191" s="85"/>
      <c r="Q1191" s="86"/>
      <c r="R1191" s="86"/>
      <c r="S1191" s="181"/>
      <c r="T1191" s="182"/>
      <c r="U1191" s="183"/>
      <c r="V1191" s="212"/>
      <c r="W1191" s="31"/>
      <c r="X1191" s="157"/>
      <c r="Y1191" s="157"/>
      <c r="Z1191" s="157"/>
      <c r="AA1191" s="157"/>
    </row>
    <row r="1192" spans="1:29" x14ac:dyDescent="0.25">
      <c r="A1192" s="251"/>
      <c r="B1192" s="259" t="s">
        <v>174</v>
      </c>
      <c r="C1192" s="64" t="s">
        <v>176</v>
      </c>
      <c r="D1192" s="64" t="s">
        <v>175</v>
      </c>
      <c r="E1192" s="81" t="s">
        <v>186</v>
      </c>
      <c r="F1192" s="165"/>
      <c r="G1192" s="165"/>
      <c r="H1192" s="165"/>
      <c r="I1192" s="165"/>
      <c r="J1192" s="165"/>
      <c r="K1192" s="165"/>
      <c r="L1192" s="165"/>
      <c r="M1192" s="165"/>
      <c r="N1192" s="165"/>
      <c r="O1192" s="79" t="str">
        <f t="shared" ref="O1192" si="574">IF((N1193=""),"",MAX(F1194:N1194))</f>
        <v/>
      </c>
      <c r="P1192" s="79" t="str">
        <f t="shared" ref="P1192" si="575">IF(N1193="","",MIN(F1194:N1194))</f>
        <v/>
      </c>
      <c r="Q1192" s="80" t="str">
        <f t="shared" ref="Q1192" si="576">IF((N1194=""),"",AVERAGE(F1194:N1194))</f>
        <v/>
      </c>
      <c r="R1192" s="80" t="str">
        <f t="shared" ref="R1192" si="577">IF((N1193=""),"",(O1192-P1192)/(O1192+P1192)*100)</f>
        <v/>
      </c>
      <c r="S1192" s="170" t="e">
        <f t="shared" ref="S1192" si="578">STDEV(F1194:N1194)</f>
        <v>#DIV/0!</v>
      </c>
      <c r="T1192" s="176" t="str">
        <f t="shared" ref="T1192" si="579">IF(N1193="","",IF(Q1192&gt;3650,IF(R1192&lt;7,IF(Q1192&lt;4450,"Pass","Fail"),"Fail"),"Fail"))</f>
        <v/>
      </c>
      <c r="U1192" s="188"/>
      <c r="V1192" s="166"/>
      <c r="W1192" s="31"/>
      <c r="X1192" s="155">
        <v>3650</v>
      </c>
      <c r="Y1192" s="155">
        <v>4450</v>
      </c>
      <c r="Z1192" s="155">
        <v>3700</v>
      </c>
      <c r="AA1192" s="155">
        <v>4100</v>
      </c>
      <c r="AB1192" s="51">
        <v>7</v>
      </c>
      <c r="AC1192" s="51">
        <v>6.5</v>
      </c>
    </row>
    <row r="1193" spans="1:29" ht="16.100000000000001" x14ac:dyDescent="0.35">
      <c r="A1193" s="254"/>
      <c r="B1193" s="44"/>
      <c r="C1193" s="24"/>
      <c r="D1193" s="24"/>
      <c r="E1193" s="81" t="s">
        <v>187</v>
      </c>
      <c r="F1193" s="166"/>
      <c r="G1193" s="166"/>
      <c r="H1193" s="166"/>
      <c r="I1193" s="166"/>
      <c r="J1193" s="166"/>
      <c r="K1193" s="166"/>
      <c r="L1193" s="166"/>
      <c r="M1193" s="166"/>
      <c r="N1193" s="166"/>
      <c r="O1193" s="81"/>
      <c r="P1193" s="81"/>
      <c r="Q1193" s="82"/>
      <c r="R1193" s="82"/>
      <c r="S1193" s="178"/>
      <c r="T1193" s="28"/>
      <c r="U1193" s="185"/>
      <c r="V1193" s="166"/>
      <c r="W1193" s="31"/>
      <c r="X1193" s="157"/>
      <c r="Y1193" s="157"/>
      <c r="Z1193" s="157"/>
      <c r="AA1193" s="157"/>
    </row>
    <row r="1194" spans="1:29" ht="22.75" thickBot="1" x14ac:dyDescent="0.4">
      <c r="A1194" s="254"/>
      <c r="B1194" s="44"/>
      <c r="C1194" s="24"/>
      <c r="D1194" s="24"/>
      <c r="E1194" s="81" t="s">
        <v>188</v>
      </c>
      <c r="F1194" s="60" t="str">
        <f t="shared" ref="F1194:N1194" si="580">IF(((F1192="")*AND(F1193="")),"",(F1192-F1193)*2)</f>
        <v/>
      </c>
      <c r="G1194" s="60" t="str">
        <f t="shared" si="580"/>
        <v/>
      </c>
      <c r="H1194" s="60" t="str">
        <f t="shared" si="580"/>
        <v/>
      </c>
      <c r="I1194" s="60" t="str">
        <f t="shared" si="580"/>
        <v/>
      </c>
      <c r="J1194" s="60" t="str">
        <f t="shared" si="580"/>
        <v/>
      </c>
      <c r="K1194" s="60" t="str">
        <f t="shared" si="580"/>
        <v/>
      </c>
      <c r="L1194" s="60" t="str">
        <f t="shared" si="580"/>
        <v/>
      </c>
      <c r="M1194" s="60" t="str">
        <f t="shared" si="580"/>
        <v/>
      </c>
      <c r="N1194" s="60" t="str">
        <f t="shared" si="580"/>
        <v/>
      </c>
      <c r="O1194" s="81"/>
      <c r="P1194" s="81"/>
      <c r="Q1194" s="82"/>
      <c r="R1194" s="82"/>
      <c r="S1194" s="178"/>
      <c r="T1194" s="28"/>
      <c r="U1194" s="185"/>
      <c r="V1194" s="166"/>
      <c r="W1194" s="31"/>
      <c r="X1194" s="157"/>
      <c r="Y1194" s="157"/>
      <c r="Z1194" s="157"/>
      <c r="AA1194" s="157"/>
    </row>
    <row r="1195" spans="1:29" x14ac:dyDescent="0.25">
      <c r="A1195" s="249"/>
      <c r="B1195" s="257" t="s">
        <v>169</v>
      </c>
      <c r="C1195" s="24" t="s">
        <v>171</v>
      </c>
      <c r="D1195" s="24" t="s">
        <v>189</v>
      </c>
      <c r="E1195" s="81" t="s">
        <v>186</v>
      </c>
      <c r="F1195" s="166"/>
      <c r="G1195" s="166"/>
      <c r="H1195" s="166"/>
      <c r="I1195" s="166"/>
      <c r="J1195" s="166"/>
      <c r="K1195" s="166"/>
      <c r="L1195" s="166"/>
      <c r="M1195" s="166"/>
      <c r="N1195" s="166"/>
      <c r="O1195" s="81" t="str">
        <f t="shared" ref="O1195" si="581">IF((N1196=""),"",MAX(F1197:N1197))</f>
        <v/>
      </c>
      <c r="P1195" s="81" t="str">
        <f t="shared" ref="P1195" si="582">IF(N1196="","",MIN(F1197:N1197))</f>
        <v/>
      </c>
      <c r="Q1195" s="82" t="str">
        <f t="shared" ref="Q1195" si="583">IF((N1197=""),"",AVERAGE(F1197:N1197))</f>
        <v/>
      </c>
      <c r="R1195" s="82" t="str">
        <f t="shared" ref="R1195" si="584">IF((N1196=""),"",(O1195-P1195)/(O1195+P1195)*100)</f>
        <v/>
      </c>
      <c r="S1195" s="178" t="e">
        <f t="shared" ref="S1195" si="585">STDEV(F1197:N1197)</f>
        <v>#DIV/0!</v>
      </c>
      <c r="T1195" s="23" t="str">
        <f t="shared" ref="T1195" si="586">IF(N1196="","",IF(Q1195&gt;1940,IF(R1195&lt;8.3,IF(Q1195&lt;2180,"Pass","Fail"),"Fail"),"Fail"))</f>
        <v/>
      </c>
      <c r="U1195" s="188"/>
      <c r="V1195" s="166"/>
      <c r="W1195" s="31"/>
      <c r="X1195" s="155">
        <v>2000</v>
      </c>
      <c r="Y1195" s="155">
        <v>3000</v>
      </c>
      <c r="Z1195" s="155">
        <v>1940</v>
      </c>
      <c r="AA1195" s="155">
        <v>2180</v>
      </c>
      <c r="AC1195" s="51">
        <v>5.2</v>
      </c>
    </row>
    <row r="1196" spans="1:29" ht="16.100000000000001" x14ac:dyDescent="0.35">
      <c r="A1196" s="254"/>
      <c r="B1196" s="44"/>
      <c r="C1196" s="24"/>
      <c r="D1196" s="24"/>
      <c r="E1196" s="81" t="s">
        <v>187</v>
      </c>
      <c r="F1196" s="166"/>
      <c r="G1196" s="166"/>
      <c r="H1196" s="166"/>
      <c r="I1196" s="166"/>
      <c r="J1196" s="166"/>
      <c r="K1196" s="166"/>
      <c r="L1196" s="166"/>
      <c r="M1196" s="166"/>
      <c r="N1196" s="166"/>
      <c r="O1196" s="81"/>
      <c r="P1196" s="81"/>
      <c r="Q1196" s="82"/>
      <c r="R1196" s="82"/>
      <c r="S1196" s="178"/>
      <c r="T1196" s="23"/>
      <c r="U1196" s="179"/>
      <c r="V1196" s="212"/>
      <c r="W1196" s="31"/>
      <c r="X1196" s="157"/>
      <c r="Y1196" s="157"/>
      <c r="Z1196" s="157"/>
      <c r="AA1196" s="157"/>
    </row>
    <row r="1197" spans="1:29" ht="16.649999999999999" thickBot="1" x14ac:dyDescent="0.4">
      <c r="A1197" s="254"/>
      <c r="B1197" s="44"/>
      <c r="C1197" s="24"/>
      <c r="D1197" s="24"/>
      <c r="E1197" s="81" t="s">
        <v>190</v>
      </c>
      <c r="F1197" s="60" t="str">
        <f t="shared" ref="F1197:N1197" si="587">IF(((F1195="")*AND(F1196="")),"",(F1195-F1196)*3)</f>
        <v/>
      </c>
      <c r="G1197" s="60" t="str">
        <f t="shared" si="587"/>
        <v/>
      </c>
      <c r="H1197" s="60" t="str">
        <f t="shared" si="587"/>
        <v/>
      </c>
      <c r="I1197" s="60" t="str">
        <f t="shared" si="587"/>
        <v/>
      </c>
      <c r="J1197" s="60" t="str">
        <f t="shared" si="587"/>
        <v/>
      </c>
      <c r="K1197" s="60" t="str">
        <f t="shared" si="587"/>
        <v/>
      </c>
      <c r="L1197" s="60" t="str">
        <f t="shared" si="587"/>
        <v/>
      </c>
      <c r="M1197" s="60" t="str">
        <f t="shared" si="587"/>
        <v/>
      </c>
      <c r="N1197" s="60" t="str">
        <f t="shared" si="587"/>
        <v/>
      </c>
      <c r="O1197" s="81"/>
      <c r="P1197" s="81"/>
      <c r="Q1197" s="82"/>
      <c r="R1197" s="82"/>
      <c r="S1197" s="178"/>
      <c r="T1197" s="23"/>
      <c r="U1197" s="179"/>
      <c r="V1197" s="212"/>
      <c r="W1197" s="31"/>
      <c r="X1197" s="157"/>
      <c r="Y1197" s="157"/>
      <c r="Z1197" s="157"/>
      <c r="AA1197" s="157"/>
    </row>
    <row r="1198" spans="1:29" x14ac:dyDescent="0.25">
      <c r="A1198" s="249"/>
      <c r="B1198" s="260" t="s">
        <v>185</v>
      </c>
      <c r="C1198" s="24" t="s">
        <v>173</v>
      </c>
      <c r="D1198" s="24" t="s">
        <v>172</v>
      </c>
      <c r="E1198" s="81" t="s">
        <v>186</v>
      </c>
      <c r="F1198" s="166"/>
      <c r="G1198" s="166"/>
      <c r="H1198" s="166"/>
      <c r="I1198" s="166"/>
      <c r="J1198" s="166"/>
      <c r="K1198" s="166"/>
      <c r="L1198" s="166"/>
      <c r="M1198" s="166"/>
      <c r="N1198" s="166"/>
      <c r="O1198" s="81" t="str">
        <f t="shared" ref="O1198" si="588">IF((N1199=""),"",MAX(F1200:N1200))</f>
        <v/>
      </c>
      <c r="P1198" s="81" t="str">
        <f t="shared" ref="P1198" si="589">IF(N1199="","",MIN(F1200:N1200))</f>
        <v/>
      </c>
      <c r="Q1198" s="82" t="str">
        <f t="shared" ref="Q1198" si="590">IF((N1200=""),"",AVERAGE(F1200:N1200))</f>
        <v/>
      </c>
      <c r="R1198" s="82" t="str">
        <f t="shared" ref="R1198" si="591">IF((N1199=""),"",(O1198-P1198)/(O1198+P1198)*100)</f>
        <v/>
      </c>
      <c r="S1198" s="178" t="e">
        <f t="shared" ref="S1198" si="592">STDEV(F1200:N1200)</f>
        <v>#DIV/0!</v>
      </c>
      <c r="T1198" s="23" t="str">
        <f t="shared" ref="T1198" si="593">IF(N1199="","",IF(R1198&lt;16,IF(Q1198&gt;3200,IF(R1198,IF(Q1198&lt;5240,"Pass","Fail"),"Fail"),"Fail")))</f>
        <v/>
      </c>
      <c r="U1198" s="188"/>
      <c r="V1198" s="166"/>
      <c r="W1198" s="31"/>
      <c r="X1198" s="155">
        <v>4200</v>
      </c>
      <c r="Y1198" s="155">
        <v>5500</v>
      </c>
      <c r="Z1198" s="155">
        <v>3200</v>
      </c>
      <c r="AA1198" s="155">
        <v>5240</v>
      </c>
      <c r="AC1198" s="51">
        <v>16</v>
      </c>
    </row>
    <row r="1199" spans="1:29" ht="16.100000000000001" x14ac:dyDescent="0.35">
      <c r="A1199" s="254"/>
      <c r="B1199" s="44"/>
      <c r="C1199" s="24"/>
      <c r="D1199" s="24"/>
      <c r="E1199" s="81" t="s">
        <v>187</v>
      </c>
      <c r="F1199" s="166"/>
      <c r="G1199" s="166"/>
      <c r="H1199" s="166"/>
      <c r="I1199" s="166"/>
      <c r="J1199" s="166"/>
      <c r="K1199" s="166"/>
      <c r="L1199" s="166"/>
      <c r="M1199" s="166"/>
      <c r="N1199" s="166"/>
      <c r="O1199" s="166"/>
      <c r="P1199" s="81"/>
      <c r="Q1199" s="82"/>
      <c r="R1199" s="82"/>
      <c r="S1199" s="178"/>
      <c r="T1199" s="23"/>
      <c r="U1199" s="179"/>
      <c r="V1199" s="212"/>
      <c r="W1199" s="31"/>
      <c r="X1199" s="157"/>
      <c r="Y1199" s="157"/>
      <c r="Z1199" s="157"/>
      <c r="AA1199" s="157"/>
    </row>
    <row r="1200" spans="1:29" ht="22.75" thickBot="1" x14ac:dyDescent="0.4">
      <c r="A1200" s="255"/>
      <c r="B1200" s="83"/>
      <c r="C1200" s="84"/>
      <c r="D1200" s="84"/>
      <c r="E1200" s="81" t="s">
        <v>188</v>
      </c>
      <c r="F1200" s="73" t="str">
        <f t="shared" ref="F1200:N1200" si="594">IF(((F1198="")*AND(F1199="")),"",(F1198-F1199)*3)</f>
        <v/>
      </c>
      <c r="G1200" s="73" t="str">
        <f t="shared" si="594"/>
        <v/>
      </c>
      <c r="H1200" s="73" t="str">
        <f t="shared" si="594"/>
        <v/>
      </c>
      <c r="I1200" s="73" t="str">
        <f t="shared" si="594"/>
        <v/>
      </c>
      <c r="J1200" s="73" t="str">
        <f t="shared" si="594"/>
        <v/>
      </c>
      <c r="K1200" s="73" t="str">
        <f t="shared" si="594"/>
        <v/>
      </c>
      <c r="L1200" s="73" t="str">
        <f t="shared" si="594"/>
        <v/>
      </c>
      <c r="M1200" s="73" t="str">
        <f t="shared" si="594"/>
        <v/>
      </c>
      <c r="N1200" s="73" t="str">
        <f t="shared" si="594"/>
        <v/>
      </c>
      <c r="O1200" s="85"/>
      <c r="P1200" s="85"/>
      <c r="Q1200" s="86"/>
      <c r="R1200" s="86"/>
      <c r="S1200" s="181"/>
      <c r="T1200" s="182"/>
      <c r="U1200" s="183"/>
      <c r="V1200" s="212"/>
      <c r="W1200" s="31"/>
      <c r="X1200" s="157"/>
      <c r="Y1200" s="157"/>
      <c r="Z1200" s="157"/>
      <c r="AA1200" s="157"/>
    </row>
    <row r="1201" spans="1:29" x14ac:dyDescent="0.25">
      <c r="A1201" s="251"/>
      <c r="B1201" s="259" t="s">
        <v>174</v>
      </c>
      <c r="C1201" s="64" t="s">
        <v>176</v>
      </c>
      <c r="D1201" s="64" t="s">
        <v>175</v>
      </c>
      <c r="E1201" s="81" t="s">
        <v>186</v>
      </c>
      <c r="F1201" s="165"/>
      <c r="G1201" s="165"/>
      <c r="H1201" s="165"/>
      <c r="I1201" s="165"/>
      <c r="J1201" s="165"/>
      <c r="K1201" s="165"/>
      <c r="L1201" s="165"/>
      <c r="M1201" s="165"/>
      <c r="N1201" s="165"/>
      <c r="O1201" s="79" t="str">
        <f t="shared" ref="O1201" si="595">IF((N1202=""),"",MAX(F1203:N1203))</f>
        <v/>
      </c>
      <c r="P1201" s="79" t="str">
        <f t="shared" ref="P1201" si="596">IF(N1202="","",MIN(F1203:N1203))</f>
        <v/>
      </c>
      <c r="Q1201" s="80" t="str">
        <f t="shared" ref="Q1201" si="597">IF((N1203=""),"",AVERAGE(F1203:N1203))</f>
        <v/>
      </c>
      <c r="R1201" s="80" t="str">
        <f t="shared" ref="R1201" si="598">IF((N1202=""),"",(O1201-P1201)/(O1201+P1201)*100)</f>
        <v/>
      </c>
      <c r="S1201" s="170" t="e">
        <f t="shared" ref="S1201" si="599">STDEV(F1203:N1203)</f>
        <v>#DIV/0!</v>
      </c>
      <c r="T1201" s="176" t="str">
        <f t="shared" ref="T1201" si="600">IF(N1202="","",IF(Q1201&gt;3650,IF(R1201&lt;7,IF(Q1201&lt;4450,"Pass","Fail"),"Fail"),"Fail"))</f>
        <v/>
      </c>
      <c r="U1201" s="188"/>
      <c r="V1201" s="166"/>
      <c r="W1201" s="31"/>
      <c r="X1201" s="155">
        <v>3650</v>
      </c>
      <c r="Y1201" s="155">
        <v>4450</v>
      </c>
      <c r="Z1201" s="155">
        <v>3700</v>
      </c>
      <c r="AA1201" s="155">
        <v>4100</v>
      </c>
      <c r="AB1201" s="51">
        <v>7</v>
      </c>
      <c r="AC1201" s="51">
        <v>6.5</v>
      </c>
    </row>
    <row r="1202" spans="1:29" ht="16.100000000000001" x14ac:dyDescent="0.35">
      <c r="A1202" s="254"/>
      <c r="B1202" s="44"/>
      <c r="C1202" s="24"/>
      <c r="D1202" s="24"/>
      <c r="E1202" s="81" t="s">
        <v>187</v>
      </c>
      <c r="F1202" s="166"/>
      <c r="G1202" s="166"/>
      <c r="H1202" s="166"/>
      <c r="I1202" s="166"/>
      <c r="J1202" s="166"/>
      <c r="K1202" s="166"/>
      <c r="L1202" s="166"/>
      <c r="M1202" s="166"/>
      <c r="N1202" s="166"/>
      <c r="O1202" s="81"/>
      <c r="P1202" s="81"/>
      <c r="Q1202" s="82"/>
      <c r="R1202" s="82"/>
      <c r="S1202" s="178"/>
      <c r="T1202" s="28"/>
      <c r="U1202" s="185"/>
      <c r="V1202" s="166"/>
      <c r="W1202" s="31"/>
      <c r="X1202" s="157"/>
      <c r="Y1202" s="157"/>
      <c r="Z1202" s="157"/>
      <c r="AA1202" s="157"/>
    </row>
    <row r="1203" spans="1:29" ht="22.75" thickBot="1" x14ac:dyDescent="0.4">
      <c r="A1203" s="254"/>
      <c r="B1203" s="44"/>
      <c r="C1203" s="24"/>
      <c r="D1203" s="24"/>
      <c r="E1203" s="81" t="s">
        <v>188</v>
      </c>
      <c r="F1203" s="60" t="str">
        <f t="shared" ref="F1203:N1203" si="601">IF(((F1201="")*AND(F1202="")),"",(F1201-F1202)*2)</f>
        <v/>
      </c>
      <c r="G1203" s="60" t="str">
        <f t="shared" si="601"/>
        <v/>
      </c>
      <c r="H1203" s="60" t="str">
        <f t="shared" si="601"/>
        <v/>
      </c>
      <c r="I1203" s="60" t="str">
        <f t="shared" si="601"/>
        <v/>
      </c>
      <c r="J1203" s="60" t="str">
        <f t="shared" si="601"/>
        <v/>
      </c>
      <c r="K1203" s="60" t="str">
        <f t="shared" si="601"/>
        <v/>
      </c>
      <c r="L1203" s="60" t="str">
        <f t="shared" si="601"/>
        <v/>
      </c>
      <c r="M1203" s="60" t="str">
        <f t="shared" si="601"/>
        <v/>
      </c>
      <c r="N1203" s="60" t="str">
        <f t="shared" si="601"/>
        <v/>
      </c>
      <c r="O1203" s="81"/>
      <c r="P1203" s="81"/>
      <c r="Q1203" s="82"/>
      <c r="R1203" s="82"/>
      <c r="S1203" s="178"/>
      <c r="T1203" s="28"/>
      <c r="U1203" s="185"/>
      <c r="V1203" s="166"/>
      <c r="W1203" s="31"/>
      <c r="X1203" s="157"/>
      <c r="Y1203" s="157"/>
      <c r="Z1203" s="157"/>
      <c r="AA1203" s="157"/>
    </row>
    <row r="1204" spans="1:29" x14ac:dyDescent="0.25">
      <c r="A1204" s="249"/>
      <c r="B1204" s="257" t="s">
        <v>169</v>
      </c>
      <c r="C1204" s="24" t="s">
        <v>171</v>
      </c>
      <c r="D1204" s="24" t="s">
        <v>189</v>
      </c>
      <c r="E1204" s="81" t="s">
        <v>186</v>
      </c>
      <c r="F1204" s="166"/>
      <c r="G1204" s="166"/>
      <c r="H1204" s="166"/>
      <c r="I1204" s="166"/>
      <c r="J1204" s="166"/>
      <c r="K1204" s="166"/>
      <c r="L1204" s="166"/>
      <c r="M1204" s="166"/>
      <c r="N1204" s="166"/>
      <c r="O1204" s="81" t="str">
        <f t="shared" ref="O1204" si="602">IF((N1205=""),"",MAX(F1206:N1206))</f>
        <v/>
      </c>
      <c r="P1204" s="81" t="str">
        <f t="shared" ref="P1204" si="603">IF(N1205="","",MIN(F1206:N1206))</f>
        <v/>
      </c>
      <c r="Q1204" s="82" t="str">
        <f t="shared" ref="Q1204" si="604">IF((N1206=""),"",AVERAGE(F1206:N1206))</f>
        <v/>
      </c>
      <c r="R1204" s="82" t="str">
        <f t="shared" ref="R1204" si="605">IF((N1205=""),"",(O1204-P1204)/(O1204+P1204)*100)</f>
        <v/>
      </c>
      <c r="S1204" s="178" t="e">
        <f t="shared" ref="S1204" si="606">STDEV(F1206:N1206)</f>
        <v>#DIV/0!</v>
      </c>
      <c r="T1204" s="23" t="str">
        <f t="shared" ref="T1204" si="607">IF(N1205="","",IF(Q1204&gt;1940,IF(R1204&lt;8.3,IF(Q1204&lt;2180,"Pass","Fail"),"Fail"),"Fail"))</f>
        <v/>
      </c>
      <c r="U1204" s="188"/>
      <c r="V1204" s="166"/>
      <c r="W1204" s="31"/>
      <c r="X1204" s="155">
        <v>2000</v>
      </c>
      <c r="Y1204" s="155">
        <v>3000</v>
      </c>
      <c r="Z1204" s="155">
        <v>1940</v>
      </c>
      <c r="AA1204" s="155">
        <v>2180</v>
      </c>
      <c r="AC1204" s="51">
        <v>5.2</v>
      </c>
    </row>
    <row r="1205" spans="1:29" ht="16.100000000000001" x14ac:dyDescent="0.35">
      <c r="A1205" s="254"/>
      <c r="B1205" s="44"/>
      <c r="C1205" s="24"/>
      <c r="D1205" s="24"/>
      <c r="E1205" s="81" t="s">
        <v>187</v>
      </c>
      <c r="F1205" s="166"/>
      <c r="G1205" s="166"/>
      <c r="H1205" s="166"/>
      <c r="I1205" s="166"/>
      <c r="J1205" s="166"/>
      <c r="K1205" s="166"/>
      <c r="L1205" s="166"/>
      <c r="M1205" s="166"/>
      <c r="N1205" s="166"/>
      <c r="O1205" s="81"/>
      <c r="P1205" s="81"/>
      <c r="Q1205" s="82"/>
      <c r="R1205" s="82"/>
      <c r="S1205" s="178"/>
      <c r="T1205" s="23"/>
      <c r="U1205" s="179"/>
      <c r="V1205" s="212"/>
      <c r="W1205" s="31"/>
      <c r="X1205" s="157"/>
      <c r="Y1205" s="157"/>
      <c r="Z1205" s="157"/>
      <c r="AA1205" s="157"/>
    </row>
    <row r="1206" spans="1:29" ht="16.649999999999999" thickBot="1" x14ac:dyDescent="0.4">
      <c r="A1206" s="254"/>
      <c r="B1206" s="44"/>
      <c r="C1206" s="24"/>
      <c r="D1206" s="24"/>
      <c r="E1206" s="81" t="s">
        <v>190</v>
      </c>
      <c r="F1206" s="60" t="str">
        <f t="shared" ref="F1206:N1206" si="608">IF(((F1204="")*AND(F1205="")),"",(F1204-F1205)*3)</f>
        <v/>
      </c>
      <c r="G1206" s="60" t="str">
        <f t="shared" si="608"/>
        <v/>
      </c>
      <c r="H1206" s="60" t="str">
        <f t="shared" si="608"/>
        <v/>
      </c>
      <c r="I1206" s="60" t="str">
        <f t="shared" si="608"/>
        <v/>
      </c>
      <c r="J1206" s="60" t="str">
        <f t="shared" si="608"/>
        <v/>
      </c>
      <c r="K1206" s="60" t="str">
        <f t="shared" si="608"/>
        <v/>
      </c>
      <c r="L1206" s="60" t="str">
        <f t="shared" si="608"/>
        <v/>
      </c>
      <c r="M1206" s="60" t="str">
        <f t="shared" si="608"/>
        <v/>
      </c>
      <c r="N1206" s="60" t="str">
        <f t="shared" si="608"/>
        <v/>
      </c>
      <c r="O1206" s="81"/>
      <c r="P1206" s="81"/>
      <c r="Q1206" s="82"/>
      <c r="R1206" s="82"/>
      <c r="S1206" s="178"/>
      <c r="T1206" s="23"/>
      <c r="U1206" s="179"/>
      <c r="V1206" s="212"/>
      <c r="W1206" s="31"/>
      <c r="X1206" s="157"/>
      <c r="Y1206" s="157"/>
      <c r="Z1206" s="157"/>
      <c r="AA1206" s="157"/>
    </row>
    <row r="1207" spans="1:29" x14ac:dyDescent="0.25">
      <c r="A1207" s="249"/>
      <c r="B1207" s="260" t="s">
        <v>185</v>
      </c>
      <c r="C1207" s="24" t="s">
        <v>173</v>
      </c>
      <c r="D1207" s="24" t="s">
        <v>172</v>
      </c>
      <c r="E1207" s="81" t="s">
        <v>186</v>
      </c>
      <c r="F1207" s="166"/>
      <c r="G1207" s="166"/>
      <c r="H1207" s="166"/>
      <c r="I1207" s="166"/>
      <c r="J1207" s="166"/>
      <c r="K1207" s="166"/>
      <c r="L1207" s="166"/>
      <c r="M1207" s="166"/>
      <c r="N1207" s="166"/>
      <c r="O1207" s="81" t="str">
        <f t="shared" ref="O1207" si="609">IF((N1208=""),"",MAX(F1209:N1209))</f>
        <v/>
      </c>
      <c r="P1207" s="81" t="str">
        <f t="shared" ref="P1207" si="610">IF(N1208="","",MIN(F1209:N1209))</f>
        <v/>
      </c>
      <c r="Q1207" s="82" t="str">
        <f t="shared" ref="Q1207" si="611">IF((N1209=""),"",AVERAGE(F1209:N1209))</f>
        <v/>
      </c>
      <c r="R1207" s="82" t="str">
        <f t="shared" ref="R1207" si="612">IF((N1208=""),"",(O1207-P1207)/(O1207+P1207)*100)</f>
        <v/>
      </c>
      <c r="S1207" s="178" t="e">
        <f t="shared" ref="S1207" si="613">STDEV(F1209:N1209)</f>
        <v>#DIV/0!</v>
      </c>
      <c r="T1207" s="23" t="str">
        <f t="shared" ref="T1207" si="614">IF(N1208="","",IF(R1207&lt;16,IF(Q1207&gt;3200,IF(R1207,IF(Q1207&lt;5240,"Pass","Fail"),"Fail"),"Fail")))</f>
        <v/>
      </c>
      <c r="U1207" s="188"/>
      <c r="V1207" s="166"/>
      <c r="W1207" s="31"/>
      <c r="X1207" s="155">
        <v>4200</v>
      </c>
      <c r="Y1207" s="155">
        <v>5500</v>
      </c>
      <c r="Z1207" s="155">
        <v>3200</v>
      </c>
      <c r="AA1207" s="155">
        <v>5240</v>
      </c>
      <c r="AC1207" s="51">
        <v>16</v>
      </c>
    </row>
    <row r="1208" spans="1:29" x14ac:dyDescent="0.25">
      <c r="E1208" s="81"/>
    </row>
  </sheetData>
  <autoFilter ref="A9:AC1207"/>
  <mergeCells count="9">
    <mergeCell ref="W952:W960"/>
    <mergeCell ref="W1018:W1026"/>
    <mergeCell ref="W1030:W1038"/>
    <mergeCell ref="E8:N8"/>
    <mergeCell ref="V361:V363"/>
    <mergeCell ref="V763:V771"/>
    <mergeCell ref="V772:V780"/>
    <mergeCell ref="V745:V753"/>
    <mergeCell ref="V754:V762"/>
  </mergeCells>
  <conditionalFormatting sqref="T1:T1065 T1102:T1048576">
    <cfRule type="cellIs" dxfId="189" priority="18" operator="equal">
      <formula>"Pass"</formula>
    </cfRule>
    <cfRule type="cellIs" dxfId="188" priority="17" operator="equal">
      <formula>"Fail"</formula>
    </cfRule>
  </conditionalFormatting>
  <conditionalFormatting sqref="T1093:T1101">
    <cfRule type="cellIs" dxfId="187" priority="11" operator="equal">
      <formula>"Fail"</formula>
    </cfRule>
    <cfRule type="cellIs" dxfId="186" priority="12" operator="equal">
      <formula>"Pass"</formula>
    </cfRule>
  </conditionalFormatting>
  <conditionalFormatting sqref="U1066 U1068:U1072 U1074:U1075 U1077:U1081 U1083:U1084 U1086:U1090 U1092">
    <cfRule type="cellIs" dxfId="185" priority="9" stopIfTrue="1" operator="equal">
      <formula>"Fail"</formula>
    </cfRule>
    <cfRule type="cellIs" dxfId="184" priority="10" stopIfTrue="1" operator="equal">
      <formula>"Pass"</formula>
    </cfRule>
  </conditionalFormatting>
  <conditionalFormatting sqref="T1066:T1074">
    <cfRule type="cellIs" dxfId="183" priority="5" operator="equal">
      <formula>"Fail"</formula>
    </cfRule>
    <cfRule type="cellIs" dxfId="182" priority="6" operator="equal">
      <formula>"Pass"</formula>
    </cfRule>
  </conditionalFormatting>
  <conditionalFormatting sqref="T1075:T1083">
    <cfRule type="cellIs" dxfId="181" priority="3" operator="equal">
      <formula>"Fail"</formula>
    </cfRule>
    <cfRule type="cellIs" dxfId="180" priority="4" operator="equal">
      <formula>"Pass"</formula>
    </cfRule>
  </conditionalFormatting>
  <conditionalFormatting sqref="T1084:T1092">
    <cfRule type="cellIs" dxfId="179" priority="1" operator="equal">
      <formula>"Fail"</formula>
    </cfRule>
    <cfRule type="cellIs" dxfId="178" priority="2" operator="equal">
      <formula>"Pass"</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1"/>
  <sheetViews>
    <sheetView zoomScale="70" zoomScaleNormal="70" workbookViewId="0">
      <pane ySplit="6" topLeftCell="A253" activePane="bottomLeft" state="frozen"/>
      <selection activeCell="I145" sqref="I145"/>
      <selection pane="bottomLeft" activeCell="A274" sqref="A274"/>
    </sheetView>
  </sheetViews>
  <sheetFormatPr defaultColWidth="8.26953125" defaultRowHeight="12.75" x14ac:dyDescent="0.25"/>
  <cols>
    <col min="1" max="1" width="15.453125" style="89" customWidth="1"/>
    <col min="2" max="2" width="8.453125" style="89" bestFit="1" customWidth="1"/>
    <col min="3" max="3" width="12.453125" style="89" bestFit="1" customWidth="1"/>
    <col min="4" max="4" width="19.08984375" style="10" customWidth="1"/>
    <col min="5" max="5" width="10.90625" style="10" customWidth="1"/>
    <col min="6" max="6" width="10.453125" style="10" customWidth="1"/>
    <col min="7" max="7" width="10.6328125" style="31" bestFit="1" customWidth="1"/>
    <col min="8" max="11" width="8.26953125" style="10"/>
    <col min="12" max="12" width="9" style="10" bestFit="1" customWidth="1"/>
    <col min="13" max="15" width="8.26953125" style="10"/>
    <col min="16" max="16" width="9.36328125" style="10" bestFit="1" customWidth="1"/>
    <col min="17" max="17" width="8.26953125" style="10"/>
    <col min="18" max="19" width="8.26953125" style="89"/>
    <col min="20" max="20" width="9.453125" style="89" bestFit="1" customWidth="1"/>
    <col min="21" max="21" width="8.26953125" style="89"/>
    <col min="22" max="22" width="9.08984375" style="89" customWidth="1"/>
    <col min="23" max="23" width="8.26953125" style="89"/>
    <col min="24" max="24" width="17.90625" style="114" customWidth="1"/>
    <col min="25" max="25" width="21.26953125" style="30" customWidth="1"/>
    <col min="26" max="26" width="53.08984375" style="30" customWidth="1"/>
    <col min="27" max="30" width="8.26953125" style="94"/>
    <col min="31" max="31" width="12.7265625" style="10" customWidth="1"/>
    <col min="32" max="32" width="11.36328125" style="94" customWidth="1"/>
    <col min="33" max="16384" width="8.26953125" style="10"/>
  </cols>
  <sheetData>
    <row r="1" spans="1:32" x14ac:dyDescent="0.25">
      <c r="A1" s="33"/>
      <c r="B1" s="33"/>
      <c r="C1" s="33"/>
      <c r="D1" s="90"/>
      <c r="E1" s="34"/>
      <c r="F1" s="34"/>
      <c r="G1" s="91"/>
      <c r="H1" s="34"/>
      <c r="I1" s="34"/>
      <c r="J1" s="34"/>
      <c r="K1" s="34"/>
      <c r="L1" s="34"/>
      <c r="M1" s="34"/>
      <c r="N1" s="34"/>
      <c r="O1" s="34"/>
      <c r="P1" s="34"/>
      <c r="Q1" s="34"/>
      <c r="R1" s="33"/>
      <c r="S1" s="33"/>
      <c r="T1" s="33"/>
      <c r="U1" s="33"/>
      <c r="V1" s="33"/>
      <c r="W1" s="33"/>
      <c r="X1" s="92"/>
      <c r="Y1" s="93"/>
      <c r="Z1" s="220"/>
    </row>
    <row r="2" spans="1:32" x14ac:dyDescent="0.25">
      <c r="A2" s="33"/>
      <c r="B2" s="33"/>
      <c r="C2" s="33"/>
      <c r="D2" s="41" t="s">
        <v>166</v>
      </c>
      <c r="E2" s="41" t="s">
        <v>167</v>
      </c>
      <c r="F2" s="42" t="s">
        <v>230</v>
      </c>
      <c r="G2" s="43"/>
      <c r="H2" s="34"/>
      <c r="I2" s="34"/>
      <c r="J2" s="34"/>
      <c r="K2" s="34"/>
      <c r="L2" s="34"/>
      <c r="M2" s="34"/>
      <c r="N2" s="34"/>
      <c r="O2" s="34"/>
      <c r="P2" s="34"/>
      <c r="Q2" s="34"/>
      <c r="R2" s="33"/>
      <c r="S2" s="33"/>
      <c r="T2" s="33"/>
      <c r="U2" s="33"/>
      <c r="V2" s="33"/>
      <c r="W2" s="33"/>
      <c r="X2" s="92"/>
      <c r="Y2" s="93"/>
      <c r="Z2" s="220"/>
    </row>
    <row r="3" spans="1:32" x14ac:dyDescent="0.25">
      <c r="A3" s="33"/>
      <c r="B3" s="33"/>
      <c r="C3" s="33"/>
      <c r="D3" s="95" t="s">
        <v>231</v>
      </c>
      <c r="E3" s="95" t="s">
        <v>232</v>
      </c>
      <c r="F3" s="96" t="s">
        <v>233</v>
      </c>
      <c r="G3" s="97"/>
      <c r="H3" s="34"/>
      <c r="I3" s="34"/>
      <c r="J3" s="34"/>
      <c r="K3" s="34"/>
      <c r="L3" s="34"/>
      <c r="M3" s="34"/>
      <c r="N3" s="34"/>
      <c r="O3" s="34"/>
      <c r="P3" s="34"/>
      <c r="Q3" s="34"/>
      <c r="R3" s="33"/>
      <c r="S3" s="33"/>
      <c r="T3" s="33"/>
      <c r="U3" s="33"/>
      <c r="V3" s="33"/>
      <c r="W3" s="33"/>
      <c r="X3" s="92"/>
      <c r="Y3" s="93"/>
      <c r="Z3" s="220"/>
    </row>
    <row r="4" spans="1:32" x14ac:dyDescent="0.25">
      <c r="A4" s="33"/>
      <c r="B4" s="33"/>
      <c r="C4" s="33"/>
      <c r="D4" s="34"/>
      <c r="E4" s="34"/>
      <c r="F4" s="34"/>
      <c r="G4" s="91"/>
      <c r="H4" s="34"/>
      <c r="I4" s="34"/>
      <c r="J4" s="34"/>
      <c r="K4" s="34"/>
      <c r="L4" s="34"/>
      <c r="M4" s="34"/>
      <c r="N4" s="34"/>
      <c r="O4" s="34"/>
      <c r="P4" s="34"/>
      <c r="Q4" s="34"/>
      <c r="R4" s="33"/>
      <c r="S4" s="33"/>
      <c r="T4" s="33"/>
      <c r="U4" s="33"/>
      <c r="V4" s="33"/>
      <c r="W4" s="33"/>
      <c r="X4" s="92"/>
      <c r="Y4" s="98"/>
      <c r="Z4" s="220"/>
    </row>
    <row r="5" spans="1:32" s="238" customFormat="1" ht="13.85" thickBot="1" x14ac:dyDescent="0.35">
      <c r="A5" s="231"/>
      <c r="B5" s="232"/>
      <c r="C5" s="233"/>
      <c r="D5" s="234"/>
      <c r="E5" s="312" t="s">
        <v>265</v>
      </c>
      <c r="F5" s="313"/>
      <c r="G5" s="313"/>
      <c r="H5" s="313"/>
      <c r="I5" s="313"/>
      <c r="J5" s="313"/>
      <c r="K5" s="313"/>
      <c r="L5" s="313"/>
      <c r="M5" s="313"/>
      <c r="N5" s="313"/>
      <c r="O5" s="313"/>
      <c r="P5" s="313"/>
      <c r="Q5" s="313"/>
      <c r="R5" s="313"/>
      <c r="S5" s="313"/>
      <c r="T5" s="313"/>
      <c r="U5" s="313"/>
      <c r="V5" s="313"/>
      <c r="W5" s="235"/>
      <c r="X5" s="235"/>
      <c r="Y5" s="235"/>
      <c r="Z5" s="235"/>
      <c r="AA5" s="235"/>
      <c r="AB5" s="236"/>
      <c r="AC5" s="237"/>
      <c r="AD5" s="237"/>
      <c r="AE5" s="232"/>
      <c r="AF5" s="232"/>
    </row>
    <row r="6" spans="1:32" s="243" customFormat="1" ht="41.3" customHeight="1" thickBot="1" x14ac:dyDescent="0.4">
      <c r="A6" s="135" t="s">
        <v>255</v>
      </c>
      <c r="B6" s="136" t="s">
        <v>166</v>
      </c>
      <c r="C6" s="239" t="s">
        <v>167</v>
      </c>
      <c r="D6" s="245" t="s">
        <v>260</v>
      </c>
      <c r="E6" s="136">
        <v>1</v>
      </c>
      <c r="F6" s="136">
        <v>2</v>
      </c>
      <c r="G6" s="136">
        <v>3</v>
      </c>
      <c r="H6" s="136">
        <v>4</v>
      </c>
      <c r="I6" s="136">
        <v>5</v>
      </c>
      <c r="J6" s="136">
        <v>6</v>
      </c>
      <c r="K6" s="136">
        <v>7</v>
      </c>
      <c r="L6" s="136">
        <v>8</v>
      </c>
      <c r="M6" s="136">
        <v>9</v>
      </c>
      <c r="N6" s="246">
        <v>10</v>
      </c>
      <c r="O6" s="246">
        <v>11</v>
      </c>
      <c r="P6" s="246">
        <v>12</v>
      </c>
      <c r="Q6" s="246">
        <v>13</v>
      </c>
      <c r="R6" s="240" t="s">
        <v>178</v>
      </c>
      <c r="S6" s="240" t="s">
        <v>179</v>
      </c>
      <c r="T6" s="240" t="s">
        <v>261</v>
      </c>
      <c r="U6" s="241" t="s">
        <v>268</v>
      </c>
      <c r="V6" s="246" t="s">
        <v>180</v>
      </c>
      <c r="W6" s="137" t="s">
        <v>23</v>
      </c>
      <c r="X6" s="136" t="s">
        <v>234</v>
      </c>
      <c r="Y6" s="136" t="s">
        <v>264</v>
      </c>
      <c r="Z6" s="137" t="s">
        <v>24</v>
      </c>
      <c r="AA6" s="242" t="s">
        <v>181</v>
      </c>
      <c r="AB6" s="242" t="s">
        <v>22</v>
      </c>
      <c r="AC6" s="242" t="s">
        <v>182</v>
      </c>
      <c r="AD6" s="242" t="s">
        <v>183</v>
      </c>
      <c r="AE6" s="247" t="s">
        <v>262</v>
      </c>
      <c r="AF6" s="242" t="s">
        <v>184</v>
      </c>
    </row>
    <row r="7" spans="1:32" ht="15.55" x14ac:dyDescent="0.25">
      <c r="A7" s="262">
        <v>43101</v>
      </c>
      <c r="B7" s="99" t="s">
        <v>235</v>
      </c>
      <c r="C7" s="99" t="s">
        <v>232</v>
      </c>
      <c r="D7" s="244" t="s">
        <v>186</v>
      </c>
      <c r="E7" s="101">
        <v>2796.56</v>
      </c>
      <c r="F7" s="101">
        <v>2748.32</v>
      </c>
      <c r="G7" s="101">
        <v>2721.84</v>
      </c>
      <c r="H7" s="101">
        <v>2711.96</v>
      </c>
      <c r="I7" s="101">
        <v>2720.69</v>
      </c>
      <c r="J7" s="101">
        <v>2746.04</v>
      </c>
      <c r="K7" s="101">
        <v>2786.76</v>
      </c>
      <c r="L7" s="101">
        <v>2803.68</v>
      </c>
      <c r="M7" s="101">
        <v>2744.41</v>
      </c>
      <c r="N7" s="101">
        <v>2713.15</v>
      </c>
      <c r="O7" s="101">
        <v>2733.22</v>
      </c>
      <c r="P7" s="101">
        <v>2777.87</v>
      </c>
      <c r="Q7" s="101">
        <v>2851.24</v>
      </c>
      <c r="R7" s="321">
        <f>IF((Q8=""),"",MAX(E9:Q9))</f>
        <v>365.98</v>
      </c>
      <c r="S7" s="321">
        <f>IF(Q8="","",MIN(E9:Q9))</f>
        <v>313.61000000000013</v>
      </c>
      <c r="T7" s="324">
        <f>IF((Q9=""),"",AVERAGE(E9:Q9))</f>
        <v>338.40846153846155</v>
      </c>
      <c r="U7" s="324">
        <f>IF((Q8=""),"",(R7-S7)/(R7+S7)*100)</f>
        <v>7.7061169234391143</v>
      </c>
      <c r="V7" s="324">
        <f>STDEV(E9:Q9)</f>
        <v>19.094805509245123</v>
      </c>
      <c r="W7" s="315" t="str">
        <f>IF(Q8="","",IF(T7&gt;300,IF(U7&lt;14,IF(T7&lt;390,"Pass","Fail"),"Fail"),"Fail"))</f>
        <v>Pass</v>
      </c>
      <c r="X7" s="318"/>
      <c r="Y7" s="329"/>
      <c r="Z7" s="221"/>
      <c r="AA7" s="102">
        <v>270</v>
      </c>
      <c r="AB7" s="102">
        <v>370</v>
      </c>
      <c r="AC7" s="102">
        <v>300</v>
      </c>
      <c r="AD7" s="103">
        <v>390</v>
      </c>
      <c r="AE7" s="103">
        <v>20</v>
      </c>
      <c r="AF7" s="103">
        <v>14</v>
      </c>
    </row>
    <row r="8" spans="1:32" ht="16.100000000000001" x14ac:dyDescent="0.35">
      <c r="A8" s="263"/>
      <c r="B8" s="104"/>
      <c r="C8" s="104"/>
      <c r="D8" s="100" t="s">
        <v>187</v>
      </c>
      <c r="E8" s="101">
        <v>2430.58</v>
      </c>
      <c r="F8" s="101">
        <v>2414.33</v>
      </c>
      <c r="G8" s="101">
        <v>2400.17</v>
      </c>
      <c r="H8" s="101">
        <v>2391.1</v>
      </c>
      <c r="I8" s="101">
        <v>2398.3000000000002</v>
      </c>
      <c r="J8" s="101">
        <v>2408.1</v>
      </c>
      <c r="K8" s="101">
        <v>2424.64</v>
      </c>
      <c r="L8" s="101">
        <v>2441.06</v>
      </c>
      <c r="M8" s="101">
        <v>2409.27</v>
      </c>
      <c r="N8" s="101">
        <v>2399.54</v>
      </c>
      <c r="O8" s="101">
        <v>2412.98</v>
      </c>
      <c r="P8" s="101">
        <v>2438.9499999999998</v>
      </c>
      <c r="Q8" s="101">
        <v>2487.41</v>
      </c>
      <c r="R8" s="321"/>
      <c r="S8" s="321"/>
      <c r="T8" s="324"/>
      <c r="U8" s="324"/>
      <c r="V8" s="326"/>
      <c r="W8" s="315"/>
      <c r="X8" s="318"/>
      <c r="Y8" s="329"/>
      <c r="Z8" s="221"/>
      <c r="AA8" s="102"/>
      <c r="AB8" s="102"/>
      <c r="AC8" s="102"/>
      <c r="AD8" s="103"/>
      <c r="AE8" s="103"/>
      <c r="AF8" s="103"/>
    </row>
    <row r="9" spans="1:32" ht="31.6" thickBot="1" x14ac:dyDescent="0.4">
      <c r="A9" s="263"/>
      <c r="B9" s="99"/>
      <c r="C9" s="99"/>
      <c r="D9" s="100" t="s">
        <v>188</v>
      </c>
      <c r="E9" s="105">
        <f t="shared" ref="E9:Q9" si="0">IF(((E7="")*AND(E8="")),"",(E7-E8))</f>
        <v>365.98</v>
      </c>
      <c r="F9" s="105">
        <f t="shared" si="0"/>
        <v>333.99000000000024</v>
      </c>
      <c r="G9" s="105">
        <f t="shared" si="0"/>
        <v>321.67000000000007</v>
      </c>
      <c r="H9" s="105">
        <f t="shared" si="0"/>
        <v>320.86000000000013</v>
      </c>
      <c r="I9" s="105">
        <f t="shared" si="0"/>
        <v>322.38999999999987</v>
      </c>
      <c r="J9" s="105">
        <f t="shared" si="0"/>
        <v>337.94000000000005</v>
      </c>
      <c r="K9" s="105">
        <f t="shared" si="0"/>
        <v>362.12000000000035</v>
      </c>
      <c r="L9" s="105">
        <f t="shared" si="0"/>
        <v>362.61999999999989</v>
      </c>
      <c r="M9" s="105">
        <f t="shared" si="0"/>
        <v>335.13999999999987</v>
      </c>
      <c r="N9" s="105">
        <f t="shared" si="0"/>
        <v>313.61000000000013</v>
      </c>
      <c r="O9" s="105">
        <f t="shared" si="0"/>
        <v>320.23999999999978</v>
      </c>
      <c r="P9" s="105">
        <f t="shared" si="0"/>
        <v>338.92000000000007</v>
      </c>
      <c r="Q9" s="105">
        <f t="shared" si="0"/>
        <v>363.82999999999993</v>
      </c>
      <c r="R9" s="322"/>
      <c r="S9" s="322"/>
      <c r="T9" s="325"/>
      <c r="U9" s="325"/>
      <c r="V9" s="327"/>
      <c r="W9" s="316"/>
      <c r="X9" s="319"/>
      <c r="Y9" s="330"/>
      <c r="Z9" s="221"/>
      <c r="AA9" s="102"/>
      <c r="AB9" s="102"/>
      <c r="AC9" s="102"/>
      <c r="AD9" s="102"/>
      <c r="AE9" s="106"/>
      <c r="AF9" s="102"/>
    </row>
    <row r="10" spans="1:32" ht="15.55" x14ac:dyDescent="0.25">
      <c r="A10" s="264">
        <v>43105</v>
      </c>
      <c r="B10" s="99" t="s">
        <v>235</v>
      </c>
      <c r="C10" s="99" t="s">
        <v>232</v>
      </c>
      <c r="D10" s="100" t="s">
        <v>186</v>
      </c>
      <c r="E10" s="101">
        <v>2432.1</v>
      </c>
      <c r="F10" s="101">
        <v>2415.88</v>
      </c>
      <c r="G10" s="101">
        <v>2400.87</v>
      </c>
      <c r="H10" s="101">
        <v>2389.8200000000002</v>
      </c>
      <c r="I10" s="101">
        <v>2396.04</v>
      </c>
      <c r="J10" s="101">
        <v>2410.0700000000002</v>
      </c>
      <c r="K10" s="101">
        <v>2427.59</v>
      </c>
      <c r="L10" s="101">
        <v>2443.3200000000002</v>
      </c>
      <c r="M10" s="101">
        <v>2429.96</v>
      </c>
      <c r="N10" s="101">
        <v>2396.1999999999998</v>
      </c>
      <c r="O10" s="101">
        <v>2407.63</v>
      </c>
      <c r="P10" s="101">
        <v>2437.3000000000002</v>
      </c>
      <c r="Q10" s="101">
        <v>2486.2399999999998</v>
      </c>
      <c r="R10" s="320">
        <f>IF((Q11=""),"",MAX(E12:Q12))</f>
        <v>370.87999999999965</v>
      </c>
      <c r="S10" s="320">
        <f>IF(Q11="","",MIN(E12:Q12))</f>
        <v>316.66000000000031</v>
      </c>
      <c r="T10" s="323">
        <f>IF((Q12=""),"",AVERAGE(E12:Q12))</f>
        <v>344.1476923076923</v>
      </c>
      <c r="U10" s="323">
        <f>IF((Q11=""),"",(R10-S10)/(R10+S10)*100)</f>
        <v>7.8860866276870212</v>
      </c>
      <c r="V10" s="323">
        <f>STDEV(E12:Q12)</f>
        <v>20.202388123621184</v>
      </c>
      <c r="W10" s="314" t="str">
        <f>IF(Q11="","",IF(T10&gt;300,IF(U10&lt;14,IF(T10&lt;390,"Pass","Fail"),"Fail"),"Fail"))</f>
        <v>Pass</v>
      </c>
      <c r="X10" s="341" t="s">
        <v>191</v>
      </c>
      <c r="Y10" s="328"/>
      <c r="Z10" s="221"/>
      <c r="AA10" s="102">
        <v>270</v>
      </c>
      <c r="AB10" s="102">
        <v>370</v>
      </c>
      <c r="AC10" s="102">
        <v>300</v>
      </c>
      <c r="AD10" s="103">
        <v>390</v>
      </c>
      <c r="AE10" s="103">
        <v>20</v>
      </c>
      <c r="AF10" s="103">
        <v>14</v>
      </c>
    </row>
    <row r="11" spans="1:32" ht="16.100000000000001" x14ac:dyDescent="0.35">
      <c r="A11" s="263"/>
      <c r="B11" s="104"/>
      <c r="C11" s="104"/>
      <c r="D11" s="100" t="s">
        <v>187</v>
      </c>
      <c r="E11" s="101">
        <v>2063.5300000000002</v>
      </c>
      <c r="F11" s="101">
        <v>2074.73</v>
      </c>
      <c r="G11" s="101">
        <v>2073.37</v>
      </c>
      <c r="H11" s="101">
        <v>2073.16</v>
      </c>
      <c r="I11" s="101">
        <v>2072.7199999999998</v>
      </c>
      <c r="J11" s="101">
        <v>2073</v>
      </c>
      <c r="K11" s="101">
        <v>2060.0300000000002</v>
      </c>
      <c r="L11" s="101">
        <v>2074.36</v>
      </c>
      <c r="M11" s="101">
        <v>2071.0500000000002</v>
      </c>
      <c r="N11" s="101">
        <v>2069.4299999999998</v>
      </c>
      <c r="O11" s="101">
        <v>2082.75</v>
      </c>
      <c r="P11" s="101">
        <v>2095.61</v>
      </c>
      <c r="Q11" s="101">
        <v>2115.36</v>
      </c>
      <c r="R11" s="321"/>
      <c r="S11" s="321"/>
      <c r="T11" s="324"/>
      <c r="U11" s="324"/>
      <c r="V11" s="326"/>
      <c r="W11" s="315"/>
      <c r="X11" s="342"/>
      <c r="Y11" s="329"/>
      <c r="Z11" s="221"/>
      <c r="AA11" s="102"/>
      <c r="AB11" s="102"/>
      <c r="AC11" s="102"/>
      <c r="AD11" s="103"/>
      <c r="AE11" s="103"/>
      <c r="AF11" s="103"/>
    </row>
    <row r="12" spans="1:32" ht="31.05" x14ac:dyDescent="0.35">
      <c r="A12" s="263"/>
      <c r="B12" s="99"/>
      <c r="C12" s="99"/>
      <c r="D12" s="100" t="s">
        <v>188</v>
      </c>
      <c r="E12" s="105">
        <f t="shared" ref="E12:Q12" si="1">IF(((E10="")*AND(E11="")),"",(E10-E11))</f>
        <v>368.56999999999971</v>
      </c>
      <c r="F12" s="105">
        <f t="shared" si="1"/>
        <v>341.15000000000009</v>
      </c>
      <c r="G12" s="105">
        <f t="shared" si="1"/>
        <v>327.5</v>
      </c>
      <c r="H12" s="105">
        <f t="shared" si="1"/>
        <v>316.66000000000031</v>
      </c>
      <c r="I12" s="105">
        <f t="shared" si="1"/>
        <v>323.32000000000016</v>
      </c>
      <c r="J12" s="105">
        <f t="shared" si="1"/>
        <v>337.07000000000016</v>
      </c>
      <c r="K12" s="105">
        <f t="shared" si="1"/>
        <v>367.55999999999995</v>
      </c>
      <c r="L12" s="105">
        <f t="shared" si="1"/>
        <v>368.96000000000004</v>
      </c>
      <c r="M12" s="105">
        <f t="shared" si="1"/>
        <v>358.90999999999985</v>
      </c>
      <c r="N12" s="105">
        <f t="shared" si="1"/>
        <v>326.77</v>
      </c>
      <c r="O12" s="105">
        <f t="shared" si="1"/>
        <v>324.88000000000011</v>
      </c>
      <c r="P12" s="105">
        <f t="shared" si="1"/>
        <v>341.69000000000005</v>
      </c>
      <c r="Q12" s="105">
        <f t="shared" si="1"/>
        <v>370.87999999999965</v>
      </c>
      <c r="R12" s="322"/>
      <c r="S12" s="322"/>
      <c r="T12" s="325"/>
      <c r="U12" s="325"/>
      <c r="V12" s="327"/>
      <c r="W12" s="316"/>
      <c r="X12" s="343"/>
      <c r="Y12" s="330"/>
      <c r="Z12" s="221"/>
      <c r="AA12" s="102"/>
      <c r="AB12" s="102"/>
      <c r="AC12" s="102"/>
      <c r="AD12" s="102"/>
      <c r="AE12" s="106"/>
      <c r="AF12" s="102"/>
    </row>
    <row r="13" spans="1:32" ht="15.55" x14ac:dyDescent="0.25">
      <c r="A13" s="264">
        <v>43109</v>
      </c>
      <c r="B13" s="99" t="s">
        <v>235</v>
      </c>
      <c r="C13" s="99" t="s">
        <v>232</v>
      </c>
      <c r="D13" s="100" t="s">
        <v>186</v>
      </c>
      <c r="E13" s="101">
        <v>2806.66</v>
      </c>
      <c r="F13" s="101">
        <v>2757.33</v>
      </c>
      <c r="G13" s="101">
        <v>2732.19</v>
      </c>
      <c r="H13" s="101">
        <v>2722.53</v>
      </c>
      <c r="I13" s="101">
        <v>2731.52</v>
      </c>
      <c r="J13" s="101">
        <v>2759.92</v>
      </c>
      <c r="K13" s="101">
        <v>2808.5</v>
      </c>
      <c r="L13" s="101">
        <v>2811.3</v>
      </c>
      <c r="M13" s="101">
        <v>2753.84</v>
      </c>
      <c r="N13" s="101">
        <v>2724.48</v>
      </c>
      <c r="O13" s="101">
        <v>2743.9</v>
      </c>
      <c r="P13" s="101">
        <v>2786.55</v>
      </c>
      <c r="Q13" s="101">
        <v>2857.61</v>
      </c>
      <c r="R13" s="320">
        <f>IF((Q14=""),"",MAX(E15:Q15))</f>
        <v>371.85999999999967</v>
      </c>
      <c r="S13" s="320">
        <f>IF(Q14="","",MIN(E15:Q15))</f>
        <v>315.64000000000033</v>
      </c>
      <c r="T13" s="323">
        <f>IF((Q15=""),"",AVERAGE(E15:Q15))</f>
        <v>340.3523076923077</v>
      </c>
      <c r="U13" s="323">
        <f>IF((Q14=""),"",(R13-S13)/(R13+S13)*100)</f>
        <v>8.1774545454544505</v>
      </c>
      <c r="V13" s="323">
        <f>STDEV(E15:Q15)</f>
        <v>22.219105200197276</v>
      </c>
      <c r="W13" s="314" t="str">
        <f>IF(Q14="","",IF(T13&gt;300,IF(U13&lt;14,IF(T13&lt;390,"Pass","Fail"),"Fail"),"Fail"))</f>
        <v>Pass</v>
      </c>
      <c r="X13" s="317" t="s">
        <v>99</v>
      </c>
      <c r="Y13" s="328"/>
      <c r="Z13" s="221"/>
      <c r="AA13" s="102">
        <v>270</v>
      </c>
      <c r="AB13" s="102">
        <v>370</v>
      </c>
      <c r="AC13" s="102">
        <v>300</v>
      </c>
      <c r="AD13" s="103">
        <v>390</v>
      </c>
      <c r="AE13" s="103">
        <v>20</v>
      </c>
      <c r="AF13" s="103">
        <v>14</v>
      </c>
    </row>
    <row r="14" spans="1:32" ht="16.100000000000001" x14ac:dyDescent="0.35">
      <c r="A14" s="263"/>
      <c r="B14" s="104"/>
      <c r="C14" s="104"/>
      <c r="D14" s="100" t="s">
        <v>187</v>
      </c>
      <c r="E14" s="101">
        <v>2434.8000000000002</v>
      </c>
      <c r="F14" s="101">
        <v>2421.5300000000002</v>
      </c>
      <c r="G14" s="101">
        <v>2411.0100000000002</v>
      </c>
      <c r="H14" s="101">
        <v>2406.89</v>
      </c>
      <c r="I14" s="101">
        <v>2411.75</v>
      </c>
      <c r="J14" s="101">
        <v>2423.62</v>
      </c>
      <c r="K14" s="101">
        <v>2437.5300000000002</v>
      </c>
      <c r="L14" s="101">
        <v>2441.25</v>
      </c>
      <c r="M14" s="101">
        <v>2416.58</v>
      </c>
      <c r="N14" s="101">
        <v>2406.34</v>
      </c>
      <c r="O14" s="101">
        <v>2421.6</v>
      </c>
      <c r="P14" s="101">
        <v>2450.35</v>
      </c>
      <c r="Q14" s="101">
        <v>2488.5</v>
      </c>
      <c r="R14" s="321"/>
      <c r="S14" s="321"/>
      <c r="T14" s="324"/>
      <c r="U14" s="324"/>
      <c r="V14" s="326"/>
      <c r="W14" s="315"/>
      <c r="X14" s="318"/>
      <c r="Y14" s="329"/>
      <c r="Z14" s="221"/>
      <c r="AA14" s="102"/>
      <c r="AB14" s="102"/>
      <c r="AC14" s="102"/>
      <c r="AD14" s="103"/>
      <c r="AE14" s="103"/>
      <c r="AF14" s="103"/>
    </row>
    <row r="15" spans="1:32" ht="31.05" x14ac:dyDescent="0.35">
      <c r="A15" s="263"/>
      <c r="B15" s="99"/>
      <c r="C15" s="99"/>
      <c r="D15" s="100" t="s">
        <v>188</v>
      </c>
      <c r="E15" s="105">
        <f t="shared" ref="E15:Q15" si="2">IF(((E13="")*AND(E14="")),"",(E13-E14))</f>
        <v>371.85999999999967</v>
      </c>
      <c r="F15" s="105">
        <f t="shared" si="2"/>
        <v>335.79999999999973</v>
      </c>
      <c r="G15" s="105">
        <f t="shared" si="2"/>
        <v>321.17999999999984</v>
      </c>
      <c r="H15" s="105">
        <f t="shared" si="2"/>
        <v>315.64000000000033</v>
      </c>
      <c r="I15" s="105">
        <f t="shared" si="2"/>
        <v>319.77</v>
      </c>
      <c r="J15" s="105">
        <f t="shared" si="2"/>
        <v>336.30000000000018</v>
      </c>
      <c r="K15" s="105">
        <f t="shared" si="2"/>
        <v>370.9699999999998</v>
      </c>
      <c r="L15" s="105">
        <f t="shared" si="2"/>
        <v>370.05000000000018</v>
      </c>
      <c r="M15" s="105">
        <f t="shared" si="2"/>
        <v>337.26000000000022</v>
      </c>
      <c r="N15" s="105">
        <f t="shared" si="2"/>
        <v>318.13999999999987</v>
      </c>
      <c r="O15" s="105">
        <f t="shared" si="2"/>
        <v>322.30000000000018</v>
      </c>
      <c r="P15" s="105">
        <f t="shared" si="2"/>
        <v>336.20000000000027</v>
      </c>
      <c r="Q15" s="105">
        <f t="shared" si="2"/>
        <v>369.11000000000013</v>
      </c>
      <c r="R15" s="322"/>
      <c r="S15" s="322"/>
      <c r="T15" s="325"/>
      <c r="U15" s="325"/>
      <c r="V15" s="327"/>
      <c r="W15" s="316"/>
      <c r="X15" s="319"/>
      <c r="Y15" s="330"/>
      <c r="Z15" s="221"/>
      <c r="AA15" s="102"/>
      <c r="AB15" s="102"/>
      <c r="AC15" s="102"/>
      <c r="AD15" s="102"/>
      <c r="AE15" s="106"/>
      <c r="AF15" s="102"/>
    </row>
    <row r="16" spans="1:32" ht="15.55" x14ac:dyDescent="0.25">
      <c r="A16" s="264">
        <v>43112</v>
      </c>
      <c r="B16" s="99" t="s">
        <v>235</v>
      </c>
      <c r="C16" s="99" t="s">
        <v>232</v>
      </c>
      <c r="D16" s="100" t="s">
        <v>186</v>
      </c>
      <c r="E16" s="101">
        <v>2437.09</v>
      </c>
      <c r="F16" s="101">
        <v>2422.9499999999998</v>
      </c>
      <c r="G16" s="101">
        <v>2412.89</v>
      </c>
      <c r="H16" s="101">
        <v>2404.87</v>
      </c>
      <c r="I16" s="101">
        <v>2411.7199999999998</v>
      </c>
      <c r="J16" s="101">
        <v>2426.9699999999998</v>
      </c>
      <c r="K16" s="101">
        <v>2437.2399999999998</v>
      </c>
      <c r="L16" s="101">
        <v>2446.46</v>
      </c>
      <c r="M16" s="101">
        <v>2417.3200000000002</v>
      </c>
      <c r="N16" s="101">
        <v>2405.39</v>
      </c>
      <c r="O16" s="101">
        <v>2421.3200000000002</v>
      </c>
      <c r="P16" s="101">
        <v>2448.91</v>
      </c>
      <c r="Q16" s="101">
        <v>2485.94</v>
      </c>
      <c r="R16" s="320">
        <f>IF((Q17=""),"",MAX(E18:Q18))</f>
        <v>373.67000000000007</v>
      </c>
      <c r="S16" s="320">
        <f>IF(Q17="","",MIN(E18:Q18))</f>
        <v>322.44000000000005</v>
      </c>
      <c r="T16" s="323">
        <f>IF((Q18=""),"",AVERAGE(E18:Q18))</f>
        <v>345.98384615384606</v>
      </c>
      <c r="U16" s="323">
        <f>IF((Q17=""),"",(R16-S16)/(R16+S16)*100)</f>
        <v>7.3594690494318442</v>
      </c>
      <c r="V16" s="323">
        <f>STDEV(E18:Q18)</f>
        <v>18.603603834768826</v>
      </c>
      <c r="W16" s="314" t="str">
        <f>IF(Q17="","",IF(T16&gt;300,IF(U16&lt;14,IF(T16&lt;390,"Pass","Fail"),"Fail"),"Fail"))</f>
        <v>Pass</v>
      </c>
      <c r="X16" s="317">
        <v>121</v>
      </c>
      <c r="Y16" s="328"/>
      <c r="Z16" s="221"/>
      <c r="AA16" s="102">
        <v>270</v>
      </c>
      <c r="AB16" s="102">
        <v>370</v>
      </c>
      <c r="AC16" s="102">
        <v>300</v>
      </c>
      <c r="AD16" s="103">
        <v>390</v>
      </c>
      <c r="AE16" s="103">
        <v>20</v>
      </c>
      <c r="AF16" s="103">
        <v>14</v>
      </c>
    </row>
    <row r="17" spans="1:32" ht="16.100000000000001" x14ac:dyDescent="0.35">
      <c r="A17" s="263"/>
      <c r="B17" s="104"/>
      <c r="C17" s="104"/>
      <c r="D17" s="100" t="s">
        <v>187</v>
      </c>
      <c r="E17" s="101">
        <v>2065.2800000000002</v>
      </c>
      <c r="F17" s="101">
        <v>2077.31</v>
      </c>
      <c r="G17" s="101">
        <v>2081.4899999999998</v>
      </c>
      <c r="H17" s="101">
        <v>2082.4299999999998</v>
      </c>
      <c r="I17" s="101">
        <v>2084.17</v>
      </c>
      <c r="J17" s="101">
        <v>2081.7399999999998</v>
      </c>
      <c r="K17" s="101">
        <v>2072.5300000000002</v>
      </c>
      <c r="L17" s="101">
        <v>2072.79</v>
      </c>
      <c r="M17" s="101">
        <v>2077.1799999999998</v>
      </c>
      <c r="N17" s="101">
        <v>2077.44</v>
      </c>
      <c r="O17" s="101">
        <v>2092.0700000000002</v>
      </c>
      <c r="P17" s="101">
        <v>2101.81</v>
      </c>
      <c r="Q17" s="101">
        <v>2115.04</v>
      </c>
      <c r="R17" s="321"/>
      <c r="S17" s="321"/>
      <c r="T17" s="324"/>
      <c r="U17" s="324"/>
      <c r="V17" s="326"/>
      <c r="W17" s="315"/>
      <c r="X17" s="318"/>
      <c r="Y17" s="329"/>
      <c r="Z17" s="221"/>
      <c r="AA17" s="102"/>
      <c r="AB17" s="102"/>
      <c r="AC17" s="102"/>
      <c r="AD17" s="103"/>
      <c r="AE17" s="103"/>
      <c r="AF17" s="103"/>
    </row>
    <row r="18" spans="1:32" ht="31.05" x14ac:dyDescent="0.35">
      <c r="A18" s="263"/>
      <c r="B18" s="99"/>
      <c r="C18" s="99"/>
      <c r="D18" s="100" t="s">
        <v>188</v>
      </c>
      <c r="E18" s="105">
        <f t="shared" ref="E18:Q18" si="3">IF(((E16="")*AND(E17="")),"",(E16-E17))</f>
        <v>371.80999999999995</v>
      </c>
      <c r="F18" s="105">
        <f t="shared" si="3"/>
        <v>345.63999999999987</v>
      </c>
      <c r="G18" s="105">
        <f t="shared" si="3"/>
        <v>331.40000000000009</v>
      </c>
      <c r="H18" s="105">
        <f t="shared" si="3"/>
        <v>322.44000000000005</v>
      </c>
      <c r="I18" s="105">
        <f t="shared" si="3"/>
        <v>327.54999999999973</v>
      </c>
      <c r="J18" s="105">
        <f t="shared" si="3"/>
        <v>345.23</v>
      </c>
      <c r="K18" s="105">
        <f t="shared" si="3"/>
        <v>364.70999999999958</v>
      </c>
      <c r="L18" s="105">
        <f t="shared" si="3"/>
        <v>373.67000000000007</v>
      </c>
      <c r="M18" s="105">
        <f t="shared" si="3"/>
        <v>340.14000000000033</v>
      </c>
      <c r="N18" s="105">
        <f t="shared" si="3"/>
        <v>327.94999999999982</v>
      </c>
      <c r="O18" s="105">
        <f t="shared" si="3"/>
        <v>329.25</v>
      </c>
      <c r="P18" s="105">
        <f t="shared" si="3"/>
        <v>347.09999999999991</v>
      </c>
      <c r="Q18" s="105">
        <f t="shared" si="3"/>
        <v>370.90000000000009</v>
      </c>
      <c r="R18" s="322"/>
      <c r="S18" s="322"/>
      <c r="T18" s="325"/>
      <c r="U18" s="325"/>
      <c r="V18" s="327"/>
      <c r="W18" s="316"/>
      <c r="X18" s="319"/>
      <c r="Y18" s="330"/>
      <c r="Z18" s="221"/>
      <c r="AA18" s="102"/>
      <c r="AB18" s="102"/>
      <c r="AC18" s="102"/>
      <c r="AD18" s="102"/>
      <c r="AE18" s="106"/>
      <c r="AF18" s="102"/>
    </row>
    <row r="19" spans="1:32" ht="15.55" x14ac:dyDescent="0.25">
      <c r="A19" s="264">
        <v>43117</v>
      </c>
      <c r="B19" s="99" t="s">
        <v>235</v>
      </c>
      <c r="C19" s="99" t="s">
        <v>232</v>
      </c>
      <c r="D19" s="100" t="s">
        <v>186</v>
      </c>
      <c r="E19" s="101">
        <v>2808.18</v>
      </c>
      <c r="F19" s="101">
        <v>2765.71</v>
      </c>
      <c r="G19" s="101">
        <v>2741.69</v>
      </c>
      <c r="H19" s="101">
        <v>2730.58</v>
      </c>
      <c r="I19" s="101">
        <v>2738.22</v>
      </c>
      <c r="J19" s="101">
        <v>2762</v>
      </c>
      <c r="K19" s="101">
        <v>2805.39</v>
      </c>
      <c r="L19" s="101">
        <v>2821.6</v>
      </c>
      <c r="M19" s="101">
        <v>2760.84</v>
      </c>
      <c r="N19" s="101">
        <v>2732.7</v>
      </c>
      <c r="O19" s="101">
        <v>2751.45</v>
      </c>
      <c r="P19" s="101">
        <v>2790.09</v>
      </c>
      <c r="Q19" s="101">
        <v>2860.17</v>
      </c>
      <c r="R19" s="320">
        <f>IF((Q20=""),"",MAX(E21:Q21))</f>
        <v>366.09999999999991</v>
      </c>
      <c r="S19" s="320">
        <f>IF(Q20="","",MIN(E21:Q21))</f>
        <v>319.15000000000009</v>
      </c>
      <c r="T19" s="323">
        <f>IF((Q21=""),"",AVERAGE(E21:Q21))</f>
        <v>338.36153846153843</v>
      </c>
      <c r="U19" s="323">
        <f>IF((Q20=""),"",(R19-S19)/(R19+S19)*100)</f>
        <v>6.8515140459685986</v>
      </c>
      <c r="V19" s="323">
        <f>STDEV(E21:Q21)</f>
        <v>17.575635998996709</v>
      </c>
      <c r="W19" s="314" t="str">
        <f>IF(Q20="","",IF(T19&gt;300,IF(U19&lt;14,IF(T19&lt;390,"Pass","Fail"),"Fail"),"Fail"))</f>
        <v>Pass</v>
      </c>
      <c r="X19" s="317">
        <v>1428</v>
      </c>
      <c r="Y19" s="328"/>
      <c r="Z19" s="221"/>
      <c r="AA19" s="102">
        <v>270</v>
      </c>
      <c r="AB19" s="102">
        <v>370</v>
      </c>
      <c r="AC19" s="102">
        <v>300</v>
      </c>
      <c r="AD19" s="103">
        <v>390</v>
      </c>
      <c r="AE19" s="103">
        <v>20</v>
      </c>
      <c r="AF19" s="103">
        <v>14</v>
      </c>
    </row>
    <row r="20" spans="1:32" ht="16.100000000000001" x14ac:dyDescent="0.35">
      <c r="A20" s="263"/>
      <c r="B20" s="104"/>
      <c r="C20" s="104"/>
      <c r="D20" s="100" t="s">
        <v>187</v>
      </c>
      <c r="E20" s="101">
        <v>2443.62</v>
      </c>
      <c r="F20" s="101">
        <v>2429.4699999999998</v>
      </c>
      <c r="G20" s="101">
        <v>2420.2199999999998</v>
      </c>
      <c r="H20" s="101">
        <v>2411.4299999999998</v>
      </c>
      <c r="I20" s="101">
        <v>2415.83</v>
      </c>
      <c r="J20" s="101">
        <v>2427.96</v>
      </c>
      <c r="K20" s="101">
        <v>2444.9</v>
      </c>
      <c r="L20" s="101">
        <v>2455.5</v>
      </c>
      <c r="M20" s="101">
        <v>2423.62</v>
      </c>
      <c r="N20" s="101">
        <v>2410.58</v>
      </c>
      <c r="O20" s="101">
        <v>2427.21</v>
      </c>
      <c r="P20" s="101">
        <v>2456.3000000000002</v>
      </c>
      <c r="Q20" s="101">
        <v>2503.2800000000002</v>
      </c>
      <c r="R20" s="321"/>
      <c r="S20" s="321"/>
      <c r="T20" s="324"/>
      <c r="U20" s="324"/>
      <c r="V20" s="326"/>
      <c r="W20" s="315"/>
      <c r="X20" s="318"/>
      <c r="Y20" s="329"/>
      <c r="Z20" s="221"/>
      <c r="AA20" s="102"/>
      <c r="AB20" s="102"/>
      <c r="AC20" s="102"/>
      <c r="AD20" s="103"/>
      <c r="AE20" s="103"/>
      <c r="AF20" s="103"/>
    </row>
    <row r="21" spans="1:32" ht="31.05" x14ac:dyDescent="0.35">
      <c r="A21" s="263"/>
      <c r="B21" s="99"/>
      <c r="C21" s="99"/>
      <c r="D21" s="100" t="s">
        <v>188</v>
      </c>
      <c r="E21" s="105">
        <f t="shared" ref="E21:Q21" si="4">IF(((E19="")*AND(E20="")),"",(E19-E20))</f>
        <v>364.55999999999995</v>
      </c>
      <c r="F21" s="105">
        <f t="shared" si="4"/>
        <v>336.24000000000024</v>
      </c>
      <c r="G21" s="105">
        <f t="shared" si="4"/>
        <v>321.47000000000025</v>
      </c>
      <c r="H21" s="105">
        <f t="shared" si="4"/>
        <v>319.15000000000009</v>
      </c>
      <c r="I21" s="105">
        <f t="shared" si="4"/>
        <v>322.38999999999987</v>
      </c>
      <c r="J21" s="105">
        <f t="shared" si="4"/>
        <v>334.03999999999996</v>
      </c>
      <c r="K21" s="105">
        <f t="shared" si="4"/>
        <v>360.48999999999978</v>
      </c>
      <c r="L21" s="105">
        <f t="shared" si="4"/>
        <v>366.09999999999991</v>
      </c>
      <c r="M21" s="105">
        <f t="shared" si="4"/>
        <v>337.22000000000025</v>
      </c>
      <c r="N21" s="105">
        <f t="shared" si="4"/>
        <v>322.11999999999989</v>
      </c>
      <c r="O21" s="105">
        <f t="shared" si="4"/>
        <v>324.23999999999978</v>
      </c>
      <c r="P21" s="105">
        <f t="shared" si="4"/>
        <v>333.78999999999996</v>
      </c>
      <c r="Q21" s="105">
        <f t="shared" si="4"/>
        <v>356.88999999999987</v>
      </c>
      <c r="R21" s="322"/>
      <c r="S21" s="322"/>
      <c r="T21" s="325"/>
      <c r="U21" s="325"/>
      <c r="V21" s="327"/>
      <c r="W21" s="316"/>
      <c r="X21" s="319"/>
      <c r="Y21" s="330"/>
      <c r="Z21" s="221"/>
      <c r="AA21" s="102"/>
      <c r="AB21" s="102"/>
      <c r="AC21" s="102"/>
      <c r="AD21" s="102"/>
      <c r="AE21" s="106"/>
      <c r="AF21" s="102"/>
    </row>
    <row r="22" spans="1:32" ht="15.55" x14ac:dyDescent="0.25">
      <c r="A22" s="264">
        <v>43122</v>
      </c>
      <c r="B22" s="99" t="s">
        <v>235</v>
      </c>
      <c r="C22" s="99" t="s">
        <v>232</v>
      </c>
      <c r="D22" s="100" t="s">
        <v>186</v>
      </c>
      <c r="E22" s="101">
        <v>2441.9299999999998</v>
      </c>
      <c r="F22" s="101">
        <v>2426.46</v>
      </c>
      <c r="G22" s="101">
        <v>2414.4699999999998</v>
      </c>
      <c r="H22" s="101">
        <v>2409.04</v>
      </c>
      <c r="I22" s="101">
        <v>2398.41</v>
      </c>
      <c r="J22" s="101">
        <v>2424.5</v>
      </c>
      <c r="K22" s="101">
        <v>2446.1</v>
      </c>
      <c r="L22" s="101">
        <v>2452.83</v>
      </c>
      <c r="M22" s="101">
        <v>2427.6</v>
      </c>
      <c r="N22" s="101">
        <v>2406.16</v>
      </c>
      <c r="O22" s="101">
        <v>2428.21</v>
      </c>
      <c r="P22" s="101">
        <v>2454.06</v>
      </c>
      <c r="Q22" s="101">
        <v>2509.0300000000002</v>
      </c>
      <c r="R22" s="320">
        <f>IF((Q23=""),"",MAX(E24:Q24))</f>
        <v>380.90000000000009</v>
      </c>
      <c r="S22" s="320">
        <f>IF(Q23="","",MIN(E24:Q24))</f>
        <v>312.59999999999991</v>
      </c>
      <c r="T22" s="323">
        <f>IF((Q24=""),"",AVERAGE(E24:Q24))</f>
        <v>344.53307692307681</v>
      </c>
      <c r="U22" s="323">
        <f>IF((Q23=""),"",(R22-S22)/(R22+S22)*100)</f>
        <v>9.8485940879596523</v>
      </c>
      <c r="V22" s="323">
        <f>STDEV(E24:Q24)</f>
        <v>21.775117062301288</v>
      </c>
      <c r="W22" s="314" t="str">
        <f>IF(Q23="","",IF(T22&gt;300,IF(U22&lt;14,IF(T22&lt;390,"Pass","Fail"),"Fail"),"Fail"))</f>
        <v>Pass</v>
      </c>
      <c r="X22" s="317">
        <v>1428</v>
      </c>
      <c r="Y22" s="328"/>
      <c r="Z22" s="221"/>
      <c r="AA22" s="102">
        <v>270</v>
      </c>
      <c r="AB22" s="102">
        <v>370</v>
      </c>
      <c r="AC22" s="102">
        <v>300</v>
      </c>
      <c r="AD22" s="103">
        <v>390</v>
      </c>
      <c r="AE22" s="103">
        <v>20</v>
      </c>
      <c r="AF22" s="103">
        <v>14</v>
      </c>
    </row>
    <row r="23" spans="1:32" ht="16.100000000000001" x14ac:dyDescent="0.35">
      <c r="A23" s="263"/>
      <c r="B23" s="104"/>
      <c r="C23" s="104"/>
      <c r="D23" s="100" t="s">
        <v>187</v>
      </c>
      <c r="E23" s="101">
        <v>2072.0300000000002</v>
      </c>
      <c r="F23" s="101">
        <v>2085.23</v>
      </c>
      <c r="G23" s="101">
        <v>2086.39</v>
      </c>
      <c r="H23" s="101">
        <v>2086.4</v>
      </c>
      <c r="I23" s="101">
        <v>2085.81</v>
      </c>
      <c r="J23" s="101">
        <v>2084.21</v>
      </c>
      <c r="K23" s="101">
        <v>2079.4299999999998</v>
      </c>
      <c r="L23" s="101">
        <v>2082.6999999999998</v>
      </c>
      <c r="M23" s="101">
        <v>2083.48</v>
      </c>
      <c r="N23" s="101">
        <v>2089</v>
      </c>
      <c r="O23" s="101">
        <v>2089</v>
      </c>
      <c r="P23" s="101">
        <v>2108.06</v>
      </c>
      <c r="Q23" s="101">
        <v>2128.13</v>
      </c>
      <c r="R23" s="321"/>
      <c r="S23" s="321"/>
      <c r="T23" s="324"/>
      <c r="U23" s="324"/>
      <c r="V23" s="326"/>
      <c r="W23" s="315"/>
      <c r="X23" s="318"/>
      <c r="Y23" s="329"/>
      <c r="Z23" s="221"/>
      <c r="AA23" s="102"/>
      <c r="AB23" s="102"/>
      <c r="AC23" s="102"/>
      <c r="AD23" s="103"/>
      <c r="AE23" s="103"/>
      <c r="AF23" s="103"/>
    </row>
    <row r="24" spans="1:32" ht="31.05" x14ac:dyDescent="0.35">
      <c r="A24" s="263"/>
      <c r="B24" s="99"/>
      <c r="C24" s="99"/>
      <c r="D24" s="100" t="s">
        <v>188</v>
      </c>
      <c r="E24" s="105">
        <f t="shared" ref="E24:Q24" si="5">IF(((E22="")*AND(E23="")),"",(E22-E23))</f>
        <v>369.89999999999964</v>
      </c>
      <c r="F24" s="105">
        <f t="shared" si="5"/>
        <v>341.23</v>
      </c>
      <c r="G24" s="105">
        <f t="shared" si="5"/>
        <v>328.07999999999993</v>
      </c>
      <c r="H24" s="105">
        <f t="shared" si="5"/>
        <v>322.63999999999987</v>
      </c>
      <c r="I24" s="105">
        <f t="shared" si="5"/>
        <v>312.59999999999991</v>
      </c>
      <c r="J24" s="105">
        <f t="shared" si="5"/>
        <v>340.28999999999996</v>
      </c>
      <c r="K24" s="105">
        <f t="shared" si="5"/>
        <v>366.67000000000007</v>
      </c>
      <c r="L24" s="105">
        <f t="shared" si="5"/>
        <v>370.13000000000011</v>
      </c>
      <c r="M24" s="105">
        <f t="shared" si="5"/>
        <v>344.11999999999989</v>
      </c>
      <c r="N24" s="105">
        <f t="shared" si="5"/>
        <v>317.15999999999985</v>
      </c>
      <c r="O24" s="105">
        <f t="shared" si="5"/>
        <v>339.21000000000004</v>
      </c>
      <c r="P24" s="105">
        <f t="shared" si="5"/>
        <v>346</v>
      </c>
      <c r="Q24" s="105">
        <f t="shared" si="5"/>
        <v>380.90000000000009</v>
      </c>
      <c r="R24" s="322"/>
      <c r="S24" s="322"/>
      <c r="T24" s="325"/>
      <c r="U24" s="325"/>
      <c r="V24" s="327"/>
      <c r="W24" s="316"/>
      <c r="X24" s="319"/>
      <c r="Y24" s="330"/>
      <c r="Z24" s="221"/>
      <c r="AA24" s="102"/>
      <c r="AB24" s="102"/>
      <c r="AC24" s="102"/>
      <c r="AD24" s="102"/>
      <c r="AE24" s="106"/>
      <c r="AF24" s="102"/>
    </row>
    <row r="25" spans="1:32" ht="15.55" x14ac:dyDescent="0.25">
      <c r="A25" s="264">
        <v>43125</v>
      </c>
      <c r="B25" s="99" t="s">
        <v>235</v>
      </c>
      <c r="C25" s="99" t="s">
        <v>232</v>
      </c>
      <c r="D25" s="100" t="s">
        <v>186</v>
      </c>
      <c r="E25" s="101">
        <v>2817.06</v>
      </c>
      <c r="F25" s="101">
        <v>2768.21</v>
      </c>
      <c r="G25" s="101">
        <v>2744.26</v>
      </c>
      <c r="H25" s="101">
        <v>2739.06</v>
      </c>
      <c r="I25" s="101">
        <v>2749.78</v>
      </c>
      <c r="J25" s="101">
        <v>2777.99</v>
      </c>
      <c r="K25" s="101">
        <v>2829.11</v>
      </c>
      <c r="L25" s="101">
        <v>2819.68</v>
      </c>
      <c r="M25" s="101">
        <v>2764.44</v>
      </c>
      <c r="N25" s="101">
        <v>2740.37</v>
      </c>
      <c r="O25" s="101">
        <v>2757.79</v>
      </c>
      <c r="P25" s="101">
        <v>2800.03</v>
      </c>
      <c r="Q25" s="101">
        <v>2868.31</v>
      </c>
      <c r="R25" s="320">
        <f>IF((Q26=""),"",MAX(E27:Q27))</f>
        <v>341.04999999999973</v>
      </c>
      <c r="S25" s="320">
        <f>IF(Q26="","",MIN(E27:Q27))</f>
        <v>297.98</v>
      </c>
      <c r="T25" s="323">
        <f>IF((Q27=""),"",AVERAGE(E27:Q27))</f>
        <v>315.78307692307692</v>
      </c>
      <c r="U25" s="323">
        <f>IF((Q26=""),"",(R25-S25)/(R25+S25)*100)</f>
        <v>6.7399026649765617</v>
      </c>
      <c r="V25" s="323">
        <f>STDEV(E27:Q27)</f>
        <v>17.192777739802732</v>
      </c>
      <c r="W25" s="314" t="str">
        <f>IF(Q26="","",IF(T25&gt;300,IF(U25&lt;14,IF(T25&lt;390,"Pass","Fail"),"Fail"),"Fail"))</f>
        <v>Pass</v>
      </c>
      <c r="X25" s="317">
        <v>1428</v>
      </c>
      <c r="Y25" s="328"/>
      <c r="Z25" s="221"/>
      <c r="AA25" s="102">
        <v>270</v>
      </c>
      <c r="AB25" s="102">
        <v>370</v>
      </c>
      <c r="AC25" s="102">
        <v>300</v>
      </c>
      <c r="AD25" s="103">
        <v>390</v>
      </c>
      <c r="AE25" s="103">
        <v>20</v>
      </c>
      <c r="AF25" s="103">
        <v>14</v>
      </c>
    </row>
    <row r="26" spans="1:32" ht="16.100000000000001" x14ac:dyDescent="0.35">
      <c r="A26" s="263"/>
      <c r="B26" s="104"/>
      <c r="C26" s="104"/>
      <c r="D26" s="100" t="s">
        <v>187</v>
      </c>
      <c r="E26" s="101">
        <v>2476.0100000000002</v>
      </c>
      <c r="F26" s="101">
        <v>2455.54</v>
      </c>
      <c r="G26" s="101">
        <v>2446.2800000000002</v>
      </c>
      <c r="H26" s="101">
        <v>2440.15</v>
      </c>
      <c r="I26" s="101">
        <v>2450.83</v>
      </c>
      <c r="J26" s="101">
        <v>2464.77</v>
      </c>
      <c r="K26" s="101">
        <v>2491.2199999999998</v>
      </c>
      <c r="L26" s="101">
        <v>2479.85</v>
      </c>
      <c r="M26" s="101">
        <v>2451.9899999999998</v>
      </c>
      <c r="N26" s="101">
        <v>2440.52</v>
      </c>
      <c r="O26" s="101">
        <v>2457.44</v>
      </c>
      <c r="P26" s="101">
        <v>2484.69</v>
      </c>
      <c r="Q26" s="101">
        <v>2531.62</v>
      </c>
      <c r="R26" s="321"/>
      <c r="S26" s="321"/>
      <c r="T26" s="324"/>
      <c r="U26" s="324"/>
      <c r="V26" s="326"/>
      <c r="W26" s="315"/>
      <c r="X26" s="318"/>
      <c r="Y26" s="329"/>
      <c r="Z26" s="221"/>
      <c r="AA26" s="102"/>
      <c r="AB26" s="102"/>
      <c r="AC26" s="102"/>
      <c r="AD26" s="103"/>
      <c r="AE26" s="103"/>
      <c r="AF26" s="103"/>
    </row>
    <row r="27" spans="1:32" ht="31.05" x14ac:dyDescent="0.35">
      <c r="A27" s="263"/>
      <c r="B27" s="99"/>
      <c r="C27" s="99"/>
      <c r="D27" s="100" t="s">
        <v>188</v>
      </c>
      <c r="E27" s="105">
        <f t="shared" ref="E27:Q27" si="6">IF(((E25="")*AND(E26="")),"",(E25-E26))</f>
        <v>341.04999999999973</v>
      </c>
      <c r="F27" s="105">
        <f t="shared" si="6"/>
        <v>312.67000000000007</v>
      </c>
      <c r="G27" s="105">
        <f t="shared" si="6"/>
        <v>297.98</v>
      </c>
      <c r="H27" s="105">
        <f t="shared" si="6"/>
        <v>298.90999999999985</v>
      </c>
      <c r="I27" s="105">
        <f t="shared" si="6"/>
        <v>298.95000000000027</v>
      </c>
      <c r="J27" s="105">
        <f t="shared" si="6"/>
        <v>313.2199999999998</v>
      </c>
      <c r="K27" s="105">
        <f t="shared" si="6"/>
        <v>337.89000000000033</v>
      </c>
      <c r="L27" s="105">
        <f t="shared" si="6"/>
        <v>339.82999999999993</v>
      </c>
      <c r="M27" s="105">
        <f t="shared" si="6"/>
        <v>312.45000000000027</v>
      </c>
      <c r="N27" s="105">
        <f t="shared" si="6"/>
        <v>299.84999999999991</v>
      </c>
      <c r="O27" s="105">
        <f t="shared" si="6"/>
        <v>300.34999999999991</v>
      </c>
      <c r="P27" s="105">
        <f t="shared" si="6"/>
        <v>315.34000000000015</v>
      </c>
      <c r="Q27" s="105">
        <f t="shared" si="6"/>
        <v>336.69000000000005</v>
      </c>
      <c r="R27" s="322"/>
      <c r="S27" s="322"/>
      <c r="T27" s="325"/>
      <c r="U27" s="325"/>
      <c r="V27" s="327"/>
      <c r="W27" s="316"/>
      <c r="X27" s="319"/>
      <c r="Y27" s="330"/>
      <c r="Z27" s="221"/>
      <c r="AA27" s="102"/>
      <c r="AB27" s="102"/>
      <c r="AC27" s="102"/>
      <c r="AD27" s="102"/>
      <c r="AE27" s="106"/>
      <c r="AF27" s="102"/>
    </row>
    <row r="28" spans="1:32" ht="15.55" x14ac:dyDescent="0.25">
      <c r="A28" s="264">
        <v>43128</v>
      </c>
      <c r="B28" s="99" t="s">
        <v>235</v>
      </c>
      <c r="C28" s="99" t="s">
        <v>232</v>
      </c>
      <c r="D28" s="100" t="s">
        <v>186</v>
      </c>
      <c r="E28" s="101">
        <v>2475.9299999999998</v>
      </c>
      <c r="F28" s="101">
        <v>2454.33</v>
      </c>
      <c r="G28" s="101">
        <v>2442.66</v>
      </c>
      <c r="H28" s="101">
        <v>2440.67</v>
      </c>
      <c r="I28" s="101">
        <v>2449.4299999999998</v>
      </c>
      <c r="J28" s="101">
        <v>2466.15</v>
      </c>
      <c r="K28" s="101">
        <v>2496.62</v>
      </c>
      <c r="L28" s="101">
        <v>2481.61</v>
      </c>
      <c r="M28" s="101">
        <v>2452.87</v>
      </c>
      <c r="N28" s="101">
        <v>2442.4</v>
      </c>
      <c r="O28" s="101">
        <v>2458.04</v>
      </c>
      <c r="P28" s="101">
        <v>2486.48</v>
      </c>
      <c r="Q28" s="101">
        <v>2530.75</v>
      </c>
      <c r="R28" s="320">
        <f>IF((Q29=""),"",MAX(E30:Q30))</f>
        <v>373.27999999999975</v>
      </c>
      <c r="S28" s="320">
        <f>IF(Q29="","",MIN(E30:Q30))</f>
        <v>312.65000000000009</v>
      </c>
      <c r="T28" s="323">
        <f>IF((Q30=""),"",AVERAGE(E30:Q30))</f>
        <v>343.9507692307692</v>
      </c>
      <c r="U28" s="323">
        <f>IF((Q29=""),"",(R28-S28)/(R28+S28)*100)</f>
        <v>8.8390943682299472</v>
      </c>
      <c r="V28" s="323">
        <f>STDEV(E30:Q30)</f>
        <v>21.492938554146217</v>
      </c>
      <c r="W28" s="314" t="str">
        <f>IF(Q29="","",IF(T28&gt;300,IF(U28&lt;14,IF(T28&lt;390,"Pass","Fail"),"Fail"),"Fail"))</f>
        <v>Pass</v>
      </c>
      <c r="X28" s="317">
        <v>1519</v>
      </c>
      <c r="Y28" s="331"/>
      <c r="Z28" s="221" t="s">
        <v>236</v>
      </c>
      <c r="AA28" s="102">
        <v>270</v>
      </c>
      <c r="AB28" s="102">
        <v>370</v>
      </c>
      <c r="AC28" s="102">
        <v>300</v>
      </c>
      <c r="AD28" s="103">
        <v>390</v>
      </c>
      <c r="AE28" s="103">
        <v>20</v>
      </c>
      <c r="AF28" s="103">
        <v>14</v>
      </c>
    </row>
    <row r="29" spans="1:32" ht="16.100000000000001" x14ac:dyDescent="0.35">
      <c r="A29" s="263"/>
      <c r="B29" s="104"/>
      <c r="C29" s="104"/>
      <c r="D29" s="100" t="s">
        <v>187</v>
      </c>
      <c r="E29" s="101">
        <v>2102.65</v>
      </c>
      <c r="F29" s="101">
        <v>2116.64</v>
      </c>
      <c r="G29" s="101">
        <v>2081.4899999999998</v>
      </c>
      <c r="H29" s="101">
        <v>2128.02</v>
      </c>
      <c r="I29" s="101">
        <v>2131.37</v>
      </c>
      <c r="J29" s="101">
        <v>2140.4499999999998</v>
      </c>
      <c r="K29" s="101">
        <v>2145.36</v>
      </c>
      <c r="L29" s="101">
        <v>2126.3000000000002</v>
      </c>
      <c r="M29" s="101">
        <v>2122.02</v>
      </c>
      <c r="N29" s="101">
        <v>2121.39</v>
      </c>
      <c r="O29" s="101">
        <v>2089</v>
      </c>
      <c r="P29" s="101">
        <v>2144.27</v>
      </c>
      <c r="Q29" s="101">
        <v>2157.62</v>
      </c>
      <c r="R29" s="321"/>
      <c r="S29" s="321"/>
      <c r="T29" s="324"/>
      <c r="U29" s="324"/>
      <c r="V29" s="326"/>
      <c r="W29" s="315"/>
      <c r="X29" s="318"/>
      <c r="Y29" s="332"/>
      <c r="Z29" s="222"/>
      <c r="AA29" s="102"/>
      <c r="AB29" s="102"/>
      <c r="AC29" s="102"/>
      <c r="AD29" s="103"/>
      <c r="AE29" s="103"/>
      <c r="AF29" s="103"/>
    </row>
    <row r="30" spans="1:32" ht="31.05" x14ac:dyDescent="0.35">
      <c r="A30" s="263"/>
      <c r="B30" s="99"/>
      <c r="C30" s="99"/>
      <c r="D30" s="100" t="s">
        <v>188</v>
      </c>
      <c r="E30" s="105">
        <f t="shared" ref="E30:Q30" si="7">IF(((E28="")*AND(E29="")),"",(E28-E29))</f>
        <v>373.27999999999975</v>
      </c>
      <c r="F30" s="105">
        <f t="shared" si="7"/>
        <v>337.69000000000005</v>
      </c>
      <c r="G30" s="105">
        <f t="shared" si="7"/>
        <v>361.17000000000007</v>
      </c>
      <c r="H30" s="105">
        <f t="shared" si="7"/>
        <v>312.65000000000009</v>
      </c>
      <c r="I30" s="105">
        <f t="shared" si="7"/>
        <v>318.05999999999995</v>
      </c>
      <c r="J30" s="105">
        <f t="shared" si="7"/>
        <v>325.70000000000027</v>
      </c>
      <c r="K30" s="105">
        <f t="shared" si="7"/>
        <v>351.25999999999976</v>
      </c>
      <c r="L30" s="105">
        <f t="shared" si="7"/>
        <v>355.30999999999995</v>
      </c>
      <c r="M30" s="105">
        <f t="shared" si="7"/>
        <v>330.84999999999991</v>
      </c>
      <c r="N30" s="105">
        <f t="shared" si="7"/>
        <v>321.01000000000022</v>
      </c>
      <c r="O30" s="105">
        <f t="shared" si="7"/>
        <v>369.03999999999996</v>
      </c>
      <c r="P30" s="105">
        <f t="shared" si="7"/>
        <v>342.21000000000004</v>
      </c>
      <c r="Q30" s="105">
        <f t="shared" si="7"/>
        <v>373.13000000000011</v>
      </c>
      <c r="R30" s="322"/>
      <c r="S30" s="322"/>
      <c r="T30" s="325"/>
      <c r="U30" s="325"/>
      <c r="V30" s="327"/>
      <c r="W30" s="316"/>
      <c r="X30" s="319"/>
      <c r="Y30" s="333"/>
      <c r="Z30" s="222"/>
      <c r="AA30" s="102"/>
      <c r="AB30" s="102"/>
      <c r="AC30" s="102"/>
      <c r="AD30" s="102"/>
      <c r="AE30" s="106"/>
      <c r="AF30" s="102"/>
    </row>
    <row r="31" spans="1:32" ht="15.55" x14ac:dyDescent="0.25">
      <c r="A31" s="264">
        <v>43131</v>
      </c>
      <c r="B31" s="99" t="s">
        <v>235</v>
      </c>
      <c r="C31" s="99" t="s">
        <v>232</v>
      </c>
      <c r="D31" s="100" t="s">
        <v>186</v>
      </c>
      <c r="E31" s="101">
        <v>2821.6</v>
      </c>
      <c r="F31" s="101">
        <v>2761.13</v>
      </c>
      <c r="G31" s="101">
        <v>2734.66</v>
      </c>
      <c r="H31" s="101">
        <v>2732.91</v>
      </c>
      <c r="I31" s="101">
        <v>2751.37</v>
      </c>
      <c r="J31" s="101">
        <v>2795.86</v>
      </c>
      <c r="K31" s="101">
        <v>2865.82</v>
      </c>
      <c r="L31" s="101">
        <v>2809.27</v>
      </c>
      <c r="M31" s="101">
        <v>2766.1</v>
      </c>
      <c r="N31" s="101">
        <v>2739.65</v>
      </c>
      <c r="O31" s="101">
        <v>2742.05</v>
      </c>
      <c r="P31" s="101">
        <v>2768.95</v>
      </c>
      <c r="Q31" s="101">
        <v>2818.34</v>
      </c>
      <c r="R31" s="320">
        <f>IF((Q32=""),"",MAX(E33:Q33))</f>
        <v>369.75999999999976</v>
      </c>
      <c r="S31" s="320">
        <f>IF(Q32="","",MIN(E33:Q33))</f>
        <v>319.44000000000005</v>
      </c>
      <c r="T31" s="323">
        <f>IF((Q33=""),"",AVERAGE(E33:Q33))</f>
        <v>339.88</v>
      </c>
      <c r="U31" s="323">
        <f>IF((Q32=""),"",(R31-S31)/(R31+S31)*100)</f>
        <v>7.3012188044108708</v>
      </c>
      <c r="V31" s="323">
        <f>STDEV(E33:Q33)</f>
        <v>19.417399413927718</v>
      </c>
      <c r="W31" s="314" t="str">
        <f>IF(Q32="","",IF(T31&gt;300,IF(U31&lt;14,IF(T31&lt;390,"Pass","Fail"),"Fail"),"Fail"))</f>
        <v>Pass</v>
      </c>
      <c r="X31" s="317">
        <v>1335</v>
      </c>
      <c r="Y31" s="328"/>
      <c r="Z31" s="221"/>
      <c r="AA31" s="102">
        <v>270</v>
      </c>
      <c r="AB31" s="102">
        <v>370</v>
      </c>
      <c r="AC31" s="102">
        <v>300</v>
      </c>
      <c r="AD31" s="103">
        <v>390</v>
      </c>
      <c r="AE31" s="103">
        <v>20</v>
      </c>
      <c r="AF31" s="103">
        <v>14</v>
      </c>
    </row>
    <row r="32" spans="1:32" ht="16.100000000000001" x14ac:dyDescent="0.35">
      <c r="A32" s="263"/>
      <c r="B32" s="104"/>
      <c r="C32" s="104"/>
      <c r="D32" s="100" t="s">
        <v>187</v>
      </c>
      <c r="E32" s="101">
        <v>2453.59</v>
      </c>
      <c r="F32" s="101">
        <v>2425.5</v>
      </c>
      <c r="G32" s="101">
        <v>2413.0100000000002</v>
      </c>
      <c r="H32" s="101">
        <v>2413.4699999999998</v>
      </c>
      <c r="I32" s="101">
        <v>2428.38</v>
      </c>
      <c r="J32" s="101">
        <v>2459.85</v>
      </c>
      <c r="K32" s="101">
        <v>2503.4499999999998</v>
      </c>
      <c r="L32" s="101">
        <v>2439.5100000000002</v>
      </c>
      <c r="M32" s="101">
        <v>2429.08</v>
      </c>
      <c r="N32" s="101">
        <v>2417.42</v>
      </c>
      <c r="O32" s="101">
        <v>2419.65</v>
      </c>
      <c r="P32" s="101">
        <v>2432.92</v>
      </c>
      <c r="Q32" s="101">
        <v>2453.44</v>
      </c>
      <c r="R32" s="321"/>
      <c r="S32" s="321"/>
      <c r="T32" s="324"/>
      <c r="U32" s="324"/>
      <c r="V32" s="326"/>
      <c r="W32" s="315"/>
      <c r="X32" s="318"/>
      <c r="Y32" s="329"/>
      <c r="Z32" s="221"/>
      <c r="AA32" s="102"/>
      <c r="AB32" s="102"/>
      <c r="AC32" s="102"/>
      <c r="AD32" s="103"/>
      <c r="AE32" s="103"/>
      <c r="AF32" s="103"/>
    </row>
    <row r="33" spans="1:32" ht="31.05" x14ac:dyDescent="0.35">
      <c r="A33" s="263"/>
      <c r="B33" s="99"/>
      <c r="C33" s="99"/>
      <c r="D33" s="100" t="s">
        <v>188</v>
      </c>
      <c r="E33" s="105">
        <f t="shared" ref="E33:Q33" si="8">IF(((E31="")*AND(E32="")),"",(E31-E32))</f>
        <v>368.00999999999976</v>
      </c>
      <c r="F33" s="105">
        <f t="shared" si="8"/>
        <v>335.63000000000011</v>
      </c>
      <c r="G33" s="105">
        <f t="shared" si="8"/>
        <v>321.64999999999964</v>
      </c>
      <c r="H33" s="105">
        <f t="shared" si="8"/>
        <v>319.44000000000005</v>
      </c>
      <c r="I33" s="105">
        <f t="shared" si="8"/>
        <v>322.98999999999978</v>
      </c>
      <c r="J33" s="105">
        <f t="shared" si="8"/>
        <v>336.01000000000022</v>
      </c>
      <c r="K33" s="105">
        <f t="shared" si="8"/>
        <v>362.37000000000035</v>
      </c>
      <c r="L33" s="105">
        <f t="shared" si="8"/>
        <v>369.75999999999976</v>
      </c>
      <c r="M33" s="105">
        <f t="shared" si="8"/>
        <v>337.02</v>
      </c>
      <c r="N33" s="105">
        <f t="shared" si="8"/>
        <v>322.23</v>
      </c>
      <c r="O33" s="105">
        <f t="shared" si="8"/>
        <v>322.40000000000009</v>
      </c>
      <c r="P33" s="105">
        <f t="shared" si="8"/>
        <v>336.02999999999975</v>
      </c>
      <c r="Q33" s="105">
        <f t="shared" si="8"/>
        <v>364.90000000000009</v>
      </c>
      <c r="R33" s="322"/>
      <c r="S33" s="322"/>
      <c r="T33" s="325"/>
      <c r="U33" s="325"/>
      <c r="V33" s="327"/>
      <c r="W33" s="316"/>
      <c r="X33" s="319"/>
      <c r="Y33" s="330"/>
      <c r="Z33" s="221"/>
      <c r="AA33" s="102"/>
      <c r="AB33" s="102"/>
      <c r="AC33" s="102"/>
      <c r="AD33" s="102"/>
      <c r="AE33" s="106"/>
      <c r="AF33" s="102"/>
    </row>
    <row r="34" spans="1:32" ht="15.55" x14ac:dyDescent="0.25">
      <c r="A34" s="264">
        <v>43134</v>
      </c>
      <c r="B34" s="99" t="s">
        <v>235</v>
      </c>
      <c r="C34" s="99" t="s">
        <v>232</v>
      </c>
      <c r="D34" s="100" t="s">
        <v>186</v>
      </c>
      <c r="E34" s="101">
        <v>2453.0300000000002</v>
      </c>
      <c r="F34" s="101">
        <v>2426.44</v>
      </c>
      <c r="G34" s="101">
        <v>2410.81</v>
      </c>
      <c r="H34" s="101">
        <v>2410.08</v>
      </c>
      <c r="I34" s="101">
        <v>2439.59</v>
      </c>
      <c r="J34" s="101">
        <v>2449.7800000000002</v>
      </c>
      <c r="K34" s="101">
        <v>2503.37</v>
      </c>
      <c r="L34" s="101">
        <v>2438.2800000000002</v>
      </c>
      <c r="M34" s="101">
        <v>2430.41</v>
      </c>
      <c r="N34" s="101">
        <v>2422.5300000000002</v>
      </c>
      <c r="O34" s="101">
        <v>2420.56</v>
      </c>
      <c r="P34" s="101">
        <v>2433.27</v>
      </c>
      <c r="Q34" s="101">
        <v>2454.59</v>
      </c>
      <c r="R34" s="320">
        <f>IF((Q35=""),"",MAX(E36:Q36))</f>
        <v>369.74000000000024</v>
      </c>
      <c r="S34" s="320">
        <f>IF(Q35="","",MIN(E36:Q36))</f>
        <v>325.32000000000016</v>
      </c>
      <c r="T34" s="323">
        <f>IF((Q36=""),"",AVERAGE(E36:Q36))</f>
        <v>348.34307692307686</v>
      </c>
      <c r="U34" s="323">
        <f>IF((Q35=""),"",(R34-S34)/(R34+S34)*100)</f>
        <v>6.3908151814231928</v>
      </c>
      <c r="V34" s="323">
        <f>STDEV(E36:Q36)</f>
        <v>15.502765013923296</v>
      </c>
      <c r="W34" s="314" t="str">
        <f>IF(Q35="","",IF(T34&gt;300,IF(U34&lt;14,IF(T34&lt;390,"Pass","Fail"),"Fail"),"Fail"))</f>
        <v>Pass</v>
      </c>
      <c r="X34" s="317">
        <v>1335</v>
      </c>
      <c r="Y34" s="328"/>
      <c r="Z34" s="221"/>
      <c r="AA34" s="102">
        <v>270</v>
      </c>
      <c r="AB34" s="102">
        <v>370</v>
      </c>
      <c r="AC34" s="102">
        <v>300</v>
      </c>
      <c r="AD34" s="103">
        <v>390</v>
      </c>
      <c r="AE34" s="103">
        <v>20</v>
      </c>
      <c r="AF34" s="103">
        <v>14</v>
      </c>
    </row>
    <row r="35" spans="1:32" ht="16.100000000000001" x14ac:dyDescent="0.35">
      <c r="A35" s="263"/>
      <c r="B35" s="104"/>
      <c r="C35" s="104"/>
      <c r="D35" s="100" t="s">
        <v>187</v>
      </c>
      <c r="E35" s="101">
        <v>2085.7600000000002</v>
      </c>
      <c r="F35" s="101">
        <v>2083.5100000000002</v>
      </c>
      <c r="G35" s="101">
        <v>2085.4899999999998</v>
      </c>
      <c r="H35" s="101">
        <v>2083.5100000000002</v>
      </c>
      <c r="I35" s="101">
        <v>2085.7600000000002</v>
      </c>
      <c r="J35" s="101">
        <v>2085.7600000000002</v>
      </c>
      <c r="K35" s="101">
        <v>2148.66</v>
      </c>
      <c r="L35" s="101">
        <v>2076.27</v>
      </c>
      <c r="M35" s="101">
        <v>2083.5100000000002</v>
      </c>
      <c r="N35" s="101">
        <v>2094.1799999999998</v>
      </c>
      <c r="O35" s="101">
        <v>2083.5100000000002</v>
      </c>
      <c r="P35" s="101">
        <v>2083.5100000000002</v>
      </c>
      <c r="Q35" s="101">
        <v>2084.85</v>
      </c>
      <c r="R35" s="321"/>
      <c r="S35" s="321"/>
      <c r="T35" s="324"/>
      <c r="U35" s="324"/>
      <c r="V35" s="326"/>
      <c r="W35" s="315"/>
      <c r="X35" s="318"/>
      <c r="Y35" s="329"/>
      <c r="Z35" s="221"/>
      <c r="AA35" s="102"/>
      <c r="AB35" s="102"/>
      <c r="AC35" s="102"/>
      <c r="AD35" s="103"/>
      <c r="AE35" s="103"/>
      <c r="AF35" s="103"/>
    </row>
    <row r="36" spans="1:32" ht="31.05" x14ac:dyDescent="0.35">
      <c r="A36" s="263"/>
      <c r="B36" s="99"/>
      <c r="C36" s="99"/>
      <c r="D36" s="100" t="s">
        <v>188</v>
      </c>
      <c r="E36" s="105">
        <f t="shared" ref="E36:Q36" si="9">IF(((E34="")*AND(E35="")),"",(E34-E35))</f>
        <v>367.27</v>
      </c>
      <c r="F36" s="105">
        <f t="shared" si="9"/>
        <v>342.92999999999984</v>
      </c>
      <c r="G36" s="105">
        <f t="shared" si="9"/>
        <v>325.32000000000016</v>
      </c>
      <c r="H36" s="105">
        <f t="shared" si="9"/>
        <v>326.56999999999971</v>
      </c>
      <c r="I36" s="105">
        <f t="shared" si="9"/>
        <v>353.82999999999993</v>
      </c>
      <c r="J36" s="105">
        <f t="shared" si="9"/>
        <v>364.02</v>
      </c>
      <c r="K36" s="105">
        <f t="shared" si="9"/>
        <v>354.71000000000004</v>
      </c>
      <c r="L36" s="105">
        <f t="shared" si="9"/>
        <v>362.01000000000022</v>
      </c>
      <c r="M36" s="105">
        <f t="shared" si="9"/>
        <v>346.89999999999964</v>
      </c>
      <c r="N36" s="105">
        <f t="shared" si="9"/>
        <v>328.35000000000036</v>
      </c>
      <c r="O36" s="105">
        <f t="shared" si="9"/>
        <v>337.04999999999973</v>
      </c>
      <c r="P36" s="105">
        <f t="shared" si="9"/>
        <v>349.75999999999976</v>
      </c>
      <c r="Q36" s="105">
        <f t="shared" si="9"/>
        <v>369.74000000000024</v>
      </c>
      <c r="R36" s="322"/>
      <c r="S36" s="322"/>
      <c r="T36" s="325"/>
      <c r="U36" s="325"/>
      <c r="V36" s="327"/>
      <c r="W36" s="316"/>
      <c r="X36" s="319"/>
      <c r="Y36" s="330"/>
      <c r="Z36" s="221"/>
      <c r="AA36" s="102"/>
      <c r="AB36" s="102"/>
      <c r="AC36" s="102"/>
      <c r="AD36" s="102"/>
      <c r="AE36" s="106"/>
      <c r="AF36" s="102"/>
    </row>
    <row r="37" spans="1:32" ht="15.55" x14ac:dyDescent="0.25">
      <c r="A37" s="264">
        <v>43137</v>
      </c>
      <c r="B37" s="99" t="s">
        <v>235</v>
      </c>
      <c r="C37" s="99" t="s">
        <v>232</v>
      </c>
      <c r="D37" s="100" t="s">
        <v>186</v>
      </c>
      <c r="E37" s="101">
        <v>2800.05</v>
      </c>
      <c r="F37" s="101">
        <v>2766.84</v>
      </c>
      <c r="G37" s="101">
        <v>2746.31</v>
      </c>
      <c r="H37" s="101">
        <v>2742.9</v>
      </c>
      <c r="I37" s="101">
        <v>2757.52</v>
      </c>
      <c r="J37" s="101">
        <v>2791.42</v>
      </c>
      <c r="K37" s="101">
        <v>2852.7</v>
      </c>
      <c r="L37" s="101">
        <v>2848.2</v>
      </c>
      <c r="M37" s="101">
        <v>2791.23</v>
      </c>
      <c r="N37" s="101">
        <v>2756.98</v>
      </c>
      <c r="O37" s="101">
        <v>2747.24</v>
      </c>
      <c r="P37" s="101">
        <v>2770.21</v>
      </c>
      <c r="Q37" s="101">
        <v>2808.69</v>
      </c>
      <c r="R37" s="320">
        <f>IF((Q38=""),"",MAX(E39:Q39))</f>
        <v>366.12000000000035</v>
      </c>
      <c r="S37" s="320">
        <f>IF(Q38="","",MIN(E39:Q39))</f>
        <v>316.5</v>
      </c>
      <c r="T37" s="323">
        <f>IF((Q39=""),"",AVERAGE(E39:Q39))</f>
        <v>338.0461538461538</v>
      </c>
      <c r="U37" s="323">
        <f>IF((Q38=""),"",(R37-S37)/(R37+S37)*100)</f>
        <v>7.2690515953239458</v>
      </c>
      <c r="V37" s="323">
        <f>STDEV(E39:Q39)</f>
        <v>17.694384014173142</v>
      </c>
      <c r="W37" s="314" t="str">
        <f>IF(Q38="","",IF(T37&gt;300,IF(U37&lt;14,IF(T37&lt;390,"Pass","Fail"),"Fail"),"Fail"))</f>
        <v>Pass</v>
      </c>
      <c r="X37" s="317"/>
      <c r="Y37" s="328"/>
      <c r="Z37" s="221"/>
      <c r="AA37" s="102">
        <v>270</v>
      </c>
      <c r="AB37" s="102">
        <v>370</v>
      </c>
      <c r="AC37" s="102">
        <v>300</v>
      </c>
      <c r="AD37" s="103">
        <v>390</v>
      </c>
      <c r="AE37" s="103">
        <v>20</v>
      </c>
      <c r="AF37" s="103">
        <v>14</v>
      </c>
    </row>
    <row r="38" spans="1:32" ht="16.100000000000001" x14ac:dyDescent="0.35">
      <c r="A38" s="263"/>
      <c r="B38" s="104"/>
      <c r="C38" s="104"/>
      <c r="D38" s="100" t="s">
        <v>187</v>
      </c>
      <c r="E38" s="101">
        <v>2433.9299999999998</v>
      </c>
      <c r="F38" s="101">
        <v>2431.8000000000002</v>
      </c>
      <c r="G38" s="101">
        <v>2423.79</v>
      </c>
      <c r="H38" s="101">
        <v>2426.4</v>
      </c>
      <c r="I38" s="101">
        <v>2434.36</v>
      </c>
      <c r="J38" s="101">
        <v>2457.02</v>
      </c>
      <c r="K38" s="101">
        <v>2493.0100000000002</v>
      </c>
      <c r="L38" s="101">
        <v>2488.35</v>
      </c>
      <c r="M38" s="101">
        <v>2456.59</v>
      </c>
      <c r="N38" s="101">
        <v>2437.71</v>
      </c>
      <c r="O38" s="101">
        <v>2424.06</v>
      </c>
      <c r="P38" s="101">
        <v>2430.08</v>
      </c>
      <c r="Q38" s="101">
        <v>2448.59</v>
      </c>
      <c r="R38" s="321"/>
      <c r="S38" s="321"/>
      <c r="T38" s="324"/>
      <c r="U38" s="324"/>
      <c r="V38" s="326"/>
      <c r="W38" s="315"/>
      <c r="X38" s="318"/>
      <c r="Y38" s="329"/>
      <c r="Z38" s="221"/>
      <c r="AA38" s="102"/>
      <c r="AB38" s="102"/>
      <c r="AC38" s="102"/>
      <c r="AD38" s="103"/>
      <c r="AE38" s="103"/>
      <c r="AF38" s="103"/>
    </row>
    <row r="39" spans="1:32" ht="31.05" x14ac:dyDescent="0.35">
      <c r="A39" s="263"/>
      <c r="B39" s="99"/>
      <c r="C39" s="99"/>
      <c r="D39" s="100" t="s">
        <v>188</v>
      </c>
      <c r="E39" s="105">
        <f t="shared" ref="E39:Q39" si="10">IF(((E37="")*AND(E38="")),"",(E37-E38))</f>
        <v>366.12000000000035</v>
      </c>
      <c r="F39" s="105">
        <f t="shared" si="10"/>
        <v>335.03999999999996</v>
      </c>
      <c r="G39" s="105">
        <f t="shared" si="10"/>
        <v>322.52</v>
      </c>
      <c r="H39" s="105">
        <f t="shared" si="10"/>
        <v>316.5</v>
      </c>
      <c r="I39" s="105">
        <f t="shared" si="10"/>
        <v>323.15999999999985</v>
      </c>
      <c r="J39" s="105">
        <f t="shared" si="10"/>
        <v>334.40000000000009</v>
      </c>
      <c r="K39" s="105">
        <f t="shared" si="10"/>
        <v>359.6899999999996</v>
      </c>
      <c r="L39" s="105">
        <f t="shared" si="10"/>
        <v>359.84999999999991</v>
      </c>
      <c r="M39" s="105">
        <f t="shared" si="10"/>
        <v>334.63999999999987</v>
      </c>
      <c r="N39" s="105">
        <f t="shared" si="10"/>
        <v>319.27</v>
      </c>
      <c r="O39" s="105">
        <f t="shared" si="10"/>
        <v>323.17999999999984</v>
      </c>
      <c r="P39" s="105">
        <f t="shared" si="10"/>
        <v>340.13000000000011</v>
      </c>
      <c r="Q39" s="105">
        <f t="shared" si="10"/>
        <v>360.09999999999991</v>
      </c>
      <c r="R39" s="322"/>
      <c r="S39" s="322"/>
      <c r="T39" s="325"/>
      <c r="U39" s="325"/>
      <c r="V39" s="327"/>
      <c r="W39" s="316"/>
      <c r="X39" s="319"/>
      <c r="Y39" s="330"/>
      <c r="Z39" s="221"/>
      <c r="AA39" s="102"/>
      <c r="AB39" s="102"/>
      <c r="AC39" s="102"/>
      <c r="AD39" s="102"/>
      <c r="AE39" s="106"/>
      <c r="AF39" s="102"/>
    </row>
    <row r="40" spans="1:32" ht="15.55" x14ac:dyDescent="0.25">
      <c r="A40" s="264">
        <v>43140</v>
      </c>
      <c r="B40" s="99" t="s">
        <v>235</v>
      </c>
      <c r="C40" s="99" t="s">
        <v>232</v>
      </c>
      <c r="D40" s="100" t="s">
        <v>186</v>
      </c>
      <c r="E40" s="101">
        <v>2434.46</v>
      </c>
      <c r="F40" s="101">
        <v>2432.7399999999998</v>
      </c>
      <c r="G40" s="101">
        <v>2423.69</v>
      </c>
      <c r="H40" s="101">
        <v>2424.19</v>
      </c>
      <c r="I40" s="101">
        <v>2436.7600000000002</v>
      </c>
      <c r="J40" s="101">
        <v>2457.3200000000002</v>
      </c>
      <c r="K40" s="101">
        <v>2495.73</v>
      </c>
      <c r="L40" s="101">
        <v>2488.31</v>
      </c>
      <c r="M40" s="101">
        <v>2457.48</v>
      </c>
      <c r="N40" s="101">
        <v>2435.62</v>
      </c>
      <c r="O40" s="101">
        <v>2423.34</v>
      </c>
      <c r="P40" s="101">
        <v>2432.86</v>
      </c>
      <c r="Q40" s="101">
        <v>2447.65</v>
      </c>
      <c r="R40" s="320">
        <f>IF((Q41=""),"",MAX(E42:Q42))</f>
        <v>375.52</v>
      </c>
      <c r="S40" s="320">
        <f>IF(Q41="","",MIN(E42:Q42))</f>
        <v>328.52</v>
      </c>
      <c r="T40" s="323">
        <f>IF((Q42=""),"",AVERAGE(E42:Q42))</f>
        <v>347.3238461538462</v>
      </c>
      <c r="U40" s="323">
        <f>IF((Q41=""),"",(R40-S40)/(R40+S40)*100)</f>
        <v>6.6757570592579976</v>
      </c>
      <c r="V40" s="323">
        <f>STDEV(E42:Q42)</f>
        <v>17.717301590282492</v>
      </c>
      <c r="W40" s="314" t="str">
        <f>IF(Q41="","",IF(T40&gt;300,IF(U40&lt;14,IF(T40&lt;390,"Pass","Fail"),"Fail"),"Fail"))</f>
        <v>Pass</v>
      </c>
      <c r="X40" s="317"/>
      <c r="Y40" s="328"/>
      <c r="Z40" s="221"/>
      <c r="AA40" s="102">
        <v>270</v>
      </c>
      <c r="AB40" s="102">
        <v>370</v>
      </c>
      <c r="AC40" s="102">
        <v>300</v>
      </c>
      <c r="AD40" s="103">
        <v>390</v>
      </c>
      <c r="AE40" s="103">
        <v>20</v>
      </c>
      <c r="AF40" s="103">
        <v>14</v>
      </c>
    </row>
    <row r="41" spans="1:32" ht="16.100000000000001" x14ac:dyDescent="0.35">
      <c r="A41" s="263"/>
      <c r="B41" s="104"/>
      <c r="C41" s="104"/>
      <c r="D41" s="100" t="s">
        <v>187</v>
      </c>
      <c r="E41" s="101">
        <v>2058.94</v>
      </c>
      <c r="F41" s="101">
        <v>2083.21</v>
      </c>
      <c r="G41" s="101">
        <v>2092.96</v>
      </c>
      <c r="H41" s="101">
        <v>2094.96</v>
      </c>
      <c r="I41" s="101">
        <v>2105.84</v>
      </c>
      <c r="J41" s="101">
        <v>2115.3200000000002</v>
      </c>
      <c r="K41" s="101">
        <v>2131.81</v>
      </c>
      <c r="L41" s="101">
        <v>2117.7399999999998</v>
      </c>
      <c r="M41" s="101">
        <v>2112.33</v>
      </c>
      <c r="N41" s="101">
        <v>2105.37</v>
      </c>
      <c r="O41" s="101">
        <v>2094.8200000000002</v>
      </c>
      <c r="P41" s="101">
        <v>2085.83</v>
      </c>
      <c r="Q41" s="101">
        <v>2075.81</v>
      </c>
      <c r="R41" s="321"/>
      <c r="S41" s="321"/>
      <c r="T41" s="324"/>
      <c r="U41" s="324"/>
      <c r="V41" s="326"/>
      <c r="W41" s="315"/>
      <c r="X41" s="318"/>
      <c r="Y41" s="329"/>
      <c r="Z41" s="221"/>
      <c r="AA41" s="102"/>
      <c r="AB41" s="102"/>
      <c r="AC41" s="102"/>
      <c r="AD41" s="103"/>
      <c r="AE41" s="103"/>
      <c r="AF41" s="103"/>
    </row>
    <row r="42" spans="1:32" ht="31.05" x14ac:dyDescent="0.35">
      <c r="A42" s="263"/>
      <c r="B42" s="99"/>
      <c r="C42" s="99"/>
      <c r="D42" s="100" t="s">
        <v>188</v>
      </c>
      <c r="E42" s="105">
        <f t="shared" ref="E42:Q42" si="11">IF(((E40="")*AND(E41="")),"",(E40-E41))</f>
        <v>375.52</v>
      </c>
      <c r="F42" s="105">
        <f t="shared" si="11"/>
        <v>349.52999999999975</v>
      </c>
      <c r="G42" s="105">
        <f t="shared" si="11"/>
        <v>330.73</v>
      </c>
      <c r="H42" s="105">
        <f t="shared" si="11"/>
        <v>329.23</v>
      </c>
      <c r="I42" s="105">
        <f t="shared" si="11"/>
        <v>330.92000000000007</v>
      </c>
      <c r="J42" s="105">
        <f t="shared" si="11"/>
        <v>342</v>
      </c>
      <c r="K42" s="105">
        <f t="shared" si="11"/>
        <v>363.92000000000007</v>
      </c>
      <c r="L42" s="105">
        <f t="shared" si="11"/>
        <v>370.57000000000016</v>
      </c>
      <c r="M42" s="105">
        <f t="shared" si="11"/>
        <v>345.15000000000009</v>
      </c>
      <c r="N42" s="105">
        <f t="shared" si="11"/>
        <v>330.25</v>
      </c>
      <c r="O42" s="105">
        <f t="shared" si="11"/>
        <v>328.52</v>
      </c>
      <c r="P42" s="105">
        <f t="shared" si="11"/>
        <v>347.0300000000002</v>
      </c>
      <c r="Q42" s="105">
        <f t="shared" si="11"/>
        <v>371.84000000000015</v>
      </c>
      <c r="R42" s="322"/>
      <c r="S42" s="322"/>
      <c r="T42" s="325"/>
      <c r="U42" s="325"/>
      <c r="V42" s="327"/>
      <c r="W42" s="316"/>
      <c r="X42" s="319"/>
      <c r="Y42" s="330"/>
      <c r="Z42" s="221"/>
      <c r="AA42" s="102"/>
      <c r="AB42" s="102"/>
      <c r="AC42" s="102"/>
      <c r="AD42" s="102"/>
      <c r="AE42" s="106"/>
      <c r="AF42" s="102"/>
    </row>
    <row r="43" spans="1:32" ht="15.55" x14ac:dyDescent="0.25">
      <c r="A43" s="264">
        <v>43143</v>
      </c>
      <c r="B43" s="99" t="s">
        <v>235</v>
      </c>
      <c r="C43" s="99" t="s">
        <v>232</v>
      </c>
      <c r="D43" s="100" t="s">
        <v>186</v>
      </c>
      <c r="E43" s="101">
        <v>2810.19</v>
      </c>
      <c r="F43" s="101">
        <v>2767.87</v>
      </c>
      <c r="G43" s="101">
        <v>2747.72</v>
      </c>
      <c r="H43" s="101">
        <v>2745.42</v>
      </c>
      <c r="I43" s="101">
        <v>2761.41</v>
      </c>
      <c r="J43" s="101">
        <v>2796.91</v>
      </c>
      <c r="K43" s="101">
        <v>2860.08</v>
      </c>
      <c r="L43" s="101">
        <v>2841.49</v>
      </c>
      <c r="M43" s="101">
        <v>2787.2</v>
      </c>
      <c r="N43" s="101">
        <v>2756.6</v>
      </c>
      <c r="O43" s="101">
        <v>2750.61</v>
      </c>
      <c r="P43" s="101">
        <v>2772.96</v>
      </c>
      <c r="Q43" s="101">
        <v>2815.14</v>
      </c>
      <c r="R43" s="320">
        <f>IF((Q44=""),"",MAX(E45:Q45))</f>
        <v>376.15999999999985</v>
      </c>
      <c r="S43" s="320">
        <f>IF(Q44="","",MIN(E45:Q45))</f>
        <v>319.32999999999993</v>
      </c>
      <c r="T43" s="323">
        <f>IF((Q45=""),"",AVERAGE(E45:Q45))</f>
        <v>342.43999999999994</v>
      </c>
      <c r="U43" s="323">
        <f>IF((Q44=""),"",(R43-S43)/(R43+S43)*100)</f>
        <v>8.1712174150598784</v>
      </c>
      <c r="V43" s="323">
        <f>STDEV(E45:Q45)</f>
        <v>22.545535773924982</v>
      </c>
      <c r="W43" s="314" t="str">
        <f>IF(Q44="","",IF(T43&gt;300,IF(U43&lt;14,IF(T43&lt;390,"Pass","Fail"),"Fail"),"Fail"))</f>
        <v>Pass</v>
      </c>
      <c r="X43" s="317"/>
      <c r="Y43" s="328"/>
      <c r="Z43" s="221"/>
      <c r="AA43" s="102">
        <v>270</v>
      </c>
      <c r="AB43" s="102">
        <v>370</v>
      </c>
      <c r="AC43" s="102">
        <v>300</v>
      </c>
      <c r="AD43" s="103">
        <v>390</v>
      </c>
      <c r="AE43" s="103">
        <v>20</v>
      </c>
      <c r="AF43" s="103">
        <v>14</v>
      </c>
    </row>
    <row r="44" spans="1:32" ht="16.100000000000001" x14ac:dyDescent="0.35">
      <c r="A44" s="263"/>
      <c r="B44" s="104"/>
      <c r="C44" s="104"/>
      <c r="D44" s="100" t="s">
        <v>187</v>
      </c>
      <c r="E44" s="101">
        <v>2434.75</v>
      </c>
      <c r="F44" s="101">
        <v>2430.92</v>
      </c>
      <c r="G44" s="101">
        <v>2425.1799999999998</v>
      </c>
      <c r="H44" s="101">
        <v>2426.09</v>
      </c>
      <c r="I44" s="101">
        <v>2439.9499999999998</v>
      </c>
      <c r="J44" s="101">
        <v>2456.98</v>
      </c>
      <c r="K44" s="101">
        <v>2490.96</v>
      </c>
      <c r="L44" s="101">
        <v>2469.86</v>
      </c>
      <c r="M44" s="101">
        <v>2450.44</v>
      </c>
      <c r="N44" s="101">
        <v>2434.83</v>
      </c>
      <c r="O44" s="101">
        <v>2428.94</v>
      </c>
      <c r="P44" s="101">
        <v>2434</v>
      </c>
      <c r="Q44" s="101">
        <v>2438.98</v>
      </c>
      <c r="R44" s="321"/>
      <c r="S44" s="321"/>
      <c r="T44" s="324"/>
      <c r="U44" s="324"/>
      <c r="V44" s="326"/>
      <c r="W44" s="315"/>
      <c r="X44" s="318"/>
      <c r="Y44" s="329"/>
      <c r="Z44" s="221"/>
      <c r="AA44" s="102"/>
      <c r="AB44" s="102"/>
      <c r="AC44" s="102"/>
      <c r="AD44" s="103"/>
      <c r="AE44" s="103"/>
      <c r="AF44" s="103"/>
    </row>
    <row r="45" spans="1:32" ht="31.05" x14ac:dyDescent="0.35">
      <c r="A45" s="263"/>
      <c r="B45" s="99"/>
      <c r="C45" s="99"/>
      <c r="D45" s="100" t="s">
        <v>188</v>
      </c>
      <c r="E45" s="105">
        <f t="shared" ref="E45:Q45" si="12">IF(((E43="")*AND(E44="")),"",(E43-E44))</f>
        <v>375.44000000000005</v>
      </c>
      <c r="F45" s="105">
        <f t="shared" si="12"/>
        <v>336.94999999999982</v>
      </c>
      <c r="G45" s="105">
        <f t="shared" si="12"/>
        <v>322.53999999999996</v>
      </c>
      <c r="H45" s="105">
        <f t="shared" si="12"/>
        <v>319.32999999999993</v>
      </c>
      <c r="I45" s="105">
        <f t="shared" si="12"/>
        <v>321.46000000000004</v>
      </c>
      <c r="J45" s="105">
        <f t="shared" si="12"/>
        <v>339.92999999999984</v>
      </c>
      <c r="K45" s="105">
        <f t="shared" si="12"/>
        <v>369.11999999999989</v>
      </c>
      <c r="L45" s="105">
        <f t="shared" si="12"/>
        <v>371.62999999999965</v>
      </c>
      <c r="M45" s="105">
        <f t="shared" si="12"/>
        <v>336.75999999999976</v>
      </c>
      <c r="N45" s="105">
        <f t="shared" si="12"/>
        <v>321.77</v>
      </c>
      <c r="O45" s="105">
        <f t="shared" si="12"/>
        <v>321.67000000000007</v>
      </c>
      <c r="P45" s="105">
        <f t="shared" si="12"/>
        <v>338.96000000000004</v>
      </c>
      <c r="Q45" s="105">
        <f t="shared" si="12"/>
        <v>376.15999999999985</v>
      </c>
      <c r="R45" s="322"/>
      <c r="S45" s="322"/>
      <c r="T45" s="325"/>
      <c r="U45" s="325"/>
      <c r="V45" s="327"/>
      <c r="W45" s="316"/>
      <c r="X45" s="319"/>
      <c r="Y45" s="330"/>
      <c r="Z45" s="221"/>
      <c r="AA45" s="102"/>
      <c r="AB45" s="102"/>
      <c r="AC45" s="102"/>
      <c r="AD45" s="102"/>
      <c r="AE45" s="106"/>
      <c r="AF45" s="102"/>
    </row>
    <row r="46" spans="1:32" ht="15.55" x14ac:dyDescent="0.25">
      <c r="A46" s="264">
        <v>43146</v>
      </c>
      <c r="B46" s="99" t="s">
        <v>235</v>
      </c>
      <c r="C46" s="99" t="s">
        <v>232</v>
      </c>
      <c r="D46" s="100" t="s">
        <v>186</v>
      </c>
      <c r="E46" s="101">
        <v>2453.08</v>
      </c>
      <c r="F46" s="101">
        <v>2429.42</v>
      </c>
      <c r="G46" s="101">
        <v>2425.52</v>
      </c>
      <c r="H46" s="101">
        <v>2424.0300000000002</v>
      </c>
      <c r="I46" s="101">
        <v>2446.5500000000002</v>
      </c>
      <c r="J46" s="101">
        <v>2458.12</v>
      </c>
      <c r="K46" s="101">
        <v>2490.48</v>
      </c>
      <c r="L46" s="101">
        <v>2471.61</v>
      </c>
      <c r="M46" s="101">
        <v>2449.41</v>
      </c>
      <c r="N46" s="101">
        <v>2435</v>
      </c>
      <c r="O46" s="101">
        <v>2427.4</v>
      </c>
      <c r="P46" s="101">
        <v>2431.2600000000002</v>
      </c>
      <c r="Q46" s="101">
        <v>2439.0700000000002</v>
      </c>
      <c r="R46" s="320">
        <f>IF((Q47=""),"",MAX(E48:Q48))</f>
        <v>404.09000000000015</v>
      </c>
      <c r="S46" s="320">
        <f>IF(Q47="","",MIN(E48:Q48))</f>
        <v>320.61000000000013</v>
      </c>
      <c r="T46" s="323">
        <f>IF((Q48=""),"",AVERAGE(E48:Q48))</f>
        <v>347.02923076923071</v>
      </c>
      <c r="U46" s="323">
        <f>IF((Q47=""),"",(R46-S46)/(R46+S46)*100)</f>
        <v>11.519249344556366</v>
      </c>
      <c r="V46" s="323">
        <f>STDEV(E48:Q48)</f>
        <v>23.615287231487205</v>
      </c>
      <c r="W46" s="314" t="str">
        <f>IF(Q47="","",IF(T46&gt;300,IF(U46&lt;14,IF(T46&lt;390,"Pass","Fail"),"Fail"),"Fail"))</f>
        <v>Pass</v>
      </c>
      <c r="X46" s="317"/>
      <c r="Y46" s="328"/>
      <c r="Z46" s="221"/>
      <c r="AA46" s="102">
        <v>270</v>
      </c>
      <c r="AB46" s="102">
        <v>370</v>
      </c>
      <c r="AC46" s="102">
        <v>300</v>
      </c>
      <c r="AD46" s="103">
        <v>390</v>
      </c>
      <c r="AE46" s="103">
        <v>20</v>
      </c>
      <c r="AF46" s="103">
        <v>14</v>
      </c>
    </row>
    <row r="47" spans="1:32" ht="16.100000000000001" x14ac:dyDescent="0.35">
      <c r="A47" s="263"/>
      <c r="B47" s="104"/>
      <c r="C47" s="104"/>
      <c r="D47" s="100" t="s">
        <v>187</v>
      </c>
      <c r="E47" s="101">
        <v>2048.9899999999998</v>
      </c>
      <c r="F47" s="101">
        <v>2083.44</v>
      </c>
      <c r="G47" s="101">
        <v>2098.0100000000002</v>
      </c>
      <c r="H47" s="101">
        <v>2103.42</v>
      </c>
      <c r="I47" s="101">
        <v>2103.42</v>
      </c>
      <c r="J47" s="101">
        <v>2122.1799999999998</v>
      </c>
      <c r="K47" s="101">
        <v>2124.08</v>
      </c>
      <c r="L47" s="101">
        <v>2094.5700000000002</v>
      </c>
      <c r="M47" s="101">
        <v>2103.42</v>
      </c>
      <c r="N47" s="101">
        <v>2103.42</v>
      </c>
      <c r="O47" s="101">
        <v>2103.42</v>
      </c>
      <c r="P47" s="101">
        <v>2077.7800000000002</v>
      </c>
      <c r="Q47" s="101">
        <v>2103.42</v>
      </c>
      <c r="R47" s="321"/>
      <c r="S47" s="321"/>
      <c r="T47" s="324"/>
      <c r="U47" s="324"/>
      <c r="V47" s="326"/>
      <c r="W47" s="315"/>
      <c r="X47" s="318"/>
      <c r="Y47" s="329"/>
      <c r="Z47" s="221"/>
      <c r="AA47" s="102"/>
      <c r="AB47" s="102"/>
      <c r="AC47" s="102"/>
      <c r="AD47" s="103"/>
      <c r="AE47" s="103"/>
      <c r="AF47" s="103"/>
    </row>
    <row r="48" spans="1:32" ht="31.05" x14ac:dyDescent="0.35">
      <c r="A48" s="263"/>
      <c r="B48" s="99"/>
      <c r="C48" s="99"/>
      <c r="D48" s="100" t="s">
        <v>188</v>
      </c>
      <c r="E48" s="105">
        <f t="shared" ref="E48:Q48" si="13">IF(((E46="")*AND(E47="")),"",(E46-E47))</f>
        <v>404.09000000000015</v>
      </c>
      <c r="F48" s="105">
        <f t="shared" si="13"/>
        <v>345.98</v>
      </c>
      <c r="G48" s="105">
        <f t="shared" si="13"/>
        <v>327.50999999999976</v>
      </c>
      <c r="H48" s="105">
        <f t="shared" si="13"/>
        <v>320.61000000000013</v>
      </c>
      <c r="I48" s="105">
        <f t="shared" si="13"/>
        <v>343.13000000000011</v>
      </c>
      <c r="J48" s="105">
        <f t="shared" si="13"/>
        <v>335.94000000000005</v>
      </c>
      <c r="K48" s="105">
        <f t="shared" si="13"/>
        <v>366.40000000000009</v>
      </c>
      <c r="L48" s="105">
        <f t="shared" si="13"/>
        <v>377.03999999999996</v>
      </c>
      <c r="M48" s="105">
        <f t="shared" si="13"/>
        <v>345.98999999999978</v>
      </c>
      <c r="N48" s="105">
        <f t="shared" si="13"/>
        <v>331.57999999999993</v>
      </c>
      <c r="O48" s="105">
        <f t="shared" si="13"/>
        <v>323.98</v>
      </c>
      <c r="P48" s="105">
        <f t="shared" si="13"/>
        <v>353.48</v>
      </c>
      <c r="Q48" s="105">
        <f t="shared" si="13"/>
        <v>335.65000000000009</v>
      </c>
      <c r="R48" s="322"/>
      <c r="S48" s="322"/>
      <c r="T48" s="325"/>
      <c r="U48" s="325"/>
      <c r="V48" s="327"/>
      <c r="W48" s="316"/>
      <c r="X48" s="319"/>
      <c r="Y48" s="330"/>
      <c r="Z48" s="221"/>
      <c r="AA48" s="102"/>
      <c r="AB48" s="102"/>
      <c r="AC48" s="102"/>
      <c r="AD48" s="102"/>
      <c r="AE48" s="106"/>
      <c r="AF48" s="102"/>
    </row>
    <row r="49" spans="1:32" ht="15.55" x14ac:dyDescent="0.25">
      <c r="A49" s="264">
        <v>43159</v>
      </c>
      <c r="B49" s="99" t="s">
        <v>235</v>
      </c>
      <c r="C49" s="99" t="s">
        <v>232</v>
      </c>
      <c r="D49" s="100" t="s">
        <v>186</v>
      </c>
      <c r="E49" s="101">
        <v>2811.93</v>
      </c>
      <c r="F49" s="101">
        <v>2766.64</v>
      </c>
      <c r="G49" s="101">
        <v>2747.63</v>
      </c>
      <c r="H49" s="101">
        <v>2744.48</v>
      </c>
      <c r="I49" s="101">
        <v>2761.1</v>
      </c>
      <c r="J49" s="101">
        <v>2797.47</v>
      </c>
      <c r="K49" s="101">
        <v>2867.28</v>
      </c>
      <c r="L49" s="101">
        <v>2843.07</v>
      </c>
      <c r="M49" s="101">
        <v>2786.29</v>
      </c>
      <c r="N49" s="101">
        <v>2757.43</v>
      </c>
      <c r="O49" s="101">
        <v>2748.85</v>
      </c>
      <c r="P49" s="101">
        <v>2770.9</v>
      </c>
      <c r="Q49" s="101">
        <v>2814.98</v>
      </c>
      <c r="R49" s="320">
        <f>IF((Q50=""),"",MAX(E51:Q51))</f>
        <v>376.54999999999973</v>
      </c>
      <c r="S49" s="320">
        <f>IF(Q50="","",MIN(E51:Q51))</f>
        <v>320.19999999999982</v>
      </c>
      <c r="T49" s="323">
        <f>IF((Q51=""),"",AVERAGE(E51:Q51))</f>
        <v>342.31307692307689</v>
      </c>
      <c r="U49" s="323">
        <f>IF((Q50=""),"",(R49-S49)/(R49+S49)*100)</f>
        <v>8.0875493362037965</v>
      </c>
      <c r="V49" s="323">
        <f>STDEV(E51:Q51)</f>
        <v>21.236429150799463</v>
      </c>
      <c r="W49" s="314" t="str">
        <f>IF(Q50="","",IF(T49&gt;300,IF(U49&lt;14,IF(T49&lt;390,"Pass","Fail"),"Fail"),"Fail"))</f>
        <v>Pass</v>
      </c>
      <c r="X49" s="317">
        <v>1428</v>
      </c>
      <c r="Y49" s="107" t="s">
        <v>237</v>
      </c>
      <c r="Z49" s="221"/>
      <c r="AA49" s="102">
        <v>270</v>
      </c>
      <c r="AB49" s="102">
        <v>370</v>
      </c>
      <c r="AC49" s="102">
        <v>300</v>
      </c>
      <c r="AD49" s="103">
        <v>390</v>
      </c>
      <c r="AE49" s="103">
        <v>20</v>
      </c>
      <c r="AF49" s="103">
        <v>14</v>
      </c>
    </row>
    <row r="50" spans="1:32" ht="16.100000000000001" x14ac:dyDescent="0.35">
      <c r="A50" s="263"/>
      <c r="B50" s="104"/>
      <c r="C50" s="104"/>
      <c r="D50" s="100" t="s">
        <v>187</v>
      </c>
      <c r="E50" s="101">
        <v>2435.38</v>
      </c>
      <c r="F50" s="101">
        <v>2430.61</v>
      </c>
      <c r="G50" s="101">
        <v>2424.64</v>
      </c>
      <c r="H50" s="101">
        <v>2424.2800000000002</v>
      </c>
      <c r="I50" s="101">
        <v>2436.91</v>
      </c>
      <c r="J50" s="101">
        <v>2460.06</v>
      </c>
      <c r="K50" s="101">
        <v>2496.6999999999998</v>
      </c>
      <c r="L50" s="101">
        <v>2475.2800000000002</v>
      </c>
      <c r="M50" s="101">
        <v>2448.9699999999998</v>
      </c>
      <c r="N50" s="101">
        <v>2435.2600000000002</v>
      </c>
      <c r="O50" s="101">
        <v>2425.3000000000002</v>
      </c>
      <c r="P50" s="101">
        <v>2429.38</v>
      </c>
      <c r="Q50" s="101">
        <v>2445.21</v>
      </c>
      <c r="R50" s="321"/>
      <c r="S50" s="321"/>
      <c r="T50" s="324"/>
      <c r="U50" s="324"/>
      <c r="V50" s="326"/>
      <c r="W50" s="315"/>
      <c r="X50" s="318"/>
      <c r="Y50" s="108"/>
      <c r="Z50" s="221"/>
      <c r="AA50" s="102"/>
      <c r="AB50" s="102"/>
      <c r="AC50" s="102"/>
      <c r="AD50" s="103"/>
      <c r="AE50" s="103"/>
      <c r="AF50" s="103"/>
    </row>
    <row r="51" spans="1:32" ht="62.2" customHeight="1" x14ac:dyDescent="0.35">
      <c r="A51" s="263"/>
      <c r="B51" s="99"/>
      <c r="C51" s="99"/>
      <c r="D51" s="100" t="s">
        <v>188</v>
      </c>
      <c r="E51" s="105">
        <f t="shared" ref="E51:Q51" si="14">IF(((E49="")*AND(E50="")),"",(E49-E50))</f>
        <v>376.54999999999973</v>
      </c>
      <c r="F51" s="105">
        <f t="shared" si="14"/>
        <v>336.02999999999975</v>
      </c>
      <c r="G51" s="105">
        <f t="shared" si="14"/>
        <v>322.99000000000024</v>
      </c>
      <c r="H51" s="105">
        <f t="shared" si="14"/>
        <v>320.19999999999982</v>
      </c>
      <c r="I51" s="105">
        <f t="shared" si="14"/>
        <v>324.19000000000005</v>
      </c>
      <c r="J51" s="105">
        <f t="shared" si="14"/>
        <v>337.40999999999985</v>
      </c>
      <c r="K51" s="105">
        <f t="shared" si="14"/>
        <v>370.58000000000038</v>
      </c>
      <c r="L51" s="105">
        <f t="shared" si="14"/>
        <v>367.78999999999996</v>
      </c>
      <c r="M51" s="105">
        <f t="shared" si="14"/>
        <v>337.32000000000016</v>
      </c>
      <c r="N51" s="105">
        <f t="shared" si="14"/>
        <v>322.16999999999962</v>
      </c>
      <c r="O51" s="105">
        <f t="shared" si="14"/>
        <v>323.54999999999973</v>
      </c>
      <c r="P51" s="105">
        <f t="shared" si="14"/>
        <v>341.52</v>
      </c>
      <c r="Q51" s="105">
        <f t="shared" si="14"/>
        <v>369.77</v>
      </c>
      <c r="R51" s="322"/>
      <c r="S51" s="322"/>
      <c r="T51" s="325"/>
      <c r="U51" s="325"/>
      <c r="V51" s="327"/>
      <c r="W51" s="316"/>
      <c r="X51" s="319"/>
      <c r="Y51" s="109"/>
      <c r="Z51" s="221"/>
      <c r="AA51" s="102"/>
      <c r="AB51" s="102"/>
      <c r="AC51" s="102"/>
      <c r="AD51" s="102"/>
      <c r="AE51" s="106"/>
      <c r="AF51" s="102"/>
    </row>
    <row r="52" spans="1:32" ht="15.55" x14ac:dyDescent="0.25">
      <c r="A52" s="264">
        <v>43167</v>
      </c>
      <c r="B52" s="99" t="s">
        <v>235</v>
      </c>
      <c r="C52" s="99" t="s">
        <v>232</v>
      </c>
      <c r="D52" s="100" t="s">
        <v>186</v>
      </c>
      <c r="E52" s="101">
        <v>2436.9499999999998</v>
      </c>
      <c r="F52" s="101">
        <v>2426.33</v>
      </c>
      <c r="G52" s="101">
        <v>2423.85</v>
      </c>
      <c r="H52" s="101">
        <v>2427.5100000000002</v>
      </c>
      <c r="I52" s="101">
        <v>2440.88</v>
      </c>
      <c r="J52" s="101">
        <v>2458.54</v>
      </c>
      <c r="K52" s="101">
        <v>2497.56</v>
      </c>
      <c r="L52" s="101">
        <v>2473.96</v>
      </c>
      <c r="M52" s="101">
        <v>2450.5</v>
      </c>
      <c r="N52" s="101">
        <v>2450.4499999999998</v>
      </c>
      <c r="O52" s="101">
        <v>2426.2399999999998</v>
      </c>
      <c r="P52" s="101">
        <v>2410.5</v>
      </c>
      <c r="Q52" s="101">
        <v>2441.37</v>
      </c>
      <c r="R52" s="320">
        <f>IF((Q53=""),"",MAX(E54:Q54))</f>
        <v>439.57999999999993</v>
      </c>
      <c r="S52" s="320">
        <f>IF(Q53="","",MIN(E54:Q54))</f>
        <v>332.09000000000015</v>
      </c>
      <c r="T52" s="323">
        <f>IF((Q54=""),"",AVERAGE(E54:Q54))</f>
        <v>359.6838461538461</v>
      </c>
      <c r="U52" s="323">
        <f>IF((Q53=""),"",(R52-S52)/(R52+S52)*100)</f>
        <v>13.929529462075729</v>
      </c>
      <c r="V52" s="323">
        <f>STDEV(E54:Q54)</f>
        <v>31.158310164508112</v>
      </c>
      <c r="W52" s="314" t="str">
        <f>IF(Q53="","",IF(T52&gt;300,IF(U52&lt;14,IF(T52&lt;390,"Pass","Fail"),"Fail"),"Fail"))</f>
        <v>Pass</v>
      </c>
      <c r="X52" s="317">
        <v>121</v>
      </c>
      <c r="Y52" s="328"/>
      <c r="Z52" s="221"/>
      <c r="AA52" s="102">
        <v>270</v>
      </c>
      <c r="AB52" s="102">
        <v>370</v>
      </c>
      <c r="AC52" s="102">
        <v>300</v>
      </c>
      <c r="AD52" s="103">
        <v>390</v>
      </c>
      <c r="AE52" s="103">
        <v>20</v>
      </c>
      <c r="AF52" s="103">
        <v>14</v>
      </c>
    </row>
    <row r="53" spans="1:32" ht="16.100000000000001" x14ac:dyDescent="0.35">
      <c r="A53" s="263"/>
      <c r="B53" s="104"/>
      <c r="C53" s="104"/>
      <c r="D53" s="100" t="s">
        <v>187</v>
      </c>
      <c r="E53" s="101">
        <v>2057.98</v>
      </c>
      <c r="F53" s="101">
        <v>2080.69</v>
      </c>
      <c r="G53" s="101">
        <v>2090.91</v>
      </c>
      <c r="H53" s="101">
        <v>2080.69</v>
      </c>
      <c r="I53" s="101">
        <v>2108.79</v>
      </c>
      <c r="J53" s="101">
        <v>2064.7800000000002</v>
      </c>
      <c r="K53" s="101">
        <v>2057.98</v>
      </c>
      <c r="L53" s="101">
        <v>2107.87</v>
      </c>
      <c r="M53" s="101">
        <v>2112.3000000000002</v>
      </c>
      <c r="N53" s="101">
        <v>2102.9499999999998</v>
      </c>
      <c r="O53" s="101">
        <v>2080.69</v>
      </c>
      <c r="P53" s="101">
        <v>2078.34</v>
      </c>
      <c r="Q53" s="101">
        <v>2064.7800000000002</v>
      </c>
      <c r="R53" s="321"/>
      <c r="S53" s="321"/>
      <c r="T53" s="324"/>
      <c r="U53" s="324"/>
      <c r="V53" s="326"/>
      <c r="W53" s="315"/>
      <c r="X53" s="318"/>
      <c r="Y53" s="329"/>
      <c r="Z53" s="221"/>
      <c r="AA53" s="102"/>
      <c r="AB53" s="102"/>
      <c r="AC53" s="102"/>
      <c r="AD53" s="103"/>
      <c r="AE53" s="103"/>
      <c r="AF53" s="103"/>
    </row>
    <row r="54" spans="1:32" ht="62.2" customHeight="1" x14ac:dyDescent="0.35">
      <c r="A54" s="263"/>
      <c r="B54" s="99"/>
      <c r="C54" s="99"/>
      <c r="D54" s="100" t="s">
        <v>188</v>
      </c>
      <c r="E54" s="105">
        <f t="shared" ref="E54:Q54" si="15">IF(((E52="")*AND(E53="")),"",(E52-E53))</f>
        <v>378.9699999999998</v>
      </c>
      <c r="F54" s="105">
        <f t="shared" si="15"/>
        <v>345.63999999999987</v>
      </c>
      <c r="G54" s="105">
        <f t="shared" si="15"/>
        <v>332.94000000000005</v>
      </c>
      <c r="H54" s="105">
        <f t="shared" si="15"/>
        <v>346.82000000000016</v>
      </c>
      <c r="I54" s="105">
        <f t="shared" si="15"/>
        <v>332.09000000000015</v>
      </c>
      <c r="J54" s="105">
        <f t="shared" si="15"/>
        <v>393.75999999999976</v>
      </c>
      <c r="K54" s="105">
        <f t="shared" si="15"/>
        <v>439.57999999999993</v>
      </c>
      <c r="L54" s="105">
        <f t="shared" si="15"/>
        <v>366.09000000000015</v>
      </c>
      <c r="M54" s="105">
        <f t="shared" si="15"/>
        <v>338.19999999999982</v>
      </c>
      <c r="N54" s="105">
        <f t="shared" si="15"/>
        <v>347.5</v>
      </c>
      <c r="O54" s="105">
        <f t="shared" si="15"/>
        <v>345.54999999999973</v>
      </c>
      <c r="P54" s="105">
        <f t="shared" si="15"/>
        <v>332.15999999999985</v>
      </c>
      <c r="Q54" s="105">
        <f t="shared" si="15"/>
        <v>376.58999999999969</v>
      </c>
      <c r="R54" s="322"/>
      <c r="S54" s="322"/>
      <c r="T54" s="325"/>
      <c r="U54" s="325"/>
      <c r="V54" s="327"/>
      <c r="W54" s="316"/>
      <c r="X54" s="319"/>
      <c r="Y54" s="330"/>
      <c r="Z54" s="221"/>
      <c r="AA54" s="102"/>
      <c r="AB54" s="102"/>
      <c r="AC54" s="102"/>
      <c r="AD54" s="102"/>
      <c r="AE54" s="106"/>
      <c r="AF54" s="102"/>
    </row>
    <row r="55" spans="1:32" ht="15.55" x14ac:dyDescent="0.25">
      <c r="A55" s="264">
        <v>43173</v>
      </c>
      <c r="B55" s="99" t="s">
        <v>235</v>
      </c>
      <c r="C55" s="99" t="s">
        <v>232</v>
      </c>
      <c r="D55" s="100" t="s">
        <v>186</v>
      </c>
      <c r="E55" s="101">
        <v>2068</v>
      </c>
      <c r="F55" s="101">
        <v>2058</v>
      </c>
      <c r="G55" s="101">
        <v>2069</v>
      </c>
      <c r="H55" s="101">
        <v>2074</v>
      </c>
      <c r="I55" s="101">
        <v>2077</v>
      </c>
      <c r="J55" s="101">
        <v>2076</v>
      </c>
      <c r="K55" s="101">
        <v>2102</v>
      </c>
      <c r="L55" s="101">
        <v>2067</v>
      </c>
      <c r="M55" s="101">
        <v>2074</v>
      </c>
      <c r="N55" s="101">
        <v>2068</v>
      </c>
      <c r="O55" s="101">
        <v>2079</v>
      </c>
      <c r="P55" s="101">
        <v>2083</v>
      </c>
      <c r="Q55" s="101">
        <v>2115</v>
      </c>
      <c r="R55" s="320">
        <f>IF((Q56=""),"",MAX(E57:Q57))</f>
        <v>362.11999999999989</v>
      </c>
      <c r="S55" s="320">
        <f>IF(Q56="","",MIN(E57:Q57))</f>
        <v>306.80999999999995</v>
      </c>
      <c r="T55" s="323">
        <f>IF((Q57=""),"",AVERAGE(E57:Q57))</f>
        <v>330.07230769230773</v>
      </c>
      <c r="U55" s="323">
        <f>IF((Q56=""),"",(R55-S55)/(R55+S55)*100)</f>
        <v>8.2684286846157242</v>
      </c>
      <c r="V55" s="323">
        <f>STDEV(E57:Q57)</f>
        <v>19.267800927041534</v>
      </c>
      <c r="W55" s="314" t="str">
        <f>IF(Q56="","",IF(T55&gt;300,IF(U55&lt;14,IF(T55&lt;390,"Pass","Fail"),"Fail"),"Fail"))</f>
        <v>Pass</v>
      </c>
      <c r="X55" s="317">
        <v>121</v>
      </c>
      <c r="Y55" s="328"/>
      <c r="Z55" s="221"/>
      <c r="AA55" s="102">
        <v>270</v>
      </c>
      <c r="AB55" s="102">
        <v>370</v>
      </c>
      <c r="AC55" s="102">
        <v>300</v>
      </c>
      <c r="AD55" s="103">
        <v>390</v>
      </c>
      <c r="AE55" s="103">
        <v>20</v>
      </c>
      <c r="AF55" s="103">
        <v>14</v>
      </c>
    </row>
    <row r="56" spans="1:32" ht="16.100000000000001" x14ac:dyDescent="0.35">
      <c r="A56" s="263"/>
      <c r="B56" s="104"/>
      <c r="C56" s="104"/>
      <c r="D56" s="100" t="s">
        <v>187</v>
      </c>
      <c r="E56" s="101">
        <v>1709.09</v>
      </c>
      <c r="F56" s="101">
        <v>1731.88</v>
      </c>
      <c r="G56" s="101">
        <v>1755.68</v>
      </c>
      <c r="H56" s="101">
        <v>1767.19</v>
      </c>
      <c r="I56" s="101">
        <v>1765.87</v>
      </c>
      <c r="J56" s="101">
        <v>1750.54</v>
      </c>
      <c r="K56" s="101">
        <v>1756.83</v>
      </c>
      <c r="L56" s="101">
        <v>1704.88</v>
      </c>
      <c r="M56" s="101">
        <v>1734</v>
      </c>
      <c r="N56" s="101">
        <v>1757.53</v>
      </c>
      <c r="O56" s="101">
        <v>1766.54</v>
      </c>
      <c r="P56" s="101">
        <v>1753.02</v>
      </c>
      <c r="Q56" s="101">
        <v>1766.01</v>
      </c>
      <c r="R56" s="321"/>
      <c r="S56" s="321"/>
      <c r="T56" s="324"/>
      <c r="U56" s="324"/>
      <c r="V56" s="326"/>
      <c r="W56" s="315"/>
      <c r="X56" s="318"/>
      <c r="Y56" s="329"/>
      <c r="Z56" s="221"/>
      <c r="AA56" s="102"/>
      <c r="AB56" s="102"/>
      <c r="AC56" s="102"/>
      <c r="AD56" s="103"/>
      <c r="AE56" s="103"/>
      <c r="AF56" s="103"/>
    </row>
    <row r="57" spans="1:32" ht="31.05" x14ac:dyDescent="0.35">
      <c r="A57" s="263"/>
      <c r="B57" s="99"/>
      <c r="C57" s="99"/>
      <c r="D57" s="100" t="s">
        <v>188</v>
      </c>
      <c r="E57" s="105">
        <f t="shared" ref="E57:Q57" si="16">IF(((E55="")*AND(E56="")),"",(E55-E56))</f>
        <v>358.91000000000008</v>
      </c>
      <c r="F57" s="105">
        <f t="shared" si="16"/>
        <v>326.11999999999989</v>
      </c>
      <c r="G57" s="105">
        <f t="shared" si="16"/>
        <v>313.31999999999994</v>
      </c>
      <c r="H57" s="105">
        <f t="shared" si="16"/>
        <v>306.80999999999995</v>
      </c>
      <c r="I57" s="105">
        <f t="shared" si="16"/>
        <v>311.13000000000011</v>
      </c>
      <c r="J57" s="105">
        <f t="shared" si="16"/>
        <v>325.46000000000004</v>
      </c>
      <c r="K57" s="105">
        <f t="shared" si="16"/>
        <v>345.17000000000007</v>
      </c>
      <c r="L57" s="105">
        <f t="shared" si="16"/>
        <v>362.11999999999989</v>
      </c>
      <c r="M57" s="105">
        <f t="shared" si="16"/>
        <v>340</v>
      </c>
      <c r="N57" s="105">
        <f t="shared" si="16"/>
        <v>310.47000000000003</v>
      </c>
      <c r="O57" s="105">
        <f t="shared" si="16"/>
        <v>312.46000000000004</v>
      </c>
      <c r="P57" s="105">
        <f t="shared" si="16"/>
        <v>329.98</v>
      </c>
      <c r="Q57" s="105">
        <f t="shared" si="16"/>
        <v>348.99</v>
      </c>
      <c r="R57" s="322"/>
      <c r="S57" s="322"/>
      <c r="T57" s="325"/>
      <c r="U57" s="325"/>
      <c r="V57" s="327"/>
      <c r="W57" s="316"/>
      <c r="X57" s="319"/>
      <c r="Y57" s="330"/>
      <c r="Z57" s="221"/>
      <c r="AA57" s="102"/>
      <c r="AB57" s="102"/>
      <c r="AC57" s="102"/>
      <c r="AD57" s="102"/>
      <c r="AE57" s="106"/>
      <c r="AF57" s="102"/>
    </row>
    <row r="58" spans="1:32" ht="15.55" x14ac:dyDescent="0.25">
      <c r="A58" s="264">
        <v>43187</v>
      </c>
      <c r="B58" s="99" t="s">
        <v>235</v>
      </c>
      <c r="C58" s="99" t="s">
        <v>232</v>
      </c>
      <c r="D58" s="100" t="s">
        <v>186</v>
      </c>
      <c r="E58" s="101">
        <v>1707.54</v>
      </c>
      <c r="F58" s="101">
        <v>1728.19</v>
      </c>
      <c r="G58" s="101">
        <v>1753.97</v>
      </c>
      <c r="H58" s="101">
        <v>1764.91</v>
      </c>
      <c r="I58" s="101">
        <v>1760.49</v>
      </c>
      <c r="J58" s="101">
        <v>1746.14</v>
      </c>
      <c r="K58" s="101">
        <v>1753.59</v>
      </c>
      <c r="L58" s="101">
        <v>1701.98</v>
      </c>
      <c r="M58" s="101">
        <v>1729.64</v>
      </c>
      <c r="N58" s="101">
        <v>1752.84</v>
      </c>
      <c r="O58" s="101">
        <v>1747.48</v>
      </c>
      <c r="P58" s="101">
        <v>1750.21</v>
      </c>
      <c r="Q58" s="101">
        <v>1761.8</v>
      </c>
      <c r="R58" s="320">
        <f>IF((Q59=""),"",MAX(E60:Q60))</f>
        <v>406.70000000000005</v>
      </c>
      <c r="S58" s="320">
        <f>IF(Q59="","",MIN(E60:Q60))</f>
        <v>345.10000000000014</v>
      </c>
      <c r="T58" s="323">
        <f>IF((Q60=""),"",AVERAGE(E60:Q60))</f>
        <v>375.83153846153851</v>
      </c>
      <c r="U58" s="323">
        <f>IF((Q59=""),"",(R58-S58)/(R58+S58)*100)</f>
        <v>8.1936685288640447</v>
      </c>
      <c r="V58" s="323">
        <f>STDEV(E60:Q60)</f>
        <v>22.151990823307425</v>
      </c>
      <c r="W58" s="314" t="str">
        <f>IF(Q59="","",IF(T58&gt;300,IF(U58&lt;14,IF(T58&lt;390,"Pass","Fail"),"Fail"),"Fail"))</f>
        <v>Pass</v>
      </c>
      <c r="X58" s="317">
        <v>1335</v>
      </c>
      <c r="Y58" s="328"/>
      <c r="Z58" s="221"/>
      <c r="AA58" s="102">
        <v>270</v>
      </c>
      <c r="AB58" s="102">
        <v>370</v>
      </c>
      <c r="AC58" s="102">
        <v>300</v>
      </c>
      <c r="AD58" s="103">
        <v>390</v>
      </c>
      <c r="AE58" s="103">
        <v>20</v>
      </c>
      <c r="AF58" s="103">
        <v>14</v>
      </c>
    </row>
    <row r="59" spans="1:32" ht="16.100000000000001" x14ac:dyDescent="0.35">
      <c r="A59" s="263"/>
      <c r="B59" s="104"/>
      <c r="C59" s="104"/>
      <c r="D59" s="100" t="s">
        <v>187</v>
      </c>
      <c r="E59" s="101">
        <v>1301.2</v>
      </c>
      <c r="F59" s="101">
        <v>1350.78</v>
      </c>
      <c r="G59" s="101">
        <v>1394.15</v>
      </c>
      <c r="H59" s="101">
        <v>1419.81</v>
      </c>
      <c r="I59" s="101">
        <v>1403.79</v>
      </c>
      <c r="J59" s="101">
        <v>1376.18</v>
      </c>
      <c r="K59" s="101">
        <v>1352.78</v>
      </c>
      <c r="L59" s="101">
        <v>1300.45</v>
      </c>
      <c r="M59" s="101">
        <v>1353.04</v>
      </c>
      <c r="N59" s="101">
        <v>1397.83</v>
      </c>
      <c r="O59" s="101">
        <v>1397.47</v>
      </c>
      <c r="P59" s="101">
        <v>1370.39</v>
      </c>
      <c r="Q59" s="101">
        <v>1355.1</v>
      </c>
      <c r="R59" s="321"/>
      <c r="S59" s="321"/>
      <c r="T59" s="324"/>
      <c r="U59" s="324"/>
      <c r="V59" s="326"/>
      <c r="W59" s="315"/>
      <c r="X59" s="318"/>
      <c r="Y59" s="329"/>
      <c r="Z59" s="221"/>
      <c r="AA59" s="102"/>
      <c r="AB59" s="102"/>
      <c r="AC59" s="102"/>
      <c r="AD59" s="103"/>
      <c r="AE59" s="103"/>
      <c r="AF59" s="103"/>
    </row>
    <row r="60" spans="1:32" ht="31.05" x14ac:dyDescent="0.35">
      <c r="A60" s="263"/>
      <c r="B60" s="99"/>
      <c r="C60" s="99"/>
      <c r="D60" s="100" t="s">
        <v>188</v>
      </c>
      <c r="E60" s="105">
        <f t="shared" ref="E60:Q60" si="17">IF(((E58="")*AND(E59="")),"",(E58-E59))</f>
        <v>406.33999999999992</v>
      </c>
      <c r="F60" s="105">
        <f t="shared" si="17"/>
        <v>377.41000000000008</v>
      </c>
      <c r="G60" s="105">
        <f t="shared" si="17"/>
        <v>359.81999999999994</v>
      </c>
      <c r="H60" s="105">
        <f t="shared" si="17"/>
        <v>345.10000000000014</v>
      </c>
      <c r="I60" s="105">
        <f t="shared" si="17"/>
        <v>356.70000000000005</v>
      </c>
      <c r="J60" s="105">
        <f t="shared" si="17"/>
        <v>369.96000000000004</v>
      </c>
      <c r="K60" s="105">
        <f t="shared" si="17"/>
        <v>400.80999999999995</v>
      </c>
      <c r="L60" s="105">
        <f t="shared" si="17"/>
        <v>401.53</v>
      </c>
      <c r="M60" s="105">
        <f t="shared" si="17"/>
        <v>376.60000000000014</v>
      </c>
      <c r="N60" s="105">
        <f t="shared" si="17"/>
        <v>355.01</v>
      </c>
      <c r="O60" s="105">
        <f t="shared" si="17"/>
        <v>350.01</v>
      </c>
      <c r="P60" s="105">
        <f t="shared" si="17"/>
        <v>379.81999999999994</v>
      </c>
      <c r="Q60" s="105">
        <f t="shared" si="17"/>
        <v>406.70000000000005</v>
      </c>
      <c r="R60" s="322"/>
      <c r="S60" s="322"/>
      <c r="T60" s="325"/>
      <c r="U60" s="325"/>
      <c r="V60" s="327"/>
      <c r="W60" s="316"/>
      <c r="X60" s="319"/>
      <c r="Y60" s="330"/>
      <c r="Z60" s="221"/>
      <c r="AA60" s="102"/>
      <c r="AB60" s="102"/>
      <c r="AC60" s="102"/>
      <c r="AD60" s="102"/>
      <c r="AE60" s="106"/>
      <c r="AF60" s="102"/>
    </row>
    <row r="61" spans="1:32" ht="15.55" x14ac:dyDescent="0.25">
      <c r="A61" s="264">
        <v>43192</v>
      </c>
      <c r="B61" s="99" t="s">
        <v>235</v>
      </c>
      <c r="C61" s="99" t="s">
        <v>232</v>
      </c>
      <c r="D61" s="100" t="s">
        <v>186</v>
      </c>
      <c r="E61" s="101">
        <v>2059</v>
      </c>
      <c r="F61" s="101">
        <v>2062</v>
      </c>
      <c r="G61" s="101">
        <v>2074</v>
      </c>
      <c r="H61" s="101">
        <v>2078</v>
      </c>
      <c r="I61" s="101">
        <v>2082</v>
      </c>
      <c r="J61" s="101">
        <v>2081</v>
      </c>
      <c r="K61" s="101">
        <v>2100</v>
      </c>
      <c r="L61" s="101">
        <v>2100</v>
      </c>
      <c r="M61" s="101">
        <v>2080</v>
      </c>
      <c r="N61" s="101">
        <v>2081</v>
      </c>
      <c r="O61" s="101">
        <v>2074</v>
      </c>
      <c r="P61" s="101">
        <v>2063</v>
      </c>
      <c r="Q61" s="101">
        <v>2063</v>
      </c>
      <c r="R61" s="320">
        <f>IF((Q62=""),"",MAX(E63:Q63))</f>
        <v>376</v>
      </c>
      <c r="S61" s="320">
        <f>IF(Q62="","",MIN(E63:Q63))</f>
        <v>329</v>
      </c>
      <c r="T61" s="323">
        <f>IF((Q63=""),"",AVERAGE(E63:Q63))</f>
        <v>350.15384615384613</v>
      </c>
      <c r="U61" s="323">
        <f>IF((Q62=""),"",(R61-S61)/(R61+S61)*100)</f>
        <v>6.666666666666667</v>
      </c>
      <c r="V61" s="323">
        <f>STDEV(E63:Q63)</f>
        <v>18.402201652004187</v>
      </c>
      <c r="W61" s="314" t="str">
        <f>IF(Q62="","",IF(T61&gt;300,IF(U61&lt;14,IF(T61&lt;390,"Pass","Fail"),"Fail"),"Fail"))</f>
        <v>Pass</v>
      </c>
      <c r="X61" s="317"/>
      <c r="Y61" s="328"/>
      <c r="Z61" s="221"/>
      <c r="AA61" s="102">
        <v>270</v>
      </c>
      <c r="AB61" s="102">
        <v>370</v>
      </c>
      <c r="AC61" s="102">
        <v>300</v>
      </c>
      <c r="AD61" s="103">
        <v>390</v>
      </c>
      <c r="AE61" s="103">
        <v>20</v>
      </c>
      <c r="AF61" s="103">
        <v>14</v>
      </c>
    </row>
    <row r="62" spans="1:32" ht="16.100000000000001" x14ac:dyDescent="0.35">
      <c r="A62" s="263"/>
      <c r="B62" s="104"/>
      <c r="C62" s="104"/>
      <c r="D62" s="100" t="s">
        <v>187</v>
      </c>
      <c r="E62" s="101">
        <v>1684</v>
      </c>
      <c r="F62" s="101">
        <v>1715</v>
      </c>
      <c r="G62" s="101">
        <v>1740</v>
      </c>
      <c r="H62" s="101">
        <v>1749</v>
      </c>
      <c r="I62" s="101">
        <v>1749</v>
      </c>
      <c r="J62" s="101">
        <v>1733</v>
      </c>
      <c r="K62" s="101">
        <v>1726</v>
      </c>
      <c r="L62" s="101">
        <v>1725</v>
      </c>
      <c r="M62" s="101">
        <v>1733</v>
      </c>
      <c r="N62" s="101">
        <v>1748</v>
      </c>
      <c r="O62" s="101">
        <v>1740</v>
      </c>
      <c r="P62" s="101">
        <v>1716</v>
      </c>
      <c r="Q62" s="101">
        <v>1687</v>
      </c>
      <c r="R62" s="321"/>
      <c r="S62" s="321"/>
      <c r="T62" s="324"/>
      <c r="U62" s="324"/>
      <c r="V62" s="326"/>
      <c r="W62" s="315"/>
      <c r="X62" s="318"/>
      <c r="Y62" s="329"/>
      <c r="Z62" s="221"/>
      <c r="AA62" s="102"/>
      <c r="AB62" s="102"/>
      <c r="AC62" s="102"/>
      <c r="AD62" s="103"/>
      <c r="AE62" s="103"/>
      <c r="AF62" s="103"/>
    </row>
    <row r="63" spans="1:32" ht="31.05" x14ac:dyDescent="0.35">
      <c r="A63" s="263"/>
      <c r="B63" s="99"/>
      <c r="C63" s="99"/>
      <c r="D63" s="100" t="s">
        <v>188</v>
      </c>
      <c r="E63" s="105">
        <f t="shared" ref="E63:Q63" si="18">IF(((E61="")*AND(E62="")),"",(E61-E62))</f>
        <v>375</v>
      </c>
      <c r="F63" s="105">
        <f t="shared" si="18"/>
        <v>347</v>
      </c>
      <c r="G63" s="105">
        <f t="shared" si="18"/>
        <v>334</v>
      </c>
      <c r="H63" s="105">
        <f t="shared" si="18"/>
        <v>329</v>
      </c>
      <c r="I63" s="105">
        <f t="shared" si="18"/>
        <v>333</v>
      </c>
      <c r="J63" s="105">
        <f t="shared" si="18"/>
        <v>348</v>
      </c>
      <c r="K63" s="105">
        <f t="shared" si="18"/>
        <v>374</v>
      </c>
      <c r="L63" s="105">
        <f t="shared" si="18"/>
        <v>375</v>
      </c>
      <c r="M63" s="105">
        <f t="shared" si="18"/>
        <v>347</v>
      </c>
      <c r="N63" s="105">
        <f t="shared" si="18"/>
        <v>333</v>
      </c>
      <c r="O63" s="105">
        <f t="shared" si="18"/>
        <v>334</v>
      </c>
      <c r="P63" s="105">
        <f t="shared" si="18"/>
        <v>347</v>
      </c>
      <c r="Q63" s="105">
        <f t="shared" si="18"/>
        <v>376</v>
      </c>
      <c r="R63" s="322"/>
      <c r="S63" s="322"/>
      <c r="T63" s="325"/>
      <c r="U63" s="325"/>
      <c r="V63" s="327"/>
      <c r="W63" s="316"/>
      <c r="X63" s="319"/>
      <c r="Y63" s="330"/>
      <c r="Z63" s="221"/>
      <c r="AA63" s="102"/>
      <c r="AB63" s="102"/>
      <c r="AC63" s="102"/>
      <c r="AD63" s="102"/>
      <c r="AE63" s="106"/>
      <c r="AF63" s="102"/>
    </row>
    <row r="64" spans="1:32" ht="15.55" x14ac:dyDescent="0.25">
      <c r="A64" s="264">
        <v>43199</v>
      </c>
      <c r="B64" s="99" t="s">
        <v>235</v>
      </c>
      <c r="C64" s="99" t="s">
        <v>232</v>
      </c>
      <c r="D64" s="100" t="s">
        <v>186</v>
      </c>
      <c r="E64" s="101">
        <v>2824.99</v>
      </c>
      <c r="F64" s="101">
        <v>2787.2</v>
      </c>
      <c r="G64" s="101">
        <v>2766.26</v>
      </c>
      <c r="H64" s="101">
        <v>2763.84</v>
      </c>
      <c r="I64" s="101">
        <v>2780.18</v>
      </c>
      <c r="J64" s="101">
        <v>2819.72</v>
      </c>
      <c r="K64" s="101">
        <v>2885.87</v>
      </c>
      <c r="L64" s="101">
        <v>2876.87</v>
      </c>
      <c r="M64" s="101">
        <v>2812.65</v>
      </c>
      <c r="N64" s="101">
        <v>2779.1</v>
      </c>
      <c r="O64" s="101">
        <v>2768.84</v>
      </c>
      <c r="P64" s="101">
        <v>2794.65</v>
      </c>
      <c r="Q64" s="101">
        <v>2839.31</v>
      </c>
      <c r="R64" s="320">
        <f>IF((Q65=""),"",MAX(E66:Q66))</f>
        <v>365.84000000000015</v>
      </c>
      <c r="S64" s="320">
        <f>IF(Q65="","",MIN(E66:Q66))</f>
        <v>310.02</v>
      </c>
      <c r="T64" s="323">
        <f>IF((Q66=""),"",AVERAGE(E66:Q66))</f>
        <v>333.26538461538451</v>
      </c>
      <c r="U64" s="323">
        <f>IF((Q65=""),"",(R64-S64)/(R64+S64)*100)</f>
        <v>8.2591069156334385</v>
      </c>
      <c r="V64" s="323">
        <f>STDEV(E66:Q66)</f>
        <v>21.208421525180587</v>
      </c>
      <c r="W64" s="314" t="str">
        <f>IF(Q65="","",IF(T64&gt;300,IF(U64&lt;14,IF(T64&lt;390,"Pass","Fail"),"Fail"),"Fail"))</f>
        <v>Pass</v>
      </c>
      <c r="X64" s="317"/>
      <c r="Y64" s="328"/>
      <c r="Z64" s="221"/>
      <c r="AA64" s="102">
        <v>270</v>
      </c>
      <c r="AB64" s="102">
        <v>370</v>
      </c>
      <c r="AC64" s="102">
        <v>300</v>
      </c>
      <c r="AD64" s="103">
        <v>390</v>
      </c>
      <c r="AE64" s="103">
        <v>20</v>
      </c>
      <c r="AF64" s="103">
        <v>14</v>
      </c>
    </row>
    <row r="65" spans="1:32" ht="16.100000000000001" x14ac:dyDescent="0.35">
      <c r="A65" s="263"/>
      <c r="B65" s="104"/>
      <c r="C65" s="104"/>
      <c r="D65" s="100" t="s">
        <v>187</v>
      </c>
      <c r="E65" s="101">
        <v>2459.69</v>
      </c>
      <c r="F65" s="101">
        <v>2457.7399999999998</v>
      </c>
      <c r="G65" s="101">
        <v>2451.4499999999998</v>
      </c>
      <c r="H65" s="101">
        <v>2453.8200000000002</v>
      </c>
      <c r="I65" s="101">
        <v>2463.3000000000002</v>
      </c>
      <c r="J65" s="101">
        <v>2491.77</v>
      </c>
      <c r="K65" s="101">
        <v>2529.75</v>
      </c>
      <c r="L65" s="101">
        <v>2516.1</v>
      </c>
      <c r="M65" s="101">
        <v>2486.0700000000002</v>
      </c>
      <c r="N65" s="101">
        <v>2467.8200000000002</v>
      </c>
      <c r="O65" s="101">
        <v>2453.15</v>
      </c>
      <c r="P65" s="101">
        <v>2462.9</v>
      </c>
      <c r="Q65" s="101">
        <v>2473.4699999999998</v>
      </c>
      <c r="R65" s="321"/>
      <c r="S65" s="321"/>
      <c r="T65" s="324"/>
      <c r="U65" s="324"/>
      <c r="V65" s="326"/>
      <c r="W65" s="315"/>
      <c r="X65" s="318"/>
      <c r="Y65" s="329"/>
      <c r="Z65" s="221"/>
      <c r="AA65" s="102"/>
      <c r="AB65" s="102"/>
      <c r="AC65" s="102"/>
      <c r="AD65" s="103"/>
      <c r="AE65" s="103"/>
      <c r="AF65" s="103"/>
    </row>
    <row r="66" spans="1:32" ht="31.05" x14ac:dyDescent="0.35">
      <c r="A66" s="263"/>
      <c r="B66" s="99"/>
      <c r="C66" s="99"/>
      <c r="D66" s="100" t="s">
        <v>188</v>
      </c>
      <c r="E66" s="105">
        <f t="shared" ref="E66:Q66" si="19">IF(((E64="")*AND(E65="")),"",(E64-E65))</f>
        <v>365.29999999999973</v>
      </c>
      <c r="F66" s="105">
        <f t="shared" si="19"/>
        <v>329.46000000000004</v>
      </c>
      <c r="G66" s="105">
        <f t="shared" si="19"/>
        <v>314.8100000000004</v>
      </c>
      <c r="H66" s="105">
        <f t="shared" si="19"/>
        <v>310.02</v>
      </c>
      <c r="I66" s="105">
        <f t="shared" si="19"/>
        <v>316.87999999999965</v>
      </c>
      <c r="J66" s="105">
        <f t="shared" si="19"/>
        <v>327.94999999999982</v>
      </c>
      <c r="K66" s="105">
        <f t="shared" si="19"/>
        <v>356.11999999999989</v>
      </c>
      <c r="L66" s="105">
        <f t="shared" si="19"/>
        <v>360.77</v>
      </c>
      <c r="M66" s="105">
        <f t="shared" si="19"/>
        <v>326.57999999999993</v>
      </c>
      <c r="N66" s="105">
        <f t="shared" si="19"/>
        <v>311.27999999999975</v>
      </c>
      <c r="O66" s="105">
        <f t="shared" si="19"/>
        <v>315.69000000000005</v>
      </c>
      <c r="P66" s="105">
        <f t="shared" si="19"/>
        <v>331.75</v>
      </c>
      <c r="Q66" s="105">
        <f t="shared" si="19"/>
        <v>365.84000000000015</v>
      </c>
      <c r="R66" s="322"/>
      <c r="S66" s="322"/>
      <c r="T66" s="325"/>
      <c r="U66" s="325"/>
      <c r="V66" s="327"/>
      <c r="W66" s="316"/>
      <c r="X66" s="319"/>
      <c r="Y66" s="330"/>
      <c r="Z66" s="221"/>
      <c r="AA66" s="102"/>
      <c r="AB66" s="102"/>
      <c r="AC66" s="102"/>
      <c r="AD66" s="102"/>
      <c r="AE66" s="106"/>
      <c r="AF66" s="102"/>
    </row>
    <row r="67" spans="1:32" ht="15.55" x14ac:dyDescent="0.25">
      <c r="A67" s="264">
        <v>43203</v>
      </c>
      <c r="B67" s="99" t="s">
        <v>235</v>
      </c>
      <c r="C67" s="99" t="s">
        <v>232</v>
      </c>
      <c r="D67" s="100" t="s">
        <v>186</v>
      </c>
      <c r="E67" s="101">
        <v>2461.9299999999998</v>
      </c>
      <c r="F67" s="101">
        <v>2460.09</v>
      </c>
      <c r="G67" s="101">
        <v>2451.88</v>
      </c>
      <c r="H67" s="101">
        <v>2455.36</v>
      </c>
      <c r="I67" s="101">
        <v>2478.62</v>
      </c>
      <c r="J67" s="101">
        <v>2492.15</v>
      </c>
      <c r="K67" s="101">
        <v>2531.41</v>
      </c>
      <c r="L67" s="101">
        <v>2517.81</v>
      </c>
      <c r="M67" s="101">
        <v>2486.61</v>
      </c>
      <c r="N67" s="101">
        <v>2463.8000000000002</v>
      </c>
      <c r="O67" s="101">
        <v>2462.6</v>
      </c>
      <c r="P67" s="101">
        <v>2451.8000000000002</v>
      </c>
      <c r="Q67" s="101">
        <v>2470.86</v>
      </c>
      <c r="R67" s="320">
        <f>IF((Q68=""),"",MAX(E69:Q69))</f>
        <v>389.40999999999985</v>
      </c>
      <c r="S67" s="320">
        <f>IF(Q68="","",MIN(E69:Q69))</f>
        <v>343.80000000000018</v>
      </c>
      <c r="T67" s="323">
        <f>IF((Q69=""),"",AVERAGE(E69:Q69))</f>
        <v>364.1476923076923</v>
      </c>
      <c r="U67" s="323">
        <f>IF((Q68=""),"",(R67-S67)/(R67+S67)*100)</f>
        <v>6.2205916449584251</v>
      </c>
      <c r="V67" s="323">
        <f>STDEV(E69:Q69)</f>
        <v>16.863165555852792</v>
      </c>
      <c r="W67" s="314" t="str">
        <f>IF(Q68="","",IF(T67&gt;300,IF(U67&lt;14,IF(T67&lt;390,"Pass","Fail"),"Fail"),"Fail"))</f>
        <v>Pass</v>
      </c>
      <c r="X67" s="317">
        <v>1428</v>
      </c>
      <c r="Y67" s="328"/>
      <c r="Z67" s="221"/>
      <c r="AA67" s="102">
        <v>270</v>
      </c>
      <c r="AB67" s="102">
        <v>370</v>
      </c>
      <c r="AC67" s="102">
        <v>300</v>
      </c>
      <c r="AD67" s="103">
        <v>390</v>
      </c>
      <c r="AE67" s="103">
        <v>20</v>
      </c>
      <c r="AF67" s="103">
        <v>14</v>
      </c>
    </row>
    <row r="68" spans="1:32" ht="16.100000000000001" x14ac:dyDescent="0.35">
      <c r="A68" s="263"/>
      <c r="B68" s="104"/>
      <c r="C68" s="104"/>
      <c r="D68" s="100" t="s">
        <v>187</v>
      </c>
      <c r="E68" s="101">
        <v>2075</v>
      </c>
      <c r="F68" s="101">
        <v>2099</v>
      </c>
      <c r="G68" s="101">
        <v>2107</v>
      </c>
      <c r="H68" s="101">
        <v>2109</v>
      </c>
      <c r="I68" s="101">
        <v>2120</v>
      </c>
      <c r="J68" s="101">
        <v>2129</v>
      </c>
      <c r="K68" s="101">
        <v>2142</v>
      </c>
      <c r="L68" s="101">
        <v>2132</v>
      </c>
      <c r="M68" s="101">
        <v>2126</v>
      </c>
      <c r="N68" s="101">
        <v>2120</v>
      </c>
      <c r="O68" s="101">
        <v>2107</v>
      </c>
      <c r="P68" s="101">
        <v>2099</v>
      </c>
      <c r="Q68" s="101">
        <v>2086</v>
      </c>
      <c r="R68" s="321"/>
      <c r="S68" s="321"/>
      <c r="T68" s="324"/>
      <c r="U68" s="324"/>
      <c r="V68" s="326"/>
      <c r="W68" s="315"/>
      <c r="X68" s="318"/>
      <c r="Y68" s="329"/>
      <c r="Z68" s="221"/>
      <c r="AA68" s="102"/>
      <c r="AB68" s="102"/>
      <c r="AC68" s="102"/>
      <c r="AD68" s="103"/>
      <c r="AE68" s="103"/>
      <c r="AF68" s="103"/>
    </row>
    <row r="69" spans="1:32" ht="31.05" x14ac:dyDescent="0.35">
      <c r="A69" s="263"/>
      <c r="B69" s="99"/>
      <c r="C69" s="99"/>
      <c r="D69" s="100" t="s">
        <v>188</v>
      </c>
      <c r="E69" s="105">
        <f t="shared" ref="E69:Q69" si="20">IF(((E67="")*AND(E68="")),"",(E67-E68))</f>
        <v>386.92999999999984</v>
      </c>
      <c r="F69" s="105">
        <f t="shared" si="20"/>
        <v>361.09000000000015</v>
      </c>
      <c r="G69" s="105">
        <f t="shared" si="20"/>
        <v>344.88000000000011</v>
      </c>
      <c r="H69" s="105">
        <f t="shared" si="20"/>
        <v>346.36000000000013</v>
      </c>
      <c r="I69" s="105">
        <f t="shared" si="20"/>
        <v>358.61999999999989</v>
      </c>
      <c r="J69" s="105">
        <f t="shared" si="20"/>
        <v>363.15000000000009</v>
      </c>
      <c r="K69" s="105">
        <f t="shared" si="20"/>
        <v>389.40999999999985</v>
      </c>
      <c r="L69" s="105">
        <f t="shared" si="20"/>
        <v>385.80999999999995</v>
      </c>
      <c r="M69" s="105">
        <f t="shared" si="20"/>
        <v>360.61000000000013</v>
      </c>
      <c r="N69" s="105">
        <f t="shared" si="20"/>
        <v>343.80000000000018</v>
      </c>
      <c r="O69" s="105">
        <f t="shared" si="20"/>
        <v>355.59999999999991</v>
      </c>
      <c r="P69" s="105">
        <f t="shared" si="20"/>
        <v>352.80000000000018</v>
      </c>
      <c r="Q69" s="105">
        <f t="shared" si="20"/>
        <v>384.86000000000013</v>
      </c>
      <c r="R69" s="322"/>
      <c r="S69" s="322"/>
      <c r="T69" s="325"/>
      <c r="U69" s="325"/>
      <c r="V69" s="327"/>
      <c r="W69" s="316"/>
      <c r="X69" s="319"/>
      <c r="Y69" s="330"/>
      <c r="Z69" s="221"/>
      <c r="AA69" s="102"/>
      <c r="AB69" s="102"/>
      <c r="AC69" s="102"/>
      <c r="AD69" s="102"/>
      <c r="AE69" s="106"/>
      <c r="AF69" s="102"/>
    </row>
    <row r="70" spans="1:32" ht="15.55" x14ac:dyDescent="0.25">
      <c r="A70" s="264">
        <v>43208</v>
      </c>
      <c r="B70" s="99" t="s">
        <v>235</v>
      </c>
      <c r="C70" s="99" t="s">
        <v>232</v>
      </c>
      <c r="D70" s="100" t="s">
        <v>186</v>
      </c>
      <c r="E70" s="101">
        <v>2830.28</v>
      </c>
      <c r="F70" s="101">
        <v>2792.49</v>
      </c>
      <c r="G70" s="101">
        <v>2770.84</v>
      </c>
      <c r="H70" s="101">
        <v>2768.18</v>
      </c>
      <c r="I70" s="101">
        <v>2785.92</v>
      </c>
      <c r="J70" s="101">
        <v>2828.17</v>
      </c>
      <c r="K70" s="101">
        <v>2893.37</v>
      </c>
      <c r="L70" s="101">
        <v>2882.58</v>
      </c>
      <c r="M70" s="101">
        <v>2817.84</v>
      </c>
      <c r="N70" s="101">
        <v>2781.39</v>
      </c>
      <c r="O70" s="101">
        <v>2774.02</v>
      </c>
      <c r="P70" s="101">
        <v>2800.18</v>
      </c>
      <c r="Q70" s="101">
        <v>2841.35</v>
      </c>
      <c r="R70" s="320">
        <f>IF((Q71=""),"",MAX(E72:Q72))</f>
        <v>365.65000000000009</v>
      </c>
      <c r="S70" s="320">
        <f>IF(Q71="","",MIN(E72:Q72))</f>
        <v>317.52999999999975</v>
      </c>
      <c r="T70" s="323">
        <f>IF((Q72=""),"",AVERAGE(E72:Q72))</f>
        <v>338.32230769230767</v>
      </c>
      <c r="U70" s="323">
        <f>IF((Q71=""),"",(R70-S70)/(R70+S70)*100)</f>
        <v>7.0435317193126785</v>
      </c>
      <c r="V70" s="323">
        <f>STDEV(E72:Q72)</f>
        <v>17.74972354425374</v>
      </c>
      <c r="W70" s="314" t="str">
        <f>IF(Q71="","",IF(T70&gt;300,IF(U70&lt;14,IF(T70&lt;390,"Pass","Fail"),"Fail"),"Fail"))</f>
        <v>Pass</v>
      </c>
      <c r="X70" s="317">
        <v>74</v>
      </c>
      <c r="Y70" s="328"/>
      <c r="Z70" s="221"/>
      <c r="AA70" s="102">
        <v>270</v>
      </c>
      <c r="AB70" s="102">
        <v>370</v>
      </c>
      <c r="AC70" s="102">
        <v>300</v>
      </c>
      <c r="AD70" s="103">
        <v>390</v>
      </c>
      <c r="AE70" s="103">
        <v>20</v>
      </c>
      <c r="AF70" s="103">
        <v>14</v>
      </c>
    </row>
    <row r="71" spans="1:32" ht="16.100000000000001" x14ac:dyDescent="0.35">
      <c r="A71" s="263"/>
      <c r="B71" s="104"/>
      <c r="C71" s="104"/>
      <c r="D71" s="100" t="s">
        <v>187</v>
      </c>
      <c r="E71" s="101">
        <v>2464.63</v>
      </c>
      <c r="F71" s="101">
        <v>2456.13</v>
      </c>
      <c r="G71" s="101">
        <v>2449.4299999999998</v>
      </c>
      <c r="H71" s="101">
        <v>2450.65</v>
      </c>
      <c r="I71" s="101">
        <v>2464.56</v>
      </c>
      <c r="J71" s="101">
        <v>2488.58</v>
      </c>
      <c r="K71" s="101">
        <v>2535.46</v>
      </c>
      <c r="L71" s="101">
        <v>2518.91</v>
      </c>
      <c r="M71" s="101">
        <v>2483.96</v>
      </c>
      <c r="N71" s="101">
        <v>2460.27</v>
      </c>
      <c r="O71" s="101">
        <v>2452.04</v>
      </c>
      <c r="P71" s="101">
        <v>2461.09</v>
      </c>
      <c r="Q71" s="101">
        <v>2482.71</v>
      </c>
      <c r="R71" s="321"/>
      <c r="S71" s="321"/>
      <c r="T71" s="324"/>
      <c r="U71" s="324"/>
      <c r="V71" s="326"/>
      <c r="W71" s="315"/>
      <c r="X71" s="318"/>
      <c r="Y71" s="329"/>
      <c r="Z71" s="221"/>
      <c r="AA71" s="102"/>
      <c r="AB71" s="102"/>
      <c r="AC71" s="102"/>
      <c r="AD71" s="103"/>
      <c r="AE71" s="103"/>
      <c r="AF71" s="103"/>
    </row>
    <row r="72" spans="1:32" ht="31.05" x14ac:dyDescent="0.35">
      <c r="A72" s="263"/>
      <c r="B72" s="99"/>
      <c r="C72" s="99"/>
      <c r="D72" s="100" t="s">
        <v>188</v>
      </c>
      <c r="E72" s="105">
        <f t="shared" ref="E72:Q72" si="21">IF(((E70="")*AND(E71="")),"",(E70-E71))</f>
        <v>365.65000000000009</v>
      </c>
      <c r="F72" s="105">
        <f t="shared" si="21"/>
        <v>336.35999999999967</v>
      </c>
      <c r="G72" s="105">
        <f t="shared" si="21"/>
        <v>321.41000000000031</v>
      </c>
      <c r="H72" s="105">
        <f t="shared" si="21"/>
        <v>317.52999999999975</v>
      </c>
      <c r="I72" s="105">
        <f t="shared" si="21"/>
        <v>321.36000000000013</v>
      </c>
      <c r="J72" s="105">
        <f t="shared" si="21"/>
        <v>339.59000000000015</v>
      </c>
      <c r="K72" s="105">
        <f t="shared" si="21"/>
        <v>357.90999999999985</v>
      </c>
      <c r="L72" s="105">
        <f t="shared" si="21"/>
        <v>363.67000000000007</v>
      </c>
      <c r="M72" s="105">
        <f t="shared" si="21"/>
        <v>333.88000000000011</v>
      </c>
      <c r="N72" s="105">
        <f t="shared" si="21"/>
        <v>321.11999999999989</v>
      </c>
      <c r="O72" s="105">
        <f t="shared" si="21"/>
        <v>321.98</v>
      </c>
      <c r="P72" s="105">
        <f t="shared" si="21"/>
        <v>339.08999999999969</v>
      </c>
      <c r="Q72" s="105">
        <f t="shared" si="21"/>
        <v>358.63999999999987</v>
      </c>
      <c r="R72" s="322"/>
      <c r="S72" s="322"/>
      <c r="T72" s="325"/>
      <c r="U72" s="325"/>
      <c r="V72" s="327"/>
      <c r="W72" s="316"/>
      <c r="X72" s="319"/>
      <c r="Y72" s="330"/>
      <c r="Z72" s="221"/>
      <c r="AA72" s="102"/>
      <c r="AB72" s="102"/>
      <c r="AC72" s="102"/>
      <c r="AD72" s="102"/>
      <c r="AE72" s="106"/>
      <c r="AF72" s="102"/>
    </row>
    <row r="73" spans="1:32" ht="15.55" x14ac:dyDescent="0.25">
      <c r="A73" s="264">
        <v>43215</v>
      </c>
      <c r="B73" s="99" t="s">
        <v>235</v>
      </c>
      <c r="C73" s="99" t="s">
        <v>232</v>
      </c>
      <c r="D73" s="100" t="s">
        <v>186</v>
      </c>
      <c r="E73" s="101">
        <v>2466.1999999999998</v>
      </c>
      <c r="F73" s="101">
        <v>2457.56</v>
      </c>
      <c r="G73" s="101">
        <v>2452.5</v>
      </c>
      <c r="H73" s="101">
        <v>2435.89</v>
      </c>
      <c r="I73" s="101">
        <v>2463.4899999999998</v>
      </c>
      <c r="J73" s="101">
        <v>2491.54</v>
      </c>
      <c r="K73" s="101">
        <v>2537.46</v>
      </c>
      <c r="L73" s="101">
        <v>2518.6799999999998</v>
      </c>
      <c r="M73" s="101">
        <v>2486.4699999999998</v>
      </c>
      <c r="N73" s="101">
        <v>2461.56</v>
      </c>
      <c r="O73" s="101">
        <v>2449.3000000000002</v>
      </c>
      <c r="P73" s="101">
        <v>2461.66</v>
      </c>
      <c r="Q73" s="101">
        <v>2480.14</v>
      </c>
      <c r="R73" s="320">
        <f>IF((Q74=""),"",MAX(E75:Q75))</f>
        <v>388.19999999999982</v>
      </c>
      <c r="S73" s="320">
        <f>IF(Q74="","",MIN(E75:Q75))</f>
        <v>326.88999999999987</v>
      </c>
      <c r="T73" s="323">
        <f>IF((Q75=""),"",AVERAGE(E75:Q75))</f>
        <v>362.11153846153837</v>
      </c>
      <c r="U73" s="323">
        <f>IF((Q74=""),"",(R73-S73)/(R73+S73)*100)</f>
        <v>8.5737459620467327</v>
      </c>
      <c r="V73" s="323">
        <f>STDEV(E75:Q75)</f>
        <v>19.480544502209462</v>
      </c>
      <c r="W73" s="314" t="str">
        <f>IF(Q74="","",IF(T73&gt;300,IF(U73&lt;14,IF(T73&lt;390,"Pass","Fail"),"Fail"),"Fail"))</f>
        <v>Pass</v>
      </c>
      <c r="X73" s="317">
        <v>121</v>
      </c>
      <c r="Y73" s="328"/>
      <c r="Z73" s="221" t="s">
        <v>192</v>
      </c>
      <c r="AA73" s="102">
        <v>270</v>
      </c>
      <c r="AB73" s="102">
        <v>370</v>
      </c>
      <c r="AC73" s="102">
        <v>300</v>
      </c>
      <c r="AD73" s="103">
        <v>390</v>
      </c>
      <c r="AE73" s="103">
        <v>20</v>
      </c>
      <c r="AF73" s="103">
        <v>14</v>
      </c>
    </row>
    <row r="74" spans="1:32" ht="16.100000000000001" x14ac:dyDescent="0.35">
      <c r="A74" s="263"/>
      <c r="B74" s="104"/>
      <c r="C74" s="104"/>
      <c r="D74" s="100" t="s">
        <v>187</v>
      </c>
      <c r="E74" s="101">
        <v>2078</v>
      </c>
      <c r="F74" s="101">
        <v>2096</v>
      </c>
      <c r="G74" s="101">
        <v>2103</v>
      </c>
      <c r="H74" s="101">
        <v>2109</v>
      </c>
      <c r="I74" s="101">
        <v>2118</v>
      </c>
      <c r="J74" s="101">
        <v>2128</v>
      </c>
      <c r="K74" s="101">
        <v>2150</v>
      </c>
      <c r="L74" s="101">
        <v>2135</v>
      </c>
      <c r="M74" s="101">
        <v>2124</v>
      </c>
      <c r="N74" s="101">
        <v>2116</v>
      </c>
      <c r="O74" s="101">
        <v>2104</v>
      </c>
      <c r="P74" s="101">
        <v>2099</v>
      </c>
      <c r="Q74" s="101">
        <v>2095</v>
      </c>
      <c r="R74" s="321"/>
      <c r="S74" s="321"/>
      <c r="T74" s="324"/>
      <c r="U74" s="324"/>
      <c r="V74" s="326"/>
      <c r="W74" s="315"/>
      <c r="X74" s="318"/>
      <c r="Y74" s="329"/>
      <c r="Z74" s="221"/>
      <c r="AA74" s="102"/>
      <c r="AB74" s="102"/>
      <c r="AC74" s="102"/>
      <c r="AD74" s="103"/>
      <c r="AE74" s="103"/>
      <c r="AF74" s="103"/>
    </row>
    <row r="75" spans="1:32" ht="31.05" x14ac:dyDescent="0.35">
      <c r="A75" s="263"/>
      <c r="B75" s="99"/>
      <c r="C75" s="99"/>
      <c r="D75" s="100" t="s">
        <v>188</v>
      </c>
      <c r="E75" s="105">
        <f t="shared" ref="E75:Q75" si="22">IF(((E73="")*AND(E74="")),"",(E73-E74))</f>
        <v>388.19999999999982</v>
      </c>
      <c r="F75" s="105">
        <f t="shared" si="22"/>
        <v>361.55999999999995</v>
      </c>
      <c r="G75" s="105">
        <f t="shared" si="22"/>
        <v>349.5</v>
      </c>
      <c r="H75" s="105">
        <f t="shared" si="22"/>
        <v>326.88999999999987</v>
      </c>
      <c r="I75" s="105">
        <f t="shared" si="22"/>
        <v>345.48999999999978</v>
      </c>
      <c r="J75" s="105">
        <f t="shared" si="22"/>
        <v>363.53999999999996</v>
      </c>
      <c r="K75" s="105">
        <f t="shared" si="22"/>
        <v>387.46000000000004</v>
      </c>
      <c r="L75" s="105">
        <f t="shared" si="22"/>
        <v>383.67999999999984</v>
      </c>
      <c r="M75" s="105">
        <f t="shared" si="22"/>
        <v>362.4699999999998</v>
      </c>
      <c r="N75" s="105">
        <f t="shared" si="22"/>
        <v>345.55999999999995</v>
      </c>
      <c r="O75" s="105">
        <f t="shared" si="22"/>
        <v>345.30000000000018</v>
      </c>
      <c r="P75" s="105">
        <f t="shared" si="22"/>
        <v>362.65999999999985</v>
      </c>
      <c r="Q75" s="105">
        <f t="shared" si="22"/>
        <v>385.13999999999987</v>
      </c>
      <c r="R75" s="322"/>
      <c r="S75" s="322"/>
      <c r="T75" s="325"/>
      <c r="U75" s="325"/>
      <c r="V75" s="327"/>
      <c r="W75" s="316"/>
      <c r="X75" s="319"/>
      <c r="Y75" s="330"/>
      <c r="Z75" s="221"/>
      <c r="AA75" s="102"/>
      <c r="AB75" s="102"/>
      <c r="AC75" s="102"/>
      <c r="AD75" s="102"/>
      <c r="AE75" s="106"/>
      <c r="AF75" s="102"/>
    </row>
    <row r="76" spans="1:32" ht="15.55" x14ac:dyDescent="0.25">
      <c r="A76" s="264">
        <v>43220</v>
      </c>
      <c r="B76" s="99" t="s">
        <v>235</v>
      </c>
      <c r="C76" s="99" t="s">
        <v>232</v>
      </c>
      <c r="D76" s="100" t="s">
        <v>186</v>
      </c>
      <c r="E76" s="101">
        <v>1811.77</v>
      </c>
      <c r="F76" s="101">
        <v>1790.89</v>
      </c>
      <c r="G76" s="101">
        <v>1792.08</v>
      </c>
      <c r="H76" s="101">
        <v>1802.81</v>
      </c>
      <c r="I76" s="101">
        <v>1824.73</v>
      </c>
      <c r="J76" s="101">
        <v>1865.6</v>
      </c>
      <c r="K76" s="101">
        <v>1929.5</v>
      </c>
      <c r="L76" s="101">
        <v>1911.94</v>
      </c>
      <c r="M76" s="101">
        <v>1849</v>
      </c>
      <c r="N76" s="101">
        <v>1817.27</v>
      </c>
      <c r="O76" s="101">
        <v>1800.46</v>
      </c>
      <c r="P76" s="101">
        <v>1814.75</v>
      </c>
      <c r="Q76" s="101">
        <v>1857.85</v>
      </c>
      <c r="R76" s="320">
        <f>IF((Q77=""),"",MAX(E78:Q78))</f>
        <v>386.95000000000005</v>
      </c>
      <c r="S76" s="320">
        <f>IF(Q77="","",MIN(E78:Q78))</f>
        <v>300.03999999999996</v>
      </c>
      <c r="T76" s="323">
        <f>IF((Q78=""),"",AVERAGE(E78:Q78))</f>
        <v>330.84999999999997</v>
      </c>
      <c r="U76" s="323">
        <f>IF((Q77=""),"",(R76-S76)/(R76+S76)*100)</f>
        <v>12.650839167964612</v>
      </c>
      <c r="V76" s="323">
        <f>STDEV(E78:Q78)</f>
        <v>31.023578130189946</v>
      </c>
      <c r="W76" s="314" t="str">
        <f>IF(Q77="","",IF(T76&gt;300,IF(U76&lt;14,IF(T76&lt;390,"Pass","Fail"),"Fail"),"Fail"))</f>
        <v>Pass</v>
      </c>
      <c r="X76" s="317"/>
      <c r="Y76" s="328"/>
      <c r="Z76" s="221"/>
      <c r="AA76" s="102">
        <v>270</v>
      </c>
      <c r="AB76" s="102">
        <v>370</v>
      </c>
      <c r="AC76" s="102">
        <v>300</v>
      </c>
      <c r="AD76" s="103">
        <v>390</v>
      </c>
      <c r="AE76" s="103">
        <v>20</v>
      </c>
      <c r="AF76" s="103">
        <v>14</v>
      </c>
    </row>
    <row r="77" spans="1:32" ht="16.100000000000001" x14ac:dyDescent="0.35">
      <c r="A77" s="263"/>
      <c r="B77" s="104"/>
      <c r="C77" s="104"/>
      <c r="D77" s="100" t="s">
        <v>187</v>
      </c>
      <c r="E77" s="101">
        <v>1501.44</v>
      </c>
      <c r="F77" s="101">
        <v>1490.29</v>
      </c>
      <c r="G77" s="101">
        <v>1490.48</v>
      </c>
      <c r="H77" s="101">
        <v>1500.22</v>
      </c>
      <c r="I77" s="101">
        <v>1500.14</v>
      </c>
      <c r="J77" s="101">
        <v>1507.26</v>
      </c>
      <c r="K77" s="101">
        <v>1552.15</v>
      </c>
      <c r="L77" s="101">
        <v>1524.99</v>
      </c>
      <c r="M77" s="101">
        <v>1500.01</v>
      </c>
      <c r="N77" s="101">
        <v>1500.16</v>
      </c>
      <c r="O77" s="101">
        <v>1500.42</v>
      </c>
      <c r="P77" s="101">
        <v>1500.02</v>
      </c>
      <c r="Q77" s="101">
        <v>1500.02</v>
      </c>
      <c r="R77" s="321"/>
      <c r="S77" s="321"/>
      <c r="T77" s="324"/>
      <c r="U77" s="324"/>
      <c r="V77" s="326"/>
      <c r="W77" s="315"/>
      <c r="X77" s="318"/>
      <c r="Y77" s="329"/>
      <c r="Z77" s="221"/>
      <c r="AA77" s="102"/>
      <c r="AB77" s="102"/>
      <c r="AC77" s="102"/>
      <c r="AD77" s="103"/>
      <c r="AE77" s="103"/>
      <c r="AF77" s="103"/>
    </row>
    <row r="78" spans="1:32" ht="31.05" x14ac:dyDescent="0.35">
      <c r="A78" s="263"/>
      <c r="B78" s="99"/>
      <c r="C78" s="99"/>
      <c r="D78" s="100" t="s">
        <v>188</v>
      </c>
      <c r="E78" s="105">
        <f t="shared" ref="E78:Q78" si="23">IF(((E76="")*AND(E77="")),"",(E76-E77))</f>
        <v>310.32999999999993</v>
      </c>
      <c r="F78" s="105">
        <f t="shared" si="23"/>
        <v>300.60000000000014</v>
      </c>
      <c r="G78" s="105">
        <f t="shared" si="23"/>
        <v>301.59999999999991</v>
      </c>
      <c r="H78" s="105">
        <f t="shared" si="23"/>
        <v>302.58999999999992</v>
      </c>
      <c r="I78" s="105">
        <f t="shared" si="23"/>
        <v>324.58999999999992</v>
      </c>
      <c r="J78" s="105">
        <f t="shared" si="23"/>
        <v>358.33999999999992</v>
      </c>
      <c r="K78" s="105">
        <f t="shared" si="23"/>
        <v>377.34999999999991</v>
      </c>
      <c r="L78" s="105">
        <f t="shared" si="23"/>
        <v>386.95000000000005</v>
      </c>
      <c r="M78" s="105">
        <f t="shared" si="23"/>
        <v>348.99</v>
      </c>
      <c r="N78" s="105">
        <f t="shared" si="23"/>
        <v>317.1099999999999</v>
      </c>
      <c r="O78" s="105">
        <f t="shared" si="23"/>
        <v>300.03999999999996</v>
      </c>
      <c r="P78" s="105">
        <f t="shared" si="23"/>
        <v>314.73</v>
      </c>
      <c r="Q78" s="105">
        <f t="shared" si="23"/>
        <v>357.82999999999993</v>
      </c>
      <c r="R78" s="322"/>
      <c r="S78" s="322"/>
      <c r="T78" s="325"/>
      <c r="U78" s="325"/>
      <c r="V78" s="327"/>
      <c r="W78" s="316"/>
      <c r="X78" s="319"/>
      <c r="Y78" s="330"/>
      <c r="Z78" s="221"/>
      <c r="AA78" s="102"/>
      <c r="AB78" s="102"/>
      <c r="AC78" s="102"/>
      <c r="AD78" s="102"/>
      <c r="AE78" s="106"/>
      <c r="AF78" s="102"/>
    </row>
    <row r="79" spans="1:32" ht="15.55" x14ac:dyDescent="0.25">
      <c r="A79" s="264">
        <v>43224</v>
      </c>
      <c r="B79" s="99" t="s">
        <v>235</v>
      </c>
      <c r="C79" s="99" t="s">
        <v>232</v>
      </c>
      <c r="D79" s="100" t="s">
        <v>186</v>
      </c>
      <c r="E79" s="101">
        <v>2850.42</v>
      </c>
      <c r="F79" s="101">
        <v>2798.96</v>
      </c>
      <c r="G79" s="101">
        <v>2774.32</v>
      </c>
      <c r="H79" s="101">
        <v>2773.88</v>
      </c>
      <c r="I79" s="101">
        <v>2790</v>
      </c>
      <c r="J79" s="101">
        <v>2832.46</v>
      </c>
      <c r="K79" s="101">
        <v>2896.31</v>
      </c>
      <c r="L79" s="101">
        <v>2853.35</v>
      </c>
      <c r="M79" s="101">
        <v>2807.89</v>
      </c>
      <c r="N79" s="101">
        <v>2780.82</v>
      </c>
      <c r="O79" s="101">
        <v>2781.54</v>
      </c>
      <c r="P79" s="101">
        <v>2804.77</v>
      </c>
      <c r="Q79" s="101">
        <v>2858.86</v>
      </c>
      <c r="R79" s="320">
        <f>IF((Q80=""),"",MAX(E81:Q81))</f>
        <v>366.45000000000027</v>
      </c>
      <c r="S79" s="320">
        <f>IF(Q80="","",MIN(E81:Q81))</f>
        <v>318.42000000000007</v>
      </c>
      <c r="T79" s="323">
        <f>IF((Q81=""),"",AVERAGE(E81:Q81))</f>
        <v>338.40692307692314</v>
      </c>
      <c r="U79" s="323">
        <f>IF((Q80=""),"",(R79-S79)/(R79+S79)*100)</f>
        <v>7.0130097682772172</v>
      </c>
      <c r="V79" s="323">
        <f>STDEV(E81:Q81)</f>
        <v>18.509506289388792</v>
      </c>
      <c r="W79" s="314" t="str">
        <f>IF(Q80="","",IF(T79&gt;300,IF(U79&lt;14,IF(T79&lt;390,"Pass","Fail"),"Fail"),"Fail"))</f>
        <v>Pass</v>
      </c>
      <c r="X79" s="317">
        <v>1159</v>
      </c>
      <c r="Y79" s="227" t="s">
        <v>193</v>
      </c>
      <c r="Z79" s="221"/>
      <c r="AA79" s="102">
        <v>270</v>
      </c>
      <c r="AB79" s="102">
        <v>370</v>
      </c>
      <c r="AC79" s="102">
        <v>300</v>
      </c>
      <c r="AD79" s="103">
        <v>390</v>
      </c>
      <c r="AE79" s="103">
        <v>20</v>
      </c>
      <c r="AF79" s="103">
        <v>14</v>
      </c>
    </row>
    <row r="80" spans="1:32" ht="16.100000000000001" x14ac:dyDescent="0.35">
      <c r="A80" s="263"/>
      <c r="B80" s="104"/>
      <c r="C80" s="104"/>
      <c r="D80" s="100" t="s">
        <v>187</v>
      </c>
      <c r="E80" s="101">
        <v>2485.67</v>
      </c>
      <c r="F80" s="101">
        <v>2461.9699999999998</v>
      </c>
      <c r="G80" s="101">
        <v>2452.92</v>
      </c>
      <c r="H80" s="101">
        <v>2455.46</v>
      </c>
      <c r="I80" s="101">
        <v>2470.9499999999998</v>
      </c>
      <c r="J80" s="101">
        <v>2498.65</v>
      </c>
      <c r="K80" s="101">
        <v>2540.2199999999998</v>
      </c>
      <c r="L80" s="101">
        <v>2488.1</v>
      </c>
      <c r="M80" s="101">
        <v>2474.46</v>
      </c>
      <c r="N80" s="101">
        <v>2459.7399999999998</v>
      </c>
      <c r="O80" s="101">
        <v>2456.7600000000002</v>
      </c>
      <c r="P80" s="101">
        <v>2466.98</v>
      </c>
      <c r="Q80" s="101">
        <v>2492.41</v>
      </c>
      <c r="R80" s="321"/>
      <c r="S80" s="321"/>
      <c r="T80" s="324"/>
      <c r="U80" s="324"/>
      <c r="V80" s="326"/>
      <c r="W80" s="315"/>
      <c r="X80" s="318"/>
      <c r="Y80" s="224"/>
      <c r="Z80" s="221"/>
      <c r="AA80" s="102"/>
      <c r="AB80" s="102"/>
      <c r="AC80" s="102"/>
      <c r="AD80" s="103"/>
      <c r="AE80" s="103"/>
      <c r="AF80" s="103"/>
    </row>
    <row r="81" spans="1:32" ht="31.05" x14ac:dyDescent="0.35">
      <c r="A81" s="263"/>
      <c r="B81" s="99"/>
      <c r="C81" s="99"/>
      <c r="D81" s="100" t="s">
        <v>188</v>
      </c>
      <c r="E81" s="105">
        <f t="shared" ref="E81:Q81" si="24">IF(((E79="")*AND(E80="")),"",(E79-E80))</f>
        <v>364.75</v>
      </c>
      <c r="F81" s="105">
        <f t="shared" si="24"/>
        <v>336.99000000000024</v>
      </c>
      <c r="G81" s="105">
        <f t="shared" si="24"/>
        <v>321.40000000000009</v>
      </c>
      <c r="H81" s="105">
        <f t="shared" si="24"/>
        <v>318.42000000000007</v>
      </c>
      <c r="I81" s="105">
        <f t="shared" si="24"/>
        <v>319.05000000000018</v>
      </c>
      <c r="J81" s="105">
        <f t="shared" si="24"/>
        <v>333.80999999999995</v>
      </c>
      <c r="K81" s="105">
        <f t="shared" si="24"/>
        <v>356.09000000000015</v>
      </c>
      <c r="L81" s="105">
        <f t="shared" si="24"/>
        <v>365.25</v>
      </c>
      <c r="M81" s="105">
        <f t="shared" si="24"/>
        <v>333.42999999999984</v>
      </c>
      <c r="N81" s="105">
        <f t="shared" si="24"/>
        <v>321.08000000000038</v>
      </c>
      <c r="O81" s="105">
        <f t="shared" si="24"/>
        <v>324.77999999999975</v>
      </c>
      <c r="P81" s="105">
        <f t="shared" si="24"/>
        <v>337.78999999999996</v>
      </c>
      <c r="Q81" s="105">
        <f t="shared" si="24"/>
        <v>366.45000000000027</v>
      </c>
      <c r="R81" s="322"/>
      <c r="S81" s="322"/>
      <c r="T81" s="325"/>
      <c r="U81" s="325"/>
      <c r="V81" s="327"/>
      <c r="W81" s="316"/>
      <c r="X81" s="319"/>
      <c r="Y81" s="225"/>
      <c r="Z81" s="221"/>
      <c r="AA81" s="102"/>
      <c r="AB81" s="102"/>
      <c r="AC81" s="102"/>
      <c r="AD81" s="102"/>
      <c r="AE81" s="106"/>
      <c r="AF81" s="102"/>
    </row>
    <row r="82" spans="1:32" ht="15.55" x14ac:dyDescent="0.25">
      <c r="A82" s="264">
        <v>43227</v>
      </c>
      <c r="B82" s="99" t="s">
        <v>235</v>
      </c>
      <c r="C82" s="99" t="s">
        <v>232</v>
      </c>
      <c r="D82" s="100" t="s">
        <v>186</v>
      </c>
      <c r="E82" s="101">
        <v>2850.06</v>
      </c>
      <c r="F82" s="101">
        <v>2800.26</v>
      </c>
      <c r="G82" s="101">
        <v>2773.91</v>
      </c>
      <c r="H82" s="101">
        <v>2772.21</v>
      </c>
      <c r="I82" s="101">
        <v>2792.02</v>
      </c>
      <c r="J82" s="101">
        <v>2835.39</v>
      </c>
      <c r="K82" s="101">
        <v>2899.53</v>
      </c>
      <c r="L82" s="101">
        <v>2843.58</v>
      </c>
      <c r="M82" s="101">
        <v>2800.31</v>
      </c>
      <c r="N82" s="101">
        <v>2776.86</v>
      </c>
      <c r="O82" s="101">
        <v>2782.72</v>
      </c>
      <c r="P82" s="101">
        <v>2808.93</v>
      </c>
      <c r="Q82" s="101">
        <v>2852.33</v>
      </c>
      <c r="R82" s="320">
        <f>IF((Q83=""),"",MAX(E84:Q84))</f>
        <v>369.57999999999993</v>
      </c>
      <c r="S82" s="320">
        <f>IF(Q83="","",MIN(E84:Q84))</f>
        <v>316.59000000000015</v>
      </c>
      <c r="T82" s="323">
        <f>IF((Q84=""),"",AVERAGE(E84:Q84))</f>
        <v>339.59615384615387</v>
      </c>
      <c r="U82" s="323">
        <f>IF((Q83=""),"",(R82-S82)/(R82+S82)*100)</f>
        <v>7.7225760380080413</v>
      </c>
      <c r="V82" s="323">
        <f>STDEV(E84:Q84)</f>
        <v>20.201015873160724</v>
      </c>
      <c r="W82" s="314" t="str">
        <f>IF(Q83="","",IF(T82&gt;300,IF(U82&lt;14,IF(T82&lt;390,"Pass","Fail"),"Fail"),"Fail"))</f>
        <v>Pass</v>
      </c>
      <c r="X82" s="317">
        <v>1335</v>
      </c>
      <c r="Y82" s="328"/>
      <c r="Z82" s="221"/>
      <c r="AA82" s="102">
        <v>270</v>
      </c>
      <c r="AB82" s="102">
        <v>370</v>
      </c>
      <c r="AC82" s="102">
        <v>300</v>
      </c>
      <c r="AD82" s="103">
        <v>390</v>
      </c>
      <c r="AE82" s="103">
        <v>20</v>
      </c>
      <c r="AF82" s="103">
        <v>14</v>
      </c>
    </row>
    <row r="83" spans="1:32" ht="16.100000000000001" x14ac:dyDescent="0.35">
      <c r="A83" s="263"/>
      <c r="B83" s="104"/>
      <c r="C83" s="104"/>
      <c r="D83" s="100" t="s">
        <v>187</v>
      </c>
      <c r="E83" s="101">
        <v>2483.9</v>
      </c>
      <c r="F83" s="101">
        <v>2461.59</v>
      </c>
      <c r="G83" s="101">
        <v>2450.52</v>
      </c>
      <c r="H83" s="101">
        <v>2455.62</v>
      </c>
      <c r="I83" s="101">
        <v>2471.89</v>
      </c>
      <c r="J83" s="101">
        <v>2498.12</v>
      </c>
      <c r="K83" s="101">
        <v>2538.13</v>
      </c>
      <c r="L83" s="101">
        <v>2474</v>
      </c>
      <c r="M83" s="101">
        <v>2465.5500000000002</v>
      </c>
      <c r="N83" s="101">
        <v>2459.2199999999998</v>
      </c>
      <c r="O83" s="101">
        <v>2460.0700000000002</v>
      </c>
      <c r="P83" s="101">
        <v>2471.0700000000002</v>
      </c>
      <c r="Q83" s="101">
        <v>2483.6799999999998</v>
      </c>
      <c r="R83" s="321"/>
      <c r="S83" s="321"/>
      <c r="T83" s="324"/>
      <c r="U83" s="324"/>
      <c r="V83" s="326"/>
      <c r="W83" s="315"/>
      <c r="X83" s="318"/>
      <c r="Y83" s="329"/>
      <c r="Z83" s="221"/>
      <c r="AA83" s="102"/>
      <c r="AB83" s="102"/>
      <c r="AC83" s="102"/>
      <c r="AD83" s="103"/>
      <c r="AE83" s="103"/>
      <c r="AF83" s="103"/>
    </row>
    <row r="84" spans="1:32" ht="31.05" x14ac:dyDescent="0.35">
      <c r="A84" s="263"/>
      <c r="B84" s="99"/>
      <c r="C84" s="99"/>
      <c r="D84" s="100" t="s">
        <v>188</v>
      </c>
      <c r="E84" s="105">
        <f t="shared" ref="E84:Q84" si="25">IF(((E82="")*AND(E83="")),"",(E82-E83))</f>
        <v>366.15999999999985</v>
      </c>
      <c r="F84" s="105">
        <f t="shared" si="25"/>
        <v>338.67000000000007</v>
      </c>
      <c r="G84" s="105">
        <f t="shared" si="25"/>
        <v>323.38999999999987</v>
      </c>
      <c r="H84" s="105">
        <f t="shared" si="25"/>
        <v>316.59000000000015</v>
      </c>
      <c r="I84" s="105">
        <f t="shared" si="25"/>
        <v>320.13000000000011</v>
      </c>
      <c r="J84" s="105">
        <f t="shared" si="25"/>
        <v>337.27</v>
      </c>
      <c r="K84" s="105">
        <f t="shared" si="25"/>
        <v>361.40000000000009</v>
      </c>
      <c r="L84" s="105">
        <f t="shared" si="25"/>
        <v>369.57999999999993</v>
      </c>
      <c r="M84" s="105">
        <f t="shared" si="25"/>
        <v>334.75999999999976</v>
      </c>
      <c r="N84" s="105">
        <f t="shared" si="25"/>
        <v>317.64000000000033</v>
      </c>
      <c r="O84" s="105">
        <f t="shared" si="25"/>
        <v>322.64999999999964</v>
      </c>
      <c r="P84" s="105">
        <f t="shared" si="25"/>
        <v>337.85999999999967</v>
      </c>
      <c r="Q84" s="105">
        <f t="shared" si="25"/>
        <v>368.65000000000009</v>
      </c>
      <c r="R84" s="322"/>
      <c r="S84" s="322"/>
      <c r="T84" s="325"/>
      <c r="U84" s="325"/>
      <c r="V84" s="327"/>
      <c r="W84" s="316"/>
      <c r="X84" s="319"/>
      <c r="Y84" s="330"/>
      <c r="Z84" s="221"/>
      <c r="AA84" s="102"/>
      <c r="AB84" s="102"/>
      <c r="AC84" s="102"/>
      <c r="AD84" s="102"/>
      <c r="AE84" s="106"/>
      <c r="AF84" s="102"/>
    </row>
    <row r="85" spans="1:32" ht="15.55" x14ac:dyDescent="0.25">
      <c r="A85" s="264">
        <v>43230</v>
      </c>
      <c r="B85" s="99" t="s">
        <v>235</v>
      </c>
      <c r="C85" s="99" t="s">
        <v>232</v>
      </c>
      <c r="D85" s="100" t="s">
        <v>186</v>
      </c>
      <c r="E85" s="101">
        <v>2483.02</v>
      </c>
      <c r="F85" s="101">
        <v>2463.71</v>
      </c>
      <c r="G85" s="101">
        <v>2457.6999999999998</v>
      </c>
      <c r="H85" s="101">
        <v>2448.84</v>
      </c>
      <c r="I85" s="101">
        <v>2473.58</v>
      </c>
      <c r="J85" s="101">
        <v>2499.86</v>
      </c>
      <c r="K85" s="101">
        <v>2541.17</v>
      </c>
      <c r="L85" s="101">
        <v>2479.2600000000002</v>
      </c>
      <c r="M85" s="101">
        <v>2468.5300000000002</v>
      </c>
      <c r="N85" s="101">
        <v>2458.15</v>
      </c>
      <c r="O85" s="101">
        <v>2486.94</v>
      </c>
      <c r="P85" s="101">
        <v>2471.34</v>
      </c>
      <c r="Q85" s="101">
        <v>2484.12</v>
      </c>
      <c r="R85" s="320">
        <f>IF((Q86=""),"",MAX(E87:Q87))</f>
        <v>407.74000000000024</v>
      </c>
      <c r="S85" s="320">
        <f>IF(Q86="","",MIN(E87:Q87))</f>
        <v>308.68000000000029</v>
      </c>
      <c r="T85" s="323">
        <f>IF((Q87=""),"",AVERAGE(E87:Q87))</f>
        <v>342.54153846153866</v>
      </c>
      <c r="U85" s="323">
        <f>IF((Q86=""),"",(R85-S85)/(R85+S85)*100)</f>
        <v>13.827084671003027</v>
      </c>
      <c r="V85" s="323">
        <f>STDEV(E87:Q87)</f>
        <v>25.742173194375624</v>
      </c>
      <c r="W85" s="314" t="str">
        <f>IF(Q86="","",IF(T85&gt;300,IF(U85&lt;14,IF(T85&lt;390,"Pass","Fail"),"Fail"),"Fail"))</f>
        <v>Pass</v>
      </c>
      <c r="X85" s="317">
        <v>1335</v>
      </c>
      <c r="Y85" s="328"/>
      <c r="Z85" s="221"/>
      <c r="AA85" s="102">
        <v>270</v>
      </c>
      <c r="AB85" s="102">
        <v>370</v>
      </c>
      <c r="AC85" s="102">
        <v>300</v>
      </c>
      <c r="AD85" s="103">
        <v>390</v>
      </c>
      <c r="AE85" s="103">
        <v>20</v>
      </c>
      <c r="AF85" s="103">
        <v>14</v>
      </c>
    </row>
    <row r="86" spans="1:32" ht="16.100000000000001" x14ac:dyDescent="0.35">
      <c r="A86" s="263"/>
      <c r="B86" s="104"/>
      <c r="C86" s="104"/>
      <c r="D86" s="100" t="s">
        <v>187</v>
      </c>
      <c r="E86" s="101">
        <v>2140.16</v>
      </c>
      <c r="F86" s="101">
        <v>2140.16</v>
      </c>
      <c r="G86" s="101">
        <v>2140.16</v>
      </c>
      <c r="H86" s="101">
        <v>2140.16</v>
      </c>
      <c r="I86" s="101">
        <v>2148.35</v>
      </c>
      <c r="J86" s="101">
        <v>2148.35</v>
      </c>
      <c r="K86" s="101">
        <v>2133.4299999999998</v>
      </c>
      <c r="L86" s="101">
        <v>2133.4299999999998</v>
      </c>
      <c r="M86" s="101">
        <v>2133.4299999999998</v>
      </c>
      <c r="N86" s="101">
        <v>2133.4299999999998</v>
      </c>
      <c r="O86" s="101">
        <v>2135.2600000000002</v>
      </c>
      <c r="P86" s="101">
        <v>2120.9699999999998</v>
      </c>
      <c r="Q86" s="101">
        <v>2115.89</v>
      </c>
      <c r="R86" s="321"/>
      <c r="S86" s="321"/>
      <c r="T86" s="324"/>
      <c r="U86" s="324"/>
      <c r="V86" s="326"/>
      <c r="W86" s="315"/>
      <c r="X86" s="318"/>
      <c r="Y86" s="329"/>
      <c r="Z86" s="221"/>
      <c r="AA86" s="102"/>
      <c r="AB86" s="102"/>
      <c r="AC86" s="102"/>
      <c r="AD86" s="103"/>
      <c r="AE86" s="103"/>
      <c r="AF86" s="103"/>
    </row>
    <row r="87" spans="1:32" ht="31.05" x14ac:dyDescent="0.35">
      <c r="A87" s="263"/>
      <c r="B87" s="99"/>
      <c r="C87" s="99"/>
      <c r="D87" s="100" t="s">
        <v>188</v>
      </c>
      <c r="E87" s="105">
        <f t="shared" ref="E87:Q87" si="26">IF(((E85="")*AND(E86="")),"",(E85-E86))</f>
        <v>342.86000000000013</v>
      </c>
      <c r="F87" s="105">
        <f t="shared" si="26"/>
        <v>323.55000000000018</v>
      </c>
      <c r="G87" s="105">
        <f t="shared" si="26"/>
        <v>317.53999999999996</v>
      </c>
      <c r="H87" s="105">
        <f t="shared" si="26"/>
        <v>308.68000000000029</v>
      </c>
      <c r="I87" s="105">
        <f t="shared" si="26"/>
        <v>325.23</v>
      </c>
      <c r="J87" s="105">
        <f t="shared" si="26"/>
        <v>351.51000000000022</v>
      </c>
      <c r="K87" s="105">
        <f t="shared" si="26"/>
        <v>407.74000000000024</v>
      </c>
      <c r="L87" s="105">
        <f t="shared" si="26"/>
        <v>345.83000000000038</v>
      </c>
      <c r="M87" s="105">
        <f t="shared" si="26"/>
        <v>335.10000000000036</v>
      </c>
      <c r="N87" s="105">
        <f t="shared" si="26"/>
        <v>324.72000000000025</v>
      </c>
      <c r="O87" s="105">
        <f t="shared" si="26"/>
        <v>351.67999999999984</v>
      </c>
      <c r="P87" s="105">
        <f t="shared" si="26"/>
        <v>350.37000000000035</v>
      </c>
      <c r="Q87" s="105">
        <f t="shared" si="26"/>
        <v>368.23</v>
      </c>
      <c r="R87" s="322"/>
      <c r="S87" s="322"/>
      <c r="T87" s="325"/>
      <c r="U87" s="325"/>
      <c r="V87" s="327"/>
      <c r="W87" s="316"/>
      <c r="X87" s="319"/>
      <c r="Y87" s="330"/>
      <c r="Z87" s="221"/>
      <c r="AA87" s="102"/>
      <c r="AB87" s="102"/>
      <c r="AC87" s="102"/>
      <c r="AD87" s="102"/>
      <c r="AE87" s="106"/>
      <c r="AF87" s="102"/>
    </row>
    <row r="88" spans="1:32" ht="15.55" x14ac:dyDescent="0.25">
      <c r="A88" s="264">
        <v>43234</v>
      </c>
      <c r="B88" s="99" t="s">
        <v>235</v>
      </c>
      <c r="C88" s="99" t="s">
        <v>232</v>
      </c>
      <c r="D88" s="100" t="s">
        <v>186</v>
      </c>
      <c r="E88" s="101">
        <v>2853.94</v>
      </c>
      <c r="F88" s="101">
        <v>2798.94</v>
      </c>
      <c r="G88" s="101">
        <v>2775.68</v>
      </c>
      <c r="H88" s="101">
        <v>2774.27</v>
      </c>
      <c r="I88" s="101">
        <v>2795.12</v>
      </c>
      <c r="J88" s="101">
        <v>2836.23</v>
      </c>
      <c r="K88" s="101">
        <v>2903.04</v>
      </c>
      <c r="L88" s="101">
        <v>2849.06</v>
      </c>
      <c r="M88" s="101">
        <v>2806.33</v>
      </c>
      <c r="N88" s="101">
        <v>2782.99</v>
      </c>
      <c r="O88" s="101">
        <v>2785.02</v>
      </c>
      <c r="P88" s="101">
        <v>2807.56</v>
      </c>
      <c r="Q88" s="101">
        <v>2862.77</v>
      </c>
      <c r="R88" s="320">
        <f>IF((Q89=""),"",MAX(E90:Q90))</f>
        <v>370.82000000000016</v>
      </c>
      <c r="S88" s="320">
        <f>IF(Q89="","",MIN(E90:Q90))</f>
        <v>317.82999999999993</v>
      </c>
      <c r="T88" s="323">
        <f>IF((Q90=""),"",AVERAGE(E90:Q90))</f>
        <v>341</v>
      </c>
      <c r="U88" s="323">
        <f>IF((Q89=""),"",(R88-S88)/(R88+S88)*100)</f>
        <v>7.6947651201626703</v>
      </c>
      <c r="V88" s="323">
        <f>STDEV(E90:Q90)</f>
        <v>19.144031707036095</v>
      </c>
      <c r="W88" s="314" t="str">
        <f>IF(Q89="","",IF(T88&gt;300,IF(U88&lt;14,IF(T88&lt;390,"Pass","Fail"),"Fail"),"Fail"))</f>
        <v>Pass</v>
      </c>
      <c r="X88" s="317">
        <v>1335</v>
      </c>
      <c r="Y88" s="328"/>
      <c r="Z88" s="221"/>
      <c r="AA88" s="102">
        <v>270</v>
      </c>
      <c r="AB88" s="102">
        <v>370</v>
      </c>
      <c r="AC88" s="102">
        <v>300</v>
      </c>
      <c r="AD88" s="103">
        <v>390</v>
      </c>
      <c r="AE88" s="103">
        <v>20</v>
      </c>
      <c r="AF88" s="103">
        <v>14</v>
      </c>
    </row>
    <row r="89" spans="1:32" ht="16.100000000000001" x14ac:dyDescent="0.35">
      <c r="A89" s="263"/>
      <c r="B89" s="104"/>
      <c r="C89" s="104"/>
      <c r="D89" s="100" t="s">
        <v>187</v>
      </c>
      <c r="E89" s="101">
        <v>2487.38</v>
      </c>
      <c r="F89" s="101">
        <v>2462.0100000000002</v>
      </c>
      <c r="G89" s="101">
        <v>2452.48</v>
      </c>
      <c r="H89" s="101">
        <v>2456.44</v>
      </c>
      <c r="I89" s="101">
        <v>2470.08</v>
      </c>
      <c r="J89" s="101">
        <v>2497.83</v>
      </c>
      <c r="K89" s="101">
        <v>2541.64</v>
      </c>
      <c r="L89" s="101">
        <v>2480.4899999999998</v>
      </c>
      <c r="M89" s="101">
        <v>2470.7600000000002</v>
      </c>
      <c r="N89" s="101">
        <v>2459.7399999999998</v>
      </c>
      <c r="O89" s="101">
        <v>2458.0300000000002</v>
      </c>
      <c r="P89" s="101">
        <v>2469.12</v>
      </c>
      <c r="Q89" s="101">
        <v>2491.9499999999998</v>
      </c>
      <c r="R89" s="321"/>
      <c r="S89" s="321"/>
      <c r="T89" s="324"/>
      <c r="U89" s="324"/>
      <c r="V89" s="326"/>
      <c r="W89" s="315"/>
      <c r="X89" s="318"/>
      <c r="Y89" s="329"/>
      <c r="Z89" s="221"/>
      <c r="AA89" s="102"/>
      <c r="AB89" s="102"/>
      <c r="AC89" s="102"/>
      <c r="AD89" s="103"/>
      <c r="AE89" s="103"/>
      <c r="AF89" s="103"/>
    </row>
    <row r="90" spans="1:32" ht="31.05" x14ac:dyDescent="0.35">
      <c r="A90" s="263"/>
      <c r="B90" s="99"/>
      <c r="C90" s="99"/>
      <c r="D90" s="100" t="s">
        <v>188</v>
      </c>
      <c r="E90" s="105">
        <f t="shared" ref="E90:Q90" si="27">IF(((E88="")*AND(E89="")),"",(E88-E89))</f>
        <v>366.55999999999995</v>
      </c>
      <c r="F90" s="105">
        <f t="shared" si="27"/>
        <v>336.92999999999984</v>
      </c>
      <c r="G90" s="105">
        <f t="shared" si="27"/>
        <v>323.19999999999982</v>
      </c>
      <c r="H90" s="105">
        <f t="shared" si="27"/>
        <v>317.82999999999993</v>
      </c>
      <c r="I90" s="105">
        <f t="shared" si="27"/>
        <v>325.03999999999996</v>
      </c>
      <c r="J90" s="105">
        <f t="shared" si="27"/>
        <v>338.40000000000009</v>
      </c>
      <c r="K90" s="105">
        <f t="shared" si="27"/>
        <v>361.40000000000009</v>
      </c>
      <c r="L90" s="105">
        <f t="shared" si="27"/>
        <v>368.57000000000016</v>
      </c>
      <c r="M90" s="105">
        <f t="shared" si="27"/>
        <v>335.56999999999971</v>
      </c>
      <c r="N90" s="105">
        <f t="shared" si="27"/>
        <v>323.25</v>
      </c>
      <c r="O90" s="105">
        <f t="shared" si="27"/>
        <v>326.98999999999978</v>
      </c>
      <c r="P90" s="105">
        <f t="shared" si="27"/>
        <v>338.44000000000005</v>
      </c>
      <c r="Q90" s="105">
        <f t="shared" si="27"/>
        <v>370.82000000000016</v>
      </c>
      <c r="R90" s="322"/>
      <c r="S90" s="322"/>
      <c r="T90" s="325"/>
      <c r="U90" s="325"/>
      <c r="V90" s="327"/>
      <c r="W90" s="316"/>
      <c r="X90" s="319"/>
      <c r="Y90" s="330"/>
      <c r="Z90" s="221"/>
      <c r="AA90" s="102"/>
      <c r="AB90" s="102"/>
      <c r="AC90" s="102"/>
      <c r="AD90" s="102"/>
      <c r="AE90" s="106"/>
      <c r="AF90" s="102"/>
    </row>
    <row r="91" spans="1:32" ht="15.55" x14ac:dyDescent="0.25">
      <c r="A91" s="264">
        <v>43237</v>
      </c>
      <c r="B91" s="99" t="s">
        <v>235</v>
      </c>
      <c r="C91" s="99" t="s">
        <v>232</v>
      </c>
      <c r="D91" s="100" t="s">
        <v>186</v>
      </c>
      <c r="E91" s="101">
        <v>2483</v>
      </c>
      <c r="F91" s="101">
        <v>2464</v>
      </c>
      <c r="G91" s="101">
        <v>2451</v>
      </c>
      <c r="H91" s="101">
        <v>2451</v>
      </c>
      <c r="I91" s="101">
        <v>2463</v>
      </c>
      <c r="J91" s="101">
        <v>2521</v>
      </c>
      <c r="K91" s="101">
        <v>2541</v>
      </c>
      <c r="L91" s="101">
        <v>2481</v>
      </c>
      <c r="M91" s="101">
        <v>2467</v>
      </c>
      <c r="N91" s="101">
        <v>2459</v>
      </c>
      <c r="O91" s="101">
        <v>2457</v>
      </c>
      <c r="P91" s="101">
        <v>2464</v>
      </c>
      <c r="Q91" s="101">
        <v>2490</v>
      </c>
      <c r="R91" s="320">
        <f>IF((Q92=""),"",MAX(E93:Q93))</f>
        <v>387</v>
      </c>
      <c r="S91" s="320">
        <f>IF(Q92="","",MIN(E93:Q93))</f>
        <v>337</v>
      </c>
      <c r="T91" s="323">
        <f>IF((Q93=""),"",AVERAGE(E93:Q93))</f>
        <v>361.15384615384613</v>
      </c>
      <c r="U91" s="323">
        <f>IF((Q92=""),"",(R91-S91)/(R91+S91)*100)</f>
        <v>6.9060773480662991</v>
      </c>
      <c r="V91" s="323">
        <f>STDEV(E93:Q93)</f>
        <v>20.210748600048415</v>
      </c>
      <c r="W91" s="314" t="str">
        <f>IF(Q92="","",IF(T91&gt;300,IF(U91&lt;14,IF(T91&lt;390,"Pass","Fail"),"Fail"),"Fail"))</f>
        <v>Pass</v>
      </c>
      <c r="X91" s="317">
        <v>121</v>
      </c>
      <c r="Y91" s="328"/>
      <c r="Z91" s="221"/>
      <c r="AA91" s="102">
        <v>270</v>
      </c>
      <c r="AB91" s="102">
        <v>370</v>
      </c>
      <c r="AC91" s="102">
        <v>300</v>
      </c>
      <c r="AD91" s="103">
        <v>390</v>
      </c>
      <c r="AE91" s="103">
        <v>20</v>
      </c>
      <c r="AF91" s="103">
        <v>14</v>
      </c>
    </row>
    <row r="92" spans="1:32" ht="16.100000000000001" x14ac:dyDescent="0.35">
      <c r="A92" s="263"/>
      <c r="B92" s="104"/>
      <c r="C92" s="104"/>
      <c r="D92" s="100" t="s">
        <v>187</v>
      </c>
      <c r="E92" s="101">
        <v>2101</v>
      </c>
      <c r="F92" s="101">
        <v>2104</v>
      </c>
      <c r="G92" s="101">
        <v>2109</v>
      </c>
      <c r="H92" s="101">
        <v>2114</v>
      </c>
      <c r="I92" s="101">
        <v>2126</v>
      </c>
      <c r="J92" s="101">
        <v>2139</v>
      </c>
      <c r="K92" s="101">
        <v>2156</v>
      </c>
      <c r="L92" s="101">
        <v>2096</v>
      </c>
      <c r="M92" s="101">
        <v>2113</v>
      </c>
      <c r="N92" s="101">
        <v>2116</v>
      </c>
      <c r="O92" s="101">
        <v>2113</v>
      </c>
      <c r="P92" s="101">
        <v>2107</v>
      </c>
      <c r="Q92" s="101">
        <v>2103</v>
      </c>
      <c r="R92" s="321"/>
      <c r="S92" s="321"/>
      <c r="T92" s="324"/>
      <c r="U92" s="324"/>
      <c r="V92" s="326"/>
      <c r="W92" s="315"/>
      <c r="X92" s="318"/>
      <c r="Y92" s="329"/>
      <c r="Z92" s="221"/>
      <c r="AA92" s="102"/>
      <c r="AB92" s="102"/>
      <c r="AC92" s="102"/>
      <c r="AD92" s="103"/>
      <c r="AE92" s="103"/>
      <c r="AF92" s="103"/>
    </row>
    <row r="93" spans="1:32" ht="31.05" x14ac:dyDescent="0.35">
      <c r="A93" s="263"/>
      <c r="B93" s="99"/>
      <c r="C93" s="99"/>
      <c r="D93" s="100" t="s">
        <v>188</v>
      </c>
      <c r="E93" s="105">
        <f t="shared" ref="E93:Q93" si="28">IF(((E91="")*AND(E92="")),"",(E91-E92))</f>
        <v>382</v>
      </c>
      <c r="F93" s="105">
        <f t="shared" si="28"/>
        <v>360</v>
      </c>
      <c r="G93" s="105">
        <f t="shared" si="28"/>
        <v>342</v>
      </c>
      <c r="H93" s="105">
        <f t="shared" si="28"/>
        <v>337</v>
      </c>
      <c r="I93" s="105">
        <f t="shared" si="28"/>
        <v>337</v>
      </c>
      <c r="J93" s="105">
        <f t="shared" si="28"/>
        <v>382</v>
      </c>
      <c r="K93" s="105">
        <f t="shared" si="28"/>
        <v>385</v>
      </c>
      <c r="L93" s="105">
        <f t="shared" si="28"/>
        <v>385</v>
      </c>
      <c r="M93" s="105">
        <f t="shared" si="28"/>
        <v>354</v>
      </c>
      <c r="N93" s="105">
        <f t="shared" si="28"/>
        <v>343</v>
      </c>
      <c r="O93" s="105">
        <f t="shared" si="28"/>
        <v>344</v>
      </c>
      <c r="P93" s="105">
        <f t="shared" si="28"/>
        <v>357</v>
      </c>
      <c r="Q93" s="105">
        <f t="shared" si="28"/>
        <v>387</v>
      </c>
      <c r="R93" s="322"/>
      <c r="S93" s="322"/>
      <c r="T93" s="325"/>
      <c r="U93" s="325"/>
      <c r="V93" s="327"/>
      <c r="W93" s="316"/>
      <c r="X93" s="319"/>
      <c r="Y93" s="330"/>
      <c r="Z93" s="221"/>
      <c r="AA93" s="102"/>
      <c r="AB93" s="102"/>
      <c r="AC93" s="102"/>
      <c r="AD93" s="102"/>
      <c r="AE93" s="106"/>
      <c r="AF93" s="102"/>
    </row>
    <row r="94" spans="1:32" ht="15.55" x14ac:dyDescent="0.25">
      <c r="A94" s="264">
        <v>43237</v>
      </c>
      <c r="B94" s="99" t="s">
        <v>235</v>
      </c>
      <c r="C94" s="99" t="s">
        <v>232</v>
      </c>
      <c r="D94" s="100" t="s">
        <v>186</v>
      </c>
      <c r="E94" s="101">
        <v>2816.27</v>
      </c>
      <c r="F94" s="101">
        <v>2767.7</v>
      </c>
      <c r="G94" s="101">
        <v>2738.39</v>
      </c>
      <c r="H94" s="101">
        <v>2728.39</v>
      </c>
      <c r="I94" s="101">
        <v>2737.31</v>
      </c>
      <c r="J94" s="101">
        <v>2771.33</v>
      </c>
      <c r="K94" s="101">
        <v>2816.42</v>
      </c>
      <c r="L94" s="101">
        <v>2821.98</v>
      </c>
      <c r="M94" s="101">
        <v>2758.84</v>
      </c>
      <c r="N94" s="101">
        <v>2731.89</v>
      </c>
      <c r="O94" s="101">
        <v>2752.82</v>
      </c>
      <c r="P94" s="101">
        <v>2796.06</v>
      </c>
      <c r="Q94" s="101">
        <v>2877.22</v>
      </c>
      <c r="R94" s="320">
        <f>IF((Q95=""),"",MAX(E96:Q96))</f>
        <v>369.59999999999991</v>
      </c>
      <c r="S94" s="320">
        <f>IF(Q95="","",MIN(E96:Q96))</f>
        <v>322.44999999999982</v>
      </c>
      <c r="T94" s="323">
        <f>IF((Q96=""),"",AVERAGE(E96:Q96))</f>
        <v>344.60615384615386</v>
      </c>
      <c r="U94" s="323">
        <f>IF((Q95=""),"",(R94-S94)/(R94+S94)*100)</f>
        <v>6.8130915396286555</v>
      </c>
      <c r="V94" s="323">
        <f>STDEV(E96:Q96)</f>
        <v>17.350102563799453</v>
      </c>
      <c r="W94" s="314" t="str">
        <f>IF(Q95="","",IF(T94&gt;300,IF(U94&lt;14,IF(T94&lt;390,"Pass","Fail"),"Fail"),"Fail"))</f>
        <v>Pass</v>
      </c>
      <c r="X94" s="317">
        <v>102</v>
      </c>
      <c r="Y94" s="328"/>
      <c r="Z94" s="221"/>
      <c r="AA94" s="102">
        <v>270</v>
      </c>
      <c r="AB94" s="102">
        <v>370</v>
      </c>
      <c r="AC94" s="102">
        <v>300</v>
      </c>
      <c r="AD94" s="103">
        <v>390</v>
      </c>
      <c r="AE94" s="103">
        <v>20</v>
      </c>
      <c r="AF94" s="103">
        <v>14</v>
      </c>
    </row>
    <row r="95" spans="1:32" ht="16.100000000000001" x14ac:dyDescent="0.35">
      <c r="A95" s="263"/>
      <c r="B95" s="104"/>
      <c r="C95" s="104"/>
      <c r="D95" s="100" t="s">
        <v>187</v>
      </c>
      <c r="E95" s="101">
        <v>2449.66</v>
      </c>
      <c r="F95" s="101">
        <v>2422.61</v>
      </c>
      <c r="G95" s="101">
        <v>2410.69</v>
      </c>
      <c r="H95" s="101">
        <v>2405.94</v>
      </c>
      <c r="I95" s="101">
        <v>2410.04</v>
      </c>
      <c r="J95" s="101">
        <v>2425.67</v>
      </c>
      <c r="K95" s="101">
        <v>2449.85</v>
      </c>
      <c r="L95" s="101">
        <v>2452.38</v>
      </c>
      <c r="M95" s="101">
        <v>2415.6</v>
      </c>
      <c r="N95" s="101">
        <v>2403.16</v>
      </c>
      <c r="O95" s="101">
        <v>2423.44</v>
      </c>
      <c r="P95" s="101">
        <v>2454.27</v>
      </c>
      <c r="Q95" s="101">
        <v>2511.4299999999998</v>
      </c>
      <c r="R95" s="321"/>
      <c r="S95" s="321"/>
      <c r="T95" s="324"/>
      <c r="U95" s="324"/>
      <c r="V95" s="326"/>
      <c r="W95" s="315"/>
      <c r="X95" s="318"/>
      <c r="Y95" s="329"/>
      <c r="Z95" s="221"/>
      <c r="AA95" s="102"/>
      <c r="AB95" s="102"/>
      <c r="AC95" s="102"/>
      <c r="AD95" s="103"/>
      <c r="AE95" s="103"/>
      <c r="AF95" s="103"/>
    </row>
    <row r="96" spans="1:32" ht="31.05" x14ac:dyDescent="0.35">
      <c r="A96" s="263"/>
      <c r="B96" s="99"/>
      <c r="C96" s="99"/>
      <c r="D96" s="100" t="s">
        <v>188</v>
      </c>
      <c r="E96" s="105">
        <f t="shared" ref="E96:Q96" si="29">IF(((E94="")*AND(E95="")),"",(E94-E95))</f>
        <v>366.61000000000013</v>
      </c>
      <c r="F96" s="105">
        <f t="shared" si="29"/>
        <v>345.08999999999969</v>
      </c>
      <c r="G96" s="105">
        <f t="shared" si="29"/>
        <v>327.69999999999982</v>
      </c>
      <c r="H96" s="105">
        <f t="shared" si="29"/>
        <v>322.44999999999982</v>
      </c>
      <c r="I96" s="105">
        <f t="shared" si="29"/>
        <v>327.27</v>
      </c>
      <c r="J96" s="105">
        <f t="shared" si="29"/>
        <v>345.65999999999985</v>
      </c>
      <c r="K96" s="105">
        <f t="shared" si="29"/>
        <v>366.57000000000016</v>
      </c>
      <c r="L96" s="105">
        <f t="shared" si="29"/>
        <v>369.59999999999991</v>
      </c>
      <c r="M96" s="105">
        <f t="shared" si="29"/>
        <v>343.24000000000024</v>
      </c>
      <c r="N96" s="105">
        <f t="shared" si="29"/>
        <v>328.73</v>
      </c>
      <c r="O96" s="105">
        <f t="shared" si="29"/>
        <v>329.38000000000011</v>
      </c>
      <c r="P96" s="105">
        <f t="shared" si="29"/>
        <v>341.78999999999996</v>
      </c>
      <c r="Q96" s="105">
        <f t="shared" si="29"/>
        <v>365.78999999999996</v>
      </c>
      <c r="R96" s="322"/>
      <c r="S96" s="322"/>
      <c r="T96" s="325"/>
      <c r="U96" s="325"/>
      <c r="V96" s="327"/>
      <c r="W96" s="316"/>
      <c r="X96" s="319"/>
      <c r="Y96" s="330"/>
      <c r="Z96" s="221"/>
      <c r="AA96" s="102"/>
      <c r="AB96" s="102"/>
      <c r="AC96" s="102"/>
      <c r="AD96" s="102"/>
      <c r="AE96" s="106"/>
      <c r="AF96" s="102"/>
    </row>
    <row r="97" spans="1:32" ht="15.55" x14ac:dyDescent="0.25">
      <c r="A97" s="264">
        <v>43244</v>
      </c>
      <c r="B97" s="99" t="s">
        <v>235</v>
      </c>
      <c r="C97" s="99" t="s">
        <v>232</v>
      </c>
      <c r="D97" s="100" t="s">
        <v>186</v>
      </c>
      <c r="E97" s="101">
        <v>2454.2399999999998</v>
      </c>
      <c r="F97" s="101">
        <v>2425.66</v>
      </c>
      <c r="G97" s="101">
        <v>2412.91</v>
      </c>
      <c r="H97" s="101">
        <v>2410.14</v>
      </c>
      <c r="I97" s="101">
        <v>2415.44</v>
      </c>
      <c r="J97" s="101">
        <v>2429.06</v>
      </c>
      <c r="K97" s="101">
        <v>2456.94</v>
      </c>
      <c r="L97" s="101">
        <v>2456.66</v>
      </c>
      <c r="M97" s="101">
        <v>2421.34</v>
      </c>
      <c r="N97" s="101">
        <v>2407.02</v>
      </c>
      <c r="O97" s="101">
        <v>2429.2199999999998</v>
      </c>
      <c r="P97" s="101">
        <v>2456.61</v>
      </c>
      <c r="Q97" s="101">
        <v>2431.27</v>
      </c>
      <c r="R97" s="320">
        <f>IF((Q98=""),"",MAX(E99:Q99))</f>
        <v>400.32999999999993</v>
      </c>
      <c r="S97" s="320">
        <f>IF(Q98="","",MIN(E99:Q99))</f>
        <v>308.21000000000004</v>
      </c>
      <c r="T97" s="323">
        <f>IF((Q99=""),"",AVERAGE(E99:Q99))</f>
        <v>349.48461538461532</v>
      </c>
      <c r="U97" s="323">
        <f>IF((Q98=""),"",(R97-S97)/(R97+S97)*100)</f>
        <v>13.001383125864438</v>
      </c>
      <c r="V97" s="323">
        <f>STDEV(E99:Q99)</f>
        <v>31.272820365130791</v>
      </c>
      <c r="W97" s="314" t="str">
        <f>IF(Q98="","",IF(T97&gt;300,IF(U97&lt;14,IF(T97&lt;390,"Pass","Fail"),"Fail"),"Fail"))</f>
        <v>Pass</v>
      </c>
      <c r="X97" s="317">
        <v>1159</v>
      </c>
      <c r="Y97" s="227" t="s">
        <v>195</v>
      </c>
      <c r="Z97" s="221"/>
      <c r="AA97" s="102">
        <v>270</v>
      </c>
      <c r="AB97" s="102">
        <v>370</v>
      </c>
      <c r="AC97" s="102">
        <v>300</v>
      </c>
      <c r="AD97" s="103">
        <v>390</v>
      </c>
      <c r="AE97" s="103">
        <v>20</v>
      </c>
      <c r="AF97" s="103">
        <v>14</v>
      </c>
    </row>
    <row r="98" spans="1:32" ht="16.100000000000001" x14ac:dyDescent="0.35">
      <c r="A98" s="263"/>
      <c r="B98" s="104"/>
      <c r="C98" s="104"/>
      <c r="D98" s="100" t="s">
        <v>187</v>
      </c>
      <c r="E98" s="101">
        <v>2056.42</v>
      </c>
      <c r="F98" s="101">
        <v>2056.73</v>
      </c>
      <c r="G98" s="101">
        <v>2066.9</v>
      </c>
      <c r="H98" s="101">
        <v>2096.84</v>
      </c>
      <c r="I98" s="101">
        <v>2084.62</v>
      </c>
      <c r="J98" s="101">
        <v>2106.84</v>
      </c>
      <c r="K98" s="101">
        <v>2117.42</v>
      </c>
      <c r="L98" s="101">
        <v>2099.5300000000002</v>
      </c>
      <c r="M98" s="101">
        <v>2105.2399999999998</v>
      </c>
      <c r="N98" s="101">
        <v>2098.81</v>
      </c>
      <c r="O98" s="101">
        <v>2064.16</v>
      </c>
      <c r="P98" s="101">
        <v>2056.2800000000002</v>
      </c>
      <c r="Q98" s="101">
        <v>2053.42</v>
      </c>
      <c r="R98" s="321"/>
      <c r="S98" s="321"/>
      <c r="T98" s="324"/>
      <c r="U98" s="324"/>
      <c r="V98" s="326"/>
      <c r="W98" s="315"/>
      <c r="X98" s="318"/>
      <c r="Y98" s="224"/>
      <c r="Z98" s="221"/>
      <c r="AA98" s="102"/>
      <c r="AB98" s="102"/>
      <c r="AC98" s="102"/>
      <c r="AD98" s="103"/>
      <c r="AE98" s="103"/>
      <c r="AF98" s="103"/>
    </row>
    <row r="99" spans="1:32" ht="62.2" customHeight="1" x14ac:dyDescent="0.35">
      <c r="A99" s="263"/>
      <c r="B99" s="99"/>
      <c r="C99" s="99"/>
      <c r="D99" s="100" t="s">
        <v>188</v>
      </c>
      <c r="E99" s="105">
        <f t="shared" ref="E99:Q99" si="30">IF(((E97="")*AND(E98="")),"",(E97-E98))</f>
        <v>397.81999999999971</v>
      </c>
      <c r="F99" s="105">
        <f t="shared" si="30"/>
        <v>368.92999999999984</v>
      </c>
      <c r="G99" s="105">
        <f t="shared" si="30"/>
        <v>346.00999999999976</v>
      </c>
      <c r="H99" s="105">
        <f t="shared" si="30"/>
        <v>313.29999999999973</v>
      </c>
      <c r="I99" s="105">
        <f t="shared" si="30"/>
        <v>330.82000000000016</v>
      </c>
      <c r="J99" s="105">
        <f t="shared" si="30"/>
        <v>322.2199999999998</v>
      </c>
      <c r="K99" s="105">
        <f t="shared" si="30"/>
        <v>339.52</v>
      </c>
      <c r="L99" s="105">
        <f t="shared" si="30"/>
        <v>357.12999999999965</v>
      </c>
      <c r="M99" s="105">
        <f t="shared" si="30"/>
        <v>316.10000000000036</v>
      </c>
      <c r="N99" s="105">
        <f t="shared" si="30"/>
        <v>308.21000000000004</v>
      </c>
      <c r="O99" s="105">
        <f t="shared" si="30"/>
        <v>365.05999999999995</v>
      </c>
      <c r="P99" s="105">
        <f t="shared" si="30"/>
        <v>400.32999999999993</v>
      </c>
      <c r="Q99" s="105">
        <f t="shared" si="30"/>
        <v>377.84999999999991</v>
      </c>
      <c r="R99" s="322"/>
      <c r="S99" s="322"/>
      <c r="T99" s="325"/>
      <c r="U99" s="325"/>
      <c r="V99" s="327"/>
      <c r="W99" s="316"/>
      <c r="X99" s="319"/>
      <c r="Y99" s="225"/>
      <c r="Z99" s="221"/>
      <c r="AA99" s="102"/>
      <c r="AB99" s="102"/>
      <c r="AC99" s="102"/>
      <c r="AD99" s="102"/>
      <c r="AE99" s="106"/>
      <c r="AF99" s="102"/>
    </row>
    <row r="100" spans="1:32" ht="15.55" x14ac:dyDescent="0.25">
      <c r="A100" s="264">
        <v>43248</v>
      </c>
      <c r="B100" s="99" t="s">
        <v>235</v>
      </c>
      <c r="C100" s="99" t="s">
        <v>232</v>
      </c>
      <c r="D100" s="100" t="s">
        <v>186</v>
      </c>
      <c r="E100" s="101">
        <v>1998.15</v>
      </c>
      <c r="F100" s="101">
        <v>2003.11</v>
      </c>
      <c r="G100" s="101">
        <v>2010.73</v>
      </c>
      <c r="H100" s="101">
        <v>2016.15</v>
      </c>
      <c r="I100" s="101">
        <v>2023.2</v>
      </c>
      <c r="J100" s="101">
        <v>2028.97</v>
      </c>
      <c r="K100" s="101">
        <v>2038.15</v>
      </c>
      <c r="L100" s="101">
        <v>2032.2</v>
      </c>
      <c r="M100" s="101">
        <v>2025.52</v>
      </c>
      <c r="N100" s="101">
        <v>2020.36</v>
      </c>
      <c r="O100" s="101">
        <v>2047.79</v>
      </c>
      <c r="P100" s="101">
        <v>2041.3</v>
      </c>
      <c r="Q100" s="101">
        <v>2074.39</v>
      </c>
      <c r="R100" s="320">
        <f>IF((Q101=""),"",MAX(E102:Q102))</f>
        <v>357.78</v>
      </c>
      <c r="S100" s="320">
        <f>IF(Q101="","",MIN(E102:Q102))</f>
        <v>281.08999999999992</v>
      </c>
      <c r="T100" s="323">
        <f>IF((Q102=""),"",AVERAGE(E102:Q102))</f>
        <v>314.34999999999997</v>
      </c>
      <c r="U100" s="323">
        <f>IF((Q101=""),"",(R100-S100)/(R100+S100)*100)</f>
        <v>12.004007074991794</v>
      </c>
      <c r="V100" s="323">
        <f>STDEV(E102:Q102)</f>
        <v>23.721760404039721</v>
      </c>
      <c r="W100" s="314" t="str">
        <f>IF(Q101="","",IF(T100&gt;300,IF(U100&lt;14,IF(T100&lt;390,"Pass","Fail"),"Fail"),"Fail"))</f>
        <v>Pass</v>
      </c>
      <c r="X100" s="317">
        <v>1428</v>
      </c>
      <c r="Y100" s="227" t="s">
        <v>238</v>
      </c>
      <c r="Z100" s="221"/>
      <c r="AA100" s="102">
        <v>270</v>
      </c>
      <c r="AB100" s="102">
        <v>370</v>
      </c>
      <c r="AC100" s="102">
        <v>300</v>
      </c>
      <c r="AD100" s="103">
        <v>390</v>
      </c>
      <c r="AE100" s="103">
        <v>20</v>
      </c>
      <c r="AF100" s="103">
        <v>14</v>
      </c>
    </row>
    <row r="101" spans="1:32" ht="16.100000000000001" x14ac:dyDescent="0.35">
      <c r="A101" s="263"/>
      <c r="B101" s="104"/>
      <c r="C101" s="104"/>
      <c r="D101" s="100" t="s">
        <v>187</v>
      </c>
      <c r="E101" s="101">
        <v>1675.96</v>
      </c>
      <c r="F101" s="101">
        <v>1706.33</v>
      </c>
      <c r="G101" s="101">
        <v>1729.64</v>
      </c>
      <c r="H101" s="101">
        <v>1730.09</v>
      </c>
      <c r="I101" s="101">
        <v>1726.99</v>
      </c>
      <c r="J101" s="101">
        <v>1711.87</v>
      </c>
      <c r="K101" s="101">
        <v>1683.97</v>
      </c>
      <c r="L101" s="101">
        <v>1674.42</v>
      </c>
      <c r="M101" s="101">
        <v>1707.89</v>
      </c>
      <c r="N101" s="101">
        <v>1721.2</v>
      </c>
      <c r="O101" s="101">
        <v>1740.64</v>
      </c>
      <c r="P101" s="101">
        <v>1723.43</v>
      </c>
      <c r="Q101" s="101">
        <v>1741.04</v>
      </c>
      <c r="R101" s="321"/>
      <c r="S101" s="321"/>
      <c r="T101" s="324"/>
      <c r="U101" s="324"/>
      <c r="V101" s="326"/>
      <c r="W101" s="315"/>
      <c r="X101" s="318"/>
      <c r="Y101" s="224"/>
      <c r="Z101" s="221"/>
      <c r="AA101" s="102"/>
      <c r="AB101" s="102"/>
      <c r="AC101" s="102"/>
      <c r="AD101" s="103"/>
      <c r="AE101" s="103"/>
      <c r="AF101" s="103"/>
    </row>
    <row r="102" spans="1:32" ht="31.05" x14ac:dyDescent="0.35">
      <c r="A102" s="263"/>
      <c r="B102" s="99"/>
      <c r="C102" s="99"/>
      <c r="D102" s="100" t="s">
        <v>188</v>
      </c>
      <c r="E102" s="105">
        <f t="shared" ref="E102:Q102" si="31">IF(((E100="")*AND(E101="")),"",(E100-E101))</f>
        <v>322.19000000000005</v>
      </c>
      <c r="F102" s="105">
        <f t="shared" si="31"/>
        <v>296.77999999999997</v>
      </c>
      <c r="G102" s="105">
        <f t="shared" si="31"/>
        <v>281.08999999999992</v>
      </c>
      <c r="H102" s="105">
        <f t="shared" si="31"/>
        <v>286.06000000000017</v>
      </c>
      <c r="I102" s="105">
        <f t="shared" si="31"/>
        <v>296.21000000000004</v>
      </c>
      <c r="J102" s="105">
        <f t="shared" si="31"/>
        <v>317.10000000000014</v>
      </c>
      <c r="K102" s="105">
        <f t="shared" si="31"/>
        <v>354.18000000000006</v>
      </c>
      <c r="L102" s="105">
        <f t="shared" si="31"/>
        <v>357.78</v>
      </c>
      <c r="M102" s="105">
        <f t="shared" si="31"/>
        <v>317.62999999999988</v>
      </c>
      <c r="N102" s="105">
        <f t="shared" si="31"/>
        <v>299.15999999999985</v>
      </c>
      <c r="O102" s="105">
        <f t="shared" si="31"/>
        <v>307.14999999999986</v>
      </c>
      <c r="P102" s="105">
        <f t="shared" si="31"/>
        <v>317.86999999999989</v>
      </c>
      <c r="Q102" s="105">
        <f t="shared" si="31"/>
        <v>333.34999999999991</v>
      </c>
      <c r="R102" s="322"/>
      <c r="S102" s="322"/>
      <c r="T102" s="325"/>
      <c r="U102" s="325"/>
      <c r="V102" s="327"/>
      <c r="W102" s="316"/>
      <c r="X102" s="319"/>
      <c r="Y102" s="225"/>
      <c r="Z102" s="221"/>
      <c r="AA102" s="102"/>
      <c r="AB102" s="102"/>
      <c r="AC102" s="102"/>
      <c r="AD102" s="102"/>
      <c r="AE102" s="106"/>
      <c r="AF102" s="102"/>
    </row>
    <row r="103" spans="1:32" ht="15.55" x14ac:dyDescent="0.25">
      <c r="A103" s="264">
        <v>43252</v>
      </c>
      <c r="B103" s="99" t="s">
        <v>235</v>
      </c>
      <c r="C103" s="99" t="s">
        <v>232</v>
      </c>
      <c r="D103" s="100" t="s">
        <v>186</v>
      </c>
      <c r="E103" s="101">
        <v>1675.96</v>
      </c>
      <c r="F103" s="101">
        <v>1706.33</v>
      </c>
      <c r="G103" s="101">
        <v>1729.64</v>
      </c>
      <c r="H103" s="101">
        <v>1730.09</v>
      </c>
      <c r="I103" s="101">
        <v>1726.99</v>
      </c>
      <c r="J103" s="101">
        <v>1711.87</v>
      </c>
      <c r="K103" s="101">
        <v>1683.97</v>
      </c>
      <c r="L103" s="101">
        <v>1674.42</v>
      </c>
      <c r="M103" s="101">
        <v>1707.89</v>
      </c>
      <c r="N103" s="101">
        <v>1721.2</v>
      </c>
      <c r="O103" s="101">
        <v>1740.64</v>
      </c>
      <c r="P103" s="101">
        <v>1723.43</v>
      </c>
      <c r="Q103" s="101">
        <v>1741.04</v>
      </c>
      <c r="R103" s="320">
        <f>IF((Q104=""),"",MAX(E105:Q105))</f>
        <v>386.59999999999991</v>
      </c>
      <c r="S103" s="320">
        <f>IF(Q104="","",MIN(E105:Q105))</f>
        <v>293.62000000000012</v>
      </c>
      <c r="T103" s="323">
        <f>IF((Q105=""),"",AVERAGE(E105:Q105))</f>
        <v>334.19153846153847</v>
      </c>
      <c r="U103" s="323">
        <f>IF((Q104=""),"",(R103-S103)/(R103+S103)*100)</f>
        <v>13.669107053600275</v>
      </c>
      <c r="V103" s="323">
        <f>STDEV(E105:Q105)</f>
        <v>33.561055765612657</v>
      </c>
      <c r="W103" s="314" t="str">
        <f>IF(Q104="","",IF(T103&gt;300,IF(U103&lt;14,IF(T103&lt;390,"Pass","Fail"),"Fail"),"Fail"))</f>
        <v>Pass</v>
      </c>
      <c r="X103" s="317">
        <v>1428</v>
      </c>
      <c r="Y103" s="328"/>
      <c r="Z103" s="221"/>
      <c r="AA103" s="102">
        <v>270</v>
      </c>
      <c r="AB103" s="102">
        <v>370</v>
      </c>
      <c r="AC103" s="102">
        <v>300</v>
      </c>
      <c r="AD103" s="103">
        <v>390</v>
      </c>
      <c r="AE103" s="103">
        <v>20</v>
      </c>
      <c r="AF103" s="103">
        <v>14</v>
      </c>
    </row>
    <row r="104" spans="1:32" ht="16.100000000000001" x14ac:dyDescent="0.35">
      <c r="A104" s="263"/>
      <c r="B104" s="104"/>
      <c r="C104" s="104"/>
      <c r="D104" s="100" t="s">
        <v>187</v>
      </c>
      <c r="E104" s="101">
        <v>1291.8499999999999</v>
      </c>
      <c r="F104" s="101">
        <v>1376.49</v>
      </c>
      <c r="G104" s="101">
        <v>1415.57</v>
      </c>
      <c r="H104" s="101">
        <v>1425.23</v>
      </c>
      <c r="I104" s="101">
        <v>1433.37</v>
      </c>
      <c r="J104" s="101">
        <v>1382.6</v>
      </c>
      <c r="K104" s="101">
        <v>1307.19</v>
      </c>
      <c r="L104" s="101">
        <v>1302.06</v>
      </c>
      <c r="M104" s="101">
        <v>1383.37</v>
      </c>
      <c r="N104" s="101">
        <v>1410.61</v>
      </c>
      <c r="O104" s="101">
        <v>1439.65</v>
      </c>
      <c r="P104" s="101">
        <v>1406.55</v>
      </c>
      <c r="Q104" s="101">
        <v>1354.44</v>
      </c>
      <c r="R104" s="321"/>
      <c r="S104" s="321"/>
      <c r="T104" s="324"/>
      <c r="U104" s="324"/>
      <c r="V104" s="326"/>
      <c r="W104" s="315"/>
      <c r="X104" s="318"/>
      <c r="Y104" s="329"/>
      <c r="Z104" s="221"/>
      <c r="AA104" s="102"/>
      <c r="AB104" s="102"/>
      <c r="AC104" s="102"/>
      <c r="AD104" s="103"/>
      <c r="AE104" s="103"/>
      <c r="AF104" s="103"/>
    </row>
    <row r="105" spans="1:32" ht="31.05" x14ac:dyDescent="0.35">
      <c r="A105" s="263"/>
      <c r="B105" s="99"/>
      <c r="C105" s="99"/>
      <c r="D105" s="100" t="s">
        <v>188</v>
      </c>
      <c r="E105" s="105">
        <f t="shared" ref="E105:Q105" si="32">IF(((E103="")*AND(E104="")),"",(E103-E104))</f>
        <v>384.11000000000013</v>
      </c>
      <c r="F105" s="105">
        <f t="shared" si="32"/>
        <v>329.83999999999992</v>
      </c>
      <c r="G105" s="105">
        <f t="shared" si="32"/>
        <v>314.07000000000016</v>
      </c>
      <c r="H105" s="105">
        <f t="shared" si="32"/>
        <v>304.8599999999999</v>
      </c>
      <c r="I105" s="105">
        <f t="shared" si="32"/>
        <v>293.62000000000012</v>
      </c>
      <c r="J105" s="105">
        <f t="shared" si="32"/>
        <v>329.27</v>
      </c>
      <c r="K105" s="105">
        <f t="shared" si="32"/>
        <v>376.78</v>
      </c>
      <c r="L105" s="105">
        <f t="shared" si="32"/>
        <v>372.36000000000013</v>
      </c>
      <c r="M105" s="105">
        <f t="shared" si="32"/>
        <v>324.52000000000021</v>
      </c>
      <c r="N105" s="105">
        <f t="shared" si="32"/>
        <v>310.59000000000015</v>
      </c>
      <c r="O105" s="105">
        <f t="shared" si="32"/>
        <v>300.99</v>
      </c>
      <c r="P105" s="105">
        <f t="shared" si="32"/>
        <v>316.88000000000011</v>
      </c>
      <c r="Q105" s="105">
        <f t="shared" si="32"/>
        <v>386.59999999999991</v>
      </c>
      <c r="R105" s="322"/>
      <c r="S105" s="322"/>
      <c r="T105" s="325"/>
      <c r="U105" s="325"/>
      <c r="V105" s="327"/>
      <c r="W105" s="316"/>
      <c r="X105" s="319"/>
      <c r="Y105" s="330"/>
      <c r="Z105" s="221"/>
      <c r="AA105" s="102"/>
      <c r="AB105" s="102"/>
      <c r="AC105" s="102"/>
      <c r="AD105" s="102"/>
      <c r="AE105" s="106"/>
      <c r="AF105" s="102"/>
    </row>
    <row r="106" spans="1:32" ht="15.55" x14ac:dyDescent="0.25">
      <c r="A106" s="264">
        <v>43256</v>
      </c>
      <c r="B106" s="99" t="s">
        <v>235</v>
      </c>
      <c r="C106" s="99" t="s">
        <v>232</v>
      </c>
      <c r="D106" s="100" t="s">
        <v>186</v>
      </c>
      <c r="E106" s="101">
        <v>2882.42</v>
      </c>
      <c r="F106" s="101">
        <v>2814.92</v>
      </c>
      <c r="G106" s="101">
        <v>2776.79</v>
      </c>
      <c r="H106" s="101">
        <v>2760.88</v>
      </c>
      <c r="I106" s="101">
        <v>2763.89</v>
      </c>
      <c r="J106" s="101">
        <v>2787.91</v>
      </c>
      <c r="K106" s="101">
        <v>2829.56</v>
      </c>
      <c r="L106" s="101">
        <v>2832.26</v>
      </c>
      <c r="M106" s="101">
        <v>2786.14</v>
      </c>
      <c r="N106" s="101">
        <v>2765.23</v>
      </c>
      <c r="O106" s="101">
        <v>2777.05</v>
      </c>
      <c r="P106" s="101">
        <v>2817.9</v>
      </c>
      <c r="Q106" s="101">
        <v>2891.57</v>
      </c>
      <c r="R106" s="320">
        <f>IF((Q107=""),"",MAX(E108:Q108))</f>
        <v>381.46000000000004</v>
      </c>
      <c r="S106" s="320">
        <f>IF(Q107="","",MIN(E108:Q108))</f>
        <v>322.05999999999995</v>
      </c>
      <c r="T106" s="323">
        <f>IF((Q108=""),"",AVERAGE(E108:Q108))</f>
        <v>344.30000000000007</v>
      </c>
      <c r="U106" s="323">
        <f>IF((Q107=""),"",(R106-S106)/(R106+S106)*100)</f>
        <v>8.4432567659768161</v>
      </c>
      <c r="V106" s="323">
        <f>STDEV(E108:Q108)</f>
        <v>23.338256861499641</v>
      </c>
      <c r="W106" s="314" t="str">
        <f>IF(Q107="","",IF(T106&gt;300,IF(U106&lt;14,IF(T106&lt;390,"Pass","Fail"),"Fail"),"Fail"))</f>
        <v>Pass</v>
      </c>
      <c r="X106" s="317">
        <v>1335</v>
      </c>
      <c r="Y106" s="328"/>
      <c r="Z106" s="221"/>
      <c r="AA106" s="102">
        <v>270</v>
      </c>
      <c r="AB106" s="102">
        <v>370</v>
      </c>
      <c r="AC106" s="102">
        <v>300</v>
      </c>
      <c r="AD106" s="103">
        <v>390</v>
      </c>
      <c r="AE106" s="103">
        <v>20</v>
      </c>
      <c r="AF106" s="103">
        <v>14</v>
      </c>
    </row>
    <row r="107" spans="1:32" ht="16.100000000000001" x14ac:dyDescent="0.35">
      <c r="A107" s="263"/>
      <c r="B107" s="104"/>
      <c r="C107" s="104"/>
      <c r="D107" s="100" t="s">
        <v>187</v>
      </c>
      <c r="E107" s="101">
        <v>2505.98</v>
      </c>
      <c r="F107" s="101">
        <v>2476.21</v>
      </c>
      <c r="G107" s="101">
        <v>2452.25</v>
      </c>
      <c r="H107" s="101">
        <v>2438.5700000000002</v>
      </c>
      <c r="I107" s="101">
        <v>2441.83</v>
      </c>
      <c r="J107" s="101">
        <v>2451.5100000000002</v>
      </c>
      <c r="K107" s="101">
        <v>2451.79</v>
      </c>
      <c r="L107" s="101">
        <v>2460.7199999999998</v>
      </c>
      <c r="M107" s="101">
        <v>2452.41</v>
      </c>
      <c r="N107" s="101">
        <v>2438.87</v>
      </c>
      <c r="O107" s="101">
        <v>2450.91</v>
      </c>
      <c r="P107" s="101">
        <v>2479.46</v>
      </c>
      <c r="Q107" s="101">
        <v>2510.11</v>
      </c>
      <c r="R107" s="321"/>
      <c r="S107" s="321"/>
      <c r="T107" s="324"/>
      <c r="U107" s="324"/>
      <c r="V107" s="326"/>
      <c r="W107" s="315"/>
      <c r="X107" s="318"/>
      <c r="Y107" s="329"/>
      <c r="Z107" s="221"/>
      <c r="AA107" s="102"/>
      <c r="AB107" s="102"/>
      <c r="AC107" s="102"/>
      <c r="AD107" s="103"/>
      <c r="AE107" s="103"/>
      <c r="AF107" s="103"/>
    </row>
    <row r="108" spans="1:32" ht="31.05" x14ac:dyDescent="0.35">
      <c r="A108" s="263"/>
      <c r="B108" s="99"/>
      <c r="C108" s="99"/>
      <c r="D108" s="100" t="s">
        <v>188</v>
      </c>
      <c r="E108" s="105">
        <f t="shared" ref="E108:Q108" si="33">IF(((E106="")*AND(E107="")),"",(E106-E107))</f>
        <v>376.44000000000005</v>
      </c>
      <c r="F108" s="105">
        <f t="shared" si="33"/>
        <v>338.71000000000004</v>
      </c>
      <c r="G108" s="105">
        <f t="shared" si="33"/>
        <v>324.53999999999996</v>
      </c>
      <c r="H108" s="105">
        <f t="shared" si="33"/>
        <v>322.30999999999995</v>
      </c>
      <c r="I108" s="105">
        <f t="shared" si="33"/>
        <v>322.05999999999995</v>
      </c>
      <c r="J108" s="105">
        <f t="shared" si="33"/>
        <v>336.39999999999964</v>
      </c>
      <c r="K108" s="105">
        <f t="shared" si="33"/>
        <v>377.77</v>
      </c>
      <c r="L108" s="105">
        <f t="shared" si="33"/>
        <v>371.54000000000042</v>
      </c>
      <c r="M108" s="105">
        <f t="shared" si="33"/>
        <v>333.73</v>
      </c>
      <c r="N108" s="105">
        <f t="shared" si="33"/>
        <v>326.36000000000013</v>
      </c>
      <c r="O108" s="105">
        <f t="shared" si="33"/>
        <v>326.14000000000033</v>
      </c>
      <c r="P108" s="105">
        <f t="shared" si="33"/>
        <v>338.44000000000005</v>
      </c>
      <c r="Q108" s="105">
        <f t="shared" si="33"/>
        <v>381.46000000000004</v>
      </c>
      <c r="R108" s="322"/>
      <c r="S108" s="322"/>
      <c r="T108" s="325"/>
      <c r="U108" s="325"/>
      <c r="V108" s="327"/>
      <c r="W108" s="316"/>
      <c r="X108" s="319"/>
      <c r="Y108" s="330"/>
      <c r="Z108" s="221"/>
      <c r="AA108" s="102"/>
      <c r="AB108" s="102"/>
      <c r="AC108" s="102"/>
      <c r="AD108" s="102"/>
      <c r="AE108" s="106"/>
      <c r="AF108" s="102"/>
    </row>
    <row r="109" spans="1:32" ht="15.55" x14ac:dyDescent="0.25">
      <c r="A109" s="264">
        <v>43259</v>
      </c>
      <c r="B109" s="99" t="s">
        <v>235</v>
      </c>
      <c r="C109" s="99" t="s">
        <v>232</v>
      </c>
      <c r="D109" s="100" t="s">
        <v>186</v>
      </c>
      <c r="E109" s="101">
        <v>2507.02</v>
      </c>
      <c r="F109" s="101">
        <v>2476.5</v>
      </c>
      <c r="G109" s="101">
        <v>2451.19</v>
      </c>
      <c r="H109" s="101">
        <v>2439.3200000000002</v>
      </c>
      <c r="I109" s="101">
        <v>2437.62</v>
      </c>
      <c r="J109" s="101">
        <v>2457.15</v>
      </c>
      <c r="K109" s="101">
        <v>2451.62</v>
      </c>
      <c r="L109" s="101">
        <v>2460.31</v>
      </c>
      <c r="M109" s="101">
        <v>2451.79</v>
      </c>
      <c r="N109" s="101">
        <v>2445.34</v>
      </c>
      <c r="O109" s="101">
        <v>2526.4</v>
      </c>
      <c r="P109" s="101">
        <v>2481.9</v>
      </c>
      <c r="Q109" s="101">
        <v>2512.5300000000002</v>
      </c>
      <c r="R109" s="320">
        <f>IF((Q110=""),"",MAX(E111:Q111))</f>
        <v>440.44000000000005</v>
      </c>
      <c r="S109" s="320">
        <f>IF(Q110="","",MIN(E111:Q111))</f>
        <v>332.77999999999975</v>
      </c>
      <c r="T109" s="323">
        <f>IF((Q111=""),"",AVERAGE(E111:Q111))</f>
        <v>376.3776923076922</v>
      </c>
      <c r="U109" s="323">
        <f>IF((Q110=""),"",(R109-S109)/(R109+S109)*100)</f>
        <v>13.923592250588493</v>
      </c>
      <c r="V109" s="323">
        <f>STDEV(E111:Q111)</f>
        <v>34.208652695345549</v>
      </c>
      <c r="W109" s="314" t="str">
        <f>IF(Q110="","",IF(T109&gt;300,IF(U109&lt;14,IF(T109&lt;390,"Pass","Fail"),"Fail"),"Fail"))</f>
        <v>Pass</v>
      </c>
      <c r="X109" s="317">
        <v>1335</v>
      </c>
      <c r="Y109" s="328"/>
      <c r="Z109" s="221"/>
      <c r="AA109" s="102">
        <v>270</v>
      </c>
      <c r="AB109" s="102">
        <v>370</v>
      </c>
      <c r="AC109" s="102">
        <v>300</v>
      </c>
      <c r="AD109" s="103">
        <v>390</v>
      </c>
      <c r="AE109" s="103">
        <v>20</v>
      </c>
      <c r="AF109" s="103">
        <v>14</v>
      </c>
    </row>
    <row r="110" spans="1:32" ht="16.100000000000001" x14ac:dyDescent="0.35">
      <c r="A110" s="263"/>
      <c r="B110" s="104"/>
      <c r="C110" s="104"/>
      <c r="D110" s="100" t="s">
        <v>187</v>
      </c>
      <c r="E110" s="101">
        <v>2090.8200000000002</v>
      </c>
      <c r="F110" s="101">
        <v>2092.7800000000002</v>
      </c>
      <c r="G110" s="101">
        <v>2087.33</v>
      </c>
      <c r="H110" s="101">
        <v>2086.7600000000002</v>
      </c>
      <c r="I110" s="101">
        <v>2093</v>
      </c>
      <c r="J110" s="101">
        <v>2102.86</v>
      </c>
      <c r="K110" s="101">
        <v>2064.4</v>
      </c>
      <c r="L110" s="101">
        <v>2095.88</v>
      </c>
      <c r="M110" s="101">
        <v>2119.0100000000002</v>
      </c>
      <c r="N110" s="101">
        <v>2105.04</v>
      </c>
      <c r="O110" s="101">
        <v>2085.96</v>
      </c>
      <c r="P110" s="101">
        <v>2096.0500000000002</v>
      </c>
      <c r="Q110" s="101">
        <v>2085.89</v>
      </c>
      <c r="R110" s="321"/>
      <c r="S110" s="321"/>
      <c r="T110" s="324"/>
      <c r="U110" s="324"/>
      <c r="V110" s="326"/>
      <c r="W110" s="315"/>
      <c r="X110" s="318"/>
      <c r="Y110" s="329"/>
      <c r="Z110" s="221"/>
      <c r="AA110" s="102"/>
      <c r="AB110" s="102"/>
      <c r="AC110" s="102"/>
      <c r="AD110" s="103"/>
      <c r="AE110" s="103"/>
      <c r="AF110" s="103"/>
    </row>
    <row r="111" spans="1:32" ht="31.05" x14ac:dyDescent="0.35">
      <c r="A111" s="263"/>
      <c r="B111" s="99"/>
      <c r="C111" s="99"/>
      <c r="D111" s="100" t="s">
        <v>188</v>
      </c>
      <c r="E111" s="105">
        <f t="shared" ref="E111:Q111" si="34">IF(((E109="")*AND(E110="")),"",(E109-E110))</f>
        <v>416.19999999999982</v>
      </c>
      <c r="F111" s="105">
        <f t="shared" si="34"/>
        <v>383.7199999999998</v>
      </c>
      <c r="G111" s="105">
        <f t="shared" si="34"/>
        <v>363.86000000000013</v>
      </c>
      <c r="H111" s="105">
        <f t="shared" si="34"/>
        <v>352.55999999999995</v>
      </c>
      <c r="I111" s="105">
        <f t="shared" si="34"/>
        <v>344.61999999999989</v>
      </c>
      <c r="J111" s="105">
        <f t="shared" si="34"/>
        <v>354.28999999999996</v>
      </c>
      <c r="K111" s="105">
        <f t="shared" si="34"/>
        <v>387.2199999999998</v>
      </c>
      <c r="L111" s="105">
        <f t="shared" si="34"/>
        <v>364.42999999999984</v>
      </c>
      <c r="M111" s="105">
        <f t="shared" si="34"/>
        <v>332.77999999999975</v>
      </c>
      <c r="N111" s="105">
        <f t="shared" si="34"/>
        <v>340.30000000000018</v>
      </c>
      <c r="O111" s="105">
        <f t="shared" si="34"/>
        <v>440.44000000000005</v>
      </c>
      <c r="P111" s="105">
        <f t="shared" si="34"/>
        <v>385.84999999999991</v>
      </c>
      <c r="Q111" s="105">
        <f t="shared" si="34"/>
        <v>426.64000000000033</v>
      </c>
      <c r="R111" s="322"/>
      <c r="S111" s="322"/>
      <c r="T111" s="325"/>
      <c r="U111" s="325"/>
      <c r="V111" s="327"/>
      <c r="W111" s="316"/>
      <c r="X111" s="319"/>
      <c r="Y111" s="330"/>
      <c r="Z111" s="221"/>
      <c r="AA111" s="102"/>
      <c r="AB111" s="102"/>
      <c r="AC111" s="102"/>
      <c r="AD111" s="102"/>
      <c r="AE111" s="106"/>
      <c r="AF111" s="102"/>
    </row>
    <row r="112" spans="1:32" ht="15.55" x14ac:dyDescent="0.25">
      <c r="A112" s="264">
        <v>43262</v>
      </c>
      <c r="B112" s="99" t="s">
        <v>235</v>
      </c>
      <c r="C112" s="99" t="s">
        <v>232</v>
      </c>
      <c r="D112" s="100" t="s">
        <v>186</v>
      </c>
      <c r="E112" s="101">
        <v>2084.13</v>
      </c>
      <c r="F112" s="101">
        <v>2080.1999999999998</v>
      </c>
      <c r="G112" s="101">
        <v>2078.27</v>
      </c>
      <c r="H112" s="101">
        <v>2074.9</v>
      </c>
      <c r="I112" s="101">
        <v>2079.75</v>
      </c>
      <c r="J112" s="101">
        <v>2100.3000000000002</v>
      </c>
      <c r="K112" s="101">
        <v>2059.3000000000002</v>
      </c>
      <c r="L112" s="101">
        <v>2088.54</v>
      </c>
      <c r="M112" s="101">
        <v>2108.9699999999998</v>
      </c>
      <c r="N112" s="101">
        <v>2094.5</v>
      </c>
      <c r="O112" s="101">
        <v>2082.13</v>
      </c>
      <c r="P112" s="101">
        <v>2079.15</v>
      </c>
      <c r="Q112" s="101">
        <v>2073.58</v>
      </c>
      <c r="R112" s="320">
        <f>IF((Q113=""),"",MAX(E114:Q114))</f>
        <v>392.87999999999988</v>
      </c>
      <c r="S112" s="320">
        <f>IF(Q113="","",MIN(E114:Q114))</f>
        <v>300.47000000000003</v>
      </c>
      <c r="T112" s="323">
        <f>IF((Q114=""),"",AVERAGE(E114:Q114))</f>
        <v>338.32923076923078</v>
      </c>
      <c r="U112" s="323">
        <f>IF((Q113=""),"",(R112-S112)/(R112+S112)*100)</f>
        <v>13.328044998918276</v>
      </c>
      <c r="V112" s="323">
        <f>STDEV(E114:Q114)</f>
        <v>27.985388289110968</v>
      </c>
      <c r="W112" s="314" t="str">
        <f>IF(Q113="","",IF(T112&gt;300,IF(U112&lt;14,IF(T112&lt;390,"Pass","Fail"),"Fail"),"Fail"))</f>
        <v>Pass</v>
      </c>
      <c r="X112" s="317">
        <v>1159</v>
      </c>
      <c r="Y112" s="227" t="s">
        <v>197</v>
      </c>
      <c r="Z112" s="221"/>
      <c r="AA112" s="102">
        <v>270</v>
      </c>
      <c r="AB112" s="102">
        <v>370</v>
      </c>
      <c r="AC112" s="102">
        <v>300</v>
      </c>
      <c r="AD112" s="103">
        <v>390</v>
      </c>
      <c r="AE112" s="103">
        <v>20</v>
      </c>
      <c r="AF112" s="103">
        <v>14</v>
      </c>
    </row>
    <row r="113" spans="1:32" ht="16.100000000000001" x14ac:dyDescent="0.35">
      <c r="A113" s="263"/>
      <c r="B113" s="104"/>
      <c r="C113" s="104"/>
      <c r="D113" s="100" t="s">
        <v>187</v>
      </c>
      <c r="E113" s="101">
        <v>1729.27</v>
      </c>
      <c r="F113" s="101">
        <v>1777.67</v>
      </c>
      <c r="G113" s="101">
        <v>1755.3</v>
      </c>
      <c r="H113" s="101">
        <v>1743.92</v>
      </c>
      <c r="I113" s="101">
        <v>1753.55</v>
      </c>
      <c r="J113" s="101">
        <v>1750.88</v>
      </c>
      <c r="K113" s="101">
        <v>1681.85</v>
      </c>
      <c r="L113" s="101">
        <v>1695.66</v>
      </c>
      <c r="M113" s="101">
        <v>1757.57</v>
      </c>
      <c r="N113" s="101">
        <v>1761.41</v>
      </c>
      <c r="O113" s="101">
        <v>1775.71</v>
      </c>
      <c r="P113" s="101">
        <v>1778.68</v>
      </c>
      <c r="Q113" s="101">
        <v>1723.97</v>
      </c>
      <c r="R113" s="321"/>
      <c r="S113" s="321"/>
      <c r="T113" s="324"/>
      <c r="U113" s="324"/>
      <c r="V113" s="326"/>
      <c r="W113" s="315"/>
      <c r="X113" s="318"/>
      <c r="Y113" s="224"/>
      <c r="Z113" s="221"/>
      <c r="AA113" s="102"/>
      <c r="AB113" s="102"/>
      <c r="AC113" s="102"/>
      <c r="AD113" s="103"/>
      <c r="AE113" s="103"/>
      <c r="AF113" s="103"/>
    </row>
    <row r="114" spans="1:32" ht="31.05" x14ac:dyDescent="0.35">
      <c r="A114" s="263"/>
      <c r="B114" s="99"/>
      <c r="C114" s="99"/>
      <c r="D114" s="100" t="s">
        <v>188</v>
      </c>
      <c r="E114" s="105">
        <f t="shared" ref="E114:Q114" si="35">IF(((E112="")*AND(E113="")),"",(E112-E113))</f>
        <v>354.86000000000013</v>
      </c>
      <c r="F114" s="105">
        <f t="shared" si="35"/>
        <v>302.52999999999975</v>
      </c>
      <c r="G114" s="105">
        <f t="shared" si="35"/>
        <v>322.97000000000003</v>
      </c>
      <c r="H114" s="105">
        <f t="shared" si="35"/>
        <v>330.98</v>
      </c>
      <c r="I114" s="105">
        <f t="shared" si="35"/>
        <v>326.20000000000005</v>
      </c>
      <c r="J114" s="105">
        <f t="shared" si="35"/>
        <v>349.42000000000007</v>
      </c>
      <c r="K114" s="105">
        <f t="shared" si="35"/>
        <v>377.45000000000027</v>
      </c>
      <c r="L114" s="105">
        <f t="shared" si="35"/>
        <v>392.87999999999988</v>
      </c>
      <c r="M114" s="105">
        <f t="shared" si="35"/>
        <v>351.39999999999986</v>
      </c>
      <c r="N114" s="105">
        <f t="shared" si="35"/>
        <v>333.08999999999992</v>
      </c>
      <c r="O114" s="105">
        <f t="shared" si="35"/>
        <v>306.42000000000007</v>
      </c>
      <c r="P114" s="105">
        <f t="shared" si="35"/>
        <v>300.47000000000003</v>
      </c>
      <c r="Q114" s="105">
        <f t="shared" si="35"/>
        <v>349.6099999999999</v>
      </c>
      <c r="R114" s="322"/>
      <c r="S114" s="322"/>
      <c r="T114" s="325"/>
      <c r="U114" s="325"/>
      <c r="V114" s="327"/>
      <c r="W114" s="316"/>
      <c r="X114" s="319"/>
      <c r="Y114" s="225"/>
      <c r="Z114" s="221"/>
      <c r="AA114" s="102"/>
      <c r="AB114" s="102"/>
      <c r="AC114" s="102"/>
      <c r="AD114" s="102"/>
      <c r="AE114" s="106"/>
      <c r="AF114" s="102"/>
    </row>
    <row r="115" spans="1:32" ht="15.55" x14ac:dyDescent="0.25">
      <c r="A115" s="264">
        <v>43266</v>
      </c>
      <c r="B115" s="99" t="s">
        <v>235</v>
      </c>
      <c r="C115" s="99" t="s">
        <v>232</v>
      </c>
      <c r="D115" s="100" t="s">
        <v>186</v>
      </c>
      <c r="E115" s="101">
        <v>2885.29</v>
      </c>
      <c r="F115" s="101">
        <v>2821.21</v>
      </c>
      <c r="G115" s="101">
        <v>2784.9</v>
      </c>
      <c r="H115" s="101">
        <v>2768.3</v>
      </c>
      <c r="I115" s="101">
        <v>2773.74</v>
      </c>
      <c r="J115" s="101">
        <v>2798.65</v>
      </c>
      <c r="K115" s="101">
        <v>2843.86</v>
      </c>
      <c r="L115" s="101">
        <v>2889.19</v>
      </c>
      <c r="M115" s="101">
        <v>2823.89</v>
      </c>
      <c r="N115" s="101">
        <v>2783.82</v>
      </c>
      <c r="O115" s="101">
        <v>2774.24</v>
      </c>
      <c r="P115" s="101">
        <v>2797.37</v>
      </c>
      <c r="Q115" s="101">
        <v>2833.89</v>
      </c>
      <c r="R115" s="320">
        <f>IF((Q116=""),"",MAX(E117:Q117))</f>
        <v>373.80999999999995</v>
      </c>
      <c r="S115" s="320">
        <f>IF(Q116="","",MIN(E117:Q117))</f>
        <v>316.90000000000009</v>
      </c>
      <c r="T115" s="323">
        <f>IF((Q117=""),"",AVERAGE(E117:Q117))</f>
        <v>340.47384615384613</v>
      </c>
      <c r="U115" s="323">
        <f>IF((Q116=""),"",(R115-S115)/(R115+S115)*100)</f>
        <v>8.2393479173603765</v>
      </c>
      <c r="V115" s="323">
        <f>STDEV(E117:Q117)</f>
        <v>22.324235910202145</v>
      </c>
      <c r="W115" s="314" t="str">
        <f>IF(Q116="","",IF(T115&gt;300,IF(U115&lt;14,IF(T115&lt;390,"Pass","Fail"),"Fail"),"Fail"))</f>
        <v>Pass</v>
      </c>
      <c r="X115" s="317">
        <v>121</v>
      </c>
      <c r="Y115" s="328"/>
      <c r="Z115" s="221"/>
      <c r="AA115" s="102">
        <v>270</v>
      </c>
      <c r="AB115" s="102">
        <v>370</v>
      </c>
      <c r="AC115" s="102">
        <v>300</v>
      </c>
      <c r="AD115" s="103">
        <v>390</v>
      </c>
      <c r="AE115" s="103">
        <v>20</v>
      </c>
      <c r="AF115" s="103">
        <v>14</v>
      </c>
    </row>
    <row r="116" spans="1:32" ht="16.100000000000001" x14ac:dyDescent="0.35">
      <c r="A116" s="263"/>
      <c r="B116" s="104"/>
      <c r="C116" s="104"/>
      <c r="D116" s="100" t="s">
        <v>187</v>
      </c>
      <c r="E116" s="101">
        <v>2515.2600000000002</v>
      </c>
      <c r="F116" s="101">
        <v>2487.54</v>
      </c>
      <c r="G116" s="101">
        <v>2461.2800000000002</v>
      </c>
      <c r="H116" s="101">
        <v>2451.4</v>
      </c>
      <c r="I116" s="101">
        <v>2453.41</v>
      </c>
      <c r="J116" s="101">
        <v>2466.5100000000002</v>
      </c>
      <c r="K116" s="101">
        <v>2470.0500000000002</v>
      </c>
      <c r="L116" s="101">
        <v>2520.2399999999998</v>
      </c>
      <c r="M116" s="101">
        <v>2489.0700000000002</v>
      </c>
      <c r="N116" s="101">
        <v>2465.34</v>
      </c>
      <c r="O116" s="101">
        <v>2449.9299999999998</v>
      </c>
      <c r="P116" s="101">
        <v>2460.85</v>
      </c>
      <c r="Q116" s="101">
        <v>2461.31</v>
      </c>
      <c r="R116" s="321"/>
      <c r="S116" s="321"/>
      <c r="T116" s="324"/>
      <c r="U116" s="324"/>
      <c r="V116" s="326"/>
      <c r="W116" s="315"/>
      <c r="X116" s="318"/>
      <c r="Y116" s="329"/>
      <c r="Z116" s="221"/>
      <c r="AA116" s="102"/>
      <c r="AB116" s="102"/>
      <c r="AC116" s="102"/>
      <c r="AD116" s="103"/>
      <c r="AE116" s="103"/>
      <c r="AF116" s="103"/>
    </row>
    <row r="117" spans="1:32" ht="31.05" x14ac:dyDescent="0.35">
      <c r="A117" s="263"/>
      <c r="B117" s="99"/>
      <c r="C117" s="99"/>
      <c r="D117" s="100" t="s">
        <v>188</v>
      </c>
      <c r="E117" s="105">
        <f t="shared" ref="E117:Q117" si="36">IF(((E115="")*AND(E116="")),"",(E115-E116))</f>
        <v>370.02999999999975</v>
      </c>
      <c r="F117" s="105">
        <f t="shared" si="36"/>
        <v>333.67000000000007</v>
      </c>
      <c r="G117" s="105">
        <f t="shared" si="36"/>
        <v>323.61999999999989</v>
      </c>
      <c r="H117" s="105">
        <f t="shared" si="36"/>
        <v>316.90000000000009</v>
      </c>
      <c r="I117" s="105">
        <f t="shared" si="36"/>
        <v>320.32999999999993</v>
      </c>
      <c r="J117" s="105">
        <f t="shared" si="36"/>
        <v>332.13999999999987</v>
      </c>
      <c r="K117" s="105">
        <f t="shared" si="36"/>
        <v>373.80999999999995</v>
      </c>
      <c r="L117" s="105">
        <f t="shared" si="36"/>
        <v>368.95000000000027</v>
      </c>
      <c r="M117" s="105">
        <f t="shared" si="36"/>
        <v>334.81999999999971</v>
      </c>
      <c r="N117" s="105">
        <f t="shared" si="36"/>
        <v>318.48</v>
      </c>
      <c r="O117" s="105">
        <f t="shared" si="36"/>
        <v>324.30999999999995</v>
      </c>
      <c r="P117" s="105">
        <f t="shared" si="36"/>
        <v>336.52</v>
      </c>
      <c r="Q117" s="105">
        <f t="shared" si="36"/>
        <v>372.57999999999993</v>
      </c>
      <c r="R117" s="322"/>
      <c r="S117" s="322"/>
      <c r="T117" s="325"/>
      <c r="U117" s="325"/>
      <c r="V117" s="327"/>
      <c r="W117" s="316"/>
      <c r="X117" s="319"/>
      <c r="Y117" s="330"/>
      <c r="Z117" s="221"/>
      <c r="AA117" s="102"/>
      <c r="AB117" s="102"/>
      <c r="AC117" s="102"/>
      <c r="AD117" s="102"/>
      <c r="AE117" s="106"/>
      <c r="AF117" s="102"/>
    </row>
    <row r="118" spans="1:32" ht="15.55" x14ac:dyDescent="0.25">
      <c r="A118" s="264">
        <v>43270</v>
      </c>
      <c r="B118" s="99" t="s">
        <v>235</v>
      </c>
      <c r="C118" s="99" t="s">
        <v>232</v>
      </c>
      <c r="D118" s="100" t="s">
        <v>186</v>
      </c>
      <c r="E118" s="101">
        <v>2515.1999999999998</v>
      </c>
      <c r="F118" s="101">
        <v>2486.13</v>
      </c>
      <c r="G118" s="101">
        <v>2460.13</v>
      </c>
      <c r="H118" s="101">
        <v>2458.8200000000002</v>
      </c>
      <c r="I118" s="101">
        <v>2454.6</v>
      </c>
      <c r="J118" s="101">
        <v>2463.44</v>
      </c>
      <c r="K118" s="101">
        <v>2468.46</v>
      </c>
      <c r="L118" s="101">
        <v>2521.87</v>
      </c>
      <c r="M118" s="101">
        <v>2488.23</v>
      </c>
      <c r="N118" s="101">
        <v>2463.0300000000002</v>
      </c>
      <c r="O118" s="101">
        <v>2449.44</v>
      </c>
      <c r="P118" s="101">
        <v>2465.89</v>
      </c>
      <c r="Q118" s="101">
        <v>2459.34</v>
      </c>
      <c r="R118" s="320">
        <f>IF((Q119=""),"",MAX(E120:Q120))</f>
        <v>442.97000000000025</v>
      </c>
      <c r="S118" s="320">
        <f>IF(Q119="","",MIN(E120:Q120))</f>
        <v>380.07999999999993</v>
      </c>
      <c r="T118" s="323">
        <f>IF((Q120=""),"",AVERAGE(E120:Q120))</f>
        <v>403.62076923076927</v>
      </c>
      <c r="U118" s="323">
        <f>IF((Q119=""),"",(R118-S118)/(R118+S118)*100)</f>
        <v>7.6410910637264209</v>
      </c>
      <c r="V118" s="323">
        <f>STDEV(E120:Q120)</f>
        <v>21.801141201604775</v>
      </c>
      <c r="W118" s="314" t="str">
        <f>IF(Q119="","",IF(T118&gt;300,IF(U118&lt;14,IF(T118&lt;390,"Pass","Fail"),"Fail"),"Fail"))</f>
        <v>Fail</v>
      </c>
      <c r="X118" s="340">
        <v>1159</v>
      </c>
      <c r="Y118" s="328"/>
      <c r="Z118" s="221"/>
      <c r="AA118" s="102">
        <v>270</v>
      </c>
      <c r="AB118" s="102">
        <v>370</v>
      </c>
      <c r="AC118" s="102">
        <v>300</v>
      </c>
      <c r="AD118" s="103">
        <v>390</v>
      </c>
      <c r="AE118" s="103">
        <v>20</v>
      </c>
      <c r="AF118" s="103">
        <v>14</v>
      </c>
    </row>
    <row r="119" spans="1:32" ht="16.100000000000001" x14ac:dyDescent="0.35">
      <c r="A119" s="263"/>
      <c r="B119" s="104"/>
      <c r="C119" s="104"/>
      <c r="D119" s="100" t="s">
        <v>187</v>
      </c>
      <c r="E119" s="101">
        <v>2080.62</v>
      </c>
      <c r="F119" s="101">
        <v>2097.4899999999998</v>
      </c>
      <c r="G119" s="101">
        <v>2080.0500000000002</v>
      </c>
      <c r="H119" s="101">
        <v>2065.63</v>
      </c>
      <c r="I119" s="101">
        <v>2066.39</v>
      </c>
      <c r="J119" s="101">
        <v>2068.63</v>
      </c>
      <c r="K119" s="101">
        <v>2039.08</v>
      </c>
      <c r="L119" s="101">
        <v>2095.64</v>
      </c>
      <c r="M119" s="101">
        <v>2101.3000000000002</v>
      </c>
      <c r="N119" s="101">
        <v>2076.7600000000002</v>
      </c>
      <c r="O119" s="101">
        <v>2060.88</v>
      </c>
      <c r="P119" s="101">
        <v>2058.67</v>
      </c>
      <c r="Q119" s="101">
        <v>2016.37</v>
      </c>
      <c r="R119" s="321"/>
      <c r="S119" s="321"/>
      <c r="T119" s="324"/>
      <c r="U119" s="324"/>
      <c r="V119" s="326"/>
      <c r="W119" s="315"/>
      <c r="X119" s="318"/>
      <c r="Y119" s="329"/>
      <c r="Z119" s="221"/>
      <c r="AA119" s="102"/>
      <c r="AB119" s="102"/>
      <c r="AC119" s="102"/>
      <c r="AD119" s="103"/>
      <c r="AE119" s="103"/>
      <c r="AF119" s="103"/>
    </row>
    <row r="120" spans="1:32" ht="31.05" x14ac:dyDescent="0.35">
      <c r="A120" s="263"/>
      <c r="B120" s="99"/>
      <c r="C120" s="99"/>
      <c r="D120" s="100" t="s">
        <v>188</v>
      </c>
      <c r="E120" s="105">
        <f t="shared" ref="E120:Q120" si="37">IF(((E118="")*AND(E119="")),"",(E118-E119))</f>
        <v>434.57999999999993</v>
      </c>
      <c r="F120" s="105">
        <f t="shared" si="37"/>
        <v>388.64000000000033</v>
      </c>
      <c r="G120" s="105">
        <f t="shared" si="37"/>
        <v>380.07999999999993</v>
      </c>
      <c r="H120" s="105">
        <f t="shared" si="37"/>
        <v>393.19000000000005</v>
      </c>
      <c r="I120" s="105">
        <f t="shared" si="37"/>
        <v>388.21000000000004</v>
      </c>
      <c r="J120" s="105">
        <f t="shared" si="37"/>
        <v>394.80999999999995</v>
      </c>
      <c r="K120" s="105">
        <f t="shared" si="37"/>
        <v>429.38000000000011</v>
      </c>
      <c r="L120" s="105">
        <f t="shared" si="37"/>
        <v>426.23</v>
      </c>
      <c r="M120" s="105">
        <f t="shared" si="37"/>
        <v>386.92999999999984</v>
      </c>
      <c r="N120" s="105">
        <f t="shared" si="37"/>
        <v>386.27</v>
      </c>
      <c r="O120" s="105">
        <f t="shared" si="37"/>
        <v>388.55999999999995</v>
      </c>
      <c r="P120" s="105">
        <f t="shared" si="37"/>
        <v>407.2199999999998</v>
      </c>
      <c r="Q120" s="105">
        <f t="shared" si="37"/>
        <v>442.97000000000025</v>
      </c>
      <c r="R120" s="322"/>
      <c r="S120" s="322"/>
      <c r="T120" s="325"/>
      <c r="U120" s="325"/>
      <c r="V120" s="327"/>
      <c r="W120" s="316"/>
      <c r="X120" s="319"/>
      <c r="Y120" s="330"/>
      <c r="Z120" s="221"/>
      <c r="AA120" s="102"/>
      <c r="AB120" s="102"/>
      <c r="AC120" s="102"/>
      <c r="AD120" s="102"/>
      <c r="AE120" s="106"/>
      <c r="AF120" s="102"/>
    </row>
    <row r="121" spans="1:32" ht="15.55" x14ac:dyDescent="0.25">
      <c r="A121" s="264">
        <v>43270</v>
      </c>
      <c r="B121" s="99" t="s">
        <v>235</v>
      </c>
      <c r="C121" s="99" t="s">
        <v>232</v>
      </c>
      <c r="D121" s="100" t="s">
        <v>186</v>
      </c>
      <c r="E121" s="101">
        <v>2080.62</v>
      </c>
      <c r="F121" s="101">
        <v>2097.4899999999998</v>
      </c>
      <c r="G121" s="101">
        <v>2080.0500000000002</v>
      </c>
      <c r="H121" s="101">
        <v>2065.63</v>
      </c>
      <c r="I121" s="101">
        <v>2066.39</v>
      </c>
      <c r="J121" s="101">
        <v>2068.63</v>
      </c>
      <c r="K121" s="101">
        <v>2039.08</v>
      </c>
      <c r="L121" s="101">
        <v>2095.64</v>
      </c>
      <c r="M121" s="101">
        <v>2101.3000000000002</v>
      </c>
      <c r="N121" s="101">
        <v>2076.7600000000002</v>
      </c>
      <c r="O121" s="101">
        <v>2060.88</v>
      </c>
      <c r="P121" s="101">
        <v>2058.67</v>
      </c>
      <c r="Q121" s="101">
        <v>2016.37</v>
      </c>
      <c r="R121" s="320">
        <f>IF((Q122=""),"",MAX(E123:Q123))</f>
        <v>357.82999999999993</v>
      </c>
      <c r="S121" s="320">
        <f>IF(Q122="","",MIN(E123:Q123))</f>
        <v>274.1400000000001</v>
      </c>
      <c r="T121" s="323">
        <f>IF((Q123=""),"",AVERAGE(E123:Q123))</f>
        <v>308.73923076923074</v>
      </c>
      <c r="U121" s="323">
        <f>IF((Q122=""),"",(R121-S121)/(R121+S121)*100)</f>
        <v>13.242717217589414</v>
      </c>
      <c r="V121" s="323">
        <f>STDEV(E123:Q123)</f>
        <v>33.035353653709556</v>
      </c>
      <c r="W121" s="314" t="str">
        <f>IF(Q122="","",IF(T121&gt;300,IF(U121&lt;14,IF(T121&lt;390,"Pass","Fail"),"Fail"),"Fail"))</f>
        <v>Pass</v>
      </c>
      <c r="X121" s="317">
        <v>1159</v>
      </c>
      <c r="Y121" s="227" t="s">
        <v>198</v>
      </c>
      <c r="Z121" s="221"/>
      <c r="AA121" s="102">
        <v>270</v>
      </c>
      <c r="AB121" s="102">
        <v>370</v>
      </c>
      <c r="AC121" s="102">
        <v>300</v>
      </c>
      <c r="AD121" s="103">
        <v>390</v>
      </c>
      <c r="AE121" s="103">
        <v>20</v>
      </c>
      <c r="AF121" s="103">
        <v>14</v>
      </c>
    </row>
    <row r="122" spans="1:32" ht="16.100000000000001" x14ac:dyDescent="0.35">
      <c r="A122" s="263"/>
      <c r="B122" s="104"/>
      <c r="C122" s="104"/>
      <c r="D122" s="100" t="s">
        <v>187</v>
      </c>
      <c r="E122" s="101">
        <v>1724.1</v>
      </c>
      <c r="F122" s="101">
        <v>1790.48</v>
      </c>
      <c r="G122" s="101">
        <v>1793.12</v>
      </c>
      <c r="H122" s="101">
        <v>1786.55</v>
      </c>
      <c r="I122" s="101">
        <v>1786.94</v>
      </c>
      <c r="J122" s="101">
        <v>1767.45</v>
      </c>
      <c r="K122" s="101">
        <v>1681.25</v>
      </c>
      <c r="L122" s="101">
        <v>1737.95</v>
      </c>
      <c r="M122" s="101">
        <v>1799.59</v>
      </c>
      <c r="N122" s="101">
        <v>1790.69</v>
      </c>
      <c r="O122" s="101">
        <v>1786.74</v>
      </c>
      <c r="P122" s="101">
        <v>1776.79</v>
      </c>
      <c r="Q122" s="101">
        <v>1672.25</v>
      </c>
      <c r="R122" s="321"/>
      <c r="S122" s="321"/>
      <c r="T122" s="324"/>
      <c r="U122" s="324"/>
      <c r="V122" s="326"/>
      <c r="W122" s="315"/>
      <c r="X122" s="318"/>
      <c r="Y122" s="224"/>
      <c r="Z122" s="221"/>
      <c r="AA122" s="102"/>
      <c r="AB122" s="102"/>
      <c r="AC122" s="102"/>
      <c r="AD122" s="103"/>
      <c r="AE122" s="103"/>
      <c r="AF122" s="103"/>
    </row>
    <row r="123" spans="1:32" ht="31.05" x14ac:dyDescent="0.35">
      <c r="A123" s="263"/>
      <c r="B123" s="99"/>
      <c r="C123" s="99"/>
      <c r="D123" s="100" t="s">
        <v>188</v>
      </c>
      <c r="E123" s="105">
        <f t="shared" ref="E123:Q123" si="38">IF(((E121="")*AND(E122="")),"",(E121-E122))</f>
        <v>356.52</v>
      </c>
      <c r="F123" s="105">
        <f t="shared" si="38"/>
        <v>307.00999999999976</v>
      </c>
      <c r="G123" s="105">
        <f t="shared" si="38"/>
        <v>286.93000000000029</v>
      </c>
      <c r="H123" s="105">
        <f t="shared" si="38"/>
        <v>279.08000000000015</v>
      </c>
      <c r="I123" s="105">
        <f t="shared" si="38"/>
        <v>279.44999999999982</v>
      </c>
      <c r="J123" s="105">
        <f t="shared" si="38"/>
        <v>301.18000000000006</v>
      </c>
      <c r="K123" s="105">
        <f t="shared" si="38"/>
        <v>357.82999999999993</v>
      </c>
      <c r="L123" s="105">
        <f t="shared" si="38"/>
        <v>357.68999999999983</v>
      </c>
      <c r="M123" s="105">
        <f t="shared" si="38"/>
        <v>301.71000000000026</v>
      </c>
      <c r="N123" s="105">
        <f t="shared" si="38"/>
        <v>286.07000000000016</v>
      </c>
      <c r="O123" s="105">
        <f t="shared" si="38"/>
        <v>274.1400000000001</v>
      </c>
      <c r="P123" s="105">
        <f t="shared" si="38"/>
        <v>281.88000000000011</v>
      </c>
      <c r="Q123" s="105">
        <f t="shared" si="38"/>
        <v>344.11999999999989</v>
      </c>
      <c r="R123" s="322"/>
      <c r="S123" s="322"/>
      <c r="T123" s="325"/>
      <c r="U123" s="325"/>
      <c r="V123" s="327"/>
      <c r="W123" s="316"/>
      <c r="X123" s="319"/>
      <c r="Y123" s="225"/>
      <c r="Z123" s="221"/>
      <c r="AA123" s="102"/>
      <c r="AB123" s="102"/>
      <c r="AC123" s="102"/>
      <c r="AD123" s="102"/>
      <c r="AE123" s="106"/>
      <c r="AF123" s="102"/>
    </row>
    <row r="124" spans="1:32" ht="15.55" x14ac:dyDescent="0.25">
      <c r="A124" s="264">
        <v>43276</v>
      </c>
      <c r="B124" s="99" t="s">
        <v>235</v>
      </c>
      <c r="C124" s="99" t="s">
        <v>232</v>
      </c>
      <c r="D124" s="100" t="s">
        <v>186</v>
      </c>
      <c r="E124" s="101">
        <v>2522.98</v>
      </c>
      <c r="F124" s="101">
        <v>2497.3200000000002</v>
      </c>
      <c r="G124" s="101">
        <v>2468.0500000000002</v>
      </c>
      <c r="H124" s="101">
        <v>2452.9</v>
      </c>
      <c r="I124" s="101">
        <v>2453.2199999999998</v>
      </c>
      <c r="J124" s="101">
        <v>2466.06</v>
      </c>
      <c r="K124" s="101">
        <v>2462.7199999999998</v>
      </c>
      <c r="L124" s="101">
        <v>2473.17</v>
      </c>
      <c r="M124" s="101">
        <v>2469.08</v>
      </c>
      <c r="N124" s="101">
        <v>2454.84</v>
      </c>
      <c r="O124" s="101">
        <v>2465.39</v>
      </c>
      <c r="P124" s="101">
        <v>2493.4699999999998</v>
      </c>
      <c r="Q124" s="101">
        <v>2519.79</v>
      </c>
      <c r="R124" s="320">
        <f>IF((Q125=""),"",MAX(E126:Q126))</f>
        <v>408.21000000000004</v>
      </c>
      <c r="S124" s="320">
        <f>IF(Q125="","",MIN(E126:Q126))</f>
        <v>315.14000000000033</v>
      </c>
      <c r="T124" s="323">
        <f>IF((Q126=""),"",AVERAGE(E126:Q126))</f>
        <v>352.6938461538461</v>
      </c>
      <c r="U124" s="323">
        <f>IF((Q125=""),"",(R124-S124)/(R124+S124)*100)</f>
        <v>12.866523812815325</v>
      </c>
      <c r="V124" s="323">
        <f>STDEV(E126:Q126)</f>
        <v>31.862432042156225</v>
      </c>
      <c r="W124" s="314" t="str">
        <f>IF(Q125="","",IF(T124&gt;300,IF(U124&lt;14,IF(T124&lt;390,"Pass","Fail"),"Fail"),"Fail"))</f>
        <v>Pass</v>
      </c>
      <c r="X124" s="317">
        <v>1340</v>
      </c>
      <c r="Y124" s="227" t="s">
        <v>199</v>
      </c>
      <c r="Z124" s="221"/>
      <c r="AA124" s="102">
        <v>270</v>
      </c>
      <c r="AB124" s="102">
        <v>370</v>
      </c>
      <c r="AC124" s="102">
        <v>300</v>
      </c>
      <c r="AD124" s="103">
        <v>390</v>
      </c>
      <c r="AE124" s="103">
        <v>20</v>
      </c>
      <c r="AF124" s="103">
        <v>14</v>
      </c>
    </row>
    <row r="125" spans="1:32" ht="16.100000000000001" x14ac:dyDescent="0.35">
      <c r="A125" s="263"/>
      <c r="B125" s="104"/>
      <c r="C125" s="104"/>
      <c r="D125" s="100" t="s">
        <v>187</v>
      </c>
      <c r="E125" s="101">
        <v>2118.5300000000002</v>
      </c>
      <c r="F125" s="101">
        <v>2120.4299999999998</v>
      </c>
      <c r="G125" s="101">
        <v>2123.62</v>
      </c>
      <c r="H125" s="101">
        <v>2127.86</v>
      </c>
      <c r="I125" s="101">
        <v>2130.94</v>
      </c>
      <c r="J125" s="101">
        <v>2140.62</v>
      </c>
      <c r="K125" s="101">
        <v>2098.4299999999998</v>
      </c>
      <c r="L125" s="101">
        <v>2114.38</v>
      </c>
      <c r="M125" s="101">
        <v>2150.02</v>
      </c>
      <c r="N125" s="101">
        <v>2139.6999999999998</v>
      </c>
      <c r="O125" s="101">
        <v>2120.71</v>
      </c>
      <c r="P125" s="101">
        <v>2117.15</v>
      </c>
      <c r="Q125" s="101">
        <v>2111.58</v>
      </c>
      <c r="R125" s="321"/>
      <c r="S125" s="321"/>
      <c r="T125" s="324"/>
      <c r="U125" s="324"/>
      <c r="V125" s="326"/>
      <c r="W125" s="315"/>
      <c r="X125" s="318"/>
      <c r="Y125" s="224"/>
      <c r="Z125" s="221"/>
      <c r="AA125" s="102"/>
      <c r="AB125" s="102"/>
      <c r="AC125" s="102"/>
      <c r="AD125" s="103"/>
      <c r="AE125" s="103"/>
      <c r="AF125" s="103"/>
    </row>
    <row r="126" spans="1:32" ht="31.05" x14ac:dyDescent="0.35">
      <c r="A126" s="263"/>
      <c r="B126" s="99"/>
      <c r="C126" s="99"/>
      <c r="D126" s="100" t="s">
        <v>188</v>
      </c>
      <c r="E126" s="105">
        <f t="shared" ref="E126:Q126" si="39">IF(((E124="")*AND(E125="")),"",(E124-E125))</f>
        <v>404.44999999999982</v>
      </c>
      <c r="F126" s="105">
        <f t="shared" si="39"/>
        <v>376.89000000000033</v>
      </c>
      <c r="G126" s="105">
        <f t="shared" si="39"/>
        <v>344.43000000000029</v>
      </c>
      <c r="H126" s="105">
        <f t="shared" si="39"/>
        <v>325.03999999999996</v>
      </c>
      <c r="I126" s="105">
        <f t="shared" si="39"/>
        <v>322.27999999999975</v>
      </c>
      <c r="J126" s="105">
        <f t="shared" si="39"/>
        <v>325.44000000000005</v>
      </c>
      <c r="K126" s="105">
        <f t="shared" si="39"/>
        <v>364.28999999999996</v>
      </c>
      <c r="L126" s="105">
        <f t="shared" si="39"/>
        <v>358.78999999999996</v>
      </c>
      <c r="M126" s="105">
        <f t="shared" si="39"/>
        <v>319.05999999999995</v>
      </c>
      <c r="N126" s="105">
        <f t="shared" si="39"/>
        <v>315.14000000000033</v>
      </c>
      <c r="O126" s="105">
        <f t="shared" si="39"/>
        <v>344.67999999999984</v>
      </c>
      <c r="P126" s="105">
        <f t="shared" si="39"/>
        <v>376.31999999999971</v>
      </c>
      <c r="Q126" s="105">
        <f t="shared" si="39"/>
        <v>408.21000000000004</v>
      </c>
      <c r="R126" s="322"/>
      <c r="S126" s="322"/>
      <c r="T126" s="325"/>
      <c r="U126" s="325"/>
      <c r="V126" s="327"/>
      <c r="W126" s="316"/>
      <c r="X126" s="319"/>
      <c r="Y126" s="225"/>
      <c r="Z126" s="221"/>
      <c r="AA126" s="102"/>
      <c r="AB126" s="102"/>
      <c r="AC126" s="102"/>
      <c r="AD126" s="102"/>
      <c r="AE126" s="106"/>
      <c r="AF126" s="102"/>
    </row>
    <row r="127" spans="1:32" ht="15.55" x14ac:dyDescent="0.25">
      <c r="A127" s="264">
        <v>43279</v>
      </c>
      <c r="B127" s="99" t="s">
        <v>235</v>
      </c>
      <c r="C127" s="99" t="s">
        <v>232</v>
      </c>
      <c r="D127" s="100" t="s">
        <v>186</v>
      </c>
      <c r="E127" s="101">
        <v>2122.4899999999998</v>
      </c>
      <c r="F127" s="101">
        <v>2116.2800000000002</v>
      </c>
      <c r="G127" s="101">
        <v>2116.61</v>
      </c>
      <c r="H127" s="101">
        <v>2122.58</v>
      </c>
      <c r="I127" s="101">
        <v>2124.06</v>
      </c>
      <c r="J127" s="101">
        <v>2138.4499999999998</v>
      </c>
      <c r="K127" s="101">
        <v>2095.6</v>
      </c>
      <c r="L127" s="101">
        <v>2110.23</v>
      </c>
      <c r="M127" s="101">
        <v>2147.86</v>
      </c>
      <c r="N127" s="101">
        <v>2135.86</v>
      </c>
      <c r="O127" s="101">
        <v>2120.44</v>
      </c>
      <c r="P127" s="101">
        <v>2112.92</v>
      </c>
      <c r="Q127" s="101">
        <v>2106.9899999999998</v>
      </c>
      <c r="R127" s="320">
        <f>IF((Q128=""),"",MAX(E129:Q129))</f>
        <v>415.57999999999993</v>
      </c>
      <c r="S127" s="320">
        <f>IF(Q128="","",MIN(E129:Q129))</f>
        <v>314.98</v>
      </c>
      <c r="T127" s="323">
        <f>IF((Q129=""),"",AVERAGE(E129:Q129))</f>
        <v>354.23769230769233</v>
      </c>
      <c r="U127" s="323">
        <f>IF((Q128=""),"",(R127-S127)/(R127+S127)*100)</f>
        <v>13.770258431887855</v>
      </c>
      <c r="V127" s="323">
        <f>STDEV(E129:Q129)</f>
        <v>35.752295533258142</v>
      </c>
      <c r="W127" s="314" t="str">
        <f>IF(Q128="","",IF(T127&gt;300,IF(U127&lt;14,IF(T127&lt;390,"Pass","Fail"),"Fail"),"Fail"))</f>
        <v>Pass</v>
      </c>
      <c r="X127" s="317"/>
      <c r="Y127" s="328"/>
      <c r="Z127" s="221"/>
      <c r="AA127" s="102">
        <v>270</v>
      </c>
      <c r="AB127" s="102">
        <v>370</v>
      </c>
      <c r="AC127" s="102">
        <v>300</v>
      </c>
      <c r="AD127" s="103">
        <v>390</v>
      </c>
      <c r="AE127" s="103">
        <v>20</v>
      </c>
      <c r="AF127" s="103">
        <v>14</v>
      </c>
    </row>
    <row r="128" spans="1:32" ht="16.100000000000001" x14ac:dyDescent="0.35">
      <c r="A128" s="263"/>
      <c r="B128" s="104"/>
      <c r="C128" s="104"/>
      <c r="D128" s="100" t="s">
        <v>187</v>
      </c>
      <c r="E128" s="101">
        <v>1737.72</v>
      </c>
      <c r="F128" s="101">
        <v>1800.86</v>
      </c>
      <c r="G128" s="101">
        <v>1801.63</v>
      </c>
      <c r="H128" s="101">
        <v>1788.66</v>
      </c>
      <c r="I128" s="101">
        <v>1790.17</v>
      </c>
      <c r="J128" s="101">
        <v>1772.78</v>
      </c>
      <c r="K128" s="101">
        <v>1680.76</v>
      </c>
      <c r="L128" s="101">
        <v>1694.65</v>
      </c>
      <c r="M128" s="101">
        <v>1778.69</v>
      </c>
      <c r="N128" s="101">
        <v>1791.16</v>
      </c>
      <c r="O128" s="101">
        <v>1797.25</v>
      </c>
      <c r="P128" s="101">
        <v>1795.8</v>
      </c>
      <c r="Q128" s="101">
        <v>1735.15</v>
      </c>
      <c r="R128" s="321"/>
      <c r="S128" s="321"/>
      <c r="T128" s="324"/>
      <c r="U128" s="324"/>
      <c r="V128" s="326"/>
      <c r="W128" s="315"/>
      <c r="X128" s="318"/>
      <c r="Y128" s="329"/>
      <c r="Z128" s="221"/>
      <c r="AA128" s="102"/>
      <c r="AB128" s="102"/>
      <c r="AC128" s="102"/>
      <c r="AD128" s="103"/>
      <c r="AE128" s="103"/>
      <c r="AF128" s="103"/>
    </row>
    <row r="129" spans="1:32" ht="31.05" x14ac:dyDescent="0.35">
      <c r="A129" s="263"/>
      <c r="B129" s="99"/>
      <c r="C129" s="99"/>
      <c r="D129" s="100" t="s">
        <v>188</v>
      </c>
      <c r="E129" s="105">
        <f t="shared" ref="E129:Q129" si="40">IF(((E127="")*AND(E128="")),"",(E127-E128))</f>
        <v>384.76999999999975</v>
      </c>
      <c r="F129" s="105">
        <f t="shared" si="40"/>
        <v>315.4200000000003</v>
      </c>
      <c r="G129" s="105">
        <f t="shared" si="40"/>
        <v>314.98</v>
      </c>
      <c r="H129" s="105">
        <f t="shared" si="40"/>
        <v>333.91999999999985</v>
      </c>
      <c r="I129" s="105">
        <f t="shared" si="40"/>
        <v>333.88999999999987</v>
      </c>
      <c r="J129" s="105">
        <f t="shared" si="40"/>
        <v>365.66999999999985</v>
      </c>
      <c r="K129" s="105">
        <f t="shared" si="40"/>
        <v>414.83999999999992</v>
      </c>
      <c r="L129" s="105">
        <f t="shared" si="40"/>
        <v>415.57999999999993</v>
      </c>
      <c r="M129" s="105">
        <f t="shared" si="40"/>
        <v>369.17000000000007</v>
      </c>
      <c r="N129" s="105">
        <f t="shared" si="40"/>
        <v>344.70000000000005</v>
      </c>
      <c r="O129" s="105">
        <f t="shared" si="40"/>
        <v>323.19000000000005</v>
      </c>
      <c r="P129" s="105">
        <f t="shared" si="40"/>
        <v>317.12000000000012</v>
      </c>
      <c r="Q129" s="105">
        <f t="shared" si="40"/>
        <v>371.83999999999969</v>
      </c>
      <c r="R129" s="322"/>
      <c r="S129" s="322"/>
      <c r="T129" s="325"/>
      <c r="U129" s="325"/>
      <c r="V129" s="327"/>
      <c r="W129" s="316"/>
      <c r="X129" s="319"/>
      <c r="Y129" s="330"/>
      <c r="Z129" s="221"/>
      <c r="AA129" s="102"/>
      <c r="AB129" s="102"/>
      <c r="AC129" s="102"/>
      <c r="AD129" s="102"/>
      <c r="AE129" s="106"/>
      <c r="AF129" s="102"/>
    </row>
    <row r="130" spans="1:32" ht="15.55" x14ac:dyDescent="0.25">
      <c r="A130" s="264">
        <v>43283</v>
      </c>
      <c r="B130" s="99" t="s">
        <v>235</v>
      </c>
      <c r="C130" s="99" t="s">
        <v>232</v>
      </c>
      <c r="D130" s="100" t="s">
        <v>186</v>
      </c>
      <c r="E130" s="101">
        <v>1737.72</v>
      </c>
      <c r="F130" s="101">
        <v>1803.86</v>
      </c>
      <c r="G130" s="101">
        <v>1801.63</v>
      </c>
      <c r="H130" s="101">
        <v>1788.66</v>
      </c>
      <c r="I130" s="101">
        <v>1790.17</v>
      </c>
      <c r="J130" s="101">
        <v>1772.78</v>
      </c>
      <c r="K130" s="101">
        <v>1680.76</v>
      </c>
      <c r="L130" s="101">
        <v>1694.65</v>
      </c>
      <c r="M130" s="101">
        <v>1778.69</v>
      </c>
      <c r="N130" s="101">
        <v>1791.16</v>
      </c>
      <c r="O130" s="101">
        <v>1797.25</v>
      </c>
      <c r="P130" s="101">
        <v>1795.8</v>
      </c>
      <c r="Q130" s="101">
        <v>1735.15</v>
      </c>
      <c r="R130" s="320">
        <f>IF((Q131=""),"",MAX(E132:Q132))</f>
        <v>376.16000000000008</v>
      </c>
      <c r="S130" s="320">
        <f>IF(Q131="","",MIN(E132:Q132))</f>
        <v>314.49</v>
      </c>
      <c r="T130" s="323">
        <f>IF((Q132=""),"",AVERAGE(E132:Q132))</f>
        <v>337.55230769230764</v>
      </c>
      <c r="U130" s="323">
        <f>IF((Q131=""),"",(R130-S130)/(R130+S130)*100)</f>
        <v>8.9292695287048538</v>
      </c>
      <c r="V130" s="323">
        <f>STDEV(E132:Q132)</f>
        <v>21.73389831340516</v>
      </c>
      <c r="W130" s="314" t="str">
        <f>IF(Q131="","",IF(T130&gt;300,IF(U130&lt;14,IF(T130&lt;390,"Pass","Fail"),"Fail"),"Fail"))</f>
        <v>Pass</v>
      </c>
      <c r="X130" s="317">
        <v>1340</v>
      </c>
      <c r="Y130" s="328"/>
      <c r="Z130" s="221"/>
      <c r="AA130" s="102">
        <v>270</v>
      </c>
      <c r="AB130" s="102">
        <v>370</v>
      </c>
      <c r="AC130" s="102">
        <v>300</v>
      </c>
      <c r="AD130" s="103">
        <v>390</v>
      </c>
      <c r="AE130" s="103">
        <v>20</v>
      </c>
      <c r="AF130" s="103">
        <v>14</v>
      </c>
    </row>
    <row r="131" spans="1:32" ht="16.100000000000001" x14ac:dyDescent="0.35">
      <c r="A131" s="263"/>
      <c r="B131" s="104"/>
      <c r="C131" s="104"/>
      <c r="D131" s="100" t="s">
        <v>187</v>
      </c>
      <c r="E131" s="101">
        <v>1372.13</v>
      </c>
      <c r="F131" s="101">
        <v>1470.63</v>
      </c>
      <c r="G131" s="101">
        <v>1478.96</v>
      </c>
      <c r="H131" s="101">
        <v>1474.17</v>
      </c>
      <c r="I131" s="101">
        <v>1470.39</v>
      </c>
      <c r="J131" s="101">
        <v>1442.22</v>
      </c>
      <c r="K131" s="101">
        <v>1312.44</v>
      </c>
      <c r="L131" s="101">
        <v>1336</v>
      </c>
      <c r="M131" s="101">
        <v>1453.31</v>
      </c>
      <c r="N131" s="101">
        <v>1473.35</v>
      </c>
      <c r="O131" s="101">
        <v>1477.66</v>
      </c>
      <c r="P131" s="101">
        <v>1459.85</v>
      </c>
      <c r="Q131" s="101">
        <v>1358.99</v>
      </c>
      <c r="R131" s="321"/>
      <c r="S131" s="321"/>
      <c r="T131" s="324"/>
      <c r="U131" s="324"/>
      <c r="V131" s="326"/>
      <c r="W131" s="315"/>
      <c r="X131" s="318"/>
      <c r="Y131" s="329"/>
      <c r="Z131" s="221"/>
      <c r="AA131" s="102"/>
      <c r="AB131" s="102"/>
      <c r="AC131" s="102"/>
      <c r="AD131" s="103"/>
      <c r="AE131" s="103"/>
      <c r="AF131" s="103"/>
    </row>
    <row r="132" spans="1:32" ht="31.05" x14ac:dyDescent="0.35">
      <c r="A132" s="263"/>
      <c r="B132" s="99"/>
      <c r="C132" s="99"/>
      <c r="D132" s="100" t="s">
        <v>188</v>
      </c>
      <c r="E132" s="105">
        <f t="shared" ref="E132:Q132" si="41">IF(((E130="")*AND(E131="")),"",(E130-E131))</f>
        <v>365.58999999999992</v>
      </c>
      <c r="F132" s="105">
        <f t="shared" si="41"/>
        <v>333.22999999999979</v>
      </c>
      <c r="G132" s="105">
        <f t="shared" si="41"/>
        <v>322.67000000000007</v>
      </c>
      <c r="H132" s="105">
        <f t="shared" si="41"/>
        <v>314.49</v>
      </c>
      <c r="I132" s="105">
        <f t="shared" si="41"/>
        <v>319.77999999999997</v>
      </c>
      <c r="J132" s="105">
        <f t="shared" si="41"/>
        <v>330.55999999999995</v>
      </c>
      <c r="K132" s="105">
        <f t="shared" si="41"/>
        <v>368.31999999999994</v>
      </c>
      <c r="L132" s="105">
        <f t="shared" si="41"/>
        <v>358.65000000000009</v>
      </c>
      <c r="M132" s="105">
        <f t="shared" si="41"/>
        <v>325.38000000000011</v>
      </c>
      <c r="N132" s="105">
        <f t="shared" si="41"/>
        <v>317.81000000000017</v>
      </c>
      <c r="O132" s="105">
        <f t="shared" si="41"/>
        <v>319.58999999999992</v>
      </c>
      <c r="P132" s="105">
        <f t="shared" si="41"/>
        <v>335.95000000000005</v>
      </c>
      <c r="Q132" s="105">
        <f t="shared" si="41"/>
        <v>376.16000000000008</v>
      </c>
      <c r="R132" s="322"/>
      <c r="S132" s="322"/>
      <c r="T132" s="325"/>
      <c r="U132" s="325"/>
      <c r="V132" s="327"/>
      <c r="W132" s="316"/>
      <c r="X132" s="319"/>
      <c r="Y132" s="330"/>
      <c r="Z132" s="221"/>
      <c r="AA132" s="102"/>
      <c r="AB132" s="102"/>
      <c r="AC132" s="102"/>
      <c r="AD132" s="102"/>
      <c r="AE132" s="106"/>
      <c r="AF132" s="102"/>
    </row>
    <row r="133" spans="1:32" ht="15.55" x14ac:dyDescent="0.25">
      <c r="A133" s="264">
        <v>43286</v>
      </c>
      <c r="B133" s="99" t="s">
        <v>235</v>
      </c>
      <c r="C133" s="99" t="s">
        <v>232</v>
      </c>
      <c r="D133" s="100" t="s">
        <v>186</v>
      </c>
      <c r="E133" s="101">
        <v>2042.65</v>
      </c>
      <c r="F133" s="101">
        <v>2060.89</v>
      </c>
      <c r="G133" s="101">
        <v>2079.14</v>
      </c>
      <c r="H133" s="101">
        <v>2084.1799999999998</v>
      </c>
      <c r="I133" s="101">
        <v>2100.1999999999998</v>
      </c>
      <c r="J133" s="101">
        <v>2120.16</v>
      </c>
      <c r="K133" s="101">
        <v>2128.91</v>
      </c>
      <c r="L133" s="101">
        <v>2130.4499999999998</v>
      </c>
      <c r="M133" s="101">
        <v>2125.1999999999998</v>
      </c>
      <c r="N133" s="101">
        <v>2109.46</v>
      </c>
      <c r="O133" s="101">
        <v>2082.06</v>
      </c>
      <c r="P133" s="101">
        <v>2067.9299999999998</v>
      </c>
      <c r="Q133" s="101">
        <v>2059.11</v>
      </c>
      <c r="R133" s="320">
        <f>IF((Q134=""),"",MAX(E135:Q135))</f>
        <v>382.06999999999971</v>
      </c>
      <c r="S133" s="320">
        <f>IF(Q134="","",MIN(E135:Q135))</f>
        <v>312.34999999999991</v>
      </c>
      <c r="T133" s="323">
        <f>IF((Q135=""),"",AVERAGE(E135:Q135))</f>
        <v>339.17923076923063</v>
      </c>
      <c r="U133" s="323">
        <f>IF((Q134=""),"",(R133-S133)/(R133+S133)*100)</f>
        <v>10.04003340917598</v>
      </c>
      <c r="V133" s="323">
        <f>STDEV(E135:Q135)</f>
        <v>23.65144056977589</v>
      </c>
      <c r="W133" s="314" t="str">
        <f>IF(Q134="","",IF(T133&gt;300,IF(U133&lt;14,IF(T133&lt;390,"Pass","Fail"),"Fail"),"Fail"))</f>
        <v>Pass</v>
      </c>
      <c r="X133" s="317">
        <v>121</v>
      </c>
      <c r="Y133" s="328"/>
      <c r="Z133" s="221"/>
      <c r="AA133" s="102">
        <v>270</v>
      </c>
      <c r="AB133" s="102">
        <v>370</v>
      </c>
      <c r="AC133" s="102">
        <v>300</v>
      </c>
      <c r="AD133" s="103">
        <v>390</v>
      </c>
      <c r="AE133" s="103">
        <v>20</v>
      </c>
      <c r="AF133" s="103">
        <v>14</v>
      </c>
    </row>
    <row r="134" spans="1:32" ht="16.100000000000001" x14ac:dyDescent="0.35">
      <c r="A134" s="263"/>
      <c r="B134" s="104"/>
      <c r="C134" s="104"/>
      <c r="D134" s="100" t="s">
        <v>187</v>
      </c>
      <c r="E134" s="101">
        <v>1690.6</v>
      </c>
      <c r="F134" s="101">
        <v>1744.05</v>
      </c>
      <c r="G134" s="101">
        <v>1763.54</v>
      </c>
      <c r="H134" s="101">
        <v>1771.83</v>
      </c>
      <c r="I134" s="101">
        <v>1778.22</v>
      </c>
      <c r="J134" s="101">
        <v>1774.49</v>
      </c>
      <c r="K134" s="101">
        <v>1755.47</v>
      </c>
      <c r="L134" s="101">
        <v>1748.38</v>
      </c>
      <c r="M134" s="101">
        <v>1776.47</v>
      </c>
      <c r="N134" s="101">
        <v>1776.09</v>
      </c>
      <c r="O134" s="101">
        <v>1765.67</v>
      </c>
      <c r="P134" s="101">
        <v>1741.2</v>
      </c>
      <c r="Q134" s="101">
        <v>1695</v>
      </c>
      <c r="R134" s="321"/>
      <c r="S134" s="321"/>
      <c r="T134" s="324"/>
      <c r="U134" s="324"/>
      <c r="V134" s="326"/>
      <c r="W134" s="315"/>
      <c r="X134" s="318"/>
      <c r="Y134" s="329"/>
      <c r="Z134" s="221"/>
      <c r="AA134" s="102"/>
      <c r="AB134" s="102"/>
      <c r="AC134" s="102"/>
      <c r="AD134" s="103"/>
      <c r="AE134" s="103"/>
      <c r="AF134" s="103"/>
    </row>
    <row r="135" spans="1:32" ht="31.05" x14ac:dyDescent="0.35">
      <c r="A135" s="263"/>
      <c r="B135" s="99"/>
      <c r="C135" s="99"/>
      <c r="D135" s="100" t="s">
        <v>188</v>
      </c>
      <c r="E135" s="105">
        <f t="shared" ref="E135:Q135" si="42">IF(((E133="")*AND(E134="")),"",(E133-E134))</f>
        <v>352.05000000000018</v>
      </c>
      <c r="F135" s="105">
        <f t="shared" si="42"/>
        <v>316.83999999999992</v>
      </c>
      <c r="G135" s="105">
        <f t="shared" si="42"/>
        <v>315.59999999999991</v>
      </c>
      <c r="H135" s="105">
        <f t="shared" si="42"/>
        <v>312.34999999999991</v>
      </c>
      <c r="I135" s="105">
        <f t="shared" si="42"/>
        <v>321.97999999999979</v>
      </c>
      <c r="J135" s="105">
        <f t="shared" si="42"/>
        <v>345.66999999999985</v>
      </c>
      <c r="K135" s="105">
        <f t="shared" si="42"/>
        <v>373.43999999999983</v>
      </c>
      <c r="L135" s="105">
        <f t="shared" si="42"/>
        <v>382.06999999999971</v>
      </c>
      <c r="M135" s="105">
        <f t="shared" si="42"/>
        <v>348.72999999999979</v>
      </c>
      <c r="N135" s="105">
        <f t="shared" si="42"/>
        <v>333.37000000000012</v>
      </c>
      <c r="O135" s="105">
        <f t="shared" si="42"/>
        <v>316.38999999999987</v>
      </c>
      <c r="P135" s="105">
        <f t="shared" si="42"/>
        <v>326.72999999999979</v>
      </c>
      <c r="Q135" s="105">
        <f t="shared" si="42"/>
        <v>364.11000000000013</v>
      </c>
      <c r="R135" s="322"/>
      <c r="S135" s="322"/>
      <c r="T135" s="325"/>
      <c r="U135" s="325"/>
      <c r="V135" s="327"/>
      <c r="W135" s="316"/>
      <c r="X135" s="319"/>
      <c r="Y135" s="330"/>
      <c r="Z135" s="221"/>
      <c r="AA135" s="102"/>
      <c r="AB135" s="102"/>
      <c r="AC135" s="102"/>
      <c r="AD135" s="102"/>
      <c r="AE135" s="106"/>
      <c r="AF135" s="102"/>
    </row>
    <row r="136" spans="1:32" ht="15.55" x14ac:dyDescent="0.25">
      <c r="A136" s="264">
        <v>43289</v>
      </c>
      <c r="B136" s="99" t="s">
        <v>235</v>
      </c>
      <c r="C136" s="99" t="s">
        <v>232</v>
      </c>
      <c r="D136" s="100" t="s">
        <v>186</v>
      </c>
      <c r="E136" s="101">
        <v>1685.39</v>
      </c>
      <c r="F136" s="101">
        <v>1739.22</v>
      </c>
      <c r="G136" s="101">
        <v>1738.01</v>
      </c>
      <c r="H136" s="101">
        <v>1757.85</v>
      </c>
      <c r="I136" s="101">
        <v>1777.94</v>
      </c>
      <c r="J136" s="101">
        <v>1772.33</v>
      </c>
      <c r="K136" s="101">
        <v>1757.42</v>
      </c>
      <c r="L136" s="101">
        <v>1739.91</v>
      </c>
      <c r="M136" s="101">
        <v>1771.07</v>
      </c>
      <c r="N136" s="101">
        <v>1769.13</v>
      </c>
      <c r="O136" s="101">
        <v>1750.53</v>
      </c>
      <c r="P136" s="101">
        <v>1742.91</v>
      </c>
      <c r="Q136" s="101">
        <v>1703.37</v>
      </c>
      <c r="R136" s="320">
        <f>IF((Q137=""),"",MAX(E138:Q138))</f>
        <v>367.37999999999988</v>
      </c>
      <c r="S136" s="320">
        <f>IF(Q137="","",MIN(E138:Q138))</f>
        <v>289.73</v>
      </c>
      <c r="T136" s="323">
        <f>IF((Q138=""),"",AVERAGE(E138:Q138))</f>
        <v>325.65076923076924</v>
      </c>
      <c r="U136" s="323">
        <f>IF((Q137=""),"",(R136-S136)/(R136+S136)*100)</f>
        <v>11.816895192585697</v>
      </c>
      <c r="V136" s="323">
        <f>STDEV(E138:Q138)</f>
        <v>28.451063677110142</v>
      </c>
      <c r="W136" s="314" t="str">
        <f>IF(Q137="","",IF(T136&gt;300,IF(U136&lt;14,IF(T136&lt;390,"Pass","Fail"),"Fail"),"Fail"))</f>
        <v>Pass</v>
      </c>
      <c r="X136" s="317">
        <v>1428</v>
      </c>
      <c r="Y136" s="227" t="s">
        <v>239</v>
      </c>
      <c r="Z136" s="221"/>
      <c r="AA136" s="102">
        <v>270</v>
      </c>
      <c r="AB136" s="102">
        <v>370</v>
      </c>
      <c r="AC136" s="102">
        <v>300</v>
      </c>
      <c r="AD136" s="103">
        <v>390</v>
      </c>
      <c r="AE136" s="103">
        <v>20</v>
      </c>
      <c r="AF136" s="103">
        <v>14</v>
      </c>
    </row>
    <row r="137" spans="1:32" ht="16.100000000000001" x14ac:dyDescent="0.35">
      <c r="A137" s="263"/>
      <c r="B137" s="104"/>
      <c r="C137" s="104"/>
      <c r="D137" s="100" t="s">
        <v>187</v>
      </c>
      <c r="E137" s="101">
        <v>1320.07</v>
      </c>
      <c r="F137" s="101">
        <v>1418.13</v>
      </c>
      <c r="G137" s="101">
        <v>1448.28</v>
      </c>
      <c r="H137" s="101">
        <v>1458.22</v>
      </c>
      <c r="I137" s="101">
        <v>1467.12</v>
      </c>
      <c r="J137" s="101">
        <v>1452.35</v>
      </c>
      <c r="K137" s="101">
        <v>1395.61</v>
      </c>
      <c r="L137" s="101">
        <v>1382.69</v>
      </c>
      <c r="M137" s="101">
        <v>1452.05</v>
      </c>
      <c r="N137" s="101">
        <v>1466.2</v>
      </c>
      <c r="O137" s="101">
        <v>1460.72</v>
      </c>
      <c r="P137" s="101">
        <v>1414.19</v>
      </c>
      <c r="Q137" s="101">
        <v>1335.99</v>
      </c>
      <c r="R137" s="321"/>
      <c r="S137" s="321"/>
      <c r="T137" s="324"/>
      <c r="U137" s="324"/>
      <c r="V137" s="326"/>
      <c r="W137" s="315"/>
      <c r="X137" s="318"/>
      <c r="Y137" s="224"/>
      <c r="Z137" s="221"/>
      <c r="AA137" s="102"/>
      <c r="AB137" s="102"/>
      <c r="AC137" s="102"/>
      <c r="AD137" s="103"/>
      <c r="AE137" s="103"/>
      <c r="AF137" s="103"/>
    </row>
    <row r="138" spans="1:32" ht="31.05" x14ac:dyDescent="0.35">
      <c r="A138" s="263"/>
      <c r="B138" s="99"/>
      <c r="C138" s="99"/>
      <c r="D138" s="100" t="s">
        <v>188</v>
      </c>
      <c r="E138" s="105">
        <f t="shared" ref="E138:Q138" si="43">IF(((E136="")*AND(E137="")),"",(E136-E137))</f>
        <v>365.32000000000016</v>
      </c>
      <c r="F138" s="105">
        <f t="shared" si="43"/>
        <v>321.08999999999992</v>
      </c>
      <c r="G138" s="105">
        <f t="shared" si="43"/>
        <v>289.73</v>
      </c>
      <c r="H138" s="105">
        <f t="shared" si="43"/>
        <v>299.62999999999988</v>
      </c>
      <c r="I138" s="105">
        <f t="shared" si="43"/>
        <v>310.82000000000016</v>
      </c>
      <c r="J138" s="105">
        <f t="shared" si="43"/>
        <v>319.98</v>
      </c>
      <c r="K138" s="105">
        <f t="shared" si="43"/>
        <v>361.81000000000017</v>
      </c>
      <c r="L138" s="105">
        <f t="shared" si="43"/>
        <v>357.22</v>
      </c>
      <c r="M138" s="105">
        <f t="shared" si="43"/>
        <v>319.02</v>
      </c>
      <c r="N138" s="105">
        <f t="shared" si="43"/>
        <v>302.93000000000006</v>
      </c>
      <c r="O138" s="105">
        <f t="shared" si="43"/>
        <v>289.80999999999995</v>
      </c>
      <c r="P138" s="105">
        <f t="shared" si="43"/>
        <v>328.72</v>
      </c>
      <c r="Q138" s="105">
        <f t="shared" si="43"/>
        <v>367.37999999999988</v>
      </c>
      <c r="R138" s="322"/>
      <c r="S138" s="322"/>
      <c r="T138" s="325"/>
      <c r="U138" s="325"/>
      <c r="V138" s="327"/>
      <c r="W138" s="316"/>
      <c r="X138" s="319"/>
      <c r="Y138" s="225"/>
      <c r="Z138" s="221"/>
      <c r="AA138" s="102"/>
      <c r="AB138" s="102"/>
      <c r="AC138" s="102"/>
      <c r="AD138" s="102"/>
      <c r="AE138" s="106"/>
      <c r="AF138" s="102"/>
    </row>
    <row r="139" spans="1:32" ht="15.55" x14ac:dyDescent="0.25">
      <c r="A139" s="264">
        <v>43292</v>
      </c>
      <c r="B139" s="99" t="s">
        <v>235</v>
      </c>
      <c r="C139" s="99" t="s">
        <v>232</v>
      </c>
      <c r="D139" s="100" t="s">
        <v>186</v>
      </c>
      <c r="E139" s="101">
        <v>1860.54</v>
      </c>
      <c r="F139" s="101">
        <v>1770.45</v>
      </c>
      <c r="G139" s="101">
        <v>1738.25</v>
      </c>
      <c r="H139" s="101">
        <v>1727.16</v>
      </c>
      <c r="I139" s="101">
        <v>1728.07</v>
      </c>
      <c r="J139" s="101">
        <v>1759.92</v>
      </c>
      <c r="K139" s="101">
        <v>1865.76</v>
      </c>
      <c r="L139" s="101">
        <v>1836.16</v>
      </c>
      <c r="M139" s="101">
        <v>1750.02</v>
      </c>
      <c r="N139" s="101">
        <v>1725.85</v>
      </c>
      <c r="O139" s="101">
        <v>1746.88</v>
      </c>
      <c r="P139" s="101">
        <v>1797.9</v>
      </c>
      <c r="Q139" s="101">
        <v>1920.09</v>
      </c>
      <c r="R139" s="320">
        <f>IF((Q140=""),"",MAX(E141:Q141))</f>
        <v>356.23</v>
      </c>
      <c r="S139" s="320">
        <f>IF(Q140="","",MIN(E141:Q141))</f>
        <v>310.30000000000018</v>
      </c>
      <c r="T139" s="323">
        <f>IF((Q141=""),"",AVERAGE(E141:Q141))</f>
        <v>328.53230769230771</v>
      </c>
      <c r="U139" s="323">
        <f>IF((Q140=""),"",(R139-S139)/(R139+S139)*100)</f>
        <v>6.8909126370905769</v>
      </c>
      <c r="V139" s="323">
        <f>STDEV(E141:Q141)</f>
        <v>15.347452640881571</v>
      </c>
      <c r="W139" s="314" t="str">
        <f>IF(Q140="","",IF(T139&gt;300,IF(U139&lt;14,IF(T139&lt;390,"Pass","Fail"),"Fail"),"Fail"))</f>
        <v>Pass</v>
      </c>
      <c r="X139" s="317">
        <v>1335</v>
      </c>
      <c r="Y139" s="328"/>
      <c r="Z139" s="221"/>
      <c r="AA139" s="102">
        <v>270</v>
      </c>
      <c r="AB139" s="102">
        <v>370</v>
      </c>
      <c r="AC139" s="102">
        <v>300</v>
      </c>
      <c r="AD139" s="103">
        <v>390</v>
      </c>
      <c r="AE139" s="103">
        <v>20</v>
      </c>
      <c r="AF139" s="103">
        <v>14</v>
      </c>
    </row>
    <row r="140" spans="1:32" ht="16.100000000000001" x14ac:dyDescent="0.35">
      <c r="A140" s="263"/>
      <c r="B140" s="104"/>
      <c r="C140" s="104"/>
      <c r="D140" s="100" t="s">
        <v>187</v>
      </c>
      <c r="E140" s="101">
        <v>1504.31</v>
      </c>
      <c r="F140" s="101">
        <v>1443.17</v>
      </c>
      <c r="G140" s="101">
        <v>1424.25</v>
      </c>
      <c r="H140" s="101">
        <v>1416.86</v>
      </c>
      <c r="I140" s="101">
        <v>1414.72</v>
      </c>
      <c r="J140" s="101">
        <v>1432.39</v>
      </c>
      <c r="K140" s="101">
        <v>1519.71</v>
      </c>
      <c r="L140" s="101">
        <v>1485.35</v>
      </c>
      <c r="M140" s="101">
        <v>1424.36</v>
      </c>
      <c r="N140" s="101">
        <v>1412.48</v>
      </c>
      <c r="O140" s="101">
        <v>1429.79</v>
      </c>
      <c r="P140" s="101">
        <v>1467.53</v>
      </c>
      <c r="Q140" s="101">
        <v>1581.21</v>
      </c>
      <c r="R140" s="321"/>
      <c r="S140" s="321"/>
      <c r="T140" s="324"/>
      <c r="U140" s="324"/>
      <c r="V140" s="326"/>
      <c r="W140" s="315"/>
      <c r="X140" s="318"/>
      <c r="Y140" s="329"/>
      <c r="Z140" s="221"/>
      <c r="AA140" s="102"/>
      <c r="AB140" s="102"/>
      <c r="AC140" s="102"/>
      <c r="AD140" s="103"/>
      <c r="AE140" s="103"/>
      <c r="AF140" s="103"/>
    </row>
    <row r="141" spans="1:32" ht="31.05" x14ac:dyDescent="0.35">
      <c r="A141" s="263"/>
      <c r="B141" s="99"/>
      <c r="C141" s="99"/>
      <c r="D141" s="100" t="s">
        <v>188</v>
      </c>
      <c r="E141" s="105">
        <f t="shared" ref="E141:Q141" si="44">IF(((E139="")*AND(E140="")),"",(E139-E140))</f>
        <v>356.23</v>
      </c>
      <c r="F141" s="105">
        <f t="shared" si="44"/>
        <v>327.27999999999997</v>
      </c>
      <c r="G141" s="105">
        <f t="shared" si="44"/>
        <v>314</v>
      </c>
      <c r="H141" s="105">
        <f t="shared" si="44"/>
        <v>310.30000000000018</v>
      </c>
      <c r="I141" s="105">
        <f t="shared" si="44"/>
        <v>313.34999999999991</v>
      </c>
      <c r="J141" s="105">
        <f t="shared" si="44"/>
        <v>327.52999999999997</v>
      </c>
      <c r="K141" s="105">
        <f t="shared" si="44"/>
        <v>346.04999999999995</v>
      </c>
      <c r="L141" s="105">
        <f t="shared" si="44"/>
        <v>350.81000000000017</v>
      </c>
      <c r="M141" s="105">
        <f t="shared" si="44"/>
        <v>325.66000000000008</v>
      </c>
      <c r="N141" s="105">
        <f t="shared" si="44"/>
        <v>313.36999999999989</v>
      </c>
      <c r="O141" s="105">
        <f t="shared" si="44"/>
        <v>317.09000000000015</v>
      </c>
      <c r="P141" s="105">
        <f t="shared" si="44"/>
        <v>330.37000000000012</v>
      </c>
      <c r="Q141" s="105">
        <f t="shared" si="44"/>
        <v>338.87999999999988</v>
      </c>
      <c r="R141" s="322"/>
      <c r="S141" s="322"/>
      <c r="T141" s="325"/>
      <c r="U141" s="325"/>
      <c r="V141" s="327"/>
      <c r="W141" s="316"/>
      <c r="X141" s="319"/>
      <c r="Y141" s="330"/>
      <c r="Z141" s="221"/>
      <c r="AA141" s="102"/>
      <c r="AB141" s="102"/>
      <c r="AC141" s="102"/>
      <c r="AD141" s="102"/>
      <c r="AE141" s="106"/>
      <c r="AF141" s="102"/>
    </row>
    <row r="142" spans="1:32" ht="15.55" x14ac:dyDescent="0.25">
      <c r="A142" s="264">
        <v>43296</v>
      </c>
      <c r="B142" s="99" t="s">
        <v>235</v>
      </c>
      <c r="C142" s="99" t="s">
        <v>232</v>
      </c>
      <c r="D142" s="100" t="s">
        <v>186</v>
      </c>
      <c r="E142" s="101">
        <v>2881.64</v>
      </c>
      <c r="F142" s="101">
        <v>2831.34</v>
      </c>
      <c r="G142" s="101">
        <v>2801.47</v>
      </c>
      <c r="H142" s="101">
        <v>2793.02</v>
      </c>
      <c r="I142" s="101">
        <v>2801</v>
      </c>
      <c r="J142" s="101">
        <v>2822.23</v>
      </c>
      <c r="K142" s="101">
        <v>2865.81</v>
      </c>
      <c r="L142" s="101">
        <v>2879.68</v>
      </c>
      <c r="M142" s="101">
        <v>2822.68</v>
      </c>
      <c r="N142" s="101">
        <v>2793.38</v>
      </c>
      <c r="O142" s="101">
        <v>2815.14</v>
      </c>
      <c r="P142" s="101">
        <v>2856.31</v>
      </c>
      <c r="Q142" s="101">
        <v>2935.58</v>
      </c>
      <c r="R142" s="320">
        <f>IF((Q143=""),"",MAX(E144:Q144))</f>
        <v>377.88000000000011</v>
      </c>
      <c r="S142" s="320">
        <f>IF(Q143="","",MIN(E144:Q144))</f>
        <v>316.14000000000033</v>
      </c>
      <c r="T142" s="323">
        <f>IF((Q144=""),"",AVERAGE(E144:Q144))</f>
        <v>338.86230769230764</v>
      </c>
      <c r="U142" s="323">
        <f>IF((Q143=""),"",(R142-S142)/(R142+S142)*100)</f>
        <v>8.8959972335090836</v>
      </c>
      <c r="V142" s="323">
        <f>STDEV(E144:Q144)</f>
        <v>23.794503270659735</v>
      </c>
      <c r="W142" s="314" t="str">
        <f>IF(Q143="","",IF(T142&gt;300,IF(U142&lt;14,IF(T142&lt;390,"Pass","Fail"),"Fail"),"Fail"))</f>
        <v>Pass</v>
      </c>
      <c r="X142" s="317">
        <v>1335</v>
      </c>
      <c r="Y142" s="328"/>
      <c r="Z142" s="221"/>
      <c r="AA142" s="102">
        <v>270</v>
      </c>
      <c r="AB142" s="102">
        <v>370</v>
      </c>
      <c r="AC142" s="102">
        <v>300</v>
      </c>
      <c r="AD142" s="103">
        <v>390</v>
      </c>
      <c r="AE142" s="103">
        <v>20</v>
      </c>
      <c r="AF142" s="103">
        <v>14</v>
      </c>
    </row>
    <row r="143" spans="1:32" ht="16.100000000000001" x14ac:dyDescent="0.35">
      <c r="A143" s="263"/>
      <c r="B143" s="104"/>
      <c r="C143" s="104"/>
      <c r="D143" s="100" t="s">
        <v>187</v>
      </c>
      <c r="E143" s="101">
        <v>2510.17</v>
      </c>
      <c r="F143" s="101">
        <v>2499.92</v>
      </c>
      <c r="G143" s="101">
        <v>2483.13</v>
      </c>
      <c r="H143" s="101">
        <v>2475.37</v>
      </c>
      <c r="I143" s="101">
        <v>2478.62</v>
      </c>
      <c r="J143" s="101">
        <v>2494.63</v>
      </c>
      <c r="K143" s="101">
        <v>2494.9499999999998</v>
      </c>
      <c r="L143" s="101">
        <v>2510.7399999999998</v>
      </c>
      <c r="M143" s="101">
        <v>2491.8200000000002</v>
      </c>
      <c r="N143" s="101">
        <v>2477.2399999999998</v>
      </c>
      <c r="O143" s="101">
        <v>2493.5</v>
      </c>
      <c r="P143" s="101">
        <v>2526.2800000000002</v>
      </c>
      <c r="Q143" s="101">
        <v>2557.6999999999998</v>
      </c>
      <c r="R143" s="321"/>
      <c r="S143" s="321"/>
      <c r="T143" s="324"/>
      <c r="U143" s="324"/>
      <c r="V143" s="326"/>
      <c r="W143" s="315"/>
      <c r="X143" s="318"/>
      <c r="Y143" s="329"/>
      <c r="Z143" s="221"/>
      <c r="AA143" s="102"/>
      <c r="AB143" s="102"/>
      <c r="AC143" s="102"/>
      <c r="AD143" s="103"/>
      <c r="AE143" s="103"/>
      <c r="AF143" s="103"/>
    </row>
    <row r="144" spans="1:32" ht="31.05" x14ac:dyDescent="0.35">
      <c r="A144" s="263"/>
      <c r="B144" s="99"/>
      <c r="C144" s="99"/>
      <c r="D144" s="100" t="s">
        <v>188</v>
      </c>
      <c r="E144" s="105">
        <f t="shared" ref="E144:Q144" si="45">IF(((E142="")*AND(E143="")),"",(E142-E143))</f>
        <v>371.4699999999998</v>
      </c>
      <c r="F144" s="105">
        <f t="shared" si="45"/>
        <v>331.42000000000007</v>
      </c>
      <c r="G144" s="105">
        <f t="shared" si="45"/>
        <v>318.33999999999969</v>
      </c>
      <c r="H144" s="105">
        <f t="shared" si="45"/>
        <v>317.65000000000009</v>
      </c>
      <c r="I144" s="105">
        <f t="shared" si="45"/>
        <v>322.38000000000011</v>
      </c>
      <c r="J144" s="105">
        <f t="shared" si="45"/>
        <v>327.59999999999991</v>
      </c>
      <c r="K144" s="105">
        <f t="shared" si="45"/>
        <v>370.86000000000013</v>
      </c>
      <c r="L144" s="105">
        <f t="shared" si="45"/>
        <v>368.94000000000005</v>
      </c>
      <c r="M144" s="105">
        <f t="shared" si="45"/>
        <v>330.85999999999967</v>
      </c>
      <c r="N144" s="105">
        <f t="shared" si="45"/>
        <v>316.14000000000033</v>
      </c>
      <c r="O144" s="105">
        <f t="shared" si="45"/>
        <v>321.63999999999987</v>
      </c>
      <c r="P144" s="105">
        <f t="shared" si="45"/>
        <v>330.02999999999975</v>
      </c>
      <c r="Q144" s="105">
        <f t="shared" si="45"/>
        <v>377.88000000000011</v>
      </c>
      <c r="R144" s="322"/>
      <c r="S144" s="322"/>
      <c r="T144" s="325"/>
      <c r="U144" s="325"/>
      <c r="V144" s="327"/>
      <c r="W144" s="316"/>
      <c r="X144" s="319"/>
      <c r="Y144" s="330"/>
      <c r="Z144" s="221"/>
      <c r="AA144" s="102"/>
      <c r="AB144" s="102"/>
      <c r="AC144" s="102"/>
      <c r="AD144" s="102"/>
      <c r="AE144" s="106"/>
      <c r="AF144" s="102"/>
    </row>
    <row r="145" spans="1:32" ht="15.55" x14ac:dyDescent="0.25">
      <c r="A145" s="264">
        <v>43300</v>
      </c>
      <c r="B145" s="99" t="s">
        <v>235</v>
      </c>
      <c r="C145" s="99" t="s">
        <v>232</v>
      </c>
      <c r="D145" s="100" t="s">
        <v>186</v>
      </c>
      <c r="E145" s="101">
        <v>2510.17</v>
      </c>
      <c r="F145" s="101">
        <v>2499.92</v>
      </c>
      <c r="G145" s="101">
        <v>2483.13</v>
      </c>
      <c r="H145" s="101">
        <v>2475.37</v>
      </c>
      <c r="I145" s="101">
        <v>2478.62</v>
      </c>
      <c r="J145" s="101">
        <v>2494.63</v>
      </c>
      <c r="K145" s="101">
        <v>2494.9499999999998</v>
      </c>
      <c r="L145" s="101">
        <v>2510.7399999999998</v>
      </c>
      <c r="M145" s="101">
        <v>2491.8200000000002</v>
      </c>
      <c r="N145" s="101">
        <v>2477.2399999999998</v>
      </c>
      <c r="O145" s="101">
        <v>2493.5</v>
      </c>
      <c r="P145" s="101">
        <v>2526.2800000000002</v>
      </c>
      <c r="Q145" s="101">
        <v>2557.6999999999998</v>
      </c>
      <c r="R145" s="320">
        <f>IF((Q146=""),"",MAX(E147:Q147))</f>
        <v>421.38999999999987</v>
      </c>
      <c r="S145" s="320">
        <f>IF(Q146="","",MIN(E147:Q147))</f>
        <v>369.72000000000025</v>
      </c>
      <c r="T145" s="323">
        <f>IF((Q147=""),"",AVERAGE(E147:Q147))</f>
        <v>389.63846153846163</v>
      </c>
      <c r="U145" s="323">
        <f>IF((Q146=""),"",(R145-S145)/(R145+S145)*100)</f>
        <v>6.5313293979344991</v>
      </c>
      <c r="V145" s="323">
        <f>STDEV(E147:Q147)</f>
        <v>16.410502656405633</v>
      </c>
      <c r="W145" s="314" t="str">
        <f>IF(Q146="","",IF(T145&gt;300,IF(U145&lt;14,IF(T145&lt;390,"Pass","Fail"),"Fail"),"Fail"))</f>
        <v>Pass</v>
      </c>
      <c r="X145" s="317">
        <v>1340</v>
      </c>
      <c r="Y145" s="328"/>
      <c r="Z145" s="221"/>
      <c r="AA145" s="102">
        <v>270</v>
      </c>
      <c r="AB145" s="102">
        <v>370</v>
      </c>
      <c r="AC145" s="102">
        <v>300</v>
      </c>
      <c r="AD145" s="103">
        <v>390</v>
      </c>
      <c r="AE145" s="103">
        <v>20</v>
      </c>
      <c r="AF145" s="103">
        <v>14</v>
      </c>
    </row>
    <row r="146" spans="1:32" ht="16.100000000000001" x14ac:dyDescent="0.35">
      <c r="A146" s="263"/>
      <c r="B146" s="104"/>
      <c r="C146" s="104"/>
      <c r="D146" s="100" t="s">
        <v>187</v>
      </c>
      <c r="E146" s="101">
        <v>2089.0500000000002</v>
      </c>
      <c r="F146" s="101">
        <v>2098.1999999999998</v>
      </c>
      <c r="G146" s="101">
        <v>2095.7399999999998</v>
      </c>
      <c r="H146" s="101">
        <v>2095.17</v>
      </c>
      <c r="I146" s="101">
        <v>2107.2199999999998</v>
      </c>
      <c r="J146" s="101">
        <v>2113.33</v>
      </c>
      <c r="K146" s="101">
        <v>2112.5500000000002</v>
      </c>
      <c r="L146" s="101">
        <v>2124.62</v>
      </c>
      <c r="M146" s="101">
        <v>2122.1</v>
      </c>
      <c r="N146" s="101">
        <v>2098.08</v>
      </c>
      <c r="O146" s="101">
        <v>2104.09</v>
      </c>
      <c r="P146" s="101">
        <v>2132.31</v>
      </c>
      <c r="Q146" s="101">
        <v>2136.31</v>
      </c>
      <c r="R146" s="321"/>
      <c r="S146" s="321"/>
      <c r="T146" s="324"/>
      <c r="U146" s="324"/>
      <c r="V146" s="326"/>
      <c r="W146" s="315"/>
      <c r="X146" s="318"/>
      <c r="Y146" s="329"/>
      <c r="Z146" s="221"/>
      <c r="AA146" s="102"/>
      <c r="AB146" s="102"/>
      <c r="AC146" s="102"/>
      <c r="AD146" s="103"/>
      <c r="AE146" s="103"/>
      <c r="AF146" s="103"/>
    </row>
    <row r="147" spans="1:32" ht="31.05" x14ac:dyDescent="0.35">
      <c r="A147" s="263"/>
      <c r="B147" s="99"/>
      <c r="C147" s="99"/>
      <c r="D147" s="100" t="s">
        <v>188</v>
      </c>
      <c r="E147" s="105">
        <f t="shared" ref="E147:Q147" si="46">IF(((E145="")*AND(E146="")),"",(E145-E146))</f>
        <v>421.11999999999989</v>
      </c>
      <c r="F147" s="105">
        <f t="shared" si="46"/>
        <v>401.72000000000025</v>
      </c>
      <c r="G147" s="105">
        <f t="shared" si="46"/>
        <v>387.39000000000033</v>
      </c>
      <c r="H147" s="105">
        <f t="shared" si="46"/>
        <v>380.19999999999982</v>
      </c>
      <c r="I147" s="105">
        <f t="shared" si="46"/>
        <v>371.40000000000009</v>
      </c>
      <c r="J147" s="105">
        <f t="shared" si="46"/>
        <v>381.30000000000018</v>
      </c>
      <c r="K147" s="105">
        <f t="shared" si="46"/>
        <v>382.39999999999964</v>
      </c>
      <c r="L147" s="105">
        <f t="shared" si="46"/>
        <v>386.11999999999989</v>
      </c>
      <c r="M147" s="105">
        <f t="shared" si="46"/>
        <v>369.72000000000025</v>
      </c>
      <c r="N147" s="105">
        <f t="shared" si="46"/>
        <v>379.15999999999985</v>
      </c>
      <c r="O147" s="105">
        <f t="shared" si="46"/>
        <v>389.40999999999985</v>
      </c>
      <c r="P147" s="105">
        <f t="shared" si="46"/>
        <v>393.97000000000025</v>
      </c>
      <c r="Q147" s="105">
        <f t="shared" si="46"/>
        <v>421.38999999999987</v>
      </c>
      <c r="R147" s="322"/>
      <c r="S147" s="322"/>
      <c r="T147" s="325"/>
      <c r="U147" s="325"/>
      <c r="V147" s="327"/>
      <c r="W147" s="316"/>
      <c r="X147" s="319"/>
      <c r="Y147" s="330"/>
      <c r="Z147" s="221"/>
      <c r="AA147" s="102"/>
      <c r="AB147" s="102"/>
      <c r="AC147" s="102"/>
      <c r="AD147" s="102"/>
      <c r="AE147" s="106"/>
      <c r="AF147" s="102"/>
    </row>
    <row r="148" spans="1:32" ht="15.55" x14ac:dyDescent="0.25">
      <c r="A148" s="264">
        <v>43303</v>
      </c>
      <c r="B148" s="99" t="s">
        <v>235</v>
      </c>
      <c r="C148" s="99" t="s">
        <v>232</v>
      </c>
      <c r="D148" s="100" t="s">
        <v>186</v>
      </c>
      <c r="E148" s="101">
        <v>2889.27</v>
      </c>
      <c r="F148" s="101">
        <v>2835.39</v>
      </c>
      <c r="G148" s="101">
        <v>2808.55</v>
      </c>
      <c r="H148" s="101">
        <v>2795.47</v>
      </c>
      <c r="I148" s="101">
        <v>2798.09</v>
      </c>
      <c r="J148" s="101">
        <v>2822.43</v>
      </c>
      <c r="K148" s="101">
        <v>2875.52</v>
      </c>
      <c r="L148" s="101">
        <v>2879.35</v>
      </c>
      <c r="M148" s="101">
        <v>2822.42</v>
      </c>
      <c r="N148" s="101">
        <v>2795.97</v>
      </c>
      <c r="O148" s="101">
        <v>2815.3</v>
      </c>
      <c r="P148" s="101">
        <v>2856.66</v>
      </c>
      <c r="Q148" s="101">
        <v>2932.29</v>
      </c>
      <c r="R148" s="320">
        <f>IF((Q149=""),"",MAX(E150:Q150))</f>
        <v>380.07999999999993</v>
      </c>
      <c r="S148" s="320">
        <f>IF(Q149="","",MIN(E150:Q150))</f>
        <v>319.6899999999996</v>
      </c>
      <c r="T148" s="323">
        <f>IF((Q150=""),"",AVERAGE(E150:Q150))</f>
        <v>343.07</v>
      </c>
      <c r="U148" s="323">
        <f>IF((Q149=""),"",(R148-S148)/(R148+S148)*100)</f>
        <v>8.6299784214813968</v>
      </c>
      <c r="V148" s="323">
        <f>STDEV(E150:Q150)</f>
        <v>22.602214493274758</v>
      </c>
      <c r="W148" s="314" t="str">
        <f>IF(Q149="","",IF(T148&gt;300,IF(U148&lt;14,IF(T148&lt;390,"Pass","Fail"),"Fail"),"Fail"))</f>
        <v>Pass</v>
      </c>
      <c r="X148" s="317">
        <v>1335</v>
      </c>
      <c r="Y148" s="328"/>
      <c r="Z148" s="221"/>
      <c r="AA148" s="102">
        <v>270</v>
      </c>
      <c r="AB148" s="102">
        <v>370</v>
      </c>
      <c r="AC148" s="102">
        <v>300</v>
      </c>
      <c r="AD148" s="103">
        <v>390</v>
      </c>
      <c r="AE148" s="103">
        <v>20</v>
      </c>
      <c r="AF148" s="103">
        <v>14</v>
      </c>
    </row>
    <row r="149" spans="1:32" ht="16.100000000000001" x14ac:dyDescent="0.35">
      <c r="A149" s="263"/>
      <c r="B149" s="104"/>
      <c r="C149" s="104"/>
      <c r="D149" s="100" t="s">
        <v>187</v>
      </c>
      <c r="E149" s="101">
        <v>2519.48</v>
      </c>
      <c r="F149" s="101">
        <v>2504.1999999999998</v>
      </c>
      <c r="G149" s="101">
        <v>2482.94</v>
      </c>
      <c r="H149" s="101">
        <v>2472.92</v>
      </c>
      <c r="I149" s="101">
        <v>2473.0300000000002</v>
      </c>
      <c r="J149" s="101">
        <v>2483.7199999999998</v>
      </c>
      <c r="K149" s="101">
        <v>2498.71</v>
      </c>
      <c r="L149" s="101">
        <v>2508.27</v>
      </c>
      <c r="M149" s="101">
        <v>2485.6</v>
      </c>
      <c r="N149" s="101">
        <v>2476.2800000000002</v>
      </c>
      <c r="O149" s="101">
        <v>2488.9699999999998</v>
      </c>
      <c r="P149" s="101">
        <v>2520.4699999999998</v>
      </c>
      <c r="Q149" s="101">
        <v>2552.21</v>
      </c>
      <c r="R149" s="321"/>
      <c r="S149" s="321"/>
      <c r="T149" s="324"/>
      <c r="U149" s="324"/>
      <c r="V149" s="326"/>
      <c r="W149" s="315"/>
      <c r="X149" s="318"/>
      <c r="Y149" s="329"/>
      <c r="Z149" s="221"/>
      <c r="AA149" s="102"/>
      <c r="AB149" s="102"/>
      <c r="AC149" s="102"/>
      <c r="AD149" s="102"/>
      <c r="AE149" s="106"/>
      <c r="AF149" s="102"/>
    </row>
    <row r="150" spans="1:32" ht="31.05" x14ac:dyDescent="0.35">
      <c r="A150" s="263"/>
      <c r="B150" s="99"/>
      <c r="C150" s="99"/>
      <c r="D150" s="100" t="s">
        <v>188</v>
      </c>
      <c r="E150" s="105">
        <f t="shared" ref="E150:Q150" si="47">IF(((E148="")*AND(E149="")),"",(E148-E149))</f>
        <v>369.78999999999996</v>
      </c>
      <c r="F150" s="105">
        <f t="shared" si="47"/>
        <v>331.19000000000005</v>
      </c>
      <c r="G150" s="105">
        <f t="shared" si="47"/>
        <v>325.61000000000013</v>
      </c>
      <c r="H150" s="105">
        <f t="shared" si="47"/>
        <v>322.54999999999973</v>
      </c>
      <c r="I150" s="105">
        <f t="shared" si="47"/>
        <v>325.05999999999995</v>
      </c>
      <c r="J150" s="105">
        <f t="shared" si="47"/>
        <v>338.71000000000004</v>
      </c>
      <c r="K150" s="105">
        <f t="shared" si="47"/>
        <v>376.80999999999995</v>
      </c>
      <c r="L150" s="105">
        <f t="shared" si="47"/>
        <v>371.07999999999993</v>
      </c>
      <c r="M150" s="105">
        <f t="shared" si="47"/>
        <v>336.82000000000016</v>
      </c>
      <c r="N150" s="105">
        <f t="shared" si="47"/>
        <v>319.6899999999996</v>
      </c>
      <c r="O150" s="105">
        <f t="shared" si="47"/>
        <v>326.33000000000038</v>
      </c>
      <c r="P150" s="105">
        <f t="shared" si="47"/>
        <v>336.19000000000005</v>
      </c>
      <c r="Q150" s="105">
        <f t="shared" si="47"/>
        <v>380.07999999999993</v>
      </c>
      <c r="R150" s="322"/>
      <c r="S150" s="322"/>
      <c r="T150" s="325"/>
      <c r="U150" s="325"/>
      <c r="V150" s="327"/>
      <c r="W150" s="316"/>
      <c r="X150" s="319"/>
      <c r="Y150" s="330"/>
      <c r="Z150" s="221"/>
      <c r="AA150" s="102"/>
      <c r="AB150" s="102"/>
      <c r="AC150" s="102"/>
      <c r="AD150" s="102"/>
      <c r="AE150" s="106"/>
      <c r="AF150" s="102"/>
    </row>
    <row r="151" spans="1:32" ht="15.55" x14ac:dyDescent="0.25">
      <c r="A151" s="264">
        <v>43307</v>
      </c>
      <c r="B151" s="99" t="s">
        <v>235</v>
      </c>
      <c r="C151" s="99" t="s">
        <v>232</v>
      </c>
      <c r="D151" s="100" t="s">
        <v>186</v>
      </c>
      <c r="E151" s="101">
        <v>2519.48</v>
      </c>
      <c r="F151" s="101">
        <v>2504.1999999999998</v>
      </c>
      <c r="G151" s="101">
        <v>2482.94</v>
      </c>
      <c r="H151" s="101">
        <v>2472.92</v>
      </c>
      <c r="I151" s="101">
        <v>2473.0300000000002</v>
      </c>
      <c r="J151" s="101">
        <v>2483.7199999999998</v>
      </c>
      <c r="K151" s="101">
        <v>2498.71</v>
      </c>
      <c r="L151" s="101">
        <v>2508.27</v>
      </c>
      <c r="M151" s="101">
        <v>2485.6</v>
      </c>
      <c r="N151" s="101">
        <v>2476.2800000000002</v>
      </c>
      <c r="O151" s="101">
        <v>2488.9699999999998</v>
      </c>
      <c r="P151" s="101">
        <v>2520.4699999999998</v>
      </c>
      <c r="Q151" s="101">
        <v>2552.21</v>
      </c>
      <c r="R151" s="320">
        <f>IF((Q152=""),"",MAX(E153:Q153))</f>
        <v>443.99000000000024</v>
      </c>
      <c r="S151" s="320">
        <f>IF(Q152="","",MIN(E153:Q153))</f>
        <v>377.27</v>
      </c>
      <c r="T151" s="323">
        <f>IF((Q153=""),"",AVERAGE(E153:Q153))</f>
        <v>395.53230769230771</v>
      </c>
      <c r="U151" s="323">
        <f>IF((Q152=""),"",(R151-S151)/(R151+S151)*100)</f>
        <v>8.1241019896257267</v>
      </c>
      <c r="V151" s="323">
        <f>STDEV(E153:Q153)</f>
        <v>20.733785292707775</v>
      </c>
      <c r="W151" s="314" t="str">
        <f>IF(Q152="","",IF(T151&gt;300,IF(U151&lt;14,IF(T151&lt;390,"Pass","Fail"),"Fail"),"Fail"))</f>
        <v>Fail</v>
      </c>
      <c r="X151" s="340"/>
      <c r="Y151" s="328"/>
      <c r="Z151" s="221"/>
      <c r="AA151" s="102">
        <v>270</v>
      </c>
      <c r="AB151" s="102">
        <v>370</v>
      </c>
      <c r="AC151" s="102">
        <v>300</v>
      </c>
      <c r="AD151" s="103">
        <v>390</v>
      </c>
      <c r="AE151" s="103">
        <v>20</v>
      </c>
      <c r="AF151" s="103">
        <v>14</v>
      </c>
    </row>
    <row r="152" spans="1:32" ht="16.100000000000001" x14ac:dyDescent="0.35">
      <c r="A152" s="263"/>
      <c r="B152" s="104"/>
      <c r="C152" s="104"/>
      <c r="D152" s="100" t="s">
        <v>187</v>
      </c>
      <c r="E152" s="101">
        <v>2075.4899999999998</v>
      </c>
      <c r="F152" s="101">
        <v>2103.88</v>
      </c>
      <c r="G152" s="101">
        <v>2090.4899999999998</v>
      </c>
      <c r="H152" s="101">
        <v>2093.8200000000002</v>
      </c>
      <c r="I152" s="101">
        <v>2095.7600000000002</v>
      </c>
      <c r="J152" s="101">
        <v>2095.23</v>
      </c>
      <c r="K152" s="101">
        <v>2095.44</v>
      </c>
      <c r="L152" s="101">
        <v>2111.87</v>
      </c>
      <c r="M152" s="101">
        <v>2104.86</v>
      </c>
      <c r="N152" s="101">
        <v>2098.96</v>
      </c>
      <c r="O152" s="101">
        <v>2106.62</v>
      </c>
      <c r="P152" s="101">
        <v>2131.75</v>
      </c>
      <c r="Q152" s="101">
        <v>2120.71</v>
      </c>
      <c r="R152" s="321"/>
      <c r="S152" s="321"/>
      <c r="T152" s="324"/>
      <c r="U152" s="324"/>
      <c r="V152" s="326"/>
      <c r="W152" s="315"/>
      <c r="X152" s="318"/>
      <c r="Y152" s="329"/>
      <c r="Z152" s="221"/>
      <c r="AA152" s="102"/>
      <c r="AB152" s="102"/>
      <c r="AC152" s="102"/>
      <c r="AD152" s="102"/>
      <c r="AE152" s="106"/>
      <c r="AF152" s="102"/>
    </row>
    <row r="153" spans="1:32" ht="31.05" x14ac:dyDescent="0.35">
      <c r="A153" s="263"/>
      <c r="B153" s="99"/>
      <c r="C153" s="99"/>
      <c r="D153" s="100" t="s">
        <v>188</v>
      </c>
      <c r="E153" s="105">
        <f t="shared" ref="E153:Q153" si="48">IF(((E151="")*AND(E152="")),"",(E151-E152))</f>
        <v>443.99000000000024</v>
      </c>
      <c r="F153" s="105">
        <f t="shared" si="48"/>
        <v>400.31999999999971</v>
      </c>
      <c r="G153" s="105">
        <f t="shared" si="48"/>
        <v>392.45000000000027</v>
      </c>
      <c r="H153" s="105">
        <f t="shared" si="48"/>
        <v>379.09999999999991</v>
      </c>
      <c r="I153" s="105">
        <f t="shared" si="48"/>
        <v>377.27</v>
      </c>
      <c r="J153" s="105">
        <f t="shared" si="48"/>
        <v>388.48999999999978</v>
      </c>
      <c r="K153" s="105">
        <f t="shared" si="48"/>
        <v>403.27</v>
      </c>
      <c r="L153" s="105">
        <f t="shared" si="48"/>
        <v>396.40000000000009</v>
      </c>
      <c r="M153" s="105">
        <f t="shared" si="48"/>
        <v>380.73999999999978</v>
      </c>
      <c r="N153" s="105">
        <f t="shared" si="48"/>
        <v>377.32000000000016</v>
      </c>
      <c r="O153" s="105">
        <f t="shared" si="48"/>
        <v>382.34999999999991</v>
      </c>
      <c r="P153" s="105">
        <f t="shared" si="48"/>
        <v>388.7199999999998</v>
      </c>
      <c r="Q153" s="105">
        <f t="shared" si="48"/>
        <v>431.5</v>
      </c>
      <c r="R153" s="322"/>
      <c r="S153" s="322"/>
      <c r="T153" s="325"/>
      <c r="U153" s="325"/>
      <c r="V153" s="327"/>
      <c r="W153" s="316"/>
      <c r="X153" s="319"/>
      <c r="Y153" s="330"/>
      <c r="Z153" s="221"/>
      <c r="AA153" s="102"/>
      <c r="AB153" s="102"/>
      <c r="AC153" s="102"/>
      <c r="AD153" s="102"/>
      <c r="AE153" s="106"/>
      <c r="AF153" s="102"/>
    </row>
    <row r="154" spans="1:32" ht="15.55" x14ac:dyDescent="0.25">
      <c r="A154" s="264">
        <v>43307</v>
      </c>
      <c r="B154" s="99" t="s">
        <v>235</v>
      </c>
      <c r="C154" s="99" t="s">
        <v>232</v>
      </c>
      <c r="D154" s="100" t="s">
        <v>186</v>
      </c>
      <c r="E154" s="101">
        <v>2878.04</v>
      </c>
      <c r="F154" s="101">
        <v>2827.07</v>
      </c>
      <c r="G154" s="101">
        <v>2803.11</v>
      </c>
      <c r="H154" s="101">
        <v>2792.89</v>
      </c>
      <c r="I154" s="101">
        <v>2805.52</v>
      </c>
      <c r="J154" s="101">
        <v>2832.1</v>
      </c>
      <c r="K154" s="101">
        <v>2884.91</v>
      </c>
      <c r="L154" s="101">
        <v>2871.85</v>
      </c>
      <c r="M154" s="101">
        <v>2818.23</v>
      </c>
      <c r="N154" s="101">
        <v>2794.92</v>
      </c>
      <c r="O154" s="101">
        <v>2817.87</v>
      </c>
      <c r="P154" s="101">
        <v>2863.91</v>
      </c>
      <c r="Q154" s="101">
        <v>2832</v>
      </c>
      <c r="R154" s="320">
        <f>IF((Q155=""),"",MAX(E156:Q156))</f>
        <v>396.10999999999967</v>
      </c>
      <c r="S154" s="320">
        <f>IF(Q155="","",MIN(E156:Q156))</f>
        <v>313.2199999999998</v>
      </c>
      <c r="T154" s="323">
        <f>IF((Q156=""),"",AVERAGE(E156:Q156))</f>
        <v>343.2676923076923</v>
      </c>
      <c r="U154" s="323">
        <f>IF((Q155=""),"",(R154-S154)/(R154+S154)*100)</f>
        <v>11.685675214639158</v>
      </c>
      <c r="V154" s="323">
        <f>STDEV(E156:Q156)</f>
        <v>29.281744071988495</v>
      </c>
      <c r="W154" s="314" t="str">
        <f>IF(Q155="","",IF(T154&gt;300,IF(U154&lt;14,IF(T154&lt;390,"Pass","Fail"),"Fail"),"Fail"))</f>
        <v>Pass</v>
      </c>
      <c r="X154" s="317"/>
      <c r="Y154" s="328"/>
      <c r="Z154" s="221"/>
      <c r="AA154" s="102">
        <v>270</v>
      </c>
      <c r="AB154" s="102">
        <v>370</v>
      </c>
      <c r="AC154" s="102">
        <v>300</v>
      </c>
      <c r="AD154" s="103">
        <v>390</v>
      </c>
      <c r="AE154" s="103">
        <v>20</v>
      </c>
      <c r="AF154" s="103">
        <v>14</v>
      </c>
    </row>
    <row r="155" spans="1:32" ht="16.100000000000001" x14ac:dyDescent="0.35">
      <c r="A155" s="263"/>
      <c r="B155" s="104"/>
      <c r="C155" s="104"/>
      <c r="D155" s="100" t="s">
        <v>187</v>
      </c>
      <c r="E155" s="101">
        <v>2487.04</v>
      </c>
      <c r="F155" s="101">
        <v>2489.63</v>
      </c>
      <c r="G155" s="101">
        <v>2484.65</v>
      </c>
      <c r="H155" s="101">
        <v>2479.67</v>
      </c>
      <c r="I155" s="101">
        <v>2483.39</v>
      </c>
      <c r="J155" s="101">
        <v>2492.54</v>
      </c>
      <c r="K155" s="101">
        <v>2488.8000000000002</v>
      </c>
      <c r="L155" s="101">
        <v>2484.41</v>
      </c>
      <c r="M155" s="101">
        <v>2484.83</v>
      </c>
      <c r="N155" s="101">
        <v>2477.81</v>
      </c>
      <c r="O155" s="101">
        <v>2496.31</v>
      </c>
      <c r="P155" s="101">
        <v>2521.86</v>
      </c>
      <c r="Q155" s="101">
        <v>2489</v>
      </c>
      <c r="R155" s="321"/>
      <c r="S155" s="321"/>
      <c r="T155" s="324"/>
      <c r="U155" s="324"/>
      <c r="V155" s="326"/>
      <c r="W155" s="315"/>
      <c r="X155" s="318"/>
      <c r="Y155" s="329"/>
      <c r="Z155" s="221"/>
      <c r="AA155" s="102"/>
      <c r="AB155" s="102"/>
      <c r="AC155" s="102"/>
      <c r="AD155" s="102"/>
      <c r="AE155" s="106"/>
      <c r="AF155" s="102"/>
    </row>
    <row r="156" spans="1:32" ht="31.05" x14ac:dyDescent="0.35">
      <c r="A156" s="263"/>
      <c r="B156" s="99"/>
      <c r="C156" s="99"/>
      <c r="D156" s="100" t="s">
        <v>188</v>
      </c>
      <c r="E156" s="105">
        <f t="shared" ref="E156:Q156" si="49">IF(((E154="")*AND(E155="")),"",(E154-E155))</f>
        <v>391</v>
      </c>
      <c r="F156" s="105">
        <f t="shared" si="49"/>
        <v>337.44000000000005</v>
      </c>
      <c r="G156" s="105">
        <f t="shared" si="49"/>
        <v>318.46000000000004</v>
      </c>
      <c r="H156" s="105">
        <f t="shared" si="49"/>
        <v>313.2199999999998</v>
      </c>
      <c r="I156" s="105">
        <f t="shared" si="49"/>
        <v>322.13000000000011</v>
      </c>
      <c r="J156" s="105">
        <f t="shared" si="49"/>
        <v>339.55999999999995</v>
      </c>
      <c r="K156" s="105">
        <f t="shared" si="49"/>
        <v>396.10999999999967</v>
      </c>
      <c r="L156" s="105">
        <f t="shared" si="49"/>
        <v>387.44000000000005</v>
      </c>
      <c r="M156" s="105">
        <f t="shared" si="49"/>
        <v>333.40000000000009</v>
      </c>
      <c r="N156" s="105">
        <f t="shared" si="49"/>
        <v>317.11000000000013</v>
      </c>
      <c r="O156" s="105">
        <f t="shared" si="49"/>
        <v>321.55999999999995</v>
      </c>
      <c r="P156" s="105">
        <f t="shared" si="49"/>
        <v>342.04999999999973</v>
      </c>
      <c r="Q156" s="105">
        <f t="shared" si="49"/>
        <v>343</v>
      </c>
      <c r="R156" s="322"/>
      <c r="S156" s="322"/>
      <c r="T156" s="325"/>
      <c r="U156" s="325"/>
      <c r="V156" s="327"/>
      <c r="W156" s="316"/>
      <c r="X156" s="319"/>
      <c r="Y156" s="330"/>
      <c r="Z156" s="221"/>
      <c r="AA156" s="102"/>
      <c r="AB156" s="102"/>
      <c r="AC156" s="102"/>
      <c r="AD156" s="102"/>
      <c r="AE156" s="106"/>
      <c r="AF156" s="102"/>
    </row>
    <row r="157" spans="1:32" ht="15.55" x14ac:dyDescent="0.25">
      <c r="A157" s="264">
        <v>43311</v>
      </c>
      <c r="B157" s="99" t="s">
        <v>235</v>
      </c>
      <c r="C157" s="99" t="s">
        <v>232</v>
      </c>
      <c r="D157" s="100" t="s">
        <v>186</v>
      </c>
      <c r="E157" s="101">
        <v>2487.04</v>
      </c>
      <c r="F157" s="101">
        <v>2489.63</v>
      </c>
      <c r="G157" s="101">
        <v>2484.65</v>
      </c>
      <c r="H157" s="101">
        <v>2479.67</v>
      </c>
      <c r="I157" s="101">
        <v>2483.39</v>
      </c>
      <c r="J157" s="101">
        <v>2492.54</v>
      </c>
      <c r="K157" s="101">
        <v>2488.8000000000002</v>
      </c>
      <c r="L157" s="101">
        <v>2484.41</v>
      </c>
      <c r="M157" s="101">
        <v>2484.83</v>
      </c>
      <c r="N157" s="101">
        <v>2477.81</v>
      </c>
      <c r="O157" s="101">
        <v>2496.31</v>
      </c>
      <c r="P157" s="101">
        <v>2521.86</v>
      </c>
      <c r="Q157" s="101">
        <v>2489</v>
      </c>
      <c r="R157" s="320">
        <f>IF((Q158=""),"",MAX(E159:Q159))</f>
        <v>416.69999999999982</v>
      </c>
      <c r="S157" s="320">
        <f>IF(Q158="","",MIN(E159:Q159))</f>
        <v>362.65999999999985</v>
      </c>
      <c r="T157" s="323">
        <f>IF((Q159=""),"",AVERAGE(E159:Q159))</f>
        <v>381.61307692307685</v>
      </c>
      <c r="U157" s="323">
        <f>IF((Q158=""),"",(R157-S157)/(R157+S157)*100)</f>
        <v>6.9338944775200142</v>
      </c>
      <c r="V157" s="323">
        <f>STDEV(E159:Q159)</f>
        <v>15.717058346806615</v>
      </c>
      <c r="W157" s="314" t="str">
        <f>IF(Q158="","",IF(T157&gt;300,IF(U157&lt;14,IF(T157&lt;390,"Pass","Fail"),"Fail"),"Fail"))</f>
        <v>Pass</v>
      </c>
      <c r="X157" s="317"/>
      <c r="Y157" s="328"/>
      <c r="Z157" s="221"/>
      <c r="AA157" s="102">
        <v>270</v>
      </c>
      <c r="AB157" s="102">
        <v>370</v>
      </c>
      <c r="AC157" s="102">
        <v>300</v>
      </c>
      <c r="AD157" s="103">
        <v>390</v>
      </c>
      <c r="AE157" s="103">
        <v>20</v>
      </c>
      <c r="AF157" s="103">
        <v>14</v>
      </c>
    </row>
    <row r="158" spans="1:32" ht="16.100000000000001" x14ac:dyDescent="0.35">
      <c r="A158" s="263"/>
      <c r="B158" s="104"/>
      <c r="C158" s="104"/>
      <c r="D158" s="100" t="s">
        <v>187</v>
      </c>
      <c r="E158" s="101">
        <v>2070.34</v>
      </c>
      <c r="F158" s="101">
        <v>2097.19</v>
      </c>
      <c r="G158" s="101">
        <v>2100.34</v>
      </c>
      <c r="H158" s="101">
        <v>2108.36</v>
      </c>
      <c r="I158" s="101">
        <v>2108.15</v>
      </c>
      <c r="J158" s="101">
        <v>2118.6799999999998</v>
      </c>
      <c r="K158" s="101">
        <v>2111.2399999999998</v>
      </c>
      <c r="L158" s="101">
        <v>2115.4499999999998</v>
      </c>
      <c r="M158" s="101">
        <v>2122.17</v>
      </c>
      <c r="N158" s="101">
        <v>2113.38</v>
      </c>
      <c r="O158" s="101">
        <v>2109.02</v>
      </c>
      <c r="P158" s="101">
        <v>2117.04</v>
      </c>
      <c r="Q158" s="101">
        <v>2107.61</v>
      </c>
      <c r="R158" s="321"/>
      <c r="S158" s="321"/>
      <c r="T158" s="324"/>
      <c r="U158" s="324"/>
      <c r="V158" s="326"/>
      <c r="W158" s="315"/>
      <c r="X158" s="318"/>
      <c r="Y158" s="329"/>
      <c r="Z158" s="221"/>
      <c r="AA158" s="102"/>
      <c r="AB158" s="102"/>
      <c r="AC158" s="102"/>
      <c r="AD158" s="102"/>
      <c r="AE158" s="106"/>
      <c r="AF158" s="102"/>
    </row>
    <row r="159" spans="1:32" ht="31.05" x14ac:dyDescent="0.35">
      <c r="A159" s="263"/>
      <c r="B159" s="99"/>
      <c r="C159" s="99"/>
      <c r="D159" s="100" t="s">
        <v>188</v>
      </c>
      <c r="E159" s="105">
        <f t="shared" ref="E159:Q159" si="50">IF(((E157="")*AND(E158="")),"",(E157-E158))</f>
        <v>416.69999999999982</v>
      </c>
      <c r="F159" s="105">
        <f t="shared" si="50"/>
        <v>392.44000000000005</v>
      </c>
      <c r="G159" s="105">
        <f t="shared" si="50"/>
        <v>384.30999999999995</v>
      </c>
      <c r="H159" s="105">
        <f t="shared" si="50"/>
        <v>371.30999999999995</v>
      </c>
      <c r="I159" s="105">
        <f t="shared" si="50"/>
        <v>375.23999999999978</v>
      </c>
      <c r="J159" s="105">
        <f t="shared" si="50"/>
        <v>373.86000000000013</v>
      </c>
      <c r="K159" s="105">
        <f t="shared" si="50"/>
        <v>377.5600000000004</v>
      </c>
      <c r="L159" s="105">
        <f t="shared" si="50"/>
        <v>368.96000000000004</v>
      </c>
      <c r="M159" s="105">
        <f t="shared" si="50"/>
        <v>362.65999999999985</v>
      </c>
      <c r="N159" s="105">
        <f t="shared" si="50"/>
        <v>364.42999999999984</v>
      </c>
      <c r="O159" s="105">
        <f t="shared" si="50"/>
        <v>387.28999999999996</v>
      </c>
      <c r="P159" s="105">
        <f t="shared" si="50"/>
        <v>404.82000000000016</v>
      </c>
      <c r="Q159" s="105">
        <f t="shared" si="50"/>
        <v>381.38999999999987</v>
      </c>
      <c r="R159" s="322"/>
      <c r="S159" s="322"/>
      <c r="T159" s="325"/>
      <c r="U159" s="325"/>
      <c r="V159" s="327"/>
      <c r="W159" s="316"/>
      <c r="X159" s="319"/>
      <c r="Y159" s="330"/>
      <c r="Z159" s="221"/>
      <c r="AA159" s="102"/>
      <c r="AB159" s="102"/>
      <c r="AC159" s="102"/>
      <c r="AD159" s="102"/>
      <c r="AE159" s="106"/>
      <c r="AF159" s="102"/>
    </row>
    <row r="160" spans="1:32" ht="15.55" x14ac:dyDescent="0.25">
      <c r="A160" s="264">
        <v>43314</v>
      </c>
      <c r="B160" s="99" t="s">
        <v>235</v>
      </c>
      <c r="C160" s="99" t="s">
        <v>232</v>
      </c>
      <c r="D160" s="100" t="s">
        <v>186</v>
      </c>
      <c r="E160" s="101">
        <v>2883.2</v>
      </c>
      <c r="F160" s="101">
        <v>2832.12</v>
      </c>
      <c r="G160" s="101">
        <v>2808.89</v>
      </c>
      <c r="H160" s="101">
        <v>2798.52</v>
      </c>
      <c r="I160" s="101">
        <v>2807.22</v>
      </c>
      <c r="J160" s="101">
        <v>2833.19</v>
      </c>
      <c r="K160" s="101">
        <v>2873.58</v>
      </c>
      <c r="L160" s="101">
        <v>2873.54</v>
      </c>
      <c r="M160" s="101">
        <v>2819.09</v>
      </c>
      <c r="N160" s="101">
        <v>2798.81</v>
      </c>
      <c r="O160" s="101">
        <v>2820.34</v>
      </c>
      <c r="P160" s="101">
        <v>2865.39</v>
      </c>
      <c r="Q160" s="101">
        <v>2816</v>
      </c>
      <c r="R160" s="320">
        <f>IF((Q161=""),"",MAX(E162:Q162))</f>
        <v>380.15999999999985</v>
      </c>
      <c r="S160" s="320">
        <f>IF(Q161="","",MIN(E162:Q162))</f>
        <v>320.77999999999975</v>
      </c>
      <c r="T160" s="323">
        <f>IF((Q162=""),"",AVERAGE(E162:Q162))</f>
        <v>340.61769230769221</v>
      </c>
      <c r="U160" s="323">
        <f>IF((Q161=""),"",(R160-S160)/(R160+S160)*100)</f>
        <v>8.4714811538790968</v>
      </c>
      <c r="V160" s="323">
        <f>STDEV(E162:Q162)</f>
        <v>22.059637407811174</v>
      </c>
      <c r="W160" s="314" t="str">
        <f>IF(Q161="","",IF(T160&gt;300,IF(U160&lt;14,IF(T160&lt;390,"Pass","Fail"),"Fail"),"Fail"))</f>
        <v>Pass</v>
      </c>
      <c r="X160" s="334">
        <v>1340</v>
      </c>
      <c r="Y160" s="337"/>
      <c r="Z160" s="223"/>
      <c r="AA160" s="314">
        <v>270</v>
      </c>
      <c r="AB160" s="102">
        <v>370</v>
      </c>
      <c r="AC160" s="102">
        <v>300</v>
      </c>
      <c r="AD160" s="103">
        <v>390</v>
      </c>
      <c r="AE160" s="103">
        <v>20</v>
      </c>
      <c r="AF160" s="103">
        <v>14</v>
      </c>
    </row>
    <row r="161" spans="1:32" ht="16.100000000000001" x14ac:dyDescent="0.35">
      <c r="A161" s="263"/>
      <c r="B161" s="104"/>
      <c r="C161" s="104"/>
      <c r="D161" s="100" t="s">
        <v>187</v>
      </c>
      <c r="E161" s="101">
        <v>2503.04</v>
      </c>
      <c r="F161" s="101">
        <v>2497.2600000000002</v>
      </c>
      <c r="G161" s="101">
        <v>2479.52</v>
      </c>
      <c r="H161" s="101">
        <v>2475.5500000000002</v>
      </c>
      <c r="I161" s="101">
        <v>2486.44</v>
      </c>
      <c r="J161" s="101">
        <v>2493.61</v>
      </c>
      <c r="K161" s="101">
        <v>2494.44</v>
      </c>
      <c r="L161" s="101">
        <v>2500.23</v>
      </c>
      <c r="M161" s="101">
        <v>2482.41</v>
      </c>
      <c r="N161" s="101">
        <v>2475.08</v>
      </c>
      <c r="O161" s="101">
        <v>2496.44</v>
      </c>
      <c r="P161" s="101">
        <v>2525.84</v>
      </c>
      <c r="Q161" s="101">
        <v>2492</v>
      </c>
      <c r="R161" s="321"/>
      <c r="S161" s="321"/>
      <c r="T161" s="324"/>
      <c r="U161" s="324"/>
      <c r="V161" s="326"/>
      <c r="W161" s="315"/>
      <c r="X161" s="335"/>
      <c r="Y161" s="338"/>
      <c r="Z161" s="224"/>
      <c r="AA161" s="315"/>
      <c r="AB161" s="102"/>
      <c r="AC161" s="102"/>
      <c r="AD161" s="102"/>
      <c r="AE161" s="106"/>
      <c r="AF161" s="102"/>
    </row>
    <row r="162" spans="1:32" ht="31.05" x14ac:dyDescent="0.35">
      <c r="A162" s="263"/>
      <c r="B162" s="99"/>
      <c r="C162" s="99"/>
      <c r="D162" s="100" t="s">
        <v>188</v>
      </c>
      <c r="E162" s="105">
        <f t="shared" ref="E162:Q162" si="51">IF(((E160="")*AND(E161="")),"",(E160-E161))</f>
        <v>380.15999999999985</v>
      </c>
      <c r="F162" s="105">
        <f t="shared" si="51"/>
        <v>334.85999999999967</v>
      </c>
      <c r="G162" s="105">
        <f t="shared" si="51"/>
        <v>329.36999999999989</v>
      </c>
      <c r="H162" s="105">
        <f t="shared" si="51"/>
        <v>322.9699999999998</v>
      </c>
      <c r="I162" s="105">
        <f t="shared" si="51"/>
        <v>320.77999999999975</v>
      </c>
      <c r="J162" s="105">
        <f t="shared" si="51"/>
        <v>339.57999999999993</v>
      </c>
      <c r="K162" s="105">
        <f t="shared" si="51"/>
        <v>379.13999999999987</v>
      </c>
      <c r="L162" s="105">
        <f t="shared" si="51"/>
        <v>373.30999999999995</v>
      </c>
      <c r="M162" s="105">
        <f t="shared" si="51"/>
        <v>336.68000000000029</v>
      </c>
      <c r="N162" s="105">
        <f t="shared" si="51"/>
        <v>323.73</v>
      </c>
      <c r="O162" s="105">
        <f t="shared" si="51"/>
        <v>323.90000000000009</v>
      </c>
      <c r="P162" s="105">
        <f t="shared" si="51"/>
        <v>339.54999999999973</v>
      </c>
      <c r="Q162" s="105">
        <f t="shared" si="51"/>
        <v>324</v>
      </c>
      <c r="R162" s="322"/>
      <c r="S162" s="322"/>
      <c r="T162" s="325"/>
      <c r="U162" s="325"/>
      <c r="V162" s="327"/>
      <c r="W162" s="316"/>
      <c r="X162" s="336"/>
      <c r="Y162" s="339"/>
      <c r="Z162" s="225"/>
      <c r="AA162" s="316"/>
      <c r="AB162" s="102"/>
      <c r="AC162" s="102"/>
      <c r="AD162" s="102"/>
      <c r="AE162" s="106"/>
      <c r="AF162" s="102"/>
    </row>
    <row r="163" spans="1:32" ht="15.55" x14ac:dyDescent="0.25">
      <c r="A163" s="264">
        <v>43317</v>
      </c>
      <c r="B163" s="99" t="s">
        <v>235</v>
      </c>
      <c r="C163" s="99" t="s">
        <v>232</v>
      </c>
      <c r="D163" s="100" t="s">
        <v>186</v>
      </c>
      <c r="E163" s="101">
        <v>2503.04</v>
      </c>
      <c r="F163" s="101">
        <v>2497.2600000000002</v>
      </c>
      <c r="G163" s="101">
        <v>2479.52</v>
      </c>
      <c r="H163" s="101">
        <v>2475.5500000000002</v>
      </c>
      <c r="I163" s="101">
        <v>2486.44</v>
      </c>
      <c r="J163" s="101">
        <v>2493.61</v>
      </c>
      <c r="K163" s="101">
        <v>2494.44</v>
      </c>
      <c r="L163" s="101">
        <v>2500.23</v>
      </c>
      <c r="M163" s="101">
        <v>2482.41</v>
      </c>
      <c r="N163" s="101">
        <v>2475.08</v>
      </c>
      <c r="O163" s="101">
        <v>2496.44</v>
      </c>
      <c r="P163" s="101">
        <v>2525.84</v>
      </c>
      <c r="Q163" s="101">
        <v>2492</v>
      </c>
      <c r="R163" s="320">
        <f>IF((Q164=""),"",MAX(E165:Q165))</f>
        <v>401</v>
      </c>
      <c r="S163" s="320">
        <f>IF(Q164="","",MIN(E165:Q165))</f>
        <v>334.83999999999969</v>
      </c>
      <c r="T163" s="323">
        <f>IF((Q165=""),"",AVERAGE(E165:Q165))</f>
        <v>360.94384615384621</v>
      </c>
      <c r="U163" s="323">
        <f>IF((Q164=""),"",(R163-S163)/(R163+S163)*100)</f>
        <v>8.9910850184823232</v>
      </c>
      <c r="V163" s="323">
        <f>STDEV(E165:Q165)</f>
        <v>20.465314778286707</v>
      </c>
      <c r="W163" s="314" t="str">
        <f>IF(Q164="","",IF(T163&gt;300,IF(U163&lt;14,IF(T163&lt;390,"Pass","Fail"),"Fail"),"Fail"))</f>
        <v>Pass</v>
      </c>
      <c r="X163" s="334">
        <v>1340</v>
      </c>
      <c r="Y163" s="328"/>
      <c r="Z163" s="221"/>
      <c r="AA163" s="102">
        <v>270</v>
      </c>
      <c r="AB163" s="102">
        <v>370</v>
      </c>
      <c r="AC163" s="102">
        <v>300</v>
      </c>
      <c r="AD163" s="103">
        <v>390</v>
      </c>
      <c r="AE163" s="103">
        <v>20</v>
      </c>
      <c r="AF163" s="103">
        <v>14</v>
      </c>
    </row>
    <row r="164" spans="1:32" ht="16.100000000000001" x14ac:dyDescent="0.35">
      <c r="A164" s="263"/>
      <c r="B164" s="104"/>
      <c r="C164" s="104"/>
      <c r="D164" s="100" t="s">
        <v>187</v>
      </c>
      <c r="E164" s="101">
        <v>2111.71</v>
      </c>
      <c r="F164" s="101">
        <v>2115.5</v>
      </c>
      <c r="G164" s="101">
        <v>2117.87</v>
      </c>
      <c r="H164" s="101">
        <v>2127.58</v>
      </c>
      <c r="I164" s="101">
        <v>2134.8200000000002</v>
      </c>
      <c r="J164" s="101">
        <v>2138.2600000000002</v>
      </c>
      <c r="K164" s="101">
        <v>2148.21</v>
      </c>
      <c r="L164" s="101">
        <v>2148.4</v>
      </c>
      <c r="M164" s="101">
        <v>2147.5700000000002</v>
      </c>
      <c r="N164" s="101">
        <v>2139.89</v>
      </c>
      <c r="O164" s="101">
        <v>2123.94</v>
      </c>
      <c r="P164" s="101">
        <v>2124.84</v>
      </c>
      <c r="Q164" s="101">
        <v>2131</v>
      </c>
      <c r="R164" s="321"/>
      <c r="S164" s="321"/>
      <c r="T164" s="324"/>
      <c r="U164" s="324"/>
      <c r="V164" s="326"/>
      <c r="W164" s="315"/>
      <c r="X164" s="335"/>
      <c r="Y164" s="329"/>
      <c r="Z164" s="221"/>
      <c r="AA164" s="102"/>
      <c r="AB164" s="102"/>
      <c r="AC164" s="102"/>
      <c r="AD164" s="102"/>
      <c r="AE164" s="106"/>
      <c r="AF164" s="102"/>
    </row>
    <row r="165" spans="1:32" ht="31.05" x14ac:dyDescent="0.35">
      <c r="A165" s="263"/>
      <c r="B165" s="99"/>
      <c r="C165" s="99"/>
      <c r="D165" s="100" t="s">
        <v>188</v>
      </c>
      <c r="E165" s="105">
        <f t="shared" ref="E165:Q165" si="52">IF(((E163="")*AND(E164="")),"",(E163-E164))</f>
        <v>391.32999999999993</v>
      </c>
      <c r="F165" s="105">
        <f t="shared" si="52"/>
        <v>381.76000000000022</v>
      </c>
      <c r="G165" s="105">
        <f t="shared" si="52"/>
        <v>361.65000000000009</v>
      </c>
      <c r="H165" s="105">
        <f t="shared" si="52"/>
        <v>347.97000000000025</v>
      </c>
      <c r="I165" s="105">
        <f t="shared" si="52"/>
        <v>351.61999999999989</v>
      </c>
      <c r="J165" s="105">
        <f t="shared" si="52"/>
        <v>355.34999999999991</v>
      </c>
      <c r="K165" s="105">
        <f t="shared" si="52"/>
        <v>346.23</v>
      </c>
      <c r="L165" s="105">
        <f t="shared" si="52"/>
        <v>351.82999999999993</v>
      </c>
      <c r="M165" s="105">
        <f t="shared" si="52"/>
        <v>334.83999999999969</v>
      </c>
      <c r="N165" s="105">
        <f t="shared" si="52"/>
        <v>335.19000000000005</v>
      </c>
      <c r="O165" s="105">
        <f t="shared" si="52"/>
        <v>372.5</v>
      </c>
      <c r="P165" s="105">
        <f t="shared" si="52"/>
        <v>401</v>
      </c>
      <c r="Q165" s="105">
        <f t="shared" si="52"/>
        <v>361</v>
      </c>
      <c r="R165" s="322"/>
      <c r="S165" s="322"/>
      <c r="T165" s="325"/>
      <c r="U165" s="325"/>
      <c r="V165" s="327"/>
      <c r="W165" s="316"/>
      <c r="X165" s="336"/>
      <c r="Y165" s="330"/>
      <c r="Z165" s="221"/>
      <c r="AA165" s="102"/>
      <c r="AB165" s="102"/>
      <c r="AC165" s="102"/>
      <c r="AD165" s="102"/>
      <c r="AE165" s="106"/>
      <c r="AF165" s="102"/>
    </row>
    <row r="166" spans="1:32" ht="15.55" x14ac:dyDescent="0.25">
      <c r="A166" s="264">
        <v>43320</v>
      </c>
      <c r="B166" s="99" t="s">
        <v>235</v>
      </c>
      <c r="C166" s="99" t="s">
        <v>232</v>
      </c>
      <c r="D166" s="100" t="s">
        <v>186</v>
      </c>
      <c r="E166" s="101">
        <v>2871.85</v>
      </c>
      <c r="F166" s="101">
        <v>2805.2</v>
      </c>
      <c r="G166" s="101">
        <v>2796.28</v>
      </c>
      <c r="H166" s="101">
        <v>2803.08</v>
      </c>
      <c r="I166" s="101">
        <v>2863.49</v>
      </c>
      <c r="J166" s="101">
        <v>2864.37</v>
      </c>
      <c r="K166" s="101">
        <v>2798.13</v>
      </c>
      <c r="L166" s="101">
        <v>2818.78</v>
      </c>
      <c r="M166" s="101">
        <v>2920.3</v>
      </c>
      <c r="N166" s="101">
        <v>2806.06</v>
      </c>
      <c r="O166" s="101">
        <v>2825.74</v>
      </c>
      <c r="P166" s="101">
        <v>2802</v>
      </c>
      <c r="Q166" s="101">
        <v>2824.26</v>
      </c>
      <c r="R166" s="320">
        <f>IF((Q167=""),"",MAX(E168:Q168))</f>
        <v>370.4699999999998</v>
      </c>
      <c r="S166" s="320">
        <f>IF(Q167="","",MIN(E168:Q168))</f>
        <v>322.26000000000022</v>
      </c>
      <c r="T166" s="323">
        <f>IF((Q168=""),"",AVERAGE(E168:Q168))</f>
        <v>339.26923076923077</v>
      </c>
      <c r="U166" s="323">
        <f>IF((Q167=""),"",(R166-S166)/(R166+S166)*100)</f>
        <v>6.9594214196006492</v>
      </c>
      <c r="V166" s="323">
        <f>STDEV(E168:Q168)</f>
        <v>19.57756090593606</v>
      </c>
      <c r="W166" s="314" t="str">
        <f>IF(Q167="","",IF(T166&gt;300,IF(U166&lt;14,IF(T166&lt;390,"Pass","Fail"),"Fail"),"Fail"))</f>
        <v>Pass</v>
      </c>
      <c r="X166" s="334" t="s">
        <v>53</v>
      </c>
      <c r="Y166" s="227" t="s">
        <v>204</v>
      </c>
      <c r="Z166" s="221"/>
      <c r="AA166" s="102">
        <v>270</v>
      </c>
      <c r="AB166" s="102">
        <v>370</v>
      </c>
      <c r="AC166" s="102">
        <v>300</v>
      </c>
      <c r="AD166" s="103">
        <v>390</v>
      </c>
      <c r="AE166" s="103">
        <v>20</v>
      </c>
      <c r="AF166" s="103">
        <v>14</v>
      </c>
    </row>
    <row r="167" spans="1:32" ht="16.100000000000001" x14ac:dyDescent="0.35">
      <c r="A167" s="263"/>
      <c r="B167" s="104"/>
      <c r="C167" s="104"/>
      <c r="D167" s="100" t="s">
        <v>187</v>
      </c>
      <c r="E167" s="101">
        <v>2501.38</v>
      </c>
      <c r="F167" s="101">
        <v>2478.4499999999998</v>
      </c>
      <c r="G167" s="101">
        <v>2474.02</v>
      </c>
      <c r="H167" s="101">
        <v>2479.25</v>
      </c>
      <c r="I167" s="101">
        <v>2495.9</v>
      </c>
      <c r="J167" s="101">
        <v>2502.5100000000002</v>
      </c>
      <c r="K167" s="101">
        <v>2473.6</v>
      </c>
      <c r="L167" s="101">
        <v>2491.37</v>
      </c>
      <c r="M167" s="101">
        <v>2551.63</v>
      </c>
      <c r="N167" s="101">
        <v>2474.79</v>
      </c>
      <c r="O167" s="101">
        <v>2498.0500000000002</v>
      </c>
      <c r="P167" s="101">
        <v>2472.12</v>
      </c>
      <c r="Q167" s="101">
        <v>2495.9699999999998</v>
      </c>
      <c r="R167" s="321"/>
      <c r="S167" s="321"/>
      <c r="T167" s="324"/>
      <c r="U167" s="324"/>
      <c r="V167" s="326"/>
      <c r="W167" s="315"/>
      <c r="X167" s="335"/>
      <c r="Y167" s="224"/>
      <c r="Z167" s="221"/>
      <c r="AA167" s="102"/>
      <c r="AB167" s="102"/>
      <c r="AC167" s="102"/>
      <c r="AD167" s="102"/>
      <c r="AE167" s="106"/>
      <c r="AF167" s="102"/>
    </row>
    <row r="168" spans="1:32" ht="31.05" x14ac:dyDescent="0.35">
      <c r="A168" s="263"/>
      <c r="B168" s="99"/>
      <c r="C168" s="99"/>
      <c r="D168" s="100" t="s">
        <v>188</v>
      </c>
      <c r="E168" s="105">
        <f t="shared" ref="E168:Q168" si="53">IF(((E166="")*AND(E167="")),"",(E166-E167))</f>
        <v>370.4699999999998</v>
      </c>
      <c r="F168" s="105">
        <f t="shared" si="53"/>
        <v>326.75</v>
      </c>
      <c r="G168" s="105">
        <f t="shared" si="53"/>
        <v>322.26000000000022</v>
      </c>
      <c r="H168" s="105">
        <f t="shared" si="53"/>
        <v>323.82999999999993</v>
      </c>
      <c r="I168" s="105">
        <f t="shared" si="53"/>
        <v>367.58999999999969</v>
      </c>
      <c r="J168" s="105">
        <f t="shared" si="53"/>
        <v>361.85999999999967</v>
      </c>
      <c r="K168" s="105">
        <f t="shared" si="53"/>
        <v>324.5300000000002</v>
      </c>
      <c r="L168" s="105">
        <f t="shared" si="53"/>
        <v>327.41000000000031</v>
      </c>
      <c r="M168" s="105">
        <f t="shared" si="53"/>
        <v>368.67000000000007</v>
      </c>
      <c r="N168" s="105">
        <f t="shared" si="53"/>
        <v>331.27</v>
      </c>
      <c r="O168" s="105">
        <f t="shared" si="53"/>
        <v>327.6899999999996</v>
      </c>
      <c r="P168" s="105">
        <f t="shared" si="53"/>
        <v>329.88000000000011</v>
      </c>
      <c r="Q168" s="105">
        <f t="shared" si="53"/>
        <v>328.29000000000042</v>
      </c>
      <c r="R168" s="322"/>
      <c r="S168" s="322"/>
      <c r="T168" s="325"/>
      <c r="U168" s="325"/>
      <c r="V168" s="327"/>
      <c r="W168" s="316"/>
      <c r="X168" s="336"/>
      <c r="Y168" s="225"/>
      <c r="Z168" s="221"/>
      <c r="AA168" s="102"/>
      <c r="AB168" s="102"/>
      <c r="AC168" s="102"/>
      <c r="AD168" s="102"/>
      <c r="AE168" s="106"/>
      <c r="AF168" s="102"/>
    </row>
    <row r="169" spans="1:32" ht="15.55" x14ac:dyDescent="0.25">
      <c r="A169" s="264">
        <v>43322</v>
      </c>
      <c r="B169" s="99" t="s">
        <v>235</v>
      </c>
      <c r="C169" s="99" t="s">
        <v>232</v>
      </c>
      <c r="D169" s="100" t="s">
        <v>186</v>
      </c>
      <c r="E169" s="101">
        <v>2501.17</v>
      </c>
      <c r="F169" s="101">
        <v>2478.6</v>
      </c>
      <c r="G169" s="101">
        <v>2471.2399999999998</v>
      </c>
      <c r="H169" s="101">
        <v>2473.69</v>
      </c>
      <c r="I169" s="101">
        <v>2495.11</v>
      </c>
      <c r="J169" s="101">
        <v>2500.2800000000002</v>
      </c>
      <c r="K169" s="101">
        <v>2474.6999999999998</v>
      </c>
      <c r="L169" s="101">
        <v>2490.9499999999998</v>
      </c>
      <c r="M169" s="101">
        <v>2554.4899999999998</v>
      </c>
      <c r="N169" s="101">
        <v>2476.25</v>
      </c>
      <c r="O169" s="101">
        <v>2495.36</v>
      </c>
      <c r="P169" s="101">
        <v>2470.92</v>
      </c>
      <c r="Q169" s="101">
        <v>2497.44</v>
      </c>
      <c r="R169" s="320">
        <f>IF((Q170=""),"",MAX(E171:Q171))</f>
        <v>414.5</v>
      </c>
      <c r="S169" s="320">
        <f>IF(Q170="","",MIN(E171:Q171))</f>
        <v>353.19000000000005</v>
      </c>
      <c r="T169" s="323">
        <f>IF((Q171=""),"",AVERAGE(E171:Q171))</f>
        <v>374.51692307692315</v>
      </c>
      <c r="U169" s="323">
        <f>IF((Q170=""),"",(R169-S169)/(R169+S169)*100)</f>
        <v>7.9862965519936351</v>
      </c>
      <c r="V169" s="323">
        <f>STDEV(E171:Q171)</f>
        <v>18.28849519261372</v>
      </c>
      <c r="W169" s="314" t="str">
        <f>IF(Q170="","",IF(T169&gt;300,IF(U169&lt;14,IF(T169&lt;390,"Pass","Fail"),"Fail"),"Fail"))</f>
        <v>Pass</v>
      </c>
      <c r="X169" s="317">
        <v>1428</v>
      </c>
      <c r="Y169" s="227" t="s">
        <v>240</v>
      </c>
      <c r="Z169" s="221"/>
      <c r="AA169" s="102">
        <v>270</v>
      </c>
      <c r="AB169" s="102">
        <v>370</v>
      </c>
      <c r="AC169" s="102">
        <v>300</v>
      </c>
      <c r="AD169" s="103">
        <v>390</v>
      </c>
      <c r="AE169" s="103">
        <v>20</v>
      </c>
      <c r="AF169" s="103">
        <v>14</v>
      </c>
    </row>
    <row r="170" spans="1:32" ht="16.100000000000001" x14ac:dyDescent="0.35">
      <c r="A170" s="263"/>
      <c r="B170" s="104"/>
      <c r="C170" s="104"/>
      <c r="D170" s="100" t="s">
        <v>187</v>
      </c>
      <c r="E170" s="101">
        <v>2093.2800000000002</v>
      </c>
      <c r="F170" s="101">
        <v>2102.2800000000002</v>
      </c>
      <c r="G170" s="101">
        <v>2111.5</v>
      </c>
      <c r="H170" s="101">
        <v>2111.35</v>
      </c>
      <c r="I170" s="101">
        <v>2130.87</v>
      </c>
      <c r="J170" s="101">
        <v>2132.85</v>
      </c>
      <c r="K170" s="101">
        <v>2116.58</v>
      </c>
      <c r="L170" s="101">
        <v>2113.6</v>
      </c>
      <c r="M170" s="101">
        <v>2139.9899999999998</v>
      </c>
      <c r="N170" s="101">
        <v>2104.89</v>
      </c>
      <c r="O170" s="101">
        <v>2119.2199999999998</v>
      </c>
      <c r="P170" s="101">
        <v>2117.73</v>
      </c>
      <c r="Q170" s="101">
        <v>2117.34</v>
      </c>
      <c r="R170" s="321"/>
      <c r="S170" s="321"/>
      <c r="T170" s="324"/>
      <c r="U170" s="324"/>
      <c r="V170" s="326"/>
      <c r="W170" s="315"/>
      <c r="X170" s="318"/>
      <c r="Y170" s="224"/>
      <c r="Z170" s="221"/>
      <c r="AA170" s="102"/>
      <c r="AB170" s="102"/>
      <c r="AC170" s="102"/>
      <c r="AD170" s="102"/>
      <c r="AE170" s="106"/>
      <c r="AF170" s="102"/>
    </row>
    <row r="171" spans="1:32" ht="31.05" x14ac:dyDescent="0.35">
      <c r="A171" s="263"/>
      <c r="B171" s="99"/>
      <c r="C171" s="99"/>
      <c r="D171" s="100" t="s">
        <v>188</v>
      </c>
      <c r="E171" s="105">
        <f t="shared" ref="E171:Q171" si="54">IF(((E169="")*AND(E170="")),"",(E169-E170))</f>
        <v>407.88999999999987</v>
      </c>
      <c r="F171" s="105">
        <f t="shared" si="54"/>
        <v>376.31999999999971</v>
      </c>
      <c r="G171" s="105">
        <f t="shared" si="54"/>
        <v>359.73999999999978</v>
      </c>
      <c r="H171" s="105">
        <f t="shared" si="54"/>
        <v>362.34000000000015</v>
      </c>
      <c r="I171" s="105">
        <f t="shared" si="54"/>
        <v>364.24000000000024</v>
      </c>
      <c r="J171" s="105">
        <f t="shared" si="54"/>
        <v>367.43000000000029</v>
      </c>
      <c r="K171" s="105">
        <f t="shared" si="54"/>
        <v>358.11999999999989</v>
      </c>
      <c r="L171" s="105">
        <f t="shared" si="54"/>
        <v>377.34999999999991</v>
      </c>
      <c r="M171" s="105">
        <f t="shared" si="54"/>
        <v>414.5</v>
      </c>
      <c r="N171" s="105">
        <f t="shared" si="54"/>
        <v>371.36000000000013</v>
      </c>
      <c r="O171" s="105">
        <f t="shared" si="54"/>
        <v>376.14000000000033</v>
      </c>
      <c r="P171" s="105">
        <f t="shared" si="54"/>
        <v>353.19000000000005</v>
      </c>
      <c r="Q171" s="105">
        <f t="shared" si="54"/>
        <v>380.09999999999991</v>
      </c>
      <c r="R171" s="322"/>
      <c r="S171" s="322"/>
      <c r="T171" s="325"/>
      <c r="U171" s="325"/>
      <c r="V171" s="327"/>
      <c r="W171" s="316"/>
      <c r="X171" s="319"/>
      <c r="Y171" s="225"/>
      <c r="Z171" s="221"/>
      <c r="AA171" s="102"/>
      <c r="AB171" s="102"/>
      <c r="AC171" s="102"/>
      <c r="AD171" s="102"/>
      <c r="AE171" s="106"/>
      <c r="AF171" s="102"/>
    </row>
    <row r="172" spans="1:32" ht="15.55" x14ac:dyDescent="0.25">
      <c r="A172" s="264">
        <v>43328</v>
      </c>
      <c r="B172" s="99" t="s">
        <v>235</v>
      </c>
      <c r="C172" s="99" t="s">
        <v>232</v>
      </c>
      <c r="D172" s="100" t="s">
        <v>186</v>
      </c>
      <c r="E172" s="101">
        <v>2876.69</v>
      </c>
      <c r="F172" s="101">
        <v>2811.12</v>
      </c>
      <c r="G172" s="101">
        <v>2799.38</v>
      </c>
      <c r="H172" s="101">
        <v>2802.74</v>
      </c>
      <c r="I172" s="101">
        <v>2863.93</v>
      </c>
      <c r="J172" s="101">
        <v>2870.54</v>
      </c>
      <c r="K172" s="101">
        <v>2799.94</v>
      </c>
      <c r="L172" s="101">
        <v>2822.51</v>
      </c>
      <c r="M172" s="101">
        <v>2924.07</v>
      </c>
      <c r="N172" s="101">
        <v>2810.91</v>
      </c>
      <c r="O172" s="101">
        <v>2825.02</v>
      </c>
      <c r="P172" s="101">
        <v>2801.45</v>
      </c>
      <c r="Q172" s="101">
        <v>2830.77</v>
      </c>
      <c r="R172" s="320">
        <f>IF((Q173=""),"",MAX(E174:Q174))</f>
        <v>372.46000000000004</v>
      </c>
      <c r="S172" s="320">
        <f>IF(Q173="","",MIN(E174:Q174))</f>
        <v>318.62999999999965</v>
      </c>
      <c r="T172" s="323">
        <f>IF((Q174=""),"",AVERAGE(E174:Q174))</f>
        <v>336.11846153846147</v>
      </c>
      <c r="U172" s="323">
        <f>IF((Q173=""),"",(R172-S172)/(R172+S172)*100)</f>
        <v>7.7891446844839898</v>
      </c>
      <c r="V172" s="323">
        <f>STDEV(E174:Q174)</f>
        <v>21.194429239053168</v>
      </c>
      <c r="W172" s="314" t="str">
        <f>IF(Q173="","",IF(T172&gt;300,IF(U172&lt;14,IF(T172&lt;390,"Pass","Fail"),"Fail"),"Fail"))</f>
        <v>Pass</v>
      </c>
      <c r="X172" s="317">
        <v>1335</v>
      </c>
      <c r="Y172" s="328"/>
      <c r="Z172" s="221"/>
      <c r="AA172" s="102">
        <v>270</v>
      </c>
      <c r="AB172" s="102">
        <v>370</v>
      </c>
      <c r="AC172" s="102">
        <v>300</v>
      </c>
      <c r="AD172" s="103">
        <v>390</v>
      </c>
      <c r="AE172" s="103">
        <v>20</v>
      </c>
      <c r="AF172" s="103">
        <v>14</v>
      </c>
    </row>
    <row r="173" spans="1:32" ht="16.100000000000001" x14ac:dyDescent="0.35">
      <c r="A173" s="263"/>
      <c r="B173" s="104"/>
      <c r="C173" s="104"/>
      <c r="D173" s="100" t="s">
        <v>187</v>
      </c>
      <c r="E173" s="101">
        <v>2509.02</v>
      </c>
      <c r="F173" s="101">
        <v>2487.85</v>
      </c>
      <c r="G173" s="101">
        <v>2478.33</v>
      </c>
      <c r="H173" s="101">
        <v>2484.11</v>
      </c>
      <c r="I173" s="101">
        <v>2500.36</v>
      </c>
      <c r="J173" s="101">
        <v>2509.16</v>
      </c>
      <c r="K173" s="101">
        <v>2479.81</v>
      </c>
      <c r="L173" s="101">
        <v>2496.4699999999998</v>
      </c>
      <c r="M173" s="101">
        <v>2551.61</v>
      </c>
      <c r="N173" s="101">
        <v>2486.0500000000002</v>
      </c>
      <c r="O173" s="101">
        <v>2501.5300000000002</v>
      </c>
      <c r="P173" s="101">
        <v>2481.3000000000002</v>
      </c>
      <c r="Q173" s="101">
        <v>2503.9299999999998</v>
      </c>
      <c r="R173" s="321"/>
      <c r="S173" s="321"/>
      <c r="T173" s="324"/>
      <c r="U173" s="324"/>
      <c r="V173" s="326"/>
      <c r="W173" s="315"/>
      <c r="X173" s="318"/>
      <c r="Y173" s="329"/>
      <c r="Z173" s="221"/>
      <c r="AA173" s="102"/>
      <c r="AB173" s="102"/>
      <c r="AC173" s="102"/>
      <c r="AD173" s="102"/>
      <c r="AE173" s="106"/>
      <c r="AF173" s="102"/>
    </row>
    <row r="174" spans="1:32" ht="31.05" x14ac:dyDescent="0.35">
      <c r="A174" s="263"/>
      <c r="B174" s="99"/>
      <c r="C174" s="99"/>
      <c r="D174" s="100" t="s">
        <v>188</v>
      </c>
      <c r="E174" s="105">
        <f t="shared" ref="E174:Q174" si="55">IF(((E172="")*AND(E173="")),"",(E172-E173))</f>
        <v>367.67000000000007</v>
      </c>
      <c r="F174" s="105">
        <f t="shared" si="55"/>
        <v>323.27</v>
      </c>
      <c r="G174" s="105">
        <f t="shared" si="55"/>
        <v>321.05000000000018</v>
      </c>
      <c r="H174" s="105">
        <f t="shared" si="55"/>
        <v>318.62999999999965</v>
      </c>
      <c r="I174" s="105">
        <f t="shared" si="55"/>
        <v>363.56999999999971</v>
      </c>
      <c r="J174" s="105">
        <f t="shared" si="55"/>
        <v>361.38000000000011</v>
      </c>
      <c r="K174" s="105">
        <f t="shared" si="55"/>
        <v>320.13000000000011</v>
      </c>
      <c r="L174" s="105">
        <f t="shared" si="55"/>
        <v>326.04000000000042</v>
      </c>
      <c r="M174" s="105">
        <f t="shared" si="55"/>
        <v>372.46000000000004</v>
      </c>
      <c r="N174" s="105">
        <f t="shared" si="55"/>
        <v>324.85999999999967</v>
      </c>
      <c r="O174" s="105">
        <f t="shared" si="55"/>
        <v>323.48999999999978</v>
      </c>
      <c r="P174" s="105">
        <f t="shared" si="55"/>
        <v>320.14999999999964</v>
      </c>
      <c r="Q174" s="105">
        <f t="shared" si="55"/>
        <v>326.84000000000015</v>
      </c>
      <c r="R174" s="322"/>
      <c r="S174" s="322"/>
      <c r="T174" s="325"/>
      <c r="U174" s="325"/>
      <c r="V174" s="327"/>
      <c r="W174" s="316"/>
      <c r="X174" s="319"/>
      <c r="Y174" s="330"/>
      <c r="Z174" s="221"/>
      <c r="AA174" s="102"/>
      <c r="AB174" s="102"/>
      <c r="AC174" s="102"/>
      <c r="AD174" s="102"/>
      <c r="AE174" s="106"/>
      <c r="AF174" s="102"/>
    </row>
    <row r="175" spans="1:32" ht="15.55" x14ac:dyDescent="0.25">
      <c r="A175" s="264">
        <v>43332</v>
      </c>
      <c r="B175" s="99" t="s">
        <v>235</v>
      </c>
      <c r="C175" s="99" t="s">
        <v>232</v>
      </c>
      <c r="D175" s="100" t="s">
        <v>186</v>
      </c>
      <c r="E175" s="101">
        <v>2509.02</v>
      </c>
      <c r="F175" s="101">
        <v>2487.85</v>
      </c>
      <c r="G175" s="101">
        <v>2478.33</v>
      </c>
      <c r="H175" s="101">
        <v>2484.11</v>
      </c>
      <c r="I175" s="101">
        <v>2500.36</v>
      </c>
      <c r="J175" s="101">
        <v>2509.16</v>
      </c>
      <c r="K175" s="101">
        <v>2479.81</v>
      </c>
      <c r="L175" s="101">
        <v>2496.4699999999998</v>
      </c>
      <c r="M175" s="101">
        <v>2551.61</v>
      </c>
      <c r="N175" s="101">
        <v>2486.0500000000002</v>
      </c>
      <c r="O175" s="101">
        <v>2501.5300000000002</v>
      </c>
      <c r="P175" s="101">
        <v>2481.3000000000002</v>
      </c>
      <c r="Q175" s="101">
        <v>2503.9299999999998</v>
      </c>
      <c r="R175" s="320">
        <f>IF((Q176=""),"",MAX(E177:Q177))</f>
        <v>430.61000000000013</v>
      </c>
      <c r="S175" s="320">
        <f>IF(Q176="","",MIN(E177:Q177))</f>
        <v>354.10000000000036</v>
      </c>
      <c r="T175" s="323">
        <f>IF((Q177=""),"",AVERAGE(E177:Q177))</f>
        <v>378.94461538461542</v>
      </c>
      <c r="U175" s="323">
        <f>IF((Q176=""),"",(R175-S175)/(R175+S175)*100)</f>
        <v>9.7500987626001603</v>
      </c>
      <c r="V175" s="323">
        <f>STDEV(E177:Q177)</f>
        <v>21.668073524344745</v>
      </c>
      <c r="W175" s="314" t="str">
        <f>IF(Q176="","",IF(T175&gt;300,IF(U175&lt;14,IF(T175&lt;390,"Pass","Fail"),"Fail"),"Fail"))</f>
        <v>Pass</v>
      </c>
      <c r="X175" s="317">
        <v>1340</v>
      </c>
      <c r="Y175" s="328"/>
      <c r="Z175" s="221"/>
      <c r="AA175" s="102">
        <v>270</v>
      </c>
      <c r="AB175" s="102">
        <v>370</v>
      </c>
      <c r="AC175" s="102">
        <v>300</v>
      </c>
      <c r="AD175" s="103">
        <v>390</v>
      </c>
      <c r="AE175" s="103">
        <v>20</v>
      </c>
      <c r="AF175" s="103">
        <v>14</v>
      </c>
    </row>
    <row r="176" spans="1:32" ht="16.100000000000001" x14ac:dyDescent="0.35">
      <c r="A176" s="263"/>
      <c r="B176" s="104"/>
      <c r="C176" s="104"/>
      <c r="D176" s="100" t="s">
        <v>187</v>
      </c>
      <c r="E176" s="101">
        <v>2100.69</v>
      </c>
      <c r="F176" s="101">
        <v>2108.7800000000002</v>
      </c>
      <c r="G176" s="101">
        <v>2112.02</v>
      </c>
      <c r="H176" s="101">
        <v>2118.98</v>
      </c>
      <c r="I176" s="101">
        <v>2135.34</v>
      </c>
      <c r="J176" s="101">
        <v>2140.9499999999998</v>
      </c>
      <c r="K176" s="101">
        <v>2124.21</v>
      </c>
      <c r="L176" s="101">
        <v>2112.58</v>
      </c>
      <c r="M176" s="101">
        <v>2121</v>
      </c>
      <c r="N176" s="101">
        <v>2113.91</v>
      </c>
      <c r="O176" s="101">
        <v>2114.7199999999998</v>
      </c>
      <c r="P176" s="101">
        <v>2127.1999999999998</v>
      </c>
      <c r="Q176" s="101">
        <v>2112.87</v>
      </c>
      <c r="R176" s="321"/>
      <c r="S176" s="321"/>
      <c r="T176" s="324"/>
      <c r="U176" s="324"/>
      <c r="V176" s="326"/>
      <c r="W176" s="315"/>
      <c r="X176" s="318"/>
      <c r="Y176" s="329"/>
      <c r="Z176" s="221"/>
      <c r="AA176" s="102"/>
      <c r="AB176" s="102"/>
      <c r="AC176" s="102"/>
      <c r="AD176" s="102"/>
      <c r="AE176" s="106"/>
      <c r="AF176" s="102"/>
    </row>
    <row r="177" spans="1:32" ht="31.05" x14ac:dyDescent="0.35">
      <c r="A177" s="263"/>
      <c r="B177" s="99"/>
      <c r="C177" s="99"/>
      <c r="D177" s="100" t="s">
        <v>188</v>
      </c>
      <c r="E177" s="105">
        <f t="shared" ref="E177:Q177" si="56">IF(((E175="")*AND(E176="")),"",(E175-E176))</f>
        <v>408.32999999999993</v>
      </c>
      <c r="F177" s="105">
        <f t="shared" si="56"/>
        <v>379.06999999999971</v>
      </c>
      <c r="G177" s="105">
        <f t="shared" si="56"/>
        <v>366.30999999999995</v>
      </c>
      <c r="H177" s="105">
        <f t="shared" si="56"/>
        <v>365.13000000000011</v>
      </c>
      <c r="I177" s="105">
        <f t="shared" si="56"/>
        <v>365.02</v>
      </c>
      <c r="J177" s="105">
        <f t="shared" si="56"/>
        <v>368.21000000000004</v>
      </c>
      <c r="K177" s="105">
        <f t="shared" si="56"/>
        <v>355.59999999999991</v>
      </c>
      <c r="L177" s="105">
        <f t="shared" si="56"/>
        <v>383.88999999999987</v>
      </c>
      <c r="M177" s="105">
        <f t="shared" si="56"/>
        <v>430.61000000000013</v>
      </c>
      <c r="N177" s="105">
        <f t="shared" si="56"/>
        <v>372.14000000000033</v>
      </c>
      <c r="O177" s="105">
        <f t="shared" si="56"/>
        <v>386.8100000000004</v>
      </c>
      <c r="P177" s="105">
        <f t="shared" si="56"/>
        <v>354.10000000000036</v>
      </c>
      <c r="Q177" s="105">
        <f t="shared" si="56"/>
        <v>391.05999999999995</v>
      </c>
      <c r="R177" s="322"/>
      <c r="S177" s="322"/>
      <c r="T177" s="325"/>
      <c r="U177" s="325"/>
      <c r="V177" s="327"/>
      <c r="W177" s="316"/>
      <c r="X177" s="319"/>
      <c r="Y177" s="330"/>
      <c r="Z177" s="221"/>
      <c r="AA177" s="102"/>
      <c r="AB177" s="102"/>
      <c r="AC177" s="102"/>
      <c r="AD177" s="102"/>
      <c r="AE177" s="106"/>
      <c r="AF177" s="102"/>
    </row>
    <row r="178" spans="1:32" ht="15.55" x14ac:dyDescent="0.25">
      <c r="A178" s="264">
        <v>43335</v>
      </c>
      <c r="B178" s="99" t="s">
        <v>235</v>
      </c>
      <c r="C178" s="99" t="s">
        <v>232</v>
      </c>
      <c r="D178" s="100" t="s">
        <v>186</v>
      </c>
      <c r="E178" s="101">
        <v>2779</v>
      </c>
      <c r="F178" s="101">
        <v>2717</v>
      </c>
      <c r="G178" s="101">
        <v>2708</v>
      </c>
      <c r="H178" s="101">
        <v>2713</v>
      </c>
      <c r="I178" s="101">
        <v>2781</v>
      </c>
      <c r="J178" s="101">
        <v>2822</v>
      </c>
      <c r="K178" s="101">
        <v>2726</v>
      </c>
      <c r="L178" s="101">
        <v>2711</v>
      </c>
      <c r="M178" s="101">
        <v>2790</v>
      </c>
      <c r="N178" s="101">
        <v>2733</v>
      </c>
      <c r="O178" s="101">
        <v>2718</v>
      </c>
      <c r="P178" s="101">
        <v>2731</v>
      </c>
      <c r="Q178" s="101">
        <v>2719</v>
      </c>
      <c r="R178" s="320">
        <f>IF((Q179=""),"",MAX(E180:Q180))</f>
        <v>371</v>
      </c>
      <c r="S178" s="320">
        <f>IF(Q179="","",MIN(E180:Q180))</f>
        <v>324</v>
      </c>
      <c r="T178" s="323">
        <f>IF((Q180=""),"",AVERAGE(E180:Q180))</f>
        <v>340.23076923076923</v>
      </c>
      <c r="U178" s="323">
        <f>IF((Q179=""),"",(R178-S178)/(R178+S178)*100)</f>
        <v>6.7625899280575537</v>
      </c>
      <c r="V178" s="323">
        <f>STDEV(E180:Q180)</f>
        <v>20.20376964064646</v>
      </c>
      <c r="W178" s="314" t="str">
        <f>IF(Q179="","",IF(T178&gt;300,IF(U178&lt;14,IF(T178&lt;390,"Pass","Fail"),"Fail"),"Fail"))</f>
        <v>Pass</v>
      </c>
      <c r="X178" s="317">
        <v>1340</v>
      </c>
      <c r="Y178" s="328"/>
      <c r="Z178" s="221"/>
      <c r="AA178" s="102">
        <v>270</v>
      </c>
      <c r="AB178" s="102">
        <v>370</v>
      </c>
      <c r="AC178" s="102">
        <v>300</v>
      </c>
      <c r="AD178" s="103">
        <v>390</v>
      </c>
      <c r="AE178" s="103">
        <v>20</v>
      </c>
      <c r="AF178" s="103">
        <v>14</v>
      </c>
    </row>
    <row r="179" spans="1:32" ht="16.100000000000001" x14ac:dyDescent="0.35">
      <c r="A179" s="263"/>
      <c r="B179" s="104"/>
      <c r="C179" s="104"/>
      <c r="D179" s="100" t="s">
        <v>187</v>
      </c>
      <c r="E179" s="101">
        <v>2408</v>
      </c>
      <c r="F179" s="101">
        <v>2388</v>
      </c>
      <c r="G179" s="101">
        <v>2382</v>
      </c>
      <c r="H179" s="101">
        <v>2389</v>
      </c>
      <c r="I179" s="101">
        <v>2414</v>
      </c>
      <c r="J179" s="101">
        <v>2454</v>
      </c>
      <c r="K179" s="101">
        <v>2398</v>
      </c>
      <c r="L179" s="101">
        <v>2384</v>
      </c>
      <c r="M179" s="101">
        <v>2419</v>
      </c>
      <c r="N179" s="101">
        <v>2405</v>
      </c>
      <c r="O179" s="101">
        <v>2390</v>
      </c>
      <c r="P179" s="101">
        <v>2404</v>
      </c>
      <c r="Q179" s="101">
        <v>2390</v>
      </c>
      <c r="R179" s="321"/>
      <c r="S179" s="321"/>
      <c r="T179" s="324"/>
      <c r="U179" s="324"/>
      <c r="V179" s="326"/>
      <c r="W179" s="315"/>
      <c r="X179" s="318"/>
      <c r="Y179" s="329"/>
      <c r="Z179" s="221"/>
      <c r="AA179" s="102"/>
      <c r="AB179" s="102"/>
      <c r="AC179" s="102"/>
      <c r="AD179" s="102"/>
      <c r="AE179" s="106"/>
      <c r="AF179" s="102"/>
    </row>
    <row r="180" spans="1:32" ht="31.05" x14ac:dyDescent="0.35">
      <c r="A180" s="263"/>
      <c r="B180" s="99"/>
      <c r="C180" s="99"/>
      <c r="D180" s="100" t="s">
        <v>188</v>
      </c>
      <c r="E180" s="105">
        <f t="shared" ref="E180:Q180" si="57">IF(((E178="")*AND(E179="")),"",(E178-E179))</f>
        <v>371</v>
      </c>
      <c r="F180" s="105">
        <f t="shared" si="57"/>
        <v>329</v>
      </c>
      <c r="G180" s="105">
        <f t="shared" si="57"/>
        <v>326</v>
      </c>
      <c r="H180" s="105">
        <f t="shared" si="57"/>
        <v>324</v>
      </c>
      <c r="I180" s="105">
        <f t="shared" si="57"/>
        <v>367</v>
      </c>
      <c r="J180" s="105">
        <f t="shared" si="57"/>
        <v>368</v>
      </c>
      <c r="K180" s="105">
        <f t="shared" si="57"/>
        <v>328</v>
      </c>
      <c r="L180" s="105">
        <f t="shared" si="57"/>
        <v>327</v>
      </c>
      <c r="M180" s="105">
        <f t="shared" si="57"/>
        <v>371</v>
      </c>
      <c r="N180" s="105">
        <f t="shared" si="57"/>
        <v>328</v>
      </c>
      <c r="O180" s="105">
        <f t="shared" si="57"/>
        <v>328</v>
      </c>
      <c r="P180" s="105">
        <f t="shared" si="57"/>
        <v>327</v>
      </c>
      <c r="Q180" s="105">
        <f t="shared" si="57"/>
        <v>329</v>
      </c>
      <c r="R180" s="322"/>
      <c r="S180" s="322"/>
      <c r="T180" s="325"/>
      <c r="U180" s="325"/>
      <c r="V180" s="327"/>
      <c r="W180" s="316"/>
      <c r="X180" s="319"/>
      <c r="Y180" s="330"/>
      <c r="Z180" s="221"/>
      <c r="AA180" s="102"/>
      <c r="AB180" s="102"/>
      <c r="AC180" s="102"/>
      <c r="AD180" s="102"/>
      <c r="AE180" s="106"/>
      <c r="AF180" s="102"/>
    </row>
    <row r="181" spans="1:32" ht="15.55" x14ac:dyDescent="0.25">
      <c r="A181" s="264">
        <v>43338</v>
      </c>
      <c r="B181" s="99" t="s">
        <v>235</v>
      </c>
      <c r="C181" s="99" t="s">
        <v>232</v>
      </c>
      <c r="D181" s="100" t="s">
        <v>186</v>
      </c>
      <c r="E181" s="101">
        <v>2406.9299999999998</v>
      </c>
      <c r="F181" s="101">
        <v>2384.1999999999998</v>
      </c>
      <c r="G181" s="101">
        <v>2384.7399999999998</v>
      </c>
      <c r="H181" s="101">
        <v>2383.9499999999998</v>
      </c>
      <c r="I181" s="101">
        <v>2414.65</v>
      </c>
      <c r="J181" s="101">
        <v>2452.36</v>
      </c>
      <c r="K181" s="101">
        <v>2397.83</v>
      </c>
      <c r="L181" s="101">
        <v>2363.16</v>
      </c>
      <c r="M181" s="101">
        <v>2318.09</v>
      </c>
      <c r="N181" s="101">
        <v>2403.2800000000002</v>
      </c>
      <c r="O181" s="101">
        <v>2392.04</v>
      </c>
      <c r="P181" s="101">
        <v>2467.5500000000002</v>
      </c>
      <c r="Q181" s="101">
        <v>2389.81</v>
      </c>
      <c r="R181" s="320">
        <f>IF((Q182=""),"",MAX(E183:Q183))</f>
        <v>420.33999999999992</v>
      </c>
      <c r="S181" s="320">
        <f>IF(Q182="","",MIN(E183:Q183))</f>
        <v>319.71000000000004</v>
      </c>
      <c r="T181" s="323">
        <f>IF((Q183=""),"",AVERAGE(E183:Q183))</f>
        <v>348.14692307692309</v>
      </c>
      <c r="U181" s="323">
        <f>IF((Q182=""),"",(R181-S181)/(R181+S181)*100)</f>
        <v>13.597729883115992</v>
      </c>
      <c r="V181" s="323">
        <f>STDEV(E183:Q183)</f>
        <v>28.341255672198496</v>
      </c>
      <c r="W181" s="314" t="str">
        <f>IF(Q182="","",IF(T181&gt;300,IF(U181&lt;14,IF(T181&lt;390,"Pass","Fail"),"Fail"),"Fail"))</f>
        <v>Pass</v>
      </c>
      <c r="X181" s="317">
        <v>102</v>
      </c>
      <c r="Y181" s="328"/>
      <c r="Z181" s="221"/>
      <c r="AA181" s="102">
        <v>270</v>
      </c>
      <c r="AB181" s="102">
        <v>370</v>
      </c>
      <c r="AC181" s="102">
        <v>300</v>
      </c>
      <c r="AD181" s="103">
        <v>390</v>
      </c>
      <c r="AE181" s="103">
        <v>20</v>
      </c>
      <c r="AF181" s="103">
        <v>14</v>
      </c>
    </row>
    <row r="182" spans="1:32" ht="16.100000000000001" x14ac:dyDescent="0.35">
      <c r="A182" s="263"/>
      <c r="B182" s="104"/>
      <c r="C182" s="104"/>
      <c r="D182" s="100" t="s">
        <v>187</v>
      </c>
      <c r="E182" s="101">
        <v>1986.59</v>
      </c>
      <c r="F182" s="101">
        <v>2041.75</v>
      </c>
      <c r="G182" s="101">
        <v>2043.8</v>
      </c>
      <c r="H182" s="101">
        <v>2058.3200000000002</v>
      </c>
      <c r="I182" s="101">
        <v>2056.9699999999998</v>
      </c>
      <c r="J182" s="101">
        <v>2121.35</v>
      </c>
      <c r="K182" s="101">
        <v>2078.12</v>
      </c>
      <c r="L182" s="101">
        <v>2030.18</v>
      </c>
      <c r="M182" s="101">
        <v>1995.86</v>
      </c>
      <c r="N182" s="101">
        <v>2066.12</v>
      </c>
      <c r="O182" s="101">
        <v>2048.33</v>
      </c>
      <c r="P182" s="101">
        <v>2086.79</v>
      </c>
      <c r="Q182" s="101">
        <v>2018.5</v>
      </c>
      <c r="R182" s="321"/>
      <c r="S182" s="321"/>
      <c r="T182" s="324"/>
      <c r="U182" s="324"/>
      <c r="V182" s="326"/>
      <c r="W182" s="315"/>
      <c r="X182" s="318"/>
      <c r="Y182" s="329"/>
      <c r="Z182" s="221"/>
      <c r="AA182" s="102"/>
      <c r="AB182" s="102"/>
      <c r="AC182" s="102"/>
      <c r="AD182" s="102"/>
      <c r="AE182" s="106"/>
      <c r="AF182" s="102"/>
    </row>
    <row r="183" spans="1:32" ht="31.05" x14ac:dyDescent="0.35">
      <c r="A183" s="263"/>
      <c r="B183" s="99"/>
      <c r="C183" s="99"/>
      <c r="D183" s="100" t="s">
        <v>188</v>
      </c>
      <c r="E183" s="105">
        <f t="shared" ref="E183:Q183" si="58">IF(((E181="")*AND(E182="")),"",(E181-E182))</f>
        <v>420.33999999999992</v>
      </c>
      <c r="F183" s="105">
        <f t="shared" si="58"/>
        <v>342.44999999999982</v>
      </c>
      <c r="G183" s="105">
        <f t="shared" si="58"/>
        <v>340.93999999999983</v>
      </c>
      <c r="H183" s="105">
        <f t="shared" si="58"/>
        <v>325.62999999999965</v>
      </c>
      <c r="I183" s="105">
        <f t="shared" si="58"/>
        <v>357.68000000000029</v>
      </c>
      <c r="J183" s="105">
        <f t="shared" si="58"/>
        <v>331.01000000000022</v>
      </c>
      <c r="K183" s="105">
        <f t="shared" si="58"/>
        <v>319.71000000000004</v>
      </c>
      <c r="L183" s="105">
        <f t="shared" si="58"/>
        <v>332.97999999999979</v>
      </c>
      <c r="M183" s="105">
        <f t="shared" si="58"/>
        <v>322.23000000000025</v>
      </c>
      <c r="N183" s="105">
        <f t="shared" si="58"/>
        <v>337.16000000000031</v>
      </c>
      <c r="O183" s="105">
        <f t="shared" si="58"/>
        <v>343.71000000000004</v>
      </c>
      <c r="P183" s="105">
        <f t="shared" si="58"/>
        <v>380.76000000000022</v>
      </c>
      <c r="Q183" s="105">
        <f t="shared" si="58"/>
        <v>371.30999999999995</v>
      </c>
      <c r="R183" s="322"/>
      <c r="S183" s="322"/>
      <c r="T183" s="325"/>
      <c r="U183" s="325"/>
      <c r="V183" s="327"/>
      <c r="W183" s="316"/>
      <c r="X183" s="319"/>
      <c r="Y183" s="330"/>
      <c r="Z183" s="221"/>
      <c r="AA183" s="102"/>
      <c r="AB183" s="102"/>
      <c r="AC183" s="102"/>
      <c r="AD183" s="102"/>
      <c r="AE183" s="106"/>
      <c r="AF183" s="102"/>
    </row>
    <row r="184" spans="1:32" ht="15.55" x14ac:dyDescent="0.25">
      <c r="A184" s="264">
        <v>43341</v>
      </c>
      <c r="B184" s="99" t="s">
        <v>235</v>
      </c>
      <c r="C184" s="99" t="s">
        <v>232</v>
      </c>
      <c r="D184" s="100" t="s">
        <v>186</v>
      </c>
      <c r="E184" s="101">
        <v>1989.07</v>
      </c>
      <c r="F184" s="101">
        <v>2047.09</v>
      </c>
      <c r="G184" s="101">
        <v>2045.88</v>
      </c>
      <c r="H184" s="101">
        <v>2048.15</v>
      </c>
      <c r="I184" s="101">
        <v>2062.6799999999998</v>
      </c>
      <c r="J184" s="101">
        <v>2125.58</v>
      </c>
      <c r="K184" s="101">
        <v>2074.48</v>
      </c>
      <c r="L184" s="101">
        <v>2039.27</v>
      </c>
      <c r="M184" s="101">
        <v>1997.98</v>
      </c>
      <c r="N184" s="101">
        <v>2074.1999999999998</v>
      </c>
      <c r="O184" s="101">
        <v>2052.16</v>
      </c>
      <c r="P184" s="101">
        <v>2081.67</v>
      </c>
      <c r="Q184" s="101">
        <v>2025.37</v>
      </c>
      <c r="R184" s="320">
        <f>IF((Q185=""),"",MAX(E186:Q186))</f>
        <v>429.09999999999991</v>
      </c>
      <c r="S184" s="320">
        <f>IF(Q185="","",MIN(E186:Q186))</f>
        <v>333.08999999999992</v>
      </c>
      <c r="T184" s="323">
        <f>IF((Q186=""),"",AVERAGE(E186:Q186))</f>
        <v>363.50923076923067</v>
      </c>
      <c r="U184" s="323">
        <f>IF((Q185=""),"",(R184-S184)/(R184+S184)*100)</f>
        <v>12.596596649129484</v>
      </c>
      <c r="V184" s="323">
        <f>STDEV(E186:Q186)</f>
        <v>27.129560587895742</v>
      </c>
      <c r="W184" s="314" t="str">
        <f>IF(Q185="","",IF(T184&gt;300,IF(U184&lt;14,IF(T184&lt;390,"Pass","Fail"),"Fail"),"Fail"))</f>
        <v>Pass</v>
      </c>
      <c r="X184" s="317">
        <v>121</v>
      </c>
      <c r="Y184" s="328"/>
      <c r="Z184" s="221"/>
      <c r="AA184" s="102">
        <v>270</v>
      </c>
      <c r="AB184" s="102">
        <v>370</v>
      </c>
      <c r="AC184" s="102">
        <v>300</v>
      </c>
      <c r="AD184" s="103">
        <v>390</v>
      </c>
      <c r="AE184" s="103">
        <v>20</v>
      </c>
      <c r="AF184" s="103">
        <v>14</v>
      </c>
    </row>
    <row r="185" spans="1:32" ht="16.100000000000001" x14ac:dyDescent="0.35">
      <c r="A185" s="263"/>
      <c r="B185" s="104"/>
      <c r="C185" s="104"/>
      <c r="D185" s="100" t="s">
        <v>187</v>
      </c>
      <c r="E185" s="101">
        <v>1637.06</v>
      </c>
      <c r="F185" s="101">
        <v>1699.28</v>
      </c>
      <c r="G185" s="101">
        <v>1698.04</v>
      </c>
      <c r="H185" s="101">
        <v>1697.52</v>
      </c>
      <c r="I185" s="101">
        <v>1652.28</v>
      </c>
      <c r="J185" s="101">
        <v>1696.48</v>
      </c>
      <c r="K185" s="101">
        <v>1708.53</v>
      </c>
      <c r="L185" s="101">
        <v>1694.94</v>
      </c>
      <c r="M185" s="101">
        <v>1646.53</v>
      </c>
      <c r="N185" s="101">
        <v>1712.35</v>
      </c>
      <c r="O185" s="101">
        <v>1693.11</v>
      </c>
      <c r="P185" s="101">
        <v>1709.56</v>
      </c>
      <c r="Q185" s="101">
        <v>1692.28</v>
      </c>
      <c r="R185" s="321"/>
      <c r="S185" s="321"/>
      <c r="T185" s="324"/>
      <c r="U185" s="324"/>
      <c r="V185" s="326"/>
      <c r="W185" s="315"/>
      <c r="X185" s="318"/>
      <c r="Y185" s="329"/>
      <c r="Z185" s="221"/>
      <c r="AA185" s="102"/>
      <c r="AB185" s="102"/>
      <c r="AC185" s="102"/>
      <c r="AD185" s="102"/>
      <c r="AE185" s="106"/>
      <c r="AF185" s="102"/>
    </row>
    <row r="186" spans="1:32" ht="31.05" x14ac:dyDescent="0.35">
      <c r="A186" s="263"/>
      <c r="B186" s="99"/>
      <c r="C186" s="99"/>
      <c r="D186" s="100" t="s">
        <v>188</v>
      </c>
      <c r="E186" s="105">
        <f t="shared" ref="E186:Q186" si="59">IF(((E184="")*AND(E185="")),"",(E184-E185))</f>
        <v>352.01</v>
      </c>
      <c r="F186" s="105">
        <f t="shared" si="59"/>
        <v>347.80999999999995</v>
      </c>
      <c r="G186" s="105">
        <f t="shared" si="59"/>
        <v>347.84000000000015</v>
      </c>
      <c r="H186" s="105">
        <f t="shared" si="59"/>
        <v>350.63000000000011</v>
      </c>
      <c r="I186" s="105">
        <f t="shared" si="59"/>
        <v>410.39999999999986</v>
      </c>
      <c r="J186" s="105">
        <f t="shared" si="59"/>
        <v>429.09999999999991</v>
      </c>
      <c r="K186" s="105">
        <f t="shared" si="59"/>
        <v>365.95000000000005</v>
      </c>
      <c r="L186" s="105">
        <f t="shared" si="59"/>
        <v>344.32999999999993</v>
      </c>
      <c r="M186" s="105">
        <f t="shared" si="59"/>
        <v>351.45000000000005</v>
      </c>
      <c r="N186" s="105">
        <f t="shared" si="59"/>
        <v>361.84999999999991</v>
      </c>
      <c r="O186" s="105">
        <f t="shared" si="59"/>
        <v>359.04999999999995</v>
      </c>
      <c r="P186" s="105">
        <f t="shared" si="59"/>
        <v>372.11000000000013</v>
      </c>
      <c r="Q186" s="105">
        <f t="shared" si="59"/>
        <v>333.08999999999992</v>
      </c>
      <c r="R186" s="322"/>
      <c r="S186" s="322"/>
      <c r="T186" s="325"/>
      <c r="U186" s="325"/>
      <c r="V186" s="327"/>
      <c r="W186" s="316"/>
      <c r="X186" s="319"/>
      <c r="Y186" s="330"/>
      <c r="Z186" s="221"/>
      <c r="AA186" s="102"/>
      <c r="AB186" s="102"/>
      <c r="AC186" s="102"/>
      <c r="AD186" s="102"/>
      <c r="AE186" s="106"/>
      <c r="AF186" s="102"/>
    </row>
    <row r="187" spans="1:32" ht="15.55" x14ac:dyDescent="0.25">
      <c r="A187" s="264">
        <v>43344</v>
      </c>
      <c r="B187" s="99" t="s">
        <v>235</v>
      </c>
      <c r="C187" s="99" t="s">
        <v>232</v>
      </c>
      <c r="D187" s="100" t="s">
        <v>186</v>
      </c>
      <c r="E187" s="101">
        <v>2442.25</v>
      </c>
      <c r="F187" s="101">
        <v>2357.94</v>
      </c>
      <c r="G187" s="101">
        <v>2342.2399999999998</v>
      </c>
      <c r="H187" s="101">
        <v>2343.9499999999998</v>
      </c>
      <c r="I187" s="101">
        <v>2403.2800000000002</v>
      </c>
      <c r="J187" s="101">
        <v>2399.73</v>
      </c>
      <c r="K187" s="101">
        <v>2345.96</v>
      </c>
      <c r="L187" s="101">
        <v>2348.2800000000002</v>
      </c>
      <c r="M187" s="101">
        <v>2401.33</v>
      </c>
      <c r="N187" s="101">
        <v>2363.79</v>
      </c>
      <c r="O187" s="101">
        <v>2347.7199999999998</v>
      </c>
      <c r="P187" s="101">
        <v>2348.63</v>
      </c>
      <c r="Q187" s="101">
        <v>2363.86</v>
      </c>
      <c r="R187" s="320">
        <f>IF((Q188=""),"",MAX(E189:Q189))</f>
        <v>417.09999999999991</v>
      </c>
      <c r="S187" s="320">
        <f>IF(Q188="","",MIN(E189:Q189))</f>
        <v>340.52</v>
      </c>
      <c r="T187" s="323">
        <f>IF((Q189=""),"",AVERAGE(E189:Q189))</f>
        <v>360.67384615384617</v>
      </c>
      <c r="U187" s="323">
        <f>IF((Q188=""),"",(R187-S187)/(R187+S187)*100)</f>
        <v>10.10796969456983</v>
      </c>
      <c r="V187" s="323">
        <f>STDEV(E189:Q189)</f>
        <v>19.204050153748593</v>
      </c>
      <c r="W187" s="314" t="str">
        <f>IF(Q188="","",IF(T187&gt;300,IF(U187&lt;14,IF(T187&lt;390,"Pass","Fail"),"Fail"),"Fail"))</f>
        <v>Pass</v>
      </c>
      <c r="X187" s="317">
        <v>1335</v>
      </c>
      <c r="Y187" s="328"/>
      <c r="Z187" s="221"/>
      <c r="AA187" s="102">
        <v>270</v>
      </c>
      <c r="AB187" s="102">
        <v>370</v>
      </c>
      <c r="AC187" s="102">
        <v>300</v>
      </c>
      <c r="AD187" s="103">
        <v>390</v>
      </c>
      <c r="AE187" s="103">
        <v>20</v>
      </c>
      <c r="AF187" s="103">
        <v>14</v>
      </c>
    </row>
    <row r="188" spans="1:32" ht="16.100000000000001" x14ac:dyDescent="0.35">
      <c r="A188" s="263"/>
      <c r="B188" s="104"/>
      <c r="C188" s="104"/>
      <c r="D188" s="100" t="s">
        <v>187</v>
      </c>
      <c r="E188" s="101">
        <v>2064.2800000000002</v>
      </c>
      <c r="F188" s="101">
        <v>2002.77</v>
      </c>
      <c r="G188" s="101">
        <v>1985.58</v>
      </c>
      <c r="H188" s="101">
        <v>1989</v>
      </c>
      <c r="I188" s="101">
        <v>2048.39</v>
      </c>
      <c r="J188" s="101">
        <v>2046.17</v>
      </c>
      <c r="K188" s="101">
        <v>2005.44</v>
      </c>
      <c r="L188" s="101">
        <v>1982.07</v>
      </c>
      <c r="M188" s="101">
        <v>1984.23</v>
      </c>
      <c r="N188" s="101">
        <v>2013.06</v>
      </c>
      <c r="O188" s="101">
        <v>1994.88</v>
      </c>
      <c r="P188" s="101">
        <v>2001.45</v>
      </c>
      <c r="Q188" s="101">
        <v>2002.88</v>
      </c>
      <c r="R188" s="321"/>
      <c r="S188" s="321"/>
      <c r="T188" s="324"/>
      <c r="U188" s="324"/>
      <c r="V188" s="326"/>
      <c r="W188" s="315"/>
      <c r="X188" s="318"/>
      <c r="Y188" s="329"/>
      <c r="Z188" s="221"/>
      <c r="AA188" s="102"/>
      <c r="AB188" s="102"/>
      <c r="AC188" s="102"/>
      <c r="AD188" s="102"/>
      <c r="AE188" s="106"/>
      <c r="AF188" s="102"/>
    </row>
    <row r="189" spans="1:32" ht="31.05" x14ac:dyDescent="0.35">
      <c r="A189" s="263"/>
      <c r="B189" s="99"/>
      <c r="C189" s="99"/>
      <c r="D189" s="100" t="s">
        <v>188</v>
      </c>
      <c r="E189" s="105">
        <f t="shared" ref="E189:Q189" si="60">IF(((E187="")*AND(E188="")),"",(E187-E188))</f>
        <v>377.9699999999998</v>
      </c>
      <c r="F189" s="105">
        <f t="shared" si="60"/>
        <v>355.17000000000007</v>
      </c>
      <c r="G189" s="105">
        <f t="shared" si="60"/>
        <v>356.65999999999985</v>
      </c>
      <c r="H189" s="105">
        <f t="shared" si="60"/>
        <v>354.94999999999982</v>
      </c>
      <c r="I189" s="105">
        <f t="shared" si="60"/>
        <v>354.89000000000033</v>
      </c>
      <c r="J189" s="105">
        <f t="shared" si="60"/>
        <v>353.55999999999995</v>
      </c>
      <c r="K189" s="105">
        <f t="shared" si="60"/>
        <v>340.52</v>
      </c>
      <c r="L189" s="105">
        <f t="shared" si="60"/>
        <v>366.21000000000026</v>
      </c>
      <c r="M189" s="105">
        <f t="shared" si="60"/>
        <v>417.09999999999991</v>
      </c>
      <c r="N189" s="105">
        <f t="shared" si="60"/>
        <v>350.73</v>
      </c>
      <c r="O189" s="105">
        <f t="shared" si="60"/>
        <v>352.83999999999969</v>
      </c>
      <c r="P189" s="105">
        <f t="shared" si="60"/>
        <v>347.18000000000006</v>
      </c>
      <c r="Q189" s="105">
        <f t="shared" si="60"/>
        <v>360.98</v>
      </c>
      <c r="R189" s="322"/>
      <c r="S189" s="322"/>
      <c r="T189" s="325"/>
      <c r="U189" s="325"/>
      <c r="V189" s="327"/>
      <c r="W189" s="316"/>
      <c r="X189" s="319"/>
      <c r="Y189" s="330"/>
      <c r="Z189" s="221"/>
      <c r="AA189" s="102"/>
      <c r="AB189" s="102"/>
      <c r="AC189" s="102"/>
      <c r="AD189" s="102"/>
      <c r="AE189" s="106"/>
      <c r="AF189" s="102"/>
    </row>
    <row r="190" spans="1:32" ht="15.55" x14ac:dyDescent="0.25">
      <c r="A190" s="264">
        <v>43347</v>
      </c>
      <c r="B190" s="99" t="s">
        <v>235</v>
      </c>
      <c r="C190" s="99" t="s">
        <v>232</v>
      </c>
      <c r="D190" s="100" t="s">
        <v>186</v>
      </c>
      <c r="E190" s="101">
        <v>2064.2800000000002</v>
      </c>
      <c r="F190" s="101">
        <v>2002.77</v>
      </c>
      <c r="G190" s="101">
        <v>1985.58</v>
      </c>
      <c r="H190" s="101">
        <v>1989</v>
      </c>
      <c r="I190" s="101">
        <v>2048.39</v>
      </c>
      <c r="J190" s="101">
        <v>2046.17</v>
      </c>
      <c r="K190" s="101">
        <v>2005.44</v>
      </c>
      <c r="L190" s="101">
        <v>1982.07</v>
      </c>
      <c r="M190" s="101">
        <v>1984.23</v>
      </c>
      <c r="N190" s="101">
        <v>2013.06</v>
      </c>
      <c r="O190" s="101">
        <v>1994.88</v>
      </c>
      <c r="P190" s="101">
        <v>2001.45</v>
      </c>
      <c r="Q190" s="101">
        <v>2002.88</v>
      </c>
      <c r="R190" s="320">
        <f>IF((Q191=""),"",MAX(E192:Q192))</f>
        <v>410.89999999999986</v>
      </c>
      <c r="S190" s="320">
        <f>IF(Q191="","",MIN(E192:Q192))</f>
        <v>316.11999999999989</v>
      </c>
      <c r="T190" s="323">
        <f>IF((Q192=""),"",AVERAGE(E192:Q192))</f>
        <v>350.06461538461542</v>
      </c>
      <c r="U190" s="323">
        <f>IF((Q191=""),"",(R190-S190)/(R190+S190)*100)</f>
        <v>13.036780281147701</v>
      </c>
      <c r="V190" s="323">
        <f>STDEV(E192:Q192)</f>
        <v>31.67255873659526</v>
      </c>
      <c r="W190" s="314" t="str">
        <f>IF(Q191="","",IF(T190&gt;300,IF(U190&lt;14,IF(T190&lt;390,"Pass","Fail"),"Fail"),"Fail"))</f>
        <v>Pass</v>
      </c>
      <c r="X190" s="317"/>
      <c r="Y190" s="328"/>
      <c r="Z190" s="221"/>
      <c r="AA190" s="102">
        <v>270</v>
      </c>
      <c r="AB190" s="102">
        <v>370</v>
      </c>
      <c r="AC190" s="102">
        <v>300</v>
      </c>
      <c r="AD190" s="103">
        <v>390</v>
      </c>
      <c r="AE190" s="103">
        <v>20</v>
      </c>
      <c r="AF190" s="103">
        <v>14</v>
      </c>
    </row>
    <row r="191" spans="1:32" ht="16.100000000000001" x14ac:dyDescent="0.35">
      <c r="A191" s="263"/>
      <c r="B191" s="104"/>
      <c r="C191" s="104"/>
      <c r="D191" s="100" t="s">
        <v>187</v>
      </c>
      <c r="E191" s="101">
        <v>1670.72</v>
      </c>
      <c r="F191" s="101">
        <v>1674.86</v>
      </c>
      <c r="G191" s="101">
        <v>1660.73</v>
      </c>
      <c r="H191" s="101">
        <v>1652.09</v>
      </c>
      <c r="I191" s="101">
        <v>1637.49</v>
      </c>
      <c r="J191" s="101">
        <v>1643.24</v>
      </c>
      <c r="K191" s="101">
        <v>1671.82</v>
      </c>
      <c r="L191" s="101">
        <v>1665.95</v>
      </c>
      <c r="M191" s="101">
        <v>1629.1</v>
      </c>
      <c r="N191" s="101">
        <v>1663.97</v>
      </c>
      <c r="O191" s="101">
        <v>1658.58</v>
      </c>
      <c r="P191" s="101">
        <v>1665.12</v>
      </c>
      <c r="Q191" s="101">
        <v>1675.69</v>
      </c>
      <c r="R191" s="321"/>
      <c r="S191" s="321"/>
      <c r="T191" s="324"/>
      <c r="U191" s="324"/>
      <c r="V191" s="326"/>
      <c r="W191" s="315"/>
      <c r="X191" s="318"/>
      <c r="Y191" s="329"/>
      <c r="Z191" s="221"/>
      <c r="AA191" s="102"/>
      <c r="AB191" s="102"/>
      <c r="AC191" s="102"/>
      <c r="AD191" s="102"/>
      <c r="AE191" s="106"/>
      <c r="AF191" s="102"/>
    </row>
    <row r="192" spans="1:32" ht="31.05" x14ac:dyDescent="0.35">
      <c r="A192" s="263"/>
      <c r="B192" s="99"/>
      <c r="C192" s="99"/>
      <c r="D192" s="100" t="s">
        <v>188</v>
      </c>
      <c r="E192" s="105">
        <f t="shared" ref="E192:Q192" si="61">IF(((E190="")*AND(E191="")),"",(E190-E191))</f>
        <v>393.56000000000017</v>
      </c>
      <c r="F192" s="105">
        <f t="shared" si="61"/>
        <v>327.91000000000008</v>
      </c>
      <c r="G192" s="105">
        <f t="shared" si="61"/>
        <v>324.84999999999991</v>
      </c>
      <c r="H192" s="105">
        <f t="shared" si="61"/>
        <v>336.91000000000008</v>
      </c>
      <c r="I192" s="105">
        <f t="shared" si="61"/>
        <v>410.89999999999986</v>
      </c>
      <c r="J192" s="105">
        <f t="shared" si="61"/>
        <v>402.93000000000006</v>
      </c>
      <c r="K192" s="105">
        <f t="shared" si="61"/>
        <v>333.62000000000012</v>
      </c>
      <c r="L192" s="105">
        <f t="shared" si="61"/>
        <v>316.11999999999989</v>
      </c>
      <c r="M192" s="105">
        <f t="shared" si="61"/>
        <v>355.13000000000011</v>
      </c>
      <c r="N192" s="105">
        <f t="shared" si="61"/>
        <v>349.08999999999992</v>
      </c>
      <c r="O192" s="105">
        <f t="shared" si="61"/>
        <v>336.30000000000018</v>
      </c>
      <c r="P192" s="105">
        <f t="shared" si="61"/>
        <v>336.33000000000015</v>
      </c>
      <c r="Q192" s="105">
        <f t="shared" si="61"/>
        <v>327.19000000000005</v>
      </c>
      <c r="R192" s="322"/>
      <c r="S192" s="322"/>
      <c r="T192" s="325"/>
      <c r="U192" s="325"/>
      <c r="V192" s="327"/>
      <c r="W192" s="316"/>
      <c r="X192" s="319"/>
      <c r="Y192" s="330"/>
      <c r="Z192" s="221"/>
      <c r="AA192" s="102"/>
      <c r="AB192" s="102"/>
      <c r="AC192" s="102"/>
      <c r="AD192" s="102"/>
      <c r="AE192" s="106"/>
      <c r="AF192" s="102"/>
    </row>
    <row r="193" spans="1:32" ht="15.55" x14ac:dyDescent="0.25">
      <c r="A193" s="264">
        <v>43353</v>
      </c>
      <c r="B193" s="99" t="s">
        <v>235</v>
      </c>
      <c r="C193" s="99" t="s">
        <v>232</v>
      </c>
      <c r="D193" s="100" t="s">
        <v>186</v>
      </c>
      <c r="E193" s="101">
        <v>2444.0700000000002</v>
      </c>
      <c r="F193" s="101">
        <v>2356.61</v>
      </c>
      <c r="G193" s="101">
        <v>2339.23</v>
      </c>
      <c r="H193" s="101">
        <v>2341.46</v>
      </c>
      <c r="I193" s="101">
        <v>2400.5700000000002</v>
      </c>
      <c r="J193" s="101">
        <v>2398.85</v>
      </c>
      <c r="K193" s="101">
        <v>2346.4499999999998</v>
      </c>
      <c r="L193" s="101">
        <v>2347.37</v>
      </c>
      <c r="M193" s="101">
        <v>2403.2399999999998</v>
      </c>
      <c r="N193" s="101">
        <v>2362.71</v>
      </c>
      <c r="O193" s="101">
        <v>2348.0500000000002</v>
      </c>
      <c r="P193" s="101">
        <v>2344.41</v>
      </c>
      <c r="Q193" s="101">
        <v>2366.13</v>
      </c>
      <c r="R193" s="320">
        <f>IF((Q194=""),"",MAX(E195:Q195))</f>
        <v>431.64999999999986</v>
      </c>
      <c r="S193" s="320">
        <f>IF(Q194="","",MIN(E195:Q195))</f>
        <v>376.04999999999995</v>
      </c>
      <c r="T193" s="323">
        <f>IF((Q195=""),"",AVERAGE(E195:Q195))</f>
        <v>388.12846153846152</v>
      </c>
      <c r="U193" s="323">
        <f>IF((Q194=""),"",(R193-S193)/(R193+S193)*100)</f>
        <v>6.8837439643431866</v>
      </c>
      <c r="V193" s="323">
        <f>STDEV(E195:Q195)</f>
        <v>14.686452286690301</v>
      </c>
      <c r="W193" s="314" t="str">
        <f>IF(Q194="","",IF(T193&gt;300,IF(U193&lt;14,IF(T193&lt;390,"Pass","Fail"),"Fail"),"Fail"))</f>
        <v>Pass</v>
      </c>
      <c r="X193" s="317" t="s">
        <v>241</v>
      </c>
      <c r="Y193" s="328"/>
      <c r="Z193" s="221"/>
      <c r="AA193" s="102">
        <v>270</v>
      </c>
      <c r="AB193" s="102">
        <v>370</v>
      </c>
      <c r="AC193" s="102">
        <v>300</v>
      </c>
      <c r="AD193" s="103">
        <v>390</v>
      </c>
      <c r="AE193" s="103">
        <v>20</v>
      </c>
      <c r="AF193" s="103">
        <v>14</v>
      </c>
    </row>
    <row r="194" spans="1:32" ht="16.100000000000001" x14ac:dyDescent="0.35">
      <c r="A194" s="263"/>
      <c r="B194" s="104"/>
      <c r="C194" s="104"/>
      <c r="D194" s="100" t="s">
        <v>187</v>
      </c>
      <c r="E194" s="101">
        <v>2046.18</v>
      </c>
      <c r="F194" s="101">
        <v>1973.24</v>
      </c>
      <c r="G194" s="101">
        <v>1956.71</v>
      </c>
      <c r="H194" s="101">
        <v>1951.04</v>
      </c>
      <c r="I194" s="101">
        <v>2008.68</v>
      </c>
      <c r="J194" s="101">
        <v>2019.77</v>
      </c>
      <c r="K194" s="101">
        <v>1968.13</v>
      </c>
      <c r="L194" s="101">
        <v>1969.77</v>
      </c>
      <c r="M194" s="101">
        <v>1971.59</v>
      </c>
      <c r="N194" s="101">
        <v>1983.44</v>
      </c>
      <c r="O194" s="101">
        <v>1961.61</v>
      </c>
      <c r="P194" s="101">
        <v>1968.36</v>
      </c>
      <c r="Q194" s="101">
        <v>1974.96</v>
      </c>
      <c r="R194" s="321"/>
      <c r="S194" s="321"/>
      <c r="T194" s="324"/>
      <c r="U194" s="324"/>
      <c r="V194" s="326"/>
      <c r="W194" s="315"/>
      <c r="X194" s="318"/>
      <c r="Y194" s="329"/>
      <c r="Z194" s="221"/>
      <c r="AA194" s="102"/>
      <c r="AB194" s="102"/>
      <c r="AC194" s="102"/>
      <c r="AD194" s="102"/>
      <c r="AE194" s="106"/>
      <c r="AF194" s="102"/>
    </row>
    <row r="195" spans="1:32" ht="31.05" x14ac:dyDescent="0.35">
      <c r="A195" s="263"/>
      <c r="B195" s="99"/>
      <c r="C195" s="99"/>
      <c r="D195" s="100" t="s">
        <v>188</v>
      </c>
      <c r="E195" s="105">
        <f t="shared" ref="E195:Q195" si="62">IF(((E193="")*AND(E194="")),"",(E193-E194))</f>
        <v>397.8900000000001</v>
      </c>
      <c r="F195" s="105">
        <f t="shared" si="62"/>
        <v>383.37000000000012</v>
      </c>
      <c r="G195" s="105">
        <f t="shared" si="62"/>
        <v>382.52</v>
      </c>
      <c r="H195" s="105">
        <f t="shared" si="62"/>
        <v>390.42000000000007</v>
      </c>
      <c r="I195" s="105">
        <f t="shared" si="62"/>
        <v>391.8900000000001</v>
      </c>
      <c r="J195" s="105">
        <f t="shared" si="62"/>
        <v>379.07999999999993</v>
      </c>
      <c r="K195" s="105">
        <f t="shared" si="62"/>
        <v>378.31999999999971</v>
      </c>
      <c r="L195" s="105">
        <f t="shared" si="62"/>
        <v>377.59999999999991</v>
      </c>
      <c r="M195" s="105">
        <f t="shared" si="62"/>
        <v>431.64999999999986</v>
      </c>
      <c r="N195" s="105">
        <f t="shared" si="62"/>
        <v>379.27</v>
      </c>
      <c r="O195" s="105">
        <f t="shared" si="62"/>
        <v>386.44000000000028</v>
      </c>
      <c r="P195" s="105">
        <f t="shared" si="62"/>
        <v>376.04999999999995</v>
      </c>
      <c r="Q195" s="105">
        <f t="shared" si="62"/>
        <v>391.17000000000007</v>
      </c>
      <c r="R195" s="322"/>
      <c r="S195" s="322"/>
      <c r="T195" s="325"/>
      <c r="U195" s="325"/>
      <c r="V195" s="327"/>
      <c r="W195" s="316"/>
      <c r="X195" s="319"/>
      <c r="Y195" s="330"/>
      <c r="Z195" s="221"/>
      <c r="AA195" s="102"/>
      <c r="AB195" s="102"/>
      <c r="AC195" s="102"/>
      <c r="AD195" s="102"/>
      <c r="AE195" s="106"/>
      <c r="AF195" s="102"/>
    </row>
    <row r="196" spans="1:32" ht="15.55" x14ac:dyDescent="0.25">
      <c r="A196" s="264">
        <v>43353</v>
      </c>
      <c r="B196" s="99" t="s">
        <v>235</v>
      </c>
      <c r="C196" s="99" t="s">
        <v>232</v>
      </c>
      <c r="D196" s="100" t="s">
        <v>186</v>
      </c>
      <c r="E196" s="110">
        <v>2026</v>
      </c>
      <c r="F196" s="110">
        <v>1961</v>
      </c>
      <c r="G196" s="110">
        <v>1950</v>
      </c>
      <c r="H196" s="110">
        <v>1948</v>
      </c>
      <c r="I196" s="110">
        <v>2000</v>
      </c>
      <c r="J196" s="110">
        <v>2008</v>
      </c>
      <c r="K196" s="110">
        <v>1961</v>
      </c>
      <c r="L196" s="110">
        <v>1952</v>
      </c>
      <c r="M196" s="110">
        <v>1962</v>
      </c>
      <c r="N196" s="110">
        <v>1970</v>
      </c>
      <c r="O196" s="110">
        <v>1957</v>
      </c>
      <c r="P196" s="110">
        <v>1962</v>
      </c>
      <c r="Q196" s="110">
        <v>1965</v>
      </c>
      <c r="R196" s="320">
        <f>IF((Q197=""),"",MAX(E198:Q198))</f>
        <v>370</v>
      </c>
      <c r="S196" s="320">
        <f>IF(Q197="","",MIN(E198:Q198))</f>
        <v>286</v>
      </c>
      <c r="T196" s="323">
        <f>IF((Q198=""),"",AVERAGE(E198:Q198))</f>
        <v>311.61538461538464</v>
      </c>
      <c r="U196" s="323">
        <f>IF((Q197=""),"",(R196-S196)/(R196+S196)*100)</f>
        <v>12.804878048780488</v>
      </c>
      <c r="V196" s="323">
        <f>STDEV(E198:Q198)</f>
        <v>33.302999017952565</v>
      </c>
      <c r="W196" s="314" t="str">
        <f>IF(Q197="","",IF(T196&gt;300,IF(U196&lt;14,IF(T196&lt;390,"Pass","Fail"),"Fail"),"Fail"))</f>
        <v>Pass</v>
      </c>
      <c r="X196" s="317" t="s">
        <v>241</v>
      </c>
      <c r="Y196" s="328"/>
      <c r="Z196" s="221"/>
      <c r="AA196" s="102">
        <v>270</v>
      </c>
      <c r="AB196" s="102">
        <v>370</v>
      </c>
      <c r="AC196" s="102">
        <v>300</v>
      </c>
      <c r="AD196" s="103">
        <v>390</v>
      </c>
      <c r="AE196" s="103">
        <v>20</v>
      </c>
      <c r="AF196" s="103">
        <v>14</v>
      </c>
    </row>
    <row r="197" spans="1:32" ht="16.100000000000001" x14ac:dyDescent="0.35">
      <c r="A197" s="263"/>
      <c r="B197" s="104"/>
      <c r="C197" s="104"/>
      <c r="D197" s="100" t="s">
        <v>187</v>
      </c>
      <c r="E197" s="110">
        <v>1666</v>
      </c>
      <c r="F197" s="110">
        <v>1675</v>
      </c>
      <c r="G197" s="110">
        <v>1662</v>
      </c>
      <c r="H197" s="110">
        <v>1661</v>
      </c>
      <c r="I197" s="110">
        <v>1635</v>
      </c>
      <c r="J197" s="110">
        <v>1638</v>
      </c>
      <c r="K197" s="110">
        <v>1664</v>
      </c>
      <c r="L197" s="110">
        <v>1666</v>
      </c>
      <c r="M197" s="110">
        <v>1625</v>
      </c>
      <c r="N197" s="110">
        <v>1677</v>
      </c>
      <c r="O197" s="110">
        <v>1660</v>
      </c>
      <c r="P197" s="110">
        <v>1663</v>
      </c>
      <c r="Q197" s="110">
        <v>1679</v>
      </c>
      <c r="R197" s="321"/>
      <c r="S197" s="321"/>
      <c r="T197" s="324"/>
      <c r="U197" s="324"/>
      <c r="V197" s="326"/>
      <c r="W197" s="315"/>
      <c r="X197" s="318"/>
      <c r="Y197" s="329"/>
      <c r="Z197" s="221"/>
      <c r="AA197" s="102"/>
      <c r="AB197" s="102"/>
      <c r="AC197" s="102"/>
      <c r="AD197" s="102"/>
      <c r="AE197" s="106"/>
      <c r="AF197" s="102"/>
    </row>
    <row r="198" spans="1:32" ht="31.05" x14ac:dyDescent="0.35">
      <c r="A198" s="263"/>
      <c r="B198" s="99"/>
      <c r="C198" s="99"/>
      <c r="D198" s="100" t="s">
        <v>188</v>
      </c>
      <c r="E198" s="105">
        <f t="shared" ref="E198:Q198" si="63">IF(((E196="")*AND(E197="")),"",(E196-E197))</f>
        <v>360</v>
      </c>
      <c r="F198" s="105">
        <f t="shared" si="63"/>
        <v>286</v>
      </c>
      <c r="G198" s="105">
        <f t="shared" si="63"/>
        <v>288</v>
      </c>
      <c r="H198" s="105">
        <f t="shared" si="63"/>
        <v>287</v>
      </c>
      <c r="I198" s="105">
        <f t="shared" si="63"/>
        <v>365</v>
      </c>
      <c r="J198" s="105">
        <f t="shared" si="63"/>
        <v>370</v>
      </c>
      <c r="K198" s="105">
        <f t="shared" si="63"/>
        <v>297</v>
      </c>
      <c r="L198" s="105">
        <f t="shared" si="63"/>
        <v>286</v>
      </c>
      <c r="M198" s="105">
        <f t="shared" si="63"/>
        <v>337</v>
      </c>
      <c r="N198" s="105">
        <f t="shared" si="63"/>
        <v>293</v>
      </c>
      <c r="O198" s="105">
        <f t="shared" si="63"/>
        <v>297</v>
      </c>
      <c r="P198" s="105">
        <f t="shared" si="63"/>
        <v>299</v>
      </c>
      <c r="Q198" s="105">
        <f t="shared" si="63"/>
        <v>286</v>
      </c>
      <c r="R198" s="322"/>
      <c r="S198" s="322"/>
      <c r="T198" s="325"/>
      <c r="U198" s="325"/>
      <c r="V198" s="327"/>
      <c r="W198" s="316"/>
      <c r="X198" s="319"/>
      <c r="Y198" s="330"/>
      <c r="Z198" s="221"/>
      <c r="AA198" s="102"/>
      <c r="AB198" s="102"/>
      <c r="AC198" s="102"/>
      <c r="AD198" s="102"/>
      <c r="AE198" s="106"/>
      <c r="AF198" s="102"/>
    </row>
    <row r="199" spans="1:32" ht="15.55" x14ac:dyDescent="0.25">
      <c r="A199" s="264">
        <v>43357</v>
      </c>
      <c r="B199" s="99" t="s">
        <v>235</v>
      </c>
      <c r="C199" s="99" t="s">
        <v>232</v>
      </c>
      <c r="D199" s="100" t="s">
        <v>186</v>
      </c>
      <c r="E199" s="101">
        <v>2439.0300000000002</v>
      </c>
      <c r="F199" s="101">
        <v>2352.64</v>
      </c>
      <c r="G199" s="101">
        <v>2337.04</v>
      </c>
      <c r="H199" s="101">
        <v>2336.73</v>
      </c>
      <c r="I199" s="101">
        <v>2392.04</v>
      </c>
      <c r="J199" s="101">
        <v>2395.63</v>
      </c>
      <c r="K199" s="101">
        <v>2343.02</v>
      </c>
      <c r="L199" s="101">
        <v>2345.2399999999998</v>
      </c>
      <c r="M199" s="101">
        <v>2396.16</v>
      </c>
      <c r="N199" s="101">
        <v>2360.7800000000002</v>
      </c>
      <c r="O199" s="101">
        <v>2343.67</v>
      </c>
      <c r="P199" s="101">
        <v>2343.19</v>
      </c>
      <c r="Q199" s="101">
        <v>2362.06</v>
      </c>
      <c r="R199" s="320">
        <f>IF((Q200=""),"",MAX(E201:Q201))</f>
        <v>438.44999999999982</v>
      </c>
      <c r="S199" s="320">
        <f>IF(Q200="","",MIN(E201:Q201))</f>
        <v>381.96000000000004</v>
      </c>
      <c r="T199" s="323">
        <f>IF((Q201=""),"",AVERAGE(E201:Q201))</f>
        <v>395.62307692307695</v>
      </c>
      <c r="U199" s="323">
        <f>IF((Q200=""),"",(R199-S199)/(R199+S199)*100)</f>
        <v>6.885581599444154</v>
      </c>
      <c r="V199" s="323">
        <f>STDEV(E201:Q201)</f>
        <v>15.009239590229816</v>
      </c>
      <c r="W199" s="314" t="str">
        <f>IF(Q200="","",IF(T199&gt;300,IF(U199&lt;14,IF(T199&lt;390,"Pass","Fail"),"Fail"),"Fail"))</f>
        <v>Fail</v>
      </c>
      <c r="X199" s="317">
        <v>1335</v>
      </c>
      <c r="Y199" s="328"/>
      <c r="Z199" s="221"/>
      <c r="AA199" s="102">
        <v>270</v>
      </c>
      <c r="AB199" s="102">
        <v>370</v>
      </c>
      <c r="AC199" s="102">
        <v>300</v>
      </c>
      <c r="AD199" s="103">
        <v>390</v>
      </c>
      <c r="AE199" s="103">
        <v>20</v>
      </c>
      <c r="AF199" s="103">
        <v>14</v>
      </c>
    </row>
    <row r="200" spans="1:32" ht="16.100000000000001" x14ac:dyDescent="0.35">
      <c r="A200" s="263"/>
      <c r="B200" s="104"/>
      <c r="C200" s="104"/>
      <c r="D200" s="100" t="s">
        <v>187</v>
      </c>
      <c r="E200" s="101">
        <v>2028.95</v>
      </c>
      <c r="F200" s="101">
        <v>1961.96</v>
      </c>
      <c r="G200" s="101">
        <v>1950.69</v>
      </c>
      <c r="H200" s="101">
        <v>1948.69</v>
      </c>
      <c r="I200" s="101">
        <v>1991.19</v>
      </c>
      <c r="J200" s="101">
        <v>2000.78</v>
      </c>
      <c r="K200" s="101">
        <v>1961.06</v>
      </c>
      <c r="L200" s="101">
        <v>1952.97</v>
      </c>
      <c r="M200" s="101">
        <v>1957.71</v>
      </c>
      <c r="N200" s="101">
        <v>1972.74</v>
      </c>
      <c r="O200" s="101">
        <v>1952.33</v>
      </c>
      <c r="P200" s="101">
        <v>1961.14</v>
      </c>
      <c r="Q200" s="101">
        <v>1963.92</v>
      </c>
      <c r="R200" s="321"/>
      <c r="S200" s="321"/>
      <c r="T200" s="324"/>
      <c r="U200" s="324"/>
      <c r="V200" s="326"/>
      <c r="W200" s="315"/>
      <c r="X200" s="318"/>
      <c r="Y200" s="329"/>
      <c r="Z200" s="221"/>
      <c r="AA200" s="102"/>
      <c r="AB200" s="102"/>
      <c r="AC200" s="102"/>
      <c r="AD200" s="102"/>
      <c r="AE200" s="106"/>
      <c r="AF200" s="102"/>
    </row>
    <row r="201" spans="1:32" ht="31.05" x14ac:dyDescent="0.35">
      <c r="A201" s="263"/>
      <c r="B201" s="99"/>
      <c r="C201" s="99"/>
      <c r="D201" s="100" t="s">
        <v>188</v>
      </c>
      <c r="E201" s="105">
        <f t="shared" ref="E201:Q201" si="64">IF(((E199="")*AND(E200="")),"",(E199-E200))</f>
        <v>410.08000000000015</v>
      </c>
      <c r="F201" s="105">
        <f t="shared" si="64"/>
        <v>390.67999999999984</v>
      </c>
      <c r="G201" s="105">
        <f t="shared" si="64"/>
        <v>386.34999999999991</v>
      </c>
      <c r="H201" s="105">
        <f t="shared" si="64"/>
        <v>388.03999999999996</v>
      </c>
      <c r="I201" s="105">
        <f t="shared" si="64"/>
        <v>400.84999999999991</v>
      </c>
      <c r="J201" s="105">
        <f t="shared" si="64"/>
        <v>394.85000000000014</v>
      </c>
      <c r="K201" s="105">
        <f t="shared" si="64"/>
        <v>381.96000000000004</v>
      </c>
      <c r="L201" s="105">
        <f t="shared" si="64"/>
        <v>392.26999999999975</v>
      </c>
      <c r="M201" s="105">
        <f t="shared" si="64"/>
        <v>438.44999999999982</v>
      </c>
      <c r="N201" s="105">
        <f t="shared" si="64"/>
        <v>388.04000000000019</v>
      </c>
      <c r="O201" s="105">
        <f t="shared" si="64"/>
        <v>391.34000000000015</v>
      </c>
      <c r="P201" s="105">
        <f t="shared" si="64"/>
        <v>382.04999999999995</v>
      </c>
      <c r="Q201" s="105">
        <f t="shared" si="64"/>
        <v>398.13999999999987</v>
      </c>
      <c r="R201" s="322"/>
      <c r="S201" s="322"/>
      <c r="T201" s="325"/>
      <c r="U201" s="325"/>
      <c r="V201" s="327"/>
      <c r="W201" s="316"/>
      <c r="X201" s="319"/>
      <c r="Y201" s="330"/>
      <c r="Z201" s="221"/>
      <c r="AA201" s="102"/>
      <c r="AB201" s="102"/>
      <c r="AC201" s="102"/>
      <c r="AD201" s="102"/>
      <c r="AE201" s="106"/>
      <c r="AF201" s="102"/>
    </row>
    <row r="202" spans="1:32" ht="15.55" x14ac:dyDescent="0.25">
      <c r="A202" s="264">
        <v>43357</v>
      </c>
      <c r="B202" s="99" t="s">
        <v>235</v>
      </c>
      <c r="C202" s="99" t="s">
        <v>232</v>
      </c>
      <c r="D202" s="100" t="s">
        <v>186</v>
      </c>
      <c r="E202" s="101">
        <v>2028.95</v>
      </c>
      <c r="F202" s="101">
        <v>1961.96</v>
      </c>
      <c r="G202" s="101">
        <v>1950.69</v>
      </c>
      <c r="H202" s="101">
        <v>1948.69</v>
      </c>
      <c r="I202" s="101">
        <v>1991.19</v>
      </c>
      <c r="J202" s="101">
        <v>2000.78</v>
      </c>
      <c r="K202" s="101">
        <v>1961.06</v>
      </c>
      <c r="L202" s="101">
        <v>1952.97</v>
      </c>
      <c r="M202" s="101">
        <v>1957.71</v>
      </c>
      <c r="N202" s="101">
        <v>1972.74</v>
      </c>
      <c r="O202" s="101">
        <v>1952.33</v>
      </c>
      <c r="P202" s="101">
        <v>1961.14</v>
      </c>
      <c r="Q202" s="101">
        <v>1963.92</v>
      </c>
      <c r="R202" s="320">
        <f>IF((Q203=""),"",MAX(E204:Q204))</f>
        <v>376.98</v>
      </c>
      <c r="S202" s="320">
        <f>IF(Q203="","",MIN(E204:Q204))</f>
        <v>293.57000000000016</v>
      </c>
      <c r="T202" s="323">
        <f>IF((Q204=""),"",AVERAGE(E204:Q204))</f>
        <v>320.95615384615388</v>
      </c>
      <c r="U202" s="323">
        <f>IF((Q203=""),"",(R202-S202)/(R202+S202)*100)</f>
        <v>12.439042576989014</v>
      </c>
      <c r="V202" s="323">
        <f>STDEV(E204:Q204)</f>
        <v>34.650322398322707</v>
      </c>
      <c r="W202" s="314" t="str">
        <f>IF(Q203="","",IF(T202&gt;300,IF(U202&lt;14,IF(T202&lt;390,"Pass","Fail"),"Fail"),"Fail"))</f>
        <v>Pass</v>
      </c>
      <c r="X202" s="317">
        <v>121</v>
      </c>
      <c r="Y202" s="328"/>
      <c r="Z202" s="221"/>
      <c r="AA202" s="102">
        <v>270</v>
      </c>
      <c r="AB202" s="102">
        <v>370</v>
      </c>
      <c r="AC202" s="102">
        <v>300</v>
      </c>
      <c r="AD202" s="103">
        <v>390</v>
      </c>
      <c r="AE202" s="103">
        <v>20</v>
      </c>
      <c r="AF202" s="103">
        <v>14</v>
      </c>
    </row>
    <row r="203" spans="1:32" ht="16.100000000000001" x14ac:dyDescent="0.35">
      <c r="A203" s="263"/>
      <c r="B203" s="104"/>
      <c r="C203" s="104"/>
      <c r="D203" s="100" t="s">
        <v>187</v>
      </c>
      <c r="E203" s="101">
        <v>1652.42</v>
      </c>
      <c r="F203" s="101">
        <v>1666.89</v>
      </c>
      <c r="G203" s="101">
        <v>1657.12</v>
      </c>
      <c r="H203" s="101">
        <v>1652.1</v>
      </c>
      <c r="I203" s="101">
        <v>1614.27</v>
      </c>
      <c r="J203" s="101">
        <v>1623.8</v>
      </c>
      <c r="K203" s="101">
        <v>1660.02</v>
      </c>
      <c r="L203" s="101">
        <v>1653.65</v>
      </c>
      <c r="M203" s="101">
        <v>1610.31</v>
      </c>
      <c r="N203" s="101">
        <v>1670.31</v>
      </c>
      <c r="O203" s="101">
        <v>1653.35</v>
      </c>
      <c r="P203" s="101">
        <v>1652.05</v>
      </c>
      <c r="Q203" s="101">
        <v>1665.41</v>
      </c>
      <c r="R203" s="321"/>
      <c r="S203" s="321"/>
      <c r="T203" s="324"/>
      <c r="U203" s="324"/>
      <c r="V203" s="326"/>
      <c r="W203" s="315"/>
      <c r="X203" s="318"/>
      <c r="Y203" s="329"/>
      <c r="Z203" s="221"/>
      <c r="AA203" s="102"/>
      <c r="AB203" s="102"/>
      <c r="AC203" s="102"/>
      <c r="AD203" s="102"/>
      <c r="AE203" s="106"/>
      <c r="AF203" s="102"/>
    </row>
    <row r="204" spans="1:32" ht="31.05" x14ac:dyDescent="0.35">
      <c r="A204" s="263"/>
      <c r="B204" s="99"/>
      <c r="C204" s="99"/>
      <c r="D204" s="100" t="s">
        <v>188</v>
      </c>
      <c r="E204" s="105">
        <f t="shared" ref="E204:Q204" si="65">IF(((E202="")*AND(E203="")),"",(E202-E203))</f>
        <v>376.53</v>
      </c>
      <c r="F204" s="105">
        <f t="shared" si="65"/>
        <v>295.06999999999994</v>
      </c>
      <c r="G204" s="105">
        <f t="shared" si="65"/>
        <v>293.57000000000016</v>
      </c>
      <c r="H204" s="105">
        <f t="shared" si="65"/>
        <v>296.59000000000015</v>
      </c>
      <c r="I204" s="105">
        <f t="shared" si="65"/>
        <v>376.92000000000007</v>
      </c>
      <c r="J204" s="105">
        <f t="shared" si="65"/>
        <v>376.98</v>
      </c>
      <c r="K204" s="105">
        <f t="shared" si="65"/>
        <v>301.03999999999996</v>
      </c>
      <c r="L204" s="105">
        <f t="shared" si="65"/>
        <v>299.31999999999994</v>
      </c>
      <c r="M204" s="105">
        <f t="shared" si="65"/>
        <v>347.40000000000009</v>
      </c>
      <c r="N204" s="105">
        <f t="shared" si="65"/>
        <v>302.43000000000006</v>
      </c>
      <c r="O204" s="105">
        <f t="shared" si="65"/>
        <v>298.98</v>
      </c>
      <c r="P204" s="105">
        <f t="shared" si="65"/>
        <v>309.09000000000015</v>
      </c>
      <c r="Q204" s="105">
        <f t="shared" si="65"/>
        <v>298.51</v>
      </c>
      <c r="R204" s="322"/>
      <c r="S204" s="322"/>
      <c r="T204" s="325"/>
      <c r="U204" s="325"/>
      <c r="V204" s="327"/>
      <c r="W204" s="316"/>
      <c r="X204" s="319"/>
      <c r="Y204" s="330"/>
      <c r="Z204" s="221"/>
      <c r="AA204" s="102"/>
      <c r="AB204" s="102"/>
      <c r="AC204" s="102"/>
      <c r="AD204" s="102"/>
      <c r="AE204" s="106"/>
      <c r="AF204" s="102"/>
    </row>
    <row r="205" spans="1:32" ht="15.55" x14ac:dyDescent="0.25">
      <c r="A205" s="264">
        <v>43360</v>
      </c>
      <c r="B205" s="99" t="s">
        <v>235</v>
      </c>
      <c r="C205" s="99" t="s">
        <v>232</v>
      </c>
      <c r="D205" s="100" t="s">
        <v>186</v>
      </c>
      <c r="E205" s="101">
        <v>2409.86</v>
      </c>
      <c r="F205" s="101">
        <v>2321.7199999999998</v>
      </c>
      <c r="G205" s="101">
        <v>2304.41</v>
      </c>
      <c r="H205" s="101">
        <v>2312.35</v>
      </c>
      <c r="I205" s="101">
        <v>2388.38</v>
      </c>
      <c r="J205" s="101">
        <v>2382.81</v>
      </c>
      <c r="K205" s="101">
        <v>2316.06</v>
      </c>
      <c r="L205" s="101">
        <v>2310.15</v>
      </c>
      <c r="M205" s="101">
        <v>2368.96</v>
      </c>
      <c r="N205" s="101">
        <v>2329.34</v>
      </c>
      <c r="O205" s="101">
        <v>2314.37</v>
      </c>
      <c r="P205" s="101">
        <v>2318.13</v>
      </c>
      <c r="Q205" s="101">
        <v>2323.84</v>
      </c>
      <c r="R205" s="320">
        <f>IF((Q206=""),"",MAX(E207:Q207))</f>
        <v>434.35000000000014</v>
      </c>
      <c r="S205" s="320">
        <f>IF(Q206="","",MIN(E207:Q207))</f>
        <v>377.51999999999975</v>
      </c>
      <c r="T205" s="323">
        <f>IF((Q207=""),"",AVERAGE(E207:Q207))</f>
        <v>398.8692307692308</v>
      </c>
      <c r="U205" s="323">
        <f>IF((Q206=""),"",(R205-S205)/(R205+S205)*100)</f>
        <v>6.9998891448138725</v>
      </c>
      <c r="V205" s="323">
        <f>STDEV(E207:Q207)</f>
        <v>18.23530525360928</v>
      </c>
      <c r="W205" s="314" t="str">
        <f>IF(Q206="","",IF(T205&gt;300,IF(U205&lt;14,IF(T205&lt;390,"Pass","Fail"),"Fail"),"Fail"))</f>
        <v>Fail</v>
      </c>
      <c r="X205" s="317">
        <v>1340</v>
      </c>
      <c r="Y205" s="328"/>
      <c r="Z205" s="221"/>
      <c r="AA205" s="102">
        <v>270</v>
      </c>
      <c r="AB205" s="102">
        <v>370</v>
      </c>
      <c r="AC205" s="102">
        <v>300</v>
      </c>
      <c r="AD205" s="103">
        <v>390</v>
      </c>
      <c r="AE205" s="103">
        <v>20</v>
      </c>
      <c r="AF205" s="103">
        <v>14</v>
      </c>
    </row>
    <row r="206" spans="1:32" ht="16.100000000000001" x14ac:dyDescent="0.35">
      <c r="A206" s="263"/>
      <c r="B206" s="104"/>
      <c r="C206" s="104"/>
      <c r="D206" s="100" t="s">
        <v>187</v>
      </c>
      <c r="E206" s="101">
        <v>1975.51</v>
      </c>
      <c r="F206" s="101">
        <v>1931.67</v>
      </c>
      <c r="G206" s="101">
        <v>1926.89</v>
      </c>
      <c r="H206" s="101">
        <v>1921.42</v>
      </c>
      <c r="I206" s="101">
        <v>1971.78</v>
      </c>
      <c r="J206" s="101">
        <v>1965.45</v>
      </c>
      <c r="K206" s="101">
        <v>1924.19</v>
      </c>
      <c r="L206" s="101">
        <v>1926.93</v>
      </c>
      <c r="M206" s="101">
        <v>1941.82</v>
      </c>
      <c r="N206" s="101">
        <v>1940.03</v>
      </c>
      <c r="O206" s="101">
        <v>1924.92</v>
      </c>
      <c r="P206" s="101">
        <v>1929.89</v>
      </c>
      <c r="Q206" s="101">
        <v>1934.58</v>
      </c>
      <c r="R206" s="321"/>
      <c r="S206" s="321"/>
      <c r="T206" s="324"/>
      <c r="U206" s="324"/>
      <c r="V206" s="326"/>
      <c r="W206" s="315"/>
      <c r="X206" s="318"/>
      <c r="Y206" s="329"/>
      <c r="Z206" s="221"/>
      <c r="AA206" s="102"/>
      <c r="AB206" s="102"/>
      <c r="AC206" s="102"/>
      <c r="AD206" s="102"/>
      <c r="AE206" s="106"/>
      <c r="AF206" s="102"/>
    </row>
    <row r="207" spans="1:32" ht="31.05" x14ac:dyDescent="0.35">
      <c r="A207" s="263"/>
      <c r="B207" s="99"/>
      <c r="C207" s="99"/>
      <c r="D207" s="100" t="s">
        <v>188</v>
      </c>
      <c r="E207" s="105">
        <f t="shared" ref="E207:Q207" si="66">IF(((E205="")*AND(E206="")),"",(E205-E206))</f>
        <v>434.35000000000014</v>
      </c>
      <c r="F207" s="105">
        <f t="shared" si="66"/>
        <v>390.04999999999973</v>
      </c>
      <c r="G207" s="105">
        <f t="shared" si="66"/>
        <v>377.51999999999975</v>
      </c>
      <c r="H207" s="105">
        <f t="shared" si="66"/>
        <v>390.92999999999984</v>
      </c>
      <c r="I207" s="105">
        <f t="shared" si="66"/>
        <v>416.60000000000014</v>
      </c>
      <c r="J207" s="105">
        <f t="shared" si="66"/>
        <v>417.3599999999999</v>
      </c>
      <c r="K207" s="105">
        <f t="shared" si="66"/>
        <v>391.86999999999989</v>
      </c>
      <c r="L207" s="105">
        <f t="shared" si="66"/>
        <v>383.22</v>
      </c>
      <c r="M207" s="105">
        <f t="shared" si="66"/>
        <v>427.1400000000001</v>
      </c>
      <c r="N207" s="105">
        <f t="shared" si="66"/>
        <v>389.31000000000017</v>
      </c>
      <c r="O207" s="105">
        <f t="shared" si="66"/>
        <v>389.44999999999982</v>
      </c>
      <c r="P207" s="105">
        <f t="shared" si="66"/>
        <v>388.24</v>
      </c>
      <c r="Q207" s="105">
        <f t="shared" si="66"/>
        <v>389.26000000000022</v>
      </c>
      <c r="R207" s="322"/>
      <c r="S207" s="322"/>
      <c r="T207" s="325"/>
      <c r="U207" s="325"/>
      <c r="V207" s="327"/>
      <c r="W207" s="316"/>
      <c r="X207" s="319"/>
      <c r="Y207" s="330"/>
      <c r="Z207" s="221"/>
      <c r="AA207" s="102"/>
      <c r="AB207" s="102"/>
      <c r="AC207" s="102"/>
      <c r="AD207" s="102"/>
      <c r="AE207" s="106"/>
      <c r="AF207" s="102"/>
    </row>
    <row r="208" spans="1:32" ht="15.55" x14ac:dyDescent="0.25">
      <c r="A208" s="264">
        <v>43360</v>
      </c>
      <c r="B208" s="99" t="s">
        <v>235</v>
      </c>
      <c r="C208" s="99" t="s">
        <v>232</v>
      </c>
      <c r="D208" s="100" t="s">
        <v>186</v>
      </c>
      <c r="E208" s="101">
        <v>1975.51</v>
      </c>
      <c r="F208" s="101">
        <v>1931.67</v>
      </c>
      <c r="G208" s="101">
        <v>1926.89</v>
      </c>
      <c r="H208" s="101">
        <v>1921.42</v>
      </c>
      <c r="I208" s="101">
        <v>1971.78</v>
      </c>
      <c r="J208" s="101">
        <v>1965.45</v>
      </c>
      <c r="K208" s="101">
        <v>1924.19</v>
      </c>
      <c r="L208" s="101">
        <v>1926.93</v>
      </c>
      <c r="M208" s="101">
        <v>1941.82</v>
      </c>
      <c r="N208" s="101">
        <v>1940.03</v>
      </c>
      <c r="O208" s="101">
        <v>1924.92</v>
      </c>
      <c r="P208" s="101">
        <v>1929.89</v>
      </c>
      <c r="Q208" s="101">
        <v>1934.58</v>
      </c>
      <c r="R208" s="320">
        <f>IF((Q209=""),"",MAX(E210:Q210))</f>
        <v>356.75</v>
      </c>
      <c r="S208" s="320">
        <f>IF(Q209="","",MIN(E210:Q210))</f>
        <v>286.32000000000016</v>
      </c>
      <c r="T208" s="323">
        <f>IF((Q210=""),"",AVERAGE(E210:Q210))</f>
        <v>312.36846153846159</v>
      </c>
      <c r="U208" s="323">
        <f>IF((Q209=""),"",(R208-S208)/(R208+S208)*100)</f>
        <v>10.95215139875905</v>
      </c>
      <c r="V208" s="323">
        <f>STDEV(E210:Q210)</f>
        <v>27.375044549782221</v>
      </c>
      <c r="W208" s="314" t="str">
        <f>IF(Q209="","",IF(T208&gt;300,IF(U208&lt;14,IF(T208&lt;390,"Pass","Fail"),"Fail"),"Fail"))</f>
        <v>Pass</v>
      </c>
      <c r="X208" s="317">
        <v>1340</v>
      </c>
      <c r="Y208" s="227" t="s">
        <v>205</v>
      </c>
      <c r="Z208" s="221"/>
      <c r="AA208" s="102">
        <v>270</v>
      </c>
      <c r="AB208" s="102">
        <v>370</v>
      </c>
      <c r="AC208" s="102">
        <v>300</v>
      </c>
      <c r="AD208" s="103">
        <v>390</v>
      </c>
      <c r="AE208" s="103">
        <v>20</v>
      </c>
      <c r="AF208" s="103">
        <v>14</v>
      </c>
    </row>
    <row r="209" spans="1:32" ht="16.100000000000001" x14ac:dyDescent="0.35">
      <c r="A209" s="263"/>
      <c r="B209" s="104"/>
      <c r="C209" s="104"/>
      <c r="D209" s="100" t="s">
        <v>187</v>
      </c>
      <c r="E209" s="101">
        <v>1630.21</v>
      </c>
      <c r="F209" s="101">
        <v>1634.83</v>
      </c>
      <c r="G209" s="101">
        <v>1631.2</v>
      </c>
      <c r="H209" s="101">
        <v>1630.27</v>
      </c>
      <c r="I209" s="101">
        <v>1615.03</v>
      </c>
      <c r="J209" s="101">
        <v>1614.77</v>
      </c>
      <c r="K209" s="101">
        <v>1637.87</v>
      </c>
      <c r="L209" s="101">
        <v>1630.49</v>
      </c>
      <c r="M209" s="101">
        <v>1588.92</v>
      </c>
      <c r="N209" s="101">
        <v>1643.37</v>
      </c>
      <c r="O209" s="101">
        <v>1628.97</v>
      </c>
      <c r="P209" s="101">
        <v>1631.62</v>
      </c>
      <c r="Q209" s="101">
        <v>1636.74</v>
      </c>
      <c r="R209" s="321"/>
      <c r="S209" s="321"/>
      <c r="T209" s="324"/>
      <c r="U209" s="324"/>
      <c r="V209" s="326"/>
      <c r="W209" s="315"/>
      <c r="X209" s="318"/>
      <c r="Y209" s="224"/>
      <c r="Z209" s="221"/>
      <c r="AA209" s="102"/>
      <c r="AB209" s="102"/>
      <c r="AC209" s="102"/>
      <c r="AD209" s="102"/>
      <c r="AE209" s="106"/>
      <c r="AF209" s="102"/>
    </row>
    <row r="210" spans="1:32" ht="31.05" x14ac:dyDescent="0.35">
      <c r="A210" s="263"/>
      <c r="B210" s="99"/>
      <c r="C210" s="99"/>
      <c r="D210" s="100" t="s">
        <v>188</v>
      </c>
      <c r="E210" s="105">
        <f t="shared" ref="E210:Q210" si="67">IF(((E208="")*AND(E209="")),"",(E208-E209))</f>
        <v>345.29999999999995</v>
      </c>
      <c r="F210" s="105">
        <f t="shared" si="67"/>
        <v>296.84000000000015</v>
      </c>
      <c r="G210" s="105">
        <f t="shared" si="67"/>
        <v>295.69000000000005</v>
      </c>
      <c r="H210" s="105">
        <f t="shared" si="67"/>
        <v>291.15000000000009</v>
      </c>
      <c r="I210" s="105">
        <f t="shared" si="67"/>
        <v>356.75</v>
      </c>
      <c r="J210" s="105">
        <f t="shared" si="67"/>
        <v>350.68000000000006</v>
      </c>
      <c r="K210" s="105">
        <f t="shared" si="67"/>
        <v>286.32000000000016</v>
      </c>
      <c r="L210" s="105">
        <f t="shared" si="67"/>
        <v>296.44000000000005</v>
      </c>
      <c r="M210" s="105">
        <f t="shared" si="67"/>
        <v>352.89999999999986</v>
      </c>
      <c r="N210" s="105">
        <f t="shared" si="67"/>
        <v>296.66000000000008</v>
      </c>
      <c r="O210" s="105">
        <f t="shared" si="67"/>
        <v>295.95000000000005</v>
      </c>
      <c r="P210" s="105">
        <f t="shared" si="67"/>
        <v>298.27000000000021</v>
      </c>
      <c r="Q210" s="105">
        <f t="shared" si="67"/>
        <v>297.83999999999992</v>
      </c>
      <c r="R210" s="322"/>
      <c r="S210" s="322"/>
      <c r="T210" s="325"/>
      <c r="U210" s="325"/>
      <c r="V210" s="327"/>
      <c r="W210" s="316"/>
      <c r="X210" s="319"/>
      <c r="Y210" s="225"/>
      <c r="Z210" s="221"/>
      <c r="AA210" s="102"/>
      <c r="AB210" s="102"/>
      <c r="AC210" s="102"/>
      <c r="AD210" s="102"/>
      <c r="AE210" s="106"/>
      <c r="AF210" s="102"/>
    </row>
    <row r="211" spans="1:32" ht="15.55" x14ac:dyDescent="0.25">
      <c r="A211" s="264">
        <v>43363</v>
      </c>
      <c r="B211" s="99" t="s">
        <v>235</v>
      </c>
      <c r="C211" s="99" t="s">
        <v>232</v>
      </c>
      <c r="D211" s="100" t="s">
        <v>186</v>
      </c>
      <c r="E211" s="101">
        <v>2410.54</v>
      </c>
      <c r="F211" s="101">
        <v>2315.52</v>
      </c>
      <c r="G211" s="101">
        <v>2299.81</v>
      </c>
      <c r="H211" s="101">
        <v>2303.2399999999998</v>
      </c>
      <c r="I211" s="101">
        <v>2377.21</v>
      </c>
      <c r="J211" s="101">
        <v>2376.08</v>
      </c>
      <c r="K211" s="101">
        <v>2309.67</v>
      </c>
      <c r="L211" s="101">
        <v>2306.62</v>
      </c>
      <c r="M211" s="101">
        <v>2369.14</v>
      </c>
      <c r="N211" s="101">
        <v>2324.11</v>
      </c>
      <c r="O211" s="101">
        <v>2310.4</v>
      </c>
      <c r="P211" s="101">
        <v>2312.41</v>
      </c>
      <c r="Q211" s="101">
        <v>2323.23</v>
      </c>
      <c r="R211" s="320">
        <f>IF((Q212=""),"",MAX(E213:Q213))</f>
        <v>437.83999999999992</v>
      </c>
      <c r="S211" s="320">
        <f>IF(Q212="","",MIN(E213:Q213))</f>
        <v>383.33999999999969</v>
      </c>
      <c r="T211" s="323">
        <f>IF((Q213=""),"",AVERAGE(E213:Q213))</f>
        <v>399.36999999999989</v>
      </c>
      <c r="U211" s="323">
        <f>IF((Q212=""),"",(R211-S211)/(R211+S211)*100)</f>
        <v>6.6367909593512087</v>
      </c>
      <c r="V211" s="323">
        <f>STDEV(E213:Q213)</f>
        <v>19.829420482370786</v>
      </c>
      <c r="W211" s="314" t="str">
        <f>IF(Q212="","",IF(T211&gt;300,IF(U211&lt;14,IF(T211&lt;390,"Pass","Fail"),"Fail"),"Fail"))</f>
        <v>Fail</v>
      </c>
      <c r="X211" s="317">
        <v>1340</v>
      </c>
      <c r="Y211" s="328"/>
      <c r="Z211" s="221"/>
      <c r="AA211" s="102">
        <v>270</v>
      </c>
      <c r="AB211" s="102">
        <v>370</v>
      </c>
      <c r="AC211" s="102">
        <v>300</v>
      </c>
      <c r="AD211" s="103">
        <v>390</v>
      </c>
      <c r="AE211" s="103">
        <v>20</v>
      </c>
      <c r="AF211" s="103">
        <v>14</v>
      </c>
    </row>
    <row r="212" spans="1:32" ht="16.100000000000001" x14ac:dyDescent="0.35">
      <c r="A212" s="263"/>
      <c r="B212" s="104"/>
      <c r="C212" s="104"/>
      <c r="D212" s="100" t="s">
        <v>187</v>
      </c>
      <c r="E212" s="101">
        <v>1972.7</v>
      </c>
      <c r="F212" s="101">
        <v>1929.08</v>
      </c>
      <c r="G212" s="101">
        <v>1915.09</v>
      </c>
      <c r="H212" s="101">
        <v>1919.9</v>
      </c>
      <c r="I212" s="101">
        <v>1954.18</v>
      </c>
      <c r="J212" s="101">
        <v>1958.27</v>
      </c>
      <c r="K212" s="101">
        <v>1924</v>
      </c>
      <c r="L212" s="101">
        <v>1919.44</v>
      </c>
      <c r="M212" s="101">
        <v>1939.51</v>
      </c>
      <c r="N212" s="101">
        <v>1935.66</v>
      </c>
      <c r="O212" s="101">
        <v>1922.42</v>
      </c>
      <c r="P212" s="101">
        <v>1925.56</v>
      </c>
      <c r="Q212" s="101">
        <v>1930.36</v>
      </c>
      <c r="R212" s="321"/>
      <c r="S212" s="321"/>
      <c r="T212" s="324"/>
      <c r="U212" s="324"/>
      <c r="V212" s="326"/>
      <c r="W212" s="315"/>
      <c r="X212" s="318"/>
      <c r="Y212" s="329"/>
      <c r="Z212" s="221"/>
      <c r="AA212" s="102"/>
      <c r="AB212" s="102"/>
      <c r="AC212" s="102"/>
      <c r="AD212" s="103"/>
      <c r="AE212" s="103"/>
      <c r="AF212" s="103"/>
    </row>
    <row r="213" spans="1:32" ht="31.05" x14ac:dyDescent="0.35">
      <c r="A213" s="263"/>
      <c r="B213" s="99"/>
      <c r="C213" s="99"/>
      <c r="D213" s="100" t="s">
        <v>188</v>
      </c>
      <c r="E213" s="105">
        <f t="shared" ref="E213:Q213" si="68">IF(((E211="")*AND(E212="")),"",(E211-E212))</f>
        <v>437.83999999999992</v>
      </c>
      <c r="F213" s="105">
        <f t="shared" si="68"/>
        <v>386.44000000000005</v>
      </c>
      <c r="G213" s="105">
        <f t="shared" si="68"/>
        <v>384.72</v>
      </c>
      <c r="H213" s="105">
        <f t="shared" si="68"/>
        <v>383.33999999999969</v>
      </c>
      <c r="I213" s="105">
        <f t="shared" si="68"/>
        <v>423.03</v>
      </c>
      <c r="J213" s="105">
        <f t="shared" si="68"/>
        <v>417.80999999999995</v>
      </c>
      <c r="K213" s="105">
        <f t="shared" si="68"/>
        <v>385.67000000000007</v>
      </c>
      <c r="L213" s="105">
        <f t="shared" si="68"/>
        <v>387.17999999999984</v>
      </c>
      <c r="M213" s="105">
        <f t="shared" si="68"/>
        <v>429.62999999999988</v>
      </c>
      <c r="N213" s="105">
        <f t="shared" si="68"/>
        <v>388.45000000000005</v>
      </c>
      <c r="O213" s="105">
        <f t="shared" si="68"/>
        <v>387.98</v>
      </c>
      <c r="P213" s="105">
        <f t="shared" si="68"/>
        <v>386.84999999999991</v>
      </c>
      <c r="Q213" s="105">
        <f t="shared" si="68"/>
        <v>392.87000000000012</v>
      </c>
      <c r="R213" s="322"/>
      <c r="S213" s="322"/>
      <c r="T213" s="325"/>
      <c r="U213" s="325"/>
      <c r="V213" s="327"/>
      <c r="W213" s="316"/>
      <c r="X213" s="319"/>
      <c r="Y213" s="330"/>
      <c r="Z213" s="221"/>
      <c r="AA213" s="102"/>
      <c r="AB213" s="102"/>
      <c r="AC213" s="102"/>
      <c r="AD213" s="102"/>
      <c r="AE213" s="106"/>
      <c r="AF213" s="102"/>
    </row>
    <row r="214" spans="1:32" ht="15.55" x14ac:dyDescent="0.25">
      <c r="A214" s="264">
        <v>43363</v>
      </c>
      <c r="B214" s="99" t="s">
        <v>235</v>
      </c>
      <c r="C214" s="99" t="s">
        <v>232</v>
      </c>
      <c r="D214" s="100" t="s">
        <v>186</v>
      </c>
      <c r="E214" s="101">
        <v>1972.7</v>
      </c>
      <c r="F214" s="101">
        <v>1929.08</v>
      </c>
      <c r="G214" s="101">
        <v>1915.09</v>
      </c>
      <c r="H214" s="101">
        <v>1919.9</v>
      </c>
      <c r="I214" s="101">
        <v>1954.18</v>
      </c>
      <c r="J214" s="101">
        <v>1958.27</v>
      </c>
      <c r="K214" s="101">
        <v>1924</v>
      </c>
      <c r="L214" s="101">
        <v>1919.44</v>
      </c>
      <c r="M214" s="101">
        <v>1939.51</v>
      </c>
      <c r="N214" s="101">
        <v>1935.66</v>
      </c>
      <c r="O214" s="101">
        <v>1922.42</v>
      </c>
      <c r="P214" s="101">
        <v>1925.56</v>
      </c>
      <c r="Q214" s="101">
        <v>1930.36</v>
      </c>
      <c r="R214" s="320">
        <f>IF((Q215=""),"",MAX(E216:Q216))</f>
        <v>346.8900000000001</v>
      </c>
      <c r="S214" s="320">
        <f>IF(Q215="","",MIN(E216:Q216))</f>
        <v>291.55999999999995</v>
      </c>
      <c r="T214" s="323">
        <f>IF((Q216=""),"",AVERAGE(E216:Q216))</f>
        <v>311.76538461538462</v>
      </c>
      <c r="U214" s="323">
        <f>IF((Q215=""),"",(R214-S214)/(R214+S214)*100)</f>
        <v>8.6663011982144482</v>
      </c>
      <c r="V214" s="323">
        <f>STDEV(E216:Q216)</f>
        <v>23.059483810132104</v>
      </c>
      <c r="W214" s="314" t="str">
        <f>IF(Q215="","",IF(T214&gt;300,IF(U214&lt;14,IF(T214&lt;390,"Pass","Fail"),"Fail"),"Fail"))</f>
        <v>Pass</v>
      </c>
      <c r="X214" s="317">
        <v>1340</v>
      </c>
      <c r="Y214" s="328"/>
      <c r="Z214" s="221"/>
      <c r="AA214" s="102">
        <v>270</v>
      </c>
      <c r="AB214" s="102">
        <v>370</v>
      </c>
      <c r="AC214" s="102">
        <v>300</v>
      </c>
      <c r="AD214" s="103">
        <v>390</v>
      </c>
      <c r="AE214" s="103">
        <v>20</v>
      </c>
      <c r="AF214" s="103">
        <v>14</v>
      </c>
    </row>
    <row r="215" spans="1:32" ht="16.100000000000001" x14ac:dyDescent="0.35">
      <c r="A215" s="263"/>
      <c r="B215" s="104"/>
      <c r="C215" s="104"/>
      <c r="D215" s="100" t="s">
        <v>187</v>
      </c>
      <c r="E215" s="101">
        <v>1631.5</v>
      </c>
      <c r="F215" s="101">
        <v>1631.93</v>
      </c>
      <c r="G215" s="101">
        <v>1623.53</v>
      </c>
      <c r="H215" s="101">
        <v>1620.31</v>
      </c>
      <c r="I215" s="101">
        <v>1607.29</v>
      </c>
      <c r="J215" s="101">
        <v>1612.85</v>
      </c>
      <c r="K215" s="101">
        <v>1629.86</v>
      </c>
      <c r="L215" s="101">
        <v>1624.84</v>
      </c>
      <c r="M215" s="101">
        <v>1594.1</v>
      </c>
      <c r="N215" s="101">
        <v>1636.17</v>
      </c>
      <c r="O215" s="101">
        <v>1621.13</v>
      </c>
      <c r="P215" s="101">
        <v>1629.34</v>
      </c>
      <c r="Q215" s="101">
        <v>1630.37</v>
      </c>
      <c r="R215" s="321"/>
      <c r="S215" s="321"/>
      <c r="T215" s="324"/>
      <c r="U215" s="324"/>
      <c r="V215" s="326"/>
      <c r="W215" s="315"/>
      <c r="X215" s="318"/>
      <c r="Y215" s="329"/>
      <c r="Z215" s="221"/>
      <c r="AA215" s="102"/>
      <c r="AB215" s="102"/>
      <c r="AC215" s="102"/>
      <c r="AD215" s="103"/>
      <c r="AE215" s="103"/>
      <c r="AF215" s="103"/>
    </row>
    <row r="216" spans="1:32" ht="31.05" x14ac:dyDescent="0.35">
      <c r="A216" s="263"/>
      <c r="B216" s="99"/>
      <c r="C216" s="99"/>
      <c r="D216" s="100" t="s">
        <v>188</v>
      </c>
      <c r="E216" s="105">
        <f t="shared" ref="E216:Q216" si="69">IF(((E214="")*AND(E215="")),"",(E214-E215))</f>
        <v>341.20000000000005</v>
      </c>
      <c r="F216" s="105">
        <f t="shared" si="69"/>
        <v>297.14999999999986</v>
      </c>
      <c r="G216" s="105">
        <f t="shared" si="69"/>
        <v>291.55999999999995</v>
      </c>
      <c r="H216" s="105">
        <f t="shared" si="69"/>
        <v>299.59000000000015</v>
      </c>
      <c r="I216" s="105">
        <f t="shared" si="69"/>
        <v>346.8900000000001</v>
      </c>
      <c r="J216" s="105">
        <f t="shared" si="69"/>
        <v>345.42000000000007</v>
      </c>
      <c r="K216" s="105">
        <f t="shared" si="69"/>
        <v>294.1400000000001</v>
      </c>
      <c r="L216" s="105">
        <f t="shared" si="69"/>
        <v>294.60000000000014</v>
      </c>
      <c r="M216" s="105">
        <f t="shared" si="69"/>
        <v>345.41000000000008</v>
      </c>
      <c r="N216" s="105">
        <f t="shared" si="69"/>
        <v>299.49</v>
      </c>
      <c r="O216" s="105">
        <f t="shared" si="69"/>
        <v>301.28999999999996</v>
      </c>
      <c r="P216" s="105">
        <f t="shared" si="69"/>
        <v>296.22000000000003</v>
      </c>
      <c r="Q216" s="105">
        <f t="shared" si="69"/>
        <v>299.99</v>
      </c>
      <c r="R216" s="322"/>
      <c r="S216" s="322"/>
      <c r="T216" s="325"/>
      <c r="U216" s="325"/>
      <c r="V216" s="327"/>
      <c r="W216" s="316"/>
      <c r="X216" s="319"/>
      <c r="Y216" s="330"/>
      <c r="Z216" s="221"/>
      <c r="AA216" s="102"/>
      <c r="AB216" s="102"/>
      <c r="AC216" s="102"/>
      <c r="AD216" s="102"/>
      <c r="AE216" s="106"/>
      <c r="AF216" s="102"/>
    </row>
    <row r="217" spans="1:32" ht="15.55" x14ac:dyDescent="0.25">
      <c r="A217" s="264">
        <v>43367</v>
      </c>
      <c r="B217" s="99" t="s">
        <v>235</v>
      </c>
      <c r="C217" s="99" t="s">
        <v>232</v>
      </c>
      <c r="D217" s="100" t="s">
        <v>186</v>
      </c>
      <c r="E217" s="110">
        <v>2407</v>
      </c>
      <c r="F217" s="110">
        <v>2310</v>
      </c>
      <c r="G217" s="110">
        <v>2294</v>
      </c>
      <c r="H217" s="110">
        <v>2298</v>
      </c>
      <c r="I217" s="110">
        <v>2374</v>
      </c>
      <c r="J217" s="110">
        <v>2374</v>
      </c>
      <c r="K217" s="110">
        <v>2302</v>
      </c>
      <c r="L217" s="110">
        <v>2301</v>
      </c>
      <c r="M217" s="110">
        <v>2366</v>
      </c>
      <c r="N217" s="110">
        <v>2317</v>
      </c>
      <c r="O217" s="110">
        <v>2307</v>
      </c>
      <c r="P217" s="110">
        <v>2309</v>
      </c>
      <c r="Q217" s="110">
        <v>2316</v>
      </c>
      <c r="R217" s="320">
        <f>IF((Q218=""),"",MAX(E219:Q219))</f>
        <v>426</v>
      </c>
      <c r="S217" s="320">
        <f>IF(Q218="","",MIN(E219:Q219))</f>
        <v>366</v>
      </c>
      <c r="T217" s="323">
        <f>IF((Q219=""),"",AVERAGE(E219:Q219))</f>
        <v>382.15384615384613</v>
      </c>
      <c r="U217" s="323">
        <f>IF((Q218=""),"",(R217-S217)/(R217+S217)*100)</f>
        <v>7.5757575757575761</v>
      </c>
      <c r="V217" s="323">
        <f>STDEV(E219:Q219)</f>
        <v>15.043526591450965</v>
      </c>
      <c r="W217" s="314" t="str">
        <f>IF(Q218="","",IF(T217&gt;300,IF(U217&lt;14,IF(T217&lt;390,"Pass","Fail"),"Fail"),"Fail"))</f>
        <v>Pass</v>
      </c>
      <c r="X217" s="317">
        <v>1340</v>
      </c>
      <c r="Y217" s="328"/>
      <c r="Z217" s="221"/>
      <c r="AA217" s="102">
        <v>270</v>
      </c>
      <c r="AB217" s="102">
        <v>370</v>
      </c>
      <c r="AC217" s="102">
        <v>300</v>
      </c>
      <c r="AD217" s="103">
        <v>390</v>
      </c>
      <c r="AE217" s="103">
        <v>20</v>
      </c>
      <c r="AF217" s="103">
        <v>14</v>
      </c>
    </row>
    <row r="218" spans="1:32" ht="16.100000000000001" x14ac:dyDescent="0.35">
      <c r="A218" s="263"/>
      <c r="B218" s="104"/>
      <c r="C218" s="104"/>
      <c r="D218" s="100" t="s">
        <v>187</v>
      </c>
      <c r="E218" s="110">
        <v>2013</v>
      </c>
      <c r="F218" s="110">
        <v>1928</v>
      </c>
      <c r="G218" s="110">
        <v>1928</v>
      </c>
      <c r="H218" s="110">
        <v>1922</v>
      </c>
      <c r="I218" s="110">
        <v>1997</v>
      </c>
      <c r="J218" s="110">
        <v>2000</v>
      </c>
      <c r="K218" s="110">
        <v>1932</v>
      </c>
      <c r="L218" s="110">
        <v>1918</v>
      </c>
      <c r="M218" s="110">
        <v>1940</v>
      </c>
      <c r="N218" s="110">
        <v>1939</v>
      </c>
      <c r="O218" s="110">
        <v>1922</v>
      </c>
      <c r="P218" s="110">
        <v>1936</v>
      </c>
      <c r="Q218" s="110">
        <v>1932</v>
      </c>
      <c r="R218" s="321"/>
      <c r="S218" s="321"/>
      <c r="T218" s="324"/>
      <c r="U218" s="324"/>
      <c r="V218" s="326"/>
      <c r="W218" s="315"/>
      <c r="X218" s="318"/>
      <c r="Y218" s="329"/>
      <c r="Z218" s="221"/>
      <c r="AA218" s="102"/>
      <c r="AB218" s="102"/>
      <c r="AC218" s="102"/>
      <c r="AD218" s="103"/>
      <c r="AE218" s="103"/>
      <c r="AF218" s="103"/>
    </row>
    <row r="219" spans="1:32" ht="31.05" x14ac:dyDescent="0.35">
      <c r="A219" s="263"/>
      <c r="B219" s="99"/>
      <c r="C219" s="99"/>
      <c r="D219" s="100" t="s">
        <v>188</v>
      </c>
      <c r="E219" s="105">
        <f t="shared" ref="E219:Q219" si="70">IF(((E217="")*AND(E218="")),"",(E217-E218))</f>
        <v>394</v>
      </c>
      <c r="F219" s="105">
        <f t="shared" si="70"/>
        <v>382</v>
      </c>
      <c r="G219" s="105">
        <f t="shared" si="70"/>
        <v>366</v>
      </c>
      <c r="H219" s="105">
        <f t="shared" si="70"/>
        <v>376</v>
      </c>
      <c r="I219" s="105">
        <f t="shared" si="70"/>
        <v>377</v>
      </c>
      <c r="J219" s="105">
        <f t="shared" si="70"/>
        <v>374</v>
      </c>
      <c r="K219" s="105">
        <f t="shared" si="70"/>
        <v>370</v>
      </c>
      <c r="L219" s="105">
        <f t="shared" si="70"/>
        <v>383</v>
      </c>
      <c r="M219" s="105">
        <f t="shared" si="70"/>
        <v>426</v>
      </c>
      <c r="N219" s="105">
        <f t="shared" si="70"/>
        <v>378</v>
      </c>
      <c r="O219" s="105">
        <f t="shared" si="70"/>
        <v>385</v>
      </c>
      <c r="P219" s="105">
        <f t="shared" si="70"/>
        <v>373</v>
      </c>
      <c r="Q219" s="105">
        <f t="shared" si="70"/>
        <v>384</v>
      </c>
      <c r="R219" s="322"/>
      <c r="S219" s="322"/>
      <c r="T219" s="325"/>
      <c r="U219" s="325"/>
      <c r="V219" s="327"/>
      <c r="W219" s="316"/>
      <c r="X219" s="319"/>
      <c r="Y219" s="330"/>
      <c r="Z219" s="221"/>
      <c r="AA219" s="102"/>
      <c r="AB219" s="102"/>
      <c r="AC219" s="102"/>
      <c r="AD219" s="102"/>
      <c r="AE219" s="106"/>
      <c r="AF219" s="102"/>
    </row>
    <row r="220" spans="1:32" ht="15.55" x14ac:dyDescent="0.25">
      <c r="A220" s="264">
        <v>43370</v>
      </c>
      <c r="B220" s="99" t="s">
        <v>235</v>
      </c>
      <c r="C220" s="99" t="s">
        <v>232</v>
      </c>
      <c r="D220" s="100" t="s">
        <v>186</v>
      </c>
      <c r="E220" s="101">
        <v>1893.08</v>
      </c>
      <c r="F220" s="101">
        <v>1900.83</v>
      </c>
      <c r="G220" s="101">
        <v>1907.01</v>
      </c>
      <c r="H220" s="101">
        <v>1907.67</v>
      </c>
      <c r="I220" s="101">
        <v>1907</v>
      </c>
      <c r="J220" s="101">
        <v>1904.08</v>
      </c>
      <c r="K220" s="101">
        <v>1904</v>
      </c>
      <c r="L220" s="101">
        <v>1906.31</v>
      </c>
      <c r="M220" s="101">
        <v>1903.65</v>
      </c>
      <c r="N220" s="101">
        <v>1903.1</v>
      </c>
      <c r="O220" s="101">
        <v>1905.5</v>
      </c>
      <c r="P220" s="101">
        <v>1906.02</v>
      </c>
      <c r="Q220" s="101">
        <v>1904.4</v>
      </c>
      <c r="R220" s="320">
        <f>IF((Q221=""),"",MAX(E222:Q222))</f>
        <v>141.15000000000009</v>
      </c>
      <c r="S220" s="320">
        <f>IF(Q221="","",MIN(E222:Q222))</f>
        <v>99.319999999999936</v>
      </c>
      <c r="T220" s="323">
        <f>IF((Q222=""),"",AVERAGE(E222:Q222))</f>
        <v>125.04846153846152</v>
      </c>
      <c r="U220" s="323">
        <f>IF((Q221=""),"",(R220-S220)/(R220+S220)*100)</f>
        <v>17.395101260032501</v>
      </c>
      <c r="V220" s="323">
        <f>STDEV(E222:Q222)</f>
        <v>11.265327962494682</v>
      </c>
      <c r="W220" s="314" t="str">
        <f>IF(Q221="","",IF(T220&gt;300,IF(U220&lt;14,IF(T220&lt;390,"Pass","Fail"),"Fail"),"Fail"))</f>
        <v>Fail</v>
      </c>
      <c r="X220" s="317">
        <v>1340</v>
      </c>
      <c r="Y220" s="328"/>
      <c r="Z220" s="221"/>
      <c r="AA220" s="102">
        <v>270</v>
      </c>
      <c r="AB220" s="102">
        <v>370</v>
      </c>
      <c r="AC220" s="102">
        <v>300</v>
      </c>
      <c r="AD220" s="103">
        <v>390</v>
      </c>
      <c r="AE220" s="103">
        <v>20</v>
      </c>
      <c r="AF220" s="103">
        <v>14</v>
      </c>
    </row>
    <row r="221" spans="1:32" ht="16.100000000000001" x14ac:dyDescent="0.35">
      <c r="A221" s="263"/>
      <c r="B221" s="104"/>
      <c r="C221" s="104"/>
      <c r="D221" s="100" t="s">
        <v>187</v>
      </c>
      <c r="E221" s="101">
        <v>1793.76</v>
      </c>
      <c r="F221" s="101">
        <v>1788.47</v>
      </c>
      <c r="G221" s="101">
        <v>1791</v>
      </c>
      <c r="H221" s="101">
        <v>1772.97</v>
      </c>
      <c r="I221" s="101">
        <v>1765.85</v>
      </c>
      <c r="J221" s="101">
        <v>1766.96</v>
      </c>
      <c r="K221" s="101">
        <v>1777.42</v>
      </c>
      <c r="L221" s="101">
        <v>1775.91</v>
      </c>
      <c r="M221" s="101">
        <v>1775.61</v>
      </c>
      <c r="N221" s="101">
        <v>1778</v>
      </c>
      <c r="O221" s="101">
        <v>1776.34</v>
      </c>
      <c r="P221" s="101">
        <v>1778</v>
      </c>
      <c r="Q221" s="101">
        <v>1786.73</v>
      </c>
      <c r="R221" s="321"/>
      <c r="S221" s="321"/>
      <c r="T221" s="324"/>
      <c r="U221" s="324"/>
      <c r="V221" s="326"/>
      <c r="W221" s="315"/>
      <c r="X221" s="318"/>
      <c r="Y221" s="329"/>
      <c r="Z221" s="221"/>
      <c r="AA221" s="102"/>
      <c r="AB221" s="102"/>
      <c r="AC221" s="102"/>
      <c r="AD221" s="103"/>
      <c r="AE221" s="103"/>
      <c r="AF221" s="103"/>
    </row>
    <row r="222" spans="1:32" ht="31.05" x14ac:dyDescent="0.35">
      <c r="A222" s="263"/>
      <c r="B222" s="99"/>
      <c r="C222" s="99"/>
      <c r="D222" s="100" t="s">
        <v>188</v>
      </c>
      <c r="E222" s="105">
        <f t="shared" ref="E222:Q222" si="71">IF(((E220="")*AND(E221="")),"",(E220-E221))</f>
        <v>99.319999999999936</v>
      </c>
      <c r="F222" s="105">
        <f t="shared" si="71"/>
        <v>112.3599999999999</v>
      </c>
      <c r="G222" s="105">
        <f t="shared" si="71"/>
        <v>116.00999999999999</v>
      </c>
      <c r="H222" s="105">
        <f t="shared" si="71"/>
        <v>134.70000000000005</v>
      </c>
      <c r="I222" s="105">
        <f t="shared" si="71"/>
        <v>141.15000000000009</v>
      </c>
      <c r="J222" s="105">
        <f t="shared" si="71"/>
        <v>137.11999999999989</v>
      </c>
      <c r="K222" s="105">
        <f t="shared" si="71"/>
        <v>126.57999999999993</v>
      </c>
      <c r="L222" s="105">
        <f t="shared" si="71"/>
        <v>130.39999999999986</v>
      </c>
      <c r="M222" s="105">
        <f t="shared" si="71"/>
        <v>128.04000000000019</v>
      </c>
      <c r="N222" s="105">
        <f t="shared" si="71"/>
        <v>125.09999999999991</v>
      </c>
      <c r="O222" s="105">
        <f t="shared" si="71"/>
        <v>129.16000000000008</v>
      </c>
      <c r="P222" s="105">
        <f t="shared" si="71"/>
        <v>128.01999999999998</v>
      </c>
      <c r="Q222" s="105">
        <f t="shared" si="71"/>
        <v>117.67000000000007</v>
      </c>
      <c r="R222" s="322"/>
      <c r="S222" s="322"/>
      <c r="T222" s="325"/>
      <c r="U222" s="325"/>
      <c r="V222" s="327"/>
      <c r="W222" s="316"/>
      <c r="X222" s="319"/>
      <c r="Y222" s="330"/>
      <c r="Z222" s="221"/>
      <c r="AA222" s="102"/>
      <c r="AB222" s="102"/>
      <c r="AC222" s="102"/>
      <c r="AD222" s="102"/>
      <c r="AE222" s="106"/>
      <c r="AF222" s="102"/>
    </row>
    <row r="223" spans="1:32" ht="15.55" x14ac:dyDescent="0.25">
      <c r="A223" s="264">
        <v>43370</v>
      </c>
      <c r="B223" s="99" t="s">
        <v>235</v>
      </c>
      <c r="C223" s="99" t="s">
        <v>232</v>
      </c>
      <c r="D223" s="100" t="s">
        <v>186</v>
      </c>
      <c r="E223" s="101">
        <v>2417.3000000000002</v>
      </c>
      <c r="F223" s="101">
        <v>2325.4299999999998</v>
      </c>
      <c r="G223" s="101">
        <v>2308.64</v>
      </c>
      <c r="H223" s="101">
        <v>2309.64</v>
      </c>
      <c r="I223" s="101">
        <v>2379.3200000000002</v>
      </c>
      <c r="J223" s="101">
        <v>2379.98</v>
      </c>
      <c r="K223" s="101">
        <v>2314.4</v>
      </c>
      <c r="L223" s="101">
        <v>2315.2600000000002</v>
      </c>
      <c r="M223" s="101">
        <v>2386.48</v>
      </c>
      <c r="N223" s="101">
        <v>2328.91</v>
      </c>
      <c r="O223" s="101">
        <v>2317.08</v>
      </c>
      <c r="P223" s="101">
        <v>2319.16</v>
      </c>
      <c r="Q223" s="101">
        <v>2333.4699999999998</v>
      </c>
      <c r="R223" s="320">
        <f>IF((Q224=""),"",MAX(E225:Q225))</f>
        <v>443.31999999999994</v>
      </c>
      <c r="S223" s="320">
        <f>IF(Q224="","",MIN(E225:Q225))</f>
        <v>379.5300000000002</v>
      </c>
      <c r="T223" s="323">
        <f>IF((Q225=""),"",AVERAGE(E225:Q225))</f>
        <v>398.89307692307682</v>
      </c>
      <c r="U223" s="323">
        <f>IF((Q224=""),"",(R223-S223)/(R223+S223)*100)</f>
        <v>7.7523242389256524</v>
      </c>
      <c r="V223" s="323">
        <f>STDEV(E225:Q225)</f>
        <v>21.296376602846259</v>
      </c>
      <c r="W223" s="314" t="str">
        <f>IF(Q224="","",IF(T223&gt;300,IF(U223&lt;14,IF(T223&lt;390,"Pass","Fail"),"Fail"),"Fail"))</f>
        <v>Fail</v>
      </c>
      <c r="X223" s="317">
        <v>1340</v>
      </c>
      <c r="Y223" s="328"/>
      <c r="Z223" s="221"/>
      <c r="AA223" s="102">
        <v>270</v>
      </c>
      <c r="AB223" s="102">
        <v>370</v>
      </c>
      <c r="AC223" s="102">
        <v>300</v>
      </c>
      <c r="AD223" s="103">
        <v>390</v>
      </c>
      <c r="AE223" s="103">
        <v>20</v>
      </c>
      <c r="AF223" s="103">
        <v>14</v>
      </c>
    </row>
    <row r="224" spans="1:32" ht="16.100000000000001" x14ac:dyDescent="0.35">
      <c r="A224" s="263"/>
      <c r="B224" s="104"/>
      <c r="C224" s="104"/>
      <c r="D224" s="100" t="s">
        <v>187</v>
      </c>
      <c r="E224" s="101">
        <v>1986.72</v>
      </c>
      <c r="F224" s="101">
        <v>1937.43</v>
      </c>
      <c r="G224" s="101">
        <v>1924.86</v>
      </c>
      <c r="H224" s="101">
        <v>1925.1</v>
      </c>
      <c r="I224" s="101">
        <v>1953.16</v>
      </c>
      <c r="J224" s="101">
        <v>1970.23</v>
      </c>
      <c r="K224" s="101">
        <v>1934.87</v>
      </c>
      <c r="L224" s="101">
        <v>1929.45</v>
      </c>
      <c r="M224" s="101">
        <v>1943.16</v>
      </c>
      <c r="N224" s="101">
        <v>1941.15</v>
      </c>
      <c r="O224" s="101">
        <v>1925.57</v>
      </c>
      <c r="P224" s="101">
        <v>1937.34</v>
      </c>
      <c r="Q224" s="101">
        <v>1940.42</v>
      </c>
      <c r="R224" s="321"/>
      <c r="S224" s="321"/>
      <c r="T224" s="324"/>
      <c r="U224" s="324"/>
      <c r="V224" s="326"/>
      <c r="W224" s="315"/>
      <c r="X224" s="318"/>
      <c r="Y224" s="329"/>
      <c r="Z224" s="221"/>
      <c r="AA224" s="102"/>
      <c r="AB224" s="102"/>
      <c r="AC224" s="102"/>
      <c r="AD224" s="103"/>
      <c r="AE224" s="103"/>
      <c r="AF224" s="103"/>
    </row>
    <row r="225" spans="1:32" ht="31.05" x14ac:dyDescent="0.35">
      <c r="A225" s="263"/>
      <c r="B225" s="99"/>
      <c r="C225" s="99"/>
      <c r="D225" s="100" t="s">
        <v>188</v>
      </c>
      <c r="E225" s="105">
        <f t="shared" ref="E225:Q225" si="72">IF(((E223="")*AND(E224="")),"",(E223-E224))</f>
        <v>430.58000000000015</v>
      </c>
      <c r="F225" s="105">
        <f t="shared" si="72"/>
        <v>387.99999999999977</v>
      </c>
      <c r="G225" s="105">
        <f t="shared" si="72"/>
        <v>383.78</v>
      </c>
      <c r="H225" s="105">
        <f t="shared" si="72"/>
        <v>384.53999999999996</v>
      </c>
      <c r="I225" s="105">
        <f t="shared" si="72"/>
        <v>426.16000000000008</v>
      </c>
      <c r="J225" s="105">
        <f t="shared" si="72"/>
        <v>409.75</v>
      </c>
      <c r="K225" s="105">
        <f t="shared" si="72"/>
        <v>379.5300000000002</v>
      </c>
      <c r="L225" s="105">
        <f t="shared" si="72"/>
        <v>385.81000000000017</v>
      </c>
      <c r="M225" s="105">
        <f t="shared" si="72"/>
        <v>443.31999999999994</v>
      </c>
      <c r="N225" s="105">
        <f t="shared" si="72"/>
        <v>387.75999999999976</v>
      </c>
      <c r="O225" s="105">
        <f t="shared" si="72"/>
        <v>391.51</v>
      </c>
      <c r="P225" s="105">
        <f t="shared" si="72"/>
        <v>381.81999999999994</v>
      </c>
      <c r="Q225" s="105">
        <f t="shared" si="72"/>
        <v>393.04999999999973</v>
      </c>
      <c r="R225" s="322"/>
      <c r="S225" s="322"/>
      <c r="T225" s="325"/>
      <c r="U225" s="325"/>
      <c r="V225" s="327"/>
      <c r="W225" s="316"/>
      <c r="X225" s="319"/>
      <c r="Y225" s="330"/>
      <c r="Z225" s="221"/>
      <c r="AA225" s="102"/>
      <c r="AB225" s="102"/>
      <c r="AC225" s="102"/>
      <c r="AD225" s="102"/>
      <c r="AE225" s="106"/>
      <c r="AF225" s="102"/>
    </row>
    <row r="226" spans="1:32" ht="15.55" x14ac:dyDescent="0.25">
      <c r="A226" s="264">
        <v>43370</v>
      </c>
      <c r="B226" s="99" t="s">
        <v>235</v>
      </c>
      <c r="C226" s="99" t="s">
        <v>232</v>
      </c>
      <c r="D226" s="100" t="s">
        <v>186</v>
      </c>
      <c r="E226" s="101">
        <v>1986.72</v>
      </c>
      <c r="F226" s="101">
        <v>1937.43</v>
      </c>
      <c r="G226" s="101">
        <v>1924.86</v>
      </c>
      <c r="H226" s="101">
        <v>1925.1</v>
      </c>
      <c r="I226" s="101">
        <v>1953.16</v>
      </c>
      <c r="J226" s="101">
        <v>1970.23</v>
      </c>
      <c r="K226" s="101">
        <v>1934.87</v>
      </c>
      <c r="L226" s="101">
        <v>1929.45</v>
      </c>
      <c r="M226" s="101">
        <v>1943.16</v>
      </c>
      <c r="N226" s="101">
        <v>1941.15</v>
      </c>
      <c r="O226" s="101">
        <v>1925.57</v>
      </c>
      <c r="P226" s="101">
        <v>1937.34</v>
      </c>
      <c r="Q226" s="101">
        <v>1940.42</v>
      </c>
      <c r="R226" s="320">
        <f>IF((Q227=""),"",MAX(E228:Q228))</f>
        <v>356.25</v>
      </c>
      <c r="S226" s="320">
        <f>IF(Q227="","",MIN(E228:Q228))</f>
        <v>289.06999999999994</v>
      </c>
      <c r="T226" s="323">
        <f>IF((Q228=""),"",AVERAGE(E228:Q228))</f>
        <v>310.89538461538461</v>
      </c>
      <c r="U226" s="323">
        <f>IF((Q227=""),"",(R226-S226)/(R226+S226)*100)</f>
        <v>10.41033905659209</v>
      </c>
      <c r="V226" s="323">
        <f>STDEV(E228:Q228)</f>
        <v>26.181476790339389</v>
      </c>
      <c r="W226" s="314" t="str">
        <f>IF(Q227="","",IF(T226&gt;300,IF(U226&lt;14,IF(T226&lt;390,"Pass","Fail"),"Fail"),"Fail"))</f>
        <v>Pass</v>
      </c>
      <c r="X226" s="317">
        <v>1335</v>
      </c>
      <c r="Y226" s="328"/>
      <c r="Z226" s="221"/>
      <c r="AA226" s="102">
        <v>270</v>
      </c>
      <c r="AB226" s="102">
        <v>370</v>
      </c>
      <c r="AC226" s="102">
        <v>300</v>
      </c>
      <c r="AD226" s="103">
        <v>390</v>
      </c>
      <c r="AE226" s="103">
        <v>20</v>
      </c>
      <c r="AF226" s="103">
        <v>14</v>
      </c>
    </row>
    <row r="227" spans="1:32" ht="16.100000000000001" x14ac:dyDescent="0.35">
      <c r="A227" s="263"/>
      <c r="B227" s="104"/>
      <c r="C227" s="104"/>
      <c r="D227" s="100" t="s">
        <v>187</v>
      </c>
      <c r="E227" s="101">
        <v>1637.76</v>
      </c>
      <c r="F227" s="101">
        <v>1646.4</v>
      </c>
      <c r="G227" s="101">
        <v>1635.79</v>
      </c>
      <c r="H227" s="101">
        <v>1629.98</v>
      </c>
      <c r="I227" s="101">
        <v>1604.62</v>
      </c>
      <c r="J227" s="101">
        <v>1613.98</v>
      </c>
      <c r="K227" s="101">
        <v>1639.05</v>
      </c>
      <c r="L227" s="101">
        <v>1636.22</v>
      </c>
      <c r="M227" s="101">
        <v>1604.84</v>
      </c>
      <c r="N227" s="101">
        <v>1642.99</v>
      </c>
      <c r="O227" s="101">
        <v>1632.4</v>
      </c>
      <c r="P227" s="101">
        <v>1636.62</v>
      </c>
      <c r="Q227" s="101">
        <v>1647.17</v>
      </c>
      <c r="R227" s="321"/>
      <c r="S227" s="321"/>
      <c r="T227" s="324"/>
      <c r="U227" s="324"/>
      <c r="V227" s="326"/>
      <c r="W227" s="315"/>
      <c r="X227" s="318"/>
      <c r="Y227" s="329"/>
      <c r="Z227" s="221"/>
      <c r="AA227" s="102"/>
      <c r="AB227" s="102"/>
      <c r="AC227" s="102"/>
      <c r="AD227" s="103"/>
      <c r="AE227" s="103"/>
      <c r="AF227" s="103"/>
    </row>
    <row r="228" spans="1:32" ht="31.05" x14ac:dyDescent="0.35">
      <c r="A228" s="263"/>
      <c r="B228" s="99"/>
      <c r="C228" s="99"/>
      <c r="D228" s="100" t="s">
        <v>188</v>
      </c>
      <c r="E228" s="105">
        <f t="shared" ref="E228:Q228" si="73">IF(((E226="")*AND(E227="")),"",(E226-E227))</f>
        <v>348.96000000000004</v>
      </c>
      <c r="F228" s="105">
        <f t="shared" si="73"/>
        <v>291.02999999999997</v>
      </c>
      <c r="G228" s="105">
        <f t="shared" si="73"/>
        <v>289.06999999999994</v>
      </c>
      <c r="H228" s="105">
        <f t="shared" si="73"/>
        <v>295.11999999999989</v>
      </c>
      <c r="I228" s="105">
        <f t="shared" si="73"/>
        <v>348.54000000000019</v>
      </c>
      <c r="J228" s="105">
        <f t="shared" si="73"/>
        <v>356.25</v>
      </c>
      <c r="K228" s="105">
        <f t="shared" si="73"/>
        <v>295.81999999999994</v>
      </c>
      <c r="L228" s="105">
        <f t="shared" si="73"/>
        <v>293.23</v>
      </c>
      <c r="M228" s="105">
        <f t="shared" si="73"/>
        <v>338.32000000000016</v>
      </c>
      <c r="N228" s="105">
        <f t="shared" si="73"/>
        <v>298.16000000000008</v>
      </c>
      <c r="O228" s="105">
        <f t="shared" si="73"/>
        <v>293.16999999999985</v>
      </c>
      <c r="P228" s="105">
        <f t="shared" si="73"/>
        <v>300.72000000000003</v>
      </c>
      <c r="Q228" s="105">
        <f t="shared" si="73"/>
        <v>293.25</v>
      </c>
      <c r="R228" s="322"/>
      <c r="S228" s="322"/>
      <c r="T228" s="325"/>
      <c r="U228" s="325"/>
      <c r="V228" s="327"/>
      <c r="W228" s="316"/>
      <c r="X228" s="319"/>
      <c r="Y228" s="330"/>
      <c r="Z228" s="221"/>
      <c r="AA228" s="102"/>
      <c r="AB228" s="102"/>
      <c r="AC228" s="102"/>
      <c r="AD228" s="102"/>
      <c r="AE228" s="106"/>
      <c r="AF228" s="102"/>
    </row>
    <row r="229" spans="1:32" ht="15.55" x14ac:dyDescent="0.25">
      <c r="A229" s="264">
        <v>43373</v>
      </c>
      <c r="B229" s="99" t="s">
        <v>235</v>
      </c>
      <c r="C229" s="99" t="s">
        <v>232</v>
      </c>
      <c r="D229" s="100" t="s">
        <v>186</v>
      </c>
      <c r="E229" s="101">
        <v>2425.5300000000002</v>
      </c>
      <c r="F229" s="101">
        <v>2334.84</v>
      </c>
      <c r="G229" s="101">
        <v>2318.02</v>
      </c>
      <c r="H229" s="101">
        <v>2319.6999999999998</v>
      </c>
      <c r="I229" s="101">
        <v>2397.06</v>
      </c>
      <c r="J229" s="101">
        <v>2389.25</v>
      </c>
      <c r="K229" s="101">
        <v>2327.5300000000002</v>
      </c>
      <c r="L229" s="101">
        <v>2324.33</v>
      </c>
      <c r="M229" s="101">
        <v>2380.44</v>
      </c>
      <c r="N229" s="101">
        <v>2344.52</v>
      </c>
      <c r="O229" s="101">
        <v>2328.04</v>
      </c>
      <c r="P229" s="101">
        <v>2329.5300000000002</v>
      </c>
      <c r="Q229" s="101">
        <v>2339.7399999999998</v>
      </c>
      <c r="R229" s="320">
        <f>IF((Q230=""),"",MAX(E231:Q231))</f>
        <v>445.50000000000023</v>
      </c>
      <c r="S229" s="320">
        <f>IF(Q230="","",MIN(E231:Q231))</f>
        <v>385.27</v>
      </c>
      <c r="T229" s="323">
        <f>IF((Q231=""),"",AVERAGE(E231:Q231))</f>
        <v>402.95000000000005</v>
      </c>
      <c r="U229" s="323">
        <f>IF((Q230=""),"",(R229-S229)/(R229+S229)*100)</f>
        <v>7.2499006945364224</v>
      </c>
      <c r="V229" s="323">
        <f>STDEV(E231:Q231)</f>
        <v>20.974717717607916</v>
      </c>
      <c r="W229" s="314" t="str">
        <f>IF(Q230="","",IF(T229&gt;300,IF(U229&lt;14,IF(T229&lt;390,"Pass","Fail"),"Fail"),"Fail"))</f>
        <v>Fail</v>
      </c>
      <c r="X229" s="317">
        <v>74</v>
      </c>
      <c r="Y229" s="328"/>
      <c r="Z229" s="221"/>
      <c r="AA229" s="102">
        <v>270</v>
      </c>
      <c r="AB229" s="102">
        <v>370</v>
      </c>
      <c r="AC229" s="102">
        <v>300</v>
      </c>
      <c r="AD229" s="103">
        <v>390</v>
      </c>
      <c r="AE229" s="103">
        <v>20</v>
      </c>
      <c r="AF229" s="103">
        <v>14</v>
      </c>
    </row>
    <row r="230" spans="1:32" ht="16.100000000000001" x14ac:dyDescent="0.35">
      <c r="A230" s="263"/>
      <c r="B230" s="104"/>
      <c r="C230" s="104"/>
      <c r="D230" s="100" t="s">
        <v>187</v>
      </c>
      <c r="E230" s="101">
        <v>1980.03</v>
      </c>
      <c r="F230" s="101">
        <v>1946.98</v>
      </c>
      <c r="G230" s="101">
        <v>1930.17</v>
      </c>
      <c r="H230" s="101">
        <v>1932.2</v>
      </c>
      <c r="I230" s="101">
        <v>1967.87</v>
      </c>
      <c r="J230" s="101">
        <v>1965.43</v>
      </c>
      <c r="K230" s="101">
        <v>1935.85</v>
      </c>
      <c r="L230" s="101">
        <v>1939.06</v>
      </c>
      <c r="M230" s="101">
        <v>1950.47</v>
      </c>
      <c r="N230" s="101">
        <v>1946.98</v>
      </c>
      <c r="O230" s="101">
        <v>1938.69</v>
      </c>
      <c r="P230" s="101">
        <v>1938.14</v>
      </c>
      <c r="Q230" s="101">
        <v>1948.31</v>
      </c>
      <c r="R230" s="321"/>
      <c r="S230" s="321"/>
      <c r="T230" s="324"/>
      <c r="U230" s="324"/>
      <c r="V230" s="326"/>
      <c r="W230" s="315"/>
      <c r="X230" s="318"/>
      <c r="Y230" s="329"/>
      <c r="Z230" s="221"/>
      <c r="AA230" s="102"/>
      <c r="AB230" s="102"/>
      <c r="AC230" s="102"/>
      <c r="AD230" s="103"/>
      <c r="AE230" s="103"/>
      <c r="AF230" s="103"/>
    </row>
    <row r="231" spans="1:32" ht="31.05" x14ac:dyDescent="0.35">
      <c r="A231" s="263"/>
      <c r="B231" s="99"/>
      <c r="C231" s="99"/>
      <c r="D231" s="100" t="s">
        <v>188</v>
      </c>
      <c r="E231" s="105">
        <f t="shared" ref="E231:Q231" si="74">IF(((E229="")*AND(E230="")),"",(E229-E230))</f>
        <v>445.50000000000023</v>
      </c>
      <c r="F231" s="105">
        <f t="shared" si="74"/>
        <v>387.86000000000013</v>
      </c>
      <c r="G231" s="105">
        <f t="shared" si="74"/>
        <v>387.84999999999991</v>
      </c>
      <c r="H231" s="105">
        <f t="shared" si="74"/>
        <v>387.49999999999977</v>
      </c>
      <c r="I231" s="105">
        <f t="shared" si="74"/>
        <v>429.19000000000005</v>
      </c>
      <c r="J231" s="105">
        <f t="shared" si="74"/>
        <v>423.81999999999994</v>
      </c>
      <c r="K231" s="105">
        <f t="shared" si="74"/>
        <v>391.68000000000029</v>
      </c>
      <c r="L231" s="105">
        <f t="shared" si="74"/>
        <v>385.27</v>
      </c>
      <c r="M231" s="105">
        <f t="shared" si="74"/>
        <v>429.97</v>
      </c>
      <c r="N231" s="105">
        <f t="shared" si="74"/>
        <v>397.53999999999996</v>
      </c>
      <c r="O231" s="105">
        <f t="shared" si="74"/>
        <v>389.34999999999991</v>
      </c>
      <c r="P231" s="105">
        <f t="shared" si="74"/>
        <v>391.3900000000001</v>
      </c>
      <c r="Q231" s="105">
        <f t="shared" si="74"/>
        <v>391.42999999999984</v>
      </c>
      <c r="R231" s="322"/>
      <c r="S231" s="322"/>
      <c r="T231" s="325"/>
      <c r="U231" s="325"/>
      <c r="V231" s="327"/>
      <c r="W231" s="316"/>
      <c r="X231" s="319"/>
      <c r="Y231" s="330"/>
      <c r="Z231" s="221"/>
      <c r="AA231" s="102"/>
      <c r="AB231" s="102"/>
      <c r="AC231" s="102"/>
      <c r="AD231" s="102"/>
      <c r="AE231" s="106"/>
      <c r="AF231" s="102"/>
    </row>
    <row r="232" spans="1:32" ht="15.55" x14ac:dyDescent="0.25">
      <c r="A232" s="264">
        <v>43377</v>
      </c>
      <c r="B232" s="99" t="s">
        <v>235</v>
      </c>
      <c r="C232" s="99" t="s">
        <v>232</v>
      </c>
      <c r="D232" s="100" t="s">
        <v>186</v>
      </c>
      <c r="E232" s="101">
        <v>1980.03</v>
      </c>
      <c r="F232" s="101">
        <v>1946.98</v>
      </c>
      <c r="G232" s="101">
        <v>1930.17</v>
      </c>
      <c r="H232" s="101">
        <v>1932.2</v>
      </c>
      <c r="I232" s="101">
        <v>1967.87</v>
      </c>
      <c r="J232" s="101">
        <v>1965.43</v>
      </c>
      <c r="K232" s="101">
        <v>1935.85</v>
      </c>
      <c r="L232" s="101">
        <v>1939.06</v>
      </c>
      <c r="M232" s="101">
        <v>1950.47</v>
      </c>
      <c r="N232" s="101">
        <v>1946.98</v>
      </c>
      <c r="O232" s="101">
        <v>1938.69</v>
      </c>
      <c r="P232" s="101">
        <v>1938.14</v>
      </c>
      <c r="Q232" s="101">
        <v>1948.31</v>
      </c>
      <c r="R232" s="320">
        <f>IF((Q233=""),"",MAX(E234:Q234))</f>
        <v>347.62000000000012</v>
      </c>
      <c r="S232" s="320">
        <f>IF(Q233="","",MIN(E234:Q234))</f>
        <v>288.17000000000007</v>
      </c>
      <c r="T232" s="323">
        <f>IF((Q234=""),"",AVERAGE(E234:Q234))</f>
        <v>310.15615384615381</v>
      </c>
      <c r="U232" s="323">
        <f>IF((Q233=""),"",(R232-S232)/(R232+S232)*100)</f>
        <v>9.3505717296591691</v>
      </c>
      <c r="V232" s="323">
        <f>STDEV(E234:Q234)</f>
        <v>20.644528951783464</v>
      </c>
      <c r="W232" s="314" t="str">
        <f>IF(Q233="","",IF(T232&gt;300,IF(U232&lt;14,IF(T232&lt;390,"Pass","Fail"),"Fail"),"Fail"))</f>
        <v>Pass</v>
      </c>
      <c r="X232" s="317">
        <v>1340</v>
      </c>
      <c r="Y232" s="227" t="s">
        <v>206</v>
      </c>
      <c r="Z232" s="221"/>
      <c r="AA232" s="102">
        <v>270</v>
      </c>
      <c r="AB232" s="102">
        <v>370</v>
      </c>
      <c r="AC232" s="102">
        <v>300</v>
      </c>
      <c r="AD232" s="103">
        <v>390</v>
      </c>
      <c r="AE232" s="103">
        <v>20</v>
      </c>
      <c r="AF232" s="103">
        <v>14</v>
      </c>
    </row>
    <row r="233" spans="1:32" ht="16.100000000000001" x14ac:dyDescent="0.35">
      <c r="A233" s="263"/>
      <c r="B233" s="104"/>
      <c r="C233" s="104"/>
      <c r="D233" s="100" t="s">
        <v>187</v>
      </c>
      <c r="E233" s="101">
        <v>1651.51</v>
      </c>
      <c r="F233" s="101">
        <v>1650.08</v>
      </c>
      <c r="G233" s="101">
        <v>1637.75</v>
      </c>
      <c r="H233" s="101">
        <v>1644.03</v>
      </c>
      <c r="I233" s="101">
        <v>1628.19</v>
      </c>
      <c r="J233" s="101">
        <v>1626.35</v>
      </c>
      <c r="K233" s="101">
        <v>1641.08</v>
      </c>
      <c r="L233" s="101">
        <v>1636.4</v>
      </c>
      <c r="M233" s="101">
        <v>1602.85</v>
      </c>
      <c r="N233" s="101">
        <v>1650.6</v>
      </c>
      <c r="O233" s="101">
        <v>1634.9</v>
      </c>
      <c r="P233" s="101">
        <v>1637.98</v>
      </c>
      <c r="Q233" s="101">
        <v>1646.43</v>
      </c>
      <c r="R233" s="321"/>
      <c r="S233" s="321"/>
      <c r="T233" s="324"/>
      <c r="U233" s="324"/>
      <c r="V233" s="326"/>
      <c r="W233" s="315"/>
      <c r="X233" s="318"/>
      <c r="Y233" s="224"/>
      <c r="Z233" s="221"/>
      <c r="AA233" s="102"/>
      <c r="AB233" s="102"/>
      <c r="AC233" s="102"/>
      <c r="AD233" s="103"/>
      <c r="AE233" s="103"/>
      <c r="AF233" s="103"/>
    </row>
    <row r="234" spans="1:32" ht="31.05" x14ac:dyDescent="0.35">
      <c r="A234" s="263"/>
      <c r="B234" s="99"/>
      <c r="C234" s="99"/>
      <c r="D234" s="100" t="s">
        <v>188</v>
      </c>
      <c r="E234" s="105">
        <f t="shared" ref="E234:Q234" si="75">IF(((E232="")*AND(E233="")),"",(E232-E233))</f>
        <v>328.52</v>
      </c>
      <c r="F234" s="105">
        <f t="shared" si="75"/>
        <v>296.90000000000009</v>
      </c>
      <c r="G234" s="105">
        <f t="shared" si="75"/>
        <v>292.42000000000007</v>
      </c>
      <c r="H234" s="105">
        <f t="shared" si="75"/>
        <v>288.17000000000007</v>
      </c>
      <c r="I234" s="105">
        <f t="shared" si="75"/>
        <v>339.67999999999984</v>
      </c>
      <c r="J234" s="105">
        <f t="shared" si="75"/>
        <v>339.08000000000015</v>
      </c>
      <c r="K234" s="105">
        <f t="shared" si="75"/>
        <v>294.77</v>
      </c>
      <c r="L234" s="105">
        <f t="shared" si="75"/>
        <v>302.65999999999985</v>
      </c>
      <c r="M234" s="105">
        <f t="shared" si="75"/>
        <v>347.62000000000012</v>
      </c>
      <c r="N234" s="105">
        <f t="shared" si="75"/>
        <v>296.38000000000011</v>
      </c>
      <c r="O234" s="105">
        <f t="shared" si="75"/>
        <v>303.78999999999996</v>
      </c>
      <c r="P234" s="105">
        <f t="shared" si="75"/>
        <v>300.16000000000008</v>
      </c>
      <c r="Q234" s="105">
        <f t="shared" si="75"/>
        <v>301.87999999999988</v>
      </c>
      <c r="R234" s="322"/>
      <c r="S234" s="322"/>
      <c r="T234" s="325"/>
      <c r="U234" s="325"/>
      <c r="V234" s="327"/>
      <c r="W234" s="316"/>
      <c r="X234" s="319"/>
      <c r="Y234" s="225"/>
      <c r="Z234" s="221"/>
      <c r="AA234" s="102"/>
      <c r="AB234" s="102"/>
      <c r="AC234" s="102"/>
      <c r="AD234" s="102"/>
      <c r="AE234" s="106"/>
      <c r="AF234" s="102"/>
    </row>
    <row r="235" spans="1:32" ht="15.55" x14ac:dyDescent="0.25">
      <c r="A235" s="264">
        <v>43380</v>
      </c>
      <c r="B235" s="99" t="s">
        <v>235</v>
      </c>
      <c r="C235" s="99" t="s">
        <v>232</v>
      </c>
      <c r="D235" s="100" t="s">
        <v>186</v>
      </c>
      <c r="E235" s="101">
        <v>1643.58</v>
      </c>
      <c r="F235" s="101">
        <v>1661.7</v>
      </c>
      <c r="G235" s="101">
        <v>1632.55</v>
      </c>
      <c r="H235" s="101">
        <v>1624.62</v>
      </c>
      <c r="I235" s="101">
        <v>1624.18</v>
      </c>
      <c r="J235" s="101">
        <v>1626.82</v>
      </c>
      <c r="K235" s="101">
        <v>1628.62</v>
      </c>
      <c r="L235" s="101">
        <v>1620</v>
      </c>
      <c r="M235" s="101">
        <v>1605.22</v>
      </c>
      <c r="N235" s="101">
        <v>1659.06</v>
      </c>
      <c r="O235" s="101">
        <v>1626.69</v>
      </c>
      <c r="P235" s="101">
        <v>1620</v>
      </c>
      <c r="Q235" s="101">
        <v>1645.31</v>
      </c>
      <c r="R235" s="320">
        <f>IF((Q236=""),"",MAX(E237:Q237))</f>
        <v>381.28</v>
      </c>
      <c r="S235" s="320">
        <f>IF(Q236="","",MIN(E237:Q237))</f>
        <v>303.13000000000011</v>
      </c>
      <c r="T235" s="323">
        <f>IF((Q237=""),"",AVERAGE(E237:Q237))</f>
        <v>333.11615384615379</v>
      </c>
      <c r="U235" s="323">
        <f>IF((Q236=""),"",(R235-S235)/(R235+S235)*100)</f>
        <v>11.41859411756109</v>
      </c>
      <c r="V235" s="323">
        <f>STDEV(E237:Q237)</f>
        <v>27.294910862180132</v>
      </c>
      <c r="W235" s="314" t="str">
        <f>IF(Q236="","",IF(T235&gt;300,IF(U235&lt;14,IF(T235&lt;390,"Pass","Fail"),"Fail"),"Fail"))</f>
        <v>Pass</v>
      </c>
      <c r="X235" s="317">
        <v>1428</v>
      </c>
      <c r="Y235" s="328"/>
      <c r="Z235" s="221"/>
      <c r="AA235" s="102">
        <v>270</v>
      </c>
      <c r="AB235" s="102">
        <v>370</v>
      </c>
      <c r="AC235" s="102">
        <v>300</v>
      </c>
      <c r="AD235" s="103">
        <v>390</v>
      </c>
      <c r="AE235" s="103">
        <v>20</v>
      </c>
      <c r="AF235" s="103">
        <v>14</v>
      </c>
    </row>
    <row r="236" spans="1:32" ht="16.100000000000001" x14ac:dyDescent="0.35">
      <c r="A236" s="263"/>
      <c r="B236" s="104"/>
      <c r="C236" s="104"/>
      <c r="D236" s="100" t="s">
        <v>187</v>
      </c>
      <c r="E236" s="101">
        <v>1275.3499999999999</v>
      </c>
      <c r="F236" s="101">
        <v>1328.87</v>
      </c>
      <c r="G236" s="101">
        <v>1318.32</v>
      </c>
      <c r="H236" s="101">
        <v>1318.58</v>
      </c>
      <c r="I236" s="101">
        <v>1257.9000000000001</v>
      </c>
      <c r="J236" s="101">
        <v>1263.51</v>
      </c>
      <c r="K236" s="101">
        <v>1319.21</v>
      </c>
      <c r="L236" s="101">
        <v>1311.66</v>
      </c>
      <c r="M236" s="101">
        <v>1223.94</v>
      </c>
      <c r="N236" s="101">
        <v>1328.11</v>
      </c>
      <c r="O236" s="101">
        <v>1305.82</v>
      </c>
      <c r="P236" s="101">
        <v>1316.87</v>
      </c>
      <c r="Q236" s="101">
        <v>1319.7</v>
      </c>
      <c r="R236" s="321"/>
      <c r="S236" s="321"/>
      <c r="T236" s="324"/>
      <c r="U236" s="324"/>
      <c r="V236" s="326"/>
      <c r="W236" s="315"/>
      <c r="X236" s="318"/>
      <c r="Y236" s="329"/>
      <c r="Z236" s="221"/>
      <c r="AA236" s="102"/>
      <c r="AB236" s="102"/>
      <c r="AC236" s="102"/>
      <c r="AD236" s="103"/>
      <c r="AE236" s="103"/>
      <c r="AF236" s="103"/>
    </row>
    <row r="237" spans="1:32" ht="31.05" x14ac:dyDescent="0.35">
      <c r="A237" s="263"/>
      <c r="B237" s="99"/>
      <c r="C237" s="99"/>
      <c r="D237" s="100" t="s">
        <v>188</v>
      </c>
      <c r="E237" s="105">
        <f t="shared" ref="E237:Q237" si="76">IF(((E235="")*AND(E236="")),"",(E235-E236))</f>
        <v>368.23</v>
      </c>
      <c r="F237" s="105">
        <f t="shared" si="76"/>
        <v>332.83000000000015</v>
      </c>
      <c r="G237" s="105">
        <f t="shared" si="76"/>
        <v>314.23</v>
      </c>
      <c r="H237" s="105">
        <f t="shared" si="76"/>
        <v>306.03999999999996</v>
      </c>
      <c r="I237" s="105">
        <f t="shared" si="76"/>
        <v>366.28</v>
      </c>
      <c r="J237" s="105">
        <f t="shared" si="76"/>
        <v>363.30999999999995</v>
      </c>
      <c r="K237" s="105">
        <f t="shared" si="76"/>
        <v>309.40999999999985</v>
      </c>
      <c r="L237" s="105">
        <f t="shared" si="76"/>
        <v>308.33999999999992</v>
      </c>
      <c r="M237" s="105">
        <f t="shared" si="76"/>
        <v>381.28</v>
      </c>
      <c r="N237" s="105">
        <f t="shared" si="76"/>
        <v>330.95000000000005</v>
      </c>
      <c r="O237" s="105">
        <f t="shared" si="76"/>
        <v>320.87000000000012</v>
      </c>
      <c r="P237" s="105">
        <f t="shared" si="76"/>
        <v>303.13000000000011</v>
      </c>
      <c r="Q237" s="105">
        <f t="shared" si="76"/>
        <v>325.6099999999999</v>
      </c>
      <c r="R237" s="322"/>
      <c r="S237" s="322"/>
      <c r="T237" s="325"/>
      <c r="U237" s="325"/>
      <c r="V237" s="327"/>
      <c r="W237" s="316"/>
      <c r="X237" s="319"/>
      <c r="Y237" s="330"/>
      <c r="Z237" s="221"/>
      <c r="AA237" s="102"/>
      <c r="AB237" s="102"/>
      <c r="AC237" s="102"/>
      <c r="AD237" s="102"/>
      <c r="AE237" s="106"/>
      <c r="AF237" s="102"/>
    </row>
    <row r="238" spans="1:32" ht="15.55" x14ac:dyDescent="0.25">
      <c r="A238" s="264">
        <v>43383</v>
      </c>
      <c r="B238" s="99" t="s">
        <v>235</v>
      </c>
      <c r="C238" s="99" t="s">
        <v>232</v>
      </c>
      <c r="D238" s="100" t="s">
        <v>186</v>
      </c>
      <c r="E238" s="101">
        <v>2910.11</v>
      </c>
      <c r="F238" s="101">
        <v>2849.82</v>
      </c>
      <c r="G238" s="101">
        <v>2845.99</v>
      </c>
      <c r="H238" s="101">
        <v>2859.16</v>
      </c>
      <c r="I238" s="101">
        <v>2949.81</v>
      </c>
      <c r="J238" s="101">
        <v>2968.09</v>
      </c>
      <c r="K238" s="101">
        <v>2864.78</v>
      </c>
      <c r="L238" s="101">
        <v>2847.9</v>
      </c>
      <c r="M238" s="101">
        <v>2908.96</v>
      </c>
      <c r="N238" s="101">
        <v>2862.68</v>
      </c>
      <c r="O238" s="101">
        <v>2858.86</v>
      </c>
      <c r="P238" s="101">
        <v>2878.27</v>
      </c>
      <c r="Q238" s="101">
        <v>2850.7</v>
      </c>
      <c r="R238" s="320">
        <f>IF((Q239=""),"",MAX(E240:Q240))</f>
        <v>379.76000000000022</v>
      </c>
      <c r="S238" s="320">
        <f>IF(Q239="","",MIN(E240:Q240))</f>
        <v>332.23999999999978</v>
      </c>
      <c r="T238" s="323">
        <f>IF((Q240=""),"",AVERAGE(E240:Q240))</f>
        <v>347.82</v>
      </c>
      <c r="U238" s="323">
        <f>IF((Q239=""),"",(R238-S238)/(R238+S238)*100)</f>
        <v>6.6741573033708477</v>
      </c>
      <c r="V238" s="323">
        <f>STDEV(E240:Q240)</f>
        <v>21.165119497260928</v>
      </c>
      <c r="W238" s="314" t="str">
        <f>IF(Q239="","",IF(T238&gt;300,IF(U238&lt;14,IF(T238&lt;390,"Pass","Fail"),"Fail"),"Fail"))</f>
        <v>Pass</v>
      </c>
      <c r="X238" s="317">
        <v>1340</v>
      </c>
      <c r="Y238" s="227" t="s">
        <v>208</v>
      </c>
      <c r="Z238" s="221"/>
      <c r="AA238" s="102">
        <v>270</v>
      </c>
      <c r="AB238" s="102">
        <v>370</v>
      </c>
      <c r="AC238" s="102">
        <v>300</v>
      </c>
      <c r="AD238" s="103">
        <v>390</v>
      </c>
      <c r="AE238" s="103">
        <v>20</v>
      </c>
      <c r="AF238" s="103">
        <v>14</v>
      </c>
    </row>
    <row r="239" spans="1:32" ht="16.100000000000001" x14ac:dyDescent="0.35">
      <c r="A239" s="263"/>
      <c r="B239" s="104"/>
      <c r="C239" s="104"/>
      <c r="D239" s="100" t="s">
        <v>187</v>
      </c>
      <c r="E239" s="101">
        <v>2530.35</v>
      </c>
      <c r="F239" s="101">
        <v>2516.12</v>
      </c>
      <c r="G239" s="101">
        <v>2513.75</v>
      </c>
      <c r="H239" s="101">
        <v>2526.3200000000002</v>
      </c>
      <c r="I239" s="101">
        <v>2571.84</v>
      </c>
      <c r="J239" s="101">
        <v>2591.64</v>
      </c>
      <c r="K239" s="101">
        <v>2532.21</v>
      </c>
      <c r="L239" s="101">
        <v>2511.56</v>
      </c>
      <c r="M239" s="101">
        <v>2530.2800000000002</v>
      </c>
      <c r="N239" s="101">
        <v>2527.5500000000002</v>
      </c>
      <c r="O239" s="101">
        <v>2520.5700000000002</v>
      </c>
      <c r="P239" s="101">
        <v>2545.14</v>
      </c>
      <c r="Q239" s="101">
        <v>2516.14</v>
      </c>
      <c r="R239" s="321"/>
      <c r="S239" s="321"/>
      <c r="T239" s="324"/>
      <c r="U239" s="324"/>
      <c r="V239" s="326"/>
      <c r="W239" s="315"/>
      <c r="X239" s="318"/>
      <c r="Y239" s="224"/>
      <c r="Z239" s="221"/>
      <c r="AA239" s="102"/>
      <c r="AB239" s="102"/>
      <c r="AC239" s="102"/>
      <c r="AD239" s="103"/>
      <c r="AE239" s="103"/>
      <c r="AF239" s="103"/>
    </row>
    <row r="240" spans="1:32" ht="31.05" x14ac:dyDescent="0.35">
      <c r="A240" s="263"/>
      <c r="B240" s="99"/>
      <c r="C240" s="99"/>
      <c r="D240" s="100" t="s">
        <v>188</v>
      </c>
      <c r="E240" s="105">
        <f t="shared" ref="E240:Q240" si="77">IF(((E238="")*AND(E239="")),"",(E238-E239))</f>
        <v>379.76000000000022</v>
      </c>
      <c r="F240" s="105">
        <f t="shared" si="77"/>
        <v>333.70000000000027</v>
      </c>
      <c r="G240" s="105">
        <f t="shared" si="77"/>
        <v>332.23999999999978</v>
      </c>
      <c r="H240" s="105">
        <f t="shared" si="77"/>
        <v>332.83999999999969</v>
      </c>
      <c r="I240" s="105">
        <f t="shared" si="77"/>
        <v>377.9699999999998</v>
      </c>
      <c r="J240" s="105">
        <f t="shared" si="77"/>
        <v>376.45000000000027</v>
      </c>
      <c r="K240" s="105">
        <f t="shared" si="77"/>
        <v>332.57000000000016</v>
      </c>
      <c r="L240" s="105">
        <f t="shared" si="77"/>
        <v>336.34000000000015</v>
      </c>
      <c r="M240" s="105">
        <f t="shared" si="77"/>
        <v>378.67999999999984</v>
      </c>
      <c r="N240" s="105">
        <f t="shared" si="77"/>
        <v>335.12999999999965</v>
      </c>
      <c r="O240" s="105">
        <f t="shared" si="77"/>
        <v>338.28999999999996</v>
      </c>
      <c r="P240" s="105">
        <f t="shared" si="77"/>
        <v>333.13000000000011</v>
      </c>
      <c r="Q240" s="105">
        <f t="shared" si="77"/>
        <v>334.55999999999995</v>
      </c>
      <c r="R240" s="322"/>
      <c r="S240" s="322"/>
      <c r="T240" s="325"/>
      <c r="U240" s="325"/>
      <c r="V240" s="327"/>
      <c r="W240" s="316"/>
      <c r="X240" s="319"/>
      <c r="Y240" s="225"/>
      <c r="Z240" s="221"/>
      <c r="AA240" s="102"/>
      <c r="AB240" s="102"/>
      <c r="AC240" s="102"/>
      <c r="AD240" s="102"/>
      <c r="AE240" s="106"/>
      <c r="AF240" s="102"/>
    </row>
    <row r="241" spans="1:32" ht="15.55" x14ac:dyDescent="0.25">
      <c r="A241" s="264">
        <v>43387</v>
      </c>
      <c r="B241" s="99" t="s">
        <v>235</v>
      </c>
      <c r="C241" s="99" t="s">
        <v>232</v>
      </c>
      <c r="D241" s="100" t="s">
        <v>186</v>
      </c>
      <c r="E241" s="101">
        <v>2912.84</v>
      </c>
      <c r="F241" s="101">
        <v>2845.61</v>
      </c>
      <c r="G241" s="101">
        <v>2834.01</v>
      </c>
      <c r="H241" s="101">
        <v>2845.04</v>
      </c>
      <c r="I241" s="101">
        <v>2929.65</v>
      </c>
      <c r="J241" s="101">
        <v>2958.39</v>
      </c>
      <c r="K241" s="101">
        <v>2851.63</v>
      </c>
      <c r="L241" s="101">
        <v>2834.4</v>
      </c>
      <c r="M241" s="101">
        <v>2910.28</v>
      </c>
      <c r="N241" s="101">
        <v>2850.62</v>
      </c>
      <c r="O241" s="101">
        <v>2846.24</v>
      </c>
      <c r="P241" s="101">
        <v>2859.51</v>
      </c>
      <c r="Q241" s="101">
        <v>2843.76</v>
      </c>
      <c r="R241" s="320">
        <f>IF((Q242=""),"",MAX(E243:Q243))</f>
        <v>382.96000000000004</v>
      </c>
      <c r="S241" s="320">
        <f>IF(Q242="","",MIN(E243:Q243))</f>
        <v>329.83999999999969</v>
      </c>
      <c r="T241" s="323">
        <v>348.82</v>
      </c>
      <c r="U241" s="323">
        <f>IF((Q242=""),"",(R241-S241)/(R241+S241)*100)</f>
        <v>7.4523007856341712</v>
      </c>
      <c r="V241" s="323">
        <f>STDEV(E243:Q243)</f>
        <v>21.780982089181229</v>
      </c>
      <c r="W241" s="314" t="str">
        <f>IF(Q242="","",IF(T241&gt;300,IF(U241&lt;14,IF(T241&lt;390,"Pass","Fail"),"Fail"),"Fail"))</f>
        <v>Pass</v>
      </c>
      <c r="X241" s="317">
        <v>1340</v>
      </c>
      <c r="Y241" s="227" t="s">
        <v>209</v>
      </c>
      <c r="Z241" s="221"/>
      <c r="AA241" s="102">
        <v>270</v>
      </c>
      <c r="AB241" s="102">
        <v>370</v>
      </c>
      <c r="AC241" s="102">
        <v>300</v>
      </c>
      <c r="AD241" s="103">
        <v>390</v>
      </c>
      <c r="AE241" s="103">
        <v>20</v>
      </c>
      <c r="AF241" s="103">
        <v>14</v>
      </c>
    </row>
    <row r="242" spans="1:32" ht="16.100000000000001" x14ac:dyDescent="0.35">
      <c r="A242" s="263"/>
      <c r="B242" s="104"/>
      <c r="C242" s="104"/>
      <c r="D242" s="100" t="s">
        <v>187</v>
      </c>
      <c r="E242" s="101">
        <v>2530.66</v>
      </c>
      <c r="F242" s="101">
        <v>2509.35</v>
      </c>
      <c r="G242" s="101">
        <v>2498.25</v>
      </c>
      <c r="H242" s="101">
        <v>2511.37</v>
      </c>
      <c r="I242" s="101">
        <v>2551.9699999999998</v>
      </c>
      <c r="J242" s="101">
        <v>2581.87</v>
      </c>
      <c r="K242" s="101">
        <v>2518.71</v>
      </c>
      <c r="L242" s="101">
        <v>2495.79</v>
      </c>
      <c r="M242" s="101">
        <v>2527.3200000000002</v>
      </c>
      <c r="N242" s="101">
        <v>2520.7800000000002</v>
      </c>
      <c r="O242" s="101">
        <v>2505.88</v>
      </c>
      <c r="P242" s="101">
        <v>2529.09</v>
      </c>
      <c r="Q242" s="101">
        <v>2506.3000000000002</v>
      </c>
      <c r="R242" s="321"/>
      <c r="S242" s="321"/>
      <c r="T242" s="324"/>
      <c r="U242" s="324"/>
      <c r="V242" s="326"/>
      <c r="W242" s="315"/>
      <c r="X242" s="318"/>
      <c r="Y242" s="224"/>
      <c r="Z242" s="221"/>
      <c r="AA242" s="102"/>
      <c r="AB242" s="102"/>
      <c r="AC242" s="102"/>
      <c r="AD242" s="103"/>
      <c r="AE242" s="103"/>
      <c r="AF242" s="103"/>
    </row>
    <row r="243" spans="1:32" ht="31.05" x14ac:dyDescent="0.35">
      <c r="A243" s="263"/>
      <c r="B243" s="99"/>
      <c r="C243" s="99"/>
      <c r="D243" s="100" t="s">
        <v>188</v>
      </c>
      <c r="E243" s="105">
        <f t="shared" ref="E243:Q243" si="78">IF(((E241="")*AND(E242="")),"",(E241-E242))</f>
        <v>382.18000000000029</v>
      </c>
      <c r="F243" s="105">
        <f t="shared" si="78"/>
        <v>336.26000000000022</v>
      </c>
      <c r="G243" s="105">
        <f t="shared" si="78"/>
        <v>335.76000000000022</v>
      </c>
      <c r="H243" s="105">
        <f t="shared" si="78"/>
        <v>333.67000000000007</v>
      </c>
      <c r="I243" s="105">
        <f t="shared" si="78"/>
        <v>377.68000000000029</v>
      </c>
      <c r="J243" s="105">
        <f t="shared" si="78"/>
        <v>376.52</v>
      </c>
      <c r="K243" s="105">
        <f t="shared" si="78"/>
        <v>332.92000000000007</v>
      </c>
      <c r="L243" s="105">
        <f t="shared" si="78"/>
        <v>338.61000000000013</v>
      </c>
      <c r="M243" s="105">
        <f t="shared" si="78"/>
        <v>382.96000000000004</v>
      </c>
      <c r="N243" s="105">
        <f t="shared" si="78"/>
        <v>329.83999999999969</v>
      </c>
      <c r="O243" s="105">
        <f t="shared" si="78"/>
        <v>340.35999999999967</v>
      </c>
      <c r="P243" s="105">
        <f t="shared" si="78"/>
        <v>330.42000000000007</v>
      </c>
      <c r="Q243" s="105">
        <f t="shared" si="78"/>
        <v>337.46000000000004</v>
      </c>
      <c r="R243" s="322"/>
      <c r="S243" s="322"/>
      <c r="T243" s="325"/>
      <c r="U243" s="325"/>
      <c r="V243" s="327"/>
      <c r="W243" s="316"/>
      <c r="X243" s="319"/>
      <c r="Y243" s="225"/>
      <c r="Z243" s="221"/>
      <c r="AA243" s="102"/>
      <c r="AB243" s="102"/>
      <c r="AC243" s="102"/>
      <c r="AD243" s="102"/>
      <c r="AE243" s="106"/>
      <c r="AF243" s="102"/>
    </row>
    <row r="244" spans="1:32" ht="15.55" x14ac:dyDescent="0.25">
      <c r="A244" s="264">
        <v>43390</v>
      </c>
      <c r="B244" s="99" t="s">
        <v>235</v>
      </c>
      <c r="C244" s="99" t="s">
        <v>232</v>
      </c>
      <c r="D244" s="100" t="s">
        <v>186</v>
      </c>
      <c r="E244" s="101">
        <v>2534.2199999999998</v>
      </c>
      <c r="F244" s="101">
        <v>2505.66</v>
      </c>
      <c r="G244" s="101">
        <v>2496.36</v>
      </c>
      <c r="H244" s="101">
        <v>2508.87</v>
      </c>
      <c r="I244" s="101">
        <v>2553.0300000000002</v>
      </c>
      <c r="J244" s="101">
        <v>2588.6799999999998</v>
      </c>
      <c r="K244" s="101">
        <v>2518.33</v>
      </c>
      <c r="L244" s="101">
        <v>2500.11</v>
      </c>
      <c r="M244" s="101">
        <v>2530.0100000000002</v>
      </c>
      <c r="N244" s="101">
        <v>2538.27</v>
      </c>
      <c r="O244" s="101">
        <v>2511.8200000000002</v>
      </c>
      <c r="P244" s="101">
        <v>2525.8000000000002</v>
      </c>
      <c r="Q244" s="101">
        <v>2506.58</v>
      </c>
      <c r="R244" s="320">
        <f>IF((Q245=""),"",MAX(E246:Q246))</f>
        <v>430.52</v>
      </c>
      <c r="S244" s="320">
        <f>IF(Q245="","",MIN(E246:Q246))</f>
        <v>336.27</v>
      </c>
      <c r="T244" s="323">
        <f>IF((Q246=""),"",AVERAGE(E246:Q246))</f>
        <v>387.41076923076929</v>
      </c>
      <c r="U244" s="323">
        <f>IF((Q245=""),"",(R244-S244)/(R244+S244)*100)</f>
        <v>12.291500932458693</v>
      </c>
      <c r="V244" s="323">
        <f>STDEV(E246:Q246)</f>
        <v>25.342602951531493</v>
      </c>
      <c r="W244" s="314" t="str">
        <f>IF(Q245="","",IF(T244&gt;300,IF(U244&lt;14,IF(T244&lt;390,"Pass","Fail"),"Fail"),"Fail"))</f>
        <v>Pass</v>
      </c>
      <c r="X244" s="317">
        <v>102</v>
      </c>
      <c r="Y244" s="227" t="s">
        <v>210</v>
      </c>
      <c r="Z244" s="221"/>
      <c r="AA244" s="102">
        <v>270</v>
      </c>
      <c r="AB244" s="102">
        <v>370</v>
      </c>
      <c r="AC244" s="102">
        <v>300</v>
      </c>
      <c r="AD244" s="103">
        <v>390</v>
      </c>
      <c r="AE244" s="103">
        <v>20</v>
      </c>
      <c r="AF244" s="103">
        <v>14</v>
      </c>
    </row>
    <row r="245" spans="1:32" ht="16.100000000000001" x14ac:dyDescent="0.35">
      <c r="A245" s="263"/>
      <c r="B245" s="104"/>
      <c r="C245" s="104"/>
      <c r="D245" s="100" t="s">
        <v>187</v>
      </c>
      <c r="E245" s="101">
        <v>2197.9499999999998</v>
      </c>
      <c r="F245" s="101">
        <v>2107.8000000000002</v>
      </c>
      <c r="G245" s="101">
        <v>2111.77</v>
      </c>
      <c r="H245" s="101">
        <v>2117.83</v>
      </c>
      <c r="I245" s="101">
        <v>2181.09</v>
      </c>
      <c r="J245" s="101">
        <v>2158.16</v>
      </c>
      <c r="K245" s="101">
        <v>2130.16</v>
      </c>
      <c r="L245" s="101">
        <v>2108.79</v>
      </c>
      <c r="M245" s="101">
        <v>2186.29</v>
      </c>
      <c r="N245" s="101">
        <v>2126.91</v>
      </c>
      <c r="O245" s="101">
        <v>2110.15</v>
      </c>
      <c r="P245" s="101">
        <v>2138.0500000000002</v>
      </c>
      <c r="Q245" s="101">
        <v>2106.4499999999998</v>
      </c>
      <c r="R245" s="321"/>
      <c r="S245" s="321"/>
      <c r="T245" s="324"/>
      <c r="U245" s="324"/>
      <c r="V245" s="326"/>
      <c r="W245" s="315"/>
      <c r="X245" s="318"/>
      <c r="Y245" s="224"/>
      <c r="Z245" s="221"/>
      <c r="AA245" s="102"/>
      <c r="AB245" s="102"/>
      <c r="AC245" s="102"/>
      <c r="AD245" s="103"/>
      <c r="AE245" s="103"/>
      <c r="AF245" s="103"/>
    </row>
    <row r="246" spans="1:32" ht="31.05" x14ac:dyDescent="0.35">
      <c r="A246" s="263"/>
      <c r="B246" s="99"/>
      <c r="C246" s="99"/>
      <c r="D246" s="100" t="s">
        <v>188</v>
      </c>
      <c r="E246" s="105">
        <f t="shared" ref="E246:Q246" si="79">IF(((E244="")*AND(E245="")),"",(E244-E245))</f>
        <v>336.27</v>
      </c>
      <c r="F246" s="105">
        <f t="shared" si="79"/>
        <v>397.85999999999967</v>
      </c>
      <c r="G246" s="105">
        <f t="shared" si="79"/>
        <v>384.59000000000015</v>
      </c>
      <c r="H246" s="105">
        <f t="shared" si="79"/>
        <v>391.03999999999996</v>
      </c>
      <c r="I246" s="105">
        <f t="shared" si="79"/>
        <v>371.94000000000005</v>
      </c>
      <c r="J246" s="105">
        <f t="shared" si="79"/>
        <v>430.52</v>
      </c>
      <c r="K246" s="105">
        <f t="shared" si="79"/>
        <v>388.17000000000007</v>
      </c>
      <c r="L246" s="105">
        <f t="shared" si="79"/>
        <v>391.32000000000016</v>
      </c>
      <c r="M246" s="105">
        <f t="shared" si="79"/>
        <v>343.72000000000025</v>
      </c>
      <c r="N246" s="105">
        <f t="shared" si="79"/>
        <v>411.36000000000013</v>
      </c>
      <c r="O246" s="105">
        <f t="shared" si="79"/>
        <v>401.67000000000007</v>
      </c>
      <c r="P246" s="105">
        <f t="shared" si="79"/>
        <v>387.75</v>
      </c>
      <c r="Q246" s="105">
        <f t="shared" si="79"/>
        <v>400.13000000000011</v>
      </c>
      <c r="R246" s="322"/>
      <c r="S246" s="322"/>
      <c r="T246" s="325"/>
      <c r="U246" s="325"/>
      <c r="V246" s="327"/>
      <c r="W246" s="316"/>
      <c r="X246" s="319"/>
      <c r="Y246" s="225"/>
      <c r="Z246" s="221"/>
      <c r="AA246" s="102"/>
      <c r="AB246" s="102"/>
      <c r="AC246" s="102"/>
      <c r="AD246" s="102"/>
      <c r="AE246" s="106"/>
      <c r="AF246" s="102"/>
    </row>
    <row r="247" spans="1:32" ht="15.55" x14ac:dyDescent="0.25">
      <c r="A247" s="264">
        <v>43394</v>
      </c>
      <c r="B247" s="99" t="s">
        <v>235</v>
      </c>
      <c r="C247" s="99" t="s">
        <v>232</v>
      </c>
      <c r="D247" s="100" t="s">
        <v>186</v>
      </c>
      <c r="E247" s="10">
        <v>2096.56</v>
      </c>
      <c r="F247" s="10">
        <v>2104.8200000000002</v>
      </c>
      <c r="G247" s="10">
        <v>2104.0300000000002</v>
      </c>
      <c r="H247" s="10">
        <v>2105.83</v>
      </c>
      <c r="I247" s="10">
        <v>2129.31</v>
      </c>
      <c r="J247" s="10">
        <v>2141.6</v>
      </c>
      <c r="K247" s="10">
        <v>2129.5700000000002</v>
      </c>
      <c r="L247" s="10">
        <v>2098.5300000000002</v>
      </c>
      <c r="M247" s="10">
        <v>2085.31</v>
      </c>
      <c r="N247" s="10">
        <v>2171.25</v>
      </c>
      <c r="O247" s="10">
        <v>2113</v>
      </c>
      <c r="P247" s="10">
        <v>2131.91</v>
      </c>
      <c r="Q247" s="10">
        <v>2098.81</v>
      </c>
      <c r="R247" s="320">
        <f>IF((Q248=""),"",MAX(E249:Q249))</f>
        <v>360.29999999999995</v>
      </c>
      <c r="S247" s="320">
        <f>IF(Q248="","",MIN(E249:Q249))</f>
        <v>295.58000000000015</v>
      </c>
      <c r="T247" s="323">
        <f>IF((Q249=""),"",AVERAGE(E249:Q249))</f>
        <v>323.80615384615379</v>
      </c>
      <c r="U247" s="323">
        <f>IF((Q248=""),"",(R247-S247)/(R247+S247)*100)</f>
        <v>9.8676587180581485</v>
      </c>
      <c r="V247" s="323">
        <f>STDEV(E249:Q249)</f>
        <v>25.384122510755102</v>
      </c>
      <c r="W247" s="314" t="str">
        <f>IF(Q248="","",IF(T247&gt;300,IF(U247&lt;14,IF(T247&lt;390,"Pass","Fail"),"Fail"),"Fail"))</f>
        <v>Pass</v>
      </c>
      <c r="X247" s="317">
        <v>121</v>
      </c>
      <c r="Y247" s="227" t="s">
        <v>211</v>
      </c>
      <c r="Z247" s="221"/>
      <c r="AA247" s="102">
        <v>270</v>
      </c>
      <c r="AB247" s="102">
        <v>370</v>
      </c>
      <c r="AC247" s="102">
        <v>300</v>
      </c>
      <c r="AD247" s="103">
        <v>390</v>
      </c>
      <c r="AE247" s="103">
        <v>20</v>
      </c>
      <c r="AF247" s="103">
        <v>14</v>
      </c>
    </row>
    <row r="248" spans="1:32" ht="16.100000000000001" x14ac:dyDescent="0.35">
      <c r="A248" s="263"/>
      <c r="B248" s="104"/>
      <c r="C248" s="104"/>
      <c r="D248" s="100" t="s">
        <v>187</v>
      </c>
      <c r="E248" s="10">
        <v>1739.49</v>
      </c>
      <c r="F248" s="10">
        <v>1801.92</v>
      </c>
      <c r="G248" s="10">
        <v>1808.45</v>
      </c>
      <c r="H248" s="10">
        <v>1803.01</v>
      </c>
      <c r="I248" s="10">
        <v>1769.01</v>
      </c>
      <c r="J248" s="10">
        <v>1802.86</v>
      </c>
      <c r="K248" s="10">
        <v>1813.84</v>
      </c>
      <c r="L248" s="10">
        <v>1802.16</v>
      </c>
      <c r="M248" s="10">
        <v>1729.59</v>
      </c>
      <c r="N248" s="10">
        <v>1817.64</v>
      </c>
      <c r="O248" s="10">
        <v>1795.89</v>
      </c>
      <c r="P248" s="10">
        <v>1829.96</v>
      </c>
      <c r="Q248" s="10">
        <v>1787.23</v>
      </c>
      <c r="R248" s="321"/>
      <c r="S248" s="321"/>
      <c r="T248" s="324"/>
      <c r="U248" s="324"/>
      <c r="V248" s="326"/>
      <c r="W248" s="315"/>
      <c r="X248" s="318"/>
      <c r="Y248" s="224"/>
      <c r="Z248" s="221"/>
      <c r="AA248" s="102"/>
      <c r="AB248" s="102"/>
      <c r="AC248" s="102"/>
      <c r="AD248" s="103"/>
      <c r="AE248" s="103"/>
      <c r="AF248" s="103"/>
    </row>
    <row r="249" spans="1:32" ht="31.05" x14ac:dyDescent="0.35">
      <c r="A249" s="263"/>
      <c r="B249" s="99"/>
      <c r="C249" s="99"/>
      <c r="D249" s="100" t="s">
        <v>188</v>
      </c>
      <c r="E249" s="105">
        <f t="shared" ref="E249:Q249" si="80">IF(((E247="")*AND(E248="")),"",(E247-E248))</f>
        <v>357.06999999999994</v>
      </c>
      <c r="F249" s="105">
        <f t="shared" si="80"/>
        <v>302.90000000000009</v>
      </c>
      <c r="G249" s="105">
        <f t="shared" si="80"/>
        <v>295.58000000000015</v>
      </c>
      <c r="H249" s="105">
        <f t="shared" si="80"/>
        <v>302.81999999999994</v>
      </c>
      <c r="I249" s="105">
        <f t="shared" si="80"/>
        <v>360.29999999999995</v>
      </c>
      <c r="J249" s="105">
        <f t="shared" si="80"/>
        <v>338.74</v>
      </c>
      <c r="K249" s="105">
        <f t="shared" si="80"/>
        <v>315.73000000000025</v>
      </c>
      <c r="L249" s="105">
        <f t="shared" si="80"/>
        <v>296.37000000000012</v>
      </c>
      <c r="M249" s="105">
        <f t="shared" si="80"/>
        <v>355.72</v>
      </c>
      <c r="N249" s="105">
        <f t="shared" si="80"/>
        <v>353.6099999999999</v>
      </c>
      <c r="O249" s="105">
        <f t="shared" si="80"/>
        <v>317.1099999999999</v>
      </c>
      <c r="P249" s="105">
        <f t="shared" si="80"/>
        <v>301.94999999999982</v>
      </c>
      <c r="Q249" s="105">
        <f t="shared" si="80"/>
        <v>311.57999999999993</v>
      </c>
      <c r="R249" s="322"/>
      <c r="S249" s="322"/>
      <c r="T249" s="325"/>
      <c r="U249" s="325"/>
      <c r="V249" s="327"/>
      <c r="W249" s="316"/>
      <c r="X249" s="319"/>
      <c r="Y249" s="225"/>
      <c r="Z249" s="221"/>
      <c r="AA249" s="102"/>
      <c r="AB249" s="102"/>
      <c r="AC249" s="102"/>
      <c r="AD249" s="102"/>
      <c r="AE249" s="106"/>
      <c r="AF249" s="102"/>
    </row>
    <row r="250" spans="1:32" ht="15.55" x14ac:dyDescent="0.25">
      <c r="A250" s="264">
        <v>43397</v>
      </c>
      <c r="B250" s="99" t="s">
        <v>235</v>
      </c>
      <c r="C250" s="99" t="s">
        <v>232</v>
      </c>
      <c r="D250" s="100" t="s">
        <v>186</v>
      </c>
      <c r="E250" s="10">
        <v>2907.08</v>
      </c>
      <c r="F250" s="10">
        <v>2843.56</v>
      </c>
      <c r="G250" s="10">
        <v>2837.83</v>
      </c>
      <c r="H250" s="10">
        <v>2851.88</v>
      </c>
      <c r="I250" s="10">
        <v>2940.8</v>
      </c>
      <c r="J250" s="10">
        <v>2960.8</v>
      </c>
      <c r="K250" s="10">
        <v>2854.91</v>
      </c>
      <c r="L250" s="10">
        <v>2841.21</v>
      </c>
      <c r="M250" s="10">
        <v>2913.02</v>
      </c>
      <c r="N250" s="10">
        <v>2859.11</v>
      </c>
      <c r="O250" s="10">
        <v>2848.22</v>
      </c>
      <c r="P250" s="10">
        <v>2868.93</v>
      </c>
      <c r="Q250" s="10">
        <v>2849.57</v>
      </c>
      <c r="R250" s="320">
        <f>IF((Q251=""),"",MAX(E252:Q252))</f>
        <v>381.36000000000013</v>
      </c>
      <c r="S250" s="320">
        <f>IF(Q251="","",MIN(E252:Q252))</f>
        <v>330.54999999999973</v>
      </c>
      <c r="T250" s="323">
        <f>IF((Q252=""),"",AVERAGE(E252:Q252))</f>
        <v>347.63538461538462</v>
      </c>
      <c r="U250" s="323">
        <f>IF((Q251=""),"",(R250-S250)/(R250+S250)*100)</f>
        <v>7.1371381213918061</v>
      </c>
      <c r="V250" s="323">
        <f>STDEV(E252:Q252)</f>
        <v>19.608845204560378</v>
      </c>
      <c r="W250" s="314" t="str">
        <f>IF(Q251="","",IF(T250&gt;300,IF(U250&lt;14,IF(T250&lt;390,"Pass","Fail"),"Fail"),"Fail"))</f>
        <v>Pass</v>
      </c>
      <c r="X250" s="317">
        <v>1159</v>
      </c>
      <c r="Y250" s="227" t="s">
        <v>212</v>
      </c>
      <c r="Z250" s="221"/>
      <c r="AA250" s="102">
        <v>270</v>
      </c>
      <c r="AB250" s="102">
        <v>370</v>
      </c>
      <c r="AC250" s="102">
        <v>300</v>
      </c>
      <c r="AD250" s="103">
        <v>390</v>
      </c>
      <c r="AE250" s="103">
        <v>20</v>
      </c>
      <c r="AF250" s="103">
        <v>14</v>
      </c>
    </row>
    <row r="251" spans="1:32" ht="16.100000000000001" x14ac:dyDescent="0.35">
      <c r="A251" s="263"/>
      <c r="B251" s="104"/>
      <c r="C251" s="104"/>
      <c r="D251" s="100" t="s">
        <v>187</v>
      </c>
      <c r="E251" s="10">
        <v>2535.27</v>
      </c>
      <c r="F251" s="10">
        <v>2507.9299999999998</v>
      </c>
      <c r="G251" s="10">
        <v>2507.2800000000002</v>
      </c>
      <c r="H251" s="10">
        <v>2515.6799999999998</v>
      </c>
      <c r="I251" s="10">
        <v>2562.2600000000002</v>
      </c>
      <c r="J251" s="10">
        <v>2590.7600000000002</v>
      </c>
      <c r="K251" s="10">
        <v>2521.69</v>
      </c>
      <c r="L251" s="10">
        <v>2506.15</v>
      </c>
      <c r="M251" s="10">
        <v>2531.66</v>
      </c>
      <c r="N251" s="10">
        <v>2523.5500000000002</v>
      </c>
      <c r="O251" s="10">
        <v>2509.7199999999998</v>
      </c>
      <c r="P251" s="10">
        <v>2535.7399999999998</v>
      </c>
      <c r="Q251" s="10">
        <v>2509.9699999999998</v>
      </c>
      <c r="R251" s="321"/>
      <c r="S251" s="321"/>
      <c r="T251" s="324"/>
      <c r="U251" s="324"/>
      <c r="V251" s="326"/>
      <c r="W251" s="315"/>
      <c r="X251" s="318"/>
      <c r="Y251" s="224"/>
      <c r="Z251" s="221"/>
      <c r="AA251" s="102"/>
      <c r="AB251" s="102"/>
      <c r="AC251" s="102"/>
      <c r="AD251" s="103"/>
      <c r="AE251" s="103"/>
      <c r="AF251" s="103"/>
    </row>
    <row r="252" spans="1:32" ht="31.05" x14ac:dyDescent="0.35">
      <c r="A252" s="263"/>
      <c r="B252" s="99"/>
      <c r="C252" s="99"/>
      <c r="D252" s="100" t="s">
        <v>188</v>
      </c>
      <c r="E252" s="105">
        <f t="shared" ref="E252:Q252" si="81">IF(((E250="")*AND(E251="")),"",(E250-E251))</f>
        <v>371.80999999999995</v>
      </c>
      <c r="F252" s="105">
        <f t="shared" si="81"/>
        <v>335.63000000000011</v>
      </c>
      <c r="G252" s="105">
        <f t="shared" si="81"/>
        <v>330.54999999999973</v>
      </c>
      <c r="H252" s="105">
        <f t="shared" si="81"/>
        <v>336.20000000000027</v>
      </c>
      <c r="I252" s="105">
        <f t="shared" si="81"/>
        <v>378.53999999999996</v>
      </c>
      <c r="J252" s="105">
        <f t="shared" si="81"/>
        <v>370.03999999999996</v>
      </c>
      <c r="K252" s="105">
        <f t="shared" si="81"/>
        <v>333.2199999999998</v>
      </c>
      <c r="L252" s="105">
        <f t="shared" si="81"/>
        <v>335.05999999999995</v>
      </c>
      <c r="M252" s="105">
        <f t="shared" si="81"/>
        <v>381.36000000000013</v>
      </c>
      <c r="N252" s="105">
        <f t="shared" si="81"/>
        <v>335.55999999999995</v>
      </c>
      <c r="O252" s="105">
        <f t="shared" si="81"/>
        <v>338.5</v>
      </c>
      <c r="P252" s="105">
        <f t="shared" si="81"/>
        <v>333.19000000000005</v>
      </c>
      <c r="Q252" s="105">
        <f t="shared" si="81"/>
        <v>339.60000000000036</v>
      </c>
      <c r="R252" s="322"/>
      <c r="S252" s="322"/>
      <c r="T252" s="325"/>
      <c r="U252" s="325"/>
      <c r="V252" s="327"/>
      <c r="W252" s="316"/>
      <c r="X252" s="319"/>
      <c r="Y252" s="225"/>
      <c r="Z252" s="221"/>
      <c r="AA252" s="102"/>
      <c r="AB252" s="102"/>
      <c r="AC252" s="102"/>
      <c r="AD252" s="102"/>
      <c r="AE252" s="106"/>
      <c r="AF252" s="102"/>
    </row>
    <row r="253" spans="1:32" ht="15.55" x14ac:dyDescent="0.25">
      <c r="A253" s="269">
        <v>43401</v>
      </c>
      <c r="B253" s="99" t="s">
        <v>235</v>
      </c>
      <c r="C253" s="99" t="s">
        <v>232</v>
      </c>
      <c r="D253" s="100" t="s">
        <v>186</v>
      </c>
      <c r="E253" s="10">
        <v>2545.6799999999998</v>
      </c>
      <c r="F253" s="10">
        <v>2509.88</v>
      </c>
      <c r="G253" s="10">
        <v>2506.15</v>
      </c>
      <c r="H253" s="10">
        <v>2520.29</v>
      </c>
      <c r="I253" s="10">
        <v>2565.38</v>
      </c>
      <c r="J253" s="10">
        <v>2591.7399999999998</v>
      </c>
      <c r="K253" s="10">
        <v>2525.7800000000002</v>
      </c>
      <c r="L253" s="10">
        <v>2504.58</v>
      </c>
      <c r="M253" s="10">
        <v>2537.14</v>
      </c>
      <c r="N253" s="10">
        <v>2523.12</v>
      </c>
      <c r="O253" s="10">
        <v>2515.6799999999998</v>
      </c>
      <c r="P253" s="10">
        <v>2523.56</v>
      </c>
      <c r="Q253" s="10">
        <v>2512.3200000000002</v>
      </c>
      <c r="R253" s="320">
        <f>IF((Q254=""),"",MAX(E255:Q255))</f>
        <v>445.54999999999973</v>
      </c>
      <c r="S253" s="320">
        <f>IF(Q254="","",MIN(E255:Q255))</f>
        <v>378.23999999999978</v>
      </c>
      <c r="T253" s="323">
        <f>IF((Q255=""),"",AVERAGE(E255:Q255))</f>
        <v>403.03</v>
      </c>
      <c r="U253" s="323">
        <f>IF((Q254=""),"",(R253-S253)/(R253+S253)*100)</f>
        <v>8.1707716772478403</v>
      </c>
      <c r="V253" s="323">
        <f>STDEV(E255:Q255)</f>
        <v>20.556193308424824</v>
      </c>
      <c r="W253" s="314" t="str">
        <f>IF(Q254="","",IF(T253&gt;300,IF(U253&lt;14,IF(T253&lt;390,"Pass","Fail"),"Fail"),"Fail"))</f>
        <v>Fail</v>
      </c>
      <c r="X253" s="317">
        <v>1335</v>
      </c>
      <c r="Y253" s="328"/>
      <c r="Z253" s="221"/>
      <c r="AA253" s="102">
        <v>270</v>
      </c>
      <c r="AB253" s="102">
        <v>370</v>
      </c>
      <c r="AC253" s="102">
        <v>300</v>
      </c>
      <c r="AD253" s="103">
        <v>390</v>
      </c>
      <c r="AE253" s="103">
        <v>20</v>
      </c>
      <c r="AF253" s="103">
        <v>14</v>
      </c>
    </row>
    <row r="254" spans="1:32" ht="16.100000000000001" x14ac:dyDescent="0.35">
      <c r="A254" s="263"/>
      <c r="B254" s="104"/>
      <c r="C254" s="104"/>
      <c r="D254" s="100" t="s">
        <v>187</v>
      </c>
      <c r="E254" s="10">
        <v>2100.13</v>
      </c>
      <c r="F254" s="10">
        <v>2122.54</v>
      </c>
      <c r="G254" s="10">
        <v>2117.94</v>
      </c>
      <c r="H254" s="10">
        <v>2124.7199999999998</v>
      </c>
      <c r="I254" s="10">
        <v>2143.0700000000002</v>
      </c>
      <c r="J254" s="10">
        <v>2172.36</v>
      </c>
      <c r="K254" s="10">
        <v>2130.8200000000002</v>
      </c>
      <c r="L254" s="10">
        <v>2119.1</v>
      </c>
      <c r="M254" s="10">
        <v>2103.21</v>
      </c>
      <c r="N254" s="10">
        <v>2127.16</v>
      </c>
      <c r="O254" s="10">
        <v>2122.39</v>
      </c>
      <c r="P254" s="10">
        <v>2145.3200000000002</v>
      </c>
      <c r="Q254" s="10">
        <v>2113.15</v>
      </c>
      <c r="R254" s="321"/>
      <c r="S254" s="321"/>
      <c r="T254" s="324"/>
      <c r="U254" s="324"/>
      <c r="V254" s="326"/>
      <c r="W254" s="315"/>
      <c r="X254" s="318"/>
      <c r="Y254" s="329"/>
      <c r="Z254" s="221"/>
      <c r="AA254" s="102"/>
      <c r="AB254" s="102"/>
      <c r="AC254" s="102"/>
      <c r="AD254" s="103"/>
      <c r="AE254" s="103"/>
      <c r="AF254" s="103"/>
    </row>
    <row r="255" spans="1:32" ht="31.05" x14ac:dyDescent="0.35">
      <c r="A255" s="263"/>
      <c r="B255" s="99"/>
      <c r="C255" s="99"/>
      <c r="D255" s="100" t="s">
        <v>188</v>
      </c>
      <c r="E255" s="105">
        <f t="shared" ref="E255:Q255" si="82">IF(((E253="")*AND(E254="")),"",(E253-E254))</f>
        <v>445.54999999999973</v>
      </c>
      <c r="F255" s="105">
        <f t="shared" si="82"/>
        <v>387.34000000000015</v>
      </c>
      <c r="G255" s="105">
        <f t="shared" si="82"/>
        <v>388.21000000000004</v>
      </c>
      <c r="H255" s="105">
        <f t="shared" si="82"/>
        <v>395.57000000000016</v>
      </c>
      <c r="I255" s="105">
        <f t="shared" si="82"/>
        <v>422.30999999999995</v>
      </c>
      <c r="J255" s="105">
        <f t="shared" si="82"/>
        <v>419.37999999999965</v>
      </c>
      <c r="K255" s="105">
        <f t="shared" si="82"/>
        <v>394.96000000000004</v>
      </c>
      <c r="L255" s="105">
        <f t="shared" si="82"/>
        <v>385.48</v>
      </c>
      <c r="M255" s="105">
        <f t="shared" si="82"/>
        <v>433.92999999999984</v>
      </c>
      <c r="N255" s="105">
        <f t="shared" si="82"/>
        <v>395.96000000000004</v>
      </c>
      <c r="O255" s="105">
        <f t="shared" si="82"/>
        <v>393.28999999999996</v>
      </c>
      <c r="P255" s="105">
        <f t="shared" si="82"/>
        <v>378.23999999999978</v>
      </c>
      <c r="Q255" s="105">
        <f t="shared" si="82"/>
        <v>399.17000000000007</v>
      </c>
      <c r="R255" s="322"/>
      <c r="S255" s="322"/>
      <c r="T255" s="325"/>
      <c r="U255" s="325"/>
      <c r="V255" s="327"/>
      <c r="W255" s="316"/>
      <c r="X255" s="319"/>
      <c r="Y255" s="330"/>
      <c r="Z255" s="221"/>
      <c r="AA255" s="102"/>
      <c r="AB255" s="102"/>
      <c r="AC255" s="102"/>
      <c r="AD255" s="102"/>
      <c r="AE255" s="106"/>
      <c r="AF255" s="102"/>
    </row>
    <row r="256" spans="1:32" ht="15.55" x14ac:dyDescent="0.25">
      <c r="A256" s="264">
        <v>43401</v>
      </c>
      <c r="B256" s="99" t="s">
        <v>235</v>
      </c>
      <c r="C256" s="99" t="s">
        <v>232</v>
      </c>
      <c r="D256" s="100" t="s">
        <v>186</v>
      </c>
      <c r="E256" s="10">
        <v>2913.34</v>
      </c>
      <c r="F256" s="10">
        <v>2852.1</v>
      </c>
      <c r="G256" s="10">
        <v>2845.42</v>
      </c>
      <c r="H256" s="10">
        <v>2859.6</v>
      </c>
      <c r="I256" s="10">
        <v>2945.24</v>
      </c>
      <c r="J256" s="10">
        <v>2973.7</v>
      </c>
      <c r="K256" s="10">
        <v>2863.21</v>
      </c>
      <c r="L256" s="10">
        <v>2849.49</v>
      </c>
      <c r="M256" s="10">
        <v>2914.93</v>
      </c>
      <c r="N256" s="10">
        <v>2867.68</v>
      </c>
      <c r="O256" s="10">
        <v>2857.3</v>
      </c>
      <c r="P256" s="10">
        <v>2877.33</v>
      </c>
      <c r="Q256" s="10">
        <v>2855.88</v>
      </c>
      <c r="R256" s="320">
        <f>IF((Q257=""),"",MAX(E258:Q258))</f>
        <v>396.62999999999965</v>
      </c>
      <c r="S256" s="320">
        <f>IF(Q257="","",MIN(E258:Q258))</f>
        <v>331.94000000000005</v>
      </c>
      <c r="T256" s="323">
        <f>IF((Q258=""),"",AVERAGE(E258:Q258))</f>
        <v>354.94769230769231</v>
      </c>
      <c r="U256" s="323">
        <f>IF((Q257=""),"",(R256-S256)/(R256+S256)*100)</f>
        <v>8.8790370177195914</v>
      </c>
      <c r="V256" s="323">
        <f>STDEV(E258:Q258)</f>
        <v>27.700847506242422</v>
      </c>
      <c r="W256" s="314" t="str">
        <f>IF(Q257="","",IF(T256&gt;300,IF(U256&lt;14,IF(T256&lt;390,"Pass","Fail"),"Fail"),"Fail"))</f>
        <v>Pass</v>
      </c>
      <c r="X256" s="317">
        <v>1335</v>
      </c>
      <c r="Y256" s="227" t="s">
        <v>242</v>
      </c>
      <c r="Z256" s="221"/>
      <c r="AA256" s="102">
        <v>270</v>
      </c>
      <c r="AB256" s="102">
        <v>370</v>
      </c>
      <c r="AC256" s="102">
        <v>300</v>
      </c>
      <c r="AD256" s="103">
        <v>390</v>
      </c>
      <c r="AE256" s="103">
        <v>20</v>
      </c>
      <c r="AF256" s="103">
        <v>14</v>
      </c>
    </row>
    <row r="257" spans="1:32" ht="16.100000000000001" x14ac:dyDescent="0.35">
      <c r="A257" s="263"/>
      <c r="B257" s="104"/>
      <c r="C257" s="104"/>
      <c r="D257" s="100" t="s">
        <v>187</v>
      </c>
      <c r="E257" s="10">
        <v>2518.86</v>
      </c>
      <c r="F257" s="10">
        <v>2517.08</v>
      </c>
      <c r="G257" s="10">
        <v>2512.08</v>
      </c>
      <c r="H257" s="10">
        <v>2520.29</v>
      </c>
      <c r="I257" s="10">
        <v>2554.06</v>
      </c>
      <c r="J257" s="10">
        <v>2577.36</v>
      </c>
      <c r="K257" s="10">
        <v>2531.27</v>
      </c>
      <c r="L257" s="10">
        <v>2511.4699999999998</v>
      </c>
      <c r="M257" s="10">
        <v>2518.3000000000002</v>
      </c>
      <c r="N257" s="10">
        <v>2529.2800000000002</v>
      </c>
      <c r="O257" s="10">
        <v>2516.54</v>
      </c>
      <c r="P257" s="10">
        <v>2538.83</v>
      </c>
      <c r="Q257" s="10">
        <v>2515.48</v>
      </c>
      <c r="R257" s="321"/>
      <c r="S257" s="321"/>
      <c r="T257" s="324"/>
      <c r="U257" s="324"/>
      <c r="V257" s="326"/>
      <c r="W257" s="315"/>
      <c r="X257" s="318"/>
      <c r="Y257" s="224"/>
      <c r="Z257" s="221"/>
      <c r="AA257" s="102"/>
      <c r="AB257" s="102"/>
      <c r="AC257" s="102"/>
      <c r="AD257" s="103"/>
      <c r="AE257" s="103"/>
      <c r="AF257" s="103"/>
    </row>
    <row r="258" spans="1:32" ht="31.05" x14ac:dyDescent="0.35">
      <c r="A258" s="263"/>
      <c r="B258" s="99"/>
      <c r="C258" s="99"/>
      <c r="D258" s="100" t="s">
        <v>188</v>
      </c>
      <c r="E258" s="105">
        <f t="shared" ref="E258:Q258" si="83">IF(((E256="")*AND(E257="")),"",(E256-E257))</f>
        <v>394.48</v>
      </c>
      <c r="F258" s="105">
        <f t="shared" si="83"/>
        <v>335.02</v>
      </c>
      <c r="G258" s="105">
        <f t="shared" si="83"/>
        <v>333.34000000000015</v>
      </c>
      <c r="H258" s="105">
        <f t="shared" si="83"/>
        <v>339.30999999999995</v>
      </c>
      <c r="I258" s="105">
        <f t="shared" si="83"/>
        <v>391.17999999999984</v>
      </c>
      <c r="J258" s="105">
        <f t="shared" si="83"/>
        <v>396.33999999999969</v>
      </c>
      <c r="K258" s="105">
        <f t="shared" si="83"/>
        <v>331.94000000000005</v>
      </c>
      <c r="L258" s="105">
        <f t="shared" si="83"/>
        <v>338.02</v>
      </c>
      <c r="M258" s="105">
        <f t="shared" si="83"/>
        <v>396.62999999999965</v>
      </c>
      <c r="N258" s="105">
        <f t="shared" si="83"/>
        <v>338.39999999999964</v>
      </c>
      <c r="O258" s="105">
        <f t="shared" si="83"/>
        <v>340.76000000000022</v>
      </c>
      <c r="P258" s="105">
        <f t="shared" si="83"/>
        <v>338.5</v>
      </c>
      <c r="Q258" s="105">
        <f t="shared" si="83"/>
        <v>340.40000000000009</v>
      </c>
      <c r="R258" s="322"/>
      <c r="S258" s="322"/>
      <c r="T258" s="325"/>
      <c r="U258" s="325"/>
      <c r="V258" s="327"/>
      <c r="W258" s="316"/>
      <c r="X258" s="319"/>
      <c r="Y258" s="225"/>
      <c r="Z258" s="221"/>
      <c r="AA258" s="102"/>
      <c r="AB258" s="102"/>
      <c r="AC258" s="102"/>
      <c r="AD258" s="102"/>
      <c r="AE258" s="106"/>
      <c r="AF258" s="102"/>
    </row>
    <row r="259" spans="1:32" ht="15.55" x14ac:dyDescent="0.25">
      <c r="A259" s="269">
        <v>43404</v>
      </c>
      <c r="B259" s="99" t="s">
        <v>235</v>
      </c>
      <c r="C259" s="99" t="s">
        <v>232</v>
      </c>
      <c r="D259" s="100" t="s">
        <v>186</v>
      </c>
      <c r="E259" s="10">
        <v>2519.83</v>
      </c>
      <c r="F259" s="10">
        <v>2514</v>
      </c>
      <c r="G259" s="10">
        <v>2512.9499999999998</v>
      </c>
      <c r="H259" s="10">
        <v>2523.17</v>
      </c>
      <c r="I259" s="10">
        <v>2555.6999999999998</v>
      </c>
      <c r="J259" s="10">
        <v>2583.0100000000002</v>
      </c>
      <c r="K259" s="10">
        <v>2530.0500000000002</v>
      </c>
      <c r="L259" s="10">
        <v>2516.84</v>
      </c>
      <c r="M259" s="10">
        <v>2523.75</v>
      </c>
      <c r="N259" s="10">
        <v>2528.67</v>
      </c>
      <c r="O259" s="10">
        <v>2517.2199999999998</v>
      </c>
      <c r="P259" s="10">
        <v>2542.96</v>
      </c>
      <c r="Q259" s="10">
        <v>2514</v>
      </c>
      <c r="R259" s="320">
        <f>IF((Q260=""),"",MAX(E261:Q261))</f>
        <v>422.5300000000002</v>
      </c>
      <c r="S259" s="320">
        <f>IF(Q260="","",MIN(E261:Q261))</f>
        <v>387.08000000000038</v>
      </c>
      <c r="T259" s="323">
        <f>IF((Q261=""),"",AVERAGE(E261:Q261))</f>
        <v>397.41384615384607</v>
      </c>
      <c r="U259" s="323">
        <f>IF((Q260=""),"",(R259-S259)/(R259+S259)*100)</f>
        <v>4.3786514494632964</v>
      </c>
      <c r="V259" s="323">
        <f>STDEV(E261:Q261)</f>
        <v>9.9050782753609141</v>
      </c>
      <c r="W259" s="314" t="str">
        <f>IF(Q260="","",IF(T259&gt;300,IF(U259&lt;14,IF(T259&lt;390,"Pass","Fail"),"Fail"),"Fail"))</f>
        <v>Fail</v>
      </c>
      <c r="X259" s="317">
        <v>64</v>
      </c>
      <c r="Y259" s="328"/>
      <c r="Z259" s="221"/>
      <c r="AA259" s="102">
        <v>270</v>
      </c>
      <c r="AB259" s="102">
        <v>370</v>
      </c>
      <c r="AC259" s="102">
        <v>300</v>
      </c>
      <c r="AD259" s="103">
        <v>390</v>
      </c>
      <c r="AE259" s="103">
        <v>20</v>
      </c>
      <c r="AF259" s="103">
        <v>14</v>
      </c>
    </row>
    <row r="260" spans="1:32" ht="16.100000000000001" x14ac:dyDescent="0.35">
      <c r="A260" s="263"/>
      <c r="B260" s="104"/>
      <c r="C260" s="104"/>
      <c r="D260" s="100" t="s">
        <v>187</v>
      </c>
      <c r="E260" s="10">
        <v>2124.21</v>
      </c>
      <c r="F260" s="10">
        <v>2118.71</v>
      </c>
      <c r="G260" s="10">
        <v>2121.96</v>
      </c>
      <c r="H260" s="10">
        <v>2131.23</v>
      </c>
      <c r="I260" s="10">
        <v>2149.6999999999998</v>
      </c>
      <c r="J260" s="10">
        <v>2160.48</v>
      </c>
      <c r="K260" s="10">
        <v>2142.9699999999998</v>
      </c>
      <c r="L260" s="10">
        <v>2115.11</v>
      </c>
      <c r="M260" s="10">
        <v>2115.9899999999998</v>
      </c>
      <c r="N260" s="10">
        <v>2138.25</v>
      </c>
      <c r="O260" s="10">
        <v>2125.83</v>
      </c>
      <c r="P260" s="10">
        <v>2154.2600000000002</v>
      </c>
      <c r="Q260" s="10">
        <v>2117.0700000000002</v>
      </c>
      <c r="R260" s="321"/>
      <c r="S260" s="321"/>
      <c r="T260" s="324"/>
      <c r="U260" s="324"/>
      <c r="V260" s="326"/>
      <c r="W260" s="315"/>
      <c r="X260" s="318"/>
      <c r="Y260" s="329"/>
      <c r="Z260" s="221"/>
      <c r="AA260" s="102"/>
      <c r="AB260" s="102"/>
      <c r="AC260" s="102"/>
      <c r="AD260" s="103"/>
      <c r="AE260" s="103"/>
      <c r="AF260" s="103"/>
    </row>
    <row r="261" spans="1:32" ht="31.05" x14ac:dyDescent="0.35">
      <c r="A261" s="263"/>
      <c r="B261" s="99"/>
      <c r="C261" s="99"/>
      <c r="D261" s="100" t="s">
        <v>188</v>
      </c>
      <c r="E261" s="105">
        <f t="shared" ref="E261:Q261" si="84">IF(((E259="")*AND(E260="")),"",(E259-E260))</f>
        <v>395.61999999999989</v>
      </c>
      <c r="F261" s="105">
        <f t="shared" si="84"/>
        <v>395.28999999999996</v>
      </c>
      <c r="G261" s="105">
        <f t="shared" si="84"/>
        <v>390.98999999999978</v>
      </c>
      <c r="H261" s="105">
        <f t="shared" si="84"/>
        <v>391.94000000000005</v>
      </c>
      <c r="I261" s="105">
        <f t="shared" si="84"/>
        <v>406</v>
      </c>
      <c r="J261" s="105">
        <f t="shared" si="84"/>
        <v>422.5300000000002</v>
      </c>
      <c r="K261" s="105">
        <f t="shared" si="84"/>
        <v>387.08000000000038</v>
      </c>
      <c r="L261" s="105">
        <f t="shared" si="84"/>
        <v>401.73</v>
      </c>
      <c r="M261" s="105">
        <f t="shared" si="84"/>
        <v>407.76000000000022</v>
      </c>
      <c r="N261" s="105">
        <f t="shared" si="84"/>
        <v>390.42000000000007</v>
      </c>
      <c r="O261" s="105">
        <f t="shared" si="84"/>
        <v>391.38999999999987</v>
      </c>
      <c r="P261" s="105">
        <f t="shared" si="84"/>
        <v>388.69999999999982</v>
      </c>
      <c r="Q261" s="105">
        <f t="shared" si="84"/>
        <v>396.92999999999984</v>
      </c>
      <c r="R261" s="322"/>
      <c r="S261" s="322"/>
      <c r="T261" s="325"/>
      <c r="U261" s="325"/>
      <c r="V261" s="327"/>
      <c r="W261" s="316"/>
      <c r="X261" s="319"/>
      <c r="Y261" s="330"/>
      <c r="Z261" s="221"/>
      <c r="AA261" s="102"/>
      <c r="AB261" s="102"/>
      <c r="AC261" s="102"/>
      <c r="AD261" s="102"/>
      <c r="AE261" s="106"/>
      <c r="AF261" s="102"/>
    </row>
    <row r="262" spans="1:32" ht="15.55" x14ac:dyDescent="0.25">
      <c r="A262" s="264">
        <v>43404</v>
      </c>
      <c r="B262" s="99" t="s">
        <v>235</v>
      </c>
      <c r="C262" s="99" t="s">
        <v>232</v>
      </c>
      <c r="D262" s="100" t="s">
        <v>186</v>
      </c>
      <c r="E262" s="10">
        <v>2913.88</v>
      </c>
      <c r="F262" s="10">
        <v>2853.87</v>
      </c>
      <c r="G262" s="10">
        <v>2847.6</v>
      </c>
      <c r="H262" s="10">
        <v>2862.61</v>
      </c>
      <c r="I262" s="10">
        <v>2947.7</v>
      </c>
      <c r="J262" s="10">
        <v>2972.33</v>
      </c>
      <c r="K262" s="10">
        <v>2864.31</v>
      </c>
      <c r="L262" s="10">
        <v>2853.08</v>
      </c>
      <c r="M262" s="10">
        <v>2913.66</v>
      </c>
      <c r="N262" s="10">
        <v>2868.29</v>
      </c>
      <c r="O262" s="10">
        <v>2860.98</v>
      </c>
      <c r="P262" s="10">
        <v>2879.04</v>
      </c>
      <c r="Q262" s="10">
        <v>2856.77</v>
      </c>
      <c r="R262" s="320">
        <f>IF((Q263=""),"",MAX(E264:Q264))</f>
        <v>392.75</v>
      </c>
      <c r="S262" s="320">
        <f>IF(Q263="","",MIN(E264:Q264))</f>
        <v>334.11999999999989</v>
      </c>
      <c r="T262" s="323">
        <f>IF((Q264=""),"",AVERAGE(E264:Q264))</f>
        <v>354.87615384615378</v>
      </c>
      <c r="U262" s="323">
        <f>IF((Q263=""),"",(R262-S262)/(R262+S262)*100)</f>
        <v>8.0660915982225312</v>
      </c>
      <c r="V262" s="323">
        <f>STDEV(E264:Q264)</f>
        <v>24.868508043461183</v>
      </c>
      <c r="W262" s="314" t="str">
        <f>IF(Q263="","",IF(T262&gt;300,IF(U262&lt;14,IF(T262&lt;390,"Pass","Fail"),"Fail"),"Fail"))</f>
        <v>Pass</v>
      </c>
      <c r="X262" s="317">
        <v>64</v>
      </c>
      <c r="Y262" s="328"/>
      <c r="Z262" s="221"/>
      <c r="AA262" s="102">
        <v>270</v>
      </c>
      <c r="AB262" s="102">
        <v>370</v>
      </c>
      <c r="AC262" s="102">
        <v>300</v>
      </c>
      <c r="AD262" s="103">
        <v>390</v>
      </c>
      <c r="AE262" s="103">
        <v>20</v>
      </c>
      <c r="AF262" s="103">
        <v>14</v>
      </c>
    </row>
    <row r="263" spans="1:32" ht="16.100000000000001" x14ac:dyDescent="0.35">
      <c r="A263" s="263"/>
      <c r="B263" s="104"/>
      <c r="C263" s="104"/>
      <c r="D263" s="100" t="s">
        <v>187</v>
      </c>
      <c r="E263" s="10">
        <v>2523.35</v>
      </c>
      <c r="F263" s="10">
        <v>2515.33</v>
      </c>
      <c r="G263" s="10">
        <v>2513.36</v>
      </c>
      <c r="H263" s="10">
        <v>2524.2399999999998</v>
      </c>
      <c r="I263" s="10">
        <v>2557.75</v>
      </c>
      <c r="J263" s="10">
        <v>2583.91</v>
      </c>
      <c r="K263" s="10">
        <v>2530.19</v>
      </c>
      <c r="L263" s="10">
        <v>2513.42</v>
      </c>
      <c r="M263" s="10">
        <v>2520.91</v>
      </c>
      <c r="N263" s="10">
        <v>2526.35</v>
      </c>
      <c r="O263" s="10">
        <v>2516.15</v>
      </c>
      <c r="P263" s="10">
        <v>2542.42</v>
      </c>
      <c r="Q263" s="10">
        <v>2513.35</v>
      </c>
      <c r="R263" s="321"/>
      <c r="S263" s="321"/>
      <c r="T263" s="324"/>
      <c r="U263" s="324"/>
      <c r="V263" s="326"/>
      <c r="W263" s="315"/>
      <c r="X263" s="318"/>
      <c r="Y263" s="329"/>
      <c r="Z263" s="221"/>
      <c r="AA263" s="102"/>
      <c r="AB263" s="102"/>
      <c r="AC263" s="102"/>
      <c r="AD263" s="103"/>
      <c r="AE263" s="103"/>
      <c r="AF263" s="103"/>
    </row>
    <row r="264" spans="1:32" ht="31.05" x14ac:dyDescent="0.35">
      <c r="A264" s="263"/>
      <c r="B264" s="99"/>
      <c r="C264" s="99"/>
      <c r="D264" s="100" t="s">
        <v>188</v>
      </c>
      <c r="E264" s="105">
        <f t="shared" ref="E264:Q264" si="85">IF(((E262="")*AND(E263="")),"",(E262-E263))</f>
        <v>390.5300000000002</v>
      </c>
      <c r="F264" s="105">
        <f t="shared" si="85"/>
        <v>338.53999999999996</v>
      </c>
      <c r="G264" s="105">
        <f t="shared" si="85"/>
        <v>334.23999999999978</v>
      </c>
      <c r="H264" s="105">
        <f t="shared" si="85"/>
        <v>338.37000000000035</v>
      </c>
      <c r="I264" s="105">
        <f t="shared" si="85"/>
        <v>389.94999999999982</v>
      </c>
      <c r="J264" s="105">
        <f t="shared" si="85"/>
        <v>388.42000000000007</v>
      </c>
      <c r="K264" s="105">
        <f t="shared" si="85"/>
        <v>334.11999999999989</v>
      </c>
      <c r="L264" s="105">
        <f t="shared" si="85"/>
        <v>339.65999999999985</v>
      </c>
      <c r="M264" s="105">
        <f t="shared" si="85"/>
        <v>392.75</v>
      </c>
      <c r="N264" s="105">
        <f t="shared" si="85"/>
        <v>341.94000000000005</v>
      </c>
      <c r="O264" s="105">
        <f t="shared" si="85"/>
        <v>344.82999999999993</v>
      </c>
      <c r="P264" s="105">
        <f t="shared" si="85"/>
        <v>336.61999999999989</v>
      </c>
      <c r="Q264" s="105">
        <f t="shared" si="85"/>
        <v>343.42000000000007</v>
      </c>
      <c r="R264" s="322"/>
      <c r="S264" s="322"/>
      <c r="T264" s="325"/>
      <c r="U264" s="325"/>
      <c r="V264" s="327"/>
      <c r="W264" s="316"/>
      <c r="X264" s="319"/>
      <c r="Y264" s="330"/>
      <c r="Z264" s="221"/>
      <c r="AA264" s="102"/>
      <c r="AB264" s="102"/>
      <c r="AC264" s="102"/>
      <c r="AD264" s="102"/>
      <c r="AE264" s="106"/>
      <c r="AF264" s="102"/>
    </row>
    <row r="265" spans="1:32" ht="15.55" x14ac:dyDescent="0.25">
      <c r="A265" s="264">
        <v>43408</v>
      </c>
      <c r="B265" s="99" t="s">
        <v>235</v>
      </c>
      <c r="C265" s="99" t="s">
        <v>232</v>
      </c>
      <c r="D265" s="100" t="s">
        <v>186</v>
      </c>
      <c r="E265" s="10">
        <v>2111.13</v>
      </c>
      <c r="F265" s="10">
        <v>2110.79</v>
      </c>
      <c r="G265" s="10">
        <v>2118.56</v>
      </c>
      <c r="H265" s="10">
        <v>2119.65</v>
      </c>
      <c r="I265" s="10">
        <v>2139.46</v>
      </c>
      <c r="J265" s="10">
        <v>2150.88</v>
      </c>
      <c r="K265" s="10">
        <v>2130.2600000000002</v>
      </c>
      <c r="L265" s="10">
        <v>2107.63</v>
      </c>
      <c r="M265" s="10">
        <v>2104.12</v>
      </c>
      <c r="N265" s="10">
        <v>2133.08</v>
      </c>
      <c r="O265" s="10">
        <v>2125.9499999999998</v>
      </c>
      <c r="P265" s="10">
        <v>2183.06</v>
      </c>
      <c r="Q265" s="10">
        <v>2103.11</v>
      </c>
      <c r="R265" s="320">
        <f>IF((Q266=""),"",MAX(E267:Q267))</f>
        <v>389.49</v>
      </c>
      <c r="S265" s="320">
        <f>IF(Q266="","",MIN(E267:Q267))</f>
        <v>294.26</v>
      </c>
      <c r="T265" s="323">
        <f>IF((Q267=""),"",AVERAGE(E267:Q267))</f>
        <v>340.5992307692307</v>
      </c>
      <c r="U265" s="323">
        <f>IF((Q266=""),"",(R265-S265)/(R265+S265)*100)</f>
        <v>13.927605118829984</v>
      </c>
      <c r="V265" s="323">
        <f>STDEV(E267:Q267)</f>
        <v>37.184360391061915</v>
      </c>
      <c r="W265" s="314" t="str">
        <f>IF(Q266="","",IF(T265&gt;300,IF(U265&lt;14,IF(T265&lt;390,"Pass","Fail"),"Fail"),"Fail"))</f>
        <v>Pass</v>
      </c>
      <c r="X265" s="317">
        <v>121</v>
      </c>
      <c r="Y265" s="227" t="s">
        <v>213</v>
      </c>
      <c r="Z265" s="221"/>
      <c r="AA265" s="102">
        <v>270</v>
      </c>
      <c r="AB265" s="102">
        <v>370</v>
      </c>
      <c r="AC265" s="102">
        <v>300</v>
      </c>
      <c r="AD265" s="103">
        <v>390</v>
      </c>
      <c r="AE265" s="103">
        <v>20</v>
      </c>
      <c r="AF265" s="103">
        <v>14</v>
      </c>
    </row>
    <row r="266" spans="1:32" ht="16.100000000000001" x14ac:dyDescent="0.35">
      <c r="A266" s="263"/>
      <c r="B266" s="104"/>
      <c r="C266" s="104"/>
      <c r="D266" s="100" t="s">
        <v>187</v>
      </c>
      <c r="E266" s="10">
        <v>1722.6</v>
      </c>
      <c r="F266" s="10">
        <v>1809.16</v>
      </c>
      <c r="G266" s="10">
        <v>1824.3</v>
      </c>
      <c r="H266" s="10">
        <v>1819.83</v>
      </c>
      <c r="I266" s="10">
        <v>1749.97</v>
      </c>
      <c r="J266" s="10">
        <v>1788.9</v>
      </c>
      <c r="K266" s="10">
        <v>1749.87</v>
      </c>
      <c r="L266" s="10">
        <v>1793.59</v>
      </c>
      <c r="M266" s="10">
        <v>1720.03</v>
      </c>
      <c r="N266" s="10">
        <v>1809.64</v>
      </c>
      <c r="O266" s="10">
        <v>1806.09</v>
      </c>
      <c r="P266" s="10">
        <v>1823.91</v>
      </c>
      <c r="Q266" s="10">
        <v>1792</v>
      </c>
      <c r="R266" s="321"/>
      <c r="S266" s="321"/>
      <c r="T266" s="324"/>
      <c r="U266" s="324"/>
      <c r="V266" s="326"/>
      <c r="W266" s="315"/>
      <c r="X266" s="318"/>
      <c r="Y266" s="224"/>
      <c r="Z266" s="221"/>
      <c r="AA266" s="102"/>
      <c r="AB266" s="102"/>
      <c r="AC266" s="102"/>
      <c r="AD266" s="103"/>
      <c r="AE266" s="103"/>
      <c r="AF266" s="103"/>
    </row>
    <row r="267" spans="1:32" ht="31.05" x14ac:dyDescent="0.35">
      <c r="A267" s="263"/>
      <c r="B267" s="99"/>
      <c r="C267" s="99"/>
      <c r="D267" s="100" t="s">
        <v>188</v>
      </c>
      <c r="E267" s="105">
        <f t="shared" ref="E267:Q267" si="86">IF(((E265="")*AND(E266="")),"",(E265-E266))</f>
        <v>388.5300000000002</v>
      </c>
      <c r="F267" s="105">
        <f t="shared" si="86"/>
        <v>301.62999999999988</v>
      </c>
      <c r="G267" s="105">
        <f t="shared" si="86"/>
        <v>294.26</v>
      </c>
      <c r="H267" s="105">
        <f t="shared" si="86"/>
        <v>299.82000000000016</v>
      </c>
      <c r="I267" s="105">
        <f t="shared" si="86"/>
        <v>389.49</v>
      </c>
      <c r="J267" s="105">
        <f t="shared" si="86"/>
        <v>361.98</v>
      </c>
      <c r="K267" s="105">
        <f t="shared" si="86"/>
        <v>380.39000000000033</v>
      </c>
      <c r="L267" s="105">
        <f t="shared" si="86"/>
        <v>314.04000000000019</v>
      </c>
      <c r="M267" s="105">
        <f t="shared" si="86"/>
        <v>384.08999999999992</v>
      </c>
      <c r="N267" s="105">
        <f t="shared" si="86"/>
        <v>323.43999999999983</v>
      </c>
      <c r="O267" s="105">
        <f t="shared" si="86"/>
        <v>319.8599999999999</v>
      </c>
      <c r="P267" s="105">
        <f t="shared" si="86"/>
        <v>359.14999999999986</v>
      </c>
      <c r="Q267" s="105">
        <f t="shared" si="86"/>
        <v>311.11000000000013</v>
      </c>
      <c r="R267" s="322"/>
      <c r="S267" s="322"/>
      <c r="T267" s="325"/>
      <c r="U267" s="325"/>
      <c r="V267" s="327"/>
      <c r="W267" s="316"/>
      <c r="X267" s="319"/>
      <c r="Y267" s="225"/>
      <c r="Z267" s="221"/>
      <c r="AA267" s="102"/>
      <c r="AB267" s="102"/>
      <c r="AC267" s="102"/>
      <c r="AD267" s="102"/>
      <c r="AE267" s="106"/>
      <c r="AF267" s="102"/>
    </row>
    <row r="268" spans="1:32" ht="15.55" x14ac:dyDescent="0.25">
      <c r="A268" s="264">
        <v>43412</v>
      </c>
      <c r="B268" s="99" t="s">
        <v>235</v>
      </c>
      <c r="C268" s="99" t="s">
        <v>232</v>
      </c>
      <c r="D268" s="100" t="s">
        <v>186</v>
      </c>
      <c r="E268" s="10">
        <v>2916.75</v>
      </c>
      <c r="F268" s="10">
        <v>2819.14</v>
      </c>
      <c r="G268" s="10">
        <v>2803.27</v>
      </c>
      <c r="H268" s="10">
        <v>2810.7</v>
      </c>
      <c r="I268" s="10">
        <v>2890.8</v>
      </c>
      <c r="J268" s="10">
        <v>2873.86</v>
      </c>
      <c r="K268" s="10">
        <v>2805.27</v>
      </c>
      <c r="L268" s="10">
        <v>2827.59</v>
      </c>
      <c r="M268" s="10">
        <v>2953.25</v>
      </c>
      <c r="N268" s="10">
        <v>2813.94</v>
      </c>
      <c r="O268" s="10">
        <v>2831.25</v>
      </c>
      <c r="P268" s="10">
        <v>2810.28</v>
      </c>
      <c r="Q268" s="10">
        <v>2847.35</v>
      </c>
      <c r="R268" s="320">
        <f>IF((Q269=""),"",MAX(E270:Q270))</f>
        <v>377.7800000000002</v>
      </c>
      <c r="S268" s="320">
        <f>IF(Q269="","",MIN(E270:Q270))</f>
        <v>331.42000000000007</v>
      </c>
      <c r="T268" s="323">
        <f>IF((Q270=""),"",AVERAGE(E270:Q270))</f>
        <v>349.14230769230778</v>
      </c>
      <c r="U268" s="323">
        <f>IF((Q269=""),"",(R268-S268)/(R268+S268)*100)</f>
        <v>6.5369430344049784</v>
      </c>
      <c r="V268" s="323">
        <f>STDEV(E270:Q270)</f>
        <v>18.704226418043536</v>
      </c>
      <c r="W268" s="314" t="str">
        <f>IF(Q269="","",IF(T268&gt;300,IF(U268&lt;14,IF(T268&lt;390,"Pass","Fail"),"Fail"),"Fail"))</f>
        <v>Pass</v>
      </c>
      <c r="X268" s="317">
        <v>1335</v>
      </c>
      <c r="Y268" s="328"/>
      <c r="Z268" s="221"/>
      <c r="AA268" s="102">
        <v>270</v>
      </c>
      <c r="AB268" s="102">
        <v>370</v>
      </c>
      <c r="AC268" s="102">
        <v>300</v>
      </c>
      <c r="AD268" s="103">
        <v>390</v>
      </c>
      <c r="AE268" s="103">
        <v>20</v>
      </c>
      <c r="AF268" s="103">
        <v>14</v>
      </c>
    </row>
    <row r="269" spans="1:32" ht="16.100000000000001" x14ac:dyDescent="0.35">
      <c r="A269" s="263"/>
      <c r="B269" s="104"/>
      <c r="C269" s="104"/>
      <c r="D269" s="100" t="s">
        <v>187</v>
      </c>
      <c r="E269" s="10">
        <v>2539</v>
      </c>
      <c r="F269" s="10">
        <v>2481.16</v>
      </c>
      <c r="G269" s="10">
        <v>2471.69</v>
      </c>
      <c r="H269" s="10">
        <v>2475.73</v>
      </c>
      <c r="I269" s="10">
        <v>2514.91</v>
      </c>
      <c r="J269" s="10">
        <v>2503.5500000000002</v>
      </c>
      <c r="K269" s="10">
        <v>2468.27</v>
      </c>
      <c r="L269" s="10">
        <v>2490.5</v>
      </c>
      <c r="M269" s="10">
        <v>2575.4699999999998</v>
      </c>
      <c r="N269" s="10">
        <v>2474.37</v>
      </c>
      <c r="O269" s="10">
        <v>2489.1999999999998</v>
      </c>
      <c r="P269" s="10">
        <v>2478.86</v>
      </c>
      <c r="Q269" s="10">
        <v>2501.89</v>
      </c>
      <c r="R269" s="321"/>
      <c r="S269" s="321"/>
      <c r="T269" s="324"/>
      <c r="U269" s="324"/>
      <c r="V269" s="326"/>
      <c r="W269" s="315"/>
      <c r="X269" s="318"/>
      <c r="Y269" s="329"/>
      <c r="Z269" s="221"/>
      <c r="AA269" s="102"/>
      <c r="AB269" s="102"/>
      <c r="AC269" s="102"/>
      <c r="AD269" s="103"/>
      <c r="AE269" s="103"/>
      <c r="AF269" s="103"/>
    </row>
    <row r="270" spans="1:32" ht="31.05" x14ac:dyDescent="0.35">
      <c r="A270" s="263"/>
      <c r="B270" s="99"/>
      <c r="C270" s="99"/>
      <c r="D270" s="100" t="s">
        <v>188</v>
      </c>
      <c r="E270" s="105">
        <f t="shared" ref="E270:Q270" si="87">IF(((E268="")*AND(E269="")),"",(E268-E269))</f>
        <v>377.75</v>
      </c>
      <c r="F270" s="105">
        <f t="shared" si="87"/>
        <v>337.98</v>
      </c>
      <c r="G270" s="105">
        <f t="shared" si="87"/>
        <v>331.57999999999993</v>
      </c>
      <c r="H270" s="105">
        <f t="shared" si="87"/>
        <v>334.9699999999998</v>
      </c>
      <c r="I270" s="105">
        <f t="shared" si="87"/>
        <v>375.89000000000033</v>
      </c>
      <c r="J270" s="105">
        <f t="shared" si="87"/>
        <v>370.30999999999995</v>
      </c>
      <c r="K270" s="105">
        <f t="shared" si="87"/>
        <v>337</v>
      </c>
      <c r="L270" s="105">
        <f t="shared" si="87"/>
        <v>337.09000000000015</v>
      </c>
      <c r="M270" s="105">
        <f t="shared" si="87"/>
        <v>377.7800000000002</v>
      </c>
      <c r="N270" s="105">
        <f t="shared" si="87"/>
        <v>339.57000000000016</v>
      </c>
      <c r="O270" s="105">
        <f t="shared" si="87"/>
        <v>342.05000000000018</v>
      </c>
      <c r="P270" s="105">
        <f t="shared" si="87"/>
        <v>331.42000000000007</v>
      </c>
      <c r="Q270" s="105">
        <f t="shared" si="87"/>
        <v>345.46000000000004</v>
      </c>
      <c r="R270" s="322"/>
      <c r="S270" s="322"/>
      <c r="T270" s="325"/>
      <c r="U270" s="325"/>
      <c r="V270" s="327"/>
      <c r="W270" s="316"/>
      <c r="X270" s="319"/>
      <c r="Y270" s="330"/>
      <c r="Z270" s="221"/>
      <c r="AA270" s="102"/>
      <c r="AB270" s="102"/>
      <c r="AC270" s="102"/>
      <c r="AD270" s="102"/>
      <c r="AE270" s="106"/>
      <c r="AF270" s="102"/>
    </row>
    <row r="271" spans="1:32" ht="15.55" x14ac:dyDescent="0.25">
      <c r="A271" s="264">
        <v>43416</v>
      </c>
      <c r="B271" s="99" t="s">
        <v>235</v>
      </c>
      <c r="C271" s="99" t="s">
        <v>232</v>
      </c>
      <c r="D271" s="100" t="s">
        <v>186</v>
      </c>
      <c r="E271" s="10">
        <v>2539</v>
      </c>
      <c r="F271" s="10">
        <v>2481.16</v>
      </c>
      <c r="G271" s="10">
        <v>2471.69</v>
      </c>
      <c r="H271" s="10">
        <v>2475.73</v>
      </c>
      <c r="I271" s="10">
        <v>2514.91</v>
      </c>
      <c r="J271" s="10">
        <v>2503.5500000000002</v>
      </c>
      <c r="K271" s="10">
        <v>2468.27</v>
      </c>
      <c r="L271" s="10">
        <v>2490.5</v>
      </c>
      <c r="M271" s="10">
        <v>2575.4699999999998</v>
      </c>
      <c r="N271" s="10">
        <v>2474.37</v>
      </c>
      <c r="O271" s="10">
        <v>2489.1999999999998</v>
      </c>
      <c r="P271" s="10">
        <v>2478.86</v>
      </c>
      <c r="Q271" s="10">
        <v>2501.89</v>
      </c>
      <c r="R271" s="320">
        <f>IF((Q272=""),"",MAX(E273:Q273))</f>
        <v>424.15999999999985</v>
      </c>
      <c r="S271" s="320">
        <f>IF(Q272="","",MIN(E273:Q273))</f>
        <v>331.2199999999998</v>
      </c>
      <c r="T271" s="323">
        <f>IF((Q273=""),"",AVERAGE(E273:Q273))</f>
        <v>365.59307692307686</v>
      </c>
      <c r="U271" s="323">
        <f>IF((Q272=""),"",(R271-S271)/(R271+S271)*100)</f>
        <v>12.303741163387977</v>
      </c>
      <c r="V271" s="323">
        <f>STDEV(E273:Q273)</f>
        <v>28.275412577188934</v>
      </c>
      <c r="W271" s="314" t="str">
        <f>IF(Q272="","",IF(T271&gt;300,IF(U271&lt;14,IF(T271&lt;390,"Pass","Fail"),"Fail"),"Fail"))</f>
        <v>Pass</v>
      </c>
      <c r="X271" s="317">
        <v>121</v>
      </c>
      <c r="Y271" s="227" t="s">
        <v>215</v>
      </c>
      <c r="Z271" s="221"/>
      <c r="AA271" s="102">
        <v>270</v>
      </c>
      <c r="AB271" s="102">
        <v>370</v>
      </c>
      <c r="AC271" s="102">
        <v>300</v>
      </c>
      <c r="AD271" s="103">
        <v>390</v>
      </c>
      <c r="AE271" s="103">
        <v>20</v>
      </c>
      <c r="AF271" s="103">
        <v>14</v>
      </c>
    </row>
    <row r="272" spans="1:32" ht="16.100000000000001" x14ac:dyDescent="0.35">
      <c r="A272" s="263"/>
      <c r="B272" s="104"/>
      <c r="C272" s="104"/>
      <c r="D272" s="100" t="s">
        <v>187</v>
      </c>
      <c r="E272" s="10">
        <v>2122.5</v>
      </c>
      <c r="F272" s="10">
        <v>2118.37</v>
      </c>
      <c r="G272" s="10">
        <v>2124.2199999999998</v>
      </c>
      <c r="H272" s="10">
        <v>2127.6</v>
      </c>
      <c r="I272" s="10">
        <v>2150.2199999999998</v>
      </c>
      <c r="J272" s="10">
        <v>2153.5</v>
      </c>
      <c r="K272" s="10">
        <v>2137.0500000000002</v>
      </c>
      <c r="L272" s="10">
        <v>2121.11</v>
      </c>
      <c r="M272" s="10">
        <v>2151.31</v>
      </c>
      <c r="N272" s="10">
        <v>2122.9299999999998</v>
      </c>
      <c r="O272" s="10">
        <v>2128.69</v>
      </c>
      <c r="P272" s="10">
        <v>2140.73</v>
      </c>
      <c r="Q272" s="10">
        <v>2113.66</v>
      </c>
      <c r="R272" s="321"/>
      <c r="S272" s="321"/>
      <c r="T272" s="324"/>
      <c r="U272" s="324"/>
      <c r="V272" s="326"/>
      <c r="W272" s="315"/>
      <c r="X272" s="318"/>
      <c r="Y272" s="224"/>
      <c r="Z272" s="221"/>
      <c r="AA272" s="102"/>
      <c r="AB272" s="102"/>
      <c r="AC272" s="102"/>
      <c r="AD272" s="103"/>
      <c r="AE272" s="103"/>
      <c r="AF272" s="103"/>
    </row>
    <row r="273" spans="1:32" ht="31.05" x14ac:dyDescent="0.35">
      <c r="A273" s="263"/>
      <c r="B273" s="99"/>
      <c r="C273" s="99"/>
      <c r="D273" s="100" t="s">
        <v>188</v>
      </c>
      <c r="E273" s="105">
        <f t="shared" ref="E273:Q273" si="88">IF(((E271="")*AND(E272="")),"",(E271-E272))</f>
        <v>416.5</v>
      </c>
      <c r="F273" s="105">
        <f t="shared" si="88"/>
        <v>362.78999999999996</v>
      </c>
      <c r="G273" s="105">
        <f t="shared" si="88"/>
        <v>347.47000000000025</v>
      </c>
      <c r="H273" s="105">
        <f t="shared" si="88"/>
        <v>348.13000000000011</v>
      </c>
      <c r="I273" s="105">
        <f t="shared" si="88"/>
        <v>364.69000000000005</v>
      </c>
      <c r="J273" s="105">
        <f t="shared" si="88"/>
        <v>350.05000000000018</v>
      </c>
      <c r="K273" s="105">
        <f t="shared" si="88"/>
        <v>331.2199999999998</v>
      </c>
      <c r="L273" s="105">
        <f t="shared" si="88"/>
        <v>369.38999999999987</v>
      </c>
      <c r="M273" s="105">
        <f t="shared" si="88"/>
        <v>424.15999999999985</v>
      </c>
      <c r="N273" s="105">
        <f t="shared" si="88"/>
        <v>351.44000000000005</v>
      </c>
      <c r="O273" s="105">
        <f t="shared" si="88"/>
        <v>360.50999999999976</v>
      </c>
      <c r="P273" s="105">
        <f t="shared" si="88"/>
        <v>338.13000000000011</v>
      </c>
      <c r="Q273" s="105">
        <f t="shared" si="88"/>
        <v>388.23</v>
      </c>
      <c r="R273" s="322"/>
      <c r="S273" s="322"/>
      <c r="T273" s="325"/>
      <c r="U273" s="325"/>
      <c r="V273" s="327"/>
      <c r="W273" s="316"/>
      <c r="X273" s="319"/>
      <c r="Y273" s="225"/>
      <c r="Z273" s="221"/>
      <c r="AA273" s="102"/>
      <c r="AB273" s="102"/>
      <c r="AC273" s="102"/>
      <c r="AD273" s="102"/>
      <c r="AE273" s="106"/>
      <c r="AF273" s="102"/>
    </row>
    <row r="274" spans="1:32" ht="15.55" x14ac:dyDescent="0.25">
      <c r="A274" s="264">
        <v>43424</v>
      </c>
      <c r="B274" s="99" t="s">
        <v>235</v>
      </c>
      <c r="C274" s="99" t="s">
        <v>232</v>
      </c>
      <c r="D274" s="100" t="s">
        <v>186</v>
      </c>
      <c r="E274" s="10">
        <v>2108.5100000000002</v>
      </c>
      <c r="F274" s="10">
        <v>2106.9299999999998</v>
      </c>
      <c r="G274" s="10">
        <v>2097.7199999999998</v>
      </c>
      <c r="H274" s="10">
        <v>2116.19</v>
      </c>
      <c r="I274" s="10">
        <v>2138.6799999999998</v>
      </c>
      <c r="J274" s="10">
        <v>2144.0300000000002</v>
      </c>
      <c r="K274" s="10">
        <v>2121.34</v>
      </c>
      <c r="L274" s="10">
        <v>2105.5</v>
      </c>
      <c r="M274" s="10">
        <v>2143.35</v>
      </c>
      <c r="N274" s="10">
        <v>2106.79</v>
      </c>
      <c r="O274" s="10">
        <v>2122.0500000000002</v>
      </c>
      <c r="P274" s="10">
        <v>2123.1799999999998</v>
      </c>
      <c r="Q274" s="10">
        <v>2089.48</v>
      </c>
      <c r="R274" s="320">
        <f>IF((Q275=""),"",MAX(E276:Q276))</f>
        <v>404.41000000000031</v>
      </c>
      <c r="S274" s="320">
        <f>IF(Q275="","",MIN(E276:Q276))</f>
        <v>306.08999999999992</v>
      </c>
      <c r="T274" s="323">
        <f>IF((Q276=""),"",AVERAGE(E276:Q276))</f>
        <v>347.6438461538462</v>
      </c>
      <c r="U274" s="323">
        <f>IF((Q275=""),"",(R274-S274)/(R274+S274)*100)</f>
        <v>13.838142153413141</v>
      </c>
      <c r="V274" s="323">
        <f>STDEV(E276:Q276)</f>
        <v>27.414085047186251</v>
      </c>
      <c r="W274" s="314" t="str">
        <f>IF(Q275="","",IF(T274&gt;300,IF(U274&lt;14,IF(T274&lt;390,"Pass","Fail"),"Fail"),"Fail"))</f>
        <v>Pass</v>
      </c>
      <c r="X274" s="317">
        <v>121</v>
      </c>
      <c r="Y274" s="227" t="s">
        <v>216</v>
      </c>
      <c r="Z274" s="221"/>
      <c r="AA274" s="102">
        <v>270</v>
      </c>
      <c r="AB274" s="102">
        <v>370</v>
      </c>
      <c r="AC274" s="102">
        <v>300</v>
      </c>
      <c r="AD274" s="103">
        <v>390</v>
      </c>
      <c r="AE274" s="103">
        <v>20</v>
      </c>
      <c r="AF274" s="103">
        <v>14</v>
      </c>
    </row>
    <row r="275" spans="1:32" ht="16.100000000000001" x14ac:dyDescent="0.35">
      <c r="A275" s="263"/>
      <c r="B275" s="104"/>
      <c r="C275" s="104"/>
      <c r="D275" s="100" t="s">
        <v>187</v>
      </c>
      <c r="E275" s="10">
        <v>1758.75</v>
      </c>
      <c r="F275" s="10">
        <v>1783.12</v>
      </c>
      <c r="G275" s="10">
        <v>1765.68</v>
      </c>
      <c r="H275" s="10">
        <v>1769.92</v>
      </c>
      <c r="I275" s="10">
        <v>1741.67</v>
      </c>
      <c r="J275" s="10">
        <v>1739.62</v>
      </c>
      <c r="K275" s="10">
        <v>1775.87</v>
      </c>
      <c r="L275" s="10">
        <v>1744.71</v>
      </c>
      <c r="M275" s="10">
        <v>1791.59</v>
      </c>
      <c r="N275" s="10">
        <v>1775.08</v>
      </c>
      <c r="O275" s="10">
        <v>1792.05</v>
      </c>
      <c r="P275" s="10">
        <v>1782.93</v>
      </c>
      <c r="Q275" s="10">
        <v>1783.39</v>
      </c>
      <c r="R275" s="321"/>
      <c r="S275" s="321"/>
      <c r="T275" s="324"/>
      <c r="U275" s="324"/>
      <c r="V275" s="326"/>
      <c r="W275" s="315"/>
      <c r="X275" s="318"/>
      <c r="Y275" s="224"/>
      <c r="Z275" s="221"/>
      <c r="AA275" s="102"/>
      <c r="AB275" s="102"/>
      <c r="AC275" s="102"/>
      <c r="AD275" s="103"/>
      <c r="AE275" s="103"/>
      <c r="AF275" s="103"/>
    </row>
    <row r="276" spans="1:32" ht="31.05" x14ac:dyDescent="0.35">
      <c r="A276" s="263"/>
      <c r="B276" s="99"/>
      <c r="C276" s="99"/>
      <c r="D276" s="100" t="s">
        <v>188</v>
      </c>
      <c r="E276" s="105">
        <f t="shared" ref="E276:Q276" si="89">IF(((E274="")*AND(E275="")),"",(E274-E275))</f>
        <v>349.76000000000022</v>
      </c>
      <c r="F276" s="105">
        <f t="shared" si="89"/>
        <v>323.80999999999995</v>
      </c>
      <c r="G276" s="105">
        <f t="shared" si="89"/>
        <v>332.03999999999974</v>
      </c>
      <c r="H276" s="105">
        <f t="shared" si="89"/>
        <v>346.27</v>
      </c>
      <c r="I276" s="105">
        <f t="shared" si="89"/>
        <v>397.00999999999976</v>
      </c>
      <c r="J276" s="105">
        <f t="shared" si="89"/>
        <v>404.41000000000031</v>
      </c>
      <c r="K276" s="105">
        <f t="shared" si="89"/>
        <v>345.47000000000025</v>
      </c>
      <c r="L276" s="105">
        <f t="shared" si="89"/>
        <v>360.78999999999996</v>
      </c>
      <c r="M276" s="105">
        <f t="shared" si="89"/>
        <v>351.76</v>
      </c>
      <c r="N276" s="105">
        <f t="shared" si="89"/>
        <v>331.71000000000004</v>
      </c>
      <c r="O276" s="105">
        <f t="shared" si="89"/>
        <v>330.00000000000023</v>
      </c>
      <c r="P276" s="105">
        <f t="shared" si="89"/>
        <v>340.24999999999977</v>
      </c>
      <c r="Q276" s="105">
        <f t="shared" si="89"/>
        <v>306.08999999999992</v>
      </c>
      <c r="R276" s="322"/>
      <c r="S276" s="322"/>
      <c r="T276" s="325"/>
      <c r="U276" s="325"/>
      <c r="V276" s="327"/>
      <c r="W276" s="316"/>
      <c r="X276" s="319"/>
      <c r="Y276" s="225"/>
      <c r="Z276" s="221"/>
      <c r="AA276" s="102"/>
      <c r="AB276" s="102"/>
      <c r="AC276" s="102"/>
      <c r="AD276" s="102"/>
      <c r="AE276" s="106"/>
      <c r="AF276" s="102"/>
    </row>
    <row r="277" spans="1:32" ht="15.55" x14ac:dyDescent="0.25">
      <c r="A277" s="264">
        <v>43430</v>
      </c>
      <c r="B277" s="99" t="s">
        <v>235</v>
      </c>
      <c r="C277" s="99" t="s">
        <v>232</v>
      </c>
      <c r="D277" s="100" t="s">
        <v>186</v>
      </c>
      <c r="E277" s="10">
        <v>2901.55</v>
      </c>
      <c r="F277" s="10">
        <v>2850.62</v>
      </c>
      <c r="G277" s="10">
        <v>2848.22</v>
      </c>
      <c r="H277" s="10">
        <v>2866.25</v>
      </c>
      <c r="I277" s="10">
        <v>2969.03</v>
      </c>
      <c r="J277" s="10">
        <v>2901.39</v>
      </c>
      <c r="K277" s="10">
        <v>2849.89</v>
      </c>
      <c r="L277" s="10">
        <v>2864.58</v>
      </c>
      <c r="M277" s="10">
        <v>2964.78</v>
      </c>
      <c r="N277" s="10">
        <v>2852.2</v>
      </c>
      <c r="O277" s="10">
        <v>2885.96</v>
      </c>
      <c r="P277" s="10">
        <v>2864.27</v>
      </c>
      <c r="Q277" s="10">
        <v>2865.83</v>
      </c>
      <c r="R277" s="320">
        <f>IF((Q278=""),"",MAX(E279:Q279))</f>
        <v>381.40000000000009</v>
      </c>
      <c r="S277" s="320">
        <f>IF(Q278="","",MIN(E279:Q279))</f>
        <v>334.25</v>
      </c>
      <c r="T277" s="323">
        <f>IF((Q279=""),"",AVERAGE(E279:Q279))</f>
        <v>351.10846153846154</v>
      </c>
      <c r="U277" s="323">
        <f>IF((Q278=""),"",(R277-S277)/(R277+S277)*100)</f>
        <v>6.5884161252008786</v>
      </c>
      <c r="V277" s="323">
        <f>STDEV(E279:Q279)</f>
        <v>19.990716531327795</v>
      </c>
      <c r="W277" s="314" t="str">
        <f>IF(Q278="","",IF(T277&gt;300,IF(U277&lt;14,IF(T277&lt;390,"Pass","Fail"),"Fail"),"Fail"))</f>
        <v>Pass</v>
      </c>
      <c r="X277" s="317">
        <v>1340</v>
      </c>
      <c r="Y277" s="328"/>
      <c r="Z277" s="221"/>
      <c r="AA277" s="102">
        <v>270</v>
      </c>
      <c r="AB277" s="102">
        <v>370</v>
      </c>
      <c r="AC277" s="102">
        <v>300</v>
      </c>
      <c r="AD277" s="103">
        <v>390</v>
      </c>
      <c r="AE277" s="103">
        <v>20</v>
      </c>
      <c r="AF277" s="103">
        <v>14</v>
      </c>
    </row>
    <row r="278" spans="1:32" ht="16.100000000000001" x14ac:dyDescent="0.35">
      <c r="A278" s="263"/>
      <c r="B278" s="104"/>
      <c r="C278" s="104"/>
      <c r="D278" s="100" t="s">
        <v>187</v>
      </c>
      <c r="E278" s="10">
        <v>2520.37</v>
      </c>
      <c r="F278" s="10">
        <v>2511.02</v>
      </c>
      <c r="G278" s="10">
        <v>2513.9699999999998</v>
      </c>
      <c r="H278" s="10">
        <v>2528.5700000000002</v>
      </c>
      <c r="I278" s="10">
        <v>2587.63</v>
      </c>
      <c r="J278" s="10">
        <v>2522.83</v>
      </c>
      <c r="K278" s="10">
        <v>2514.35</v>
      </c>
      <c r="L278" s="10">
        <v>2528.77</v>
      </c>
      <c r="M278" s="10">
        <v>2587.1999999999998</v>
      </c>
      <c r="N278" s="10">
        <v>2512.13</v>
      </c>
      <c r="O278" s="10">
        <v>2545.88</v>
      </c>
      <c r="P278" s="10">
        <v>2525.31</v>
      </c>
      <c r="Q278" s="10">
        <v>2522.13</v>
      </c>
      <c r="R278" s="321"/>
      <c r="S278" s="321"/>
      <c r="T278" s="324"/>
      <c r="U278" s="324"/>
      <c r="V278" s="326"/>
      <c r="W278" s="315"/>
      <c r="X278" s="318"/>
      <c r="Y278" s="329"/>
      <c r="Z278" s="221"/>
      <c r="AA278" s="102"/>
      <c r="AB278" s="102"/>
      <c r="AC278" s="102"/>
      <c r="AD278" s="103"/>
      <c r="AE278" s="103"/>
      <c r="AF278" s="103"/>
    </row>
    <row r="279" spans="1:32" ht="31.05" x14ac:dyDescent="0.35">
      <c r="A279" s="263"/>
      <c r="B279" s="99"/>
      <c r="C279" s="99"/>
      <c r="D279" s="100" t="s">
        <v>188</v>
      </c>
      <c r="E279" s="105">
        <f t="shared" ref="E279:Q279" si="90">IF(((E277="")*AND(E278="")),"",(E277-E278))</f>
        <v>381.18000000000029</v>
      </c>
      <c r="F279" s="105">
        <f t="shared" si="90"/>
        <v>339.59999999999991</v>
      </c>
      <c r="G279" s="105">
        <f t="shared" si="90"/>
        <v>334.25</v>
      </c>
      <c r="H279" s="105">
        <f t="shared" si="90"/>
        <v>337.67999999999984</v>
      </c>
      <c r="I279" s="105">
        <f t="shared" si="90"/>
        <v>381.40000000000009</v>
      </c>
      <c r="J279" s="105">
        <f t="shared" si="90"/>
        <v>378.55999999999995</v>
      </c>
      <c r="K279" s="105">
        <f t="shared" si="90"/>
        <v>335.53999999999996</v>
      </c>
      <c r="L279" s="105">
        <f t="shared" si="90"/>
        <v>335.80999999999995</v>
      </c>
      <c r="M279" s="105">
        <f t="shared" si="90"/>
        <v>377.58000000000038</v>
      </c>
      <c r="N279" s="105">
        <f t="shared" si="90"/>
        <v>340.06999999999971</v>
      </c>
      <c r="O279" s="105">
        <f t="shared" si="90"/>
        <v>340.07999999999993</v>
      </c>
      <c r="P279" s="105">
        <f t="shared" si="90"/>
        <v>338.96000000000004</v>
      </c>
      <c r="Q279" s="105">
        <f t="shared" si="90"/>
        <v>343.69999999999982</v>
      </c>
      <c r="R279" s="322"/>
      <c r="S279" s="322"/>
      <c r="T279" s="325"/>
      <c r="U279" s="325"/>
      <c r="V279" s="327"/>
      <c r="W279" s="316"/>
      <c r="X279" s="319"/>
      <c r="Y279" s="330"/>
      <c r="Z279" s="221"/>
      <c r="AA279" s="102"/>
      <c r="AB279" s="102"/>
      <c r="AC279" s="102"/>
      <c r="AD279" s="102"/>
      <c r="AE279" s="106"/>
      <c r="AF279" s="102"/>
    </row>
    <row r="280" spans="1:32" ht="15.55" x14ac:dyDescent="0.25">
      <c r="A280" s="264">
        <v>43438</v>
      </c>
      <c r="B280" s="99" t="s">
        <v>235</v>
      </c>
      <c r="C280" s="99" t="s">
        <v>232</v>
      </c>
      <c r="D280" s="100" t="s">
        <v>186</v>
      </c>
      <c r="E280" s="10">
        <v>2520.73</v>
      </c>
      <c r="F280" s="10">
        <v>2512.75</v>
      </c>
      <c r="G280" s="10">
        <v>2513.67</v>
      </c>
      <c r="H280" s="10">
        <v>2530.17</v>
      </c>
      <c r="I280" s="10">
        <v>2590.42</v>
      </c>
      <c r="J280" s="10">
        <v>2524.0500000000002</v>
      </c>
      <c r="K280" s="10">
        <v>2516.15</v>
      </c>
      <c r="L280" s="10">
        <v>2524.9499999999998</v>
      </c>
      <c r="M280" s="10">
        <v>2590.4299999999998</v>
      </c>
      <c r="N280" s="10">
        <v>2511.33</v>
      </c>
      <c r="O280" s="10">
        <v>2540.13</v>
      </c>
      <c r="P280" s="10">
        <v>2527.0700000000002</v>
      </c>
      <c r="Q280" s="10">
        <v>2524.4</v>
      </c>
      <c r="R280" s="320">
        <f>IF((Q281=""),"",MAX(E282:Q282))</f>
        <v>415.61999999999989</v>
      </c>
      <c r="S280" s="320">
        <f>IF(Q281="","",MIN(E282:Q282))</f>
        <v>369.28999999999996</v>
      </c>
      <c r="T280" s="323">
        <f>IF((Q282=""),"",AVERAGE(E282:Q282))</f>
        <v>389.30615384615379</v>
      </c>
      <c r="U280" s="323">
        <f>IF((Q281=""),"",(R280-S280)/(R280+S280)*100)</f>
        <v>5.9025875578091673</v>
      </c>
      <c r="V280" s="323">
        <f>STDEV(E282:Q282)</f>
        <v>12.520960119243714</v>
      </c>
      <c r="W280" s="314" t="str">
        <f>IF(Q281="","",IF(T280&gt;300,IF(U280&lt;14,IF(T280&lt;390,"Pass","Fail"),"Fail"),"Fail"))</f>
        <v>Pass</v>
      </c>
      <c r="X280" s="317">
        <v>74</v>
      </c>
      <c r="Y280" s="328"/>
      <c r="Z280" s="221"/>
      <c r="AA280" s="102">
        <v>270</v>
      </c>
      <c r="AB280" s="102">
        <v>370</v>
      </c>
      <c r="AC280" s="102">
        <v>300</v>
      </c>
      <c r="AD280" s="103">
        <v>390</v>
      </c>
      <c r="AE280" s="103">
        <v>20</v>
      </c>
      <c r="AF280" s="103">
        <v>14</v>
      </c>
    </row>
    <row r="281" spans="1:32" ht="16.100000000000001" x14ac:dyDescent="0.35">
      <c r="A281" s="263"/>
      <c r="B281" s="104"/>
      <c r="C281" s="104"/>
      <c r="D281" s="100" t="s">
        <v>187</v>
      </c>
      <c r="E281" s="10">
        <v>2130.94</v>
      </c>
      <c r="F281" s="10">
        <v>2120.61</v>
      </c>
      <c r="G281" s="10">
        <v>2128.5500000000002</v>
      </c>
      <c r="H281" s="10">
        <v>2149.36</v>
      </c>
      <c r="I281" s="10">
        <v>2174.8000000000002</v>
      </c>
      <c r="J281" s="10">
        <v>2136.71</v>
      </c>
      <c r="K281" s="10">
        <v>2125.89</v>
      </c>
      <c r="L281" s="10">
        <v>2151.29</v>
      </c>
      <c r="M281" s="10">
        <v>2180.9</v>
      </c>
      <c r="N281" s="10">
        <v>2119.1999999999998</v>
      </c>
      <c r="O281" s="10">
        <v>2170.84</v>
      </c>
      <c r="P281" s="10">
        <v>2142.44</v>
      </c>
      <c r="Q281" s="10">
        <v>2133.7399999999998</v>
      </c>
      <c r="R281" s="321"/>
      <c r="S281" s="321"/>
      <c r="T281" s="324"/>
      <c r="U281" s="324"/>
      <c r="V281" s="326"/>
      <c r="W281" s="315"/>
      <c r="X281" s="318"/>
      <c r="Y281" s="329"/>
      <c r="Z281" s="221"/>
      <c r="AA281" s="102"/>
      <c r="AB281" s="102"/>
      <c r="AC281" s="102"/>
      <c r="AD281" s="103"/>
      <c r="AE281" s="103"/>
      <c r="AF281" s="103"/>
    </row>
    <row r="282" spans="1:32" ht="31.05" x14ac:dyDescent="0.35">
      <c r="A282" s="263"/>
      <c r="B282" s="99"/>
      <c r="C282" s="99"/>
      <c r="D282" s="100" t="s">
        <v>188</v>
      </c>
      <c r="E282" s="105">
        <f t="shared" ref="E282:Q282" si="91">IF(((E280="")*AND(E281="")),"",(E280-E281))</f>
        <v>389.78999999999996</v>
      </c>
      <c r="F282" s="105">
        <f t="shared" si="91"/>
        <v>392.13999999999987</v>
      </c>
      <c r="G282" s="105">
        <f t="shared" si="91"/>
        <v>385.11999999999989</v>
      </c>
      <c r="H282" s="105">
        <f t="shared" si="91"/>
        <v>380.80999999999995</v>
      </c>
      <c r="I282" s="105">
        <f t="shared" si="91"/>
        <v>415.61999999999989</v>
      </c>
      <c r="J282" s="105">
        <f t="shared" si="91"/>
        <v>387.34000000000015</v>
      </c>
      <c r="K282" s="105">
        <f t="shared" si="91"/>
        <v>390.26000000000022</v>
      </c>
      <c r="L282" s="105">
        <f t="shared" si="91"/>
        <v>373.65999999999985</v>
      </c>
      <c r="M282" s="105">
        <f t="shared" si="91"/>
        <v>409.52999999999975</v>
      </c>
      <c r="N282" s="105">
        <f t="shared" si="91"/>
        <v>392.13000000000011</v>
      </c>
      <c r="O282" s="105">
        <f t="shared" si="91"/>
        <v>369.28999999999996</v>
      </c>
      <c r="P282" s="105">
        <f t="shared" si="91"/>
        <v>384.63000000000011</v>
      </c>
      <c r="Q282" s="105">
        <f t="shared" si="91"/>
        <v>390.66000000000031</v>
      </c>
      <c r="R282" s="322"/>
      <c r="S282" s="322"/>
      <c r="T282" s="325"/>
      <c r="U282" s="325"/>
      <c r="V282" s="327"/>
      <c r="W282" s="316"/>
      <c r="X282" s="319"/>
      <c r="Y282" s="330"/>
      <c r="Z282" s="221"/>
      <c r="AA282" s="102"/>
      <c r="AB282" s="102"/>
      <c r="AC282" s="102"/>
      <c r="AD282" s="102"/>
      <c r="AE282" s="106"/>
      <c r="AF282" s="102"/>
    </row>
    <row r="283" spans="1:32" ht="15.55" x14ac:dyDescent="0.25">
      <c r="A283" s="264">
        <v>43445</v>
      </c>
      <c r="B283" s="99" t="s">
        <v>235</v>
      </c>
      <c r="C283" s="99" t="s">
        <v>232</v>
      </c>
      <c r="D283" s="100" t="s">
        <v>186</v>
      </c>
      <c r="E283" s="10">
        <v>2943</v>
      </c>
      <c r="F283" s="10">
        <v>2833.9</v>
      </c>
      <c r="G283" s="10">
        <v>2821.75</v>
      </c>
      <c r="H283" s="10">
        <v>2831.88</v>
      </c>
      <c r="I283" s="10">
        <v>2884.77</v>
      </c>
      <c r="J283" s="10">
        <v>2878.21</v>
      </c>
      <c r="K283" s="10">
        <v>2818.52</v>
      </c>
      <c r="L283" s="10">
        <v>2839.71</v>
      </c>
      <c r="M283" s="10">
        <v>2952.47</v>
      </c>
      <c r="N283" s="10">
        <v>2836.81</v>
      </c>
      <c r="O283" s="10">
        <v>2839.88</v>
      </c>
      <c r="P283" s="10">
        <v>2828.02</v>
      </c>
      <c r="Q283" s="10">
        <v>2859.78</v>
      </c>
      <c r="R283" s="320">
        <f>IF((Q284=""),"",MAX(E285:Q285))</f>
        <v>372.57999999999993</v>
      </c>
      <c r="S283" s="320">
        <f>IF(Q284="","",MIN(E285:Q285))</f>
        <v>313.19000000000005</v>
      </c>
      <c r="T283" s="323">
        <f>IF((Q285=""),"",AVERAGE(E285:Q285))</f>
        <v>332.80923076923079</v>
      </c>
      <c r="U283" s="323">
        <f>IF((Q284=""),"",(R283-S283)/(R283+S283)*100)</f>
        <v>8.6603380142029938</v>
      </c>
      <c r="V283" s="323">
        <f>STDEV(E285:Q285)</f>
        <v>22.905303411196531</v>
      </c>
      <c r="W283" s="314" t="str">
        <f>IF(Q284="","",IF(T283&gt;300,IF(U283&lt;14,IF(T283&lt;390,"Pass","Fail"),"Fail"),"Fail"))</f>
        <v>Pass</v>
      </c>
      <c r="X283" s="317" t="s">
        <v>217</v>
      </c>
      <c r="Y283" s="328"/>
      <c r="Z283" s="221"/>
      <c r="AA283" s="102">
        <v>270</v>
      </c>
      <c r="AB283" s="102">
        <v>370</v>
      </c>
      <c r="AC283" s="102">
        <v>300</v>
      </c>
      <c r="AD283" s="103">
        <v>390</v>
      </c>
      <c r="AE283" s="103">
        <v>20</v>
      </c>
      <c r="AF283" s="103">
        <v>14</v>
      </c>
    </row>
    <row r="284" spans="1:32" ht="16.100000000000001" x14ac:dyDescent="0.35">
      <c r="A284" s="263"/>
      <c r="B284" s="104"/>
      <c r="C284" s="104"/>
      <c r="D284" s="100" t="s">
        <v>187</v>
      </c>
      <c r="E284" s="10">
        <v>2570.42</v>
      </c>
      <c r="F284" s="10">
        <v>2519.31</v>
      </c>
      <c r="G284" s="10">
        <v>2507.86</v>
      </c>
      <c r="H284" s="10">
        <v>2509.92</v>
      </c>
      <c r="I284" s="10">
        <v>2531.58</v>
      </c>
      <c r="J284" s="10">
        <v>2513.02</v>
      </c>
      <c r="K284" s="10">
        <v>2505.33</v>
      </c>
      <c r="L284" s="10">
        <v>2523.17</v>
      </c>
      <c r="M284" s="10">
        <v>2584.0500000000002</v>
      </c>
      <c r="N284" s="10">
        <v>2512.13</v>
      </c>
      <c r="O284" s="10">
        <v>2523.0700000000002</v>
      </c>
      <c r="P284" s="10">
        <v>2505.08</v>
      </c>
      <c r="Q284" s="10">
        <v>2537.2399999999998</v>
      </c>
      <c r="R284" s="321"/>
      <c r="S284" s="321"/>
      <c r="T284" s="324"/>
      <c r="U284" s="324"/>
      <c r="V284" s="326"/>
      <c r="W284" s="315"/>
      <c r="X284" s="318"/>
      <c r="Y284" s="329"/>
      <c r="Z284" s="221"/>
      <c r="AA284" s="102"/>
      <c r="AB284" s="102"/>
      <c r="AC284" s="102"/>
      <c r="AD284" s="103"/>
      <c r="AE284" s="103"/>
      <c r="AF284" s="103"/>
    </row>
    <row r="285" spans="1:32" ht="31.05" x14ac:dyDescent="0.35">
      <c r="A285" s="263"/>
      <c r="B285" s="99"/>
      <c r="C285" s="99"/>
      <c r="D285" s="100" t="s">
        <v>188</v>
      </c>
      <c r="E285" s="105">
        <f t="shared" ref="E285:Q285" si="92">IF(((E283="")*AND(E284="")),"",(E283-E284))</f>
        <v>372.57999999999993</v>
      </c>
      <c r="F285" s="105">
        <f t="shared" si="92"/>
        <v>314.59000000000015</v>
      </c>
      <c r="G285" s="105">
        <f t="shared" si="92"/>
        <v>313.88999999999987</v>
      </c>
      <c r="H285" s="105">
        <f t="shared" si="92"/>
        <v>321.96000000000004</v>
      </c>
      <c r="I285" s="105">
        <f t="shared" si="92"/>
        <v>353.19000000000005</v>
      </c>
      <c r="J285" s="105">
        <f t="shared" si="92"/>
        <v>365.19000000000005</v>
      </c>
      <c r="K285" s="105">
        <f t="shared" si="92"/>
        <v>313.19000000000005</v>
      </c>
      <c r="L285" s="105">
        <f t="shared" si="92"/>
        <v>316.53999999999996</v>
      </c>
      <c r="M285" s="105">
        <f t="shared" si="92"/>
        <v>368.41999999999962</v>
      </c>
      <c r="N285" s="105">
        <f t="shared" si="92"/>
        <v>324.67999999999984</v>
      </c>
      <c r="O285" s="105">
        <f t="shared" si="92"/>
        <v>316.80999999999995</v>
      </c>
      <c r="P285" s="105">
        <f t="shared" si="92"/>
        <v>322.94000000000005</v>
      </c>
      <c r="Q285" s="105">
        <f t="shared" si="92"/>
        <v>322.54000000000042</v>
      </c>
      <c r="R285" s="322"/>
      <c r="S285" s="322"/>
      <c r="T285" s="325"/>
      <c r="U285" s="325"/>
      <c r="V285" s="327"/>
      <c r="W285" s="316"/>
      <c r="X285" s="319"/>
      <c r="Y285" s="330"/>
      <c r="Z285" s="221"/>
      <c r="AA285" s="102"/>
      <c r="AB285" s="102"/>
      <c r="AC285" s="102"/>
      <c r="AD285" s="102"/>
      <c r="AE285" s="106"/>
      <c r="AF285" s="102"/>
    </row>
    <row r="286" spans="1:32" ht="15.55" x14ac:dyDescent="0.25">
      <c r="A286" s="264">
        <v>43451</v>
      </c>
      <c r="B286" s="99" t="s">
        <v>235</v>
      </c>
      <c r="C286" s="99" t="s">
        <v>232</v>
      </c>
      <c r="D286" s="100" t="s">
        <v>186</v>
      </c>
      <c r="E286" s="76">
        <v>2924</v>
      </c>
      <c r="F286" s="76">
        <v>2823</v>
      </c>
      <c r="G286" s="76">
        <v>2805</v>
      </c>
      <c r="H286" s="76">
        <v>2810</v>
      </c>
      <c r="I286" s="76">
        <v>2881</v>
      </c>
      <c r="J286" s="76">
        <v>2871</v>
      </c>
      <c r="K286" s="76">
        <v>2807</v>
      </c>
      <c r="L286" s="76">
        <v>2830</v>
      </c>
      <c r="M286" s="76">
        <v>2947</v>
      </c>
      <c r="N286" s="76">
        <v>2820</v>
      </c>
      <c r="O286" s="76">
        <v>2830</v>
      </c>
      <c r="P286" s="76">
        <v>2819</v>
      </c>
      <c r="Q286" s="76">
        <v>2842</v>
      </c>
      <c r="R286" s="320">
        <f>IF((Q287=""),"",MAX(E288:Q288))</f>
        <v>364</v>
      </c>
      <c r="S286" s="320">
        <f>IF(Q287="","",MIN(E288:Q288))</f>
        <v>309</v>
      </c>
      <c r="T286" s="323">
        <f>IF((Q288=""),"",AVERAGE(E288:Q288))</f>
        <v>330.15384615384613</v>
      </c>
      <c r="U286" s="323">
        <f>IF((Q287=""),"",(R286-S286)/(R286+S286)*100)</f>
        <v>8.1723625557206532</v>
      </c>
      <c r="V286" s="323">
        <f>STDEV(E288:Q288)</f>
        <v>22.659972616363834</v>
      </c>
      <c r="W286" s="314" t="str">
        <f>IF(Q287="","",IF(T286&gt;300,IF(U286&lt;14,IF(T286&lt;390,"Pass","Fail"),"Fail"),"Fail"))</f>
        <v>Pass</v>
      </c>
      <c r="X286" s="317" t="s">
        <v>217</v>
      </c>
      <c r="Y286" s="328"/>
      <c r="Z286" s="221"/>
      <c r="AA286" s="102">
        <v>270</v>
      </c>
      <c r="AB286" s="102">
        <v>370</v>
      </c>
      <c r="AC286" s="102">
        <v>300</v>
      </c>
      <c r="AD286" s="103">
        <v>390</v>
      </c>
      <c r="AE286" s="103">
        <v>20</v>
      </c>
      <c r="AF286" s="103">
        <v>14</v>
      </c>
    </row>
    <row r="287" spans="1:32" ht="16.100000000000001" x14ac:dyDescent="0.35">
      <c r="A287" s="263"/>
      <c r="B287" s="104"/>
      <c r="C287" s="104"/>
      <c r="D287" s="100" t="s">
        <v>187</v>
      </c>
      <c r="E287" s="76">
        <v>2560</v>
      </c>
      <c r="F287" s="76">
        <v>2506</v>
      </c>
      <c r="G287" s="76">
        <v>2496</v>
      </c>
      <c r="H287" s="76">
        <v>2498</v>
      </c>
      <c r="I287" s="76">
        <v>2518</v>
      </c>
      <c r="J287" s="76">
        <v>2511</v>
      </c>
      <c r="K287" s="76">
        <v>2494</v>
      </c>
      <c r="L287" s="76">
        <v>2511</v>
      </c>
      <c r="M287" s="76">
        <v>2584</v>
      </c>
      <c r="N287" s="76">
        <v>2502</v>
      </c>
      <c r="O287" s="76">
        <v>2514</v>
      </c>
      <c r="P287" s="76">
        <v>2501</v>
      </c>
      <c r="Q287" s="76">
        <v>2522</v>
      </c>
      <c r="R287" s="321"/>
      <c r="S287" s="321"/>
      <c r="T287" s="324"/>
      <c r="U287" s="324"/>
      <c r="V287" s="326"/>
      <c r="W287" s="315"/>
      <c r="X287" s="318"/>
      <c r="Y287" s="329"/>
      <c r="Z287" s="221"/>
      <c r="AA287" s="102"/>
      <c r="AB287" s="102"/>
      <c r="AC287" s="102"/>
      <c r="AD287" s="103"/>
      <c r="AE287" s="103"/>
      <c r="AF287" s="103"/>
    </row>
    <row r="288" spans="1:32" ht="31.05" x14ac:dyDescent="0.35">
      <c r="A288" s="263"/>
      <c r="B288" s="99"/>
      <c r="C288" s="99"/>
      <c r="D288" s="100" t="s">
        <v>188</v>
      </c>
      <c r="E288" s="105">
        <f t="shared" ref="E288:Q288" si="93">IF(((E286="")*AND(E287="")),"",(E286-E287))</f>
        <v>364</v>
      </c>
      <c r="F288" s="105">
        <f t="shared" si="93"/>
        <v>317</v>
      </c>
      <c r="G288" s="105">
        <f t="shared" si="93"/>
        <v>309</v>
      </c>
      <c r="H288" s="105">
        <f t="shared" si="93"/>
        <v>312</v>
      </c>
      <c r="I288" s="105">
        <f t="shared" si="93"/>
        <v>363</v>
      </c>
      <c r="J288" s="105">
        <f t="shared" si="93"/>
        <v>360</v>
      </c>
      <c r="K288" s="105">
        <f t="shared" si="93"/>
        <v>313</v>
      </c>
      <c r="L288" s="105">
        <f t="shared" si="93"/>
        <v>319</v>
      </c>
      <c r="M288" s="105">
        <f t="shared" si="93"/>
        <v>363</v>
      </c>
      <c r="N288" s="105">
        <f t="shared" si="93"/>
        <v>318</v>
      </c>
      <c r="O288" s="105">
        <f t="shared" si="93"/>
        <v>316</v>
      </c>
      <c r="P288" s="105">
        <f t="shared" si="93"/>
        <v>318</v>
      </c>
      <c r="Q288" s="105">
        <f t="shared" si="93"/>
        <v>320</v>
      </c>
      <c r="R288" s="322"/>
      <c r="S288" s="322"/>
      <c r="T288" s="325"/>
      <c r="U288" s="325"/>
      <c r="V288" s="327"/>
      <c r="W288" s="316"/>
      <c r="X288" s="319"/>
      <c r="Y288" s="330"/>
      <c r="Z288" s="221"/>
      <c r="AA288" s="102"/>
      <c r="AB288" s="102"/>
      <c r="AC288" s="102"/>
      <c r="AD288" s="102"/>
      <c r="AE288" s="106"/>
      <c r="AF288" s="102"/>
    </row>
    <row r="289" spans="1:32" ht="15.55" x14ac:dyDescent="0.25">
      <c r="A289" s="264">
        <v>43460</v>
      </c>
      <c r="B289" s="99" t="s">
        <v>235</v>
      </c>
      <c r="C289" s="99" t="s">
        <v>232</v>
      </c>
      <c r="D289" s="100" t="s">
        <v>186</v>
      </c>
      <c r="E289" s="10">
        <v>2558.4499999999998</v>
      </c>
      <c r="F289" s="10">
        <v>2504.46</v>
      </c>
      <c r="G289" s="10">
        <v>2492.1799999999998</v>
      </c>
      <c r="H289" s="10">
        <v>2496.92</v>
      </c>
      <c r="I289" s="10">
        <v>2517.9</v>
      </c>
      <c r="J289" s="10">
        <v>2511.48</v>
      </c>
      <c r="K289" s="10">
        <v>2492.5300000000002</v>
      </c>
      <c r="L289" s="10">
        <v>2514.04</v>
      </c>
      <c r="M289" s="10">
        <v>2581.02</v>
      </c>
      <c r="N289" s="10">
        <v>2497.92</v>
      </c>
      <c r="O289" s="10">
        <v>2502.4299999999998</v>
      </c>
      <c r="P289" s="10">
        <v>2497.81</v>
      </c>
      <c r="Q289" s="10">
        <v>2522.98</v>
      </c>
      <c r="R289" s="320">
        <f>IF((Q290=""),"",MAX(E291:Q291))</f>
        <v>417.9699999999998</v>
      </c>
      <c r="S289" s="320">
        <f>IF(Q290="","",MIN(E291:Q291))</f>
        <v>328.5300000000002</v>
      </c>
      <c r="T289" s="323">
        <f>IF((Q291=""),"",AVERAGE(E291:Q291))</f>
        <v>361.55153846153848</v>
      </c>
      <c r="U289" s="323">
        <f>IF((Q290=""),"",(R289-S289)/(R289+S289)*100)</f>
        <v>11.981245813797671</v>
      </c>
      <c r="V289" s="323">
        <f>STDEV(E291:Q291)</f>
        <v>28.490204996967428</v>
      </c>
      <c r="W289" s="314" t="str">
        <f>IF(Q290="","",IF(T289&gt;300,IF(U289&lt;14,IF(T289&lt;390,"Pass","Fail"),"Fail"),"Fail"))</f>
        <v>Pass</v>
      </c>
      <c r="X289" s="317">
        <v>74</v>
      </c>
      <c r="Y289" s="328"/>
      <c r="Z289" s="221"/>
      <c r="AA289" s="102">
        <v>270</v>
      </c>
      <c r="AB289" s="102">
        <v>370</v>
      </c>
      <c r="AC289" s="102">
        <v>300</v>
      </c>
      <c r="AD289" s="103">
        <v>390</v>
      </c>
      <c r="AE289" s="103">
        <v>20</v>
      </c>
      <c r="AF289" s="103">
        <v>14</v>
      </c>
    </row>
    <row r="290" spans="1:32" ht="16.100000000000001" x14ac:dyDescent="0.35">
      <c r="A290" s="263"/>
      <c r="B290" s="104"/>
      <c r="C290" s="104"/>
      <c r="D290" s="100" t="s">
        <v>187</v>
      </c>
      <c r="E290" s="10">
        <v>2140.48</v>
      </c>
      <c r="F290" s="10">
        <v>2133.5300000000002</v>
      </c>
      <c r="G290" s="10">
        <v>2146.6799999999998</v>
      </c>
      <c r="H290" s="10">
        <v>2148.8000000000002</v>
      </c>
      <c r="I290" s="10">
        <v>2177.71</v>
      </c>
      <c r="J290" s="10">
        <v>2182.9499999999998</v>
      </c>
      <c r="K290" s="10">
        <v>2157</v>
      </c>
      <c r="L290" s="10">
        <v>2144.19</v>
      </c>
      <c r="M290" s="10">
        <v>2164.64</v>
      </c>
      <c r="N290" s="10">
        <v>2143.66</v>
      </c>
      <c r="O290" s="10">
        <v>2145.73</v>
      </c>
      <c r="P290" s="10">
        <v>2157.48</v>
      </c>
      <c r="Q290" s="10">
        <v>2147.1</v>
      </c>
      <c r="R290" s="321"/>
      <c r="S290" s="321"/>
      <c r="T290" s="324"/>
      <c r="U290" s="324"/>
      <c r="V290" s="326"/>
      <c r="W290" s="315"/>
      <c r="X290" s="318"/>
      <c r="Y290" s="329"/>
      <c r="Z290" s="221"/>
      <c r="AA290" s="102"/>
      <c r="AB290" s="102"/>
      <c r="AC290" s="102"/>
      <c r="AD290" s="103"/>
      <c r="AE290" s="103"/>
      <c r="AF290" s="103"/>
    </row>
    <row r="291" spans="1:32" ht="31.05" x14ac:dyDescent="0.35">
      <c r="A291" s="263"/>
      <c r="B291" s="99"/>
      <c r="C291" s="99"/>
      <c r="D291" s="100" t="s">
        <v>188</v>
      </c>
      <c r="E291" s="105">
        <f t="shared" ref="E291:Q291" si="94">IF(((E289="")*AND(E290="")),"",(E289-E290))</f>
        <v>417.9699999999998</v>
      </c>
      <c r="F291" s="105">
        <f t="shared" si="94"/>
        <v>370.92999999999984</v>
      </c>
      <c r="G291" s="105">
        <f t="shared" si="94"/>
        <v>345.5</v>
      </c>
      <c r="H291" s="105">
        <f t="shared" si="94"/>
        <v>348.11999999999989</v>
      </c>
      <c r="I291" s="105">
        <f t="shared" si="94"/>
        <v>340.19000000000005</v>
      </c>
      <c r="J291" s="105">
        <f t="shared" si="94"/>
        <v>328.5300000000002</v>
      </c>
      <c r="K291" s="105">
        <f t="shared" si="94"/>
        <v>335.5300000000002</v>
      </c>
      <c r="L291" s="105">
        <f t="shared" si="94"/>
        <v>369.84999999999991</v>
      </c>
      <c r="M291" s="105">
        <f t="shared" si="94"/>
        <v>416.38000000000011</v>
      </c>
      <c r="N291" s="105">
        <f t="shared" si="94"/>
        <v>354.26000000000022</v>
      </c>
      <c r="O291" s="105">
        <f t="shared" si="94"/>
        <v>356.69999999999982</v>
      </c>
      <c r="P291" s="105">
        <f t="shared" si="94"/>
        <v>340.32999999999993</v>
      </c>
      <c r="Q291" s="105">
        <f t="shared" si="94"/>
        <v>375.88000000000011</v>
      </c>
      <c r="R291" s="322"/>
      <c r="S291" s="322"/>
      <c r="T291" s="325"/>
      <c r="U291" s="325"/>
      <c r="V291" s="327"/>
      <c r="W291" s="316"/>
      <c r="X291" s="319"/>
      <c r="Y291" s="330"/>
      <c r="Z291" s="221"/>
      <c r="AA291" s="102"/>
      <c r="AB291" s="102"/>
      <c r="AC291" s="102"/>
      <c r="AD291" s="102"/>
      <c r="AE291" s="106"/>
      <c r="AF291" s="102"/>
    </row>
    <row r="292" spans="1:32" ht="15.55" x14ac:dyDescent="0.25">
      <c r="A292" s="264">
        <v>43465</v>
      </c>
      <c r="B292" s="99" t="s">
        <v>235</v>
      </c>
      <c r="C292" s="99" t="s">
        <v>232</v>
      </c>
      <c r="D292" s="100" t="s">
        <v>186</v>
      </c>
      <c r="E292" s="10">
        <v>2140.1799999999998</v>
      </c>
      <c r="F292" s="10">
        <v>2136.62</v>
      </c>
      <c r="G292" s="10">
        <v>2138.5</v>
      </c>
      <c r="H292" s="10">
        <v>2150.4299999999998</v>
      </c>
      <c r="I292" s="10">
        <v>2182.8000000000002</v>
      </c>
      <c r="J292" s="10">
        <v>2185.81</v>
      </c>
      <c r="K292" s="10">
        <v>2156.42</v>
      </c>
      <c r="L292" s="10">
        <v>2131.44</v>
      </c>
      <c r="M292" s="10">
        <v>2159.7199999999998</v>
      </c>
      <c r="N292" s="10">
        <v>2143.34</v>
      </c>
      <c r="O292" s="10">
        <v>2140.3000000000002</v>
      </c>
      <c r="P292" s="10">
        <v>2160.85</v>
      </c>
      <c r="Q292" s="10">
        <v>2143.5</v>
      </c>
      <c r="R292" s="320">
        <f>IF((Q293=""),"",MAX(E294:Q294))</f>
        <v>431.96000000000004</v>
      </c>
      <c r="S292" s="320">
        <f>IF(Q293="","",MIN(E294:Q294))</f>
        <v>298.91000000000008</v>
      </c>
      <c r="T292" s="323">
        <f>IF((Q294=""),"",AVERAGE(E294:Q294))</f>
        <v>339.74076923076922</v>
      </c>
      <c r="U292" s="323">
        <f>IF((Q293=""),"",(R292-S292)/(R292+S292)*100)</f>
        <v>18.204331823716931</v>
      </c>
      <c r="V292" s="323">
        <f>STDEV(E294:Q294)</f>
        <v>42.669916307538081</v>
      </c>
      <c r="W292" s="314" t="str">
        <f>IF(Q293="","",IF(T292&gt;300,IF(U292&lt;14,IF(T292&lt;390,"Pass","Fail"),"Fail"),"Fail"))</f>
        <v>Fail</v>
      </c>
      <c r="X292" s="317">
        <v>121</v>
      </c>
      <c r="Y292" s="328"/>
      <c r="Z292" s="221"/>
      <c r="AA292" s="102">
        <v>270</v>
      </c>
      <c r="AB292" s="102">
        <v>370</v>
      </c>
      <c r="AC292" s="102">
        <v>300</v>
      </c>
      <c r="AD292" s="103">
        <v>390</v>
      </c>
      <c r="AE292" s="103">
        <v>20</v>
      </c>
      <c r="AF292" s="103">
        <v>14</v>
      </c>
    </row>
    <row r="293" spans="1:32" ht="16.100000000000001" x14ac:dyDescent="0.35">
      <c r="A293" s="263"/>
      <c r="B293" s="104"/>
      <c r="C293" s="104"/>
      <c r="D293" s="100" t="s">
        <v>187</v>
      </c>
      <c r="E293" s="10">
        <v>1798.55</v>
      </c>
      <c r="F293" s="10">
        <v>1830.88</v>
      </c>
      <c r="G293" s="10">
        <v>1824.11</v>
      </c>
      <c r="H293" s="10">
        <v>1821.6</v>
      </c>
      <c r="I293" s="10">
        <v>1756.59</v>
      </c>
      <c r="J293" s="10">
        <v>1753.85</v>
      </c>
      <c r="K293" s="10">
        <v>1815.4</v>
      </c>
      <c r="L293" s="10">
        <v>1832.53</v>
      </c>
      <c r="M293" s="10">
        <v>1815.92</v>
      </c>
      <c r="N293" s="10">
        <v>1820.79</v>
      </c>
      <c r="O293" s="10">
        <v>1825.84</v>
      </c>
      <c r="P293" s="10">
        <v>1817.25</v>
      </c>
      <c r="Q293" s="10">
        <v>1839.97</v>
      </c>
      <c r="R293" s="321"/>
      <c r="S293" s="321"/>
      <c r="T293" s="324"/>
      <c r="U293" s="324"/>
      <c r="V293" s="326"/>
      <c r="W293" s="315"/>
      <c r="X293" s="318"/>
      <c r="Y293" s="329"/>
      <c r="Z293" s="221"/>
      <c r="AA293" s="102"/>
      <c r="AB293" s="102"/>
      <c r="AC293" s="102"/>
      <c r="AD293" s="103"/>
      <c r="AE293" s="103"/>
      <c r="AF293" s="103"/>
    </row>
    <row r="294" spans="1:32" ht="31.05" x14ac:dyDescent="0.35">
      <c r="A294" s="263"/>
      <c r="B294" s="99"/>
      <c r="C294" s="99"/>
      <c r="D294" s="100" t="s">
        <v>188</v>
      </c>
      <c r="E294" s="105">
        <f t="shared" ref="E294:Q294" si="95">IF(((E292="")*AND(E293="")),"",(E292-E293))</f>
        <v>341.62999999999988</v>
      </c>
      <c r="F294" s="105">
        <f t="shared" si="95"/>
        <v>305.73999999999978</v>
      </c>
      <c r="G294" s="105">
        <f t="shared" si="95"/>
        <v>314.3900000000001</v>
      </c>
      <c r="H294" s="105">
        <f t="shared" si="95"/>
        <v>328.82999999999993</v>
      </c>
      <c r="I294" s="105">
        <f t="shared" si="95"/>
        <v>426.21000000000026</v>
      </c>
      <c r="J294" s="105">
        <f t="shared" si="95"/>
        <v>431.96000000000004</v>
      </c>
      <c r="K294" s="105">
        <f t="shared" si="95"/>
        <v>341.02</v>
      </c>
      <c r="L294" s="105">
        <f t="shared" si="95"/>
        <v>298.91000000000008</v>
      </c>
      <c r="M294" s="105">
        <f t="shared" si="95"/>
        <v>343.79999999999973</v>
      </c>
      <c r="N294" s="105">
        <f t="shared" si="95"/>
        <v>322.55000000000018</v>
      </c>
      <c r="O294" s="105">
        <f t="shared" si="95"/>
        <v>314.46000000000026</v>
      </c>
      <c r="P294" s="105">
        <f t="shared" si="95"/>
        <v>343.59999999999991</v>
      </c>
      <c r="Q294" s="105">
        <f t="shared" si="95"/>
        <v>303.52999999999997</v>
      </c>
      <c r="R294" s="322"/>
      <c r="S294" s="322"/>
      <c r="T294" s="325"/>
      <c r="U294" s="325"/>
      <c r="V294" s="327"/>
      <c r="W294" s="316"/>
      <c r="X294" s="319"/>
      <c r="Y294" s="330"/>
      <c r="Z294" s="221"/>
      <c r="AA294" s="102"/>
      <c r="AB294" s="102"/>
      <c r="AC294" s="102"/>
      <c r="AD294" s="102"/>
      <c r="AE294" s="106"/>
      <c r="AF294" s="102"/>
    </row>
    <row r="295" spans="1:32" ht="15.55" x14ac:dyDescent="0.25">
      <c r="A295" s="264">
        <v>43466</v>
      </c>
      <c r="B295" s="99" t="s">
        <v>235</v>
      </c>
      <c r="C295" s="99" t="s">
        <v>232</v>
      </c>
      <c r="D295" s="100" t="s">
        <v>186</v>
      </c>
      <c r="E295" s="10">
        <v>2881.43</v>
      </c>
      <c r="F295" s="10">
        <v>2758.4</v>
      </c>
      <c r="G295" s="10">
        <v>2734.98</v>
      </c>
      <c r="H295" s="10">
        <v>2739.34</v>
      </c>
      <c r="I295" s="10">
        <v>2838.07</v>
      </c>
      <c r="J295" s="10">
        <v>2815.4</v>
      </c>
      <c r="K295" s="10">
        <v>2742.08</v>
      </c>
      <c r="L295" s="10">
        <v>2753.31</v>
      </c>
      <c r="M295" s="10">
        <v>2847.88</v>
      </c>
      <c r="N295" s="10">
        <v>2760.52</v>
      </c>
      <c r="O295" s="10">
        <v>2753.87</v>
      </c>
      <c r="P295" s="10">
        <v>2744.38</v>
      </c>
      <c r="Q295" s="10">
        <v>2775.65</v>
      </c>
      <c r="R295" s="320">
        <f>IF((Q296=""),"",MAX(E297:Q297))</f>
        <v>388.47000000000025</v>
      </c>
      <c r="S295" s="320">
        <f>IF(Q296="","",MIN(E297:Q297))</f>
        <v>316.13999999999987</v>
      </c>
      <c r="T295" s="323">
        <f>IF((Q297=""),"",AVERAGE(E297:Q297))</f>
        <v>341.78461538461545</v>
      </c>
      <c r="U295" s="323">
        <f>IF((Q296=""),"",(R295-S295)/(R295+S295)*100)</f>
        <v>10.265253118746594</v>
      </c>
      <c r="V295" s="323">
        <f>STDEV(E297:Q297)</f>
        <v>28.560371033824921</v>
      </c>
      <c r="W295" s="314" t="str">
        <f>IF(Q296="","",IF(T295&gt;300,IF(U295&lt;14,IF(T295&lt;390,"Pass","Fail"),"Fail"),"Fail"))</f>
        <v>Pass</v>
      </c>
      <c r="X295" s="317" t="s">
        <v>243</v>
      </c>
      <c r="Y295" s="227" t="s">
        <v>218</v>
      </c>
      <c r="Z295" s="221"/>
      <c r="AA295" s="102">
        <v>270</v>
      </c>
      <c r="AB295" s="102">
        <v>370</v>
      </c>
      <c r="AC295" s="102">
        <v>300</v>
      </c>
      <c r="AD295" s="103">
        <v>390</v>
      </c>
      <c r="AE295" s="103">
        <v>20</v>
      </c>
      <c r="AF295" s="103">
        <v>14</v>
      </c>
    </row>
    <row r="296" spans="1:32" ht="16.100000000000001" x14ac:dyDescent="0.35">
      <c r="A296" s="263"/>
      <c r="B296" s="104"/>
      <c r="C296" s="104"/>
      <c r="D296" s="100" t="s">
        <v>187</v>
      </c>
      <c r="E296" s="10">
        <v>2496.83</v>
      </c>
      <c r="F296" s="10">
        <v>2436.33</v>
      </c>
      <c r="G296" s="10">
        <v>2418.84</v>
      </c>
      <c r="H296" s="10">
        <v>2419.0300000000002</v>
      </c>
      <c r="I296" s="10">
        <v>2454.83</v>
      </c>
      <c r="J296" s="10">
        <v>2442.11</v>
      </c>
      <c r="K296" s="10">
        <v>2418.79</v>
      </c>
      <c r="L296" s="10">
        <v>2427.66</v>
      </c>
      <c r="M296" s="10">
        <v>2459.41</v>
      </c>
      <c r="N296" s="10">
        <v>2436.89</v>
      </c>
      <c r="O296" s="10">
        <v>2426.1</v>
      </c>
      <c r="P296" s="10">
        <v>2419.5700000000002</v>
      </c>
      <c r="Q296" s="10">
        <v>2445.7199999999998</v>
      </c>
      <c r="R296" s="321"/>
      <c r="S296" s="321"/>
      <c r="T296" s="324"/>
      <c r="U296" s="324"/>
      <c r="V296" s="326"/>
      <c r="W296" s="315"/>
      <c r="X296" s="318"/>
      <c r="Y296" s="224"/>
      <c r="Z296" s="221"/>
      <c r="AA296" s="102"/>
      <c r="AB296" s="102"/>
      <c r="AC296" s="102"/>
      <c r="AD296" s="103"/>
      <c r="AE296" s="103"/>
      <c r="AF296" s="103"/>
    </row>
    <row r="297" spans="1:32" ht="31.05" x14ac:dyDescent="0.35">
      <c r="A297" s="263"/>
      <c r="B297" s="99"/>
      <c r="C297" s="99"/>
      <c r="D297" s="100" t="s">
        <v>188</v>
      </c>
      <c r="E297" s="105">
        <f t="shared" ref="E297:Q297" si="96">IF(((E295="")*AND(E296="")),"",(E295-E296))</f>
        <v>384.59999999999991</v>
      </c>
      <c r="F297" s="105">
        <f t="shared" si="96"/>
        <v>322.07000000000016</v>
      </c>
      <c r="G297" s="105">
        <f t="shared" si="96"/>
        <v>316.13999999999987</v>
      </c>
      <c r="H297" s="105">
        <f t="shared" si="96"/>
        <v>320.30999999999995</v>
      </c>
      <c r="I297" s="105">
        <f t="shared" si="96"/>
        <v>383.24000000000024</v>
      </c>
      <c r="J297" s="105">
        <f t="shared" si="96"/>
        <v>373.28999999999996</v>
      </c>
      <c r="K297" s="105">
        <f t="shared" si="96"/>
        <v>323.28999999999996</v>
      </c>
      <c r="L297" s="105">
        <f t="shared" si="96"/>
        <v>325.65000000000009</v>
      </c>
      <c r="M297" s="105">
        <f t="shared" si="96"/>
        <v>388.47000000000025</v>
      </c>
      <c r="N297" s="105">
        <f t="shared" si="96"/>
        <v>323.63000000000011</v>
      </c>
      <c r="O297" s="105">
        <f t="shared" si="96"/>
        <v>327.77</v>
      </c>
      <c r="P297" s="105">
        <f t="shared" si="96"/>
        <v>324.80999999999995</v>
      </c>
      <c r="Q297" s="105">
        <f t="shared" si="96"/>
        <v>329.93000000000029</v>
      </c>
      <c r="R297" s="322"/>
      <c r="S297" s="322"/>
      <c r="T297" s="325"/>
      <c r="U297" s="325"/>
      <c r="V297" s="327"/>
      <c r="W297" s="316"/>
      <c r="X297" s="319"/>
      <c r="Y297" s="225"/>
      <c r="Z297" s="221"/>
      <c r="AA297" s="102"/>
      <c r="AB297" s="102"/>
      <c r="AC297" s="102"/>
      <c r="AD297" s="102"/>
      <c r="AE297" s="106"/>
      <c r="AF297" s="102"/>
    </row>
    <row r="298" spans="1:32" ht="15.55" x14ac:dyDescent="0.25">
      <c r="A298" s="264">
        <v>43476</v>
      </c>
      <c r="B298" s="99" t="s">
        <v>235</v>
      </c>
      <c r="C298" s="99" t="s">
        <v>232</v>
      </c>
      <c r="D298" s="100" t="s">
        <v>186</v>
      </c>
      <c r="E298" s="10">
        <v>2496.65</v>
      </c>
      <c r="F298" s="10">
        <v>2434.31</v>
      </c>
      <c r="G298" s="10">
        <v>2418.62</v>
      </c>
      <c r="H298" s="10">
        <v>2418.81</v>
      </c>
      <c r="I298" s="10">
        <v>2454.73</v>
      </c>
      <c r="J298" s="10">
        <v>2440.35</v>
      </c>
      <c r="K298" s="10">
        <v>2417.79</v>
      </c>
      <c r="L298" s="10">
        <v>2426.7199999999998</v>
      </c>
      <c r="M298" s="10">
        <v>2459.25</v>
      </c>
      <c r="N298" s="10">
        <v>2435.02</v>
      </c>
      <c r="O298" s="10">
        <v>2424.23</v>
      </c>
      <c r="P298" s="10">
        <v>2420.5</v>
      </c>
      <c r="Q298" s="10">
        <v>2445.11</v>
      </c>
      <c r="R298" s="320">
        <f>IF((Q299=""),"",MAX(E300:Q300))</f>
        <v>397.86000000000013</v>
      </c>
      <c r="S298" s="320">
        <f>IF(Q299="","",MIN(E300:Q300))</f>
        <v>240.28999999999996</v>
      </c>
      <c r="T298" s="323">
        <f>IF((Q300=""),"",AVERAGE(E300:Q300))</f>
        <v>279.86769230769227</v>
      </c>
      <c r="U298" s="323">
        <f>IF((Q299=""),"",(R298-S298)/(R298+S298)*100)</f>
        <v>24.69168690746692</v>
      </c>
      <c r="V298" s="323">
        <f>STDEV(E300:Q300)</f>
        <v>42.079464935176667</v>
      </c>
      <c r="W298" s="314" t="str">
        <f>IF(Q299="","",IF(T298&gt;300,IF(U298&lt;14,IF(T298&lt;390,"Pass","Fail"),"Fail"),"Fail"))</f>
        <v>Fail</v>
      </c>
      <c r="X298" s="317"/>
      <c r="Y298" s="328"/>
      <c r="Z298" s="221"/>
      <c r="AA298" s="102">
        <v>270</v>
      </c>
      <c r="AB298" s="102">
        <v>370</v>
      </c>
      <c r="AC298" s="102">
        <v>300</v>
      </c>
      <c r="AD298" s="103">
        <v>390</v>
      </c>
      <c r="AE298" s="103">
        <v>20</v>
      </c>
      <c r="AF298" s="103">
        <v>14</v>
      </c>
    </row>
    <row r="299" spans="1:32" ht="16.100000000000001" x14ac:dyDescent="0.35">
      <c r="A299" s="263"/>
      <c r="B299" s="104"/>
      <c r="C299" s="104"/>
      <c r="D299" s="100" t="s">
        <v>187</v>
      </c>
      <c r="E299" s="10">
        <v>2098.79</v>
      </c>
      <c r="F299" s="10">
        <v>2164.12</v>
      </c>
      <c r="G299" s="10">
        <v>2162.5500000000002</v>
      </c>
      <c r="H299" s="10">
        <v>2165.2800000000002</v>
      </c>
      <c r="I299" s="10">
        <v>2160.6</v>
      </c>
      <c r="J299" s="10">
        <v>2156.79</v>
      </c>
      <c r="K299" s="10">
        <v>2177.5</v>
      </c>
      <c r="L299" s="10">
        <v>2166.21</v>
      </c>
      <c r="M299" s="10">
        <v>2131.7800000000002</v>
      </c>
      <c r="N299" s="10">
        <v>2165.64</v>
      </c>
      <c r="O299" s="10">
        <v>2167.77</v>
      </c>
      <c r="P299" s="10">
        <v>2170.4499999999998</v>
      </c>
      <c r="Q299" s="10">
        <v>2166.33</v>
      </c>
      <c r="R299" s="321"/>
      <c r="S299" s="321"/>
      <c r="T299" s="324"/>
      <c r="U299" s="324"/>
      <c r="V299" s="326"/>
      <c r="W299" s="315"/>
      <c r="X299" s="318"/>
      <c r="Y299" s="329"/>
      <c r="Z299" s="221"/>
      <c r="AA299" s="102"/>
      <c r="AB299" s="102"/>
      <c r="AC299" s="102"/>
      <c r="AD299" s="103"/>
      <c r="AE299" s="103"/>
      <c r="AF299" s="103"/>
    </row>
    <row r="300" spans="1:32" ht="31.05" x14ac:dyDescent="0.35">
      <c r="A300" s="263"/>
      <c r="B300" s="99"/>
      <c r="C300" s="99"/>
      <c r="D300" s="100" t="s">
        <v>188</v>
      </c>
      <c r="E300" s="105">
        <f t="shared" ref="E300:Q300" si="97">IF(((E298="")*AND(E299="")),"",(E298-E299))</f>
        <v>397.86000000000013</v>
      </c>
      <c r="F300" s="105">
        <f t="shared" si="97"/>
        <v>270.19000000000005</v>
      </c>
      <c r="G300" s="105">
        <f t="shared" si="97"/>
        <v>256.06999999999971</v>
      </c>
      <c r="H300" s="105">
        <f t="shared" si="97"/>
        <v>253.52999999999975</v>
      </c>
      <c r="I300" s="105">
        <f t="shared" si="97"/>
        <v>294.13000000000011</v>
      </c>
      <c r="J300" s="105">
        <f t="shared" si="97"/>
        <v>283.55999999999995</v>
      </c>
      <c r="K300" s="105">
        <f t="shared" si="97"/>
        <v>240.28999999999996</v>
      </c>
      <c r="L300" s="105">
        <f t="shared" si="97"/>
        <v>260.50999999999976</v>
      </c>
      <c r="M300" s="105">
        <f t="shared" si="97"/>
        <v>327.4699999999998</v>
      </c>
      <c r="N300" s="105">
        <f t="shared" si="97"/>
        <v>269.38000000000011</v>
      </c>
      <c r="O300" s="105">
        <f t="shared" si="97"/>
        <v>256.46000000000004</v>
      </c>
      <c r="P300" s="105">
        <f t="shared" si="97"/>
        <v>250.05000000000018</v>
      </c>
      <c r="Q300" s="105">
        <f t="shared" si="97"/>
        <v>278.7800000000002</v>
      </c>
      <c r="R300" s="322"/>
      <c r="S300" s="322"/>
      <c r="T300" s="325"/>
      <c r="U300" s="325"/>
      <c r="V300" s="327"/>
      <c r="W300" s="316"/>
      <c r="X300" s="319"/>
      <c r="Y300" s="330"/>
      <c r="Z300" s="221"/>
      <c r="AA300" s="102"/>
      <c r="AB300" s="102"/>
      <c r="AC300" s="102"/>
      <c r="AD300" s="102"/>
      <c r="AE300" s="106"/>
      <c r="AF300" s="102"/>
    </row>
    <row r="301" spans="1:32" ht="15.55" x14ac:dyDescent="0.25">
      <c r="A301" s="264">
        <v>43476</v>
      </c>
      <c r="B301" s="99" t="s">
        <v>235</v>
      </c>
      <c r="C301" s="99" t="s">
        <v>232</v>
      </c>
      <c r="D301" s="100" t="s">
        <v>186</v>
      </c>
      <c r="E301" s="10">
        <v>2098.79</v>
      </c>
      <c r="F301" s="10">
        <v>2164.12</v>
      </c>
      <c r="G301" s="10">
        <v>2162.5500000000002</v>
      </c>
      <c r="H301" s="10">
        <v>2165.2800000000002</v>
      </c>
      <c r="I301" s="10">
        <v>2160.6</v>
      </c>
      <c r="J301" s="10">
        <v>2156.79</v>
      </c>
      <c r="K301" s="10">
        <v>2177.5</v>
      </c>
      <c r="L301" s="10">
        <v>2166.21</v>
      </c>
      <c r="M301" s="10">
        <v>2131.7800000000002</v>
      </c>
      <c r="N301" s="10">
        <v>2165.64</v>
      </c>
      <c r="O301" s="10">
        <v>2167.77</v>
      </c>
      <c r="P301" s="10">
        <v>2170.4499999999998</v>
      </c>
      <c r="Q301" s="10">
        <v>2166.33</v>
      </c>
      <c r="R301" s="320">
        <f>IF((Q302=""),"",MAX(E303:Q303))</f>
        <v>488.83999999999992</v>
      </c>
      <c r="S301" s="320">
        <f>IF(Q302="","",MIN(E303:Q303))</f>
        <v>379.07999999999993</v>
      </c>
      <c r="T301" s="323">
        <f>IF((Q303=""),"",AVERAGE(E303:Q303))</f>
        <v>426.39923076923071</v>
      </c>
      <c r="U301" s="323">
        <f>IF((Q302=""),"",(R301-S301)/(R301+S301)*100)</f>
        <v>12.64632685040096</v>
      </c>
      <c r="V301" s="323">
        <f>STDEV(E303:Q303)</f>
        <v>31.331002872963403</v>
      </c>
      <c r="W301" s="314" t="str">
        <f>IF(Q302="","",IF(T301&gt;300,IF(U301&lt;14,IF(T301&lt;390,"Pass","Fail"),"Fail"),"Fail"))</f>
        <v>Fail</v>
      </c>
      <c r="X301" s="317">
        <v>1340</v>
      </c>
      <c r="Y301" s="328"/>
      <c r="Z301" s="221"/>
      <c r="AA301" s="102">
        <v>270</v>
      </c>
      <c r="AB301" s="102">
        <v>370</v>
      </c>
      <c r="AC301" s="102">
        <v>300</v>
      </c>
      <c r="AD301" s="103">
        <v>390</v>
      </c>
      <c r="AE301" s="103">
        <v>20</v>
      </c>
      <c r="AF301" s="103">
        <v>14</v>
      </c>
    </row>
    <row r="302" spans="1:32" ht="16.100000000000001" x14ac:dyDescent="0.35">
      <c r="A302" s="263"/>
      <c r="B302" s="104"/>
      <c r="C302" s="104"/>
      <c r="D302" s="100" t="s">
        <v>187</v>
      </c>
      <c r="E302" s="10">
        <v>1719.71</v>
      </c>
      <c r="F302" s="10">
        <v>1761.95</v>
      </c>
      <c r="G302" s="10">
        <v>1753.31</v>
      </c>
      <c r="H302" s="10">
        <v>1745.82</v>
      </c>
      <c r="I302" s="10">
        <v>1678.71</v>
      </c>
      <c r="J302" s="10">
        <v>1667.95</v>
      </c>
      <c r="K302" s="10">
        <v>1746.02</v>
      </c>
      <c r="L302" s="10">
        <v>1753.41</v>
      </c>
      <c r="M302" s="10">
        <v>1682.11</v>
      </c>
      <c r="N302" s="10">
        <v>1756.98</v>
      </c>
      <c r="O302" s="10">
        <v>1741.72</v>
      </c>
      <c r="P302" s="10">
        <v>1739.63</v>
      </c>
      <c r="Q302" s="10">
        <v>1763.3</v>
      </c>
      <c r="R302" s="321"/>
      <c r="S302" s="321"/>
      <c r="T302" s="324"/>
      <c r="U302" s="324"/>
      <c r="V302" s="326"/>
      <c r="W302" s="315"/>
      <c r="X302" s="318"/>
      <c r="Y302" s="329"/>
      <c r="Z302" s="221"/>
      <c r="AA302" s="102"/>
      <c r="AB302" s="102"/>
      <c r="AC302" s="102"/>
      <c r="AD302" s="103"/>
      <c r="AE302" s="103"/>
      <c r="AF302" s="103"/>
    </row>
    <row r="303" spans="1:32" ht="31.05" x14ac:dyDescent="0.35">
      <c r="A303" s="263"/>
      <c r="B303" s="99"/>
      <c r="C303" s="99"/>
      <c r="D303" s="100" t="s">
        <v>188</v>
      </c>
      <c r="E303" s="105">
        <f t="shared" ref="E303:Q303" si="98">IF(((E301="")*AND(E302="")),"",(E301-E302))</f>
        <v>379.07999999999993</v>
      </c>
      <c r="F303" s="105">
        <f t="shared" si="98"/>
        <v>402.16999999999985</v>
      </c>
      <c r="G303" s="105">
        <f t="shared" si="98"/>
        <v>409.24000000000024</v>
      </c>
      <c r="H303" s="105">
        <f t="shared" si="98"/>
        <v>419.46000000000026</v>
      </c>
      <c r="I303" s="105">
        <f t="shared" si="98"/>
        <v>481.88999999999987</v>
      </c>
      <c r="J303" s="105">
        <f t="shared" si="98"/>
        <v>488.83999999999992</v>
      </c>
      <c r="K303" s="105">
        <f t="shared" si="98"/>
        <v>431.48</v>
      </c>
      <c r="L303" s="105">
        <f t="shared" si="98"/>
        <v>412.79999999999995</v>
      </c>
      <c r="M303" s="105">
        <f t="shared" si="98"/>
        <v>449.6700000000003</v>
      </c>
      <c r="N303" s="105">
        <f t="shared" si="98"/>
        <v>408.65999999999985</v>
      </c>
      <c r="O303" s="105">
        <f t="shared" si="98"/>
        <v>426.04999999999995</v>
      </c>
      <c r="P303" s="105">
        <f t="shared" si="98"/>
        <v>430.81999999999971</v>
      </c>
      <c r="Q303" s="105">
        <f t="shared" si="98"/>
        <v>403.03</v>
      </c>
      <c r="R303" s="322"/>
      <c r="S303" s="322"/>
      <c r="T303" s="325"/>
      <c r="U303" s="325"/>
      <c r="V303" s="327"/>
      <c r="W303" s="316"/>
      <c r="X303" s="319"/>
      <c r="Y303" s="330"/>
      <c r="Z303" s="221"/>
      <c r="AA303" s="102"/>
      <c r="AB303" s="102"/>
      <c r="AC303" s="102"/>
      <c r="AD303" s="102"/>
      <c r="AE303" s="106"/>
      <c r="AF303" s="102"/>
    </row>
    <row r="304" spans="1:32" ht="15.55" x14ac:dyDescent="0.25">
      <c r="A304" s="264">
        <v>43115</v>
      </c>
      <c r="B304" s="99" t="s">
        <v>235</v>
      </c>
      <c r="C304" s="99" t="s">
        <v>232</v>
      </c>
      <c r="D304" s="100" t="s">
        <v>186</v>
      </c>
      <c r="E304" s="10">
        <v>2881.6</v>
      </c>
      <c r="F304" s="10">
        <v>2760.23</v>
      </c>
      <c r="G304" s="10">
        <v>2740.67</v>
      </c>
      <c r="H304" s="10">
        <v>2747.87</v>
      </c>
      <c r="I304" s="10">
        <v>2838.99</v>
      </c>
      <c r="J304" s="10">
        <v>2817.5</v>
      </c>
      <c r="K304" s="10">
        <v>2746.5</v>
      </c>
      <c r="L304" s="10">
        <v>2753.84</v>
      </c>
      <c r="M304" s="10">
        <v>2850.01</v>
      </c>
      <c r="N304" s="10">
        <v>2763.04</v>
      </c>
      <c r="O304" s="10">
        <v>2759.88</v>
      </c>
      <c r="P304" s="10">
        <v>2748.01</v>
      </c>
      <c r="Q304" s="10">
        <v>2775.94</v>
      </c>
      <c r="R304" s="320">
        <f>IF((Q305=""),"",MAX(E306:Q306))</f>
        <v>369.84000000000015</v>
      </c>
      <c r="S304" s="320">
        <f>IF(Q305="","",MIN(E306:Q306))</f>
        <v>313.70000000000027</v>
      </c>
      <c r="T304" s="323">
        <f>IF((Q306=""),"",AVERAGE(E306:Q306))</f>
        <v>332.48538461538465</v>
      </c>
      <c r="U304" s="323">
        <f>IF((Q305=""),"",(R304-S304)/(R304+S304)*100)</f>
        <v>8.2131257863475184</v>
      </c>
      <c r="V304" s="323">
        <f>STDEV(E306:Q306)</f>
        <v>22.033252375816101</v>
      </c>
      <c r="W304" s="314" t="str">
        <f>IF(Q305="","",IF(T304&gt;300,IF(U304&lt;14,IF(T304&lt;390,"Pass","Fail"),"Fail"),"Fail"))</f>
        <v>Pass</v>
      </c>
      <c r="X304" s="317">
        <v>1159</v>
      </c>
      <c r="Y304" s="328"/>
      <c r="Z304" s="221"/>
      <c r="AA304" s="102">
        <v>270</v>
      </c>
      <c r="AB304" s="102">
        <v>370</v>
      </c>
      <c r="AC304" s="102">
        <v>300</v>
      </c>
      <c r="AD304" s="103">
        <v>390</v>
      </c>
      <c r="AE304" s="103">
        <v>20</v>
      </c>
      <c r="AF304" s="103">
        <v>14</v>
      </c>
    </row>
    <row r="305" spans="1:32" ht="16.100000000000001" x14ac:dyDescent="0.35">
      <c r="A305" s="263"/>
      <c r="B305" s="104"/>
      <c r="C305" s="104"/>
      <c r="D305" s="100" t="s">
        <v>187</v>
      </c>
      <c r="E305" s="10">
        <v>2513.7800000000002</v>
      </c>
      <c r="F305" s="10">
        <v>2442.44</v>
      </c>
      <c r="G305" s="10">
        <v>2426.9699999999998</v>
      </c>
      <c r="H305" s="10">
        <v>2426.66</v>
      </c>
      <c r="I305" s="10">
        <v>2477.5500000000002</v>
      </c>
      <c r="J305" s="10">
        <v>2461.85</v>
      </c>
      <c r="K305" s="10">
        <v>2429.02</v>
      </c>
      <c r="L305" s="10">
        <v>2436.88</v>
      </c>
      <c r="M305" s="10">
        <v>2480.17</v>
      </c>
      <c r="N305" s="10">
        <v>2444.41</v>
      </c>
      <c r="O305" s="10">
        <v>2436.02</v>
      </c>
      <c r="P305" s="10">
        <v>2431.5500000000002</v>
      </c>
      <c r="Q305" s="10">
        <v>2454.4699999999998</v>
      </c>
      <c r="R305" s="321"/>
      <c r="S305" s="321"/>
      <c r="T305" s="324"/>
      <c r="U305" s="324"/>
      <c r="V305" s="326"/>
      <c r="W305" s="315"/>
      <c r="X305" s="318"/>
      <c r="Y305" s="329"/>
      <c r="Z305" s="221"/>
      <c r="AA305" s="102"/>
      <c r="AB305" s="102"/>
      <c r="AC305" s="102"/>
      <c r="AD305" s="103"/>
      <c r="AE305" s="103"/>
      <c r="AF305" s="103"/>
    </row>
    <row r="306" spans="1:32" ht="31.05" x14ac:dyDescent="0.35">
      <c r="A306" s="263"/>
      <c r="B306" s="99"/>
      <c r="C306" s="99"/>
      <c r="D306" s="100" t="s">
        <v>188</v>
      </c>
      <c r="E306" s="105">
        <f t="shared" ref="E306:Q306" si="99">IF(((E304="")*AND(E305="")),"",(E304-E305))</f>
        <v>367.81999999999971</v>
      </c>
      <c r="F306" s="105">
        <f t="shared" si="99"/>
        <v>317.78999999999996</v>
      </c>
      <c r="G306" s="105">
        <f t="shared" si="99"/>
        <v>313.70000000000027</v>
      </c>
      <c r="H306" s="105">
        <f t="shared" si="99"/>
        <v>321.21000000000004</v>
      </c>
      <c r="I306" s="105">
        <f t="shared" si="99"/>
        <v>361.4399999999996</v>
      </c>
      <c r="J306" s="105">
        <f t="shared" si="99"/>
        <v>355.65000000000009</v>
      </c>
      <c r="K306" s="105">
        <f t="shared" si="99"/>
        <v>317.48</v>
      </c>
      <c r="L306" s="105">
        <f t="shared" si="99"/>
        <v>316.96000000000004</v>
      </c>
      <c r="M306" s="105">
        <f t="shared" si="99"/>
        <v>369.84000000000015</v>
      </c>
      <c r="N306" s="105">
        <f t="shared" si="99"/>
        <v>318.63000000000011</v>
      </c>
      <c r="O306" s="105">
        <f t="shared" si="99"/>
        <v>323.86000000000013</v>
      </c>
      <c r="P306" s="105">
        <f t="shared" si="99"/>
        <v>316.46000000000004</v>
      </c>
      <c r="Q306" s="105">
        <f t="shared" si="99"/>
        <v>321.47000000000025</v>
      </c>
      <c r="R306" s="322"/>
      <c r="S306" s="322"/>
      <c r="T306" s="325"/>
      <c r="U306" s="325"/>
      <c r="V306" s="327"/>
      <c r="W306" s="316"/>
      <c r="X306" s="319"/>
      <c r="Y306" s="330"/>
      <c r="Z306" s="221"/>
      <c r="AA306" s="102"/>
      <c r="AB306" s="102"/>
      <c r="AC306" s="102"/>
      <c r="AD306" s="102"/>
      <c r="AE306" s="106"/>
      <c r="AF306" s="102"/>
    </row>
    <row r="307" spans="1:32" ht="15.55" x14ac:dyDescent="0.25">
      <c r="A307" s="264">
        <v>43486</v>
      </c>
      <c r="B307" s="99" t="s">
        <v>235</v>
      </c>
      <c r="C307" s="99" t="s">
        <v>232</v>
      </c>
      <c r="D307" s="100" t="s">
        <v>186</v>
      </c>
      <c r="E307" s="10">
        <v>2514.8200000000002</v>
      </c>
      <c r="F307" s="10">
        <v>2442.5300000000002</v>
      </c>
      <c r="G307" s="10">
        <v>2426.73</v>
      </c>
      <c r="H307" s="10">
        <v>2427.91</v>
      </c>
      <c r="I307" s="10">
        <v>2477.41</v>
      </c>
      <c r="J307" s="10">
        <v>2462.19</v>
      </c>
      <c r="K307" s="10">
        <v>2428.34</v>
      </c>
      <c r="L307" s="10">
        <v>2436.5100000000002</v>
      </c>
      <c r="M307" s="10">
        <v>2484.33</v>
      </c>
      <c r="N307" s="10">
        <v>2443.66</v>
      </c>
      <c r="O307" s="10">
        <v>2436.1999999999998</v>
      </c>
      <c r="P307" s="10">
        <v>2430.6799999999998</v>
      </c>
      <c r="Q307" s="10">
        <v>2452.96</v>
      </c>
      <c r="R307" s="320">
        <f>IF((Q308=""),"",MAX(E309:Q309))</f>
        <v>355.70000000000027</v>
      </c>
      <c r="S307" s="320">
        <f>IF(Q308="","",MIN(E309:Q309))</f>
        <v>236.35000000000036</v>
      </c>
      <c r="T307" s="323">
        <f>IF((Q309=""),"",AVERAGE(E309:Q309))</f>
        <v>271.3630769230769</v>
      </c>
      <c r="U307" s="323">
        <f>IF((Q308=""),"",(R307-S307)/(R307+S307)*100)</f>
        <v>20.158770374123769</v>
      </c>
      <c r="V307" s="323">
        <f>STDEV(E309:Q309)</f>
        <v>37.647524572144974</v>
      </c>
      <c r="W307" s="314" t="str">
        <f>IF(Q308="","",IF(T307&gt;300,IF(U307&lt;14,IF(T307&lt;390,"Pass","Fail"),"Fail"),"Fail"))</f>
        <v>Fail</v>
      </c>
      <c r="X307" s="317">
        <v>1428</v>
      </c>
      <c r="Y307" s="328"/>
      <c r="Z307" s="221"/>
      <c r="AA307" s="102">
        <v>270</v>
      </c>
      <c r="AB307" s="102">
        <v>370</v>
      </c>
      <c r="AC307" s="102">
        <v>300</v>
      </c>
      <c r="AD307" s="103">
        <v>390</v>
      </c>
      <c r="AE307" s="103">
        <v>20</v>
      </c>
      <c r="AF307" s="103">
        <v>14</v>
      </c>
    </row>
    <row r="308" spans="1:32" ht="16.100000000000001" x14ac:dyDescent="0.35">
      <c r="A308" s="263"/>
      <c r="B308" s="104"/>
      <c r="C308" s="104"/>
      <c r="D308" s="100" t="s">
        <v>187</v>
      </c>
      <c r="E308" s="10">
        <v>2159.12</v>
      </c>
      <c r="F308" s="10">
        <v>2182.6799999999998</v>
      </c>
      <c r="G308" s="10">
        <v>2183.0300000000002</v>
      </c>
      <c r="H308" s="10">
        <v>2186.77</v>
      </c>
      <c r="I308" s="10">
        <v>2177.5500000000002</v>
      </c>
      <c r="J308" s="10">
        <v>2176.1</v>
      </c>
      <c r="K308" s="10">
        <v>2191.9899999999998</v>
      </c>
      <c r="L308" s="10">
        <v>2184.52</v>
      </c>
      <c r="M308" s="10">
        <v>2151.38</v>
      </c>
      <c r="N308" s="10">
        <v>2185.29</v>
      </c>
      <c r="O308" s="10">
        <v>2188.42</v>
      </c>
      <c r="P308" s="10">
        <v>2189.86</v>
      </c>
      <c r="Q308" s="10">
        <v>2179.84</v>
      </c>
      <c r="R308" s="321"/>
      <c r="S308" s="321"/>
      <c r="T308" s="324"/>
      <c r="U308" s="324"/>
      <c r="V308" s="326"/>
      <c r="W308" s="315"/>
      <c r="X308" s="318"/>
      <c r="Y308" s="329"/>
      <c r="Z308" s="221"/>
      <c r="AA308" s="102"/>
      <c r="AB308" s="102"/>
      <c r="AC308" s="102"/>
      <c r="AD308" s="103"/>
      <c r="AE308" s="103"/>
      <c r="AF308" s="103"/>
    </row>
    <row r="309" spans="1:32" ht="31.05" x14ac:dyDescent="0.35">
      <c r="A309" s="263"/>
      <c r="B309" s="99"/>
      <c r="C309" s="99"/>
      <c r="D309" s="100" t="s">
        <v>188</v>
      </c>
      <c r="E309" s="105">
        <f t="shared" ref="E309:Q309" si="100">IF(((E307="")*AND(E308="")),"",(E307-E308))</f>
        <v>355.70000000000027</v>
      </c>
      <c r="F309" s="105">
        <f t="shared" si="100"/>
        <v>259.85000000000036</v>
      </c>
      <c r="G309" s="105">
        <f t="shared" si="100"/>
        <v>243.69999999999982</v>
      </c>
      <c r="H309" s="105">
        <f t="shared" si="100"/>
        <v>241.13999999999987</v>
      </c>
      <c r="I309" s="105">
        <f t="shared" si="100"/>
        <v>299.85999999999967</v>
      </c>
      <c r="J309" s="105">
        <f t="shared" si="100"/>
        <v>286.09000000000015</v>
      </c>
      <c r="K309" s="105">
        <f t="shared" si="100"/>
        <v>236.35000000000036</v>
      </c>
      <c r="L309" s="105">
        <f t="shared" si="100"/>
        <v>251.99000000000024</v>
      </c>
      <c r="M309" s="105">
        <f t="shared" si="100"/>
        <v>332.94999999999982</v>
      </c>
      <c r="N309" s="105">
        <f t="shared" si="100"/>
        <v>258.36999999999989</v>
      </c>
      <c r="O309" s="105">
        <f t="shared" si="100"/>
        <v>247.77999999999975</v>
      </c>
      <c r="P309" s="105">
        <f t="shared" si="100"/>
        <v>240.81999999999971</v>
      </c>
      <c r="Q309" s="105">
        <f t="shared" si="100"/>
        <v>273.11999999999989</v>
      </c>
      <c r="R309" s="322"/>
      <c r="S309" s="322"/>
      <c r="T309" s="325"/>
      <c r="U309" s="325"/>
      <c r="V309" s="327"/>
      <c r="W309" s="316"/>
      <c r="X309" s="319"/>
      <c r="Y309" s="330"/>
      <c r="Z309" s="221"/>
      <c r="AA309" s="102"/>
      <c r="AB309" s="102"/>
      <c r="AC309" s="102"/>
      <c r="AD309" s="102"/>
      <c r="AE309" s="106"/>
      <c r="AF309" s="102"/>
    </row>
    <row r="310" spans="1:32" ht="15.55" x14ac:dyDescent="0.25">
      <c r="A310" s="264">
        <v>43486</v>
      </c>
      <c r="B310" s="99" t="s">
        <v>235</v>
      </c>
      <c r="C310" s="99" t="s">
        <v>232</v>
      </c>
      <c r="D310" s="100" t="s">
        <v>186</v>
      </c>
      <c r="E310" s="10">
        <v>2880.52</v>
      </c>
      <c r="F310" s="10">
        <v>2754.3</v>
      </c>
      <c r="G310" s="10">
        <v>2738.04</v>
      </c>
      <c r="H310" s="10">
        <v>2742.33</v>
      </c>
      <c r="I310" s="10">
        <v>2840.39</v>
      </c>
      <c r="J310" s="10">
        <v>2814.97</v>
      </c>
      <c r="K310" s="10">
        <v>2742.96</v>
      </c>
      <c r="L310" s="10">
        <v>2749.83</v>
      </c>
      <c r="M310" s="10">
        <v>2837.92</v>
      </c>
      <c r="N310" s="10">
        <v>2765.55</v>
      </c>
      <c r="O310" s="10">
        <v>2754.22</v>
      </c>
      <c r="P310" s="10">
        <v>2750.76</v>
      </c>
      <c r="Q310" s="10">
        <v>2768.24</v>
      </c>
      <c r="R310" s="320">
        <f>IF((Q311=""),"",MAX(E312:Q312))</f>
        <v>389.84999999999991</v>
      </c>
      <c r="S310" s="320">
        <f>IF(Q311="","",MIN(E312:Q312))</f>
        <v>311.57000000000016</v>
      </c>
      <c r="T310" s="323">
        <f>IF((Q312=""),"",AVERAGE(E312:Q312))</f>
        <v>337.61692307692306</v>
      </c>
      <c r="U310" s="323">
        <f>IF((Q311=""),"",(R310-S310)/(R310+S310)*100)</f>
        <v>11.160217843802535</v>
      </c>
      <c r="V310" s="323">
        <f>STDEV(E312:Q312)</f>
        <v>32.14500800658768</v>
      </c>
      <c r="W310" s="314" t="str">
        <f>IF(Q311="","",IF(T310&gt;300,IF(U310&lt;14,IF(T310&lt;390,"Pass","Fail"),"Fail"),"Fail"))</f>
        <v>Pass</v>
      </c>
      <c r="X310" s="317">
        <v>1428</v>
      </c>
      <c r="Y310" s="227" t="s">
        <v>244</v>
      </c>
      <c r="Z310" s="221"/>
      <c r="AA310" s="102">
        <v>270</v>
      </c>
      <c r="AB310" s="102">
        <v>370</v>
      </c>
      <c r="AC310" s="102">
        <v>300</v>
      </c>
      <c r="AD310" s="103">
        <v>390</v>
      </c>
      <c r="AE310" s="103">
        <v>20</v>
      </c>
      <c r="AF310" s="103">
        <v>14</v>
      </c>
    </row>
    <row r="311" spans="1:32" ht="16.100000000000001" x14ac:dyDescent="0.35">
      <c r="A311" s="263"/>
      <c r="B311" s="104"/>
      <c r="C311" s="104"/>
      <c r="D311" s="100" t="s">
        <v>187</v>
      </c>
      <c r="E311" s="10">
        <v>2493.15</v>
      </c>
      <c r="F311" s="10">
        <v>2440.1799999999998</v>
      </c>
      <c r="G311" s="10">
        <v>2426.46</v>
      </c>
      <c r="H311" s="10">
        <v>2427.54</v>
      </c>
      <c r="I311" s="10">
        <v>2459.83</v>
      </c>
      <c r="J311" s="10">
        <v>2439.21</v>
      </c>
      <c r="K311" s="10">
        <v>2431.39</v>
      </c>
      <c r="L311" s="10">
        <v>2433.0500000000002</v>
      </c>
      <c r="M311" s="10">
        <v>2448.0700000000002</v>
      </c>
      <c r="N311" s="10">
        <v>2445.36</v>
      </c>
      <c r="O311" s="10">
        <v>2430.12</v>
      </c>
      <c r="P311" s="10">
        <v>2427.83</v>
      </c>
      <c r="Q311" s="10">
        <v>2448.8200000000002</v>
      </c>
      <c r="R311" s="321"/>
      <c r="S311" s="321"/>
      <c r="T311" s="324"/>
      <c r="U311" s="324"/>
      <c r="V311" s="326"/>
      <c r="W311" s="315"/>
      <c r="X311" s="318"/>
      <c r="Y311" s="224"/>
      <c r="Z311" s="221"/>
      <c r="AA311" s="102"/>
      <c r="AB311" s="102"/>
      <c r="AC311" s="102"/>
      <c r="AD311" s="103"/>
      <c r="AE311" s="103"/>
      <c r="AF311" s="103"/>
    </row>
    <row r="312" spans="1:32" ht="31.05" x14ac:dyDescent="0.35">
      <c r="A312" s="263"/>
      <c r="B312" s="99"/>
      <c r="C312" s="99"/>
      <c r="D312" s="100" t="s">
        <v>188</v>
      </c>
      <c r="E312" s="105">
        <f t="shared" ref="E312:Q312" si="101">IF(((E310="")*AND(E311="")),"",(E310-E311))</f>
        <v>387.36999999999989</v>
      </c>
      <c r="F312" s="105">
        <f t="shared" si="101"/>
        <v>314.12000000000035</v>
      </c>
      <c r="G312" s="105">
        <f t="shared" si="101"/>
        <v>311.57999999999993</v>
      </c>
      <c r="H312" s="105">
        <f t="shared" si="101"/>
        <v>314.78999999999996</v>
      </c>
      <c r="I312" s="105">
        <f t="shared" si="101"/>
        <v>380.55999999999995</v>
      </c>
      <c r="J312" s="105">
        <f t="shared" si="101"/>
        <v>375.75999999999976</v>
      </c>
      <c r="K312" s="105">
        <f t="shared" si="101"/>
        <v>311.57000000000016</v>
      </c>
      <c r="L312" s="105">
        <f t="shared" si="101"/>
        <v>316.77999999999975</v>
      </c>
      <c r="M312" s="105">
        <f t="shared" si="101"/>
        <v>389.84999999999991</v>
      </c>
      <c r="N312" s="105">
        <f t="shared" si="101"/>
        <v>320.19000000000005</v>
      </c>
      <c r="O312" s="105">
        <f t="shared" si="101"/>
        <v>324.09999999999991</v>
      </c>
      <c r="P312" s="105">
        <f t="shared" si="101"/>
        <v>322.93000000000029</v>
      </c>
      <c r="Q312" s="105">
        <f t="shared" si="101"/>
        <v>319.41999999999962</v>
      </c>
      <c r="R312" s="322"/>
      <c r="S312" s="322"/>
      <c r="T312" s="325"/>
      <c r="U312" s="325"/>
      <c r="V312" s="327"/>
      <c r="W312" s="316"/>
      <c r="X312" s="319"/>
      <c r="Y312" s="225"/>
      <c r="Z312" s="221"/>
      <c r="AA312" s="102"/>
      <c r="AB312" s="102"/>
      <c r="AC312" s="102"/>
      <c r="AD312" s="102"/>
      <c r="AE312" s="106"/>
      <c r="AF312" s="102"/>
    </row>
    <row r="313" spans="1:32" ht="15.55" x14ac:dyDescent="0.25">
      <c r="A313" s="264">
        <v>43489</v>
      </c>
      <c r="B313" s="99" t="s">
        <v>235</v>
      </c>
      <c r="C313" s="99" t="s">
        <v>232</v>
      </c>
      <c r="D313" s="100" t="s">
        <v>186</v>
      </c>
      <c r="E313" s="10">
        <v>2886.13</v>
      </c>
      <c r="F313" s="10">
        <v>2764.83</v>
      </c>
      <c r="G313" s="10">
        <v>2744.24</v>
      </c>
      <c r="H313" s="10">
        <v>2749.48</v>
      </c>
      <c r="I313" s="10">
        <v>2844.91</v>
      </c>
      <c r="J313" s="10">
        <v>2827.59</v>
      </c>
      <c r="K313" s="10">
        <v>2752.72</v>
      </c>
      <c r="L313" s="10">
        <v>2757.31</v>
      </c>
      <c r="M313" s="10">
        <v>2845.54</v>
      </c>
      <c r="N313" s="10">
        <v>2768.65</v>
      </c>
      <c r="O313" s="10">
        <v>2759.82</v>
      </c>
      <c r="P313" s="10">
        <v>2755.65</v>
      </c>
      <c r="Q313" s="10">
        <v>2777.92</v>
      </c>
      <c r="R313" s="320">
        <f>IF((Q314=""),"",MAX(E315:Q315))</f>
        <v>372.59000000000015</v>
      </c>
      <c r="S313" s="320">
        <f>IF(Q314="","",MIN(E315:Q315))</f>
        <v>316.70999999999958</v>
      </c>
      <c r="T313" s="323">
        <f>IF((Q315=""),"",AVERAGE(E315:Q315))</f>
        <v>335.55923076923074</v>
      </c>
      <c r="U313" s="323">
        <f>IF((Q314=""),"",(R313-S313)/(R313+S313)*100)</f>
        <v>8.1067749891194829</v>
      </c>
      <c r="V313" s="323">
        <f>STDEV(E315:Q315)</f>
        <v>23.306301172836836</v>
      </c>
      <c r="W313" s="314" t="str">
        <f>IF(Q314="","",IF(T313&gt;300,IF(U313&lt;14,IF(T313&lt;390,"Pass","Fail"),"Fail"),"Fail"))</f>
        <v>Pass</v>
      </c>
      <c r="X313" s="317">
        <v>1340</v>
      </c>
      <c r="Y313" s="227" t="s">
        <v>219</v>
      </c>
      <c r="Z313" s="221"/>
      <c r="AA313" s="102">
        <v>270</v>
      </c>
      <c r="AB313" s="102">
        <v>370</v>
      </c>
      <c r="AC313" s="102">
        <v>300</v>
      </c>
      <c r="AD313" s="103">
        <v>390</v>
      </c>
      <c r="AE313" s="103">
        <v>20</v>
      </c>
      <c r="AF313" s="103">
        <v>14</v>
      </c>
    </row>
    <row r="314" spans="1:32" ht="16.100000000000001" x14ac:dyDescent="0.35">
      <c r="A314" s="263"/>
      <c r="B314" s="104"/>
      <c r="C314" s="104"/>
      <c r="D314" s="100" t="s">
        <v>187</v>
      </c>
      <c r="E314" s="10">
        <v>2513.54</v>
      </c>
      <c r="F314" s="10">
        <v>2445.94</v>
      </c>
      <c r="G314" s="10">
        <v>2427.5300000000002</v>
      </c>
      <c r="H314" s="10">
        <v>2428.56</v>
      </c>
      <c r="I314" s="10">
        <v>2478.27</v>
      </c>
      <c r="J314" s="10">
        <v>2463.44</v>
      </c>
      <c r="K314" s="10">
        <v>2431.17</v>
      </c>
      <c r="L314" s="10">
        <v>2440.44</v>
      </c>
      <c r="M314" s="10">
        <v>2473.61</v>
      </c>
      <c r="N314" s="10">
        <v>2448.86</v>
      </c>
      <c r="O314" s="10">
        <v>2437.1999999999998</v>
      </c>
      <c r="P314" s="10">
        <v>2430.5</v>
      </c>
      <c r="Q314" s="10">
        <v>2453.46</v>
      </c>
      <c r="R314" s="321"/>
      <c r="S314" s="321"/>
      <c r="T314" s="324"/>
      <c r="U314" s="324"/>
      <c r="V314" s="326"/>
      <c r="W314" s="315"/>
      <c r="X314" s="318"/>
      <c r="Y314" s="224"/>
      <c r="Z314" s="221"/>
      <c r="AA314" s="102"/>
      <c r="AB314" s="102"/>
      <c r="AC314" s="102"/>
      <c r="AD314" s="103"/>
      <c r="AE314" s="103"/>
      <c r="AF314" s="103"/>
    </row>
    <row r="315" spans="1:32" ht="31.05" x14ac:dyDescent="0.35">
      <c r="A315" s="263"/>
      <c r="B315" s="99"/>
      <c r="C315" s="99"/>
      <c r="D315" s="100" t="s">
        <v>188</v>
      </c>
      <c r="E315" s="105">
        <f t="shared" ref="E315:Q315" si="102">IF(((E313="")*AND(E314="")),"",(E313-E314))</f>
        <v>372.59000000000015</v>
      </c>
      <c r="F315" s="105">
        <f t="shared" si="102"/>
        <v>318.88999999999987</v>
      </c>
      <c r="G315" s="105">
        <f t="shared" si="102"/>
        <v>316.70999999999958</v>
      </c>
      <c r="H315" s="105">
        <f t="shared" si="102"/>
        <v>320.92000000000007</v>
      </c>
      <c r="I315" s="105">
        <f t="shared" si="102"/>
        <v>366.63999999999987</v>
      </c>
      <c r="J315" s="105">
        <f t="shared" si="102"/>
        <v>364.15000000000009</v>
      </c>
      <c r="K315" s="105">
        <f t="shared" si="102"/>
        <v>321.54999999999973</v>
      </c>
      <c r="L315" s="105">
        <f t="shared" si="102"/>
        <v>316.86999999999989</v>
      </c>
      <c r="M315" s="105">
        <f t="shared" si="102"/>
        <v>371.92999999999984</v>
      </c>
      <c r="N315" s="105">
        <f t="shared" si="102"/>
        <v>319.78999999999996</v>
      </c>
      <c r="O315" s="105">
        <f t="shared" si="102"/>
        <v>322.62000000000035</v>
      </c>
      <c r="P315" s="105">
        <f t="shared" si="102"/>
        <v>325.15000000000009</v>
      </c>
      <c r="Q315" s="105">
        <f t="shared" si="102"/>
        <v>324.46000000000004</v>
      </c>
      <c r="R315" s="322"/>
      <c r="S315" s="322"/>
      <c r="T315" s="325"/>
      <c r="U315" s="325"/>
      <c r="V315" s="327"/>
      <c r="W315" s="316"/>
      <c r="X315" s="319"/>
      <c r="Y315" s="225"/>
      <c r="Z315" s="221"/>
      <c r="AA315" s="102"/>
      <c r="AB315" s="102"/>
      <c r="AC315" s="102"/>
      <c r="AD315" s="102"/>
      <c r="AE315" s="106"/>
      <c r="AF315" s="102"/>
    </row>
    <row r="316" spans="1:32" ht="15.55" x14ac:dyDescent="0.25">
      <c r="A316" s="264">
        <v>43493</v>
      </c>
      <c r="B316" s="99" t="s">
        <v>235</v>
      </c>
      <c r="C316" s="99" t="s">
        <v>232</v>
      </c>
      <c r="D316" s="100" t="s">
        <v>186</v>
      </c>
      <c r="E316" s="10">
        <v>2513.54</v>
      </c>
      <c r="F316" s="10">
        <v>2445.94</v>
      </c>
      <c r="G316" s="10">
        <v>2427.5300000000002</v>
      </c>
      <c r="H316" s="10">
        <v>2428.56</v>
      </c>
      <c r="I316" s="10">
        <v>2478.27</v>
      </c>
      <c r="J316" s="10">
        <v>2463.44</v>
      </c>
      <c r="K316" s="10">
        <v>2431.17</v>
      </c>
      <c r="L316" s="10">
        <v>2440.44</v>
      </c>
      <c r="M316" s="10">
        <v>2473.61</v>
      </c>
      <c r="N316" s="10">
        <v>2448.86</v>
      </c>
      <c r="O316" s="10">
        <v>2437.1999999999998</v>
      </c>
      <c r="P316" s="10">
        <v>2430.5</v>
      </c>
      <c r="Q316" s="10">
        <v>2453.46</v>
      </c>
      <c r="R316" s="320">
        <f>IF((Q317=""),"",MAX(E318:Q318))</f>
        <v>371.65999999999985</v>
      </c>
      <c r="S316" s="320">
        <f>IF(Q317="","",MIN(E318:Q318))</f>
        <v>232.67000000000007</v>
      </c>
      <c r="T316" s="323">
        <f>IF((Q318=""),"",AVERAGE(E318:Q318))</f>
        <v>274.73615384615391</v>
      </c>
      <c r="U316" s="323">
        <f>IF((Q317=""),"",(R316-S316)/(R316+S316)*100)</f>
        <v>22.999023712210185</v>
      </c>
      <c r="V316" s="323">
        <f>STDEV(E318:Q318)</f>
        <v>42.759912016291892</v>
      </c>
      <c r="W316" s="314" t="str">
        <f>IF(Q317="","",IF(T316&gt;300,IF(U316&lt;14,IF(T316&lt;390,"Pass","Fail"),"Fail"),"Fail"))</f>
        <v>Fail</v>
      </c>
      <c r="X316" s="317">
        <v>1340</v>
      </c>
      <c r="Y316" s="328"/>
      <c r="Z316" s="221"/>
      <c r="AA316" s="102">
        <v>270</v>
      </c>
      <c r="AB316" s="102">
        <v>370</v>
      </c>
      <c r="AC316" s="102">
        <v>300</v>
      </c>
      <c r="AD316" s="103">
        <v>390</v>
      </c>
      <c r="AE316" s="103">
        <v>20</v>
      </c>
      <c r="AF316" s="103">
        <v>14</v>
      </c>
    </row>
    <row r="317" spans="1:32" ht="16.100000000000001" x14ac:dyDescent="0.35">
      <c r="A317" s="263"/>
      <c r="B317" s="104"/>
      <c r="C317" s="104"/>
      <c r="D317" s="100" t="s">
        <v>187</v>
      </c>
      <c r="E317" s="10">
        <v>2141.88</v>
      </c>
      <c r="F317" s="10">
        <v>2182.94</v>
      </c>
      <c r="G317" s="10">
        <v>2191.58</v>
      </c>
      <c r="H317" s="10">
        <v>2189.06</v>
      </c>
      <c r="I317" s="10">
        <v>2165.21</v>
      </c>
      <c r="J317" s="10">
        <v>2167.91</v>
      </c>
      <c r="K317" s="10">
        <v>2198.5</v>
      </c>
      <c r="L317" s="10">
        <v>2182.83</v>
      </c>
      <c r="M317" s="10">
        <v>2138.46</v>
      </c>
      <c r="N317" s="10">
        <v>2185.4899999999998</v>
      </c>
      <c r="O317" s="10">
        <v>2184.92</v>
      </c>
      <c r="P317" s="10">
        <v>2193.39</v>
      </c>
      <c r="Q317" s="10">
        <v>2178.7800000000002</v>
      </c>
      <c r="R317" s="321"/>
      <c r="S317" s="321"/>
      <c r="T317" s="324"/>
      <c r="U317" s="324"/>
      <c r="V317" s="326"/>
      <c r="W317" s="315"/>
      <c r="X317" s="318"/>
      <c r="Y317" s="329"/>
      <c r="Z317" s="221"/>
      <c r="AA317" s="102"/>
      <c r="AB317" s="102"/>
      <c r="AC317" s="102"/>
      <c r="AD317" s="103"/>
      <c r="AE317" s="103"/>
      <c r="AF317" s="103"/>
    </row>
    <row r="318" spans="1:32" ht="31.05" x14ac:dyDescent="0.35">
      <c r="A318" s="263"/>
      <c r="B318" s="99"/>
      <c r="C318" s="99"/>
      <c r="D318" s="100" t="s">
        <v>188</v>
      </c>
      <c r="E318" s="105">
        <f t="shared" ref="E318:Q318" si="103">IF(((E316="")*AND(E317="")),"",(E316-E317))</f>
        <v>371.65999999999985</v>
      </c>
      <c r="F318" s="105">
        <f t="shared" si="103"/>
        <v>263</v>
      </c>
      <c r="G318" s="105">
        <f t="shared" si="103"/>
        <v>235.95000000000027</v>
      </c>
      <c r="H318" s="105">
        <f t="shared" si="103"/>
        <v>239.5</v>
      </c>
      <c r="I318" s="105">
        <f t="shared" si="103"/>
        <v>313.05999999999995</v>
      </c>
      <c r="J318" s="105">
        <f t="shared" si="103"/>
        <v>295.5300000000002</v>
      </c>
      <c r="K318" s="105">
        <f t="shared" si="103"/>
        <v>232.67000000000007</v>
      </c>
      <c r="L318" s="105">
        <f t="shared" si="103"/>
        <v>257.61000000000013</v>
      </c>
      <c r="M318" s="105">
        <f t="shared" si="103"/>
        <v>335.15000000000009</v>
      </c>
      <c r="N318" s="105">
        <f t="shared" si="103"/>
        <v>263.37000000000035</v>
      </c>
      <c r="O318" s="105">
        <f t="shared" si="103"/>
        <v>252.27999999999975</v>
      </c>
      <c r="P318" s="105">
        <f t="shared" si="103"/>
        <v>237.11000000000013</v>
      </c>
      <c r="Q318" s="105">
        <f t="shared" si="103"/>
        <v>274.67999999999984</v>
      </c>
      <c r="R318" s="322"/>
      <c r="S318" s="322"/>
      <c r="T318" s="325"/>
      <c r="U318" s="325"/>
      <c r="V318" s="327"/>
      <c r="W318" s="316"/>
      <c r="X318" s="319"/>
      <c r="Y318" s="330"/>
      <c r="Z318" s="221"/>
      <c r="AA318" s="102"/>
      <c r="AB318" s="102"/>
      <c r="AC318" s="102"/>
      <c r="AD318" s="102"/>
      <c r="AE318" s="106"/>
      <c r="AF318" s="102"/>
    </row>
    <row r="319" spans="1:32" ht="15.55" x14ac:dyDescent="0.25">
      <c r="A319" s="264">
        <v>43493</v>
      </c>
      <c r="B319" s="99" t="s">
        <v>235</v>
      </c>
      <c r="C319" s="99" t="s">
        <v>232</v>
      </c>
      <c r="D319" s="100" t="s">
        <v>186</v>
      </c>
      <c r="E319" s="10">
        <v>2881.63</v>
      </c>
      <c r="F319" s="10">
        <v>2758.92</v>
      </c>
      <c r="G319" s="10">
        <v>2740.67</v>
      </c>
      <c r="H319" s="10">
        <v>2743.19</v>
      </c>
      <c r="I319" s="10">
        <v>2843.4</v>
      </c>
      <c r="J319" s="10">
        <v>2823.04</v>
      </c>
      <c r="K319" s="10">
        <v>2745.31</v>
      </c>
      <c r="L319" s="10">
        <v>2752.13</v>
      </c>
      <c r="M319" s="10">
        <v>2842.53</v>
      </c>
      <c r="N319" s="10">
        <v>2765.93</v>
      </c>
      <c r="O319" s="10">
        <v>2756.93</v>
      </c>
      <c r="P319" s="10">
        <v>2750.3</v>
      </c>
      <c r="Q319" s="10">
        <v>2773</v>
      </c>
      <c r="R319" s="320">
        <f>IF((Q320=""),"",MAX(E321:Q321))</f>
        <v>389.39000000000033</v>
      </c>
      <c r="S319" s="320">
        <f>IF(Q320="","",MIN(E321:Q321))</f>
        <v>313.57000000000016</v>
      </c>
      <c r="T319" s="323">
        <f>IF((Q321=""),"",AVERAGE(E321:Q321))</f>
        <v>339.87692307692311</v>
      </c>
      <c r="U319" s="323">
        <f>IF((Q320=""),"",(R319-S319)/(R319+S319)*100)</f>
        <v>10.78581996130649</v>
      </c>
      <c r="V319" s="323">
        <f>STDEV(E321:Q321)</f>
        <v>30.788273033904602</v>
      </c>
      <c r="W319" s="314" t="str">
        <f>IF(Q320="","",IF(T319&gt;300,IF(U319&lt;14,IF(T319&lt;390,"Pass","Fail"),"Fail"),"Fail"))</f>
        <v>Pass</v>
      </c>
      <c r="X319" s="317">
        <v>121</v>
      </c>
      <c r="Y319" s="227" t="s">
        <v>220</v>
      </c>
      <c r="Z319" s="221"/>
      <c r="AA319" s="102">
        <v>270</v>
      </c>
      <c r="AB319" s="102">
        <v>370</v>
      </c>
      <c r="AC319" s="102">
        <v>300</v>
      </c>
      <c r="AD319" s="103">
        <v>390</v>
      </c>
      <c r="AE319" s="103">
        <v>20</v>
      </c>
      <c r="AF319" s="103">
        <v>14</v>
      </c>
    </row>
    <row r="320" spans="1:32" ht="16.100000000000001" x14ac:dyDescent="0.35">
      <c r="A320" s="263"/>
      <c r="B320" s="104"/>
      <c r="C320" s="104"/>
      <c r="D320" s="100" t="s">
        <v>187</v>
      </c>
      <c r="E320" s="10">
        <v>2498.15</v>
      </c>
      <c r="F320" s="10">
        <v>2441.0700000000002</v>
      </c>
      <c r="G320" s="10">
        <v>2427.1</v>
      </c>
      <c r="H320" s="10">
        <v>2424.9499999999998</v>
      </c>
      <c r="I320" s="10">
        <v>2458.84</v>
      </c>
      <c r="J320" s="10">
        <v>2444.98</v>
      </c>
      <c r="K320" s="10">
        <v>2428.1</v>
      </c>
      <c r="L320" s="10">
        <v>2431.3200000000002</v>
      </c>
      <c r="M320" s="10">
        <v>2453.14</v>
      </c>
      <c r="N320" s="10">
        <v>2441</v>
      </c>
      <c r="O320" s="10">
        <v>2431.2199999999998</v>
      </c>
      <c r="P320" s="10">
        <v>2429.15</v>
      </c>
      <c r="Q320" s="10">
        <v>2449.56</v>
      </c>
      <c r="R320" s="321"/>
      <c r="S320" s="321"/>
      <c r="T320" s="324"/>
      <c r="U320" s="324"/>
      <c r="V320" s="326"/>
      <c r="W320" s="315"/>
      <c r="X320" s="318"/>
      <c r="Y320" s="224"/>
      <c r="Z320" s="221"/>
      <c r="AA320" s="102"/>
      <c r="AB320" s="102"/>
      <c r="AC320" s="102"/>
      <c r="AD320" s="103"/>
      <c r="AE320" s="103"/>
      <c r="AF320" s="103"/>
    </row>
    <row r="321" spans="1:32" ht="31.05" x14ac:dyDescent="0.35">
      <c r="A321" s="263"/>
      <c r="B321" s="99"/>
      <c r="C321" s="99"/>
      <c r="D321" s="100" t="s">
        <v>188</v>
      </c>
      <c r="E321" s="105">
        <f t="shared" ref="E321:Q321" si="104">IF(((E319="")*AND(E320="")),"",(E319-E320))</f>
        <v>383.48</v>
      </c>
      <c r="F321" s="105">
        <f t="shared" si="104"/>
        <v>317.84999999999991</v>
      </c>
      <c r="G321" s="105">
        <f t="shared" si="104"/>
        <v>313.57000000000016</v>
      </c>
      <c r="H321" s="105">
        <f t="shared" si="104"/>
        <v>318.24000000000024</v>
      </c>
      <c r="I321" s="105">
        <f t="shared" si="104"/>
        <v>384.55999999999995</v>
      </c>
      <c r="J321" s="105">
        <f t="shared" si="104"/>
        <v>378.05999999999995</v>
      </c>
      <c r="K321" s="105">
        <f t="shared" si="104"/>
        <v>317.21000000000004</v>
      </c>
      <c r="L321" s="105">
        <f t="shared" si="104"/>
        <v>320.80999999999995</v>
      </c>
      <c r="M321" s="105">
        <f t="shared" si="104"/>
        <v>389.39000000000033</v>
      </c>
      <c r="N321" s="105">
        <f t="shared" si="104"/>
        <v>324.92999999999984</v>
      </c>
      <c r="O321" s="105">
        <f t="shared" si="104"/>
        <v>325.71000000000004</v>
      </c>
      <c r="P321" s="105">
        <f t="shared" si="104"/>
        <v>321.15000000000009</v>
      </c>
      <c r="Q321" s="105">
        <f t="shared" si="104"/>
        <v>323.44000000000005</v>
      </c>
      <c r="R321" s="322"/>
      <c r="S321" s="322"/>
      <c r="T321" s="325"/>
      <c r="U321" s="325"/>
      <c r="V321" s="327"/>
      <c r="W321" s="316"/>
      <c r="X321" s="319"/>
      <c r="Y321" s="225"/>
      <c r="Z321" s="221"/>
      <c r="AA321" s="102"/>
      <c r="AB321" s="102"/>
      <c r="AC321" s="102"/>
      <c r="AD321" s="102"/>
      <c r="AE321" s="106"/>
      <c r="AF321" s="102"/>
    </row>
    <row r="322" spans="1:32" ht="15.55" x14ac:dyDescent="0.25">
      <c r="A322" s="264">
        <v>43497</v>
      </c>
      <c r="B322" s="99" t="s">
        <v>235</v>
      </c>
      <c r="C322" s="99" t="s">
        <v>232</v>
      </c>
      <c r="D322" s="100" t="s">
        <v>186</v>
      </c>
      <c r="E322" s="10">
        <v>2886.16</v>
      </c>
      <c r="F322" s="10">
        <v>2765.74</v>
      </c>
      <c r="G322" s="10">
        <v>2747.14</v>
      </c>
      <c r="H322" s="10">
        <v>2753.39</v>
      </c>
      <c r="I322" s="10">
        <v>2847.27</v>
      </c>
      <c r="J322" s="10">
        <v>2830.6</v>
      </c>
      <c r="K322" s="10">
        <v>2753.05</v>
      </c>
      <c r="L322" s="10">
        <v>2757.49</v>
      </c>
      <c r="M322" s="10">
        <v>2845.34</v>
      </c>
      <c r="N322" s="10">
        <v>2771.57</v>
      </c>
      <c r="O322" s="10">
        <v>2763.73</v>
      </c>
      <c r="P322" s="10">
        <v>2758.67</v>
      </c>
      <c r="Q322" s="10">
        <v>2778.96</v>
      </c>
      <c r="R322" s="320">
        <f>IF((Q323=""),"",MAX(E324:Q324))</f>
        <v>369.55999999999995</v>
      </c>
      <c r="S322" s="320">
        <f>IF(Q323="","",MIN(E324:Q324))</f>
        <v>313.77</v>
      </c>
      <c r="T322" s="323">
        <f>IF((Q324=""),"",AVERAGE(E324:Q324))</f>
        <v>333.0661538461539</v>
      </c>
      <c r="U322" s="323">
        <f>IF((Q323=""),"",(R322-S322)/(R322+S322)*100)</f>
        <v>8.1644300703905834</v>
      </c>
      <c r="V322" s="323">
        <f>STDEV(E324:Q324)</f>
        <v>23.089464241821659</v>
      </c>
      <c r="W322" s="314" t="str">
        <f>IF(Q323="","",IF(T322&gt;300,IF(U322&lt;14,IF(T322&lt;390,"Pass","Fail"),"Fail"),"Fail"))</f>
        <v>Pass</v>
      </c>
      <c r="X322" s="317">
        <v>1159</v>
      </c>
      <c r="Y322" s="227" t="s">
        <v>221</v>
      </c>
      <c r="Z322" s="221"/>
      <c r="AA322" s="102">
        <v>270</v>
      </c>
      <c r="AB322" s="102">
        <v>370</v>
      </c>
      <c r="AC322" s="102">
        <v>300</v>
      </c>
      <c r="AD322" s="103">
        <v>390</v>
      </c>
      <c r="AE322" s="103">
        <v>20</v>
      </c>
      <c r="AF322" s="103">
        <v>14</v>
      </c>
    </row>
    <row r="323" spans="1:32" ht="16.100000000000001" x14ac:dyDescent="0.35">
      <c r="A323" s="263"/>
      <c r="B323" s="104"/>
      <c r="C323" s="104"/>
      <c r="D323" s="100" t="s">
        <v>187</v>
      </c>
      <c r="E323" s="10">
        <v>2516.6</v>
      </c>
      <c r="F323" s="10">
        <v>2451.21</v>
      </c>
      <c r="G323" s="10">
        <v>2433.37</v>
      </c>
      <c r="H323" s="10">
        <v>2436.42</v>
      </c>
      <c r="I323" s="10">
        <v>2484.7199999999998</v>
      </c>
      <c r="J323" s="10">
        <v>2467.2199999999998</v>
      </c>
      <c r="K323" s="10">
        <v>2435.87</v>
      </c>
      <c r="L323" s="10">
        <v>2439.9</v>
      </c>
      <c r="M323" s="10">
        <v>2476.75</v>
      </c>
      <c r="N323" s="10">
        <v>2451.67</v>
      </c>
      <c r="O323" s="10">
        <v>2441.2399999999998</v>
      </c>
      <c r="P323" s="10">
        <v>2435.6</v>
      </c>
      <c r="Q323" s="10">
        <v>2458.6799999999998</v>
      </c>
      <c r="R323" s="321"/>
      <c r="S323" s="321"/>
      <c r="T323" s="324"/>
      <c r="U323" s="324"/>
      <c r="V323" s="326"/>
      <c r="W323" s="315"/>
      <c r="X323" s="318"/>
      <c r="Y323" s="224"/>
      <c r="Z323" s="221"/>
      <c r="AA323" s="102"/>
      <c r="AB323" s="102"/>
      <c r="AC323" s="102"/>
      <c r="AD323" s="103"/>
      <c r="AE323" s="103"/>
      <c r="AF323" s="103"/>
    </row>
    <row r="324" spans="1:32" ht="31.05" x14ac:dyDescent="0.35">
      <c r="A324" s="263"/>
      <c r="B324" s="99"/>
      <c r="C324" s="99"/>
      <c r="D324" s="100" t="s">
        <v>188</v>
      </c>
      <c r="E324" s="105">
        <f t="shared" ref="E324:Q324" si="105">IF(((E322="")*AND(E323="")),"",(E322-E323))</f>
        <v>369.55999999999995</v>
      </c>
      <c r="F324" s="105">
        <f t="shared" si="105"/>
        <v>314.52999999999975</v>
      </c>
      <c r="G324" s="105">
        <f t="shared" si="105"/>
        <v>313.77</v>
      </c>
      <c r="H324" s="105">
        <f t="shared" si="105"/>
        <v>316.9699999999998</v>
      </c>
      <c r="I324" s="105">
        <f t="shared" si="105"/>
        <v>362.55000000000018</v>
      </c>
      <c r="J324" s="105">
        <f t="shared" si="105"/>
        <v>363.38000000000011</v>
      </c>
      <c r="K324" s="105">
        <f t="shared" si="105"/>
        <v>317.18000000000029</v>
      </c>
      <c r="L324" s="105">
        <f t="shared" si="105"/>
        <v>317.58999999999969</v>
      </c>
      <c r="M324" s="105">
        <f t="shared" si="105"/>
        <v>368.59000000000015</v>
      </c>
      <c r="N324" s="105">
        <f t="shared" si="105"/>
        <v>319.90000000000009</v>
      </c>
      <c r="O324" s="105">
        <f t="shared" si="105"/>
        <v>322.49000000000024</v>
      </c>
      <c r="P324" s="105">
        <f t="shared" si="105"/>
        <v>323.07000000000016</v>
      </c>
      <c r="Q324" s="105">
        <f t="shared" si="105"/>
        <v>320.2800000000002</v>
      </c>
      <c r="R324" s="322"/>
      <c r="S324" s="322"/>
      <c r="T324" s="325"/>
      <c r="U324" s="325"/>
      <c r="V324" s="327"/>
      <c r="W324" s="316"/>
      <c r="X324" s="319"/>
      <c r="Y324" s="225"/>
      <c r="Z324" s="221"/>
      <c r="AA324" s="102"/>
      <c r="AB324" s="102"/>
      <c r="AC324" s="102"/>
      <c r="AD324" s="102"/>
      <c r="AE324" s="106"/>
      <c r="AF324" s="102"/>
    </row>
    <row r="325" spans="1:32" ht="15.55" x14ac:dyDescent="0.25">
      <c r="A325" s="264">
        <v>43503</v>
      </c>
      <c r="B325" s="99" t="s">
        <v>235</v>
      </c>
      <c r="C325" s="99" t="s">
        <v>232</v>
      </c>
      <c r="D325" s="100" t="s">
        <v>186</v>
      </c>
      <c r="E325" s="10">
        <v>2844.9</v>
      </c>
      <c r="F325" s="10">
        <v>2751.2</v>
      </c>
      <c r="G325" s="10">
        <v>2747.68</v>
      </c>
      <c r="H325" s="10">
        <v>2768.58</v>
      </c>
      <c r="I325" s="10">
        <v>2885.23</v>
      </c>
      <c r="J325" s="10">
        <v>2831.46</v>
      </c>
      <c r="K325" s="10">
        <v>2753.58</v>
      </c>
      <c r="L325" s="10">
        <v>2757.56</v>
      </c>
      <c r="M325" s="10">
        <v>2831.25</v>
      </c>
      <c r="N325" s="10">
        <v>2757.33</v>
      </c>
      <c r="O325" s="10">
        <v>2783.74</v>
      </c>
      <c r="P325" s="10">
        <v>2776.8</v>
      </c>
      <c r="Q325" s="10">
        <v>2759.87</v>
      </c>
      <c r="R325" s="320">
        <f>IF((Q326=""),"",MAX(E327:Q327))</f>
        <v>367.23</v>
      </c>
      <c r="S325" s="320">
        <f>IF(Q326="","",MIN(E327:Q327))</f>
        <v>306.21000000000004</v>
      </c>
      <c r="T325" s="323">
        <f>IF((Q327=""),"",AVERAGE(E327:Q327))</f>
        <v>328.39923076923066</v>
      </c>
      <c r="U325" s="323">
        <f>IF((Q326=""),"",(R325-S325)/(R325+S325)*100)</f>
        <v>9.0609408410548795</v>
      </c>
      <c r="V325" s="323">
        <f>STDEV(E327:Q327)</f>
        <v>22.686261430484947</v>
      </c>
      <c r="W325" s="314" t="str">
        <f>IF(Q326="","",IF(T325&gt;300,IF(U325&lt;14,IF(T325&lt;390,"Pass","Fail"),"Fail"),"Fail"))</f>
        <v>Pass</v>
      </c>
      <c r="X325" s="317">
        <v>1340</v>
      </c>
      <c r="Y325" s="227" t="s">
        <v>222</v>
      </c>
      <c r="Z325" s="221"/>
      <c r="AA325" s="102">
        <v>270</v>
      </c>
      <c r="AB325" s="102">
        <v>370</v>
      </c>
      <c r="AC325" s="102">
        <v>300</v>
      </c>
      <c r="AD325" s="103">
        <v>390</v>
      </c>
      <c r="AE325" s="103">
        <v>20</v>
      </c>
      <c r="AF325" s="103">
        <v>14</v>
      </c>
    </row>
    <row r="326" spans="1:32" ht="16.100000000000001" x14ac:dyDescent="0.35">
      <c r="A326" s="263"/>
      <c r="B326" s="104"/>
      <c r="C326" s="104"/>
      <c r="D326" s="100" t="s">
        <v>187</v>
      </c>
      <c r="E326" s="10">
        <v>2477.67</v>
      </c>
      <c r="F326" s="10">
        <v>2438.73</v>
      </c>
      <c r="G326" s="10">
        <v>2441.4699999999998</v>
      </c>
      <c r="H326" s="10">
        <v>2455.58</v>
      </c>
      <c r="I326" s="10">
        <v>2528.48</v>
      </c>
      <c r="J326" s="10">
        <v>2474.23</v>
      </c>
      <c r="K326" s="10">
        <v>2442.6</v>
      </c>
      <c r="L326" s="10">
        <v>2442.8200000000002</v>
      </c>
      <c r="M326" s="10">
        <v>2471.17</v>
      </c>
      <c r="N326" s="10">
        <v>2445.9499999999998</v>
      </c>
      <c r="O326" s="10">
        <v>2458.92</v>
      </c>
      <c r="P326" s="10">
        <v>2459.0500000000002</v>
      </c>
      <c r="Q326" s="10">
        <v>2443.3200000000002</v>
      </c>
      <c r="R326" s="321"/>
      <c r="S326" s="321"/>
      <c r="T326" s="324"/>
      <c r="U326" s="324"/>
      <c r="V326" s="326"/>
      <c r="W326" s="315"/>
      <c r="X326" s="318"/>
      <c r="Y326" s="224"/>
      <c r="Z326" s="221"/>
      <c r="AA326" s="102"/>
      <c r="AB326" s="102"/>
      <c r="AC326" s="102"/>
      <c r="AD326" s="103"/>
      <c r="AE326" s="103"/>
      <c r="AF326" s="103"/>
    </row>
    <row r="327" spans="1:32" ht="31.05" x14ac:dyDescent="0.35">
      <c r="A327" s="263"/>
      <c r="B327" s="99"/>
      <c r="C327" s="99"/>
      <c r="D327" s="100" t="s">
        <v>188</v>
      </c>
      <c r="E327" s="105">
        <f t="shared" ref="E327:Q327" si="106">IF(((E325="")*AND(E326="")),"",(E325-E326))</f>
        <v>367.23</v>
      </c>
      <c r="F327" s="105">
        <f t="shared" si="106"/>
        <v>312.4699999999998</v>
      </c>
      <c r="G327" s="105">
        <f t="shared" si="106"/>
        <v>306.21000000000004</v>
      </c>
      <c r="H327" s="105">
        <f t="shared" si="106"/>
        <v>313</v>
      </c>
      <c r="I327" s="105">
        <f t="shared" si="106"/>
        <v>356.75</v>
      </c>
      <c r="J327" s="105">
        <f t="shared" si="106"/>
        <v>357.23</v>
      </c>
      <c r="K327" s="105">
        <f t="shared" si="106"/>
        <v>310.98</v>
      </c>
      <c r="L327" s="105">
        <f t="shared" si="106"/>
        <v>314.73999999999978</v>
      </c>
      <c r="M327" s="105">
        <f t="shared" si="106"/>
        <v>360.07999999999993</v>
      </c>
      <c r="N327" s="105">
        <f t="shared" si="106"/>
        <v>311.38000000000011</v>
      </c>
      <c r="O327" s="105">
        <f t="shared" si="106"/>
        <v>324.81999999999971</v>
      </c>
      <c r="P327" s="105">
        <f t="shared" si="106"/>
        <v>317.75</v>
      </c>
      <c r="Q327" s="105">
        <f t="shared" si="106"/>
        <v>316.54999999999973</v>
      </c>
      <c r="R327" s="322"/>
      <c r="S327" s="322"/>
      <c r="T327" s="325"/>
      <c r="U327" s="325"/>
      <c r="V327" s="327"/>
      <c r="W327" s="316"/>
      <c r="X327" s="319"/>
      <c r="Y327" s="225"/>
      <c r="Z327" s="221"/>
      <c r="AA327" s="102"/>
      <c r="AB327" s="102"/>
      <c r="AC327" s="102"/>
      <c r="AD327" s="102"/>
      <c r="AE327" s="106"/>
      <c r="AF327" s="102"/>
    </row>
    <row r="328" spans="1:32" ht="15.55" x14ac:dyDescent="0.25">
      <c r="A328" s="264">
        <v>43507</v>
      </c>
      <c r="B328" s="99" t="s">
        <v>235</v>
      </c>
      <c r="C328" s="99" t="s">
        <v>232</v>
      </c>
      <c r="D328" s="100" t="s">
        <v>186</v>
      </c>
      <c r="E328" s="10">
        <v>2483.5</v>
      </c>
      <c r="F328" s="10">
        <v>2445.89</v>
      </c>
      <c r="G328" s="10">
        <v>2433.29</v>
      </c>
      <c r="H328" s="10">
        <v>2457.41</v>
      </c>
      <c r="I328" s="10">
        <v>2530.19</v>
      </c>
      <c r="J328" s="10">
        <v>2473.25</v>
      </c>
      <c r="K328" s="10">
        <v>2445.66</v>
      </c>
      <c r="L328" s="10">
        <v>2449.37</v>
      </c>
      <c r="M328" s="10">
        <v>2472.88</v>
      </c>
      <c r="N328" s="10">
        <v>2444.9</v>
      </c>
      <c r="O328" s="10">
        <v>2460.67</v>
      </c>
      <c r="P328" s="10">
        <v>2461.58</v>
      </c>
      <c r="Q328" s="10">
        <v>2435.83</v>
      </c>
      <c r="R328" s="320">
        <f>IF((Q329=""),"",MAX(E330:Q330))</f>
        <v>314.38999999999987</v>
      </c>
      <c r="S328" s="320">
        <f>IF(Q329="","",MIN(E330:Q330))</f>
        <v>235.44000000000005</v>
      </c>
      <c r="T328" s="323">
        <f>IF((Q330=""),"",AVERAGE(E330:Q330))</f>
        <v>265.0884615384615</v>
      </c>
      <c r="U328" s="323">
        <f>IF((Q329=""),"",(R328-S328)/(R328+S328)*100)</f>
        <v>14.358983685866509</v>
      </c>
      <c r="V328" s="323">
        <f>STDEV(E330:Q330)</f>
        <v>24.989597784596281</v>
      </c>
      <c r="W328" s="314" t="str">
        <f>IF(Q329="","",IF(T328&gt;300,IF(U328&lt;14,IF(T328&lt;390,"Pass","Fail"),"Fail"),"Fail"))</f>
        <v>Fail</v>
      </c>
      <c r="X328" s="317">
        <v>1159</v>
      </c>
      <c r="Y328" s="328"/>
      <c r="Z328" s="221"/>
      <c r="AA328" s="102">
        <v>270</v>
      </c>
      <c r="AB328" s="102">
        <v>370</v>
      </c>
      <c r="AC328" s="102">
        <v>300</v>
      </c>
      <c r="AD328" s="103">
        <v>390</v>
      </c>
      <c r="AE328" s="103">
        <v>20</v>
      </c>
      <c r="AF328" s="103">
        <v>14</v>
      </c>
    </row>
    <row r="329" spans="1:32" ht="16.100000000000001" x14ac:dyDescent="0.35">
      <c r="A329" s="263"/>
      <c r="B329" s="104"/>
      <c r="C329" s="104"/>
      <c r="D329" s="100" t="s">
        <v>187</v>
      </c>
      <c r="E329" s="10">
        <v>2185.7199999999998</v>
      </c>
      <c r="F329" s="10">
        <v>2189.09</v>
      </c>
      <c r="G329" s="10">
        <v>2197.85</v>
      </c>
      <c r="H329" s="10">
        <v>2206.0700000000002</v>
      </c>
      <c r="I329" s="10">
        <v>2215.8000000000002</v>
      </c>
      <c r="J329" s="10">
        <v>2192.8200000000002</v>
      </c>
      <c r="K329" s="10">
        <v>2204.02</v>
      </c>
      <c r="L329" s="10">
        <v>2191.2199999999998</v>
      </c>
      <c r="M329" s="10">
        <v>2171.81</v>
      </c>
      <c r="N329" s="10">
        <v>2194.41</v>
      </c>
      <c r="O329" s="10">
        <v>2201.4299999999998</v>
      </c>
      <c r="P329" s="10">
        <v>2209.88</v>
      </c>
      <c r="Q329" s="10">
        <v>2188.15</v>
      </c>
      <c r="R329" s="321"/>
      <c r="S329" s="321"/>
      <c r="T329" s="324"/>
      <c r="U329" s="324"/>
      <c r="V329" s="326"/>
      <c r="W329" s="315"/>
      <c r="X329" s="318"/>
      <c r="Y329" s="329"/>
      <c r="Z329" s="221"/>
      <c r="AA329" s="102"/>
      <c r="AB329" s="102"/>
      <c r="AC329" s="102"/>
      <c r="AD329" s="103"/>
      <c r="AE329" s="103"/>
      <c r="AF329" s="103"/>
    </row>
    <row r="330" spans="1:32" ht="31.05" x14ac:dyDescent="0.35">
      <c r="A330" s="263"/>
      <c r="B330" s="99"/>
      <c r="C330" s="99"/>
      <c r="D330" s="100" t="s">
        <v>188</v>
      </c>
      <c r="E330" s="105">
        <f t="shared" ref="E330:Q330" si="107">IF(((E328="")*AND(E329="")),"",(E328-E329))</f>
        <v>297.7800000000002</v>
      </c>
      <c r="F330" s="105">
        <f t="shared" si="107"/>
        <v>256.79999999999973</v>
      </c>
      <c r="G330" s="105">
        <f t="shared" si="107"/>
        <v>235.44000000000005</v>
      </c>
      <c r="H330" s="105">
        <f t="shared" si="107"/>
        <v>251.33999999999969</v>
      </c>
      <c r="I330" s="105">
        <f t="shared" si="107"/>
        <v>314.38999999999987</v>
      </c>
      <c r="J330" s="105">
        <f t="shared" si="107"/>
        <v>280.42999999999984</v>
      </c>
      <c r="K330" s="105">
        <f t="shared" si="107"/>
        <v>241.63999999999987</v>
      </c>
      <c r="L330" s="105">
        <f t="shared" si="107"/>
        <v>258.15000000000009</v>
      </c>
      <c r="M330" s="105">
        <f t="shared" si="107"/>
        <v>301.07000000000016</v>
      </c>
      <c r="N330" s="105">
        <f t="shared" si="107"/>
        <v>250.49000000000024</v>
      </c>
      <c r="O330" s="105">
        <f t="shared" si="107"/>
        <v>259.24000000000024</v>
      </c>
      <c r="P330" s="105">
        <f t="shared" si="107"/>
        <v>251.69999999999982</v>
      </c>
      <c r="Q330" s="105">
        <f t="shared" si="107"/>
        <v>247.67999999999984</v>
      </c>
      <c r="R330" s="322"/>
      <c r="S330" s="322"/>
      <c r="T330" s="325"/>
      <c r="U330" s="325"/>
      <c r="V330" s="327"/>
      <c r="W330" s="316"/>
      <c r="X330" s="319"/>
      <c r="Y330" s="330"/>
      <c r="Z330" s="221"/>
      <c r="AA330" s="102"/>
      <c r="AB330" s="102"/>
      <c r="AC330" s="102"/>
      <c r="AD330" s="102"/>
      <c r="AE330" s="106"/>
      <c r="AF330" s="102"/>
    </row>
    <row r="331" spans="1:32" ht="15.55" x14ac:dyDescent="0.25">
      <c r="A331" s="264">
        <v>43507</v>
      </c>
      <c r="B331" s="99" t="s">
        <v>235</v>
      </c>
      <c r="C331" s="99" t="s">
        <v>232</v>
      </c>
      <c r="D331" s="100" t="s">
        <v>186</v>
      </c>
      <c r="E331" s="10">
        <v>2849.96</v>
      </c>
      <c r="F331" s="10">
        <v>2755.01</v>
      </c>
      <c r="G331" s="10">
        <v>2753.85</v>
      </c>
      <c r="H331" s="10">
        <v>2771.65</v>
      </c>
      <c r="I331" s="10">
        <v>2885.12</v>
      </c>
      <c r="J331" s="10">
        <v>2834.1</v>
      </c>
      <c r="K331" s="10">
        <v>2762.27</v>
      </c>
      <c r="L331" s="10">
        <v>2762.72</v>
      </c>
      <c r="M331" s="10">
        <v>2841.26</v>
      </c>
      <c r="N331" s="10">
        <v>2763.81</v>
      </c>
      <c r="O331" s="10">
        <v>2782.77</v>
      </c>
      <c r="P331" s="10">
        <v>2780.46</v>
      </c>
      <c r="Q331" s="10">
        <v>2763.88</v>
      </c>
      <c r="R331" s="320">
        <f>IF((Q332=""),"",MAX(E333:Q333))</f>
        <v>379.95000000000027</v>
      </c>
      <c r="S331" s="320">
        <f>IF(Q332="","",MIN(E333:Q333))</f>
        <v>311.88000000000011</v>
      </c>
      <c r="T331" s="323">
        <f>IF((Q333=""),"",AVERAGE(E333:Q333))</f>
        <v>335.15999999999997</v>
      </c>
      <c r="U331" s="323">
        <f>IF((Q332=""),"",(R331-S331)/(R331+S331)*100)</f>
        <v>9.8391223277394921</v>
      </c>
      <c r="V331" s="323">
        <f>STDEV(E333:Q333)</f>
        <v>27.721439055960566</v>
      </c>
      <c r="W331" s="314" t="str">
        <f>IF(Q332="","",IF(T331&gt;300,IF(U331&lt;14,IF(T331&lt;390,"Pass","Fail"),"Fail"),"Fail"))</f>
        <v>Pass</v>
      </c>
      <c r="X331" s="317">
        <v>1159</v>
      </c>
      <c r="Y331" s="227" t="s">
        <v>223</v>
      </c>
      <c r="Z331" s="221"/>
      <c r="AA331" s="102">
        <v>270</v>
      </c>
      <c r="AB331" s="102">
        <v>370</v>
      </c>
      <c r="AC331" s="102">
        <v>300</v>
      </c>
      <c r="AD331" s="103">
        <v>390</v>
      </c>
      <c r="AE331" s="103">
        <v>20</v>
      </c>
      <c r="AF331" s="103">
        <v>14</v>
      </c>
    </row>
    <row r="332" spans="1:32" ht="16.100000000000001" x14ac:dyDescent="0.35">
      <c r="A332" s="263"/>
      <c r="B332" s="104"/>
      <c r="C332" s="104"/>
      <c r="D332" s="100" t="s">
        <v>187</v>
      </c>
      <c r="E332" s="10">
        <v>2471.85</v>
      </c>
      <c r="F332" s="10">
        <v>2442.09</v>
      </c>
      <c r="G332" s="10">
        <v>2441.9699999999998</v>
      </c>
      <c r="H332" s="10">
        <v>2453.15</v>
      </c>
      <c r="I332" s="10">
        <v>2513.2199999999998</v>
      </c>
      <c r="J332" s="10">
        <v>2465.42</v>
      </c>
      <c r="K332" s="10">
        <v>2448.17</v>
      </c>
      <c r="L332" s="10">
        <v>2445.3000000000002</v>
      </c>
      <c r="M332" s="10">
        <v>2461.31</v>
      </c>
      <c r="N332" s="10">
        <v>2441.4299999999998</v>
      </c>
      <c r="O332" s="10">
        <v>2460.9299999999998</v>
      </c>
      <c r="P332" s="10">
        <v>2462.54</v>
      </c>
      <c r="Q332" s="10">
        <v>2442.4</v>
      </c>
      <c r="R332" s="321"/>
      <c r="S332" s="321"/>
      <c r="T332" s="324"/>
      <c r="U332" s="324"/>
      <c r="V332" s="326"/>
      <c r="W332" s="315"/>
      <c r="X332" s="318"/>
      <c r="Y332" s="224"/>
      <c r="Z332" s="221"/>
      <c r="AA332" s="102"/>
      <c r="AB332" s="102"/>
      <c r="AC332" s="102"/>
      <c r="AD332" s="103"/>
      <c r="AE332" s="103"/>
      <c r="AF332" s="103"/>
    </row>
    <row r="333" spans="1:32" ht="31.05" x14ac:dyDescent="0.35">
      <c r="A333" s="263"/>
      <c r="B333" s="99"/>
      <c r="C333" s="99"/>
      <c r="D333" s="100" t="s">
        <v>188</v>
      </c>
      <c r="E333" s="105">
        <f t="shared" ref="E333:Q333" si="108">IF(((E331="")*AND(E332="")),"",(E331-E332))</f>
        <v>378.11000000000013</v>
      </c>
      <c r="F333" s="105">
        <f t="shared" si="108"/>
        <v>312.92000000000007</v>
      </c>
      <c r="G333" s="105">
        <f t="shared" si="108"/>
        <v>311.88000000000011</v>
      </c>
      <c r="H333" s="105">
        <f t="shared" si="108"/>
        <v>318.5</v>
      </c>
      <c r="I333" s="105">
        <f t="shared" si="108"/>
        <v>371.90000000000009</v>
      </c>
      <c r="J333" s="105">
        <f t="shared" si="108"/>
        <v>368.67999999999984</v>
      </c>
      <c r="K333" s="105">
        <f t="shared" si="108"/>
        <v>314.09999999999991</v>
      </c>
      <c r="L333" s="105">
        <f t="shared" si="108"/>
        <v>317.41999999999962</v>
      </c>
      <c r="M333" s="105">
        <f t="shared" si="108"/>
        <v>379.95000000000027</v>
      </c>
      <c r="N333" s="105">
        <f t="shared" si="108"/>
        <v>322.38000000000011</v>
      </c>
      <c r="O333" s="105">
        <f t="shared" si="108"/>
        <v>321.84000000000015</v>
      </c>
      <c r="P333" s="105">
        <f t="shared" si="108"/>
        <v>317.92000000000007</v>
      </c>
      <c r="Q333" s="105">
        <f t="shared" si="108"/>
        <v>321.48</v>
      </c>
      <c r="R333" s="322"/>
      <c r="S333" s="322"/>
      <c r="T333" s="325"/>
      <c r="U333" s="325"/>
      <c r="V333" s="327"/>
      <c r="W333" s="316"/>
      <c r="X333" s="319"/>
      <c r="Y333" s="225"/>
      <c r="Z333" s="221"/>
      <c r="AA333" s="102"/>
      <c r="AB333" s="102"/>
      <c r="AC333" s="102"/>
      <c r="AD333" s="102"/>
      <c r="AE333" s="106"/>
      <c r="AF333" s="102"/>
    </row>
    <row r="334" spans="1:32" ht="15.55" x14ac:dyDescent="0.25">
      <c r="A334" s="264">
        <v>43514</v>
      </c>
      <c r="B334" s="99" t="s">
        <v>235</v>
      </c>
      <c r="C334" s="99" t="s">
        <v>232</v>
      </c>
      <c r="D334" s="100" t="s">
        <v>186</v>
      </c>
      <c r="E334" s="10">
        <v>2865.7</v>
      </c>
      <c r="F334" s="10">
        <v>2776.84</v>
      </c>
      <c r="G334" s="10">
        <v>2774.41</v>
      </c>
      <c r="H334" s="10">
        <v>2794.03</v>
      </c>
      <c r="I334" s="10">
        <v>2902.48</v>
      </c>
      <c r="J334" s="10">
        <v>2853.69</v>
      </c>
      <c r="K334" s="10">
        <v>2786.07</v>
      </c>
      <c r="L334" s="10">
        <v>2783.87</v>
      </c>
      <c r="M334" s="10">
        <v>2858.26</v>
      </c>
      <c r="N334" s="10">
        <v>2784.71</v>
      </c>
      <c r="O334" s="10">
        <v>2801.67</v>
      </c>
      <c r="P334" s="10">
        <v>2803.93</v>
      </c>
      <c r="Q334" s="10">
        <v>2784.52</v>
      </c>
      <c r="R334" s="320">
        <f>IF((Q335=""),"",MAX(E336:Q336))</f>
        <v>356.27000000000044</v>
      </c>
      <c r="S334" s="320">
        <f>IF(Q335="","",MIN(E336:Q336))</f>
        <v>299.75</v>
      </c>
      <c r="T334" s="323">
        <f>IF((Q336=""),"",AVERAGE(E336:Q336))</f>
        <v>325.31846153846158</v>
      </c>
      <c r="U334" s="323">
        <f>IF((Q335=""),"",(R334-S334)/(R334+S334)*100)</f>
        <v>8.6155909880796919</v>
      </c>
      <c r="V334" s="323">
        <f>STDEV(E336:Q336)</f>
        <v>19.74067790382497</v>
      </c>
      <c r="W334" s="314" t="str">
        <f>IF(Q335="","",IF(T334&gt;300,IF(U334&lt;14,IF(T334&lt;390,"Pass","Fail"),"Fail"),"Fail"))</f>
        <v>Pass</v>
      </c>
      <c r="X334" s="317">
        <v>1428</v>
      </c>
      <c r="Y334" s="328"/>
      <c r="Z334" s="221"/>
      <c r="AA334" s="102">
        <v>270</v>
      </c>
      <c r="AB334" s="102">
        <v>370</v>
      </c>
      <c r="AC334" s="102">
        <v>300</v>
      </c>
      <c r="AD334" s="103">
        <v>390</v>
      </c>
      <c r="AE334" s="103">
        <v>20</v>
      </c>
      <c r="AF334" s="103">
        <v>14</v>
      </c>
    </row>
    <row r="335" spans="1:32" ht="16.100000000000001" x14ac:dyDescent="0.35">
      <c r="A335" s="263"/>
      <c r="B335" s="104"/>
      <c r="C335" s="104"/>
      <c r="D335" s="100" t="s">
        <v>187</v>
      </c>
      <c r="E335" s="10">
        <v>2509.5100000000002</v>
      </c>
      <c r="F335" s="10">
        <v>2467.7399999999998</v>
      </c>
      <c r="G335" s="10">
        <v>2474.66</v>
      </c>
      <c r="H335" s="10">
        <v>2477.3000000000002</v>
      </c>
      <c r="I335" s="10">
        <v>2552.41</v>
      </c>
      <c r="J335" s="10">
        <v>2504.7800000000002</v>
      </c>
      <c r="K335" s="10">
        <v>2472.6999999999998</v>
      </c>
      <c r="L335" s="10">
        <v>2468.36</v>
      </c>
      <c r="M335" s="10">
        <v>2501.9899999999998</v>
      </c>
      <c r="N335" s="10">
        <v>2469.77</v>
      </c>
      <c r="O335" s="10">
        <v>2487.15</v>
      </c>
      <c r="P335" s="10">
        <v>2487.33</v>
      </c>
      <c r="Q335" s="10">
        <v>2467.34</v>
      </c>
      <c r="R335" s="321"/>
      <c r="S335" s="321"/>
      <c r="T335" s="324"/>
      <c r="U335" s="324"/>
      <c r="V335" s="326"/>
      <c r="W335" s="315"/>
      <c r="X335" s="318"/>
      <c r="Y335" s="329"/>
      <c r="Z335" s="221"/>
      <c r="AA335" s="102"/>
      <c r="AB335" s="102"/>
      <c r="AC335" s="102"/>
      <c r="AD335" s="103"/>
      <c r="AE335" s="103"/>
      <c r="AF335" s="103"/>
    </row>
    <row r="336" spans="1:32" ht="31.05" x14ac:dyDescent="0.35">
      <c r="A336" s="263"/>
      <c r="B336" s="99"/>
      <c r="C336" s="99"/>
      <c r="D336" s="100" t="s">
        <v>188</v>
      </c>
      <c r="E336" s="111">
        <f t="shared" ref="E336:Q336" si="109">IF(((E334="")*AND(E335="")),"",(E334-E335))</f>
        <v>356.1899999999996</v>
      </c>
      <c r="F336" s="111">
        <f t="shared" si="109"/>
        <v>309.10000000000036</v>
      </c>
      <c r="G336" s="111">
        <f t="shared" si="109"/>
        <v>299.75</v>
      </c>
      <c r="H336" s="111">
        <f t="shared" si="109"/>
        <v>316.73</v>
      </c>
      <c r="I336" s="111">
        <f t="shared" si="109"/>
        <v>350.07000000000016</v>
      </c>
      <c r="J336" s="111">
        <f t="shared" si="109"/>
        <v>348.90999999999985</v>
      </c>
      <c r="K336" s="111">
        <f t="shared" si="109"/>
        <v>313.37000000000035</v>
      </c>
      <c r="L336" s="111">
        <f t="shared" si="109"/>
        <v>315.50999999999976</v>
      </c>
      <c r="M336" s="111">
        <f t="shared" si="109"/>
        <v>356.27000000000044</v>
      </c>
      <c r="N336" s="111">
        <f t="shared" si="109"/>
        <v>314.94000000000005</v>
      </c>
      <c r="O336" s="111">
        <f t="shared" si="109"/>
        <v>314.52</v>
      </c>
      <c r="P336" s="111">
        <f t="shared" si="109"/>
        <v>316.59999999999991</v>
      </c>
      <c r="Q336" s="111">
        <f t="shared" si="109"/>
        <v>317.17999999999984</v>
      </c>
      <c r="R336" s="322"/>
      <c r="S336" s="322"/>
      <c r="T336" s="325"/>
      <c r="U336" s="325"/>
      <c r="V336" s="327"/>
      <c r="W336" s="316"/>
      <c r="X336" s="319"/>
      <c r="Y336" s="330"/>
      <c r="Z336" s="221"/>
      <c r="AA336" s="102"/>
      <c r="AB336" s="102"/>
      <c r="AC336" s="102"/>
      <c r="AD336" s="102"/>
      <c r="AE336" s="106"/>
      <c r="AF336" s="102"/>
    </row>
    <row r="337" spans="1:32" ht="15.55" x14ac:dyDescent="0.25">
      <c r="A337" s="264">
        <v>43517</v>
      </c>
      <c r="B337" s="99" t="s">
        <v>235</v>
      </c>
      <c r="C337" s="99" t="s">
        <v>232</v>
      </c>
      <c r="D337" s="100" t="s">
        <v>186</v>
      </c>
      <c r="E337" s="10">
        <v>2509.2600000000002</v>
      </c>
      <c r="F337" s="10">
        <v>2464.9699999999998</v>
      </c>
      <c r="G337" s="10">
        <v>2464.36</v>
      </c>
      <c r="H337" s="10">
        <v>2479.5500000000002</v>
      </c>
      <c r="I337" s="10">
        <v>2553.2199999999998</v>
      </c>
      <c r="J337" s="10">
        <v>2502.77</v>
      </c>
      <c r="K337" s="10">
        <v>2472.21</v>
      </c>
      <c r="L337" s="10">
        <v>2521.14</v>
      </c>
      <c r="M337" s="10">
        <v>2500.04</v>
      </c>
      <c r="N337" s="10">
        <v>2469.91</v>
      </c>
      <c r="O337" s="10">
        <v>2498.75</v>
      </c>
      <c r="P337" s="10">
        <v>2485.67</v>
      </c>
      <c r="Q337" s="10">
        <v>2470.04</v>
      </c>
      <c r="R337" s="320">
        <f>IF((Q338=""),"",MAX(E339:Q339))</f>
        <v>336.25</v>
      </c>
      <c r="S337" s="320">
        <f>IF(Q338="","",MIN(E339:Q339))</f>
        <v>258.59999999999991</v>
      </c>
      <c r="T337" s="323">
        <f>IF((Q339=""),"",AVERAGE(E339:Q339))</f>
        <v>281.53769230769234</v>
      </c>
      <c r="U337" s="323">
        <f>IF((Q338=""),"",(R337-S337)/(R337+S337)*100)</f>
        <v>13.053711019584787</v>
      </c>
      <c r="V337" s="323">
        <f>STDEV(E339:Q339)</f>
        <v>24.639860035399984</v>
      </c>
      <c r="W337" s="314" t="str">
        <f>IF(Q338="","",IF(T337&gt;300,IF(U337&lt;14,IF(T337&lt;390,"Pass","Fail"),"Fail"),"Fail"))</f>
        <v>Fail</v>
      </c>
      <c r="X337" s="317">
        <v>1428</v>
      </c>
      <c r="Y337" s="328"/>
      <c r="Z337" s="221"/>
      <c r="AA337" s="102">
        <v>270</v>
      </c>
      <c r="AB337" s="102">
        <v>370</v>
      </c>
      <c r="AC337" s="102">
        <v>300</v>
      </c>
      <c r="AD337" s="103">
        <v>390</v>
      </c>
      <c r="AE337" s="103">
        <v>20</v>
      </c>
      <c r="AF337" s="103">
        <v>14</v>
      </c>
    </row>
    <row r="338" spans="1:32" ht="16.100000000000001" x14ac:dyDescent="0.35">
      <c r="A338" s="263"/>
      <c r="B338" s="104"/>
      <c r="C338" s="104"/>
      <c r="D338" s="100" t="s">
        <v>187</v>
      </c>
      <c r="E338" s="10">
        <v>2209.5</v>
      </c>
      <c r="F338" s="10">
        <v>2206.1</v>
      </c>
      <c r="G338" s="10">
        <v>2205.7600000000002</v>
      </c>
      <c r="H338" s="10">
        <v>2211.3000000000002</v>
      </c>
      <c r="I338" s="10">
        <v>2216.9699999999998</v>
      </c>
      <c r="J338" s="10">
        <v>2214.09</v>
      </c>
      <c r="K338" s="10">
        <v>2213.4699999999998</v>
      </c>
      <c r="L338" s="10">
        <v>2208.38</v>
      </c>
      <c r="M338" s="10">
        <v>2202.1999999999998</v>
      </c>
      <c r="N338" s="10">
        <v>2211.1999999999998</v>
      </c>
      <c r="O338" s="10">
        <v>2212.92</v>
      </c>
      <c r="P338" s="10">
        <v>2214.83</v>
      </c>
      <c r="Q338" s="10">
        <v>2205.1799999999998</v>
      </c>
      <c r="R338" s="321"/>
      <c r="S338" s="321"/>
      <c r="T338" s="324"/>
      <c r="U338" s="324"/>
      <c r="V338" s="326"/>
      <c r="W338" s="315"/>
      <c r="X338" s="318"/>
      <c r="Y338" s="329"/>
      <c r="Z338" s="221"/>
      <c r="AA338" s="102"/>
      <c r="AB338" s="102"/>
      <c r="AC338" s="102"/>
      <c r="AD338" s="103"/>
      <c r="AE338" s="103"/>
      <c r="AF338" s="103"/>
    </row>
    <row r="339" spans="1:32" ht="31.05" x14ac:dyDescent="0.35">
      <c r="A339" s="263"/>
      <c r="B339" s="99"/>
      <c r="C339" s="99"/>
      <c r="D339" s="100" t="s">
        <v>188</v>
      </c>
      <c r="E339" s="111">
        <f t="shared" ref="E339:Q339" si="110">IF(((E337="")*AND(E338="")),"",(E337-E338))</f>
        <v>299.76000000000022</v>
      </c>
      <c r="F339" s="111">
        <f t="shared" si="110"/>
        <v>258.86999999999989</v>
      </c>
      <c r="G339" s="111">
        <f t="shared" si="110"/>
        <v>258.59999999999991</v>
      </c>
      <c r="H339" s="111">
        <f t="shared" si="110"/>
        <v>268.25</v>
      </c>
      <c r="I339" s="111">
        <f t="shared" si="110"/>
        <v>336.25</v>
      </c>
      <c r="J339" s="111">
        <f t="shared" si="110"/>
        <v>288.67999999999984</v>
      </c>
      <c r="K339" s="111">
        <f t="shared" si="110"/>
        <v>258.74000000000024</v>
      </c>
      <c r="L339" s="111">
        <f t="shared" si="110"/>
        <v>312.75999999999976</v>
      </c>
      <c r="M339" s="111">
        <f t="shared" si="110"/>
        <v>297.84000000000015</v>
      </c>
      <c r="N339" s="111">
        <f t="shared" si="110"/>
        <v>258.71000000000004</v>
      </c>
      <c r="O339" s="111">
        <f t="shared" si="110"/>
        <v>285.82999999999993</v>
      </c>
      <c r="P339" s="111">
        <f t="shared" si="110"/>
        <v>270.84000000000015</v>
      </c>
      <c r="Q339" s="111">
        <f t="shared" si="110"/>
        <v>264.86000000000013</v>
      </c>
      <c r="R339" s="322"/>
      <c r="S339" s="322"/>
      <c r="T339" s="325"/>
      <c r="U339" s="325"/>
      <c r="V339" s="327"/>
      <c r="W339" s="316"/>
      <c r="X339" s="319"/>
      <c r="Y339" s="330"/>
      <c r="Z339" s="221"/>
      <c r="AA339" s="102"/>
      <c r="AB339" s="102"/>
      <c r="AC339" s="102"/>
      <c r="AD339" s="102"/>
      <c r="AE339" s="106"/>
      <c r="AF339" s="102"/>
    </row>
    <row r="340" spans="1:32" ht="15.55" x14ac:dyDescent="0.25">
      <c r="A340" s="264">
        <v>43517</v>
      </c>
      <c r="B340" s="99" t="s">
        <v>235</v>
      </c>
      <c r="C340" s="99" t="s">
        <v>232</v>
      </c>
      <c r="D340" s="100" t="s">
        <v>186</v>
      </c>
      <c r="E340" s="10">
        <v>2874.82</v>
      </c>
      <c r="F340" s="10">
        <v>2785.29</v>
      </c>
      <c r="G340" s="10">
        <v>2783.36</v>
      </c>
      <c r="H340" s="10">
        <v>2802.65</v>
      </c>
      <c r="I340" s="10">
        <v>2906.51</v>
      </c>
      <c r="J340" s="10">
        <v>2861.7</v>
      </c>
      <c r="K340" s="10">
        <v>2793.16</v>
      </c>
      <c r="L340" s="10">
        <v>2788.1</v>
      </c>
      <c r="M340" s="10">
        <v>2864.04</v>
      </c>
      <c r="N340" s="10">
        <v>2794.07</v>
      </c>
      <c r="O340" s="10">
        <v>2808.44</v>
      </c>
      <c r="P340" s="10">
        <v>2811.81</v>
      </c>
      <c r="Q340" s="10">
        <v>2792.13</v>
      </c>
      <c r="R340" s="320">
        <f>IF((Q341=""),"",MAX(E342:Q342))</f>
        <v>378.26000000000022</v>
      </c>
      <c r="S340" s="320">
        <f>IF(Q341="","",MIN(E342:Q342))</f>
        <v>313.40000000000009</v>
      </c>
      <c r="T340" s="323">
        <f>IF((Q342=""),"",AVERAGE(E342:Q342))</f>
        <v>336.07615384615389</v>
      </c>
      <c r="U340" s="323">
        <f>IF((Q341=""),"",(R340-S340)/(R340+S340)*100)</f>
        <v>9.3774397825521358</v>
      </c>
      <c r="V340" s="323">
        <f>STDEV(E342:Q342)</f>
        <v>26.634633949822348</v>
      </c>
      <c r="W340" s="314" t="str">
        <f>IF(Q341="","",IF(T340&gt;300,IF(U340&lt;14,IF(T340&lt;390,"Pass","Fail"),"Fail"),"Fail"))</f>
        <v>Pass</v>
      </c>
      <c r="X340" s="317">
        <v>1428</v>
      </c>
      <c r="Y340" s="227" t="s">
        <v>245</v>
      </c>
      <c r="Z340" s="221"/>
      <c r="AA340" s="102">
        <v>270</v>
      </c>
      <c r="AB340" s="102">
        <v>370</v>
      </c>
      <c r="AC340" s="102">
        <v>300</v>
      </c>
      <c r="AD340" s="103">
        <v>390</v>
      </c>
      <c r="AE340" s="103">
        <v>20</v>
      </c>
      <c r="AF340" s="103">
        <v>14</v>
      </c>
    </row>
    <row r="341" spans="1:32" ht="16.100000000000001" x14ac:dyDescent="0.35">
      <c r="A341" s="263"/>
      <c r="B341" s="104"/>
      <c r="C341" s="104"/>
      <c r="D341" s="100" t="s">
        <v>187</v>
      </c>
      <c r="E341" s="10">
        <v>2496.56</v>
      </c>
      <c r="F341" s="10">
        <v>2466.3000000000002</v>
      </c>
      <c r="G341" s="10">
        <v>2469.96</v>
      </c>
      <c r="H341" s="10">
        <v>2483.04</v>
      </c>
      <c r="I341" s="10">
        <v>2531.7199999999998</v>
      </c>
      <c r="J341" s="10">
        <v>2492.4499999999998</v>
      </c>
      <c r="K341" s="10">
        <v>2472.39</v>
      </c>
      <c r="L341" s="10">
        <v>2472.4299999999998</v>
      </c>
      <c r="M341" s="10">
        <v>2489.48</v>
      </c>
      <c r="N341" s="10">
        <v>2472.7600000000002</v>
      </c>
      <c r="O341" s="10">
        <v>2489.1</v>
      </c>
      <c r="P341" s="10">
        <v>2489.02</v>
      </c>
      <c r="Q341" s="10">
        <v>2471.88</v>
      </c>
      <c r="R341" s="321"/>
      <c r="S341" s="321"/>
      <c r="T341" s="324"/>
      <c r="U341" s="324"/>
      <c r="V341" s="326"/>
      <c r="W341" s="315"/>
      <c r="X341" s="318"/>
      <c r="Y341" s="224"/>
      <c r="Z341" s="221"/>
      <c r="AA341" s="102"/>
      <c r="AB341" s="102"/>
      <c r="AC341" s="102"/>
      <c r="AD341" s="103"/>
      <c r="AE341" s="103"/>
      <c r="AF341" s="103"/>
    </row>
    <row r="342" spans="1:32" ht="31.05" x14ac:dyDescent="0.35">
      <c r="A342" s="263"/>
      <c r="B342" s="99"/>
      <c r="C342" s="99"/>
      <c r="D342" s="100" t="s">
        <v>188</v>
      </c>
      <c r="E342" s="111">
        <f t="shared" ref="E342:Q342" si="111">IF(((E340="")*AND(E341="")),"",(E340-E341))</f>
        <v>378.26000000000022</v>
      </c>
      <c r="F342" s="111">
        <f t="shared" si="111"/>
        <v>318.98999999999978</v>
      </c>
      <c r="G342" s="111">
        <f t="shared" si="111"/>
        <v>313.40000000000009</v>
      </c>
      <c r="H342" s="111">
        <f t="shared" si="111"/>
        <v>319.61000000000013</v>
      </c>
      <c r="I342" s="111">
        <f t="shared" si="111"/>
        <v>374.79000000000042</v>
      </c>
      <c r="J342" s="111">
        <f t="shared" si="111"/>
        <v>369.25</v>
      </c>
      <c r="K342" s="111">
        <f t="shared" si="111"/>
        <v>320.77</v>
      </c>
      <c r="L342" s="111">
        <f t="shared" si="111"/>
        <v>315.67000000000007</v>
      </c>
      <c r="M342" s="111">
        <f t="shared" si="111"/>
        <v>374.55999999999995</v>
      </c>
      <c r="N342" s="111">
        <f t="shared" si="111"/>
        <v>321.30999999999995</v>
      </c>
      <c r="O342" s="111">
        <f t="shared" si="111"/>
        <v>319.34000000000015</v>
      </c>
      <c r="P342" s="111">
        <f t="shared" si="111"/>
        <v>322.78999999999996</v>
      </c>
      <c r="Q342" s="111">
        <f t="shared" si="111"/>
        <v>320.25</v>
      </c>
      <c r="R342" s="322"/>
      <c r="S342" s="322"/>
      <c r="T342" s="325"/>
      <c r="U342" s="325"/>
      <c r="V342" s="327"/>
      <c r="W342" s="316"/>
      <c r="X342" s="319"/>
      <c r="Y342" s="225"/>
      <c r="Z342" s="221"/>
      <c r="AA342" s="102"/>
      <c r="AB342" s="102"/>
      <c r="AC342" s="102"/>
      <c r="AD342" s="102"/>
      <c r="AE342" s="106"/>
      <c r="AF342" s="102"/>
    </row>
    <row r="343" spans="1:32" ht="15.55" x14ac:dyDescent="0.25">
      <c r="A343" s="264">
        <v>43521</v>
      </c>
      <c r="B343" s="99" t="s">
        <v>235</v>
      </c>
      <c r="C343" s="99" t="s">
        <v>232</v>
      </c>
      <c r="D343" s="100" t="s">
        <v>186</v>
      </c>
      <c r="E343" s="10">
        <v>2498.13</v>
      </c>
      <c r="F343" s="10">
        <v>2467.84</v>
      </c>
      <c r="G343" s="10">
        <v>2470.7399999999998</v>
      </c>
      <c r="H343" s="10">
        <v>2483.67</v>
      </c>
      <c r="I343" s="10">
        <v>2537.8200000000002</v>
      </c>
      <c r="J343" s="10">
        <v>2490.69</v>
      </c>
      <c r="K343" s="10">
        <v>2473.23</v>
      </c>
      <c r="L343" s="10">
        <v>2472.91</v>
      </c>
      <c r="M343" s="10">
        <v>2489.1999999999998</v>
      </c>
      <c r="N343" s="10">
        <v>2471.1</v>
      </c>
      <c r="O343" s="10">
        <v>2487.77</v>
      </c>
      <c r="P343" s="10">
        <v>2489.58</v>
      </c>
      <c r="Q343" s="10">
        <v>2472.94</v>
      </c>
      <c r="R343" s="320">
        <f>IF((Q344=""),"",MAX(E345:Q345))</f>
        <v>320.86000000000013</v>
      </c>
      <c r="S343" s="320">
        <f>IF(Q344="","",MIN(E345:Q345))</f>
        <v>265.53999999999996</v>
      </c>
      <c r="T343" s="323">
        <f>IF((Q345=""),"",AVERAGE(E345:Q345))</f>
        <v>283.18999999999994</v>
      </c>
      <c r="U343" s="323">
        <f>IF((Q344=""),"",(R343-S343)/(R343+S343)*100)</f>
        <v>9.4338335607094397</v>
      </c>
      <c r="V343" s="323">
        <f>STDEV(E345:Q345)</f>
        <v>14.642079770305905</v>
      </c>
      <c r="W343" s="314" t="str">
        <f>IF(Q344="","",IF(T343&gt;300,IF(U343&lt;14,IF(T343&lt;390,"Pass","Fail"),"Fail"),"Fail"))</f>
        <v>Fail</v>
      </c>
      <c r="X343" s="317">
        <v>121</v>
      </c>
      <c r="Y343" s="328"/>
      <c r="Z343" s="221"/>
      <c r="AA343" s="102">
        <v>270</v>
      </c>
      <c r="AB343" s="102">
        <v>370</v>
      </c>
      <c r="AC343" s="102">
        <v>300</v>
      </c>
      <c r="AD343" s="103">
        <v>390</v>
      </c>
      <c r="AE343" s="103">
        <v>20</v>
      </c>
      <c r="AF343" s="103">
        <v>14</v>
      </c>
    </row>
    <row r="344" spans="1:32" ht="16.100000000000001" x14ac:dyDescent="0.35">
      <c r="A344" s="263"/>
      <c r="B344" s="104"/>
      <c r="C344" s="104"/>
      <c r="D344" s="100" t="s">
        <v>187</v>
      </c>
      <c r="E344" s="10">
        <v>2203.5500000000002</v>
      </c>
      <c r="F344" s="10">
        <v>2196.4</v>
      </c>
      <c r="G344" s="10">
        <v>2195.98</v>
      </c>
      <c r="H344" s="10">
        <v>2198.12</v>
      </c>
      <c r="I344" s="10">
        <v>2216.96</v>
      </c>
      <c r="J344" s="10">
        <v>2210.39</v>
      </c>
      <c r="K344" s="10">
        <v>2207.69</v>
      </c>
      <c r="L344" s="10">
        <v>2195.5100000000002</v>
      </c>
      <c r="M344" s="10">
        <v>2194.5100000000002</v>
      </c>
      <c r="N344" s="10">
        <v>2204.5100000000002</v>
      </c>
      <c r="O344" s="10">
        <v>2202.39</v>
      </c>
      <c r="P344" s="10">
        <v>2202.85</v>
      </c>
      <c r="Q344" s="10">
        <v>2195.29</v>
      </c>
      <c r="R344" s="321"/>
      <c r="S344" s="321"/>
      <c r="T344" s="324"/>
      <c r="U344" s="324"/>
      <c r="V344" s="326"/>
      <c r="W344" s="315"/>
      <c r="X344" s="318"/>
      <c r="Y344" s="329"/>
      <c r="Z344" s="221"/>
      <c r="AA344" s="102"/>
      <c r="AB344" s="102"/>
      <c r="AC344" s="102"/>
      <c r="AD344" s="103"/>
      <c r="AE344" s="103"/>
      <c r="AF344" s="103"/>
    </row>
    <row r="345" spans="1:32" ht="31.05" x14ac:dyDescent="0.35">
      <c r="A345" s="263"/>
      <c r="B345" s="99"/>
      <c r="C345" s="99"/>
      <c r="D345" s="100" t="s">
        <v>188</v>
      </c>
      <c r="E345" s="111">
        <f t="shared" ref="E345:Q345" si="112">IF(((E343="")*AND(E344="")),"",(E343-E344))</f>
        <v>294.57999999999993</v>
      </c>
      <c r="F345" s="111">
        <f t="shared" si="112"/>
        <v>271.44000000000005</v>
      </c>
      <c r="G345" s="111">
        <f t="shared" si="112"/>
        <v>274.75999999999976</v>
      </c>
      <c r="H345" s="111">
        <f t="shared" si="112"/>
        <v>285.55000000000018</v>
      </c>
      <c r="I345" s="111">
        <f t="shared" si="112"/>
        <v>320.86000000000013</v>
      </c>
      <c r="J345" s="111">
        <f t="shared" si="112"/>
        <v>280.30000000000018</v>
      </c>
      <c r="K345" s="111">
        <f t="shared" si="112"/>
        <v>265.53999999999996</v>
      </c>
      <c r="L345" s="111">
        <f t="shared" si="112"/>
        <v>277.39999999999964</v>
      </c>
      <c r="M345" s="111">
        <f t="shared" si="112"/>
        <v>294.6899999999996</v>
      </c>
      <c r="N345" s="111">
        <f t="shared" si="112"/>
        <v>266.58999999999969</v>
      </c>
      <c r="O345" s="111">
        <f t="shared" si="112"/>
        <v>285.38000000000011</v>
      </c>
      <c r="P345" s="111">
        <f t="shared" si="112"/>
        <v>286.73</v>
      </c>
      <c r="Q345" s="111">
        <f t="shared" si="112"/>
        <v>277.65000000000009</v>
      </c>
      <c r="R345" s="322"/>
      <c r="S345" s="322"/>
      <c r="T345" s="325"/>
      <c r="U345" s="325"/>
      <c r="V345" s="327"/>
      <c r="W345" s="316"/>
      <c r="X345" s="319"/>
      <c r="Y345" s="330"/>
      <c r="Z345" s="221"/>
      <c r="AA345" s="102"/>
      <c r="AB345" s="102"/>
      <c r="AC345" s="102"/>
      <c r="AD345" s="102"/>
      <c r="AE345" s="106"/>
      <c r="AF345" s="102"/>
    </row>
    <row r="346" spans="1:32" ht="15.55" x14ac:dyDescent="0.25">
      <c r="A346" s="264">
        <v>43521</v>
      </c>
      <c r="B346" s="99" t="s">
        <v>235</v>
      </c>
      <c r="C346" s="99" t="s">
        <v>232</v>
      </c>
      <c r="D346" s="100" t="s">
        <v>186</v>
      </c>
      <c r="E346" s="10">
        <v>2875.42</v>
      </c>
      <c r="F346" s="10">
        <v>2793.37</v>
      </c>
      <c r="G346" s="10">
        <v>2791.22</v>
      </c>
      <c r="H346" s="10">
        <v>2805.69</v>
      </c>
      <c r="I346" s="10">
        <v>2911.96</v>
      </c>
      <c r="J346" s="10">
        <v>2865.66</v>
      </c>
      <c r="K346" s="10">
        <v>2798.54</v>
      </c>
      <c r="L346" s="10">
        <v>2798.8</v>
      </c>
      <c r="M346" s="10">
        <v>2876.61</v>
      </c>
      <c r="N346" s="10">
        <v>2802.08</v>
      </c>
      <c r="O346" s="10">
        <v>2821.55</v>
      </c>
      <c r="P346" s="10">
        <v>2814.7</v>
      </c>
      <c r="Q346" s="10">
        <v>2796.65</v>
      </c>
      <c r="R346" s="320">
        <f>IF((Q347=""),"",MAX(E348:Q348))</f>
        <v>381.74000000000024</v>
      </c>
      <c r="S346" s="320">
        <f>IF(Q347="","",MIN(E348:Q348))</f>
        <v>313.26000000000022</v>
      </c>
      <c r="T346" s="323">
        <f>IF((Q348=""),"",AVERAGE(E348:Q348))</f>
        <v>336.78769230769228</v>
      </c>
      <c r="U346" s="323">
        <f>IF((Q347=""),"",(R346-S346)/(R346+S346)*100)</f>
        <v>9.8532374100719391</v>
      </c>
      <c r="V346" s="323">
        <f>STDEV(E348:Q348)</f>
        <v>28.313722866555434</v>
      </c>
      <c r="W346" s="314" t="str">
        <f>IF(Q347="","",IF(T346&gt;300,IF(U346&lt;14,IF(T346&lt;390,"Pass","Fail"),"Fail"),"Fail"))</f>
        <v>Pass</v>
      </c>
      <c r="X346" s="317">
        <v>121</v>
      </c>
      <c r="Y346" s="227" t="s">
        <v>224</v>
      </c>
      <c r="Z346" s="221"/>
      <c r="AA346" s="102">
        <v>270</v>
      </c>
      <c r="AB346" s="102">
        <v>370</v>
      </c>
      <c r="AC346" s="102">
        <v>300</v>
      </c>
      <c r="AD346" s="103">
        <v>390</v>
      </c>
      <c r="AE346" s="103">
        <v>20</v>
      </c>
      <c r="AF346" s="103">
        <v>14</v>
      </c>
    </row>
    <row r="347" spans="1:32" ht="16.100000000000001" x14ac:dyDescent="0.35">
      <c r="A347" s="263"/>
      <c r="B347" s="104"/>
      <c r="C347" s="104"/>
      <c r="D347" s="100" t="s">
        <v>187</v>
      </c>
      <c r="E347" s="10">
        <v>2499.6</v>
      </c>
      <c r="F347" s="10">
        <v>2476.63</v>
      </c>
      <c r="G347" s="10">
        <v>2476.3200000000002</v>
      </c>
      <c r="H347" s="10">
        <v>2492.4299999999998</v>
      </c>
      <c r="I347" s="10">
        <v>2535.46</v>
      </c>
      <c r="J347" s="10">
        <v>2490.8000000000002</v>
      </c>
      <c r="K347" s="10">
        <v>2477.25</v>
      </c>
      <c r="L347" s="10">
        <v>2481.16</v>
      </c>
      <c r="M347" s="10">
        <v>2494.87</v>
      </c>
      <c r="N347" s="10">
        <v>2476.0500000000002</v>
      </c>
      <c r="O347" s="10">
        <v>2497.48</v>
      </c>
      <c r="P347" s="10">
        <v>2496.19</v>
      </c>
      <c r="Q347" s="10">
        <v>2479.77</v>
      </c>
      <c r="R347" s="321"/>
      <c r="S347" s="321"/>
      <c r="T347" s="324"/>
      <c r="U347" s="324"/>
      <c r="V347" s="326"/>
      <c r="W347" s="315"/>
      <c r="X347" s="318"/>
      <c r="Y347" s="224"/>
      <c r="Z347" s="221"/>
      <c r="AA347" s="102"/>
      <c r="AB347" s="102"/>
      <c r="AC347" s="102"/>
      <c r="AD347" s="103"/>
      <c r="AE347" s="103"/>
      <c r="AF347" s="103"/>
    </row>
    <row r="348" spans="1:32" ht="31.05" x14ac:dyDescent="0.35">
      <c r="A348" s="263"/>
      <c r="B348" s="99"/>
      <c r="C348" s="99"/>
      <c r="D348" s="100" t="s">
        <v>188</v>
      </c>
      <c r="E348" s="111">
        <f t="shared" ref="E348:Q348" si="113">IF(((E346="")*AND(E347="")),"",(E346-E347))</f>
        <v>375.82000000000016</v>
      </c>
      <c r="F348" s="111">
        <f t="shared" si="113"/>
        <v>316.73999999999978</v>
      </c>
      <c r="G348" s="111">
        <f t="shared" si="113"/>
        <v>314.89999999999964</v>
      </c>
      <c r="H348" s="111">
        <f t="shared" si="113"/>
        <v>313.26000000000022</v>
      </c>
      <c r="I348" s="111">
        <f t="shared" si="113"/>
        <v>376.5</v>
      </c>
      <c r="J348" s="111">
        <f t="shared" si="113"/>
        <v>374.85999999999967</v>
      </c>
      <c r="K348" s="111">
        <f t="shared" si="113"/>
        <v>321.28999999999996</v>
      </c>
      <c r="L348" s="111">
        <f t="shared" si="113"/>
        <v>317.64000000000033</v>
      </c>
      <c r="M348" s="111">
        <f t="shared" si="113"/>
        <v>381.74000000000024</v>
      </c>
      <c r="N348" s="111">
        <f t="shared" si="113"/>
        <v>326.02999999999975</v>
      </c>
      <c r="O348" s="111">
        <f t="shared" si="113"/>
        <v>324.07000000000016</v>
      </c>
      <c r="P348" s="111">
        <f t="shared" si="113"/>
        <v>318.50999999999976</v>
      </c>
      <c r="Q348" s="111">
        <f t="shared" si="113"/>
        <v>316.88000000000011</v>
      </c>
      <c r="R348" s="322"/>
      <c r="S348" s="322"/>
      <c r="T348" s="325"/>
      <c r="U348" s="325"/>
      <c r="V348" s="327"/>
      <c r="W348" s="316"/>
      <c r="X348" s="319"/>
      <c r="Y348" s="225"/>
      <c r="Z348" s="221"/>
      <c r="AA348" s="102"/>
      <c r="AB348" s="102"/>
      <c r="AC348" s="102"/>
      <c r="AD348" s="102"/>
      <c r="AE348" s="106"/>
      <c r="AF348" s="102"/>
    </row>
    <row r="349" spans="1:32" ht="15.55" x14ac:dyDescent="0.25">
      <c r="A349" s="264">
        <v>43524</v>
      </c>
      <c r="B349" s="99" t="s">
        <v>235</v>
      </c>
      <c r="C349" s="99" t="s">
        <v>232</v>
      </c>
      <c r="D349" s="100" t="s">
        <v>186</v>
      </c>
      <c r="E349" s="10">
        <v>2878.46</v>
      </c>
      <c r="F349" s="10">
        <v>2788.89</v>
      </c>
      <c r="G349" s="10">
        <v>2786.74</v>
      </c>
      <c r="H349" s="10">
        <v>2802.45</v>
      </c>
      <c r="I349" s="10">
        <v>2907.56</v>
      </c>
      <c r="J349" s="10">
        <v>2861.27</v>
      </c>
      <c r="K349" s="10">
        <v>2791.39</v>
      </c>
      <c r="L349" s="10">
        <v>2792.67</v>
      </c>
      <c r="M349" s="10">
        <v>2868.27</v>
      </c>
      <c r="N349" s="10">
        <v>2798.63</v>
      </c>
      <c r="O349" s="10">
        <v>2811.25</v>
      </c>
      <c r="P349" s="10">
        <v>2811.48</v>
      </c>
      <c r="Q349" s="10">
        <v>2799.22</v>
      </c>
      <c r="R349" s="320">
        <f>IF((Q350=""),"",MAX(E351:Q351))</f>
        <v>373.17000000000007</v>
      </c>
      <c r="S349" s="320">
        <f>IF(Q350="","",MIN(E351:Q351))</f>
        <v>319.69999999999982</v>
      </c>
      <c r="T349" s="323">
        <f>IF((Q351=""),"",AVERAGE(E351:Q351))</f>
        <v>337.88538461538457</v>
      </c>
      <c r="U349" s="323">
        <f>IF((Q350=""),"",(R349-S349)/(R349+S349)*100)</f>
        <v>7.7171763822939745</v>
      </c>
      <c r="V349" s="323">
        <f>STDEV(E351:Q351)</f>
        <v>20.498719315843715</v>
      </c>
      <c r="W349" s="314" t="str">
        <f>IF(Q350="","",IF(T349&gt;300,IF(U349&lt;14,IF(T349&lt;390,"Pass","Fail"),"Fail"),"Fail"))</f>
        <v>Pass</v>
      </c>
      <c r="X349" s="317" t="s">
        <v>99</v>
      </c>
      <c r="Y349" s="227" t="s">
        <v>225</v>
      </c>
      <c r="Z349" s="221"/>
      <c r="AA349" s="102">
        <v>270</v>
      </c>
      <c r="AB349" s="102">
        <v>370</v>
      </c>
      <c r="AC349" s="102">
        <v>300</v>
      </c>
      <c r="AD349" s="103">
        <v>390</v>
      </c>
      <c r="AE349" s="103">
        <v>20</v>
      </c>
      <c r="AF349" s="103">
        <v>14</v>
      </c>
    </row>
    <row r="350" spans="1:32" ht="16.100000000000001" x14ac:dyDescent="0.35">
      <c r="A350" s="263"/>
      <c r="B350" s="104"/>
      <c r="C350" s="104"/>
      <c r="D350" s="100" t="s">
        <v>187</v>
      </c>
      <c r="E350" s="10">
        <v>2505.29</v>
      </c>
      <c r="F350" s="10">
        <v>2465.83</v>
      </c>
      <c r="G350" s="10">
        <v>2465.5700000000002</v>
      </c>
      <c r="H350" s="10">
        <v>2477.1</v>
      </c>
      <c r="I350" s="10">
        <v>2545.7800000000002</v>
      </c>
      <c r="J350" s="10">
        <v>2498.65</v>
      </c>
      <c r="K350" s="10">
        <v>2471.69</v>
      </c>
      <c r="L350" s="10">
        <v>2465.21</v>
      </c>
      <c r="M350" s="10">
        <v>2498.31</v>
      </c>
      <c r="N350" s="10">
        <v>2471.35</v>
      </c>
      <c r="O350" s="10">
        <v>2484.79</v>
      </c>
      <c r="P350" s="10">
        <v>2487.46</v>
      </c>
      <c r="Q350" s="10">
        <v>2468.7399999999998</v>
      </c>
      <c r="R350" s="321"/>
      <c r="S350" s="321"/>
      <c r="T350" s="324"/>
      <c r="U350" s="324"/>
      <c r="V350" s="326"/>
      <c r="W350" s="315"/>
      <c r="X350" s="318"/>
      <c r="Y350" s="224"/>
      <c r="Z350" s="221"/>
      <c r="AA350" s="102"/>
      <c r="AB350" s="102"/>
      <c r="AC350" s="102"/>
      <c r="AD350" s="103"/>
      <c r="AE350" s="103"/>
      <c r="AF350" s="103"/>
    </row>
    <row r="351" spans="1:32" ht="31.05" x14ac:dyDescent="0.35">
      <c r="A351" s="263"/>
      <c r="B351" s="99"/>
      <c r="C351" s="99"/>
      <c r="D351" s="100" t="s">
        <v>188</v>
      </c>
      <c r="E351" s="111">
        <f t="shared" ref="E351:Q351" si="114">IF(((E349="")*AND(E350="")),"",(E349-E350))</f>
        <v>373.17000000000007</v>
      </c>
      <c r="F351" s="111">
        <f t="shared" si="114"/>
        <v>323.05999999999995</v>
      </c>
      <c r="G351" s="111">
        <f t="shared" si="114"/>
        <v>321.16999999999962</v>
      </c>
      <c r="H351" s="111">
        <f t="shared" si="114"/>
        <v>325.34999999999991</v>
      </c>
      <c r="I351" s="111">
        <f t="shared" si="114"/>
        <v>361.77999999999975</v>
      </c>
      <c r="J351" s="111">
        <f t="shared" si="114"/>
        <v>362.61999999999989</v>
      </c>
      <c r="K351" s="111">
        <f t="shared" si="114"/>
        <v>319.69999999999982</v>
      </c>
      <c r="L351" s="111">
        <f t="shared" si="114"/>
        <v>327.46000000000004</v>
      </c>
      <c r="M351" s="111">
        <f t="shared" si="114"/>
        <v>369.96000000000004</v>
      </c>
      <c r="N351" s="111">
        <f t="shared" si="114"/>
        <v>327.2800000000002</v>
      </c>
      <c r="O351" s="111">
        <f t="shared" si="114"/>
        <v>326.46000000000004</v>
      </c>
      <c r="P351" s="111">
        <f t="shared" si="114"/>
        <v>324.02</v>
      </c>
      <c r="Q351" s="111">
        <f t="shared" si="114"/>
        <v>330.48</v>
      </c>
      <c r="R351" s="322"/>
      <c r="S351" s="322"/>
      <c r="T351" s="325"/>
      <c r="U351" s="325"/>
      <c r="V351" s="327"/>
      <c r="W351" s="316"/>
      <c r="X351" s="319"/>
      <c r="Y351" s="225"/>
      <c r="Z351" s="221"/>
      <c r="AA351" s="102"/>
      <c r="AB351" s="102"/>
      <c r="AC351" s="102"/>
      <c r="AD351" s="102"/>
      <c r="AE351" s="106"/>
      <c r="AF351" s="102"/>
    </row>
    <row r="352" spans="1:32" ht="15.55" x14ac:dyDescent="0.25">
      <c r="A352" s="264">
        <v>43528</v>
      </c>
      <c r="B352" s="99" t="s">
        <v>235</v>
      </c>
      <c r="C352" s="99" t="s">
        <v>232</v>
      </c>
      <c r="D352" s="100" t="s">
        <v>186</v>
      </c>
      <c r="E352" s="10">
        <v>2504.58</v>
      </c>
      <c r="F352" s="10">
        <v>2461.31</v>
      </c>
      <c r="G352" s="10">
        <v>2463.25</v>
      </c>
      <c r="H352" s="10">
        <v>2474.88</v>
      </c>
      <c r="I352" s="10">
        <v>2544.9899999999998</v>
      </c>
      <c r="J352" s="10">
        <v>2499.89</v>
      </c>
      <c r="K352" s="10">
        <v>2472.29</v>
      </c>
      <c r="L352" s="10">
        <v>2457.3200000000002</v>
      </c>
      <c r="M352" s="10">
        <v>2498.12</v>
      </c>
      <c r="N352" s="10">
        <v>2469.38</v>
      </c>
      <c r="O352" s="10">
        <v>2480.23</v>
      </c>
      <c r="P352" s="10">
        <v>2489.9699999999998</v>
      </c>
      <c r="Q352" s="10">
        <v>2471.4</v>
      </c>
      <c r="R352" s="320">
        <f>IF((Q353=""),"",MAX(E354:Q354))</f>
        <v>338.52</v>
      </c>
      <c r="S352" s="320">
        <f>IF(Q353="","",MIN(E354:Q354))</f>
        <v>252.43000000000029</v>
      </c>
      <c r="T352" s="323">
        <f>IF((Q354=""),"",AVERAGE(E354:Q354))</f>
        <v>276.28307692307692</v>
      </c>
      <c r="U352" s="323">
        <f>IF((Q353=""),"",(R352-S352)/(R352+S352)*100)</f>
        <v>14.568068364497783</v>
      </c>
      <c r="V352" s="323">
        <f>STDEV(E354:Q354)</f>
        <v>23.696987988847578</v>
      </c>
      <c r="W352" s="314" t="str">
        <f>IF(Q353="","",IF(T352&gt;300,IF(U352&lt;14,IF(T352&lt;390,"Pass","Fail"),"Fail"),"Fail"))</f>
        <v>Fail</v>
      </c>
      <c r="X352" s="317">
        <v>74</v>
      </c>
      <c r="Y352" s="328"/>
      <c r="Z352" s="221"/>
      <c r="AA352" s="102">
        <v>270</v>
      </c>
      <c r="AB352" s="102">
        <v>370</v>
      </c>
      <c r="AC352" s="102">
        <v>300</v>
      </c>
      <c r="AD352" s="103">
        <v>390</v>
      </c>
      <c r="AE352" s="103">
        <v>20</v>
      </c>
      <c r="AF352" s="103">
        <v>14</v>
      </c>
    </row>
    <row r="353" spans="1:32" ht="16.100000000000001" x14ac:dyDescent="0.35">
      <c r="A353" s="263"/>
      <c r="B353" s="104"/>
      <c r="C353" s="104"/>
      <c r="D353" s="100" t="s">
        <v>187</v>
      </c>
      <c r="E353" s="10">
        <v>2206.25</v>
      </c>
      <c r="F353" s="10">
        <v>2203.42</v>
      </c>
      <c r="G353" s="10">
        <v>2207.64</v>
      </c>
      <c r="H353" s="10">
        <v>2209.9299999999998</v>
      </c>
      <c r="I353" s="10">
        <v>2206.4699999999998</v>
      </c>
      <c r="J353" s="10">
        <v>2211.13</v>
      </c>
      <c r="K353" s="10">
        <v>2213.21</v>
      </c>
      <c r="L353" s="10">
        <v>2204.89</v>
      </c>
      <c r="M353" s="10">
        <v>2206.6</v>
      </c>
      <c r="N353" s="10">
        <v>2206.08</v>
      </c>
      <c r="O353" s="10">
        <v>2207.23</v>
      </c>
      <c r="P353" s="10">
        <v>2211.15</v>
      </c>
      <c r="Q353" s="10">
        <v>2201.9299999999998</v>
      </c>
      <c r="R353" s="321"/>
      <c r="S353" s="321"/>
      <c r="T353" s="324"/>
      <c r="U353" s="324"/>
      <c r="V353" s="326"/>
      <c r="W353" s="315"/>
      <c r="X353" s="318"/>
      <c r="Y353" s="329"/>
      <c r="Z353" s="221"/>
      <c r="AA353" s="102"/>
      <c r="AB353" s="102"/>
      <c r="AC353" s="102"/>
      <c r="AD353" s="103"/>
      <c r="AE353" s="103"/>
      <c r="AF353" s="103"/>
    </row>
    <row r="354" spans="1:32" ht="31.05" x14ac:dyDescent="0.35">
      <c r="A354" s="263"/>
      <c r="B354" s="99"/>
      <c r="C354" s="99"/>
      <c r="D354" s="100" t="s">
        <v>188</v>
      </c>
      <c r="E354" s="111">
        <f t="shared" ref="E354:Q354" si="115">IF(((E352="")*AND(E353="")),"",(E352-E353))</f>
        <v>298.32999999999993</v>
      </c>
      <c r="F354" s="111">
        <f t="shared" si="115"/>
        <v>257.88999999999987</v>
      </c>
      <c r="G354" s="111">
        <f t="shared" si="115"/>
        <v>255.61000000000013</v>
      </c>
      <c r="H354" s="111">
        <f t="shared" si="115"/>
        <v>264.95000000000027</v>
      </c>
      <c r="I354" s="111">
        <f t="shared" si="115"/>
        <v>338.52</v>
      </c>
      <c r="J354" s="111">
        <f t="shared" si="115"/>
        <v>288.75999999999976</v>
      </c>
      <c r="K354" s="111">
        <f t="shared" si="115"/>
        <v>259.07999999999993</v>
      </c>
      <c r="L354" s="111">
        <f t="shared" si="115"/>
        <v>252.43000000000029</v>
      </c>
      <c r="M354" s="111">
        <f t="shared" si="115"/>
        <v>291.52</v>
      </c>
      <c r="N354" s="111">
        <f t="shared" si="115"/>
        <v>263.30000000000018</v>
      </c>
      <c r="O354" s="111">
        <f t="shared" si="115"/>
        <v>273</v>
      </c>
      <c r="P354" s="111">
        <f t="shared" si="115"/>
        <v>278.81999999999971</v>
      </c>
      <c r="Q354" s="111">
        <f t="shared" si="115"/>
        <v>269.47000000000025</v>
      </c>
      <c r="R354" s="322"/>
      <c r="S354" s="322"/>
      <c r="T354" s="325"/>
      <c r="U354" s="325"/>
      <c r="V354" s="327"/>
      <c r="W354" s="316"/>
      <c r="X354" s="319"/>
      <c r="Y354" s="330"/>
      <c r="Z354" s="221"/>
      <c r="AA354" s="102"/>
      <c r="AB354" s="102"/>
      <c r="AC354" s="102"/>
      <c r="AD354" s="102"/>
      <c r="AE354" s="106"/>
      <c r="AF354" s="102"/>
    </row>
    <row r="355" spans="1:32" ht="15.55" x14ac:dyDescent="0.25">
      <c r="A355" s="264">
        <v>43529</v>
      </c>
      <c r="B355" s="99" t="s">
        <v>235</v>
      </c>
      <c r="C355" s="99" t="s">
        <v>232</v>
      </c>
      <c r="D355" s="100" t="s">
        <v>186</v>
      </c>
      <c r="E355" s="10">
        <v>2880.36</v>
      </c>
      <c r="F355" s="10">
        <v>2797.64</v>
      </c>
      <c r="G355" s="10">
        <v>2795.71</v>
      </c>
      <c r="H355" s="10">
        <v>2811.92</v>
      </c>
      <c r="I355" s="10">
        <v>2915.07</v>
      </c>
      <c r="J355" s="10">
        <v>2878.49</v>
      </c>
      <c r="K355" s="10">
        <v>2805.31</v>
      </c>
      <c r="L355" s="10">
        <v>2798.34</v>
      </c>
      <c r="M355" s="10">
        <v>2870.47</v>
      </c>
      <c r="N355" s="10">
        <v>2806.53</v>
      </c>
      <c r="O355" s="10">
        <v>2819.35</v>
      </c>
      <c r="P355" s="10">
        <v>2821.44</v>
      </c>
      <c r="Q355" s="10">
        <v>2806.55</v>
      </c>
      <c r="R355" s="320">
        <f>IF((Q356=""),"",MAX(E357:Q357))</f>
        <v>372.95000000000027</v>
      </c>
      <c r="S355" s="320">
        <f>IF(Q356="","",MIN(E357:Q357))</f>
        <v>315.92999999999984</v>
      </c>
      <c r="T355" s="323">
        <f>IF((Q357=""),"",AVERAGE(E357:Q357))</f>
        <v>335.38076923076926</v>
      </c>
      <c r="U355" s="323">
        <f>IF((Q356=""),"",(R355-S355)/(R355+S355)*100)</f>
        <v>8.2772035768204084</v>
      </c>
      <c r="V355" s="323">
        <f>STDEV(E357:Q357)</f>
        <v>24.232359721915394</v>
      </c>
      <c r="W355" s="314" t="str">
        <f>IF(Q356="","",IF(T355&gt;300,IF(U355&lt;14,IF(T355&lt;390,"Pass","Fail"),"Fail"),"Fail"))</f>
        <v>Pass</v>
      </c>
      <c r="X355" s="317" t="s">
        <v>217</v>
      </c>
      <c r="Y355" s="328"/>
      <c r="Z355" s="221"/>
      <c r="AA355" s="102">
        <v>270</v>
      </c>
      <c r="AB355" s="102">
        <v>370</v>
      </c>
      <c r="AC355" s="102">
        <v>300</v>
      </c>
      <c r="AD355" s="103">
        <v>390</v>
      </c>
      <c r="AE355" s="103">
        <v>20</v>
      </c>
      <c r="AF355" s="103">
        <v>14</v>
      </c>
    </row>
    <row r="356" spans="1:32" ht="16.100000000000001" x14ac:dyDescent="0.35">
      <c r="A356" s="263"/>
      <c r="B356" s="104"/>
      <c r="C356" s="104"/>
      <c r="D356" s="100" t="s">
        <v>187</v>
      </c>
      <c r="E356" s="10">
        <v>2513.86</v>
      </c>
      <c r="F356" s="10">
        <v>2477.39</v>
      </c>
      <c r="G356" s="10">
        <v>2479.11</v>
      </c>
      <c r="H356" s="10">
        <v>2491.87</v>
      </c>
      <c r="I356" s="10">
        <v>2542.12</v>
      </c>
      <c r="J356" s="10">
        <v>2509.37</v>
      </c>
      <c r="K356" s="10">
        <v>2489.38</v>
      </c>
      <c r="L356" s="10">
        <v>2481.4899999999998</v>
      </c>
      <c r="M356" s="10">
        <v>2498.9899999999998</v>
      </c>
      <c r="N356" s="10">
        <v>2487.23</v>
      </c>
      <c r="O356" s="10">
        <v>2492.6799999999998</v>
      </c>
      <c r="P356" s="10">
        <v>2499.96</v>
      </c>
      <c r="Q356" s="10">
        <v>2483.7800000000002</v>
      </c>
      <c r="R356" s="321"/>
      <c r="S356" s="321"/>
      <c r="T356" s="324"/>
      <c r="U356" s="324"/>
      <c r="V356" s="326"/>
      <c r="W356" s="315"/>
      <c r="X356" s="318"/>
      <c r="Y356" s="329"/>
      <c r="Z356" s="221"/>
      <c r="AA356" s="102"/>
      <c r="AB356" s="102"/>
      <c r="AC356" s="102"/>
      <c r="AD356" s="103"/>
      <c r="AE356" s="103"/>
      <c r="AF356" s="103"/>
    </row>
    <row r="357" spans="1:32" ht="31.05" x14ac:dyDescent="0.35">
      <c r="A357" s="263"/>
      <c r="B357" s="99"/>
      <c r="C357" s="99"/>
      <c r="D357" s="100" t="s">
        <v>188</v>
      </c>
      <c r="E357" s="111">
        <f t="shared" ref="E357:Q357" si="116">IF(((E355="")*AND(E356="")),"",(E355-E356))</f>
        <v>366.5</v>
      </c>
      <c r="F357" s="111">
        <f t="shared" si="116"/>
        <v>320.25</v>
      </c>
      <c r="G357" s="111">
        <f t="shared" si="116"/>
        <v>316.59999999999991</v>
      </c>
      <c r="H357" s="111">
        <f t="shared" si="116"/>
        <v>320.05000000000018</v>
      </c>
      <c r="I357" s="111">
        <f t="shared" si="116"/>
        <v>372.95000000000027</v>
      </c>
      <c r="J357" s="111">
        <f t="shared" si="116"/>
        <v>369.11999999999989</v>
      </c>
      <c r="K357" s="111">
        <f t="shared" si="116"/>
        <v>315.92999999999984</v>
      </c>
      <c r="L357" s="111">
        <f t="shared" si="116"/>
        <v>316.85000000000036</v>
      </c>
      <c r="M357" s="111">
        <f t="shared" si="116"/>
        <v>371.48</v>
      </c>
      <c r="N357" s="111">
        <f t="shared" si="116"/>
        <v>319.30000000000018</v>
      </c>
      <c r="O357" s="111">
        <f t="shared" si="116"/>
        <v>326.67000000000007</v>
      </c>
      <c r="P357" s="111">
        <f t="shared" si="116"/>
        <v>321.48</v>
      </c>
      <c r="Q357" s="111">
        <f t="shared" si="116"/>
        <v>322.77</v>
      </c>
      <c r="R357" s="322"/>
      <c r="S357" s="322"/>
      <c r="T357" s="325"/>
      <c r="U357" s="325"/>
      <c r="V357" s="327"/>
      <c r="W357" s="316"/>
      <c r="X357" s="319"/>
      <c r="Y357" s="330"/>
      <c r="Z357" s="221"/>
      <c r="AA357" s="102"/>
      <c r="AB357" s="102"/>
      <c r="AC357" s="102"/>
      <c r="AD357" s="102"/>
      <c r="AE357" s="106"/>
      <c r="AF357" s="102"/>
    </row>
    <row r="358" spans="1:32" ht="15.55" x14ac:dyDescent="0.25">
      <c r="A358" s="264">
        <v>43531</v>
      </c>
      <c r="B358" s="99" t="s">
        <v>235</v>
      </c>
      <c r="C358" s="99" t="s">
        <v>232</v>
      </c>
      <c r="D358" s="100" t="s">
        <v>186</v>
      </c>
      <c r="E358" s="10">
        <v>2883.59</v>
      </c>
      <c r="F358" s="10">
        <v>2800.27</v>
      </c>
      <c r="G358" s="10">
        <v>2801.02</v>
      </c>
      <c r="H358" s="10">
        <v>2814.63</v>
      </c>
      <c r="I358" s="10">
        <v>2918.37</v>
      </c>
      <c r="J358" s="10">
        <v>2872.09</v>
      </c>
      <c r="K358" s="10">
        <v>2807.22</v>
      </c>
      <c r="L358" s="10">
        <v>2803.17</v>
      </c>
      <c r="M358" s="10">
        <v>2830</v>
      </c>
      <c r="N358" s="10">
        <v>2807.93</v>
      </c>
      <c r="O358" s="10">
        <v>2824.01</v>
      </c>
      <c r="P358" s="10">
        <v>2821.66</v>
      </c>
      <c r="Q358" s="10">
        <v>2808.39</v>
      </c>
      <c r="R358" s="320">
        <f>IF((Q359=""),"",MAX(E360:Q360))</f>
        <v>370.5300000000002</v>
      </c>
      <c r="S358" s="320">
        <f>IF(Q359="","",MIN(E360:Q360))</f>
        <v>323.48999999999978</v>
      </c>
      <c r="T358" s="323">
        <f>IF((Q360=""),"",AVERAGE(E360:Q360))</f>
        <v>337.09769230769234</v>
      </c>
      <c r="U358" s="323">
        <f>IF((Q359=""),"",(R358-S358)/(R358+S358)*100)</f>
        <v>6.777902654102248</v>
      </c>
      <c r="V358" s="323">
        <f>STDEV(E360:Q360)</f>
        <v>18.453248654300346</v>
      </c>
      <c r="W358" s="314" t="str">
        <f>IF(Q359="","",IF(T358&gt;300,IF(U358&lt;14,IF(T358&lt;390,"Pass","Fail"),"Fail"),"Fail"))</f>
        <v>Pass</v>
      </c>
      <c r="X358" s="317" t="s">
        <v>217</v>
      </c>
      <c r="Y358" s="227" t="s">
        <v>227</v>
      </c>
      <c r="Z358" s="221"/>
      <c r="AA358" s="102">
        <v>270</v>
      </c>
      <c r="AB358" s="102">
        <v>370</v>
      </c>
      <c r="AC358" s="102">
        <v>300</v>
      </c>
      <c r="AD358" s="103">
        <v>390</v>
      </c>
      <c r="AE358" s="103">
        <v>20</v>
      </c>
      <c r="AF358" s="103">
        <v>14</v>
      </c>
    </row>
    <row r="359" spans="1:32" ht="16.100000000000001" x14ac:dyDescent="0.35">
      <c r="A359" s="263"/>
      <c r="B359" s="104"/>
      <c r="C359" s="104"/>
      <c r="D359" s="100" t="s">
        <v>187</v>
      </c>
      <c r="E359" s="10">
        <v>2513.06</v>
      </c>
      <c r="F359" s="10">
        <v>2475.81</v>
      </c>
      <c r="G359" s="10">
        <v>2472.9899999999998</v>
      </c>
      <c r="H359" s="10">
        <v>2488.27</v>
      </c>
      <c r="I359" s="10">
        <v>2549.4899999999998</v>
      </c>
      <c r="J359" s="10">
        <v>2504.73</v>
      </c>
      <c r="K359" s="10">
        <v>2483.73</v>
      </c>
      <c r="L359" s="10">
        <v>2478.56</v>
      </c>
      <c r="M359" s="10">
        <v>2493</v>
      </c>
      <c r="N359" s="10">
        <v>2480.6999999999998</v>
      </c>
      <c r="O359" s="10">
        <v>2496.19</v>
      </c>
      <c r="P359" s="10">
        <v>2491.9499999999998</v>
      </c>
      <c r="Q359" s="10">
        <v>2481.6</v>
      </c>
      <c r="R359" s="321"/>
      <c r="S359" s="321"/>
      <c r="T359" s="324"/>
      <c r="U359" s="324"/>
      <c r="V359" s="326"/>
      <c r="W359" s="315"/>
      <c r="X359" s="318"/>
      <c r="Y359" s="224"/>
      <c r="Z359" s="221"/>
      <c r="AA359" s="102"/>
      <c r="AB359" s="102"/>
      <c r="AC359" s="102"/>
      <c r="AD359" s="103"/>
      <c r="AE359" s="103"/>
      <c r="AF359" s="103"/>
    </row>
    <row r="360" spans="1:32" ht="31.05" x14ac:dyDescent="0.35">
      <c r="A360" s="263"/>
      <c r="B360" s="99"/>
      <c r="C360" s="99"/>
      <c r="D360" s="100" t="s">
        <v>188</v>
      </c>
      <c r="E360" s="111">
        <f t="shared" ref="E360:Q360" si="117">IF(((E358="")*AND(E359="")),"",(E358-E359))</f>
        <v>370.5300000000002</v>
      </c>
      <c r="F360" s="111">
        <f t="shared" si="117"/>
        <v>324.46000000000004</v>
      </c>
      <c r="G360" s="111">
        <f t="shared" si="117"/>
        <v>328.0300000000002</v>
      </c>
      <c r="H360" s="111">
        <f t="shared" si="117"/>
        <v>326.36000000000013</v>
      </c>
      <c r="I360" s="111">
        <f t="shared" si="117"/>
        <v>368.88000000000011</v>
      </c>
      <c r="J360" s="111">
        <f t="shared" si="117"/>
        <v>367.36000000000013</v>
      </c>
      <c r="K360" s="111">
        <f t="shared" si="117"/>
        <v>323.48999999999978</v>
      </c>
      <c r="L360" s="111">
        <f t="shared" si="117"/>
        <v>324.61000000000013</v>
      </c>
      <c r="M360" s="111">
        <f t="shared" si="117"/>
        <v>337</v>
      </c>
      <c r="N360" s="111">
        <f t="shared" si="117"/>
        <v>327.23</v>
      </c>
      <c r="O360" s="111">
        <f t="shared" si="117"/>
        <v>327.82000000000016</v>
      </c>
      <c r="P360" s="111">
        <f t="shared" si="117"/>
        <v>329.71000000000004</v>
      </c>
      <c r="Q360" s="111">
        <f t="shared" si="117"/>
        <v>326.78999999999996</v>
      </c>
      <c r="R360" s="322"/>
      <c r="S360" s="322"/>
      <c r="T360" s="325"/>
      <c r="U360" s="325"/>
      <c r="V360" s="327"/>
      <c r="W360" s="316"/>
      <c r="X360" s="319"/>
      <c r="Y360" s="225"/>
      <c r="Z360" s="221"/>
      <c r="AA360" s="102"/>
      <c r="AB360" s="102"/>
      <c r="AC360" s="102"/>
      <c r="AD360" s="102"/>
      <c r="AE360" s="106"/>
      <c r="AF360" s="102"/>
    </row>
    <row r="361" spans="1:32" ht="15.55" x14ac:dyDescent="0.25">
      <c r="A361" s="264">
        <v>43535</v>
      </c>
      <c r="B361" s="99" t="s">
        <v>235</v>
      </c>
      <c r="C361" s="99" t="s">
        <v>232</v>
      </c>
      <c r="D361" s="100" t="s">
        <v>186</v>
      </c>
      <c r="E361" s="10">
        <v>2507.5700000000002</v>
      </c>
      <c r="F361" s="10">
        <v>2476.4299999999998</v>
      </c>
      <c r="G361" s="10">
        <v>2507.37</v>
      </c>
      <c r="H361" s="10">
        <v>2486.52</v>
      </c>
      <c r="I361" s="10">
        <v>2540.64</v>
      </c>
      <c r="J361" s="10">
        <v>2505.27</v>
      </c>
      <c r="K361" s="10">
        <v>2478.0300000000002</v>
      </c>
      <c r="L361" s="10">
        <v>2476.69</v>
      </c>
      <c r="M361" s="10">
        <v>2497</v>
      </c>
      <c r="N361" s="10">
        <v>2482.5100000000002</v>
      </c>
      <c r="O361" s="10">
        <v>2490.71</v>
      </c>
      <c r="P361" s="10">
        <v>2488.16</v>
      </c>
      <c r="Q361" s="10">
        <v>2482.04</v>
      </c>
      <c r="R361" s="320">
        <f>IF((Q362=""),"",MAX(E363:Q363))</f>
        <v>323.9699999999998</v>
      </c>
      <c r="S361" s="320">
        <f>IF(Q362="","",MIN(E363:Q363))</f>
        <v>253.40000000000009</v>
      </c>
      <c r="T361" s="323">
        <f>IF((Q363=""),"",AVERAGE(E363:Q363))</f>
        <v>277.46538461538455</v>
      </c>
      <c r="U361" s="323">
        <f>IF((Q362=""),"",(R361-S361)/(R361+S361)*100)</f>
        <v>12.222664842302116</v>
      </c>
      <c r="V361" s="323">
        <f>STDEV(E363:Q363)</f>
        <v>20.611611862970378</v>
      </c>
      <c r="W361" s="314" t="str">
        <f>IF(Q362="","",IF(T361&gt;300,IF(U361&lt;14,IF(T361&lt;390,"Pass","Fail"),"Fail"),"Fail"))</f>
        <v>Fail</v>
      </c>
      <c r="X361" s="317">
        <v>74</v>
      </c>
      <c r="Y361" s="328"/>
      <c r="Z361" s="221"/>
      <c r="AA361" s="102">
        <v>270</v>
      </c>
      <c r="AB361" s="102">
        <v>370</v>
      </c>
      <c r="AC361" s="102">
        <v>300</v>
      </c>
      <c r="AD361" s="103">
        <v>390</v>
      </c>
      <c r="AE361" s="103">
        <v>20</v>
      </c>
      <c r="AF361" s="103">
        <v>14</v>
      </c>
    </row>
    <row r="362" spans="1:32" ht="16.100000000000001" x14ac:dyDescent="0.35">
      <c r="A362" s="263"/>
      <c r="B362" s="104"/>
      <c r="C362" s="104"/>
      <c r="D362" s="100" t="s">
        <v>187</v>
      </c>
      <c r="E362" s="10">
        <v>2216.5500000000002</v>
      </c>
      <c r="F362" s="10">
        <v>2217.0500000000002</v>
      </c>
      <c r="G362" s="10">
        <v>2217.86</v>
      </c>
      <c r="H362" s="10">
        <v>2217.7800000000002</v>
      </c>
      <c r="I362" s="10">
        <v>2216.67</v>
      </c>
      <c r="J362" s="10">
        <v>2224.2600000000002</v>
      </c>
      <c r="K362" s="10">
        <v>2224.63</v>
      </c>
      <c r="L362" s="10">
        <v>2218.08</v>
      </c>
      <c r="M362" s="10">
        <v>2190</v>
      </c>
      <c r="N362" s="10">
        <v>2219.9299999999998</v>
      </c>
      <c r="O362" s="10">
        <v>2216.35</v>
      </c>
      <c r="P362" s="10">
        <v>2219.73</v>
      </c>
      <c r="Q362" s="10">
        <v>2213</v>
      </c>
      <c r="R362" s="321"/>
      <c r="S362" s="321"/>
      <c r="T362" s="324"/>
      <c r="U362" s="324"/>
      <c r="V362" s="326"/>
      <c r="W362" s="315"/>
      <c r="X362" s="318"/>
      <c r="Y362" s="329"/>
      <c r="Z362" s="221"/>
      <c r="AA362" s="102"/>
      <c r="AB362" s="102"/>
      <c r="AC362" s="102"/>
      <c r="AD362" s="103"/>
      <c r="AE362" s="103"/>
      <c r="AF362" s="103"/>
    </row>
    <row r="363" spans="1:32" ht="31.05" x14ac:dyDescent="0.35">
      <c r="A363" s="263"/>
      <c r="B363" s="99"/>
      <c r="C363" s="99"/>
      <c r="D363" s="100" t="s">
        <v>188</v>
      </c>
      <c r="E363" s="111">
        <f t="shared" ref="E363:Q363" si="118">IF(((E361="")*AND(E362="")),"",(E361-E362))</f>
        <v>291.02</v>
      </c>
      <c r="F363" s="111">
        <f t="shared" si="118"/>
        <v>259.37999999999965</v>
      </c>
      <c r="G363" s="111">
        <f t="shared" si="118"/>
        <v>289.50999999999976</v>
      </c>
      <c r="H363" s="111">
        <f t="shared" si="118"/>
        <v>268.73999999999978</v>
      </c>
      <c r="I363" s="111">
        <f t="shared" si="118"/>
        <v>323.9699999999998</v>
      </c>
      <c r="J363" s="111">
        <f t="shared" si="118"/>
        <v>281.00999999999976</v>
      </c>
      <c r="K363" s="111">
        <f t="shared" si="118"/>
        <v>253.40000000000009</v>
      </c>
      <c r="L363" s="111">
        <f t="shared" si="118"/>
        <v>258.61000000000013</v>
      </c>
      <c r="M363" s="111">
        <f t="shared" si="118"/>
        <v>307</v>
      </c>
      <c r="N363" s="111">
        <f t="shared" si="118"/>
        <v>262.58000000000038</v>
      </c>
      <c r="O363" s="111">
        <f t="shared" si="118"/>
        <v>274.36000000000013</v>
      </c>
      <c r="P363" s="111">
        <f t="shared" si="118"/>
        <v>268.42999999999984</v>
      </c>
      <c r="Q363" s="111">
        <f t="shared" si="118"/>
        <v>269.03999999999996</v>
      </c>
      <c r="R363" s="322"/>
      <c r="S363" s="322"/>
      <c r="T363" s="325"/>
      <c r="U363" s="325"/>
      <c r="V363" s="327"/>
      <c r="W363" s="316"/>
      <c r="X363" s="319"/>
      <c r="Y363" s="330"/>
      <c r="Z363" s="221"/>
      <c r="AA363" s="102"/>
      <c r="AB363" s="102"/>
      <c r="AC363" s="102"/>
      <c r="AD363" s="102"/>
      <c r="AE363" s="106"/>
      <c r="AF363" s="102"/>
    </row>
    <row r="364" spans="1:32" ht="15.55" x14ac:dyDescent="0.25">
      <c r="A364" s="264">
        <v>43535</v>
      </c>
      <c r="B364" s="99" t="s">
        <v>235</v>
      </c>
      <c r="C364" s="99" t="s">
        <v>232</v>
      </c>
      <c r="D364" s="100" t="s">
        <v>186</v>
      </c>
      <c r="E364" s="10">
        <v>2866.58</v>
      </c>
      <c r="F364" s="10">
        <v>2797.06</v>
      </c>
      <c r="G364" s="10">
        <v>2795.67</v>
      </c>
      <c r="H364" s="10">
        <v>2811.88</v>
      </c>
      <c r="I364" s="10">
        <v>2897.33</v>
      </c>
      <c r="J364" s="10">
        <v>2855.67</v>
      </c>
      <c r="K364" s="10">
        <v>2801.19</v>
      </c>
      <c r="L364" s="10">
        <v>2799.7</v>
      </c>
      <c r="M364" s="10">
        <v>2859.93</v>
      </c>
      <c r="N364" s="10">
        <v>2804.01</v>
      </c>
      <c r="O364" s="10">
        <v>2815.21</v>
      </c>
      <c r="P364" s="10">
        <v>2813.27</v>
      </c>
      <c r="Q364" s="10">
        <v>2804.71</v>
      </c>
      <c r="R364" s="320">
        <f>IF((Q365=""),"",MAX(E366:Q366))</f>
        <v>369.42000000000007</v>
      </c>
      <c r="S364" s="320">
        <f>IF(Q365="","",MIN(E366:Q366))</f>
        <v>316.55000000000018</v>
      </c>
      <c r="T364" s="323">
        <f>IF((Q366=""),"",AVERAGE(E366:Q366))</f>
        <v>334.15923076923076</v>
      </c>
      <c r="U364" s="323">
        <f>IF((Q365=""),"",(R364-S364)/(R364+S364)*100)</f>
        <v>7.7073341399769486</v>
      </c>
      <c r="V364" s="323">
        <f>STDEV(E366:Q366)</f>
        <v>22.468399461443049</v>
      </c>
      <c r="W364" s="314" t="str">
        <f>IF(Q365="","",IF(T364&gt;300,IF(U364&lt;14,IF(T364&lt;390,"Pass","Fail"),"Fail"),"Fail"))</f>
        <v>Pass</v>
      </c>
      <c r="X364" s="317">
        <v>74</v>
      </c>
      <c r="Y364" s="328"/>
      <c r="Z364" s="221"/>
      <c r="AA364" s="102">
        <v>270</v>
      </c>
      <c r="AB364" s="102">
        <v>370</v>
      </c>
      <c r="AC364" s="102">
        <v>300</v>
      </c>
      <c r="AD364" s="103">
        <v>390</v>
      </c>
      <c r="AE364" s="103">
        <v>20</v>
      </c>
      <c r="AF364" s="103">
        <v>14</v>
      </c>
    </row>
    <row r="365" spans="1:32" ht="16.100000000000001" x14ac:dyDescent="0.35">
      <c r="A365" s="263"/>
      <c r="B365" s="104"/>
      <c r="C365" s="104"/>
      <c r="D365" s="100" t="s">
        <v>187</v>
      </c>
      <c r="E365" s="10">
        <v>2500.15</v>
      </c>
      <c r="F365" s="10">
        <v>2477.42</v>
      </c>
      <c r="G365" s="10">
        <v>2479.12</v>
      </c>
      <c r="H365" s="10">
        <v>2489.21</v>
      </c>
      <c r="I365" s="10">
        <v>2527.91</v>
      </c>
      <c r="J365" s="10">
        <v>2495.9299999999998</v>
      </c>
      <c r="K365" s="10">
        <v>2482.23</v>
      </c>
      <c r="L365" s="10">
        <v>2482.2800000000002</v>
      </c>
      <c r="M365" s="10">
        <v>2490.81</v>
      </c>
      <c r="N365" s="10">
        <v>2482.39</v>
      </c>
      <c r="O365" s="10">
        <v>2495.12</v>
      </c>
      <c r="P365" s="10">
        <v>2496.63</v>
      </c>
      <c r="Q365" s="10">
        <v>2478.94</v>
      </c>
      <c r="R365" s="321"/>
      <c r="S365" s="321"/>
      <c r="T365" s="324"/>
      <c r="U365" s="324"/>
      <c r="V365" s="326"/>
      <c r="W365" s="315"/>
      <c r="X365" s="318"/>
      <c r="Y365" s="329"/>
      <c r="Z365" s="221"/>
      <c r="AA365" s="102"/>
      <c r="AB365" s="102"/>
      <c r="AC365" s="102"/>
      <c r="AD365" s="102"/>
      <c r="AE365" s="106"/>
      <c r="AF365" s="102"/>
    </row>
    <row r="366" spans="1:32" ht="31.05" x14ac:dyDescent="0.35">
      <c r="A366" s="263"/>
      <c r="B366" s="99"/>
      <c r="C366" s="99"/>
      <c r="D366" s="100" t="s">
        <v>188</v>
      </c>
      <c r="E366" s="111">
        <f t="shared" ref="E366:Q366" si="119">IF(((E364="")*AND(E365="")),"",(E364-E365))</f>
        <v>366.42999999999984</v>
      </c>
      <c r="F366" s="111">
        <f t="shared" si="119"/>
        <v>319.63999999999987</v>
      </c>
      <c r="G366" s="111">
        <f t="shared" si="119"/>
        <v>316.55000000000018</v>
      </c>
      <c r="H366" s="111">
        <f t="shared" si="119"/>
        <v>322.67000000000007</v>
      </c>
      <c r="I366" s="111">
        <f t="shared" si="119"/>
        <v>369.42000000000007</v>
      </c>
      <c r="J366" s="111">
        <f t="shared" si="119"/>
        <v>359.74000000000024</v>
      </c>
      <c r="K366" s="111">
        <f t="shared" si="119"/>
        <v>318.96000000000004</v>
      </c>
      <c r="L366" s="111">
        <f t="shared" si="119"/>
        <v>317.41999999999962</v>
      </c>
      <c r="M366" s="111">
        <f t="shared" si="119"/>
        <v>369.11999999999989</v>
      </c>
      <c r="N366" s="111">
        <f t="shared" si="119"/>
        <v>321.62000000000035</v>
      </c>
      <c r="O366" s="111">
        <f t="shared" si="119"/>
        <v>320.09000000000015</v>
      </c>
      <c r="P366" s="111">
        <f t="shared" si="119"/>
        <v>316.63999999999987</v>
      </c>
      <c r="Q366" s="111">
        <f t="shared" si="119"/>
        <v>325.77</v>
      </c>
      <c r="R366" s="322"/>
      <c r="S366" s="322"/>
      <c r="T366" s="325"/>
      <c r="U366" s="325"/>
      <c r="V366" s="327"/>
      <c r="W366" s="316"/>
      <c r="X366" s="319"/>
      <c r="Y366" s="330"/>
      <c r="Z366" s="221"/>
      <c r="AA366" s="102"/>
      <c r="AB366" s="102"/>
      <c r="AC366" s="102"/>
      <c r="AD366" s="102"/>
      <c r="AE366" s="106"/>
      <c r="AF366" s="102"/>
    </row>
    <row r="367" spans="1:32" ht="15.55" x14ac:dyDescent="0.25">
      <c r="A367" s="264">
        <v>43538</v>
      </c>
      <c r="B367" s="99" t="s">
        <v>235</v>
      </c>
      <c r="C367" s="99" t="s">
        <v>232</v>
      </c>
      <c r="D367" s="100" t="s">
        <v>186</v>
      </c>
      <c r="E367" s="10">
        <v>2861.35</v>
      </c>
      <c r="F367" s="10">
        <v>2790.28</v>
      </c>
      <c r="G367" s="10">
        <v>2793.05</v>
      </c>
      <c r="H367" s="10">
        <v>2807.07</v>
      </c>
      <c r="I367" s="10">
        <v>2896.18</v>
      </c>
      <c r="J367" s="10">
        <v>2860.29</v>
      </c>
      <c r="K367" s="10">
        <v>2801.84</v>
      </c>
      <c r="L367" s="10">
        <v>2796.3</v>
      </c>
      <c r="M367" s="10">
        <v>2853.23</v>
      </c>
      <c r="N367" s="10">
        <v>2801.05</v>
      </c>
      <c r="O367" s="10">
        <v>2811.57</v>
      </c>
      <c r="P367" s="10">
        <v>2815.63</v>
      </c>
      <c r="Q367" s="10">
        <v>2796.4</v>
      </c>
      <c r="R367" s="320">
        <f>IF((Q368=""),"",MAX(E369:Q369))</f>
        <v>361.25</v>
      </c>
      <c r="S367" s="320">
        <f>IF(Q368="","",MIN(E369:Q369))</f>
        <v>321.17000000000007</v>
      </c>
      <c r="T367" s="323">
        <f>IF((Q369=""),"",AVERAGE(E369:Q369))</f>
        <v>336.07230769230773</v>
      </c>
      <c r="U367" s="323">
        <f>IF((Q368=""),"",(R367-S367)/(R367+S367)*100)</f>
        <v>5.8732159080917796</v>
      </c>
      <c r="V367" s="323">
        <f>STDEV(E369:Q369)</f>
        <v>16.646124250530477</v>
      </c>
      <c r="W367" s="314" t="str">
        <f>IF(Q368="","",IF(T367&gt;300,IF(U367&lt;14,IF(T367&lt;390,"Pass","Fail"),"Fail"),"Fail"))</f>
        <v>Pass</v>
      </c>
      <c r="X367" s="317">
        <v>121</v>
      </c>
      <c r="Y367" s="228" t="s">
        <v>228</v>
      </c>
      <c r="Z367" s="226"/>
      <c r="AA367" s="102">
        <v>270</v>
      </c>
      <c r="AB367" s="102">
        <v>370</v>
      </c>
      <c r="AC367" s="102">
        <v>300</v>
      </c>
      <c r="AD367" s="103">
        <v>390</v>
      </c>
      <c r="AE367" s="103">
        <v>20</v>
      </c>
      <c r="AF367" s="103">
        <v>14</v>
      </c>
    </row>
    <row r="368" spans="1:32" ht="16.100000000000001" x14ac:dyDescent="0.35">
      <c r="A368" s="263"/>
      <c r="B368" s="104"/>
      <c r="C368" s="104"/>
      <c r="D368" s="100" t="s">
        <v>187</v>
      </c>
      <c r="E368" s="10">
        <v>2500.4</v>
      </c>
      <c r="F368" s="10">
        <v>2469.11</v>
      </c>
      <c r="G368" s="10">
        <v>2469.36</v>
      </c>
      <c r="H368" s="10">
        <v>2482.87</v>
      </c>
      <c r="I368" s="10">
        <v>2537.23</v>
      </c>
      <c r="J368" s="10">
        <v>2502.13</v>
      </c>
      <c r="K368" s="10">
        <v>2473.09</v>
      </c>
      <c r="L368" s="10">
        <v>2469.61</v>
      </c>
      <c r="M368" s="10">
        <v>2491.98</v>
      </c>
      <c r="N368" s="10">
        <v>2476.08</v>
      </c>
      <c r="O368" s="10">
        <v>2482.7399999999998</v>
      </c>
      <c r="P368" s="10">
        <v>2487.65</v>
      </c>
      <c r="Q368" s="10">
        <v>2473.0500000000002</v>
      </c>
      <c r="R368" s="321"/>
      <c r="S368" s="321"/>
      <c r="T368" s="324"/>
      <c r="U368" s="324"/>
      <c r="V368" s="326"/>
      <c r="W368" s="315"/>
      <c r="X368" s="318"/>
      <c r="Y368" s="224"/>
      <c r="Z368" s="221"/>
      <c r="AA368" s="102"/>
      <c r="AB368" s="102"/>
      <c r="AC368" s="102"/>
      <c r="AD368" s="102"/>
      <c r="AE368" s="106"/>
      <c r="AF368" s="102"/>
    </row>
    <row r="369" spans="1:32" ht="31.05" x14ac:dyDescent="0.35">
      <c r="A369" s="263"/>
      <c r="B369" s="99"/>
      <c r="C369" s="99"/>
      <c r="D369" s="100" t="s">
        <v>188</v>
      </c>
      <c r="E369" s="111">
        <f t="shared" ref="E369:Q369" si="120">IF(((E367="")*AND(E368="")),"",(E367-E368))</f>
        <v>360.94999999999982</v>
      </c>
      <c r="F369" s="111">
        <f t="shared" si="120"/>
        <v>321.17000000000007</v>
      </c>
      <c r="G369" s="111">
        <f t="shared" si="120"/>
        <v>323.69000000000005</v>
      </c>
      <c r="H369" s="111">
        <f t="shared" si="120"/>
        <v>324.20000000000027</v>
      </c>
      <c r="I369" s="111">
        <f t="shared" si="120"/>
        <v>358.94999999999982</v>
      </c>
      <c r="J369" s="111">
        <f t="shared" si="120"/>
        <v>358.15999999999985</v>
      </c>
      <c r="K369" s="111">
        <f t="shared" si="120"/>
        <v>328.75</v>
      </c>
      <c r="L369" s="111">
        <f t="shared" si="120"/>
        <v>326.69000000000005</v>
      </c>
      <c r="M369" s="111">
        <f t="shared" si="120"/>
        <v>361.25</v>
      </c>
      <c r="N369" s="111">
        <f t="shared" si="120"/>
        <v>324.97000000000025</v>
      </c>
      <c r="O369" s="111">
        <f t="shared" si="120"/>
        <v>328.83000000000038</v>
      </c>
      <c r="P369" s="111">
        <f t="shared" si="120"/>
        <v>327.98</v>
      </c>
      <c r="Q369" s="111">
        <f t="shared" si="120"/>
        <v>323.34999999999991</v>
      </c>
      <c r="R369" s="322"/>
      <c r="S369" s="322"/>
      <c r="T369" s="325"/>
      <c r="U369" s="325"/>
      <c r="V369" s="327"/>
      <c r="W369" s="316"/>
      <c r="X369" s="319"/>
      <c r="Y369" s="225"/>
      <c r="Z369" s="221"/>
      <c r="AA369" s="102"/>
      <c r="AB369" s="102"/>
      <c r="AC369" s="102"/>
      <c r="AD369" s="102"/>
      <c r="AE369" s="106"/>
      <c r="AF369" s="102"/>
    </row>
    <row r="370" spans="1:32" ht="15.55" x14ac:dyDescent="0.25">
      <c r="A370" s="264">
        <v>43542</v>
      </c>
      <c r="B370" s="99" t="s">
        <v>235</v>
      </c>
      <c r="C370" s="99" t="s">
        <v>232</v>
      </c>
      <c r="D370" s="100" t="s">
        <v>186</v>
      </c>
      <c r="E370" s="10">
        <v>2862.96</v>
      </c>
      <c r="F370" s="10">
        <v>2796.97</v>
      </c>
      <c r="G370" s="10">
        <v>2788.17</v>
      </c>
      <c r="H370" s="10">
        <v>2802.91</v>
      </c>
      <c r="I370" s="10">
        <v>2895.05</v>
      </c>
      <c r="J370" s="10">
        <v>2858.05</v>
      </c>
      <c r="K370" s="10">
        <v>2801.18</v>
      </c>
      <c r="L370" s="10">
        <v>2800.8</v>
      </c>
      <c r="M370" s="10">
        <v>2855.18</v>
      </c>
      <c r="N370" s="10">
        <v>2802.2</v>
      </c>
      <c r="O370" s="10">
        <v>2807.82</v>
      </c>
      <c r="P370" s="10">
        <v>2819.56</v>
      </c>
      <c r="Q370" s="10">
        <v>2805.13</v>
      </c>
      <c r="R370" s="320">
        <f>IF((Q371=""),"",MAX(E372:Q372))</f>
        <v>359.84000000000015</v>
      </c>
      <c r="S370" s="320">
        <f>IF(Q371="","",MIN(E372:Q372))</f>
        <v>312.63999999999987</v>
      </c>
      <c r="T370" s="323">
        <f>IF((Q372=""),"",AVERAGE(E372:Q372))</f>
        <v>333.82230769230773</v>
      </c>
      <c r="U370" s="323">
        <f>IF((Q371=""),"",(R370-S370)/(R370+S370)*100)</f>
        <v>7.0187960980252608</v>
      </c>
      <c r="V370" s="323">
        <f>STDEV(E372:Q372)</f>
        <v>17.340223544236757</v>
      </c>
      <c r="W370" s="314" t="str">
        <f>IF(Q371="","",IF(T370&gt;300,IF(U370&lt;14,IF(T370&lt;390,"Pass","Fail"),"Fail"),"Fail"))</f>
        <v>Pass</v>
      </c>
      <c r="X370" s="317">
        <v>1428</v>
      </c>
      <c r="Y370" s="227" t="s">
        <v>246</v>
      </c>
      <c r="Z370" s="221"/>
      <c r="AA370" s="102">
        <v>270</v>
      </c>
      <c r="AB370" s="102">
        <v>370</v>
      </c>
      <c r="AC370" s="102">
        <v>300</v>
      </c>
      <c r="AD370" s="103">
        <v>390</v>
      </c>
      <c r="AE370" s="103">
        <v>20</v>
      </c>
      <c r="AF370" s="103">
        <v>14</v>
      </c>
    </row>
    <row r="371" spans="1:32" ht="16.100000000000001" x14ac:dyDescent="0.35">
      <c r="A371" s="263"/>
      <c r="B371" s="104"/>
      <c r="C371" s="104"/>
      <c r="D371" s="100" t="s">
        <v>187</v>
      </c>
      <c r="E371" s="10">
        <v>2503.12</v>
      </c>
      <c r="F371" s="10">
        <v>2469.64</v>
      </c>
      <c r="G371" s="10">
        <v>2475.5300000000002</v>
      </c>
      <c r="H371" s="10">
        <v>2485.4899999999998</v>
      </c>
      <c r="I371" s="10">
        <v>2535.59</v>
      </c>
      <c r="J371" s="10">
        <v>2501.5</v>
      </c>
      <c r="K371" s="10">
        <v>2480.17</v>
      </c>
      <c r="L371" s="10">
        <v>2473.66</v>
      </c>
      <c r="M371" s="10">
        <v>2499.8000000000002</v>
      </c>
      <c r="N371" s="10">
        <v>2476.1999999999998</v>
      </c>
      <c r="O371" s="10">
        <v>2488.08</v>
      </c>
      <c r="P371" s="10">
        <v>2488.7600000000002</v>
      </c>
      <c r="Q371" s="10">
        <v>2478.75</v>
      </c>
      <c r="R371" s="321"/>
      <c r="S371" s="321"/>
      <c r="T371" s="324"/>
      <c r="U371" s="324"/>
      <c r="V371" s="326"/>
      <c r="W371" s="315"/>
      <c r="X371" s="318"/>
      <c r="Y371" s="224"/>
      <c r="Z371" s="221"/>
      <c r="AA371" s="102"/>
      <c r="AB371" s="102"/>
      <c r="AC371" s="102"/>
      <c r="AD371" s="102"/>
      <c r="AE371" s="106"/>
      <c r="AF371" s="102"/>
    </row>
    <row r="372" spans="1:32" ht="31.05" x14ac:dyDescent="0.35">
      <c r="A372" s="263"/>
      <c r="B372" s="99"/>
      <c r="C372" s="99"/>
      <c r="D372" s="100" t="s">
        <v>188</v>
      </c>
      <c r="E372" s="111">
        <f t="shared" ref="E372:Q372" si="121">IF(((E370="")*AND(E371="")),"",(E370-E371))</f>
        <v>359.84000000000015</v>
      </c>
      <c r="F372" s="111">
        <f t="shared" si="121"/>
        <v>327.32999999999993</v>
      </c>
      <c r="G372" s="111">
        <f t="shared" si="121"/>
        <v>312.63999999999987</v>
      </c>
      <c r="H372" s="111">
        <f t="shared" si="121"/>
        <v>317.42000000000007</v>
      </c>
      <c r="I372" s="111">
        <f t="shared" si="121"/>
        <v>359.46000000000004</v>
      </c>
      <c r="J372" s="111">
        <f t="shared" si="121"/>
        <v>356.55000000000018</v>
      </c>
      <c r="K372" s="111">
        <f t="shared" si="121"/>
        <v>321.00999999999976</v>
      </c>
      <c r="L372" s="111">
        <f t="shared" si="121"/>
        <v>327.14000000000033</v>
      </c>
      <c r="M372" s="111">
        <f t="shared" si="121"/>
        <v>355.37999999999965</v>
      </c>
      <c r="N372" s="111">
        <f t="shared" si="121"/>
        <v>326</v>
      </c>
      <c r="O372" s="111">
        <f t="shared" si="121"/>
        <v>319.74000000000024</v>
      </c>
      <c r="P372" s="111">
        <f t="shared" si="121"/>
        <v>330.79999999999973</v>
      </c>
      <c r="Q372" s="111">
        <f t="shared" si="121"/>
        <v>326.38000000000011</v>
      </c>
      <c r="R372" s="322"/>
      <c r="S372" s="322"/>
      <c r="T372" s="325"/>
      <c r="U372" s="325"/>
      <c r="V372" s="327"/>
      <c r="W372" s="316"/>
      <c r="X372" s="319"/>
      <c r="Y372" s="225"/>
      <c r="Z372" s="221"/>
      <c r="AA372" s="102"/>
      <c r="AB372" s="102"/>
      <c r="AC372" s="102"/>
      <c r="AD372" s="102"/>
      <c r="AE372" s="106"/>
      <c r="AF372" s="102"/>
    </row>
    <row r="373" spans="1:32" ht="15.55" x14ac:dyDescent="0.25">
      <c r="A373" s="264">
        <v>43546</v>
      </c>
      <c r="B373" s="99" t="s">
        <v>235</v>
      </c>
      <c r="C373" s="99" t="s">
        <v>232</v>
      </c>
      <c r="D373" s="100" t="s">
        <v>186</v>
      </c>
      <c r="E373" s="10">
        <v>2505.27</v>
      </c>
      <c r="F373" s="10">
        <v>2476.62</v>
      </c>
      <c r="G373" s="10">
        <v>2483.41</v>
      </c>
      <c r="H373" s="10">
        <v>2479.3000000000002</v>
      </c>
      <c r="I373" s="10">
        <v>2537.34</v>
      </c>
      <c r="J373" s="10">
        <v>2501.9899999999998</v>
      </c>
      <c r="K373" s="10">
        <v>2481.42</v>
      </c>
      <c r="L373" s="10">
        <v>2476.64</v>
      </c>
      <c r="M373" s="10">
        <v>2495.62</v>
      </c>
      <c r="N373" s="10">
        <v>2479.91</v>
      </c>
      <c r="O373" s="10">
        <v>2491.88</v>
      </c>
      <c r="P373" s="10">
        <v>2494.7199999999998</v>
      </c>
      <c r="Q373" s="10">
        <v>2474.85</v>
      </c>
      <c r="R373" s="320">
        <f>IF((Q374=""),"",MAX(E375:Q375))</f>
        <v>316.91000000000031</v>
      </c>
      <c r="S373" s="320">
        <f>IF(Q374="","",MIN(E375:Q375))</f>
        <v>255.78999999999996</v>
      </c>
      <c r="T373" s="323">
        <f>IF((Q375=""),"",AVERAGE(E375:Q375))</f>
        <v>275.25538461538451</v>
      </c>
      <c r="U373" s="323">
        <f>IF((Q374=""),"",(R373-S373)/(R373+S373)*100)</f>
        <v>10.672254234328674</v>
      </c>
      <c r="V373" s="323">
        <f>STDEV(E375:Q375)</f>
        <v>17.023748909187979</v>
      </c>
      <c r="W373" s="314" t="str">
        <f>IF(Q374="","",IF(T373&gt;300,IF(U373&lt;14,IF(T373&lt;390,"Pass","Fail"),"Fail"),"Fail"))</f>
        <v>Fail</v>
      </c>
      <c r="X373" s="317">
        <v>1428</v>
      </c>
      <c r="Y373" s="328"/>
      <c r="Z373" s="221"/>
      <c r="AA373" s="102">
        <v>270</v>
      </c>
      <c r="AB373" s="102">
        <v>370</v>
      </c>
      <c r="AC373" s="102">
        <v>300</v>
      </c>
      <c r="AD373" s="103">
        <v>390</v>
      </c>
      <c r="AE373" s="103">
        <v>20</v>
      </c>
      <c r="AF373" s="103">
        <v>14</v>
      </c>
    </row>
    <row r="374" spans="1:32" ht="16.100000000000001" x14ac:dyDescent="0.35">
      <c r="A374" s="263"/>
      <c r="B374" s="104"/>
      <c r="C374" s="104"/>
      <c r="D374" s="100" t="s">
        <v>187</v>
      </c>
      <c r="E374" s="10">
        <v>2211.5700000000002</v>
      </c>
      <c r="F374" s="10">
        <v>2206.0100000000002</v>
      </c>
      <c r="G374" s="10">
        <v>2213.0500000000002</v>
      </c>
      <c r="H374" s="10">
        <v>2216.87</v>
      </c>
      <c r="I374" s="10">
        <v>2220.4299999999998</v>
      </c>
      <c r="J374" s="10">
        <v>2219.27</v>
      </c>
      <c r="K374" s="10">
        <v>2225.63</v>
      </c>
      <c r="L374" s="10">
        <v>2217.42</v>
      </c>
      <c r="M374" s="10">
        <v>2206.36</v>
      </c>
      <c r="N374" s="10">
        <v>2215.48</v>
      </c>
      <c r="O374" s="10">
        <v>2213.1799999999998</v>
      </c>
      <c r="P374" s="10">
        <v>2223.0300000000002</v>
      </c>
      <c r="Q374" s="10">
        <v>2212.35</v>
      </c>
      <c r="R374" s="321"/>
      <c r="S374" s="321"/>
      <c r="T374" s="324"/>
      <c r="U374" s="324"/>
      <c r="V374" s="326"/>
      <c r="W374" s="315"/>
      <c r="X374" s="318"/>
      <c r="Y374" s="329"/>
      <c r="Z374" s="221"/>
      <c r="AA374" s="102"/>
      <c r="AB374" s="102"/>
      <c r="AC374" s="102"/>
      <c r="AD374" s="102"/>
      <c r="AE374" s="106"/>
      <c r="AF374" s="102"/>
    </row>
    <row r="375" spans="1:32" ht="31.05" x14ac:dyDescent="0.35">
      <c r="A375" s="263"/>
      <c r="B375" s="99"/>
      <c r="C375" s="99"/>
      <c r="D375" s="100" t="s">
        <v>188</v>
      </c>
      <c r="E375" s="111">
        <f t="shared" ref="E375:Q375" si="122">IF(((E373="")*AND(E374="")),"",(E373-E374))</f>
        <v>293.69999999999982</v>
      </c>
      <c r="F375" s="111">
        <f t="shared" si="122"/>
        <v>270.60999999999967</v>
      </c>
      <c r="G375" s="111">
        <f t="shared" si="122"/>
        <v>270.35999999999967</v>
      </c>
      <c r="H375" s="111">
        <f t="shared" si="122"/>
        <v>262.43000000000029</v>
      </c>
      <c r="I375" s="111">
        <f t="shared" si="122"/>
        <v>316.91000000000031</v>
      </c>
      <c r="J375" s="111">
        <f t="shared" si="122"/>
        <v>282.7199999999998</v>
      </c>
      <c r="K375" s="111">
        <f t="shared" si="122"/>
        <v>255.78999999999996</v>
      </c>
      <c r="L375" s="111">
        <f t="shared" si="122"/>
        <v>259.2199999999998</v>
      </c>
      <c r="M375" s="111">
        <f t="shared" si="122"/>
        <v>289.25999999999976</v>
      </c>
      <c r="N375" s="111">
        <f t="shared" si="122"/>
        <v>264.42999999999984</v>
      </c>
      <c r="O375" s="111">
        <f t="shared" si="122"/>
        <v>278.70000000000027</v>
      </c>
      <c r="P375" s="111">
        <f t="shared" si="122"/>
        <v>271.6899999999996</v>
      </c>
      <c r="Q375" s="111">
        <f t="shared" si="122"/>
        <v>262.5</v>
      </c>
      <c r="R375" s="322"/>
      <c r="S375" s="322"/>
      <c r="T375" s="325"/>
      <c r="U375" s="325"/>
      <c r="V375" s="327"/>
      <c r="W375" s="316"/>
      <c r="X375" s="319"/>
      <c r="Y375" s="330"/>
      <c r="Z375" s="221"/>
      <c r="AA375" s="102"/>
      <c r="AB375" s="102"/>
      <c r="AC375" s="102"/>
      <c r="AD375" s="102"/>
      <c r="AE375" s="106"/>
      <c r="AF375" s="102"/>
    </row>
    <row r="376" spans="1:32" ht="15.55" x14ac:dyDescent="0.25">
      <c r="A376" s="264">
        <v>43546</v>
      </c>
      <c r="B376" s="99" t="s">
        <v>235</v>
      </c>
      <c r="C376" s="99" t="s">
        <v>232</v>
      </c>
      <c r="D376" s="100" t="s">
        <v>186</v>
      </c>
      <c r="E376" s="10">
        <v>2860.47</v>
      </c>
      <c r="F376" s="10">
        <v>2795.97</v>
      </c>
      <c r="G376" s="10">
        <v>2791.68</v>
      </c>
      <c r="H376" s="10">
        <v>2810.66</v>
      </c>
      <c r="I376" s="10">
        <v>2895.76</v>
      </c>
      <c r="J376" s="10">
        <v>2856.49</v>
      </c>
      <c r="K376" s="10">
        <v>2803.62</v>
      </c>
      <c r="L376" s="10">
        <v>2800.58</v>
      </c>
      <c r="M376" s="10">
        <v>2857.49</v>
      </c>
      <c r="N376" s="10">
        <v>2803.11</v>
      </c>
      <c r="O376" s="10">
        <v>2817.08</v>
      </c>
      <c r="P376" s="10">
        <v>2816.11</v>
      </c>
      <c r="Q376" s="10">
        <v>2800.38</v>
      </c>
      <c r="R376" s="320">
        <f>IF((Q377=""),"",MAX(E378:Q378))</f>
        <v>376.90999999999985</v>
      </c>
      <c r="S376" s="320">
        <f>IF(Q377="","",MIN(E378:Q378))</f>
        <v>317.78999999999996</v>
      </c>
      <c r="T376" s="323">
        <f>IF((Q378=""),"",AVERAGE(E378:Q378))</f>
        <v>340.89538461538456</v>
      </c>
      <c r="U376" s="323">
        <f>IF((Q377=""),"",(R376-S376)/(R376+S376)*100)</f>
        <v>8.5101482654383052</v>
      </c>
      <c r="V376" s="323">
        <f>STDEV(E378:Q378)</f>
        <v>19.889377657175295</v>
      </c>
      <c r="W376" s="314" t="str">
        <f>IF(Q377="","",IF(T376&gt;300,IF(U376&lt;14,IF(T376&lt;390,"Pass","Fail"),"Fail"),"Fail"))</f>
        <v>Pass</v>
      </c>
      <c r="X376" s="317">
        <v>1340</v>
      </c>
      <c r="Y376" s="328"/>
      <c r="Z376" s="221"/>
      <c r="AA376" s="102">
        <v>270</v>
      </c>
      <c r="AB376" s="102">
        <v>370</v>
      </c>
      <c r="AC376" s="102">
        <v>300</v>
      </c>
      <c r="AD376" s="103">
        <v>390</v>
      </c>
      <c r="AE376" s="103">
        <v>20</v>
      </c>
      <c r="AF376" s="103">
        <v>14</v>
      </c>
    </row>
    <row r="377" spans="1:32" ht="16.100000000000001" x14ac:dyDescent="0.35">
      <c r="A377" s="263"/>
      <c r="B377" s="104"/>
      <c r="C377" s="104"/>
      <c r="D377" s="100" t="s">
        <v>187</v>
      </c>
      <c r="E377" s="10">
        <v>2495.92</v>
      </c>
      <c r="F377" s="10">
        <v>2469.19</v>
      </c>
      <c r="G377" s="10">
        <v>2473.89</v>
      </c>
      <c r="H377" s="10">
        <v>2479.79</v>
      </c>
      <c r="I377" s="10">
        <v>2524.64</v>
      </c>
      <c r="J377" s="10">
        <v>2495.21</v>
      </c>
      <c r="K377" s="10">
        <v>2475.42</v>
      </c>
      <c r="L377" s="10">
        <v>2474.08</v>
      </c>
      <c r="M377" s="10">
        <v>2480.58</v>
      </c>
      <c r="N377" s="10">
        <v>2473.96</v>
      </c>
      <c r="O377" s="10">
        <v>2480.09</v>
      </c>
      <c r="P377" s="10">
        <v>2484.96</v>
      </c>
      <c r="Q377" s="10">
        <v>2470.0300000000002</v>
      </c>
      <c r="R377" s="321"/>
      <c r="S377" s="321"/>
      <c r="T377" s="324"/>
      <c r="U377" s="324"/>
      <c r="V377" s="326"/>
      <c r="W377" s="315"/>
      <c r="X377" s="318"/>
      <c r="Y377" s="329"/>
      <c r="Z377" s="221"/>
      <c r="AA377" s="102"/>
      <c r="AB377" s="102"/>
      <c r="AC377" s="102"/>
      <c r="AD377" s="102"/>
      <c r="AE377" s="106"/>
      <c r="AF377" s="102"/>
    </row>
    <row r="378" spans="1:32" ht="31.05" x14ac:dyDescent="0.35">
      <c r="A378" s="263"/>
      <c r="B378" s="99"/>
      <c r="C378" s="99"/>
      <c r="D378" s="100" t="s">
        <v>188</v>
      </c>
      <c r="E378" s="111">
        <f t="shared" ref="E378:Q378" si="123">IF(((E376="")*AND(E377="")),"",(E376-E377))</f>
        <v>364.54999999999973</v>
      </c>
      <c r="F378" s="111">
        <f t="shared" si="123"/>
        <v>326.77999999999975</v>
      </c>
      <c r="G378" s="111">
        <f t="shared" si="123"/>
        <v>317.78999999999996</v>
      </c>
      <c r="H378" s="111">
        <f t="shared" si="123"/>
        <v>330.86999999999989</v>
      </c>
      <c r="I378" s="111">
        <f t="shared" si="123"/>
        <v>371.12000000000035</v>
      </c>
      <c r="J378" s="111">
        <f t="shared" si="123"/>
        <v>361.27999999999975</v>
      </c>
      <c r="K378" s="111">
        <f t="shared" si="123"/>
        <v>328.19999999999982</v>
      </c>
      <c r="L378" s="111">
        <f t="shared" si="123"/>
        <v>326.5</v>
      </c>
      <c r="M378" s="111">
        <f t="shared" si="123"/>
        <v>376.90999999999985</v>
      </c>
      <c r="N378" s="111">
        <f t="shared" si="123"/>
        <v>329.15000000000009</v>
      </c>
      <c r="O378" s="111">
        <f t="shared" si="123"/>
        <v>336.98999999999978</v>
      </c>
      <c r="P378" s="111">
        <f t="shared" si="123"/>
        <v>331.15000000000009</v>
      </c>
      <c r="Q378" s="111">
        <f t="shared" si="123"/>
        <v>330.34999999999991</v>
      </c>
      <c r="R378" s="322"/>
      <c r="S378" s="322"/>
      <c r="T378" s="325"/>
      <c r="U378" s="325"/>
      <c r="V378" s="327"/>
      <c r="W378" s="316"/>
      <c r="X378" s="319"/>
      <c r="Y378" s="330"/>
      <c r="Z378" s="221"/>
      <c r="AA378" s="102"/>
      <c r="AB378" s="102"/>
      <c r="AC378" s="102"/>
      <c r="AD378" s="102"/>
      <c r="AE378" s="106"/>
      <c r="AF378" s="102"/>
    </row>
    <row r="379" spans="1:32" ht="15.55" x14ac:dyDescent="0.25">
      <c r="A379" s="264">
        <v>43549</v>
      </c>
      <c r="B379" s="99" t="s">
        <v>235</v>
      </c>
      <c r="C379" s="99" t="s">
        <v>232</v>
      </c>
      <c r="D379" s="100" t="s">
        <v>186</v>
      </c>
      <c r="E379" s="10">
        <v>2850.41</v>
      </c>
      <c r="F379" s="10">
        <v>2787.73</v>
      </c>
      <c r="G379" s="10">
        <v>2786.29</v>
      </c>
      <c r="H379" s="10">
        <v>2801.42</v>
      </c>
      <c r="I379" s="10">
        <v>2880.37</v>
      </c>
      <c r="J379" s="10">
        <v>2860.85</v>
      </c>
      <c r="K379" s="10">
        <v>2800.31</v>
      </c>
      <c r="L379" s="10">
        <v>2790.83</v>
      </c>
      <c r="M379" s="10">
        <v>2849.02</v>
      </c>
      <c r="N379" s="10">
        <v>2797.47</v>
      </c>
      <c r="O379" s="10">
        <v>2806.71</v>
      </c>
      <c r="P379" s="10">
        <v>2812.44</v>
      </c>
      <c r="Q379" s="10">
        <v>2793.6</v>
      </c>
      <c r="R379" s="320">
        <f>IF((Q380=""),"",MAX(E381:Q381))</f>
        <v>360.38999999999987</v>
      </c>
      <c r="S379" s="320">
        <f>IF(Q380="","",MIN(E381:Q381))</f>
        <v>319.15000000000009</v>
      </c>
      <c r="T379" s="323">
        <f>IF((Q381=""),"",AVERAGE(E381:Q381))</f>
        <v>334.39692307692309</v>
      </c>
      <c r="U379" s="323">
        <f>IF((Q380=""),"",(R379-S379)/(R379+S379)*100)</f>
        <v>6.068811254672247</v>
      </c>
      <c r="V379" s="323">
        <f>STDEV(E381:Q381)</f>
        <v>16.38198776330027</v>
      </c>
      <c r="W379" s="314" t="str">
        <f>IF(Q380="","",IF(T379&gt;300,IF(U379&lt;14,IF(T379&lt;390,"Pass","Fail"),"Fail"),"Fail"))</f>
        <v>Pass</v>
      </c>
      <c r="X379" s="317">
        <v>102</v>
      </c>
      <c r="Y379" s="331"/>
      <c r="Z379" s="222" t="s">
        <v>247</v>
      </c>
      <c r="AA379" s="102">
        <v>270</v>
      </c>
      <c r="AB379" s="102">
        <v>370</v>
      </c>
      <c r="AC379" s="102">
        <v>300</v>
      </c>
      <c r="AD379" s="103">
        <v>390</v>
      </c>
      <c r="AE379" s="103">
        <v>20</v>
      </c>
      <c r="AF379" s="103">
        <v>14</v>
      </c>
    </row>
    <row r="380" spans="1:32" ht="16.100000000000001" x14ac:dyDescent="0.35">
      <c r="A380" s="263"/>
      <c r="B380" s="104"/>
      <c r="C380" s="104"/>
      <c r="D380" s="100" t="s">
        <v>187</v>
      </c>
      <c r="E380" s="10">
        <v>2493.59</v>
      </c>
      <c r="F380" s="10">
        <v>2467.4499999999998</v>
      </c>
      <c r="G380" s="10">
        <v>2463.52</v>
      </c>
      <c r="H380" s="10">
        <v>2482.27</v>
      </c>
      <c r="I380" s="10">
        <v>2522.27</v>
      </c>
      <c r="J380" s="10">
        <v>2506.69</v>
      </c>
      <c r="K380" s="10">
        <v>2471.2199999999998</v>
      </c>
      <c r="L380" s="10">
        <v>2470.9899999999998</v>
      </c>
      <c r="M380" s="10">
        <v>2488.63</v>
      </c>
      <c r="N380" s="10">
        <v>2470.44</v>
      </c>
      <c r="O380" s="10">
        <v>2478.46</v>
      </c>
      <c r="P380" s="10">
        <v>2482.4899999999998</v>
      </c>
      <c r="Q380" s="10">
        <v>2472.27</v>
      </c>
      <c r="R380" s="321"/>
      <c r="S380" s="321"/>
      <c r="T380" s="324"/>
      <c r="U380" s="324"/>
      <c r="V380" s="326"/>
      <c r="W380" s="315"/>
      <c r="X380" s="318"/>
      <c r="Y380" s="332"/>
      <c r="Z380" s="222"/>
      <c r="AA380" s="102"/>
      <c r="AB380" s="102"/>
      <c r="AC380" s="102"/>
      <c r="AD380" s="102"/>
      <c r="AE380" s="106"/>
      <c r="AF380" s="102"/>
    </row>
    <row r="381" spans="1:32" ht="31.05" x14ac:dyDescent="0.35">
      <c r="A381" s="263"/>
      <c r="B381" s="99"/>
      <c r="C381" s="99"/>
      <c r="D381" s="100" t="s">
        <v>188</v>
      </c>
      <c r="E381" s="111">
        <f t="shared" ref="E381:Q381" si="124">IF(((E379="")*AND(E380="")),"",(E379-E380))</f>
        <v>356.81999999999971</v>
      </c>
      <c r="F381" s="111">
        <f t="shared" si="124"/>
        <v>320.2800000000002</v>
      </c>
      <c r="G381" s="111">
        <f t="shared" si="124"/>
        <v>322.77</v>
      </c>
      <c r="H381" s="111">
        <f t="shared" si="124"/>
        <v>319.15000000000009</v>
      </c>
      <c r="I381" s="111">
        <f t="shared" si="124"/>
        <v>358.09999999999991</v>
      </c>
      <c r="J381" s="111">
        <f t="shared" si="124"/>
        <v>354.15999999999985</v>
      </c>
      <c r="K381" s="111">
        <f t="shared" si="124"/>
        <v>329.09000000000015</v>
      </c>
      <c r="L381" s="111">
        <f t="shared" si="124"/>
        <v>319.84000000000015</v>
      </c>
      <c r="M381" s="111">
        <f t="shared" si="124"/>
        <v>360.38999999999987</v>
      </c>
      <c r="N381" s="111">
        <f t="shared" si="124"/>
        <v>327.02999999999975</v>
      </c>
      <c r="O381" s="111">
        <f t="shared" si="124"/>
        <v>328.25</v>
      </c>
      <c r="P381" s="111">
        <f t="shared" si="124"/>
        <v>329.95000000000027</v>
      </c>
      <c r="Q381" s="111">
        <f t="shared" si="124"/>
        <v>321.32999999999993</v>
      </c>
      <c r="R381" s="322"/>
      <c r="S381" s="322"/>
      <c r="T381" s="325"/>
      <c r="U381" s="325"/>
      <c r="V381" s="327"/>
      <c r="W381" s="316"/>
      <c r="X381" s="319"/>
      <c r="Y381" s="333"/>
      <c r="Z381" s="222"/>
      <c r="AA381" s="102"/>
      <c r="AB381" s="102"/>
      <c r="AC381" s="102"/>
      <c r="AD381" s="102"/>
      <c r="AE381" s="106"/>
      <c r="AF381" s="102"/>
    </row>
    <row r="382" spans="1:32" ht="15.55" x14ac:dyDescent="0.25">
      <c r="A382" s="264">
        <v>43552</v>
      </c>
      <c r="B382" s="99" t="s">
        <v>235</v>
      </c>
      <c r="C382" s="99" t="s">
        <v>232</v>
      </c>
      <c r="D382" s="100" t="s">
        <v>186</v>
      </c>
      <c r="E382" s="10">
        <v>2854.03</v>
      </c>
      <c r="F382" s="10">
        <v>2791.52</v>
      </c>
      <c r="G382" s="10">
        <v>2786.93</v>
      </c>
      <c r="H382" s="10">
        <v>2805.12</v>
      </c>
      <c r="I382" s="10">
        <v>2885.11</v>
      </c>
      <c r="J382" s="10">
        <v>2861.36</v>
      </c>
      <c r="K382" s="10">
        <v>2800.09</v>
      </c>
      <c r="L382" s="10">
        <v>2792.93</v>
      </c>
      <c r="M382" s="10">
        <v>2852.3</v>
      </c>
      <c r="N382" s="10">
        <v>2795.48</v>
      </c>
      <c r="O382" s="10">
        <v>2811.37</v>
      </c>
      <c r="P382" s="10">
        <v>2815.2</v>
      </c>
      <c r="Q382" s="10">
        <v>2800.54</v>
      </c>
      <c r="R382" s="320">
        <f>IF((Q383=""),"",MAX(E384:Q384))</f>
        <v>352.53999999999996</v>
      </c>
      <c r="S382" s="320">
        <f>IF(Q383="","",MIN(E384:Q384))</f>
        <v>309.91999999999962</v>
      </c>
      <c r="T382" s="323">
        <f>IF((Q384=""),"",AVERAGE(E384:Q384))</f>
        <v>327.65615384615381</v>
      </c>
      <c r="U382" s="323">
        <f>IF((Q383=""),"",(R382-S382)/(R382+S382)*100)</f>
        <v>6.4335959907013809</v>
      </c>
      <c r="V382" s="323">
        <f>STDEV(E384:Q384)</f>
        <v>17.209168359947824</v>
      </c>
      <c r="W382" s="314" t="str">
        <f>IF(Q383="","",IF(T382&gt;300,IF(U382&lt;14,IF(T382&lt;390,"Pass","Fail"),"Fail"),"Fail"))</f>
        <v>Pass</v>
      </c>
      <c r="X382" s="317">
        <v>121</v>
      </c>
      <c r="Y382" s="328"/>
      <c r="Z382" s="221"/>
      <c r="AA382" s="102">
        <v>270</v>
      </c>
      <c r="AB382" s="102">
        <v>370</v>
      </c>
      <c r="AC382" s="102">
        <v>300</v>
      </c>
      <c r="AD382" s="103">
        <v>390</v>
      </c>
      <c r="AE382" s="103">
        <v>20</v>
      </c>
      <c r="AF382" s="103">
        <v>14</v>
      </c>
    </row>
    <row r="383" spans="1:32" ht="16.100000000000001" x14ac:dyDescent="0.35">
      <c r="A383" s="263"/>
      <c r="B383" s="104"/>
      <c r="C383" s="104"/>
      <c r="D383" s="100" t="s">
        <v>187</v>
      </c>
      <c r="E383" s="10">
        <v>2502.5</v>
      </c>
      <c r="F383" s="10">
        <v>2475.37</v>
      </c>
      <c r="G383" s="10">
        <v>2477.0100000000002</v>
      </c>
      <c r="H383" s="10">
        <v>2488.89</v>
      </c>
      <c r="I383" s="10">
        <v>2532.5700000000002</v>
      </c>
      <c r="J383" s="10">
        <v>2509.15</v>
      </c>
      <c r="K383" s="10">
        <v>2484.46</v>
      </c>
      <c r="L383" s="10">
        <v>2478.0300000000002</v>
      </c>
      <c r="M383" s="10">
        <v>2500.89</v>
      </c>
      <c r="N383" s="10">
        <v>2482.5</v>
      </c>
      <c r="O383" s="10">
        <v>2490.17</v>
      </c>
      <c r="P383" s="10">
        <v>2493.37</v>
      </c>
      <c r="Q383" s="10">
        <v>2477.54</v>
      </c>
      <c r="R383" s="321"/>
      <c r="S383" s="321"/>
      <c r="T383" s="324"/>
      <c r="U383" s="324"/>
      <c r="V383" s="326"/>
      <c r="W383" s="315"/>
      <c r="X383" s="318"/>
      <c r="Y383" s="329"/>
      <c r="Z383" s="221"/>
      <c r="AA383" s="102"/>
      <c r="AB383" s="102"/>
      <c r="AC383" s="102"/>
      <c r="AD383" s="102"/>
      <c r="AE383" s="106"/>
      <c r="AF383" s="102"/>
    </row>
    <row r="384" spans="1:32" ht="31.05" x14ac:dyDescent="0.35">
      <c r="A384" s="263"/>
      <c r="B384" s="99"/>
      <c r="C384" s="99"/>
      <c r="D384" s="100" t="s">
        <v>188</v>
      </c>
      <c r="E384" s="111">
        <f t="shared" ref="E384:Q384" si="125">IF(((E382="")*AND(E383="")),"",(E382-E383))</f>
        <v>351.5300000000002</v>
      </c>
      <c r="F384" s="111">
        <f t="shared" si="125"/>
        <v>316.15000000000009</v>
      </c>
      <c r="G384" s="111">
        <f t="shared" si="125"/>
        <v>309.91999999999962</v>
      </c>
      <c r="H384" s="111">
        <f t="shared" si="125"/>
        <v>316.23</v>
      </c>
      <c r="I384" s="111">
        <f t="shared" si="125"/>
        <v>352.53999999999996</v>
      </c>
      <c r="J384" s="111">
        <f t="shared" si="125"/>
        <v>352.21000000000004</v>
      </c>
      <c r="K384" s="111">
        <f t="shared" si="125"/>
        <v>315.63000000000011</v>
      </c>
      <c r="L384" s="111">
        <f t="shared" si="125"/>
        <v>314.89999999999964</v>
      </c>
      <c r="M384" s="111">
        <f t="shared" si="125"/>
        <v>351.41000000000031</v>
      </c>
      <c r="N384" s="111">
        <f t="shared" si="125"/>
        <v>312.98</v>
      </c>
      <c r="O384" s="111">
        <f t="shared" si="125"/>
        <v>321.19999999999982</v>
      </c>
      <c r="P384" s="111">
        <f t="shared" si="125"/>
        <v>321.82999999999993</v>
      </c>
      <c r="Q384" s="111">
        <f t="shared" si="125"/>
        <v>323</v>
      </c>
      <c r="R384" s="322"/>
      <c r="S384" s="322"/>
      <c r="T384" s="325"/>
      <c r="U384" s="325"/>
      <c r="V384" s="327"/>
      <c r="W384" s="316"/>
      <c r="X384" s="319"/>
      <c r="Y384" s="330"/>
      <c r="Z384" s="221"/>
      <c r="AA384" s="102"/>
      <c r="AB384" s="102"/>
      <c r="AC384" s="102"/>
      <c r="AD384" s="102"/>
      <c r="AE384" s="106"/>
      <c r="AF384" s="102"/>
    </row>
    <row r="385" spans="1:32" ht="15.55" x14ac:dyDescent="0.25">
      <c r="A385" s="264">
        <v>43556</v>
      </c>
      <c r="B385" s="99" t="s">
        <v>235</v>
      </c>
      <c r="C385" s="99" t="s">
        <v>232</v>
      </c>
      <c r="D385" s="100" t="s">
        <v>186</v>
      </c>
      <c r="E385" s="10">
        <v>2852.65</v>
      </c>
      <c r="F385" s="10">
        <v>2793.66</v>
      </c>
      <c r="G385" s="10">
        <v>2787.22</v>
      </c>
      <c r="H385" s="10">
        <v>2802.25</v>
      </c>
      <c r="I385" s="10">
        <v>2883.24</v>
      </c>
      <c r="J385" s="10">
        <v>2860.68</v>
      </c>
      <c r="K385" s="10">
        <v>2799.38</v>
      </c>
      <c r="L385" s="10">
        <v>2795.06</v>
      </c>
      <c r="M385" s="10">
        <v>2853.85</v>
      </c>
      <c r="N385" s="10">
        <v>2796.53</v>
      </c>
      <c r="O385" s="10">
        <v>2806.54</v>
      </c>
      <c r="P385" s="10">
        <v>2813.44</v>
      </c>
      <c r="Q385" s="10">
        <v>2797.88</v>
      </c>
      <c r="R385" s="320">
        <f>IF((Q386=""),"",MAX(E387:Q387))</f>
        <v>362.07999999999993</v>
      </c>
      <c r="S385" s="320">
        <f>IF(Q386="","",MIN(E387:Q387))</f>
        <v>323.30999999999995</v>
      </c>
      <c r="T385" s="323">
        <f>IF((Q387=""),"",AVERAGE(E387:Q387))</f>
        <v>336.78769230769228</v>
      </c>
      <c r="U385" s="323">
        <f>IF((Q386=""),"",(R385-S385)/(R385+S385)*100)</f>
        <v>5.6566334495688571</v>
      </c>
      <c r="V385" s="323">
        <f>STDEV(E387:Q387)</f>
        <v>16.80762880056065</v>
      </c>
      <c r="W385" s="314" t="str">
        <f>IF(Q386="","",IF(T385&gt;300,IF(U385&lt;14,IF(T385&lt;390,"Pass","Fail"),"Fail"),"Fail"))</f>
        <v>Pass</v>
      </c>
      <c r="X385" s="317"/>
      <c r="Y385" s="328"/>
      <c r="Z385" s="221"/>
      <c r="AA385" s="102">
        <v>270</v>
      </c>
      <c r="AB385" s="102">
        <v>370</v>
      </c>
      <c r="AC385" s="102">
        <v>300</v>
      </c>
      <c r="AD385" s="103">
        <v>390</v>
      </c>
      <c r="AE385" s="103">
        <v>20</v>
      </c>
      <c r="AF385" s="103">
        <v>14</v>
      </c>
    </row>
    <row r="386" spans="1:32" ht="16.100000000000001" x14ac:dyDescent="0.35">
      <c r="A386" s="263"/>
      <c r="B386" s="104"/>
      <c r="C386" s="104"/>
      <c r="D386" s="100" t="s">
        <v>187</v>
      </c>
      <c r="E386" s="10">
        <v>2494.4499999999998</v>
      </c>
      <c r="F386" s="10">
        <v>2467.5</v>
      </c>
      <c r="G386" s="10">
        <v>2462.66</v>
      </c>
      <c r="H386" s="10">
        <v>2478.14</v>
      </c>
      <c r="I386" s="10">
        <v>2521.77</v>
      </c>
      <c r="J386" s="10">
        <v>2499.14</v>
      </c>
      <c r="K386" s="10">
        <v>2476.0700000000002</v>
      </c>
      <c r="L386" s="10">
        <v>2468.15</v>
      </c>
      <c r="M386" s="10">
        <v>2491.77</v>
      </c>
      <c r="N386" s="10">
        <v>2472.48</v>
      </c>
      <c r="O386" s="10">
        <v>2477.14</v>
      </c>
      <c r="P386" s="10">
        <v>2483.8000000000002</v>
      </c>
      <c r="Q386" s="10">
        <v>2471.0700000000002</v>
      </c>
      <c r="R386" s="321"/>
      <c r="S386" s="321"/>
      <c r="T386" s="324"/>
      <c r="U386" s="324"/>
      <c r="V386" s="326"/>
      <c r="W386" s="315"/>
      <c r="X386" s="318"/>
      <c r="Y386" s="329"/>
      <c r="Z386" s="221"/>
      <c r="AA386" s="102"/>
      <c r="AB386" s="102"/>
      <c r="AC386" s="102"/>
      <c r="AD386" s="102"/>
      <c r="AE386" s="106"/>
      <c r="AF386" s="102"/>
    </row>
    <row r="387" spans="1:32" ht="31.05" x14ac:dyDescent="0.35">
      <c r="A387" s="263"/>
      <c r="B387" s="99"/>
      <c r="C387" s="99"/>
      <c r="D387" s="100" t="s">
        <v>188</v>
      </c>
      <c r="E387" s="111">
        <f t="shared" ref="E387:Q387" si="126">IF(((E385="")*AND(E386="")),"",(E385-E386))</f>
        <v>358.20000000000027</v>
      </c>
      <c r="F387" s="111">
        <f t="shared" si="126"/>
        <v>326.15999999999985</v>
      </c>
      <c r="G387" s="111">
        <f t="shared" si="126"/>
        <v>324.55999999999995</v>
      </c>
      <c r="H387" s="111">
        <f t="shared" si="126"/>
        <v>324.11000000000013</v>
      </c>
      <c r="I387" s="111">
        <f t="shared" si="126"/>
        <v>361.4699999999998</v>
      </c>
      <c r="J387" s="111">
        <f t="shared" si="126"/>
        <v>361.53999999999996</v>
      </c>
      <c r="K387" s="111">
        <f t="shared" si="126"/>
        <v>323.30999999999995</v>
      </c>
      <c r="L387" s="111">
        <f t="shared" si="126"/>
        <v>326.90999999999985</v>
      </c>
      <c r="M387" s="111">
        <f t="shared" si="126"/>
        <v>362.07999999999993</v>
      </c>
      <c r="N387" s="111">
        <f t="shared" si="126"/>
        <v>324.05000000000018</v>
      </c>
      <c r="O387" s="111">
        <f t="shared" si="126"/>
        <v>329.40000000000009</v>
      </c>
      <c r="P387" s="111">
        <f t="shared" si="126"/>
        <v>329.63999999999987</v>
      </c>
      <c r="Q387" s="111">
        <f t="shared" si="126"/>
        <v>326.80999999999995</v>
      </c>
      <c r="R387" s="322"/>
      <c r="S387" s="322"/>
      <c r="T387" s="325"/>
      <c r="U387" s="325"/>
      <c r="V387" s="327"/>
      <c r="W387" s="316"/>
      <c r="X387" s="319"/>
      <c r="Y387" s="330"/>
      <c r="Z387" s="221"/>
      <c r="AA387" s="102"/>
      <c r="AB387" s="102"/>
      <c r="AC387" s="102"/>
      <c r="AD387" s="102"/>
      <c r="AE387" s="106"/>
      <c r="AF387" s="102"/>
    </row>
    <row r="388" spans="1:32" ht="15.55" x14ac:dyDescent="0.25">
      <c r="A388" s="264">
        <v>43559</v>
      </c>
      <c r="B388" s="99" t="s">
        <v>235</v>
      </c>
      <c r="C388" s="99" t="s">
        <v>232</v>
      </c>
      <c r="D388" s="100" t="s">
        <v>186</v>
      </c>
      <c r="E388" s="10">
        <v>2848.48</v>
      </c>
      <c r="F388" s="10">
        <v>2801.06</v>
      </c>
      <c r="G388" s="10">
        <v>2798.21</v>
      </c>
      <c r="H388" s="10">
        <v>2808.33</v>
      </c>
      <c r="I388" s="10">
        <v>2881.93</v>
      </c>
      <c r="J388" s="10">
        <v>2882.11</v>
      </c>
      <c r="K388" s="10">
        <v>2806.97</v>
      </c>
      <c r="L388" s="10">
        <v>2805.37</v>
      </c>
      <c r="M388" s="10">
        <v>2853.71</v>
      </c>
      <c r="N388" s="10">
        <v>2813.04</v>
      </c>
      <c r="O388" s="10">
        <v>2812.43</v>
      </c>
      <c r="P388" s="10">
        <v>2822.02</v>
      </c>
      <c r="Q388" s="10">
        <v>2807.09</v>
      </c>
      <c r="R388" s="320">
        <f>IF((Q389=""),"",MAX(E390:Q390))</f>
        <v>365.59000000000015</v>
      </c>
      <c r="S388" s="320">
        <f>IF(Q389="","",MIN(E390:Q390))</f>
        <v>321.65000000000009</v>
      </c>
      <c r="T388" s="323">
        <f>IF((Q390=""),"",AVERAGE(E390:Q390))</f>
        <v>336.8915384615384</v>
      </c>
      <c r="U388" s="323">
        <f>IF((Q389=""),"",(R388-S388)/(R388+S388)*100)</f>
        <v>6.3936907048483844</v>
      </c>
      <c r="V388" s="323">
        <f>STDEV(E390:Q390)</f>
        <v>19.286235958213801</v>
      </c>
      <c r="W388" s="314" t="str">
        <f>IF(Q389="","",IF(T388&gt;300,IF(U388&lt;14,IF(T388&lt;390,"Pass","Fail"),"Fail"),"Fail"))</f>
        <v>Pass</v>
      </c>
      <c r="X388" s="317"/>
      <c r="Y388" s="328"/>
      <c r="Z388" s="221"/>
      <c r="AA388" s="102">
        <v>270</v>
      </c>
      <c r="AB388" s="102">
        <v>370</v>
      </c>
      <c r="AC388" s="102">
        <v>300</v>
      </c>
      <c r="AD388" s="103">
        <v>390</v>
      </c>
      <c r="AE388" s="103">
        <v>20</v>
      </c>
      <c r="AF388" s="103">
        <v>14</v>
      </c>
    </row>
    <row r="389" spans="1:32" ht="16.100000000000001" x14ac:dyDescent="0.35">
      <c r="A389" s="263"/>
      <c r="B389" s="104"/>
      <c r="C389" s="104"/>
      <c r="D389" s="100" t="s">
        <v>187</v>
      </c>
      <c r="E389" s="10">
        <v>2483.67</v>
      </c>
      <c r="F389" s="10">
        <v>2478.4499999999998</v>
      </c>
      <c r="G389" s="10">
        <v>2475.19</v>
      </c>
      <c r="H389" s="10">
        <v>2486.6799999999998</v>
      </c>
      <c r="I389" s="10">
        <v>2516.42</v>
      </c>
      <c r="J389" s="10">
        <v>2520.06</v>
      </c>
      <c r="K389" s="10">
        <v>2485.2800000000002</v>
      </c>
      <c r="L389" s="10">
        <v>2481.13</v>
      </c>
      <c r="M389" s="10">
        <v>2488.12</v>
      </c>
      <c r="N389" s="10">
        <v>2486.23</v>
      </c>
      <c r="O389" s="10">
        <v>2484.59</v>
      </c>
      <c r="P389" s="10">
        <v>2493.58</v>
      </c>
      <c r="Q389" s="10">
        <v>2481.7600000000002</v>
      </c>
      <c r="R389" s="321"/>
      <c r="S389" s="321"/>
      <c r="T389" s="324"/>
      <c r="U389" s="324"/>
      <c r="V389" s="326"/>
      <c r="W389" s="315"/>
      <c r="X389" s="318"/>
      <c r="Y389" s="329"/>
      <c r="Z389" s="221"/>
      <c r="AA389" s="102"/>
      <c r="AB389" s="102"/>
      <c r="AC389" s="102"/>
      <c r="AD389" s="102"/>
      <c r="AE389" s="106"/>
      <c r="AF389" s="102"/>
    </row>
    <row r="390" spans="1:32" ht="31.05" x14ac:dyDescent="0.35">
      <c r="A390" s="263"/>
      <c r="B390" s="99"/>
      <c r="C390" s="99"/>
      <c r="D390" s="100" t="s">
        <v>188</v>
      </c>
      <c r="E390" s="111">
        <f t="shared" ref="E390:Q390" si="127">IF(((E388="")*AND(E389="")),"",(E388-E389))</f>
        <v>364.80999999999995</v>
      </c>
      <c r="F390" s="111">
        <f t="shared" si="127"/>
        <v>322.61000000000013</v>
      </c>
      <c r="G390" s="111">
        <f t="shared" si="127"/>
        <v>323.02</v>
      </c>
      <c r="H390" s="111">
        <f t="shared" si="127"/>
        <v>321.65000000000009</v>
      </c>
      <c r="I390" s="111">
        <f t="shared" si="127"/>
        <v>365.50999999999976</v>
      </c>
      <c r="J390" s="111">
        <f t="shared" si="127"/>
        <v>362.05000000000018</v>
      </c>
      <c r="K390" s="111">
        <f t="shared" si="127"/>
        <v>321.6899999999996</v>
      </c>
      <c r="L390" s="111">
        <f t="shared" si="127"/>
        <v>324.23999999999978</v>
      </c>
      <c r="M390" s="111">
        <f t="shared" si="127"/>
        <v>365.59000000000015</v>
      </c>
      <c r="N390" s="111">
        <f t="shared" si="127"/>
        <v>326.80999999999995</v>
      </c>
      <c r="O390" s="111">
        <f t="shared" si="127"/>
        <v>327.83999999999969</v>
      </c>
      <c r="P390" s="111">
        <f t="shared" si="127"/>
        <v>328.44000000000005</v>
      </c>
      <c r="Q390" s="111">
        <f t="shared" si="127"/>
        <v>325.32999999999993</v>
      </c>
      <c r="R390" s="322"/>
      <c r="S390" s="322"/>
      <c r="T390" s="325"/>
      <c r="U390" s="325"/>
      <c r="V390" s="327"/>
      <c r="W390" s="316"/>
      <c r="X390" s="319"/>
      <c r="Y390" s="330"/>
      <c r="Z390" s="221"/>
      <c r="AA390" s="102"/>
      <c r="AB390" s="102"/>
      <c r="AC390" s="102"/>
      <c r="AD390" s="102"/>
      <c r="AE390" s="106"/>
      <c r="AF390" s="102"/>
    </row>
    <row r="391" spans="1:32" ht="15.55" x14ac:dyDescent="0.3">
      <c r="A391" s="264">
        <v>43565</v>
      </c>
      <c r="B391" s="99" t="s">
        <v>235</v>
      </c>
      <c r="C391" s="99" t="s">
        <v>232</v>
      </c>
      <c r="D391" s="100" t="s">
        <v>186</v>
      </c>
      <c r="E391" s="112">
        <v>2850.53</v>
      </c>
      <c r="F391" s="112">
        <v>2799.07</v>
      </c>
      <c r="G391" s="112">
        <v>2796.19</v>
      </c>
      <c r="H391" s="112">
        <v>2809.67</v>
      </c>
      <c r="I391" s="112">
        <v>2885.98</v>
      </c>
      <c r="J391" s="112">
        <v>2875.47</v>
      </c>
      <c r="K391" s="112">
        <v>2808.11</v>
      </c>
      <c r="L391" s="112">
        <v>2800.28</v>
      </c>
      <c r="M391" s="112">
        <v>2854.28</v>
      </c>
      <c r="N391" s="112">
        <v>2805.34</v>
      </c>
      <c r="O391" s="112">
        <v>2811.04</v>
      </c>
      <c r="P391" s="112">
        <v>2821.99</v>
      </c>
      <c r="Q391" s="112">
        <v>2807.8</v>
      </c>
      <c r="R391" s="320">
        <f>IF((Q392=""),"",MAX(E393:Q393))</f>
        <v>361.82000000000016</v>
      </c>
      <c r="S391" s="320">
        <f>IF(Q392="","",MIN(E393:Q393))</f>
        <v>318.86000000000013</v>
      </c>
      <c r="T391" s="323">
        <f>IF((Q393=""),"",AVERAGE(E393:Q393))</f>
        <v>336.14769230769241</v>
      </c>
      <c r="U391" s="323">
        <f>IF((Q392=""),"",(R391-S391)/(R391+S391)*100)</f>
        <v>6.3113357231004326</v>
      </c>
      <c r="V391" s="323">
        <f>STDEV(E393:Q393)</f>
        <v>16.379790980476606</v>
      </c>
      <c r="W391" s="314" t="str">
        <f>IF(Q392="","",IF(T391&gt;300,IF(U391&lt;14,IF(T391&lt;390,"Pass","Fail"),"Fail"),"Fail"))</f>
        <v>Pass</v>
      </c>
      <c r="X391" s="317">
        <v>1159</v>
      </c>
      <c r="Y391" s="227" t="s">
        <v>229</v>
      </c>
      <c r="Z391" s="221"/>
      <c r="AA391" s="102">
        <v>270</v>
      </c>
      <c r="AB391" s="102">
        <v>370</v>
      </c>
      <c r="AC391" s="102">
        <v>300</v>
      </c>
      <c r="AD391" s="103">
        <v>390</v>
      </c>
      <c r="AE391" s="103">
        <v>20</v>
      </c>
      <c r="AF391" s="103">
        <v>14</v>
      </c>
    </row>
    <row r="392" spans="1:32" ht="16.100000000000001" x14ac:dyDescent="0.35">
      <c r="A392" s="263"/>
      <c r="B392" s="104"/>
      <c r="C392" s="104"/>
      <c r="D392" s="100" t="s">
        <v>187</v>
      </c>
      <c r="E392" s="113">
        <v>2494.14</v>
      </c>
      <c r="F392" s="113">
        <v>2473.23</v>
      </c>
      <c r="G392" s="113">
        <v>2477.33</v>
      </c>
      <c r="H392" s="113">
        <v>2483.09</v>
      </c>
      <c r="I392" s="113">
        <v>2524.16</v>
      </c>
      <c r="J392" s="113">
        <v>2518.0500000000002</v>
      </c>
      <c r="K392" s="113">
        <v>2482.0100000000002</v>
      </c>
      <c r="L392" s="113">
        <v>2475.9699999999998</v>
      </c>
      <c r="M392" s="113">
        <v>2492.54</v>
      </c>
      <c r="N392" s="113">
        <v>2481.23</v>
      </c>
      <c r="O392" s="113">
        <v>2483.17</v>
      </c>
      <c r="P392" s="113">
        <v>2493.58</v>
      </c>
      <c r="Q392" s="113">
        <v>2477.33</v>
      </c>
      <c r="R392" s="321"/>
      <c r="S392" s="321"/>
      <c r="T392" s="324"/>
      <c r="U392" s="324"/>
      <c r="V392" s="326"/>
      <c r="W392" s="315"/>
      <c r="X392" s="318"/>
      <c r="Y392" s="224"/>
      <c r="Z392" s="221"/>
      <c r="AA392" s="102"/>
      <c r="AB392" s="102"/>
      <c r="AC392" s="102"/>
      <c r="AD392" s="102"/>
      <c r="AE392" s="106"/>
      <c r="AF392" s="102"/>
    </row>
    <row r="393" spans="1:32" ht="31.05" x14ac:dyDescent="0.35">
      <c r="A393" s="263"/>
      <c r="B393" s="99"/>
      <c r="C393" s="99"/>
      <c r="D393" s="100" t="s">
        <v>188</v>
      </c>
      <c r="E393" s="111">
        <f t="shared" ref="E393:Q393" si="128">IF(((E391="")*AND(E392="")),"",(E391-E392))</f>
        <v>356.39000000000033</v>
      </c>
      <c r="F393" s="111">
        <f t="shared" si="128"/>
        <v>325.84000000000015</v>
      </c>
      <c r="G393" s="111">
        <f t="shared" si="128"/>
        <v>318.86000000000013</v>
      </c>
      <c r="H393" s="111">
        <f t="shared" si="128"/>
        <v>326.57999999999993</v>
      </c>
      <c r="I393" s="111">
        <f t="shared" si="128"/>
        <v>361.82000000000016</v>
      </c>
      <c r="J393" s="111">
        <f t="shared" si="128"/>
        <v>357.41999999999962</v>
      </c>
      <c r="K393" s="111">
        <f t="shared" si="128"/>
        <v>326.09999999999991</v>
      </c>
      <c r="L393" s="111">
        <f t="shared" si="128"/>
        <v>324.3100000000004</v>
      </c>
      <c r="M393" s="111">
        <f t="shared" si="128"/>
        <v>361.74000000000024</v>
      </c>
      <c r="N393" s="111">
        <f t="shared" si="128"/>
        <v>324.11000000000013</v>
      </c>
      <c r="O393" s="111">
        <f t="shared" si="128"/>
        <v>327.86999999999989</v>
      </c>
      <c r="P393" s="111">
        <f t="shared" si="128"/>
        <v>328.40999999999985</v>
      </c>
      <c r="Q393" s="111">
        <f t="shared" si="128"/>
        <v>330.47000000000025</v>
      </c>
      <c r="R393" s="322"/>
      <c r="S393" s="322"/>
      <c r="T393" s="325"/>
      <c r="U393" s="325"/>
      <c r="V393" s="327"/>
      <c r="W393" s="316"/>
      <c r="X393" s="319"/>
      <c r="Y393" s="225"/>
      <c r="Z393" s="221"/>
      <c r="AA393" s="102"/>
      <c r="AB393" s="102"/>
      <c r="AC393" s="102"/>
      <c r="AD393" s="102"/>
      <c r="AE393" s="106"/>
      <c r="AF393" s="102"/>
    </row>
    <row r="394" spans="1:32" ht="15.55" x14ac:dyDescent="0.25">
      <c r="A394" s="264">
        <v>43568</v>
      </c>
      <c r="B394" s="99" t="s">
        <v>235</v>
      </c>
      <c r="C394" s="99" t="s">
        <v>232</v>
      </c>
      <c r="D394" s="100" t="s">
        <v>186</v>
      </c>
      <c r="E394" s="10">
        <v>2496.44</v>
      </c>
      <c r="F394" s="10">
        <v>2475.29</v>
      </c>
      <c r="G394" s="10">
        <v>2478</v>
      </c>
      <c r="H394" s="10">
        <v>2486.14</v>
      </c>
      <c r="I394" s="10">
        <v>2527.4899999999998</v>
      </c>
      <c r="J394" s="10">
        <v>2519.4499999999998</v>
      </c>
      <c r="K394" s="10">
        <v>2474.96</v>
      </c>
      <c r="L394" s="10">
        <v>2473.02</v>
      </c>
      <c r="M394" s="10">
        <v>2493.81</v>
      </c>
      <c r="N394" s="10">
        <v>2481.52</v>
      </c>
      <c r="O394" s="10">
        <v>2483.54</v>
      </c>
      <c r="P394" s="10">
        <v>2496.48</v>
      </c>
      <c r="Q394" s="10">
        <v>2475.6999999999998</v>
      </c>
      <c r="R394" s="320">
        <f>IF((Q395=""),"",MAX(E396:Q396))</f>
        <v>318.75999999999976</v>
      </c>
      <c r="S394" s="320">
        <f>IF(Q395="","",MIN(E396:Q396))</f>
        <v>264.53999999999996</v>
      </c>
      <c r="T394" s="323">
        <f>IF((Q396=""),"",AVERAGE(E396:Q396))</f>
        <v>286.15769230769223</v>
      </c>
      <c r="U394" s="323">
        <f>IF((Q395=""),"",(R394-S394)/(R394+S394)*100)</f>
        <v>9.2953883079032789</v>
      </c>
      <c r="V394" s="323">
        <f>STDEV(E396:Q396)</f>
        <v>14.988103701406047</v>
      </c>
      <c r="W394" s="314" t="str">
        <f>IF(Q395="","",IF(T394&gt;300,IF(U394&lt;14,IF(T394&lt;390,"Pass","Fail"),"Fail"),"Fail"))</f>
        <v>Fail</v>
      </c>
      <c r="X394" s="317">
        <v>1428</v>
      </c>
      <c r="Y394" s="227"/>
      <c r="Z394" s="221"/>
      <c r="AA394" s="102">
        <v>270</v>
      </c>
      <c r="AB394" s="102">
        <v>370</v>
      </c>
      <c r="AC394" s="102">
        <v>300</v>
      </c>
      <c r="AD394" s="103">
        <v>390</v>
      </c>
      <c r="AE394" s="103">
        <v>20</v>
      </c>
      <c r="AF394" s="103">
        <v>14</v>
      </c>
    </row>
    <row r="395" spans="1:32" ht="16.100000000000001" x14ac:dyDescent="0.35">
      <c r="A395" s="263"/>
      <c r="B395" s="104"/>
      <c r="C395" s="104"/>
      <c r="D395" s="100" t="s">
        <v>187</v>
      </c>
      <c r="E395" s="10">
        <v>2200.5</v>
      </c>
      <c r="F395" s="10">
        <v>2201.3000000000002</v>
      </c>
      <c r="G395" s="10">
        <v>2202.56</v>
      </c>
      <c r="H395" s="10">
        <v>2206.02</v>
      </c>
      <c r="I395" s="10">
        <v>2208.73</v>
      </c>
      <c r="J395" s="10">
        <v>2213.9299999999998</v>
      </c>
      <c r="K395" s="10">
        <v>2210.42</v>
      </c>
      <c r="L395" s="10">
        <v>2200.42</v>
      </c>
      <c r="M395" s="10">
        <v>2195.5300000000002</v>
      </c>
      <c r="N395" s="10">
        <v>2199.64</v>
      </c>
      <c r="O395" s="10">
        <v>2203.25</v>
      </c>
      <c r="P395" s="10">
        <v>2207.69</v>
      </c>
      <c r="Q395" s="10">
        <v>2191.8000000000002</v>
      </c>
      <c r="R395" s="321"/>
      <c r="S395" s="321"/>
      <c r="T395" s="324"/>
      <c r="U395" s="324"/>
      <c r="V395" s="326"/>
      <c r="W395" s="315"/>
      <c r="X395" s="318"/>
      <c r="Y395" s="224"/>
      <c r="Z395" s="221"/>
      <c r="AA395" s="102"/>
      <c r="AB395" s="102"/>
      <c r="AC395" s="102"/>
      <c r="AD395" s="102"/>
      <c r="AE395" s="106"/>
      <c r="AF395" s="102"/>
    </row>
    <row r="396" spans="1:32" ht="31.05" x14ac:dyDescent="0.35">
      <c r="A396" s="263"/>
      <c r="B396" s="99"/>
      <c r="C396" s="99"/>
      <c r="D396" s="100" t="s">
        <v>188</v>
      </c>
      <c r="E396" s="111">
        <f t="shared" ref="E396:Q396" si="129">IF(((E394="")*AND(E395="")),"",(E394-E395))</f>
        <v>295.94000000000005</v>
      </c>
      <c r="F396" s="111">
        <f t="shared" si="129"/>
        <v>273.98999999999978</v>
      </c>
      <c r="G396" s="111">
        <f t="shared" si="129"/>
        <v>275.44000000000005</v>
      </c>
      <c r="H396" s="111">
        <f t="shared" si="129"/>
        <v>280.11999999999989</v>
      </c>
      <c r="I396" s="111">
        <f t="shared" si="129"/>
        <v>318.75999999999976</v>
      </c>
      <c r="J396" s="111">
        <f t="shared" si="129"/>
        <v>305.52</v>
      </c>
      <c r="K396" s="111">
        <f t="shared" si="129"/>
        <v>264.53999999999996</v>
      </c>
      <c r="L396" s="111">
        <f t="shared" si="129"/>
        <v>272.59999999999991</v>
      </c>
      <c r="M396" s="111">
        <f t="shared" si="129"/>
        <v>298.27999999999975</v>
      </c>
      <c r="N396" s="111">
        <f t="shared" si="129"/>
        <v>281.88000000000011</v>
      </c>
      <c r="O396" s="111">
        <f t="shared" si="129"/>
        <v>280.28999999999996</v>
      </c>
      <c r="P396" s="111">
        <f t="shared" si="129"/>
        <v>288.78999999999996</v>
      </c>
      <c r="Q396" s="111">
        <f t="shared" si="129"/>
        <v>283.89999999999964</v>
      </c>
      <c r="R396" s="322"/>
      <c r="S396" s="322"/>
      <c r="T396" s="325"/>
      <c r="U396" s="325"/>
      <c r="V396" s="327"/>
      <c r="W396" s="316"/>
      <c r="X396" s="319"/>
      <c r="Y396" s="225"/>
      <c r="Z396" s="221"/>
      <c r="AA396" s="102"/>
      <c r="AB396" s="102"/>
      <c r="AC396" s="102"/>
      <c r="AD396" s="102"/>
      <c r="AE396" s="106"/>
      <c r="AF396" s="102"/>
    </row>
    <row r="397" spans="1:32" ht="15.55" x14ac:dyDescent="0.25">
      <c r="A397" s="264">
        <v>43568</v>
      </c>
      <c r="B397" s="99" t="s">
        <v>235</v>
      </c>
      <c r="C397" s="99" t="s">
        <v>232</v>
      </c>
      <c r="D397" s="100" t="s">
        <v>186</v>
      </c>
      <c r="E397" s="10">
        <v>2928.53</v>
      </c>
      <c r="F397" s="10">
        <v>2835.56</v>
      </c>
      <c r="G397" s="10">
        <v>2818.81</v>
      </c>
      <c r="H397" s="10">
        <v>2819.86</v>
      </c>
      <c r="I397" s="10">
        <v>2892.91</v>
      </c>
      <c r="J397" s="10">
        <v>2876.39</v>
      </c>
      <c r="K397" s="10">
        <v>2822.87</v>
      </c>
      <c r="L397" s="10">
        <v>2827.69</v>
      </c>
      <c r="M397" s="10">
        <v>2898.41</v>
      </c>
      <c r="N397" s="10">
        <v>2840.97</v>
      </c>
      <c r="O397" s="10">
        <v>2827.48</v>
      </c>
      <c r="P397" s="10">
        <v>2823.24</v>
      </c>
      <c r="Q397" s="10">
        <v>2846.91</v>
      </c>
      <c r="R397" s="320">
        <f>IF((Q398=""),"",MAX(E399:Q399))</f>
        <v>379.60999999999967</v>
      </c>
      <c r="S397" s="320">
        <f>IF(Q398="","",MIN(E399:Q399))</f>
        <v>320.27999999999975</v>
      </c>
      <c r="T397" s="323">
        <f>IF((Q399=""),"",AVERAGE(E399:Q399))</f>
        <v>340.1946153846153</v>
      </c>
      <c r="U397" s="323">
        <f>IF((Q398=""),"",(R397-S397)/(R397+S397)*100)</f>
        <v>8.4770463930046116</v>
      </c>
      <c r="V397" s="323">
        <f>STDEV(E399:Q399)</f>
        <v>22.33206499460081</v>
      </c>
      <c r="W397" s="314" t="str">
        <f>IF(Q398="","",IF(T397&gt;300,IF(U397&lt;14,IF(T397&lt;390,"Pass","Fail"),"Fail"),"Fail"))</f>
        <v>Pass</v>
      </c>
      <c r="X397" s="317">
        <v>1428</v>
      </c>
      <c r="Y397" s="227" t="s">
        <v>248</v>
      </c>
      <c r="Z397" s="221"/>
      <c r="AA397" s="102">
        <v>270</v>
      </c>
      <c r="AB397" s="102">
        <v>370</v>
      </c>
      <c r="AC397" s="102">
        <v>300</v>
      </c>
      <c r="AD397" s="103">
        <v>390</v>
      </c>
      <c r="AE397" s="103">
        <v>20</v>
      </c>
      <c r="AF397" s="103">
        <v>14</v>
      </c>
    </row>
    <row r="398" spans="1:32" ht="16.100000000000001" x14ac:dyDescent="0.35">
      <c r="A398" s="263"/>
      <c r="B398" s="104"/>
      <c r="C398" s="104"/>
      <c r="D398" s="100" t="s">
        <v>187</v>
      </c>
      <c r="E398" s="10">
        <v>2561.8000000000002</v>
      </c>
      <c r="F398" s="10">
        <v>2509.9899999999998</v>
      </c>
      <c r="G398" s="10">
        <v>2498.5300000000002</v>
      </c>
      <c r="H398" s="10">
        <v>2493.91</v>
      </c>
      <c r="I398" s="10">
        <v>2518.35</v>
      </c>
      <c r="J398" s="10">
        <v>2509.79</v>
      </c>
      <c r="K398" s="10">
        <v>2497.84</v>
      </c>
      <c r="L398" s="10">
        <v>2499.77</v>
      </c>
      <c r="M398" s="10">
        <v>2518.8000000000002</v>
      </c>
      <c r="N398" s="10">
        <v>2510.41</v>
      </c>
      <c r="O398" s="10">
        <v>2502.62</v>
      </c>
      <c r="P398" s="10">
        <v>2495.15</v>
      </c>
      <c r="Q398" s="10">
        <v>2520.14</v>
      </c>
      <c r="R398" s="321"/>
      <c r="S398" s="321"/>
      <c r="T398" s="324"/>
      <c r="U398" s="324"/>
      <c r="V398" s="326"/>
      <c r="W398" s="315"/>
      <c r="X398" s="318"/>
      <c r="Y398" s="224"/>
      <c r="Z398" s="221"/>
      <c r="AA398" s="102"/>
      <c r="AB398" s="102"/>
      <c r="AC398" s="102"/>
      <c r="AD398" s="102"/>
      <c r="AE398" s="106"/>
      <c r="AF398" s="102"/>
    </row>
    <row r="399" spans="1:32" ht="31.05" x14ac:dyDescent="0.35">
      <c r="A399" s="263"/>
      <c r="B399" s="99"/>
      <c r="C399" s="99"/>
      <c r="D399" s="100" t="s">
        <v>188</v>
      </c>
      <c r="E399" s="111">
        <f t="shared" ref="E399:Q399" si="130">IF(((E397="")*AND(E398="")),"",(E397-E398))</f>
        <v>366.73</v>
      </c>
      <c r="F399" s="111">
        <f t="shared" si="130"/>
        <v>325.57000000000016</v>
      </c>
      <c r="G399" s="111">
        <f t="shared" si="130"/>
        <v>320.27999999999975</v>
      </c>
      <c r="H399" s="111">
        <f t="shared" si="130"/>
        <v>325.95000000000027</v>
      </c>
      <c r="I399" s="111">
        <f t="shared" si="130"/>
        <v>374.55999999999995</v>
      </c>
      <c r="J399" s="111">
        <f t="shared" si="130"/>
        <v>366.59999999999991</v>
      </c>
      <c r="K399" s="111">
        <f t="shared" si="130"/>
        <v>325.02999999999975</v>
      </c>
      <c r="L399" s="111">
        <f t="shared" si="130"/>
        <v>327.92000000000007</v>
      </c>
      <c r="M399" s="111">
        <f t="shared" si="130"/>
        <v>379.60999999999967</v>
      </c>
      <c r="N399" s="111">
        <f t="shared" si="130"/>
        <v>330.55999999999995</v>
      </c>
      <c r="O399" s="111">
        <f t="shared" si="130"/>
        <v>324.86000000000013</v>
      </c>
      <c r="P399" s="111">
        <f t="shared" si="130"/>
        <v>328.08999999999969</v>
      </c>
      <c r="Q399" s="111">
        <f t="shared" si="130"/>
        <v>326.77</v>
      </c>
      <c r="R399" s="322"/>
      <c r="S399" s="322"/>
      <c r="T399" s="325"/>
      <c r="U399" s="325"/>
      <c r="V399" s="327"/>
      <c r="W399" s="316"/>
      <c r="X399" s="319"/>
      <c r="Y399" s="225"/>
      <c r="Z399" s="221"/>
      <c r="AA399" s="102"/>
      <c r="AB399" s="102"/>
      <c r="AC399" s="102"/>
      <c r="AD399" s="102"/>
      <c r="AE399" s="106"/>
      <c r="AF399" s="102"/>
    </row>
    <row r="400" spans="1:32" ht="15.55" x14ac:dyDescent="0.25">
      <c r="A400" s="264">
        <v>43577</v>
      </c>
      <c r="B400" s="99" t="s">
        <v>235</v>
      </c>
      <c r="C400" s="99" t="s">
        <v>232</v>
      </c>
      <c r="D400" s="100" t="s">
        <v>186</v>
      </c>
      <c r="E400" s="10">
        <v>2568.3000000000002</v>
      </c>
      <c r="F400" s="10">
        <v>2538.1</v>
      </c>
      <c r="G400" s="10">
        <v>2503.3000000000002</v>
      </c>
      <c r="H400" s="10">
        <v>2488</v>
      </c>
      <c r="I400" s="10">
        <v>2481.6999999999998</v>
      </c>
      <c r="J400" s="10">
        <v>2501.1999999999998</v>
      </c>
      <c r="K400" s="10">
        <v>2519.6</v>
      </c>
      <c r="L400" s="10">
        <v>2491.3000000000002</v>
      </c>
      <c r="M400" s="10">
        <v>2495.6999999999998</v>
      </c>
      <c r="N400" s="10">
        <v>2568.3000000000002</v>
      </c>
      <c r="O400" s="10">
        <v>2538.1</v>
      </c>
      <c r="P400" s="10">
        <v>2503.3000000000002</v>
      </c>
      <c r="Q400" s="10">
        <v>2488</v>
      </c>
      <c r="R400" s="320">
        <f>IF((Q401=""),"",MAX(E402:Q402))</f>
        <v>394.90000000000009</v>
      </c>
      <c r="S400" s="320">
        <f>IF(Q401="","",MIN(E402:Q402))</f>
        <v>333.09999999999991</v>
      </c>
      <c r="T400" s="323">
        <f>IF((Q402=""),"",AVERAGE(E402:Q402))</f>
        <v>358.58846153846156</v>
      </c>
      <c r="U400" s="323">
        <f>IF((Q401=""),"",(R400-S400)/(R400+S400)*100)</f>
        <v>8.4890109890110139</v>
      </c>
      <c r="V400" s="323">
        <f>STDEV(E402:Q402)</f>
        <v>23.843367647403159</v>
      </c>
      <c r="W400" s="314" t="str">
        <f>IF(Q401="","",IF(T400&gt;300,IF(U400&lt;14,IF(T400&lt;390,"Pass","Fail"),"Fail"),"Fail"))</f>
        <v>Pass</v>
      </c>
      <c r="X400" s="317">
        <v>1428</v>
      </c>
      <c r="Y400" s="227" t="s">
        <v>249</v>
      </c>
      <c r="Z400" s="221"/>
      <c r="AA400" s="102">
        <v>270</v>
      </c>
      <c r="AB400" s="102">
        <v>370</v>
      </c>
      <c r="AC400" s="102">
        <v>300</v>
      </c>
      <c r="AD400" s="103">
        <v>390</v>
      </c>
      <c r="AE400" s="103">
        <v>20</v>
      </c>
      <c r="AF400" s="103">
        <v>14</v>
      </c>
    </row>
    <row r="401" spans="1:32" ht="16.100000000000001" x14ac:dyDescent="0.35">
      <c r="A401" s="263"/>
      <c r="B401" s="104"/>
      <c r="C401" s="104"/>
      <c r="D401" s="100" t="s">
        <v>187</v>
      </c>
      <c r="E401" s="10">
        <v>2173.4</v>
      </c>
      <c r="F401" s="10">
        <v>2180.5</v>
      </c>
      <c r="G401" s="10">
        <v>2165.0700000000002</v>
      </c>
      <c r="H401" s="10">
        <v>2152.1999999999998</v>
      </c>
      <c r="I401" s="10">
        <v>2148.6</v>
      </c>
      <c r="J401" s="10">
        <v>2148.1</v>
      </c>
      <c r="K401" s="10">
        <v>2133.6</v>
      </c>
      <c r="L401" s="10">
        <v>2104.4</v>
      </c>
      <c r="M401" s="10">
        <v>2146.21</v>
      </c>
      <c r="N401" s="10">
        <v>2173.4</v>
      </c>
      <c r="O401" s="10">
        <v>2180.5</v>
      </c>
      <c r="P401" s="10">
        <v>2165.0700000000002</v>
      </c>
      <c r="Q401" s="10">
        <v>2152.1999999999998</v>
      </c>
      <c r="R401" s="321"/>
      <c r="S401" s="321"/>
      <c r="T401" s="324"/>
      <c r="U401" s="324"/>
      <c r="V401" s="326"/>
      <c r="W401" s="315"/>
      <c r="X401" s="318"/>
      <c r="Y401" s="224"/>
      <c r="Z401" s="221"/>
      <c r="AA401" s="102"/>
      <c r="AB401" s="102"/>
      <c r="AC401" s="102"/>
      <c r="AD401" s="102"/>
      <c r="AE401" s="106"/>
      <c r="AF401" s="102"/>
    </row>
    <row r="402" spans="1:32" ht="31.05" x14ac:dyDescent="0.35">
      <c r="A402" s="263"/>
      <c r="B402" s="99"/>
      <c r="C402" s="99"/>
      <c r="D402" s="100" t="s">
        <v>188</v>
      </c>
      <c r="E402" s="111">
        <f t="shared" ref="E402:Q402" si="131">IF(((E400="")*AND(E401="")),"",(E400-E401))</f>
        <v>394.90000000000009</v>
      </c>
      <c r="F402" s="111">
        <f t="shared" si="131"/>
        <v>357.59999999999991</v>
      </c>
      <c r="G402" s="111">
        <f t="shared" si="131"/>
        <v>338.23</v>
      </c>
      <c r="H402" s="111">
        <f t="shared" si="131"/>
        <v>335.80000000000018</v>
      </c>
      <c r="I402" s="111">
        <f t="shared" si="131"/>
        <v>333.09999999999991</v>
      </c>
      <c r="J402" s="111">
        <f t="shared" si="131"/>
        <v>353.09999999999991</v>
      </c>
      <c r="K402" s="111">
        <f t="shared" si="131"/>
        <v>386</v>
      </c>
      <c r="L402" s="111">
        <f t="shared" si="131"/>
        <v>386.90000000000009</v>
      </c>
      <c r="M402" s="111">
        <f t="shared" si="131"/>
        <v>349.48999999999978</v>
      </c>
      <c r="N402" s="111">
        <f t="shared" si="131"/>
        <v>394.90000000000009</v>
      </c>
      <c r="O402" s="111">
        <f t="shared" si="131"/>
        <v>357.59999999999991</v>
      </c>
      <c r="P402" s="111">
        <f t="shared" si="131"/>
        <v>338.23</v>
      </c>
      <c r="Q402" s="111">
        <f t="shared" si="131"/>
        <v>335.80000000000018</v>
      </c>
      <c r="R402" s="322"/>
      <c r="S402" s="322"/>
      <c r="T402" s="325"/>
      <c r="U402" s="325"/>
      <c r="V402" s="327"/>
      <c r="W402" s="316"/>
      <c r="X402" s="319"/>
      <c r="Y402" s="225"/>
      <c r="Z402" s="221"/>
      <c r="AA402" s="102"/>
      <c r="AB402" s="102"/>
      <c r="AC402" s="102"/>
      <c r="AD402" s="102"/>
      <c r="AE402" s="106"/>
      <c r="AF402" s="102"/>
    </row>
    <row r="403" spans="1:32" ht="15.55" x14ac:dyDescent="0.25">
      <c r="A403" s="264">
        <v>43581</v>
      </c>
      <c r="B403" s="99" t="s">
        <v>235</v>
      </c>
      <c r="C403" s="99" t="s">
        <v>232</v>
      </c>
      <c r="D403" s="100" t="s">
        <v>186</v>
      </c>
      <c r="E403" s="10">
        <v>2778.6</v>
      </c>
      <c r="F403" s="10">
        <v>2706.18</v>
      </c>
      <c r="G403" s="10">
        <v>2699.52</v>
      </c>
      <c r="H403" s="10">
        <v>2716.15</v>
      </c>
      <c r="I403" s="10">
        <v>2817.97</v>
      </c>
      <c r="J403" s="10">
        <v>2771.54</v>
      </c>
      <c r="K403" s="10">
        <v>2710.03</v>
      </c>
      <c r="L403" s="10">
        <v>2708.39</v>
      </c>
      <c r="M403" s="10">
        <v>2774.19</v>
      </c>
      <c r="N403" s="10">
        <v>2711.09</v>
      </c>
      <c r="O403" s="10">
        <v>2725.19</v>
      </c>
      <c r="P403" s="10">
        <v>2725.57</v>
      </c>
      <c r="Q403" s="10">
        <v>2713.06</v>
      </c>
      <c r="R403" s="320">
        <f>IF((Q404=""),"",MAX(E405:Q405))</f>
        <v>358.05000000000018</v>
      </c>
      <c r="S403" s="320">
        <f>IF(Q404="","",MIN(E405:Q405))</f>
        <v>315.84999999999991</v>
      </c>
      <c r="T403" s="323">
        <f>IF((Q405=""),"",AVERAGE(E405:Q405))</f>
        <v>332.22923076923081</v>
      </c>
      <c r="U403" s="323">
        <f>IF((Q404=""),"",(R403-S403)/(R403+S403)*100)</f>
        <v>6.2620566849681358</v>
      </c>
      <c r="V403" s="323">
        <f>STDEV(E405:Q405)</f>
        <v>16.030154117339002</v>
      </c>
      <c r="W403" s="314" t="str">
        <f>IF(Q404="","",IF(T403&gt;300,IF(U403&lt;14,IF(T403&lt;390,"Pass","Fail"),"Fail"),"Fail"))</f>
        <v>Pass</v>
      </c>
      <c r="X403" s="317">
        <v>74</v>
      </c>
      <c r="Y403" s="227"/>
      <c r="Z403" s="221"/>
      <c r="AA403" s="102">
        <v>270</v>
      </c>
      <c r="AB403" s="102">
        <v>370</v>
      </c>
      <c r="AC403" s="102">
        <v>300</v>
      </c>
      <c r="AD403" s="103">
        <v>390</v>
      </c>
      <c r="AE403" s="103">
        <v>20</v>
      </c>
      <c r="AF403" s="103">
        <v>14</v>
      </c>
    </row>
    <row r="404" spans="1:32" ht="16.100000000000001" x14ac:dyDescent="0.35">
      <c r="A404" s="263"/>
      <c r="B404" s="104"/>
      <c r="C404" s="104"/>
      <c r="D404" s="100" t="s">
        <v>187</v>
      </c>
      <c r="E404" s="10">
        <v>2423.19</v>
      </c>
      <c r="F404" s="10">
        <v>2380.42</v>
      </c>
      <c r="G404" s="10">
        <v>2383.67</v>
      </c>
      <c r="H404" s="10">
        <v>2396.66</v>
      </c>
      <c r="I404" s="10">
        <v>2462.16</v>
      </c>
      <c r="J404" s="10">
        <v>2422.2199999999998</v>
      </c>
      <c r="K404" s="10">
        <v>2389.52</v>
      </c>
      <c r="L404" s="10">
        <v>2388.7199999999998</v>
      </c>
      <c r="M404" s="10">
        <v>2416.14</v>
      </c>
      <c r="N404" s="10">
        <v>2388.71</v>
      </c>
      <c r="O404" s="10">
        <v>2403.14</v>
      </c>
      <c r="P404" s="10">
        <v>2401.0100000000002</v>
      </c>
      <c r="Q404" s="10">
        <v>2382.94</v>
      </c>
      <c r="R404" s="321"/>
      <c r="S404" s="321"/>
      <c r="T404" s="324"/>
      <c r="U404" s="324"/>
      <c r="V404" s="326"/>
      <c r="W404" s="315"/>
      <c r="X404" s="318"/>
      <c r="Y404" s="224"/>
      <c r="Z404" s="221"/>
      <c r="AA404" s="102"/>
      <c r="AB404" s="102"/>
      <c r="AC404" s="102"/>
      <c r="AD404" s="102"/>
      <c r="AE404" s="106"/>
      <c r="AF404" s="102"/>
    </row>
    <row r="405" spans="1:32" ht="31.05" x14ac:dyDescent="0.35">
      <c r="A405" s="263"/>
      <c r="B405" s="99"/>
      <c r="C405" s="99"/>
      <c r="D405" s="100" t="s">
        <v>188</v>
      </c>
      <c r="E405" s="111">
        <f t="shared" ref="E405:Q405" si="132">IF(((E403="")*AND(E404="")),"",(E403-E404))</f>
        <v>355.40999999999985</v>
      </c>
      <c r="F405" s="111">
        <f t="shared" si="132"/>
        <v>325.75999999999976</v>
      </c>
      <c r="G405" s="111">
        <f t="shared" si="132"/>
        <v>315.84999999999991</v>
      </c>
      <c r="H405" s="111">
        <f t="shared" si="132"/>
        <v>319.49000000000024</v>
      </c>
      <c r="I405" s="111">
        <f t="shared" si="132"/>
        <v>355.80999999999995</v>
      </c>
      <c r="J405" s="111">
        <f t="shared" si="132"/>
        <v>349.32000000000016</v>
      </c>
      <c r="K405" s="111">
        <f t="shared" si="132"/>
        <v>320.51000000000022</v>
      </c>
      <c r="L405" s="111">
        <f t="shared" si="132"/>
        <v>319.67000000000007</v>
      </c>
      <c r="M405" s="111">
        <f t="shared" si="132"/>
        <v>358.05000000000018</v>
      </c>
      <c r="N405" s="111">
        <f t="shared" si="132"/>
        <v>322.38000000000011</v>
      </c>
      <c r="O405" s="111">
        <f t="shared" si="132"/>
        <v>322.05000000000018</v>
      </c>
      <c r="P405" s="111">
        <f t="shared" si="132"/>
        <v>324.55999999999995</v>
      </c>
      <c r="Q405" s="111">
        <f t="shared" si="132"/>
        <v>330.11999999999989</v>
      </c>
      <c r="R405" s="322"/>
      <c r="S405" s="322"/>
      <c r="T405" s="325"/>
      <c r="U405" s="325"/>
      <c r="V405" s="327"/>
      <c r="W405" s="316"/>
      <c r="X405" s="319"/>
      <c r="Y405" s="225"/>
      <c r="Z405" s="221"/>
      <c r="AA405" s="102"/>
      <c r="AB405" s="102"/>
      <c r="AC405" s="102"/>
      <c r="AD405" s="102"/>
      <c r="AE405" s="106"/>
      <c r="AF405" s="102"/>
    </row>
    <row r="406" spans="1:32" ht="15.55" x14ac:dyDescent="0.25">
      <c r="A406" s="264">
        <v>43585</v>
      </c>
      <c r="B406" s="99" t="s">
        <v>235</v>
      </c>
      <c r="C406" s="99" t="s">
        <v>232</v>
      </c>
      <c r="D406" s="100" t="s">
        <v>186</v>
      </c>
      <c r="E406" s="76">
        <v>2838</v>
      </c>
      <c r="F406" s="76">
        <v>2762</v>
      </c>
      <c r="G406" s="76">
        <v>2728</v>
      </c>
      <c r="H406" s="76">
        <v>2722</v>
      </c>
      <c r="I406" s="76">
        <v>2744</v>
      </c>
      <c r="J406" s="76">
        <v>2796</v>
      </c>
      <c r="K406" s="76">
        <v>2876</v>
      </c>
      <c r="L406" s="76">
        <v>2822</v>
      </c>
      <c r="M406" s="76">
        <v>2770</v>
      </c>
      <c r="N406" s="76">
        <v>2733</v>
      </c>
      <c r="O406" s="76">
        <v>2731</v>
      </c>
      <c r="P406" s="76">
        <v>2760</v>
      </c>
      <c r="Q406" s="76">
        <v>2820</v>
      </c>
      <c r="R406" s="320">
        <f>IF((Q407=""),"",MAX(E408:Q408))</f>
        <v>421</v>
      </c>
      <c r="S406" s="320">
        <f>IF(Q407="","",MIN(E408:Q408))</f>
        <v>360</v>
      </c>
      <c r="T406" s="323">
        <f>IF((Q408=""),"",AVERAGE(E408:Q408))</f>
        <v>385.30769230769232</v>
      </c>
      <c r="U406" s="323">
        <f>IF((Q407=""),"",(R406-S406)/(R406+S406)*100)</f>
        <v>7.8104993597951342</v>
      </c>
      <c r="V406" s="323">
        <f>STDEV(E408:Q408)</f>
        <v>23.792101684468786</v>
      </c>
      <c r="W406" s="314" t="str">
        <f>IF(Q407="","",IF(T406&gt;300,IF(U406&lt;14,IF(T406&lt;390,"Pass","Fail"),"Fail"),"Fail"))</f>
        <v>Pass</v>
      </c>
      <c r="X406" s="317">
        <v>1340</v>
      </c>
      <c r="AA406" s="102">
        <v>270</v>
      </c>
      <c r="AB406" s="102">
        <v>370</v>
      </c>
      <c r="AC406" s="102">
        <v>300</v>
      </c>
      <c r="AD406" s="103">
        <v>390</v>
      </c>
      <c r="AE406" s="103">
        <v>20</v>
      </c>
      <c r="AF406" s="103">
        <v>14</v>
      </c>
    </row>
    <row r="407" spans="1:32" ht="16.100000000000001" x14ac:dyDescent="0.35">
      <c r="A407" s="263"/>
      <c r="B407" s="104"/>
      <c r="C407" s="104"/>
      <c r="D407" s="100" t="s">
        <v>187</v>
      </c>
      <c r="E407" s="76">
        <v>2418</v>
      </c>
      <c r="F407" s="76">
        <v>2383</v>
      </c>
      <c r="G407" s="76">
        <v>2362</v>
      </c>
      <c r="H407" s="76">
        <v>2362</v>
      </c>
      <c r="I407" s="76">
        <v>2379</v>
      </c>
      <c r="J407" s="76">
        <v>2415</v>
      </c>
      <c r="K407" s="76">
        <v>2464</v>
      </c>
      <c r="L407" s="76">
        <v>2401</v>
      </c>
      <c r="M407" s="76">
        <v>2389</v>
      </c>
      <c r="N407" s="76">
        <v>2372</v>
      </c>
      <c r="O407" s="76">
        <v>2366</v>
      </c>
      <c r="P407" s="76">
        <v>2380</v>
      </c>
      <c r="Q407" s="76">
        <v>2402</v>
      </c>
      <c r="R407" s="321"/>
      <c r="S407" s="321"/>
      <c r="T407" s="324"/>
      <c r="U407" s="324"/>
      <c r="V407" s="326"/>
      <c r="W407" s="315"/>
      <c r="X407" s="318"/>
      <c r="AA407" s="102"/>
      <c r="AB407" s="102"/>
      <c r="AC407" s="102"/>
      <c r="AD407" s="102"/>
      <c r="AE407" s="106"/>
      <c r="AF407" s="102"/>
    </row>
    <row r="408" spans="1:32" ht="31.05" x14ac:dyDescent="0.35">
      <c r="A408" s="263"/>
      <c r="B408" s="99"/>
      <c r="C408" s="99"/>
      <c r="D408" s="100" t="s">
        <v>188</v>
      </c>
      <c r="E408" s="111">
        <f t="shared" ref="E408:Q408" si="133">IF(((E406="")*AND(E407="")),"",(E406-E407))</f>
        <v>420</v>
      </c>
      <c r="F408" s="111">
        <f t="shared" si="133"/>
        <v>379</v>
      </c>
      <c r="G408" s="111">
        <f t="shared" si="133"/>
        <v>366</v>
      </c>
      <c r="H408" s="111">
        <f t="shared" si="133"/>
        <v>360</v>
      </c>
      <c r="I408" s="111">
        <f t="shared" si="133"/>
        <v>365</v>
      </c>
      <c r="J408" s="111">
        <f t="shared" si="133"/>
        <v>381</v>
      </c>
      <c r="K408" s="111">
        <f t="shared" si="133"/>
        <v>412</v>
      </c>
      <c r="L408" s="111">
        <f t="shared" si="133"/>
        <v>421</v>
      </c>
      <c r="M408" s="111">
        <f t="shared" si="133"/>
        <v>381</v>
      </c>
      <c r="N408" s="111">
        <f t="shared" si="133"/>
        <v>361</v>
      </c>
      <c r="O408" s="111">
        <f t="shared" si="133"/>
        <v>365</v>
      </c>
      <c r="P408" s="111">
        <f t="shared" si="133"/>
        <v>380</v>
      </c>
      <c r="Q408" s="111">
        <f t="shared" si="133"/>
        <v>418</v>
      </c>
      <c r="R408" s="322"/>
      <c r="S408" s="322"/>
      <c r="T408" s="325"/>
      <c r="U408" s="325"/>
      <c r="V408" s="327"/>
      <c r="W408" s="316"/>
      <c r="X408" s="319"/>
      <c r="AA408" s="102"/>
      <c r="AB408" s="102"/>
      <c r="AC408" s="102"/>
      <c r="AD408" s="102"/>
      <c r="AE408" s="106"/>
      <c r="AF408" s="102"/>
    </row>
    <row r="409" spans="1:32" ht="15.55" x14ac:dyDescent="0.25">
      <c r="A409" s="264">
        <v>43588</v>
      </c>
      <c r="B409" s="99" t="s">
        <v>235</v>
      </c>
      <c r="C409" s="99" t="s">
        <v>232</v>
      </c>
      <c r="D409" s="100" t="s">
        <v>186</v>
      </c>
      <c r="E409" s="10">
        <v>2763.41</v>
      </c>
      <c r="F409" s="10">
        <v>2708.19</v>
      </c>
      <c r="G409" s="10">
        <v>2707.32</v>
      </c>
      <c r="H409" s="10">
        <v>2719.83</v>
      </c>
      <c r="I409" s="10">
        <v>2803.67</v>
      </c>
      <c r="J409" s="10">
        <v>2800.12</v>
      </c>
      <c r="K409" s="10">
        <v>2717.67</v>
      </c>
      <c r="L409" s="10">
        <v>2708.05</v>
      </c>
      <c r="M409" s="10">
        <v>2766.54</v>
      </c>
      <c r="N409" s="10">
        <v>2719.22</v>
      </c>
      <c r="O409" s="10">
        <v>2716.68</v>
      </c>
      <c r="P409" s="10">
        <v>2730.95</v>
      </c>
      <c r="Q409" s="10">
        <v>2715.97</v>
      </c>
      <c r="R409" s="320">
        <f>IF((Q410=""),"",MAX(E411:Q411))</f>
        <v>368.40999999999985</v>
      </c>
      <c r="S409" s="320">
        <f>IF(Q410="","",MIN(E411:Q411))</f>
        <v>326.47000000000025</v>
      </c>
      <c r="T409" s="323">
        <f>IF((Q411=""),"",AVERAGE(E411:Q411))</f>
        <v>344.43846153846147</v>
      </c>
      <c r="U409" s="323">
        <f>IF((Q410=""),"",(R409-S409)/(R409+S409)*100)</f>
        <v>6.0355744876812674</v>
      </c>
      <c r="V409" s="323">
        <f>STDEV(E411:Q411)</f>
        <v>14.91570025518633</v>
      </c>
      <c r="W409" s="314" t="str">
        <f>IF(Q410="","",IF(T409&gt;300,IF(U409&lt;14,IF(T409&lt;390,"Pass","Fail"),"Fail"),"Fail"))</f>
        <v>Pass</v>
      </c>
      <c r="X409" s="317">
        <v>1340</v>
      </c>
      <c r="AA409" s="102">
        <v>270</v>
      </c>
      <c r="AB409" s="102">
        <v>370</v>
      </c>
      <c r="AC409" s="102">
        <v>300</v>
      </c>
      <c r="AD409" s="103">
        <v>390</v>
      </c>
      <c r="AE409" s="103">
        <v>20</v>
      </c>
      <c r="AF409" s="103">
        <v>14</v>
      </c>
    </row>
    <row r="410" spans="1:32" ht="16.100000000000001" x14ac:dyDescent="0.35">
      <c r="A410" s="263"/>
      <c r="B410" s="104"/>
      <c r="C410" s="104"/>
      <c r="D410" s="100" t="s">
        <v>187</v>
      </c>
      <c r="E410" s="10">
        <v>2397.4699999999998</v>
      </c>
      <c r="F410" s="10">
        <v>2375.7600000000002</v>
      </c>
      <c r="G410" s="10">
        <v>2369.96</v>
      </c>
      <c r="H410" s="10">
        <v>2384.0500000000002</v>
      </c>
      <c r="I410" s="10">
        <v>2437.2199999999998</v>
      </c>
      <c r="J410" s="10">
        <v>2439.8000000000002</v>
      </c>
      <c r="K410" s="10">
        <v>2378.0300000000002</v>
      </c>
      <c r="L410" s="10">
        <v>2381.58</v>
      </c>
      <c r="M410" s="10">
        <v>2398.13</v>
      </c>
      <c r="N410" s="10">
        <v>2382.21</v>
      </c>
      <c r="O410" s="10">
        <v>2381.0700000000002</v>
      </c>
      <c r="P410" s="10">
        <v>2397.0500000000002</v>
      </c>
      <c r="Q410" s="10">
        <v>2377.59</v>
      </c>
      <c r="R410" s="321"/>
      <c r="S410" s="321"/>
      <c r="T410" s="324"/>
      <c r="U410" s="324"/>
      <c r="V410" s="326"/>
      <c r="W410" s="315"/>
      <c r="X410" s="318"/>
      <c r="AA410" s="102"/>
      <c r="AB410" s="102"/>
      <c r="AC410" s="102"/>
      <c r="AD410" s="102"/>
      <c r="AE410" s="106"/>
      <c r="AF410" s="102"/>
    </row>
    <row r="411" spans="1:32" ht="31.05" x14ac:dyDescent="0.35">
      <c r="A411" s="263"/>
      <c r="B411" s="99"/>
      <c r="C411" s="99"/>
      <c r="D411" s="100" t="s">
        <v>188</v>
      </c>
      <c r="E411" s="111">
        <f t="shared" ref="E411:Q411" si="134">IF(((E409="")*AND(E410="")),"",(E409-E410))</f>
        <v>365.94000000000005</v>
      </c>
      <c r="F411" s="111">
        <f t="shared" si="134"/>
        <v>332.42999999999984</v>
      </c>
      <c r="G411" s="111">
        <f t="shared" si="134"/>
        <v>337.36000000000013</v>
      </c>
      <c r="H411" s="111">
        <f t="shared" si="134"/>
        <v>335.77999999999975</v>
      </c>
      <c r="I411" s="111">
        <f t="shared" si="134"/>
        <v>366.45000000000027</v>
      </c>
      <c r="J411" s="111">
        <f t="shared" si="134"/>
        <v>360.31999999999971</v>
      </c>
      <c r="K411" s="111">
        <f t="shared" si="134"/>
        <v>339.63999999999987</v>
      </c>
      <c r="L411" s="111">
        <f t="shared" si="134"/>
        <v>326.47000000000025</v>
      </c>
      <c r="M411" s="111">
        <f t="shared" si="134"/>
        <v>368.40999999999985</v>
      </c>
      <c r="N411" s="111">
        <f t="shared" si="134"/>
        <v>337.00999999999976</v>
      </c>
      <c r="O411" s="111">
        <f t="shared" si="134"/>
        <v>335.60999999999967</v>
      </c>
      <c r="P411" s="111">
        <f t="shared" si="134"/>
        <v>333.89999999999964</v>
      </c>
      <c r="Q411" s="111">
        <f t="shared" si="134"/>
        <v>338.37999999999965</v>
      </c>
      <c r="R411" s="322"/>
      <c r="S411" s="322"/>
      <c r="T411" s="325"/>
      <c r="U411" s="325"/>
      <c r="V411" s="327"/>
      <c r="W411" s="316"/>
      <c r="X411" s="319"/>
      <c r="AA411" s="102"/>
      <c r="AB411" s="102"/>
      <c r="AC411" s="102"/>
      <c r="AD411" s="102"/>
      <c r="AE411" s="106"/>
      <c r="AF411" s="102"/>
    </row>
  </sheetData>
  <autoFilter ref="A6:AF411"/>
  <mergeCells count="1041">
    <mergeCell ref="X10:X12"/>
    <mergeCell ref="Y10:Y12"/>
    <mergeCell ref="R13:R15"/>
    <mergeCell ref="S13:S15"/>
    <mergeCell ref="T13:T15"/>
    <mergeCell ref="U13:U15"/>
    <mergeCell ref="V13:V15"/>
    <mergeCell ref="W13:W15"/>
    <mergeCell ref="X13:X15"/>
    <mergeCell ref="W7:W9"/>
    <mergeCell ref="X7:X9"/>
    <mergeCell ref="Y7:Y9"/>
    <mergeCell ref="R10:R12"/>
    <mergeCell ref="S10:S12"/>
    <mergeCell ref="T10:T12"/>
    <mergeCell ref="U10:U12"/>
    <mergeCell ref="V10:V12"/>
    <mergeCell ref="W10:W12"/>
    <mergeCell ref="R7:R9"/>
    <mergeCell ref="S7:S9"/>
    <mergeCell ref="T7:T9"/>
    <mergeCell ref="U7:U9"/>
    <mergeCell ref="V7:V9"/>
    <mergeCell ref="W19:W21"/>
    <mergeCell ref="X19:X21"/>
    <mergeCell ref="Y19:Y21"/>
    <mergeCell ref="R22:R24"/>
    <mergeCell ref="S22:S24"/>
    <mergeCell ref="T22:T24"/>
    <mergeCell ref="U22:U24"/>
    <mergeCell ref="V22:V24"/>
    <mergeCell ref="W22:W24"/>
    <mergeCell ref="R19:R21"/>
    <mergeCell ref="S19:S21"/>
    <mergeCell ref="T19:T21"/>
    <mergeCell ref="U19:U21"/>
    <mergeCell ref="V19:V21"/>
    <mergeCell ref="Y13:Y15"/>
    <mergeCell ref="R16:R18"/>
    <mergeCell ref="S16:S18"/>
    <mergeCell ref="T16:T18"/>
    <mergeCell ref="U16:U18"/>
    <mergeCell ref="V16:V18"/>
    <mergeCell ref="W16:W18"/>
    <mergeCell ref="X16:X18"/>
    <mergeCell ref="Y16:Y18"/>
    <mergeCell ref="X28:X30"/>
    <mergeCell ref="Y28:Y30"/>
    <mergeCell ref="R31:R33"/>
    <mergeCell ref="S31:S33"/>
    <mergeCell ref="T31:T33"/>
    <mergeCell ref="U31:U33"/>
    <mergeCell ref="V31:V33"/>
    <mergeCell ref="W31:W33"/>
    <mergeCell ref="X31:X33"/>
    <mergeCell ref="R28:R30"/>
    <mergeCell ref="S28:S30"/>
    <mergeCell ref="T28:T30"/>
    <mergeCell ref="U28:U30"/>
    <mergeCell ref="V28:V30"/>
    <mergeCell ref="W28:W30"/>
    <mergeCell ref="X22:X24"/>
    <mergeCell ref="Y22:Y24"/>
    <mergeCell ref="R25:R27"/>
    <mergeCell ref="S25:S27"/>
    <mergeCell ref="T25:T27"/>
    <mergeCell ref="U25:U27"/>
    <mergeCell ref="V25:V27"/>
    <mergeCell ref="W25:W27"/>
    <mergeCell ref="X25:X27"/>
    <mergeCell ref="Y25:Y27"/>
    <mergeCell ref="W37:W39"/>
    <mergeCell ref="X37:X39"/>
    <mergeCell ref="Y37:Y39"/>
    <mergeCell ref="R40:R42"/>
    <mergeCell ref="S40:S42"/>
    <mergeCell ref="T40:T42"/>
    <mergeCell ref="U40:U42"/>
    <mergeCell ref="V40:V42"/>
    <mergeCell ref="W40:W42"/>
    <mergeCell ref="R37:R39"/>
    <mergeCell ref="S37:S39"/>
    <mergeCell ref="T37:T39"/>
    <mergeCell ref="U37:U39"/>
    <mergeCell ref="V37:V39"/>
    <mergeCell ref="Y31:Y33"/>
    <mergeCell ref="R34:R36"/>
    <mergeCell ref="S34:S36"/>
    <mergeCell ref="T34:T36"/>
    <mergeCell ref="U34:U36"/>
    <mergeCell ref="V34:V36"/>
    <mergeCell ref="W34:W36"/>
    <mergeCell ref="X34:X36"/>
    <mergeCell ref="Y34:Y36"/>
    <mergeCell ref="Y43:Y45"/>
    <mergeCell ref="R46:R48"/>
    <mergeCell ref="S46:S48"/>
    <mergeCell ref="T46:T48"/>
    <mergeCell ref="U46:U48"/>
    <mergeCell ref="V46:V48"/>
    <mergeCell ref="W46:W48"/>
    <mergeCell ref="X46:X48"/>
    <mergeCell ref="Y46:Y48"/>
    <mergeCell ref="X40:X42"/>
    <mergeCell ref="Y40:Y42"/>
    <mergeCell ref="R43:R45"/>
    <mergeCell ref="S43:S45"/>
    <mergeCell ref="T43:T45"/>
    <mergeCell ref="U43:U45"/>
    <mergeCell ref="V43:V45"/>
    <mergeCell ref="W43:W45"/>
    <mergeCell ref="X43:X45"/>
    <mergeCell ref="Y52:Y54"/>
    <mergeCell ref="R55:R57"/>
    <mergeCell ref="S55:S57"/>
    <mergeCell ref="T55:T57"/>
    <mergeCell ref="U55:U57"/>
    <mergeCell ref="V55:V57"/>
    <mergeCell ref="W55:W57"/>
    <mergeCell ref="X55:X57"/>
    <mergeCell ref="Y55:Y57"/>
    <mergeCell ref="W49:W51"/>
    <mergeCell ref="X49:X51"/>
    <mergeCell ref="R52:R54"/>
    <mergeCell ref="S52:S54"/>
    <mergeCell ref="T52:T54"/>
    <mergeCell ref="U52:U54"/>
    <mergeCell ref="V52:V54"/>
    <mergeCell ref="W52:W54"/>
    <mergeCell ref="X52:X54"/>
    <mergeCell ref="R49:R51"/>
    <mergeCell ref="S49:S51"/>
    <mergeCell ref="T49:T51"/>
    <mergeCell ref="U49:U51"/>
    <mergeCell ref="V49:V51"/>
    <mergeCell ref="X61:X63"/>
    <mergeCell ref="Y61:Y63"/>
    <mergeCell ref="R64:R66"/>
    <mergeCell ref="S64:S66"/>
    <mergeCell ref="T64:T66"/>
    <mergeCell ref="U64:U66"/>
    <mergeCell ref="V64:V66"/>
    <mergeCell ref="W64:W66"/>
    <mergeCell ref="X64:X66"/>
    <mergeCell ref="W58:W60"/>
    <mergeCell ref="X58:X60"/>
    <mergeCell ref="Y58:Y60"/>
    <mergeCell ref="R61:R63"/>
    <mergeCell ref="S61:S63"/>
    <mergeCell ref="T61:T63"/>
    <mergeCell ref="U61:U63"/>
    <mergeCell ref="V61:V63"/>
    <mergeCell ref="W61:W63"/>
    <mergeCell ref="R58:R60"/>
    <mergeCell ref="S58:S60"/>
    <mergeCell ref="T58:T60"/>
    <mergeCell ref="U58:U60"/>
    <mergeCell ref="V58:V60"/>
    <mergeCell ref="W70:W72"/>
    <mergeCell ref="X70:X72"/>
    <mergeCell ref="Y70:Y72"/>
    <mergeCell ref="R73:R75"/>
    <mergeCell ref="S73:S75"/>
    <mergeCell ref="T73:T75"/>
    <mergeCell ref="U73:U75"/>
    <mergeCell ref="V73:V75"/>
    <mergeCell ref="W73:W75"/>
    <mergeCell ref="R70:R72"/>
    <mergeCell ref="S70:S72"/>
    <mergeCell ref="T70:T72"/>
    <mergeCell ref="U70:U72"/>
    <mergeCell ref="V70:V72"/>
    <mergeCell ref="Y64:Y66"/>
    <mergeCell ref="R67:R69"/>
    <mergeCell ref="S67:S69"/>
    <mergeCell ref="T67:T69"/>
    <mergeCell ref="U67:U69"/>
    <mergeCell ref="V67:V69"/>
    <mergeCell ref="W67:W69"/>
    <mergeCell ref="X67:X69"/>
    <mergeCell ref="Y67:Y69"/>
    <mergeCell ref="Y76:Y78"/>
    <mergeCell ref="R79:R81"/>
    <mergeCell ref="S79:S81"/>
    <mergeCell ref="T79:T81"/>
    <mergeCell ref="U79:U81"/>
    <mergeCell ref="V79:V81"/>
    <mergeCell ref="W79:W81"/>
    <mergeCell ref="X79:X81"/>
    <mergeCell ref="X73:X75"/>
    <mergeCell ref="Y73:Y75"/>
    <mergeCell ref="R76:R78"/>
    <mergeCell ref="S76:S78"/>
    <mergeCell ref="T76:T78"/>
    <mergeCell ref="U76:U78"/>
    <mergeCell ref="V76:V78"/>
    <mergeCell ref="W76:W78"/>
    <mergeCell ref="X76:X78"/>
    <mergeCell ref="X85:X87"/>
    <mergeCell ref="Y85:Y87"/>
    <mergeCell ref="R88:R90"/>
    <mergeCell ref="S88:S90"/>
    <mergeCell ref="T88:T90"/>
    <mergeCell ref="U88:U90"/>
    <mergeCell ref="V88:V90"/>
    <mergeCell ref="W88:W90"/>
    <mergeCell ref="X88:X90"/>
    <mergeCell ref="W82:W84"/>
    <mergeCell ref="X82:X84"/>
    <mergeCell ref="Y82:Y84"/>
    <mergeCell ref="R85:R87"/>
    <mergeCell ref="S85:S87"/>
    <mergeCell ref="T85:T87"/>
    <mergeCell ref="U85:U87"/>
    <mergeCell ref="V85:V87"/>
    <mergeCell ref="W85:W87"/>
    <mergeCell ref="R82:R84"/>
    <mergeCell ref="S82:S84"/>
    <mergeCell ref="T82:T84"/>
    <mergeCell ref="U82:U84"/>
    <mergeCell ref="V82:V84"/>
    <mergeCell ref="W94:W96"/>
    <mergeCell ref="X94:X96"/>
    <mergeCell ref="Y94:Y96"/>
    <mergeCell ref="R97:R99"/>
    <mergeCell ref="S97:S99"/>
    <mergeCell ref="T97:T99"/>
    <mergeCell ref="U97:U99"/>
    <mergeCell ref="V97:V99"/>
    <mergeCell ref="W97:W99"/>
    <mergeCell ref="R94:R96"/>
    <mergeCell ref="S94:S96"/>
    <mergeCell ref="T94:T96"/>
    <mergeCell ref="U94:U96"/>
    <mergeCell ref="V94:V96"/>
    <mergeCell ref="Y88:Y90"/>
    <mergeCell ref="R91:R93"/>
    <mergeCell ref="S91:S93"/>
    <mergeCell ref="T91:T93"/>
    <mergeCell ref="U91:U93"/>
    <mergeCell ref="V91:V93"/>
    <mergeCell ref="W91:W93"/>
    <mergeCell ref="X91:X93"/>
    <mergeCell ref="Y91:Y93"/>
    <mergeCell ref="R103:R105"/>
    <mergeCell ref="S103:S105"/>
    <mergeCell ref="T103:T105"/>
    <mergeCell ref="U103:U105"/>
    <mergeCell ref="V103:V105"/>
    <mergeCell ref="W103:W105"/>
    <mergeCell ref="X103:X105"/>
    <mergeCell ref="Y103:Y105"/>
    <mergeCell ref="X97:X99"/>
    <mergeCell ref="R100:R102"/>
    <mergeCell ref="S100:S102"/>
    <mergeCell ref="T100:T102"/>
    <mergeCell ref="U100:U102"/>
    <mergeCell ref="V100:V102"/>
    <mergeCell ref="W100:W102"/>
    <mergeCell ref="X100:X102"/>
    <mergeCell ref="X109:X111"/>
    <mergeCell ref="Y109:Y111"/>
    <mergeCell ref="R112:R114"/>
    <mergeCell ref="S112:S114"/>
    <mergeCell ref="T112:T114"/>
    <mergeCell ref="U112:U114"/>
    <mergeCell ref="V112:V114"/>
    <mergeCell ref="W112:W114"/>
    <mergeCell ref="X112:X114"/>
    <mergeCell ref="W106:W108"/>
    <mergeCell ref="X106:X108"/>
    <mergeCell ref="Y106:Y108"/>
    <mergeCell ref="R109:R111"/>
    <mergeCell ref="S109:S111"/>
    <mergeCell ref="T109:T111"/>
    <mergeCell ref="U109:U111"/>
    <mergeCell ref="V109:V111"/>
    <mergeCell ref="W109:W111"/>
    <mergeCell ref="R106:R108"/>
    <mergeCell ref="S106:S108"/>
    <mergeCell ref="T106:T108"/>
    <mergeCell ref="U106:U108"/>
    <mergeCell ref="V106:V108"/>
    <mergeCell ref="W118:W120"/>
    <mergeCell ref="X118:X120"/>
    <mergeCell ref="Y118:Y120"/>
    <mergeCell ref="R121:R123"/>
    <mergeCell ref="S121:S123"/>
    <mergeCell ref="T121:T123"/>
    <mergeCell ref="U121:U123"/>
    <mergeCell ref="V121:V123"/>
    <mergeCell ref="W121:W123"/>
    <mergeCell ref="R118:R120"/>
    <mergeCell ref="S118:S120"/>
    <mergeCell ref="T118:T120"/>
    <mergeCell ref="U118:U120"/>
    <mergeCell ref="V118:V120"/>
    <mergeCell ref="R115:R117"/>
    <mergeCell ref="S115:S117"/>
    <mergeCell ref="T115:T117"/>
    <mergeCell ref="U115:U117"/>
    <mergeCell ref="V115:V117"/>
    <mergeCell ref="W115:W117"/>
    <mergeCell ref="X115:X117"/>
    <mergeCell ref="Y115:Y117"/>
    <mergeCell ref="R127:R129"/>
    <mergeCell ref="S127:S129"/>
    <mergeCell ref="T127:T129"/>
    <mergeCell ref="U127:U129"/>
    <mergeCell ref="V127:V129"/>
    <mergeCell ref="W127:W129"/>
    <mergeCell ref="X127:X129"/>
    <mergeCell ref="Y127:Y129"/>
    <mergeCell ref="X121:X123"/>
    <mergeCell ref="R124:R126"/>
    <mergeCell ref="S124:S126"/>
    <mergeCell ref="T124:T126"/>
    <mergeCell ref="U124:U126"/>
    <mergeCell ref="V124:V126"/>
    <mergeCell ref="W124:W126"/>
    <mergeCell ref="X124:X126"/>
    <mergeCell ref="X133:X135"/>
    <mergeCell ref="Y133:Y135"/>
    <mergeCell ref="R136:R138"/>
    <mergeCell ref="S136:S138"/>
    <mergeCell ref="T136:T138"/>
    <mergeCell ref="U136:U138"/>
    <mergeCell ref="V136:V138"/>
    <mergeCell ref="W136:W138"/>
    <mergeCell ref="X136:X138"/>
    <mergeCell ref="W130:W132"/>
    <mergeCell ref="X130:X132"/>
    <mergeCell ref="Y130:Y132"/>
    <mergeCell ref="R133:R135"/>
    <mergeCell ref="S133:S135"/>
    <mergeCell ref="T133:T135"/>
    <mergeCell ref="U133:U135"/>
    <mergeCell ref="V133:V135"/>
    <mergeCell ref="W133:W135"/>
    <mergeCell ref="R130:R132"/>
    <mergeCell ref="S130:S132"/>
    <mergeCell ref="T130:T132"/>
    <mergeCell ref="U130:U132"/>
    <mergeCell ref="V130:V132"/>
    <mergeCell ref="W142:W144"/>
    <mergeCell ref="X142:X144"/>
    <mergeCell ref="Y142:Y144"/>
    <mergeCell ref="R145:R147"/>
    <mergeCell ref="S145:S147"/>
    <mergeCell ref="T145:T147"/>
    <mergeCell ref="U145:U147"/>
    <mergeCell ref="V145:V147"/>
    <mergeCell ref="W145:W147"/>
    <mergeCell ref="R142:R144"/>
    <mergeCell ref="S142:S144"/>
    <mergeCell ref="T142:T144"/>
    <mergeCell ref="U142:U144"/>
    <mergeCell ref="V142:V144"/>
    <mergeCell ref="R139:R141"/>
    <mergeCell ref="S139:S141"/>
    <mergeCell ref="T139:T141"/>
    <mergeCell ref="U139:U141"/>
    <mergeCell ref="V139:V141"/>
    <mergeCell ref="W139:W141"/>
    <mergeCell ref="X139:X141"/>
    <mergeCell ref="Y139:Y141"/>
    <mergeCell ref="Y148:Y150"/>
    <mergeCell ref="R151:R153"/>
    <mergeCell ref="S151:S153"/>
    <mergeCell ref="T151:T153"/>
    <mergeCell ref="U151:U153"/>
    <mergeCell ref="V151:V153"/>
    <mergeCell ref="W151:W153"/>
    <mergeCell ref="X151:X153"/>
    <mergeCell ref="Y151:Y153"/>
    <mergeCell ref="X145:X147"/>
    <mergeCell ref="Y145:Y147"/>
    <mergeCell ref="R148:R150"/>
    <mergeCell ref="S148:S150"/>
    <mergeCell ref="T148:T150"/>
    <mergeCell ref="U148:U150"/>
    <mergeCell ref="V148:V150"/>
    <mergeCell ref="W148:W150"/>
    <mergeCell ref="X148:X150"/>
    <mergeCell ref="X157:X159"/>
    <mergeCell ref="Y157:Y159"/>
    <mergeCell ref="R160:R162"/>
    <mergeCell ref="S160:S162"/>
    <mergeCell ref="T160:T162"/>
    <mergeCell ref="U160:U162"/>
    <mergeCell ref="V160:V162"/>
    <mergeCell ref="W160:W162"/>
    <mergeCell ref="X160:X162"/>
    <mergeCell ref="W154:W156"/>
    <mergeCell ref="X154:X156"/>
    <mergeCell ref="Y154:Y156"/>
    <mergeCell ref="R157:R159"/>
    <mergeCell ref="S157:S159"/>
    <mergeCell ref="T157:T159"/>
    <mergeCell ref="U157:U159"/>
    <mergeCell ref="V157:V159"/>
    <mergeCell ref="W157:W159"/>
    <mergeCell ref="R154:R156"/>
    <mergeCell ref="S154:S156"/>
    <mergeCell ref="T154:T156"/>
    <mergeCell ref="U154:U156"/>
    <mergeCell ref="V154:V156"/>
    <mergeCell ref="Y163:Y165"/>
    <mergeCell ref="R166:R168"/>
    <mergeCell ref="S166:S168"/>
    <mergeCell ref="T166:T168"/>
    <mergeCell ref="U166:U168"/>
    <mergeCell ref="V166:V168"/>
    <mergeCell ref="W166:W168"/>
    <mergeCell ref="X166:X168"/>
    <mergeCell ref="Y160:Y162"/>
    <mergeCell ref="AA160:AA162"/>
    <mergeCell ref="R163:R165"/>
    <mergeCell ref="S163:S165"/>
    <mergeCell ref="T163:T165"/>
    <mergeCell ref="U163:U165"/>
    <mergeCell ref="V163:V165"/>
    <mergeCell ref="W163:W165"/>
    <mergeCell ref="X163:X165"/>
    <mergeCell ref="X172:X174"/>
    <mergeCell ref="Y172:Y174"/>
    <mergeCell ref="R175:R177"/>
    <mergeCell ref="S175:S177"/>
    <mergeCell ref="T175:T177"/>
    <mergeCell ref="U175:U177"/>
    <mergeCell ref="V175:V177"/>
    <mergeCell ref="W175:W177"/>
    <mergeCell ref="X175:X177"/>
    <mergeCell ref="W169:W171"/>
    <mergeCell ref="X169:X171"/>
    <mergeCell ref="R172:R174"/>
    <mergeCell ref="S172:S174"/>
    <mergeCell ref="T172:T174"/>
    <mergeCell ref="U172:U174"/>
    <mergeCell ref="V172:V174"/>
    <mergeCell ref="W172:W174"/>
    <mergeCell ref="R169:R171"/>
    <mergeCell ref="S169:S171"/>
    <mergeCell ref="T169:T171"/>
    <mergeCell ref="U169:U171"/>
    <mergeCell ref="V169:V171"/>
    <mergeCell ref="W181:W183"/>
    <mergeCell ref="X181:X183"/>
    <mergeCell ref="Y181:Y183"/>
    <mergeCell ref="R184:R186"/>
    <mergeCell ref="S184:S186"/>
    <mergeCell ref="T184:T186"/>
    <mergeCell ref="U184:U186"/>
    <mergeCell ref="V184:V186"/>
    <mergeCell ref="W184:W186"/>
    <mergeCell ref="R181:R183"/>
    <mergeCell ref="S181:S183"/>
    <mergeCell ref="T181:T183"/>
    <mergeCell ref="U181:U183"/>
    <mergeCell ref="V181:V183"/>
    <mergeCell ref="Y175:Y177"/>
    <mergeCell ref="R178:R180"/>
    <mergeCell ref="S178:S180"/>
    <mergeCell ref="T178:T180"/>
    <mergeCell ref="U178:U180"/>
    <mergeCell ref="V178:V180"/>
    <mergeCell ref="W178:W180"/>
    <mergeCell ref="X178:X180"/>
    <mergeCell ref="Y178:Y180"/>
    <mergeCell ref="Y187:Y189"/>
    <mergeCell ref="R190:R192"/>
    <mergeCell ref="S190:S192"/>
    <mergeCell ref="T190:T192"/>
    <mergeCell ref="U190:U192"/>
    <mergeCell ref="V190:V192"/>
    <mergeCell ref="W190:W192"/>
    <mergeCell ref="X190:X192"/>
    <mergeCell ref="Y190:Y192"/>
    <mergeCell ref="X184:X186"/>
    <mergeCell ref="Y184:Y186"/>
    <mergeCell ref="R187:R189"/>
    <mergeCell ref="S187:S189"/>
    <mergeCell ref="T187:T189"/>
    <mergeCell ref="U187:U189"/>
    <mergeCell ref="V187:V189"/>
    <mergeCell ref="W187:W189"/>
    <mergeCell ref="X187:X189"/>
    <mergeCell ref="X196:X198"/>
    <mergeCell ref="Y196:Y198"/>
    <mergeCell ref="R199:R201"/>
    <mergeCell ref="S199:S201"/>
    <mergeCell ref="T199:T201"/>
    <mergeCell ref="U199:U201"/>
    <mergeCell ref="V199:V201"/>
    <mergeCell ref="W199:W201"/>
    <mergeCell ref="X199:X201"/>
    <mergeCell ref="W193:W195"/>
    <mergeCell ref="X193:X195"/>
    <mergeCell ref="Y193:Y195"/>
    <mergeCell ref="R196:R198"/>
    <mergeCell ref="S196:S198"/>
    <mergeCell ref="T196:T198"/>
    <mergeCell ref="U196:U198"/>
    <mergeCell ref="V196:V198"/>
    <mergeCell ref="W196:W198"/>
    <mergeCell ref="R193:R195"/>
    <mergeCell ref="S193:S195"/>
    <mergeCell ref="T193:T195"/>
    <mergeCell ref="U193:U195"/>
    <mergeCell ref="V193:V195"/>
    <mergeCell ref="W205:W207"/>
    <mergeCell ref="X205:X207"/>
    <mergeCell ref="Y205:Y207"/>
    <mergeCell ref="R208:R210"/>
    <mergeCell ref="S208:S210"/>
    <mergeCell ref="T208:T210"/>
    <mergeCell ref="U208:U210"/>
    <mergeCell ref="V208:V210"/>
    <mergeCell ref="W208:W210"/>
    <mergeCell ref="R205:R207"/>
    <mergeCell ref="S205:S207"/>
    <mergeCell ref="T205:T207"/>
    <mergeCell ref="U205:U207"/>
    <mergeCell ref="V205:V207"/>
    <mergeCell ref="Y199:Y201"/>
    <mergeCell ref="R202:R204"/>
    <mergeCell ref="S202:S204"/>
    <mergeCell ref="T202:T204"/>
    <mergeCell ref="U202:U204"/>
    <mergeCell ref="V202:V204"/>
    <mergeCell ref="W202:W204"/>
    <mergeCell ref="X202:X204"/>
    <mergeCell ref="Y202:Y204"/>
    <mergeCell ref="Y211:Y213"/>
    <mergeCell ref="R214:R216"/>
    <mergeCell ref="S214:S216"/>
    <mergeCell ref="T214:T216"/>
    <mergeCell ref="U214:U216"/>
    <mergeCell ref="V214:V216"/>
    <mergeCell ref="W214:W216"/>
    <mergeCell ref="X214:X216"/>
    <mergeCell ref="Y214:Y216"/>
    <mergeCell ref="X208:X210"/>
    <mergeCell ref="R211:R213"/>
    <mergeCell ref="S211:S213"/>
    <mergeCell ref="T211:T213"/>
    <mergeCell ref="U211:U213"/>
    <mergeCell ref="V211:V213"/>
    <mergeCell ref="W211:W213"/>
    <mergeCell ref="X211:X213"/>
    <mergeCell ref="X220:X222"/>
    <mergeCell ref="Y220:Y222"/>
    <mergeCell ref="R223:R225"/>
    <mergeCell ref="S223:S225"/>
    <mergeCell ref="T223:T225"/>
    <mergeCell ref="U223:U225"/>
    <mergeCell ref="V223:V225"/>
    <mergeCell ref="W223:W225"/>
    <mergeCell ref="X223:X225"/>
    <mergeCell ref="W217:W219"/>
    <mergeCell ref="X217:X219"/>
    <mergeCell ref="Y217:Y219"/>
    <mergeCell ref="R220:R222"/>
    <mergeCell ref="S220:S222"/>
    <mergeCell ref="T220:T222"/>
    <mergeCell ref="U220:U222"/>
    <mergeCell ref="V220:V222"/>
    <mergeCell ref="W220:W222"/>
    <mergeCell ref="R217:R219"/>
    <mergeCell ref="S217:S219"/>
    <mergeCell ref="T217:T219"/>
    <mergeCell ref="U217:U219"/>
    <mergeCell ref="V217:V219"/>
    <mergeCell ref="W229:W231"/>
    <mergeCell ref="X229:X231"/>
    <mergeCell ref="Y229:Y231"/>
    <mergeCell ref="R232:R234"/>
    <mergeCell ref="S232:S234"/>
    <mergeCell ref="T232:T234"/>
    <mergeCell ref="U232:U234"/>
    <mergeCell ref="V232:V234"/>
    <mergeCell ref="W232:W234"/>
    <mergeCell ref="R229:R231"/>
    <mergeCell ref="S229:S231"/>
    <mergeCell ref="T229:T231"/>
    <mergeCell ref="U229:U231"/>
    <mergeCell ref="V229:V231"/>
    <mergeCell ref="Y223:Y225"/>
    <mergeCell ref="R226:R228"/>
    <mergeCell ref="S226:S228"/>
    <mergeCell ref="T226:T228"/>
    <mergeCell ref="U226:U228"/>
    <mergeCell ref="V226:V228"/>
    <mergeCell ref="W226:W228"/>
    <mergeCell ref="X226:X228"/>
    <mergeCell ref="Y226:Y228"/>
    <mergeCell ref="Y235:Y237"/>
    <mergeCell ref="R238:R240"/>
    <mergeCell ref="S238:S240"/>
    <mergeCell ref="T238:T240"/>
    <mergeCell ref="U238:U240"/>
    <mergeCell ref="V238:V240"/>
    <mergeCell ref="W238:W240"/>
    <mergeCell ref="X238:X240"/>
    <mergeCell ref="X232:X234"/>
    <mergeCell ref="R235:R237"/>
    <mergeCell ref="S235:S237"/>
    <mergeCell ref="T235:T237"/>
    <mergeCell ref="U235:U237"/>
    <mergeCell ref="V235:V237"/>
    <mergeCell ref="W235:W237"/>
    <mergeCell ref="X235:X237"/>
    <mergeCell ref="X244:X246"/>
    <mergeCell ref="R247:R249"/>
    <mergeCell ref="S247:S249"/>
    <mergeCell ref="T247:T249"/>
    <mergeCell ref="U247:U249"/>
    <mergeCell ref="V247:V249"/>
    <mergeCell ref="W247:W249"/>
    <mergeCell ref="X247:X249"/>
    <mergeCell ref="W241:W243"/>
    <mergeCell ref="X241:X243"/>
    <mergeCell ref="R244:R246"/>
    <mergeCell ref="S244:S246"/>
    <mergeCell ref="T244:T246"/>
    <mergeCell ref="U244:U246"/>
    <mergeCell ref="V244:V246"/>
    <mergeCell ref="W244:W246"/>
    <mergeCell ref="R241:R243"/>
    <mergeCell ref="S241:S243"/>
    <mergeCell ref="T241:T243"/>
    <mergeCell ref="U241:U243"/>
    <mergeCell ref="V241:V243"/>
    <mergeCell ref="W253:W255"/>
    <mergeCell ref="X253:X255"/>
    <mergeCell ref="Y253:Y255"/>
    <mergeCell ref="R256:R258"/>
    <mergeCell ref="S256:S258"/>
    <mergeCell ref="T256:T258"/>
    <mergeCell ref="U256:U258"/>
    <mergeCell ref="V256:V258"/>
    <mergeCell ref="W256:W258"/>
    <mergeCell ref="R253:R255"/>
    <mergeCell ref="S253:S255"/>
    <mergeCell ref="T253:T255"/>
    <mergeCell ref="U253:U255"/>
    <mergeCell ref="V253:V255"/>
    <mergeCell ref="R250:R252"/>
    <mergeCell ref="S250:S252"/>
    <mergeCell ref="T250:T252"/>
    <mergeCell ref="U250:U252"/>
    <mergeCell ref="V250:V252"/>
    <mergeCell ref="W250:W252"/>
    <mergeCell ref="X250:X252"/>
    <mergeCell ref="Y259:Y261"/>
    <mergeCell ref="R262:R264"/>
    <mergeCell ref="S262:S264"/>
    <mergeCell ref="T262:T264"/>
    <mergeCell ref="U262:U264"/>
    <mergeCell ref="V262:V264"/>
    <mergeCell ref="W262:W264"/>
    <mergeCell ref="X262:X264"/>
    <mergeCell ref="Y262:Y264"/>
    <mergeCell ref="X256:X258"/>
    <mergeCell ref="R259:R261"/>
    <mergeCell ref="S259:S261"/>
    <mergeCell ref="T259:T261"/>
    <mergeCell ref="U259:U261"/>
    <mergeCell ref="V259:V261"/>
    <mergeCell ref="W259:W261"/>
    <mergeCell ref="X259:X261"/>
    <mergeCell ref="X268:X270"/>
    <mergeCell ref="Y268:Y270"/>
    <mergeCell ref="R271:R273"/>
    <mergeCell ref="S271:S273"/>
    <mergeCell ref="T271:T273"/>
    <mergeCell ref="U271:U273"/>
    <mergeCell ref="V271:V273"/>
    <mergeCell ref="W271:W273"/>
    <mergeCell ref="X271:X273"/>
    <mergeCell ref="W265:W267"/>
    <mergeCell ref="X265:X267"/>
    <mergeCell ref="R268:R270"/>
    <mergeCell ref="S268:S270"/>
    <mergeCell ref="T268:T270"/>
    <mergeCell ref="U268:U270"/>
    <mergeCell ref="V268:V270"/>
    <mergeCell ref="W268:W270"/>
    <mergeCell ref="R265:R267"/>
    <mergeCell ref="S265:S267"/>
    <mergeCell ref="T265:T267"/>
    <mergeCell ref="U265:U267"/>
    <mergeCell ref="V265:V267"/>
    <mergeCell ref="W277:W279"/>
    <mergeCell ref="X277:X279"/>
    <mergeCell ref="Y277:Y279"/>
    <mergeCell ref="R280:R282"/>
    <mergeCell ref="S280:S282"/>
    <mergeCell ref="T280:T282"/>
    <mergeCell ref="U280:U282"/>
    <mergeCell ref="V280:V282"/>
    <mergeCell ref="W280:W282"/>
    <mergeCell ref="R277:R279"/>
    <mergeCell ref="S277:S279"/>
    <mergeCell ref="T277:T279"/>
    <mergeCell ref="U277:U279"/>
    <mergeCell ref="V277:V279"/>
    <mergeCell ref="R274:R276"/>
    <mergeCell ref="S274:S276"/>
    <mergeCell ref="T274:T276"/>
    <mergeCell ref="U274:U276"/>
    <mergeCell ref="V274:V276"/>
    <mergeCell ref="W274:W276"/>
    <mergeCell ref="X274:X276"/>
    <mergeCell ref="Y283:Y285"/>
    <mergeCell ref="R286:R288"/>
    <mergeCell ref="S286:S288"/>
    <mergeCell ref="T286:T288"/>
    <mergeCell ref="U286:U288"/>
    <mergeCell ref="V286:V288"/>
    <mergeCell ref="W286:W288"/>
    <mergeCell ref="X286:X288"/>
    <mergeCell ref="Y286:Y288"/>
    <mergeCell ref="X280:X282"/>
    <mergeCell ref="Y280:Y282"/>
    <mergeCell ref="R283:R285"/>
    <mergeCell ref="S283:S285"/>
    <mergeCell ref="T283:T285"/>
    <mergeCell ref="U283:U285"/>
    <mergeCell ref="V283:V285"/>
    <mergeCell ref="W283:W285"/>
    <mergeCell ref="X283:X285"/>
    <mergeCell ref="X292:X294"/>
    <mergeCell ref="Y292:Y294"/>
    <mergeCell ref="R295:R297"/>
    <mergeCell ref="S295:S297"/>
    <mergeCell ref="T295:T297"/>
    <mergeCell ref="U295:U297"/>
    <mergeCell ref="V295:V297"/>
    <mergeCell ref="W295:W297"/>
    <mergeCell ref="X295:X297"/>
    <mergeCell ref="W289:W291"/>
    <mergeCell ref="X289:X291"/>
    <mergeCell ref="Y289:Y291"/>
    <mergeCell ref="R292:R294"/>
    <mergeCell ref="S292:S294"/>
    <mergeCell ref="T292:T294"/>
    <mergeCell ref="U292:U294"/>
    <mergeCell ref="V292:V294"/>
    <mergeCell ref="W292:W294"/>
    <mergeCell ref="R289:R291"/>
    <mergeCell ref="S289:S291"/>
    <mergeCell ref="T289:T291"/>
    <mergeCell ref="U289:U291"/>
    <mergeCell ref="V289:V291"/>
    <mergeCell ref="W301:W303"/>
    <mergeCell ref="X301:X303"/>
    <mergeCell ref="Y301:Y303"/>
    <mergeCell ref="R304:R306"/>
    <mergeCell ref="S304:S306"/>
    <mergeCell ref="T304:T306"/>
    <mergeCell ref="U304:U306"/>
    <mergeCell ref="V304:V306"/>
    <mergeCell ref="W304:W306"/>
    <mergeCell ref="R301:R303"/>
    <mergeCell ref="S301:S303"/>
    <mergeCell ref="T301:T303"/>
    <mergeCell ref="U301:U303"/>
    <mergeCell ref="V301:V303"/>
    <mergeCell ref="R298:R300"/>
    <mergeCell ref="S298:S300"/>
    <mergeCell ref="T298:T300"/>
    <mergeCell ref="U298:U300"/>
    <mergeCell ref="V298:V300"/>
    <mergeCell ref="W298:W300"/>
    <mergeCell ref="X298:X300"/>
    <mergeCell ref="Y298:Y300"/>
    <mergeCell ref="Y307:Y309"/>
    <mergeCell ref="R310:R312"/>
    <mergeCell ref="S310:S312"/>
    <mergeCell ref="T310:T312"/>
    <mergeCell ref="U310:U312"/>
    <mergeCell ref="V310:V312"/>
    <mergeCell ref="W310:W312"/>
    <mergeCell ref="X310:X312"/>
    <mergeCell ref="X304:X306"/>
    <mergeCell ref="Y304:Y306"/>
    <mergeCell ref="R307:R309"/>
    <mergeCell ref="S307:S309"/>
    <mergeCell ref="T307:T309"/>
    <mergeCell ref="U307:U309"/>
    <mergeCell ref="V307:V309"/>
    <mergeCell ref="W307:W309"/>
    <mergeCell ref="X307:X309"/>
    <mergeCell ref="X316:X318"/>
    <mergeCell ref="Y316:Y318"/>
    <mergeCell ref="R319:R321"/>
    <mergeCell ref="S319:S321"/>
    <mergeCell ref="T319:T321"/>
    <mergeCell ref="U319:U321"/>
    <mergeCell ref="V319:V321"/>
    <mergeCell ref="W319:W321"/>
    <mergeCell ref="X319:X321"/>
    <mergeCell ref="W313:W315"/>
    <mergeCell ref="X313:X315"/>
    <mergeCell ref="R316:R318"/>
    <mergeCell ref="S316:S318"/>
    <mergeCell ref="T316:T318"/>
    <mergeCell ref="U316:U318"/>
    <mergeCell ref="V316:V318"/>
    <mergeCell ref="W316:W318"/>
    <mergeCell ref="R313:R315"/>
    <mergeCell ref="S313:S315"/>
    <mergeCell ref="T313:T315"/>
    <mergeCell ref="U313:U315"/>
    <mergeCell ref="V313:V315"/>
    <mergeCell ref="W325:W327"/>
    <mergeCell ref="X325:X327"/>
    <mergeCell ref="R328:R330"/>
    <mergeCell ref="S328:S330"/>
    <mergeCell ref="T328:T330"/>
    <mergeCell ref="U328:U330"/>
    <mergeCell ref="V328:V330"/>
    <mergeCell ref="W328:W330"/>
    <mergeCell ref="R325:R327"/>
    <mergeCell ref="S325:S327"/>
    <mergeCell ref="T325:T327"/>
    <mergeCell ref="U325:U327"/>
    <mergeCell ref="V325:V327"/>
    <mergeCell ref="R322:R324"/>
    <mergeCell ref="S322:S324"/>
    <mergeCell ref="T322:T324"/>
    <mergeCell ref="U322:U324"/>
    <mergeCell ref="V322:V324"/>
    <mergeCell ref="W322:W324"/>
    <mergeCell ref="X322:X324"/>
    <mergeCell ref="R334:R336"/>
    <mergeCell ref="S334:S336"/>
    <mergeCell ref="T334:T336"/>
    <mergeCell ref="U334:U336"/>
    <mergeCell ref="V334:V336"/>
    <mergeCell ref="W334:W336"/>
    <mergeCell ref="X334:X336"/>
    <mergeCell ref="Y334:Y336"/>
    <mergeCell ref="X328:X330"/>
    <mergeCell ref="Y328:Y330"/>
    <mergeCell ref="R331:R333"/>
    <mergeCell ref="S331:S333"/>
    <mergeCell ref="T331:T333"/>
    <mergeCell ref="U331:U333"/>
    <mergeCell ref="V331:V333"/>
    <mergeCell ref="W331:W333"/>
    <mergeCell ref="X331:X333"/>
    <mergeCell ref="X340:X342"/>
    <mergeCell ref="R343:R345"/>
    <mergeCell ref="S343:S345"/>
    <mergeCell ref="T343:T345"/>
    <mergeCell ref="U343:U345"/>
    <mergeCell ref="V343:V345"/>
    <mergeCell ref="W343:W345"/>
    <mergeCell ref="X343:X345"/>
    <mergeCell ref="W337:W339"/>
    <mergeCell ref="X337:X339"/>
    <mergeCell ref="Y337:Y339"/>
    <mergeCell ref="R340:R342"/>
    <mergeCell ref="S340:S342"/>
    <mergeCell ref="T340:T342"/>
    <mergeCell ref="U340:U342"/>
    <mergeCell ref="V340:V342"/>
    <mergeCell ref="W340:W342"/>
    <mergeCell ref="R337:R339"/>
    <mergeCell ref="S337:S339"/>
    <mergeCell ref="T337:T339"/>
    <mergeCell ref="U337:U339"/>
    <mergeCell ref="V337:V339"/>
    <mergeCell ref="W349:W351"/>
    <mergeCell ref="X349:X351"/>
    <mergeCell ref="R352:R354"/>
    <mergeCell ref="S352:S354"/>
    <mergeCell ref="T352:T354"/>
    <mergeCell ref="U352:U354"/>
    <mergeCell ref="V352:V354"/>
    <mergeCell ref="W352:W354"/>
    <mergeCell ref="R349:R351"/>
    <mergeCell ref="S349:S351"/>
    <mergeCell ref="T349:T351"/>
    <mergeCell ref="U349:U351"/>
    <mergeCell ref="V349:V351"/>
    <mergeCell ref="Y343:Y345"/>
    <mergeCell ref="R346:R348"/>
    <mergeCell ref="S346:S348"/>
    <mergeCell ref="T346:T348"/>
    <mergeCell ref="U346:U348"/>
    <mergeCell ref="V346:V348"/>
    <mergeCell ref="W346:W348"/>
    <mergeCell ref="X346:X348"/>
    <mergeCell ref="Y355:Y357"/>
    <mergeCell ref="R358:R360"/>
    <mergeCell ref="S358:S360"/>
    <mergeCell ref="T358:T360"/>
    <mergeCell ref="U358:U360"/>
    <mergeCell ref="V358:V360"/>
    <mergeCell ref="W358:W360"/>
    <mergeCell ref="X358:X360"/>
    <mergeCell ref="X352:X354"/>
    <mergeCell ref="Y352:Y354"/>
    <mergeCell ref="R355:R357"/>
    <mergeCell ref="S355:S357"/>
    <mergeCell ref="T355:T357"/>
    <mergeCell ref="U355:U357"/>
    <mergeCell ref="V355:V357"/>
    <mergeCell ref="W355:W357"/>
    <mergeCell ref="X355:X357"/>
    <mergeCell ref="R370:R372"/>
    <mergeCell ref="S370:S372"/>
    <mergeCell ref="T370:T372"/>
    <mergeCell ref="U370:U372"/>
    <mergeCell ref="V370:V372"/>
    <mergeCell ref="W370:W372"/>
    <mergeCell ref="X370:X372"/>
    <mergeCell ref="X364:X366"/>
    <mergeCell ref="Y364:Y366"/>
    <mergeCell ref="R367:R369"/>
    <mergeCell ref="S367:S369"/>
    <mergeCell ref="T367:T369"/>
    <mergeCell ref="U367:U369"/>
    <mergeCell ref="V367:V369"/>
    <mergeCell ref="W367:W369"/>
    <mergeCell ref="X367:X369"/>
    <mergeCell ref="W361:W363"/>
    <mergeCell ref="X361:X363"/>
    <mergeCell ref="Y361:Y363"/>
    <mergeCell ref="R364:R366"/>
    <mergeCell ref="S364:S366"/>
    <mergeCell ref="T364:T366"/>
    <mergeCell ref="U364:U366"/>
    <mergeCell ref="V364:V366"/>
    <mergeCell ref="W364:W366"/>
    <mergeCell ref="R361:R363"/>
    <mergeCell ref="S361:S363"/>
    <mergeCell ref="T361:T363"/>
    <mergeCell ref="U361:U363"/>
    <mergeCell ref="V361:V363"/>
    <mergeCell ref="X376:X378"/>
    <mergeCell ref="Y376:Y378"/>
    <mergeCell ref="R379:R381"/>
    <mergeCell ref="S379:S381"/>
    <mergeCell ref="T379:T381"/>
    <mergeCell ref="U379:U381"/>
    <mergeCell ref="V379:V381"/>
    <mergeCell ref="W379:W381"/>
    <mergeCell ref="X379:X381"/>
    <mergeCell ref="W373:W375"/>
    <mergeCell ref="X373:X375"/>
    <mergeCell ref="Y373:Y375"/>
    <mergeCell ref="R376:R378"/>
    <mergeCell ref="S376:S378"/>
    <mergeCell ref="T376:T378"/>
    <mergeCell ref="U376:U378"/>
    <mergeCell ref="V376:V378"/>
    <mergeCell ref="W376:W378"/>
    <mergeCell ref="R373:R375"/>
    <mergeCell ref="S373:S375"/>
    <mergeCell ref="T373:T375"/>
    <mergeCell ref="U373:U375"/>
    <mergeCell ref="V373:V375"/>
    <mergeCell ref="W385:W387"/>
    <mergeCell ref="X385:X387"/>
    <mergeCell ref="Y385:Y387"/>
    <mergeCell ref="R388:R390"/>
    <mergeCell ref="S388:S390"/>
    <mergeCell ref="T388:T390"/>
    <mergeCell ref="U388:U390"/>
    <mergeCell ref="V388:V390"/>
    <mergeCell ref="W388:W390"/>
    <mergeCell ref="R385:R387"/>
    <mergeCell ref="S385:S387"/>
    <mergeCell ref="T385:T387"/>
    <mergeCell ref="U385:U387"/>
    <mergeCell ref="V385:V387"/>
    <mergeCell ref="Y379:Y381"/>
    <mergeCell ref="R382:R384"/>
    <mergeCell ref="S382:S384"/>
    <mergeCell ref="T382:T384"/>
    <mergeCell ref="U382:U384"/>
    <mergeCell ref="V382:V384"/>
    <mergeCell ref="W382:W384"/>
    <mergeCell ref="X382:X384"/>
    <mergeCell ref="Y382:Y384"/>
    <mergeCell ref="S397:S399"/>
    <mergeCell ref="T397:T399"/>
    <mergeCell ref="U397:U399"/>
    <mergeCell ref="V397:V399"/>
    <mergeCell ref="R394:R396"/>
    <mergeCell ref="S394:S396"/>
    <mergeCell ref="T394:T396"/>
    <mergeCell ref="U394:U396"/>
    <mergeCell ref="V394:V396"/>
    <mergeCell ref="W394:W396"/>
    <mergeCell ref="X394:X396"/>
    <mergeCell ref="X388:X390"/>
    <mergeCell ref="Y388:Y390"/>
    <mergeCell ref="R391:R393"/>
    <mergeCell ref="S391:S393"/>
    <mergeCell ref="T391:T393"/>
    <mergeCell ref="U391:U393"/>
    <mergeCell ref="V391:V393"/>
    <mergeCell ref="W391:W393"/>
    <mergeCell ref="X391:X393"/>
    <mergeCell ref="E5:V5"/>
    <mergeCell ref="W409:W411"/>
    <mergeCell ref="X409:X411"/>
    <mergeCell ref="R409:R411"/>
    <mergeCell ref="S409:S411"/>
    <mergeCell ref="T409:T411"/>
    <mergeCell ref="U409:U411"/>
    <mergeCell ref="V409:V411"/>
    <mergeCell ref="R406:R408"/>
    <mergeCell ref="S406:S408"/>
    <mergeCell ref="T406:T408"/>
    <mergeCell ref="U406:U408"/>
    <mergeCell ref="V406:V408"/>
    <mergeCell ref="W406:W408"/>
    <mergeCell ref="X406:X408"/>
    <mergeCell ref="X400:X402"/>
    <mergeCell ref="R403:R405"/>
    <mergeCell ref="S403:S405"/>
    <mergeCell ref="T403:T405"/>
    <mergeCell ref="U403:U405"/>
    <mergeCell ref="V403:V405"/>
    <mergeCell ref="W403:W405"/>
    <mergeCell ref="X403:X405"/>
    <mergeCell ref="W397:W399"/>
    <mergeCell ref="X397:X399"/>
    <mergeCell ref="R400:R402"/>
    <mergeCell ref="S400:S402"/>
    <mergeCell ref="T400:T402"/>
    <mergeCell ref="U400:U402"/>
    <mergeCell ref="V400:V402"/>
    <mergeCell ref="W400:W402"/>
    <mergeCell ref="R397:R399"/>
  </mergeCells>
  <conditionalFormatting sqref="J36:J85 O196:P197 J196:M197 K217:M218 O217:P218 K220:M221 O220:P221 K286:M287 O286:P287 J87:J195 J198:J399 J7:J34">
    <cfRule type="cellIs" dxfId="177" priority="161" stopIfTrue="1" operator="equal">
      <formula>"Pass"</formula>
    </cfRule>
    <cfRule type="cellIs" dxfId="176" priority="162" stopIfTrue="1" operator="equal">
      <formula>"Fail"</formula>
    </cfRule>
  </conditionalFormatting>
  <conditionalFormatting sqref="W7:W399">
    <cfRule type="cellIs" dxfId="175" priority="159" stopIfTrue="1" operator="equal">
      <formula>"Fail"</formula>
    </cfRule>
    <cfRule type="cellIs" dxfId="174" priority="160" stopIfTrue="1" operator="equal">
      <formula>"Pass"</formula>
    </cfRule>
  </conditionalFormatting>
  <conditionalFormatting sqref="Q7:Q8 Q10:Q11 Q13:Q14 Q16:Q17 Q19:Q20 Q22:Q23 Q25:Q26 Q28:Q29 Q31:Q32 Q34:Q35 Q37:Q38 Q40:Q41 Q43:Q44 N46 Q49:Q50 Q52:Q53 Q55:Q56 Q58:Q59 Q61:Q62 Q64:Q65 Q67:Q68 Q70:Q71 Q73:Q74 Q76:Q77 Q79:Q80 Q82:Q83 Q85:Q86 Q88:Q89 Q91:Q92 Q94:Q95 Q97:Q98 Q100:Q101 Q118:Q119 Q124:Q125 Q127:Q128 Q130:Q131 Q133:Q134 Q136:Q137 Q139:Q140 Q142:Q143 Q148:Q149 Q151:Q152 Q154:Q155 Q169:Q170 Q172:Q173 Q178:Q179 Q181:Q182 Q184:Q185 Q187:Q188 Q190:Q191 Q199:Q200 Q211:Q212 Q229:Q230 Q232:Q233 Q235:Q236 Q238:Q239 Q244:Q245 Q247:Q248 Q250:Q251 Q253:Q254 Q256:Q257 Q259:Q260 Q265:Q266 Q268:Q269 Q271:Q272 Q274:Q275 Q280:Q281 Q289:Q290 Q292:Q293 Q298:Q299 Q304:Q305 Q307:Q308 Q310:Q311 Q313:Q314 Q316:Q317 Q322:Q323 Q325:Q326 Q328:Q329 Q334:Q335 Q337:Q338 Q340:Q341 Q343:Q344 Q346:Q347 Q349:Q350 Q352:Q353 Q355:Q356 Q358:Q359 Q364:Q365 Q367:Q368 Q370:Q371 Q373:Q374 Q379:Q380 Q382:Q383 Q385:Q386 Q388:Q389 Q391:Q392 Q394:Q395 Q397:Q398 N7:N8 N10:N11 N13:N14 N16:N17 N19:N20 N22:N23 N25:N26 N28:N29 N31:N32 N34:N35 N37:N38 N40:N41 N43:N44 N49:N50 N52:N53 N55:N56 N58:N59 N61:N62 N64:N65 N67:N68 N70:N71 N73:N74 N76:N77 N79:N80 N82:N83 Q46 N88:N89 N91:N92 N94:N95 N97:N98 N100:N101 N118:N119 N124:N125 N127:N128 N130:N131 N133:N134 N136:N137 N139:N140 N142:N143 N148:N149 N151:N152 N154:N155 N169:N170 N172:N173 N178:N179 N181:N182 N184:N185 N187:N188 N190:N191 N199:N200 N211:N212 N229:N230 N232:N233 N235:N236 N238:N239 N244:N245 N247:N248 N250:N251 N253:N254 N256:N257 N259:N260 N265:N266 N268:N269 N271:N272 N274:N275 N280:N281 N289:N290 N292:N293 N298:N299 N304:N305 N307:N308 N310:N311 N313:N314 N316:N317 N322:N323 N325:N326 N328:N329 N334:N335 N337:N338 N340:N341 N343:N344 N346:N347 N349:N350 N352:N353 N355:N356 N358:N359 N364:N365 N367:N368 N370:N371 N373:N374 N379:N380 N382:N383 N385:N386 N388:N389 N391:N392 N394:N395 N397:N398 N85 Q103:Q116 N103:N116 Q121:Q122 N121:N122 Q145:Q146 N145:N146 Q157:Q158 N157:N158 T160:T161 Q160:Q161 N160:N161 T163:T164 Q163:Q164 N163:N164 T166:T167 Q166:Q167 N166:N167 Q175:Q176 N175:N176 Q193:Q194 N193:N194 Q196:Q197 N196:N197 Q202:Q203 N202:N203 Q205:Q206 N205:N206 Q208:Q209 N208:N209 Q214:Q215 N214:N215 Q217:Q218 N217:N218 Q220:Q221 N220:N221 Q223:Q224 N223:N224 Q226:Q227 N226:N227 Q241:Q242 N241:N242 Q262:Q263 N262:N263 Q277:Q278 N277:N278 Q283:Q284 N283:N284 Q286:Q287 N286:N287 Q295:Q296 N295:N296 Q301:Q302 N301:N302 Q319:Q320 N319:N320 Q331:Q332 N331:N332 Q361:Q362 N361:N362 Q376:Q377 N376:N377">
    <cfRule type="cellIs" dxfId="173" priority="157" stopIfTrue="1" operator="equal">
      <formula>"Pass"</formula>
    </cfRule>
    <cfRule type="cellIs" dxfId="172" priority="158" stopIfTrue="1" operator="equal">
      <formula>"Fail"</formula>
    </cfRule>
  </conditionalFormatting>
  <conditionalFormatting sqref="W7 W10 W13 W16 W19 W22 W25 W28 W31 W34 W37 W40 W43 W46 W49 W52 W55 W58 W61 W64 W67 W70 W73 W76 W79 W82 W85 W88 W91 W94 W97 W100 W103 W106 W109 W112 W115 W121 W124 W127 W130 W133 W136 W139 W142 W145 W148 W151 W154 W157 W172 W178 W181 W184 W187 W190 W199 W202 W208 W211 W214 W229 W232 W235 W238 W244 W247 W250 W253 W256 W259 W265 W268 W271 W274 W280 W289 W292 W298 W304 W307 W310 W313 W316 W319 W322 W325 W328 W334 W337 W340 W343 W346 W349 W352 W355 W358 W364 W367 W370 W373 W379 W382 W385 W388 W391 W394 W397 W118 W160 W163 W169 W166 W175 W193 W196 W205 W217 W220 W223 W226 W241 W262 W277 W283 W286 W295 W301 W331 W361 W376">
    <cfRule type="cellIs" dxfId="171" priority="155" stopIfTrue="1" operator="equal">
      <formula>"Fail"</formula>
    </cfRule>
    <cfRule type="cellIs" dxfId="170" priority="156" stopIfTrue="1" operator="equal">
      <formula>"Pass"</formula>
    </cfRule>
  </conditionalFormatting>
  <conditionalFormatting sqref="Q7 Q10 Q13 Q16 Q19 Q22 Q25 Q28 Q31 Q34 Q37 Q40 Q43 Q46 Q49 Q52 Q55 Q58 Q61 Q64 Q67 Q70 Q73 Q76 Q79 Q82 Q85 Q88 Q91 Q94 Q97 Q100 Q103 Q106 Q109 Q112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6 N49 N52 N55 N58 N61 N64 N67 N70 N73 N76 N79 N82 N85 N88 N91 N94 N97 N100 N103 N106 N109 N112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4 J37 J40 J43 J46 J49 J52 J55 J58 J61 J64 J67 J70 J73 J76 J79 J82 J85 J88 J91 J94 J97 J100 J103 J106 J109 J112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15 N115 J115 Q157 N157 J157 T160 Q160 M160:N160 J160 T163 Q163 M163:N163 J163 T166 Q166 M166:N166 J166 Q175 N175 J175 Q193 N193 J193 K196:M197 O196:P197 J196 N196 Q196 Q205 N205 J205 Q214 N214 J214 Q208 N208 J208 J217:Q217 K218:M218 O218:P218 J220:Q220 K221:M221 O221:P221 Q223 N223 J223 Q226 N226 J226 Q241 N241 J241 Q262 N262 J262 Q277 N277 J277 Q283 N283 J283 J286:Q286 K287:M287 O287:P287 Q295 N295 J295 Q301 N301 J301 Q331 N331 J331 Q361 N361 J361 Q376 N376 J376">
    <cfRule type="cellIs" dxfId="169" priority="153" stopIfTrue="1" operator="equal">
      <formula>"Pass"</formula>
    </cfRule>
    <cfRule type="cellIs" dxfId="168" priority="154" stopIfTrue="1" operator="equal">
      <formula>"Fail"</formula>
    </cfRule>
  </conditionalFormatting>
  <conditionalFormatting sqref="Q8 Q11 Q14 Q17 Q20 Q23 Q26 Q29 Q32 Q35 Q38 Q41 Q44 Q50 Q53 Q56 Q59 Q62 Q65 Q68 Q71 Q74 Q77 Q80 Q83 Q86 Q89 Q92 Q95 Q98 Q101 Q119 Q122 Q125 Q128 Q131 Q134 Q137 Q140 Q143 Q146 Q149 Q152 Q155 Q170 Q173 Q179 Q182 Q185 Q188 Q191 Q200 Q203 Q212 Q230 Q233 Q236 Q239 Q245 Q248 Q251 Q254 Q257 Q260 Q266 Q269 Q272 Q275 Q281 Q290 Q293 Q299 Q305 Q308 Q311 Q314 Q317 Q320 Q323 Q326 Q329 Q335 Q338 Q341 Q344 Q347 Q350 Q353 Q356 Q359 Q365 Q368 Q371 Q374 Q380 Q383 Q386 Q389 Q392 Q395 Q398 N8 N11 N14 N17 N20 N23 N26 N29 N32 N35 N38 N41 N44 N50 N53 N56 N59 N62 N65 N68 N71 N74 N77 N80 N83 N89 N92 N95 N98 N101 N119 N122 N125 N128 N131 N134 N137 N140 N143 N146 N149 N152 N155 N170 N173 N179 N182 N185 N188 N191 N200 N203 N212 N230 N233 N236 N239 N245 N248 N251 N254 N257 N260 N266 N269 N272 N275 N281 N290 N293 N299 N305 N308 N311 N314 N317 N320 N323 N326 N329 N335 N338 N341 N344 N347 N350 N353 N356 N359 N365 N368 N371 N374 N380 N383 N386 N389 N392 N395 N398 J8 J11 J14 J17 J20 J23 J26 J29 J32 J38 J41 J44 J47 J50 J56 J59 J62 J65 J68 J71 J74 J77 J80 J83 J53 J89 J92 J95 J98 J101 J119 J122 J125 J128 J131 J134 J137 J140 J143 J146 J149 J152 J155 J170 J173 J179 J182 J185 J188 J191 J200 J203 J212 J230 J233 J236 J239 J245 J248 J251 J254 J257 J260 J266 J269 J272 J275 J281 J290 J293 J299 J305 J308 J311 J314 J317 J320 J323 J326 J329 J335 J338 J341 J344 J347 J350 J353 J356 J359 J365 J368 J371 J374 J380 J383 J386 J389 J392 J395 J398 Q103:Q116 N103:N116 J103:J116 Q158 N158 J158 T161 Q161 M161:N161 J161 T164 Q164 M164:N164 J164 T167 Q167 M167:N167 J167 Q176 N176 J176 Q194 N194 J194 Q197 N197 J197 Q206 N206 J206 Q215 N215 J215 Q209 N209 J209 Q218 N218 J218 Q221 N221 J221 Q224 N224 J224 Q227 N227 J227 Q242 N242 J242 Q263 N263 J263 Q278 N278 J278 Q284 N284 J284 Q287 N287 J287 Q296 N296 J296 Q302 N302 J302 Q332 N332 J332 Q362 N362 J362 Q377 N377 J377">
    <cfRule type="cellIs" dxfId="167" priority="151" stopIfTrue="1" operator="equal">
      <formula>"Pass"</formula>
    </cfRule>
    <cfRule type="cellIs" dxfId="166" priority="152" stopIfTrue="1" operator="equal">
      <formula>"Fail"</formula>
    </cfRule>
  </conditionalFormatting>
  <conditionalFormatting sqref="J53">
    <cfRule type="cellIs" dxfId="165" priority="149" stopIfTrue="1" operator="equal">
      <formula>"Pass"</formula>
    </cfRule>
    <cfRule type="cellIs" dxfId="164" priority="150" stopIfTrue="1" operator="equal">
      <formula>"Fail"</formula>
    </cfRule>
  </conditionalFormatting>
  <conditionalFormatting sqref="Q121 N121 J121">
    <cfRule type="cellIs" dxfId="163" priority="147" stopIfTrue="1" operator="equal">
      <formula>"Pass"</formula>
    </cfRule>
    <cfRule type="cellIs" dxfId="162" priority="148" stopIfTrue="1" operator="equal">
      <formula>"Fail"</formula>
    </cfRule>
  </conditionalFormatting>
  <conditionalFormatting sqref="Q145 N145 J145">
    <cfRule type="cellIs" dxfId="161" priority="145" stopIfTrue="1" operator="equal">
      <formula>"Pass"</formula>
    </cfRule>
    <cfRule type="cellIs" dxfId="160" priority="146" stopIfTrue="1" operator="equal">
      <formula>"Fail"</formula>
    </cfRule>
  </conditionalFormatting>
  <conditionalFormatting sqref="Q157 N157 J157">
    <cfRule type="cellIs" dxfId="159" priority="143" stopIfTrue="1" operator="equal">
      <formula>"Pass"</formula>
    </cfRule>
    <cfRule type="cellIs" dxfId="158" priority="144" stopIfTrue="1" operator="equal">
      <formula>"Fail"</formula>
    </cfRule>
  </conditionalFormatting>
  <conditionalFormatting sqref="M160:M162">
    <cfRule type="cellIs" dxfId="157" priority="141" stopIfTrue="1" operator="equal">
      <formula>"Pass"</formula>
    </cfRule>
    <cfRule type="cellIs" dxfId="156" priority="142" stopIfTrue="1" operator="equal">
      <formula>"Fail"</formula>
    </cfRule>
  </conditionalFormatting>
  <conditionalFormatting sqref="AA160:AA162">
    <cfRule type="cellIs" dxfId="155" priority="139" stopIfTrue="1" operator="equal">
      <formula>"Fail"</formula>
    </cfRule>
    <cfRule type="cellIs" dxfId="154" priority="140" stopIfTrue="1" operator="equal">
      <formula>"Pass"</formula>
    </cfRule>
  </conditionalFormatting>
  <conditionalFormatting sqref="AA160">
    <cfRule type="cellIs" dxfId="153" priority="137" stopIfTrue="1" operator="equal">
      <formula>"Fail"</formula>
    </cfRule>
    <cfRule type="cellIs" dxfId="152" priority="138" stopIfTrue="1" operator="equal">
      <formula>"Pass"</formula>
    </cfRule>
  </conditionalFormatting>
  <conditionalFormatting sqref="T160 Q160 M160">
    <cfRule type="cellIs" dxfId="151" priority="135" stopIfTrue="1" operator="equal">
      <formula>"Pass"</formula>
    </cfRule>
    <cfRule type="cellIs" dxfId="150" priority="136" stopIfTrue="1" operator="equal">
      <formula>"Fail"</formula>
    </cfRule>
  </conditionalFormatting>
  <conditionalFormatting sqref="Q160 N160 J160">
    <cfRule type="cellIs" dxfId="149" priority="133" stopIfTrue="1" operator="equal">
      <formula>"Pass"</formula>
    </cfRule>
    <cfRule type="cellIs" dxfId="148" priority="134" stopIfTrue="1" operator="equal">
      <formula>"Fail"</formula>
    </cfRule>
  </conditionalFormatting>
  <conditionalFormatting sqref="Q160 N160 J160">
    <cfRule type="cellIs" dxfId="147" priority="131" stopIfTrue="1" operator="equal">
      <formula>"Pass"</formula>
    </cfRule>
    <cfRule type="cellIs" dxfId="146" priority="132" stopIfTrue="1" operator="equal">
      <formula>"Fail"</formula>
    </cfRule>
  </conditionalFormatting>
  <conditionalFormatting sqref="M163:M165">
    <cfRule type="cellIs" dxfId="145" priority="129" stopIfTrue="1" operator="equal">
      <formula>"Pass"</formula>
    </cfRule>
    <cfRule type="cellIs" dxfId="144" priority="130" stopIfTrue="1" operator="equal">
      <formula>"Fail"</formula>
    </cfRule>
  </conditionalFormatting>
  <conditionalFormatting sqref="T163 Q163 M163">
    <cfRule type="cellIs" dxfId="143" priority="127" stopIfTrue="1" operator="equal">
      <formula>"Pass"</formula>
    </cfRule>
    <cfRule type="cellIs" dxfId="142" priority="128" stopIfTrue="1" operator="equal">
      <formula>"Fail"</formula>
    </cfRule>
  </conditionalFormatting>
  <conditionalFormatting sqref="Q163 N163 J163">
    <cfRule type="cellIs" dxfId="141" priority="125" stopIfTrue="1" operator="equal">
      <formula>"Pass"</formula>
    </cfRule>
    <cfRule type="cellIs" dxfId="140" priority="126" stopIfTrue="1" operator="equal">
      <formula>"Fail"</formula>
    </cfRule>
  </conditionalFormatting>
  <conditionalFormatting sqref="Q163 N163 J163">
    <cfRule type="cellIs" dxfId="139" priority="123" stopIfTrue="1" operator="equal">
      <formula>"Pass"</formula>
    </cfRule>
    <cfRule type="cellIs" dxfId="138" priority="124" stopIfTrue="1" operator="equal">
      <formula>"Fail"</formula>
    </cfRule>
  </conditionalFormatting>
  <conditionalFormatting sqref="Q163 M163:N163 J163">
    <cfRule type="cellIs" dxfId="137" priority="121" stopIfTrue="1" operator="equal">
      <formula>"Pass"</formula>
    </cfRule>
    <cfRule type="cellIs" dxfId="136" priority="122" stopIfTrue="1" operator="equal">
      <formula>"Fail"</formula>
    </cfRule>
  </conditionalFormatting>
  <conditionalFormatting sqref="M163">
    <cfRule type="cellIs" dxfId="135" priority="119" stopIfTrue="1" operator="equal">
      <formula>"Pass"</formula>
    </cfRule>
    <cfRule type="cellIs" dxfId="134" priority="120" stopIfTrue="1" operator="equal">
      <formula>"Fail"</formula>
    </cfRule>
  </conditionalFormatting>
  <conditionalFormatting sqref="M163:M165">
    <cfRule type="cellIs" dxfId="133" priority="117" stopIfTrue="1" operator="equal">
      <formula>"Pass"</formula>
    </cfRule>
    <cfRule type="cellIs" dxfId="132" priority="118" stopIfTrue="1" operator="equal">
      <formula>"Fail"</formula>
    </cfRule>
  </conditionalFormatting>
  <conditionalFormatting sqref="T163 Q163 M163">
    <cfRule type="cellIs" dxfId="131" priority="115" stopIfTrue="1" operator="equal">
      <formula>"Pass"</formula>
    </cfRule>
    <cfRule type="cellIs" dxfId="130" priority="116" stopIfTrue="1" operator="equal">
      <formula>"Fail"</formula>
    </cfRule>
  </conditionalFormatting>
  <conditionalFormatting sqref="Q163 N163 J163">
    <cfRule type="cellIs" dxfId="129" priority="113" stopIfTrue="1" operator="equal">
      <formula>"Pass"</formula>
    </cfRule>
    <cfRule type="cellIs" dxfId="128" priority="114" stopIfTrue="1" operator="equal">
      <formula>"Fail"</formula>
    </cfRule>
  </conditionalFormatting>
  <conditionalFormatting sqref="Q163 N163 J163">
    <cfRule type="cellIs" dxfId="127" priority="111" stopIfTrue="1" operator="equal">
      <formula>"Pass"</formula>
    </cfRule>
    <cfRule type="cellIs" dxfId="126" priority="112" stopIfTrue="1" operator="equal">
      <formula>"Fail"</formula>
    </cfRule>
  </conditionalFormatting>
  <conditionalFormatting sqref="Q163 N163 J163">
    <cfRule type="cellIs" dxfId="125" priority="109" stopIfTrue="1" operator="equal">
      <formula>"Pass"</formula>
    </cfRule>
    <cfRule type="cellIs" dxfId="124" priority="110" stopIfTrue="1" operator="equal">
      <formula>"Fail"</formula>
    </cfRule>
  </conditionalFormatting>
  <conditionalFormatting sqref="Q163 M163:N163 J163">
    <cfRule type="cellIs" dxfId="123" priority="107" stopIfTrue="1" operator="equal">
      <formula>"Pass"</formula>
    </cfRule>
    <cfRule type="cellIs" dxfId="122" priority="108" stopIfTrue="1" operator="equal">
      <formula>"Fail"</formula>
    </cfRule>
  </conditionalFormatting>
  <conditionalFormatting sqref="M163">
    <cfRule type="cellIs" dxfId="121" priority="105" stopIfTrue="1" operator="equal">
      <formula>"Pass"</formula>
    </cfRule>
    <cfRule type="cellIs" dxfId="120" priority="106" stopIfTrue="1" operator="equal">
      <formula>"Fail"</formula>
    </cfRule>
  </conditionalFormatting>
  <conditionalFormatting sqref="M166:M168">
    <cfRule type="cellIs" dxfId="119" priority="103" stopIfTrue="1" operator="equal">
      <formula>"Pass"</formula>
    </cfRule>
    <cfRule type="cellIs" dxfId="118" priority="104" stopIfTrue="1" operator="equal">
      <formula>"Fail"</formula>
    </cfRule>
  </conditionalFormatting>
  <conditionalFormatting sqref="T166 Q166 M166">
    <cfRule type="cellIs" dxfId="117" priority="101" stopIfTrue="1" operator="equal">
      <formula>"Pass"</formula>
    </cfRule>
    <cfRule type="cellIs" dxfId="116" priority="102" stopIfTrue="1" operator="equal">
      <formula>"Fail"</formula>
    </cfRule>
  </conditionalFormatting>
  <conditionalFormatting sqref="Q166 N166 J166">
    <cfRule type="cellIs" dxfId="115" priority="99" stopIfTrue="1" operator="equal">
      <formula>"Pass"</formula>
    </cfRule>
    <cfRule type="cellIs" dxfId="114" priority="100" stopIfTrue="1" operator="equal">
      <formula>"Fail"</formula>
    </cfRule>
  </conditionalFormatting>
  <conditionalFormatting sqref="Q166 N166 J166">
    <cfRule type="cellIs" dxfId="113" priority="97" stopIfTrue="1" operator="equal">
      <formula>"Pass"</formula>
    </cfRule>
    <cfRule type="cellIs" dxfId="112" priority="98" stopIfTrue="1" operator="equal">
      <formula>"Fail"</formula>
    </cfRule>
  </conditionalFormatting>
  <conditionalFormatting sqref="Q166 M166:N166 J166">
    <cfRule type="cellIs" dxfId="111" priority="95" stopIfTrue="1" operator="equal">
      <formula>"Pass"</formula>
    </cfRule>
    <cfRule type="cellIs" dxfId="110" priority="96" stopIfTrue="1" operator="equal">
      <formula>"Fail"</formula>
    </cfRule>
  </conditionalFormatting>
  <conditionalFormatting sqref="M166">
    <cfRule type="cellIs" dxfId="109" priority="93" stopIfTrue="1" operator="equal">
      <formula>"Pass"</formula>
    </cfRule>
    <cfRule type="cellIs" dxfId="108" priority="94" stopIfTrue="1" operator="equal">
      <formula>"Fail"</formula>
    </cfRule>
  </conditionalFormatting>
  <conditionalFormatting sqref="M166:M168">
    <cfRule type="cellIs" dxfId="107" priority="91" stopIfTrue="1" operator="equal">
      <formula>"Pass"</formula>
    </cfRule>
    <cfRule type="cellIs" dxfId="106" priority="92" stopIfTrue="1" operator="equal">
      <formula>"Fail"</formula>
    </cfRule>
  </conditionalFormatting>
  <conditionalFormatting sqref="T166 Q166 M166">
    <cfRule type="cellIs" dxfId="105" priority="89" stopIfTrue="1" operator="equal">
      <formula>"Pass"</formula>
    </cfRule>
    <cfRule type="cellIs" dxfId="104" priority="90" stopIfTrue="1" operator="equal">
      <formula>"Fail"</formula>
    </cfRule>
  </conditionalFormatting>
  <conditionalFormatting sqref="Q166 N166 J166">
    <cfRule type="cellIs" dxfId="103" priority="87" stopIfTrue="1" operator="equal">
      <formula>"Pass"</formula>
    </cfRule>
    <cfRule type="cellIs" dxfId="102" priority="88" stopIfTrue="1" operator="equal">
      <formula>"Fail"</formula>
    </cfRule>
  </conditionalFormatting>
  <conditionalFormatting sqref="Q166 N166 J166">
    <cfRule type="cellIs" dxfId="101" priority="85" stopIfTrue="1" operator="equal">
      <formula>"Pass"</formula>
    </cfRule>
    <cfRule type="cellIs" dxfId="100" priority="86" stopIfTrue="1" operator="equal">
      <formula>"Fail"</formula>
    </cfRule>
  </conditionalFormatting>
  <conditionalFormatting sqref="Q166 N166 J166">
    <cfRule type="cellIs" dxfId="99" priority="83" stopIfTrue="1" operator="equal">
      <formula>"Pass"</formula>
    </cfRule>
    <cfRule type="cellIs" dxfId="98" priority="84" stopIfTrue="1" operator="equal">
      <formula>"Fail"</formula>
    </cfRule>
  </conditionalFormatting>
  <conditionalFormatting sqref="Q166 M166:N166 J166">
    <cfRule type="cellIs" dxfId="97" priority="81" stopIfTrue="1" operator="equal">
      <formula>"Pass"</formula>
    </cfRule>
    <cfRule type="cellIs" dxfId="96" priority="82" stopIfTrue="1" operator="equal">
      <formula>"Fail"</formula>
    </cfRule>
  </conditionalFormatting>
  <conditionalFormatting sqref="M166">
    <cfRule type="cellIs" dxfId="95" priority="79" stopIfTrue="1" operator="equal">
      <formula>"Pass"</formula>
    </cfRule>
    <cfRule type="cellIs" dxfId="94" priority="80" stopIfTrue="1" operator="equal">
      <formula>"Fail"</formula>
    </cfRule>
  </conditionalFormatting>
  <conditionalFormatting sqref="Q175 N175 J175">
    <cfRule type="cellIs" dxfId="93" priority="77" stopIfTrue="1" operator="equal">
      <formula>"Pass"</formula>
    </cfRule>
    <cfRule type="cellIs" dxfId="92" priority="78" stopIfTrue="1" operator="equal">
      <formula>"Fail"</formula>
    </cfRule>
  </conditionalFormatting>
  <conditionalFormatting sqref="Q196 N196 J196">
    <cfRule type="cellIs" dxfId="91" priority="75" stopIfTrue="1" operator="equal">
      <formula>"Pass"</formula>
    </cfRule>
    <cfRule type="cellIs" dxfId="90" priority="76" stopIfTrue="1" operator="equal">
      <formula>"Fail"</formula>
    </cfRule>
  </conditionalFormatting>
  <conditionalFormatting sqref="Q202 N202 J202">
    <cfRule type="cellIs" dxfId="89" priority="73" stopIfTrue="1" operator="equal">
      <formula>"Pass"</formula>
    </cfRule>
    <cfRule type="cellIs" dxfId="88" priority="74" stopIfTrue="1" operator="equal">
      <formula>"Fail"</formula>
    </cfRule>
  </conditionalFormatting>
  <conditionalFormatting sqref="Q205 N205 J205">
    <cfRule type="cellIs" dxfId="87" priority="71" stopIfTrue="1" operator="equal">
      <formula>"Pass"</formula>
    </cfRule>
    <cfRule type="cellIs" dxfId="86" priority="72" stopIfTrue="1" operator="equal">
      <formula>"Fail"</formula>
    </cfRule>
  </conditionalFormatting>
  <conditionalFormatting sqref="Q214 N214 J214">
    <cfRule type="cellIs" dxfId="85" priority="69" stopIfTrue="1" operator="equal">
      <formula>"Pass"</formula>
    </cfRule>
    <cfRule type="cellIs" dxfId="84" priority="70" stopIfTrue="1" operator="equal">
      <formula>"Fail"</formula>
    </cfRule>
  </conditionalFormatting>
  <conditionalFormatting sqref="Q208 N208 J208">
    <cfRule type="cellIs" dxfId="83" priority="67" stopIfTrue="1" operator="equal">
      <formula>"Pass"</formula>
    </cfRule>
    <cfRule type="cellIs" dxfId="82" priority="68" stopIfTrue="1" operator="equal">
      <formula>"Fail"</formula>
    </cfRule>
  </conditionalFormatting>
  <conditionalFormatting sqref="Q208 N208 J208">
    <cfRule type="cellIs" dxfId="81" priority="65" stopIfTrue="1" operator="equal">
      <formula>"Pass"</formula>
    </cfRule>
    <cfRule type="cellIs" dxfId="80" priority="66" stopIfTrue="1" operator="equal">
      <formula>"Fail"</formula>
    </cfRule>
  </conditionalFormatting>
  <conditionalFormatting sqref="Q214 N214 J214">
    <cfRule type="cellIs" dxfId="79" priority="63" stopIfTrue="1" operator="equal">
      <formula>"Pass"</formula>
    </cfRule>
    <cfRule type="cellIs" dxfId="78" priority="64" stopIfTrue="1" operator="equal">
      <formula>"Fail"</formula>
    </cfRule>
  </conditionalFormatting>
  <conditionalFormatting sqref="J217:Q217 K218:M218 O218:P218">
    <cfRule type="cellIs" dxfId="77" priority="61" stopIfTrue="1" operator="equal">
      <formula>"Pass"</formula>
    </cfRule>
    <cfRule type="cellIs" dxfId="76" priority="62" stopIfTrue="1" operator="equal">
      <formula>"Fail"</formula>
    </cfRule>
  </conditionalFormatting>
  <conditionalFormatting sqref="J217:Q217 K218:M218 O218:P218">
    <cfRule type="cellIs" dxfId="75" priority="59" stopIfTrue="1" operator="equal">
      <formula>"Pass"</formula>
    </cfRule>
    <cfRule type="cellIs" dxfId="74" priority="60" stopIfTrue="1" operator="equal">
      <formula>"Fail"</formula>
    </cfRule>
  </conditionalFormatting>
  <conditionalFormatting sqref="J220:Q220 K221:M221 O221:P221">
    <cfRule type="cellIs" dxfId="73" priority="57" stopIfTrue="1" operator="equal">
      <formula>"Pass"</formula>
    </cfRule>
    <cfRule type="cellIs" dxfId="72" priority="58" stopIfTrue="1" operator="equal">
      <formula>"Fail"</formula>
    </cfRule>
  </conditionalFormatting>
  <conditionalFormatting sqref="J220:Q220 K221:M221 O221:P221">
    <cfRule type="cellIs" dxfId="71" priority="55" stopIfTrue="1" operator="equal">
      <formula>"Pass"</formula>
    </cfRule>
    <cfRule type="cellIs" dxfId="70" priority="56" stopIfTrue="1" operator="equal">
      <formula>"Fail"</formula>
    </cfRule>
  </conditionalFormatting>
  <conditionalFormatting sqref="Q223 N223 J223">
    <cfRule type="cellIs" dxfId="69" priority="53" stopIfTrue="1" operator="equal">
      <formula>"Pass"</formula>
    </cfRule>
    <cfRule type="cellIs" dxfId="68" priority="54" stopIfTrue="1" operator="equal">
      <formula>"Fail"</formula>
    </cfRule>
  </conditionalFormatting>
  <conditionalFormatting sqref="Q223 N223 J223">
    <cfRule type="cellIs" dxfId="67" priority="51" stopIfTrue="1" operator="equal">
      <formula>"Pass"</formula>
    </cfRule>
    <cfRule type="cellIs" dxfId="66" priority="52" stopIfTrue="1" operator="equal">
      <formula>"Fail"</formula>
    </cfRule>
  </conditionalFormatting>
  <conditionalFormatting sqref="Q232 N232 J232">
    <cfRule type="cellIs" dxfId="65" priority="49" stopIfTrue="1" operator="equal">
      <formula>"Pass"</formula>
    </cfRule>
    <cfRule type="cellIs" dxfId="64" priority="50" stopIfTrue="1" operator="equal">
      <formula>"Fail"</formula>
    </cfRule>
  </conditionalFormatting>
  <conditionalFormatting sqref="Q233 N233 J233">
    <cfRule type="cellIs" dxfId="63" priority="47" stopIfTrue="1" operator="equal">
      <formula>"Pass"</formula>
    </cfRule>
    <cfRule type="cellIs" dxfId="62" priority="48" stopIfTrue="1" operator="equal">
      <formula>"Fail"</formula>
    </cfRule>
  </conditionalFormatting>
  <conditionalFormatting sqref="J400:J402">
    <cfRule type="cellIs" dxfId="61" priority="45" stopIfTrue="1" operator="equal">
      <formula>"Pass"</formula>
    </cfRule>
    <cfRule type="cellIs" dxfId="60" priority="46" stopIfTrue="1" operator="equal">
      <formula>"Fail"</formula>
    </cfRule>
  </conditionalFormatting>
  <conditionalFormatting sqref="W400:W402">
    <cfRule type="cellIs" dxfId="59" priority="43" stopIfTrue="1" operator="equal">
      <formula>"Fail"</formula>
    </cfRule>
    <cfRule type="cellIs" dxfId="58" priority="44" stopIfTrue="1" operator="equal">
      <formula>"Pass"</formula>
    </cfRule>
  </conditionalFormatting>
  <conditionalFormatting sqref="W400">
    <cfRule type="cellIs" dxfId="57" priority="41" stopIfTrue="1" operator="equal">
      <formula>"Fail"</formula>
    </cfRule>
    <cfRule type="cellIs" dxfId="56" priority="42" stopIfTrue="1" operator="equal">
      <formula>"Pass"</formula>
    </cfRule>
  </conditionalFormatting>
  <conditionalFormatting sqref="J400">
    <cfRule type="cellIs" dxfId="55" priority="39" stopIfTrue="1" operator="equal">
      <formula>"Pass"</formula>
    </cfRule>
    <cfRule type="cellIs" dxfId="54" priority="40" stopIfTrue="1" operator="equal">
      <formula>"Fail"</formula>
    </cfRule>
  </conditionalFormatting>
  <conditionalFormatting sqref="J401">
    <cfRule type="cellIs" dxfId="53" priority="37" stopIfTrue="1" operator="equal">
      <formula>"Pass"</formula>
    </cfRule>
    <cfRule type="cellIs" dxfId="52" priority="38" stopIfTrue="1" operator="equal">
      <formula>"Fail"</formula>
    </cfRule>
  </conditionalFormatting>
  <conditionalFormatting sqref="J403:J405">
    <cfRule type="cellIs" dxfId="51" priority="35" stopIfTrue="1" operator="equal">
      <formula>"Pass"</formula>
    </cfRule>
    <cfRule type="cellIs" dxfId="50" priority="36" stopIfTrue="1" operator="equal">
      <formula>"Fail"</formula>
    </cfRule>
  </conditionalFormatting>
  <conditionalFormatting sqref="W403:W405">
    <cfRule type="cellIs" dxfId="49" priority="33" stopIfTrue="1" operator="equal">
      <formula>"Fail"</formula>
    </cfRule>
    <cfRule type="cellIs" dxfId="48" priority="34" stopIfTrue="1" operator="equal">
      <formula>"Pass"</formula>
    </cfRule>
  </conditionalFormatting>
  <conditionalFormatting sqref="Q403:Q404 N403:N404">
    <cfRule type="cellIs" dxfId="47" priority="31" stopIfTrue="1" operator="equal">
      <formula>"Pass"</formula>
    </cfRule>
    <cfRule type="cellIs" dxfId="46" priority="32" stopIfTrue="1" operator="equal">
      <formula>"Fail"</formula>
    </cfRule>
  </conditionalFormatting>
  <conditionalFormatting sqref="W403">
    <cfRule type="cellIs" dxfId="45" priority="29" stopIfTrue="1" operator="equal">
      <formula>"Fail"</formula>
    </cfRule>
    <cfRule type="cellIs" dxfId="44" priority="30" stopIfTrue="1" operator="equal">
      <formula>"Pass"</formula>
    </cfRule>
  </conditionalFormatting>
  <conditionalFormatting sqref="Q403 N403 J403">
    <cfRule type="cellIs" dxfId="43" priority="27" stopIfTrue="1" operator="equal">
      <formula>"Pass"</formula>
    </cfRule>
    <cfRule type="cellIs" dxfId="42" priority="28" stopIfTrue="1" operator="equal">
      <formula>"Fail"</formula>
    </cfRule>
  </conditionalFormatting>
  <conditionalFormatting sqref="Q404 N404 J404">
    <cfRule type="cellIs" dxfId="41" priority="25" stopIfTrue="1" operator="equal">
      <formula>"Pass"</formula>
    </cfRule>
    <cfRule type="cellIs" dxfId="40" priority="26" stopIfTrue="1" operator="equal">
      <formula>"Fail"</formula>
    </cfRule>
  </conditionalFormatting>
  <conditionalFormatting sqref="J406:J408 K406:M407 O406:P407">
    <cfRule type="cellIs" dxfId="39" priority="23" stopIfTrue="1" operator="equal">
      <formula>"Pass"</formula>
    </cfRule>
    <cfRule type="cellIs" dxfId="38" priority="24" stopIfTrue="1" operator="equal">
      <formula>"Fail"</formula>
    </cfRule>
  </conditionalFormatting>
  <conditionalFormatting sqref="W406:W408">
    <cfRule type="cellIs" dxfId="37" priority="21" stopIfTrue="1" operator="equal">
      <formula>"Fail"</formula>
    </cfRule>
    <cfRule type="cellIs" dxfId="36" priority="22" stopIfTrue="1" operator="equal">
      <formula>"Pass"</formula>
    </cfRule>
  </conditionalFormatting>
  <conditionalFormatting sqref="Q406:Q407 N406:N407">
    <cfRule type="cellIs" dxfId="35" priority="19" stopIfTrue="1" operator="equal">
      <formula>"Pass"</formula>
    </cfRule>
    <cfRule type="cellIs" dxfId="34" priority="20" stopIfTrue="1" operator="equal">
      <formula>"Fail"</formula>
    </cfRule>
  </conditionalFormatting>
  <conditionalFormatting sqref="W406">
    <cfRule type="cellIs" dxfId="33" priority="17" stopIfTrue="1" operator="equal">
      <formula>"Fail"</formula>
    </cfRule>
    <cfRule type="cellIs" dxfId="32" priority="18" stopIfTrue="1" operator="equal">
      <formula>"Pass"</formula>
    </cfRule>
  </conditionalFormatting>
  <conditionalFormatting sqref="J406:Q406 K407:M407 O407:P407">
    <cfRule type="cellIs" dxfId="31" priority="15" stopIfTrue="1" operator="equal">
      <formula>"Pass"</formula>
    </cfRule>
    <cfRule type="cellIs" dxfId="30" priority="16" stopIfTrue="1" operator="equal">
      <formula>"Fail"</formula>
    </cfRule>
  </conditionalFormatting>
  <conditionalFormatting sqref="Q407 N407 J407">
    <cfRule type="cellIs" dxfId="29" priority="13" stopIfTrue="1" operator="equal">
      <formula>"Pass"</formula>
    </cfRule>
    <cfRule type="cellIs" dxfId="28" priority="14" stopIfTrue="1" operator="equal">
      <formula>"Fail"</formula>
    </cfRule>
  </conditionalFormatting>
  <conditionalFormatting sqref="J409:J411 K409:M410 O409:P410">
    <cfRule type="cellIs" dxfId="27" priority="11" stopIfTrue="1" operator="equal">
      <formula>"Pass"</formula>
    </cfRule>
    <cfRule type="cellIs" dxfId="26" priority="12" stopIfTrue="1" operator="equal">
      <formula>"Fail"</formula>
    </cfRule>
  </conditionalFormatting>
  <conditionalFormatting sqref="W409:W411">
    <cfRule type="cellIs" dxfId="25" priority="9" stopIfTrue="1" operator="equal">
      <formula>"Fail"</formula>
    </cfRule>
    <cfRule type="cellIs" dxfId="24" priority="10" stopIfTrue="1" operator="equal">
      <formula>"Pass"</formula>
    </cfRule>
  </conditionalFormatting>
  <conditionalFormatting sqref="Q409:Q410 N409:N410">
    <cfRule type="cellIs" dxfId="23" priority="7" stopIfTrue="1" operator="equal">
      <formula>"Pass"</formula>
    </cfRule>
    <cfRule type="cellIs" dxfId="22" priority="8" stopIfTrue="1" operator="equal">
      <formula>"Fail"</formula>
    </cfRule>
  </conditionalFormatting>
  <conditionalFormatting sqref="W409">
    <cfRule type="cellIs" dxfId="21" priority="5" stopIfTrue="1" operator="equal">
      <formula>"Fail"</formula>
    </cfRule>
    <cfRule type="cellIs" dxfId="20" priority="6" stopIfTrue="1" operator="equal">
      <formula>"Pass"</formula>
    </cfRule>
  </conditionalFormatting>
  <conditionalFormatting sqref="J409:Q409 K410:M410 O410:P410">
    <cfRule type="cellIs" dxfId="19" priority="3" stopIfTrue="1" operator="equal">
      <formula>"Pass"</formula>
    </cfRule>
    <cfRule type="cellIs" dxfId="18" priority="4" stopIfTrue="1" operator="equal">
      <formula>"Fail"</formula>
    </cfRule>
  </conditionalFormatting>
  <conditionalFormatting sqref="Q410 N410 J410">
    <cfRule type="cellIs" dxfId="17" priority="1" stopIfTrue="1" operator="equal">
      <formula>"Pass"</formula>
    </cfRule>
    <cfRule type="cellIs" dxfId="16"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H21" sqref="H21"/>
    </sheetView>
  </sheetViews>
  <sheetFormatPr defaultRowHeight="16.100000000000001" x14ac:dyDescent="0.35"/>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5</xdr:col>
                    <xdr:colOff>0</xdr:colOff>
                    <xdr:row>5</xdr:row>
                    <xdr:rowOff>84406</xdr:rowOff>
                  </from>
                  <to>
                    <xdr:col>7</xdr:col>
                    <xdr:colOff>126609</xdr:colOff>
                    <xdr:row>9</xdr:row>
                    <xdr:rowOff>14068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0"/>
  <sheetViews>
    <sheetView topLeftCell="M1" workbookViewId="0">
      <selection activeCell="S19" sqref="S19"/>
    </sheetView>
  </sheetViews>
  <sheetFormatPr defaultColWidth="8.7265625" defaultRowHeight="12.75" x14ac:dyDescent="0.25"/>
  <cols>
    <col min="1" max="16384" width="8.7265625" style="10"/>
  </cols>
  <sheetData>
    <row r="1" spans="1:23" ht="13.3" thickBot="1" x14ac:dyDescent="0.3">
      <c r="A1" s="10" t="s">
        <v>169</v>
      </c>
      <c r="B1" s="10" t="s">
        <v>185</v>
      </c>
      <c r="C1" s="10" t="s">
        <v>174</v>
      </c>
    </row>
    <row r="2" spans="1:23" ht="13.3" thickBot="1" x14ac:dyDescent="0.3">
      <c r="A2" s="115">
        <v>65.124325140466823</v>
      </c>
      <c r="B2" s="115">
        <v>473.05567169730455</v>
      </c>
      <c r="C2" s="115">
        <v>134.2175662041796</v>
      </c>
      <c r="D2" s="116">
        <v>3.6577805331680335</v>
      </c>
      <c r="E2" s="117">
        <v>10.861366195619416</v>
      </c>
      <c r="F2" s="117">
        <v>4.912789219425405</v>
      </c>
      <c r="G2" s="118">
        <v>331.81153846153842</v>
      </c>
      <c r="H2" s="118">
        <v>12.53719529177229</v>
      </c>
      <c r="I2" s="119"/>
      <c r="O2" s="10" t="s">
        <v>169</v>
      </c>
      <c r="P2" s="10" t="s">
        <v>250</v>
      </c>
      <c r="Q2" s="10" t="s">
        <v>251</v>
      </c>
      <c r="U2" s="10" t="s">
        <v>174</v>
      </c>
      <c r="V2" s="10" t="s">
        <v>250</v>
      </c>
      <c r="W2" s="10" t="s">
        <v>251</v>
      </c>
    </row>
    <row r="3" spans="1:23" ht="13.3" thickBot="1" x14ac:dyDescent="0.3">
      <c r="A3" s="115">
        <v>64.562804500753174</v>
      </c>
      <c r="B3" s="115">
        <v>502.11279069050846</v>
      </c>
      <c r="C3" s="115">
        <v>105.76040615989696</v>
      </c>
      <c r="D3" s="116">
        <v>3.7678642797094959</v>
      </c>
      <c r="E3" s="117">
        <v>11.340397232226804</v>
      </c>
      <c r="F3" s="117">
        <v>3.9426747005305178</v>
      </c>
      <c r="G3" s="118">
        <v>310.42461538461538</v>
      </c>
      <c r="H3" s="118">
        <v>12.692289672190032</v>
      </c>
      <c r="I3" s="119" t="s">
        <v>169</v>
      </c>
      <c r="J3" s="10">
        <v>2180</v>
      </c>
      <c r="K3" s="10">
        <v>31</v>
      </c>
      <c r="L3" s="10">
        <f t="shared" ref="L3:L10" si="0">3*K3</f>
        <v>93</v>
      </c>
      <c r="M3" s="120"/>
      <c r="O3" s="50">
        <v>2047.6299999999999</v>
      </c>
      <c r="P3" s="50">
        <v>2.4397783224039937</v>
      </c>
      <c r="Q3" s="120">
        <v>40.328790894360729</v>
      </c>
      <c r="U3" s="50">
        <v>3851.5244444444447</v>
      </c>
      <c r="V3" s="50">
        <v>5.2792406906484075</v>
      </c>
      <c r="W3" s="120">
        <v>140.58901478343296</v>
      </c>
    </row>
    <row r="4" spans="1:23" ht="13.3" thickBot="1" x14ac:dyDescent="0.3">
      <c r="A4" s="115">
        <v>64.604798002955761</v>
      </c>
      <c r="B4" s="115">
        <v>521.3694655184604</v>
      </c>
      <c r="C4" s="115">
        <v>100.64982585399875</v>
      </c>
      <c r="D4" s="116">
        <v>3.6558190235051384</v>
      </c>
      <c r="E4" s="117">
        <v>12.907756592576957</v>
      </c>
      <c r="F4" s="117">
        <v>4.003793847841</v>
      </c>
      <c r="G4" s="118">
        <v>334.57230769230767</v>
      </c>
      <c r="H4" s="118">
        <v>12.471148402456176</v>
      </c>
      <c r="I4" s="119" t="s">
        <v>185</v>
      </c>
      <c r="J4" s="10">
        <v>4217</v>
      </c>
      <c r="K4" s="10">
        <v>340</v>
      </c>
      <c r="L4" s="10">
        <f t="shared" si="0"/>
        <v>1020</v>
      </c>
      <c r="M4" s="120"/>
      <c r="O4" s="50">
        <v>2040.6866666666667</v>
      </c>
      <c r="P4" s="50">
        <v>1.9610451025595359</v>
      </c>
      <c r="Q4" s="120">
        <v>32.241562074427144</v>
      </c>
      <c r="U4" s="50">
        <v>3947.55111111111</v>
      </c>
      <c r="V4" s="50">
        <v>5.1230474926513754</v>
      </c>
      <c r="W4" s="120">
        <v>141.24001136760333</v>
      </c>
    </row>
    <row r="5" spans="1:23" ht="13.3" thickBot="1" x14ac:dyDescent="0.3">
      <c r="A5" s="115">
        <v>17.648089840017931</v>
      </c>
      <c r="B5" s="115">
        <v>248.17789939878878</v>
      </c>
      <c r="C5" s="115">
        <v>103.78706186761843</v>
      </c>
      <c r="D5" s="116">
        <v>1.4076712406521716</v>
      </c>
      <c r="E5" s="117">
        <v>8.3410305719173135</v>
      </c>
      <c r="F5" s="117">
        <v>3.9731289277766693</v>
      </c>
      <c r="G5" s="118">
        <v>334.14846153846156</v>
      </c>
      <c r="H5" s="118">
        <v>10.111568854549947</v>
      </c>
      <c r="I5" s="119" t="s">
        <v>174</v>
      </c>
      <c r="J5" s="121">
        <v>4130</v>
      </c>
      <c r="K5" s="10">
        <v>110</v>
      </c>
      <c r="L5" s="10">
        <f t="shared" si="0"/>
        <v>330</v>
      </c>
      <c r="M5" s="120"/>
      <c r="O5" s="50">
        <v>2028.9833333333331</v>
      </c>
      <c r="P5" s="50">
        <v>2.7306371983230502</v>
      </c>
      <c r="Q5" s="120">
        <v>36.246368783647235</v>
      </c>
      <c r="U5" s="50">
        <v>3874.5177777777781</v>
      </c>
      <c r="V5" s="50">
        <v>4.9772227002317067</v>
      </c>
      <c r="W5" s="120">
        <v>133.59998893877668</v>
      </c>
    </row>
    <row r="6" spans="1:23" ht="13.3" thickBot="1" x14ac:dyDescent="0.3">
      <c r="A6" s="115">
        <v>22.305283006503181</v>
      </c>
      <c r="B6" s="115">
        <v>234.82426977422764</v>
      </c>
      <c r="C6" s="115">
        <v>106.44290582280983</v>
      </c>
      <c r="D6" s="116">
        <v>1.5962855253521302</v>
      </c>
      <c r="E6" s="117">
        <v>6.5179512958420682</v>
      </c>
      <c r="F6" s="117">
        <v>4.2015771619461075</v>
      </c>
      <c r="G6" s="118">
        <v>337.64923076923066</v>
      </c>
      <c r="H6" s="118">
        <v>12.55352045670791</v>
      </c>
      <c r="I6" s="119" t="s">
        <v>169</v>
      </c>
      <c r="J6" s="121">
        <v>1.98</v>
      </c>
      <c r="K6" s="10">
        <v>1.1399999999999999</v>
      </c>
      <c r="L6" s="10">
        <f t="shared" si="0"/>
        <v>3.42</v>
      </c>
      <c r="M6" s="120"/>
      <c r="O6" s="50">
        <v>2059.8733333333339</v>
      </c>
      <c r="P6" s="50">
        <v>2.3256155070369875</v>
      </c>
      <c r="Q6" s="120">
        <v>36.249107230367173</v>
      </c>
      <c r="U6" s="50">
        <v>3885.6688888888893</v>
      </c>
      <c r="V6" s="50">
        <v>5.1641956126721711</v>
      </c>
      <c r="W6" s="120">
        <v>139.20245978828251</v>
      </c>
    </row>
    <row r="7" spans="1:23" ht="13.3" thickBot="1" x14ac:dyDescent="0.3">
      <c r="A7" s="115">
        <v>27.007573937692001</v>
      </c>
      <c r="B7" s="115">
        <v>218.32015115422166</v>
      </c>
      <c r="C7" s="115">
        <v>106.86136345751814</v>
      </c>
      <c r="D7" s="116">
        <v>1.9321156173482446</v>
      </c>
      <c r="E7" s="117">
        <v>7.6093750000001137</v>
      </c>
      <c r="F7" s="117">
        <v>3.9727043320124533</v>
      </c>
      <c r="G7" s="118">
        <v>335.56000000000006</v>
      </c>
      <c r="H7" s="118">
        <v>13.321654128696943</v>
      </c>
      <c r="I7" s="119" t="s">
        <v>185</v>
      </c>
      <c r="J7" s="121">
        <v>9.25</v>
      </c>
      <c r="K7" s="121">
        <v>2.35</v>
      </c>
      <c r="L7" s="10">
        <f t="shared" si="0"/>
        <v>7.0500000000000007</v>
      </c>
      <c r="M7" s="120"/>
      <c r="O7" s="50">
        <v>2004.613333333333</v>
      </c>
      <c r="P7" s="50">
        <v>4.3874704187868101</v>
      </c>
      <c r="Q7" s="120">
        <v>66.903328018874035</v>
      </c>
      <c r="U7" s="50">
        <v>3899.6911111111112</v>
      </c>
      <c r="V7" s="50">
        <v>3.5976087018704535</v>
      </c>
      <c r="W7" s="120">
        <v>95.920916963458993</v>
      </c>
    </row>
    <row r="8" spans="1:23" ht="13.3" thickBot="1" x14ac:dyDescent="0.3">
      <c r="A8" s="115">
        <v>32.152091300607289</v>
      </c>
      <c r="B8" s="115">
        <v>296.86626117663872</v>
      </c>
      <c r="C8" s="115">
        <v>107.87287286434031</v>
      </c>
      <c r="D8" s="116">
        <v>2.0566267896505286</v>
      </c>
      <c r="E8" s="116">
        <v>9.4671637085256108</v>
      </c>
      <c r="F8" s="117">
        <v>4.0159363330752331</v>
      </c>
      <c r="G8" s="118">
        <v>332.49000000000007</v>
      </c>
      <c r="H8" s="118">
        <v>10.765262756821716</v>
      </c>
      <c r="I8" s="119" t="s">
        <v>174</v>
      </c>
      <c r="J8" s="122">
        <v>4.2</v>
      </c>
      <c r="K8" s="123">
        <v>0.54</v>
      </c>
      <c r="L8" s="10">
        <f t="shared" si="0"/>
        <v>1.62</v>
      </c>
      <c r="M8" s="120"/>
      <c r="O8" s="50">
        <v>2060.8200000000002</v>
      </c>
      <c r="P8" s="50">
        <v>2.5543923265879087</v>
      </c>
      <c r="Q8" s="120">
        <v>36.478384010251936</v>
      </c>
      <c r="U8" s="50">
        <v>3922.9777777777781</v>
      </c>
      <c r="V8" s="50">
        <v>3.463566603774062</v>
      </c>
      <c r="W8" s="120">
        <v>88.50584130125462</v>
      </c>
    </row>
    <row r="9" spans="1:23" ht="13.3" thickBot="1" x14ac:dyDescent="0.3">
      <c r="A9" s="115">
        <v>12.517561663505051</v>
      </c>
      <c r="B9" s="115">
        <v>288.68597982929771</v>
      </c>
      <c r="C9" s="115">
        <v>102.75732598919716</v>
      </c>
      <c r="D9" s="116">
        <v>0.75786733472821222</v>
      </c>
      <c r="E9" s="117">
        <v>9.5578473654603631</v>
      </c>
      <c r="F9" s="117">
        <v>3.8125399528617279</v>
      </c>
      <c r="G9" s="118">
        <v>335.16615384615386</v>
      </c>
      <c r="H9" s="118">
        <v>11.239235148153547</v>
      </c>
      <c r="I9" s="121" t="s">
        <v>231</v>
      </c>
      <c r="J9" s="121">
        <v>336</v>
      </c>
      <c r="K9" s="121">
        <v>4.7</v>
      </c>
      <c r="L9" s="10">
        <f t="shared" si="0"/>
        <v>14.100000000000001</v>
      </c>
      <c r="M9" s="120"/>
      <c r="O9" s="69">
        <v>2071.1499999999996</v>
      </c>
      <c r="P9" s="69">
        <v>3.0471400163761837</v>
      </c>
      <c r="Q9" s="120">
        <v>42.909088198186332</v>
      </c>
      <c r="U9" s="56">
        <v>3924.0177777777781</v>
      </c>
      <c r="V9" s="56">
        <v>3.5583555880927813</v>
      </c>
      <c r="W9" s="120">
        <v>90.582037095876544</v>
      </c>
    </row>
    <row r="10" spans="1:23" ht="13.3" thickBot="1" x14ac:dyDescent="0.3">
      <c r="A10" s="115">
        <v>18.657092485168228</v>
      </c>
      <c r="B10" s="115">
        <v>291.40164631482935</v>
      </c>
      <c r="C10" s="115">
        <v>102.06850629740212</v>
      </c>
      <c r="D10" s="116">
        <v>1.3570496531831546</v>
      </c>
      <c r="E10" s="117">
        <v>8.8656295914812073</v>
      </c>
      <c r="F10" s="117">
        <v>3.8356445613228893</v>
      </c>
      <c r="G10" s="118">
        <v>332.61846153846153</v>
      </c>
      <c r="H10" s="118">
        <v>10.47635865966183</v>
      </c>
      <c r="I10" s="121" t="s">
        <v>252</v>
      </c>
      <c r="J10" s="121">
        <v>11</v>
      </c>
      <c r="K10" s="121">
        <v>1</v>
      </c>
      <c r="L10" s="10">
        <f t="shared" si="0"/>
        <v>3</v>
      </c>
      <c r="M10" s="120"/>
      <c r="O10" s="69">
        <v>2045.5599999999997</v>
      </c>
      <c r="P10" s="69">
        <v>3.0877978949866938</v>
      </c>
      <c r="Q10" s="120">
        <v>45.885627651826688</v>
      </c>
      <c r="U10" s="56">
        <v>3935.1111111111113</v>
      </c>
      <c r="V10" s="56">
        <v>2.9973325665638999</v>
      </c>
      <c r="W10" s="120">
        <v>79.59277675211581</v>
      </c>
    </row>
    <row r="11" spans="1:23" ht="13.3" thickBot="1" x14ac:dyDescent="0.3">
      <c r="A11" s="115">
        <v>25.448670397517247</v>
      </c>
      <c r="B11" s="115">
        <v>340.48985436427375</v>
      </c>
      <c r="C11" s="115">
        <v>101.85507111139847</v>
      </c>
      <c r="D11" s="116">
        <v>1.5039536926972903</v>
      </c>
      <c r="E11" s="117">
        <v>10.229383195385651</v>
      </c>
      <c r="F11" s="117">
        <v>3.7567476630045187</v>
      </c>
      <c r="G11" s="118">
        <v>334.51769230769236</v>
      </c>
      <c r="H11" s="118">
        <v>10.85627801385418</v>
      </c>
      <c r="I11" s="119"/>
      <c r="M11" s="120"/>
      <c r="O11" s="69">
        <v>2044.7266666666667</v>
      </c>
      <c r="P11" s="69">
        <v>1.8957763865620338</v>
      </c>
      <c r="Q11" s="120">
        <v>24.436091647395834</v>
      </c>
      <c r="U11" s="56">
        <v>3965.235555555555</v>
      </c>
      <c r="V11" s="56">
        <v>2.8072970888514992</v>
      </c>
      <c r="W11" s="120">
        <v>77.178004494650125</v>
      </c>
    </row>
    <row r="12" spans="1:23" ht="13.3" thickBot="1" x14ac:dyDescent="0.3">
      <c r="A12" s="115">
        <v>26.311306029917645</v>
      </c>
      <c r="B12" s="115">
        <v>297.09436144093905</v>
      </c>
      <c r="C12" s="115">
        <v>108.64676249202742</v>
      </c>
      <c r="D12" s="116">
        <v>1.602506342099054</v>
      </c>
      <c r="E12" s="117">
        <v>8.3374967155540443</v>
      </c>
      <c r="F12" s="117">
        <v>4.1760177966769216</v>
      </c>
      <c r="G12" s="118"/>
      <c r="H12" s="118"/>
      <c r="I12" s="119"/>
      <c r="M12" s="120"/>
      <c r="O12" s="69">
        <v>2054.7133333333336</v>
      </c>
      <c r="P12" s="69">
        <v>2.9861326480882422</v>
      </c>
      <c r="Q12" s="120">
        <v>42.08046785621427</v>
      </c>
      <c r="U12" s="56">
        <v>3967.1866666666665</v>
      </c>
      <c r="V12" s="56">
        <v>3.1776491665328752</v>
      </c>
      <c r="W12" s="120">
        <v>85.634675219780988</v>
      </c>
    </row>
    <row r="13" spans="1:23" ht="13.3" thickBot="1" x14ac:dyDescent="0.3">
      <c r="A13" s="115">
        <v>14.399644092858111</v>
      </c>
      <c r="B13" s="115">
        <v>290.89981810754517</v>
      </c>
      <c r="C13" s="115">
        <v>111.22863140598204</v>
      </c>
      <c r="D13" s="116">
        <v>1.0521783216540233</v>
      </c>
      <c r="E13" s="117">
        <v>8.8722106068428435</v>
      </c>
      <c r="F13" s="117">
        <v>4.2982854477840835</v>
      </c>
      <c r="G13" s="118">
        <v>341.65461538461545</v>
      </c>
      <c r="H13" s="118">
        <v>10.459835574830985</v>
      </c>
      <c r="I13" s="119"/>
      <c r="M13" s="120"/>
      <c r="O13" s="69">
        <v>2044.2533333333336</v>
      </c>
      <c r="P13" s="69">
        <v>3.1679335948135683</v>
      </c>
      <c r="Q13" s="120">
        <v>40.00389980988087</v>
      </c>
      <c r="U13" s="56">
        <v>3916.2222222222213</v>
      </c>
      <c r="V13" s="56">
        <v>3.1961985292789175</v>
      </c>
      <c r="W13" s="120">
        <v>84.877912583004047</v>
      </c>
    </row>
    <row r="14" spans="1:23" ht="13.3" thickBot="1" x14ac:dyDescent="0.3">
      <c r="A14" s="115">
        <v>24.530747033083692</v>
      </c>
      <c r="B14" s="115">
        <v>291.24542296832266</v>
      </c>
      <c r="C14" s="115">
        <v>104.49729730690068</v>
      </c>
      <c r="D14" s="116">
        <v>1.3983426532906011</v>
      </c>
      <c r="E14" s="117">
        <v>7.3774708178206083</v>
      </c>
      <c r="F14" s="117">
        <v>3.9261991531775395</v>
      </c>
      <c r="G14" s="118">
        <v>337.57230769230773</v>
      </c>
      <c r="H14" s="118">
        <v>9.9368145834846811</v>
      </c>
      <c r="I14" s="119"/>
      <c r="M14" s="120"/>
      <c r="O14" s="69">
        <v>2054.4366666666665</v>
      </c>
      <c r="P14" s="69">
        <v>2.1388307530755264</v>
      </c>
      <c r="Q14" s="120">
        <v>31.845189982157578</v>
      </c>
      <c r="U14" s="56">
        <v>3880.9977777777781</v>
      </c>
      <c r="V14" s="56">
        <v>3.2260749464835121</v>
      </c>
      <c r="W14" s="120">
        <v>82.787649709597886</v>
      </c>
    </row>
    <row r="15" spans="1:23" ht="13.3" thickBot="1" x14ac:dyDescent="0.3">
      <c r="A15" s="115">
        <v>30.183924943570815</v>
      </c>
      <c r="B15" s="115">
        <v>267.27688199692437</v>
      </c>
      <c r="C15" s="115">
        <v>98.297159561087327</v>
      </c>
      <c r="D15" s="116">
        <v>2.082137596725016</v>
      </c>
      <c r="E15" s="117">
        <v>8.6831890543352461</v>
      </c>
      <c r="F15" s="117">
        <v>3.7206413178514786</v>
      </c>
      <c r="G15" s="118">
        <v>335.16999999999996</v>
      </c>
      <c r="H15" s="118">
        <v>10.973325395327254</v>
      </c>
      <c r="I15" s="119"/>
      <c r="M15" s="120"/>
      <c r="O15" s="69"/>
      <c r="P15" s="69"/>
      <c r="Q15" s="120">
        <v>138.47375617784508</v>
      </c>
      <c r="U15" s="56">
        <v>3988.1622222222222</v>
      </c>
      <c r="V15" s="56">
        <v>3.3962742364719412</v>
      </c>
      <c r="W15" s="120">
        <v>88.395009160240718</v>
      </c>
    </row>
    <row r="16" spans="1:23" ht="13.3" thickBot="1" x14ac:dyDescent="0.3">
      <c r="A16" s="115">
        <v>42.643459639204295</v>
      </c>
      <c r="B16" s="115">
        <v>270.01239767832624</v>
      </c>
      <c r="C16" s="115">
        <v>102.93697899411961</v>
      </c>
      <c r="D16" s="116">
        <v>2.4113023833009941</v>
      </c>
      <c r="E16" s="117">
        <v>7.3928544116414683</v>
      </c>
      <c r="F16" s="117">
        <v>3.9346896386179693</v>
      </c>
      <c r="G16" s="118">
        <v>335.6307692307692</v>
      </c>
      <c r="H16" s="118">
        <v>11.312741872363826</v>
      </c>
      <c r="I16" s="119"/>
      <c r="M16" s="120"/>
      <c r="O16" s="69">
        <v>2140.1733333333341</v>
      </c>
      <c r="P16" s="69">
        <v>2.4920163438341132</v>
      </c>
      <c r="Q16" s="120">
        <v>39.538968436185883</v>
      </c>
      <c r="U16" s="56">
        <v>3951.6644444444441</v>
      </c>
      <c r="V16" s="56">
        <v>3.1976402386344334</v>
      </c>
      <c r="W16" s="120">
        <v>83.904864446492368</v>
      </c>
    </row>
    <row r="17" spans="1:23" ht="13.3" thickBot="1" x14ac:dyDescent="0.3">
      <c r="A17" s="115">
        <v>35.197224677494788</v>
      </c>
      <c r="B17" s="115">
        <v>356.09118042292744</v>
      </c>
      <c r="C17" s="115">
        <v>104.11226414040644</v>
      </c>
      <c r="D17" s="116">
        <v>2.0822026970398682</v>
      </c>
      <c r="E17" s="117">
        <v>10.784838467054882</v>
      </c>
      <c r="F17" s="117">
        <v>3.9871198533855829</v>
      </c>
      <c r="G17" s="118">
        <v>336.93769230769226</v>
      </c>
      <c r="H17" s="118">
        <v>9.7715938994780895</v>
      </c>
      <c r="I17" s="119"/>
      <c r="M17" s="120"/>
      <c r="O17" s="69">
        <v>2059.5233333333326</v>
      </c>
      <c r="P17" s="69">
        <v>3.2720092538699008</v>
      </c>
      <c r="Q17" s="120">
        <v>44.640410224389456</v>
      </c>
      <c r="U17" s="56">
        <v>3954.4000000000005</v>
      </c>
      <c r="V17" s="56">
        <v>3.1509935231140194</v>
      </c>
      <c r="W17" s="120">
        <v>87.898112607709294</v>
      </c>
    </row>
    <row r="18" spans="1:23" ht="13.3" thickBot="1" x14ac:dyDescent="0.3">
      <c r="A18" s="115">
        <v>24.019117385940675</v>
      </c>
      <c r="B18" s="115">
        <v>355.06606103653752</v>
      </c>
      <c r="C18" s="115">
        <v>101.51355645650712</v>
      </c>
      <c r="D18" s="116">
        <v>1.6727363363197141</v>
      </c>
      <c r="E18" s="117">
        <v>9.8100608853387232</v>
      </c>
      <c r="F18" s="117">
        <v>3.874190130702059</v>
      </c>
      <c r="G18" s="118">
        <v>336.1023076923077</v>
      </c>
      <c r="H18" s="118">
        <v>10.657774290571451</v>
      </c>
      <c r="I18" s="119"/>
      <c r="M18" s="120"/>
      <c r="O18" s="69">
        <v>2164.8033333333328</v>
      </c>
      <c r="P18" s="69">
        <v>1.5153198699963792</v>
      </c>
      <c r="Q18" s="120">
        <v>23.040763876280888</v>
      </c>
      <c r="U18" s="56">
        <v>3917.0911111111118</v>
      </c>
      <c r="V18" s="56">
        <v>3.0036165152476628</v>
      </c>
      <c r="W18" s="120">
        <v>82.911870749037334</v>
      </c>
    </row>
    <row r="19" spans="1:23" ht="13.3" thickBot="1" x14ac:dyDescent="0.3">
      <c r="A19" s="115">
        <v>22.352184456981504</v>
      </c>
      <c r="B19" s="115">
        <v>327.63232456520421</v>
      </c>
      <c r="C19" s="115">
        <v>102.93436117797455</v>
      </c>
      <c r="D19" s="116">
        <v>1.6228641059015689</v>
      </c>
      <c r="E19" s="117">
        <v>9.6825951194547102</v>
      </c>
      <c r="F19" s="117">
        <v>3.8595871595636058</v>
      </c>
      <c r="G19" s="118">
        <v>334.81538461538463</v>
      </c>
      <c r="H19" s="118">
        <v>10.678962066558141</v>
      </c>
      <c r="I19" s="119"/>
      <c r="M19" s="120"/>
      <c r="O19" s="69">
        <v>2046.7799999999997</v>
      </c>
      <c r="P19" s="69">
        <v>2.7404217732140896</v>
      </c>
      <c r="Q19" s="120">
        <v>43.927865586679133</v>
      </c>
      <c r="U19" s="56">
        <v>3953.8844444444444</v>
      </c>
      <c r="V19" s="56">
        <v>3.4413995689622263</v>
      </c>
      <c r="W19" s="120">
        <v>90.811766185773052</v>
      </c>
    </row>
    <row r="20" spans="1:23" ht="13.3" thickBot="1" x14ac:dyDescent="0.3">
      <c r="A20" s="124">
        <v>30.063995908740431</v>
      </c>
      <c r="B20" s="115">
        <v>384.06966012040238</v>
      </c>
      <c r="C20" s="124">
        <v>104.36015720141401</v>
      </c>
      <c r="D20" s="116">
        <v>2.0110399156750156</v>
      </c>
      <c r="E20" s="116">
        <v>11.156042175679753</v>
      </c>
      <c r="F20" s="117">
        <v>4.0500171964820835</v>
      </c>
      <c r="G20" s="118">
        <v>336.42846153846153</v>
      </c>
      <c r="H20" s="118">
        <v>10.832257409368456</v>
      </c>
      <c r="I20" s="119"/>
      <c r="M20" s="120"/>
      <c r="O20" s="69">
        <v>2048.6566666666672</v>
      </c>
      <c r="P20" s="69">
        <v>3.11592113725575</v>
      </c>
      <c r="Q20" s="120">
        <v>45.486933288568189</v>
      </c>
      <c r="U20" s="56">
        <v>3968.9244444444444</v>
      </c>
      <c r="V20" s="56">
        <v>3.9869475237178</v>
      </c>
      <c r="W20" s="120">
        <v>101.97547537412608</v>
      </c>
    </row>
    <row r="21" spans="1:23" ht="13.3" thickBot="1" x14ac:dyDescent="0.3">
      <c r="A21" s="124">
        <v>25.385064998934123</v>
      </c>
      <c r="B21" s="115">
        <v>339.99601074864808</v>
      </c>
      <c r="C21" s="124">
        <v>105.72146234326225</v>
      </c>
      <c r="D21" s="116">
        <v>1.54415962349797</v>
      </c>
      <c r="E21" s="116" t="s">
        <v>253</v>
      </c>
      <c r="F21" s="117">
        <v>4.1176499676106548</v>
      </c>
      <c r="G21" s="118">
        <v>334.76923076923072</v>
      </c>
      <c r="H21" s="118">
        <v>10.92050939117286</v>
      </c>
      <c r="I21" s="119"/>
      <c r="M21" s="120"/>
      <c r="O21" s="69">
        <v>2063.41</v>
      </c>
      <c r="P21" s="69">
        <v>3.1801860676863503</v>
      </c>
      <c r="Q21" s="120">
        <v>44.626194941999813</v>
      </c>
      <c r="U21" s="56">
        <v>3869.6244444444446</v>
      </c>
      <c r="V21" s="56">
        <v>3.8032070314649697</v>
      </c>
      <c r="W21" s="120">
        <v>97.870439243811632</v>
      </c>
    </row>
    <row r="22" spans="1:23" ht="13.3" thickBot="1" x14ac:dyDescent="0.3">
      <c r="A22" s="124">
        <v>25.570723005002169</v>
      </c>
      <c r="B22" s="124">
        <v>344.77890480713012</v>
      </c>
      <c r="C22" s="124">
        <v>101.84933927674557</v>
      </c>
      <c r="D22" s="116">
        <v>1.6310000970833376</v>
      </c>
      <c r="E22" s="117">
        <v>10.150425477318182</v>
      </c>
      <c r="F22" s="117">
        <v>3.9315816793138496</v>
      </c>
      <c r="G22" s="118">
        <v>335.43307692307684</v>
      </c>
      <c r="H22" s="118">
        <v>11.57215441219409</v>
      </c>
      <c r="I22" s="119"/>
      <c r="M22" s="120"/>
      <c r="O22" s="69">
        <v>2037.2699999999995</v>
      </c>
      <c r="P22" s="69">
        <v>2.6288430120303055</v>
      </c>
      <c r="Q22" s="120">
        <v>40.111755758141065</v>
      </c>
      <c r="U22" s="56">
        <v>3920.815555555555</v>
      </c>
      <c r="V22" s="56">
        <v>2.5120673718804536</v>
      </c>
      <c r="W22" s="120">
        <v>75.042685038478197</v>
      </c>
    </row>
    <row r="23" spans="1:23" ht="13.3" thickBot="1" x14ac:dyDescent="0.3">
      <c r="A23" s="124">
        <v>43.414681272581007</v>
      </c>
      <c r="B23" s="124">
        <v>379.65336772507806</v>
      </c>
      <c r="C23" s="124">
        <v>95.866843996131252</v>
      </c>
      <c r="D23" s="116">
        <v>2.8576148001321533</v>
      </c>
      <c r="E23" s="117">
        <v>9.4140023045633647</v>
      </c>
      <c r="F23" s="117">
        <v>3.5251487633777354</v>
      </c>
      <c r="G23" s="118">
        <v>336.02538461538467</v>
      </c>
      <c r="H23" s="118">
        <v>10.456562354040145</v>
      </c>
      <c r="I23" s="119"/>
      <c r="M23" s="120"/>
      <c r="O23" s="69">
        <v>2053.8666666666668</v>
      </c>
      <c r="P23" s="69">
        <v>2.3034632798259538</v>
      </c>
      <c r="Q23" s="120">
        <v>35.908354529257942</v>
      </c>
      <c r="U23" s="56">
        <v>3944.3088888888888</v>
      </c>
      <c r="V23" s="56">
        <v>3.1482468184519448</v>
      </c>
      <c r="W23" s="120">
        <v>85.209581686037936</v>
      </c>
    </row>
    <row r="24" spans="1:23" ht="13.3" thickBot="1" x14ac:dyDescent="0.3">
      <c r="A24" s="124">
        <v>35.039591535815987</v>
      </c>
      <c r="B24" s="124">
        <v>415.4205872967745</v>
      </c>
      <c r="C24" s="124">
        <v>96.501024749904261</v>
      </c>
      <c r="D24" s="116">
        <v>2.4783164492584366</v>
      </c>
      <c r="E24" s="117">
        <v>9.7366409514732943</v>
      </c>
      <c r="F24" s="117">
        <v>3.5499982911574524</v>
      </c>
      <c r="G24" s="118">
        <v>339.28923076923081</v>
      </c>
      <c r="H24" s="118">
        <v>11.11813013265945</v>
      </c>
      <c r="I24" s="119"/>
      <c r="M24" s="120"/>
      <c r="O24" s="69">
        <v>2041.9366666666663</v>
      </c>
      <c r="P24" s="69">
        <v>2.552796644768593</v>
      </c>
      <c r="Q24" s="120">
        <v>37.764742816552022</v>
      </c>
      <c r="U24" s="56">
        <v>3960.3511111111115</v>
      </c>
      <c r="V24" s="56">
        <v>3.8274929857002946</v>
      </c>
      <c r="W24" s="120">
        <v>99.947547299123073</v>
      </c>
    </row>
    <row r="25" spans="1:23" ht="13.3" thickBot="1" x14ac:dyDescent="0.3">
      <c r="A25" s="124">
        <v>27.194886008196804</v>
      </c>
      <c r="B25" s="124">
        <v>386.62913774053709</v>
      </c>
      <c r="C25" s="124">
        <v>102.22933825473098</v>
      </c>
      <c r="D25" s="116">
        <v>1.7002187577880818</v>
      </c>
      <c r="E25" s="117">
        <v>10.741442732937587</v>
      </c>
      <c r="F25" s="117">
        <v>3.8066480030318122</v>
      </c>
      <c r="G25" s="118">
        <v>347.54076923076923</v>
      </c>
      <c r="H25" s="118">
        <v>11.502041159883813</v>
      </c>
      <c r="I25" s="119"/>
      <c r="M25" s="120"/>
      <c r="O25" s="69">
        <v>2053.0633333333335</v>
      </c>
      <c r="P25" s="69">
        <v>3.8363133421831264</v>
      </c>
      <c r="Q25" s="120">
        <v>58.121829806001877</v>
      </c>
      <c r="U25" s="56">
        <v>3895.7488888888888</v>
      </c>
      <c r="V25" s="56">
        <v>3.5733788218407265</v>
      </c>
      <c r="W25" s="120">
        <v>90.483122244494638</v>
      </c>
    </row>
    <row r="26" spans="1:23" ht="13.3" thickBot="1" x14ac:dyDescent="0.3">
      <c r="A26" s="124">
        <v>23.908030554590585</v>
      </c>
      <c r="B26" s="124">
        <v>352.53345958220513</v>
      </c>
      <c r="C26" s="124">
        <v>118.43576191338309</v>
      </c>
      <c r="D26" s="116">
        <v>1.736575676905898</v>
      </c>
      <c r="E26" s="117">
        <v>9.220171275345578</v>
      </c>
      <c r="F26" s="117">
        <v>4.4999208892053417</v>
      </c>
      <c r="G26" s="118">
        <v>337.74230769230769</v>
      </c>
      <c r="H26" s="118">
        <v>10.772210818468293</v>
      </c>
      <c r="I26" s="119"/>
      <c r="M26" s="120"/>
      <c r="O26" s="69">
        <v>2042.5833333333333</v>
      </c>
      <c r="P26" s="69">
        <v>3.4445116464323209</v>
      </c>
      <c r="Q26" s="120">
        <v>50.785304961174951</v>
      </c>
      <c r="U26" s="56">
        <v>3954.7866666666669</v>
      </c>
      <c r="V26" s="56">
        <v>3.6041620771449336</v>
      </c>
      <c r="W26" s="120">
        <v>96.48851019677447</v>
      </c>
    </row>
    <row r="27" spans="1:23" ht="13.3" thickBot="1" x14ac:dyDescent="0.3">
      <c r="A27" s="124">
        <v>22.787432940126319</v>
      </c>
      <c r="B27" s="124">
        <v>368.62381986925112</v>
      </c>
      <c r="C27" s="124">
        <v>118.87658478905364</v>
      </c>
      <c r="D27" s="116">
        <v>1.5705791553897415</v>
      </c>
      <c r="E27" s="117">
        <v>9.4492722026728284</v>
      </c>
      <c r="F27" s="117">
        <v>4.3731734581856765</v>
      </c>
      <c r="G27" s="118">
        <v>337.70538461538456</v>
      </c>
      <c r="H27" s="118">
        <v>11.641002068489934</v>
      </c>
      <c r="I27" s="119"/>
      <c r="M27" s="120"/>
      <c r="O27" s="69">
        <v>2068.9433333333341</v>
      </c>
      <c r="P27" s="69">
        <v>3.1484652878408634</v>
      </c>
      <c r="Q27" s="120">
        <v>48.1100319579866</v>
      </c>
      <c r="U27" s="56">
        <v>3944.8333333333339</v>
      </c>
      <c r="V27" s="56">
        <v>2.2530708653400726</v>
      </c>
      <c r="W27" s="120">
        <v>64.388099832123117</v>
      </c>
    </row>
    <row r="28" spans="1:23" ht="13.3" thickBot="1" x14ac:dyDescent="0.3">
      <c r="A28" s="124">
        <v>41.549285192398216</v>
      </c>
      <c r="B28" s="124">
        <v>346.20018504473614</v>
      </c>
      <c r="C28" s="124">
        <v>126.89690097782081</v>
      </c>
      <c r="D28" s="116">
        <v>2.5563928613935154</v>
      </c>
      <c r="E28" s="117">
        <v>10.798642939530984</v>
      </c>
      <c r="F28" s="117">
        <v>4.838342469283428</v>
      </c>
      <c r="G28" s="118">
        <v>335.65000000000003</v>
      </c>
      <c r="H28" s="118">
        <v>10.874423194126022</v>
      </c>
      <c r="I28" s="119"/>
      <c r="M28" s="120"/>
      <c r="O28" s="69">
        <v>2085.2366666666667</v>
      </c>
      <c r="P28" s="69">
        <v>1.6351565882522623</v>
      </c>
      <c r="Q28" s="120">
        <v>20.305603906329274</v>
      </c>
      <c r="U28" s="56">
        <v>3903.2488888888888</v>
      </c>
      <c r="V28" s="56">
        <v>3.4454953127113686</v>
      </c>
      <c r="W28" s="120">
        <v>86.466291762231151</v>
      </c>
    </row>
    <row r="29" spans="1:23" ht="13.3" thickBot="1" x14ac:dyDescent="0.3">
      <c r="A29" s="124">
        <v>26.221024484192419</v>
      </c>
      <c r="B29" s="124">
        <v>331.0095434047193</v>
      </c>
      <c r="C29" s="124">
        <v>119.42590831879222</v>
      </c>
      <c r="D29" s="116">
        <v>1.7414735333236946</v>
      </c>
      <c r="E29" s="117">
        <v>9.1405817174515196</v>
      </c>
      <c r="F29" s="117">
        <v>4.3985608565813168</v>
      </c>
      <c r="G29" s="118">
        <v>337.29076923076923</v>
      </c>
      <c r="H29" s="118">
        <v>13.552022657265091</v>
      </c>
      <c r="I29" s="119"/>
      <c r="M29" s="120"/>
      <c r="O29" s="69">
        <v>2095.6566666666663</v>
      </c>
      <c r="P29" s="69">
        <v>1.3158367012914352</v>
      </c>
      <c r="Q29" s="120">
        <v>16.415351808641393</v>
      </c>
      <c r="U29" s="56">
        <v>3955.7644444444441</v>
      </c>
      <c r="V29" s="56">
        <v>3.6695788679864649</v>
      </c>
      <c r="W29" s="120">
        <v>91.969765563363254</v>
      </c>
    </row>
    <row r="30" spans="1:23" ht="13.3" thickBot="1" x14ac:dyDescent="0.3">
      <c r="A30" s="124">
        <v>39.135786053174257</v>
      </c>
      <c r="B30" s="124">
        <v>361.49488319338531</v>
      </c>
      <c r="C30" s="124">
        <v>106.47251638074819</v>
      </c>
      <c r="D30" s="116">
        <v>2.3227700543994438</v>
      </c>
      <c r="E30" s="117">
        <v>8.3239471150259003</v>
      </c>
      <c r="F30" s="117">
        <v>3.702305699418349</v>
      </c>
      <c r="G30" s="118">
        <v>337.83692307692303</v>
      </c>
      <c r="H30" s="118">
        <v>11.06368251038306</v>
      </c>
      <c r="I30" s="119"/>
      <c r="M30" s="120"/>
      <c r="O30" s="69">
        <v>2044.5233333333335</v>
      </c>
      <c r="P30" s="69">
        <v>3.5310839021068152</v>
      </c>
      <c r="Q30" s="120">
        <v>50.332364836158376</v>
      </c>
      <c r="U30" s="56">
        <v>3651.8666666666663</v>
      </c>
      <c r="V30" s="56">
        <v>4.045148011911035</v>
      </c>
      <c r="W30" s="120">
        <v>90.549827167163059</v>
      </c>
    </row>
    <row r="31" spans="1:23" ht="13.3" thickBot="1" x14ac:dyDescent="0.3">
      <c r="A31" s="124">
        <v>52.276766828101955</v>
      </c>
      <c r="B31" s="124">
        <v>337.48845550627163</v>
      </c>
      <c r="C31" s="124">
        <v>78.579452785085579</v>
      </c>
      <c r="D31" s="116">
        <v>2.8422824312524564</v>
      </c>
      <c r="E31" s="117">
        <v>9.8264110536828397</v>
      </c>
      <c r="F31" s="117">
        <v>3.0217176940282435</v>
      </c>
      <c r="G31" s="118">
        <v>334.56076923076932</v>
      </c>
      <c r="H31" s="118">
        <v>11.111758112180206</v>
      </c>
      <c r="I31" s="119"/>
      <c r="M31" s="120"/>
      <c r="O31" s="69">
        <v>2079.3233333333328</v>
      </c>
      <c r="P31" s="69">
        <v>3.4763399604697232</v>
      </c>
      <c r="Q31" s="120">
        <v>49.159356942515878</v>
      </c>
      <c r="U31" s="56">
        <v>3852.5533333333328</v>
      </c>
      <c r="V31" s="56">
        <v>4.0894959912594215</v>
      </c>
      <c r="W31" s="120">
        <v>100.22380854867365</v>
      </c>
    </row>
    <row r="32" spans="1:23" ht="13.3" thickBot="1" x14ac:dyDescent="0.3">
      <c r="A32" s="124">
        <v>39.456409491980359</v>
      </c>
      <c r="B32" s="124">
        <v>330.38507684216938</v>
      </c>
      <c r="C32" s="124">
        <v>119.27526613305903</v>
      </c>
      <c r="D32" s="116">
        <v>2.5425118923943648</v>
      </c>
      <c r="E32" s="117">
        <v>8.6591748768472954</v>
      </c>
      <c r="F32" s="117">
        <v>5.0775387097005122</v>
      </c>
      <c r="G32" s="118">
        <v>337.59999999999997</v>
      </c>
      <c r="H32" s="118">
        <v>11.36824251484091</v>
      </c>
      <c r="I32" s="119"/>
      <c r="M32" s="120"/>
      <c r="O32" s="69">
        <v>2055.8966666666665</v>
      </c>
      <c r="P32" s="69">
        <v>3.5544919322870245</v>
      </c>
      <c r="Q32" s="120">
        <v>45.758798607495258</v>
      </c>
      <c r="U32" s="56">
        <v>3793.3422222222216</v>
      </c>
      <c r="V32" s="56">
        <v>6.6890091623988734</v>
      </c>
      <c r="W32" s="120">
        <v>183.93572693862791</v>
      </c>
    </row>
    <row r="33" spans="1:24" ht="13.3" thickBot="1" x14ac:dyDescent="0.3">
      <c r="A33" s="124">
        <v>42.208569923675135</v>
      </c>
      <c r="B33" s="124">
        <v>361.83399636435058</v>
      </c>
      <c r="C33" s="124">
        <v>78.693957060124603</v>
      </c>
      <c r="D33" s="116">
        <v>2.5053960274309435</v>
      </c>
      <c r="E33" s="117">
        <v>8.1283230019649881</v>
      </c>
      <c r="F33" s="117">
        <v>3.0982425346441125</v>
      </c>
      <c r="G33" s="118"/>
      <c r="H33" s="118"/>
      <c r="I33" s="119"/>
      <c r="M33" s="120"/>
      <c r="O33" s="69">
        <v>2061.23</v>
      </c>
      <c r="P33" s="69">
        <v>4.5547841164222644</v>
      </c>
      <c r="Q33" s="120">
        <v>64.160053576985305</v>
      </c>
      <c r="U33" s="56">
        <v>3960.9755555555553</v>
      </c>
      <c r="V33" s="56">
        <v>3.9626776140185136</v>
      </c>
      <c r="W33" s="120">
        <v>104.95246913617879</v>
      </c>
    </row>
    <row r="34" spans="1:24" ht="13.3" thickBot="1" x14ac:dyDescent="0.3">
      <c r="A34" s="124">
        <v>40.210826278517047</v>
      </c>
      <c r="B34" s="124">
        <v>331.9446844731703</v>
      </c>
      <c r="C34" s="124">
        <v>82.226278713692551</v>
      </c>
      <c r="D34" s="116">
        <v>2.2734301487764395</v>
      </c>
      <c r="E34" s="117">
        <v>10.074783458201788</v>
      </c>
      <c r="F34" s="117">
        <v>2.9948803153902768</v>
      </c>
      <c r="G34" s="118">
        <v>334.11769230769227</v>
      </c>
      <c r="H34" s="118">
        <v>10.206472397129895</v>
      </c>
      <c r="I34" s="119"/>
      <c r="M34" s="120"/>
      <c r="O34" s="69">
        <v>2154.66</v>
      </c>
      <c r="P34" s="69">
        <v>1.9854775699040463</v>
      </c>
      <c r="Q34" s="120">
        <v>33.245895235364046</v>
      </c>
      <c r="U34" s="69"/>
      <c r="V34" s="69"/>
      <c r="W34" s="120"/>
    </row>
    <row r="35" spans="1:24" ht="13.3" thickBot="1" x14ac:dyDescent="0.3">
      <c r="A35" s="124">
        <v>23.364814893325438</v>
      </c>
      <c r="B35" s="124">
        <v>337.00510875207516</v>
      </c>
      <c r="C35" s="124">
        <v>119.56837044599634</v>
      </c>
      <c r="D35" s="116">
        <v>1.5570731168391785</v>
      </c>
      <c r="E35" s="117">
        <v>10.272176476497577</v>
      </c>
      <c r="F35" s="117">
        <v>4.4741130249622731</v>
      </c>
      <c r="G35" s="118">
        <v>330.86076923076922</v>
      </c>
      <c r="H35" s="118">
        <v>11.798828067489193</v>
      </c>
      <c r="I35" s="119"/>
      <c r="N35" s="125" t="s">
        <v>254</v>
      </c>
      <c r="O35" s="126">
        <f>AVERAGE(O3:O34)</f>
        <v>2063.0639784946238</v>
      </c>
      <c r="P35" s="126">
        <f>AVERAGE(P3:P34)</f>
        <v>2.8066447935248982</v>
      </c>
      <c r="Q35" s="126">
        <f>AVERAGE(Q3:Q34)</f>
        <v>43.922570107254437</v>
      </c>
      <c r="R35" s="125">
        <f>3*O36</f>
        <v>103.45612343466694</v>
      </c>
      <c r="T35" s="125" t="s">
        <v>254</v>
      </c>
      <c r="U35" s="126">
        <f>AVERAGE(U3:U34)</f>
        <v>3913.3241577060935</v>
      </c>
      <c r="V35" s="126">
        <f>AVERAGE(V3:V34)</f>
        <v>3.7215384589002838</v>
      </c>
      <c r="W35" s="126">
        <f>AVERAGE(W3:W34)</f>
        <v>98.165685876719166</v>
      </c>
      <c r="X35" s="125">
        <f>3*U36</f>
        <v>195.2443721329908</v>
      </c>
    </row>
    <row r="36" spans="1:24" ht="13.3" thickBot="1" x14ac:dyDescent="0.3">
      <c r="A36" s="124">
        <v>25.834464383801262</v>
      </c>
      <c r="B36" s="124">
        <v>351.4027167296656</v>
      </c>
      <c r="C36" s="124">
        <v>123.0362396929352</v>
      </c>
      <c r="D36" s="116">
        <v>1.7832802469048614</v>
      </c>
      <c r="E36" s="117">
        <v>9.8102686653631235</v>
      </c>
      <c r="F36" s="117">
        <v>4.7399331984057209</v>
      </c>
      <c r="G36" s="118">
        <v>342.64923076923083</v>
      </c>
      <c r="H36" s="118">
        <v>8.8852377975195385</v>
      </c>
      <c r="I36" s="119"/>
      <c r="N36" s="125" t="s">
        <v>180</v>
      </c>
      <c r="O36" s="125">
        <f>STDEV(O3:O34)</f>
        <v>34.485374478222312</v>
      </c>
      <c r="P36" s="125">
        <f>STDEV(P3:P34)</f>
        <v>0.77970776303227962</v>
      </c>
      <c r="Q36" s="126"/>
      <c r="R36" s="125">
        <f>3*P36</f>
        <v>2.3391232890968388</v>
      </c>
      <c r="T36" s="125" t="s">
        <v>180</v>
      </c>
      <c r="U36" s="125">
        <f>STDEV(U3:U34)</f>
        <v>65.081457377663597</v>
      </c>
      <c r="V36" s="125">
        <f>STDEV(V3:V34)</f>
        <v>0.91085064455388076</v>
      </c>
      <c r="W36" s="126"/>
      <c r="X36" s="125">
        <f>3*V36</f>
        <v>2.7325519336616422</v>
      </c>
    </row>
    <row r="37" spans="1:24" ht="13.3" thickBot="1" x14ac:dyDescent="0.3">
      <c r="A37" s="124">
        <v>13.996303083340621</v>
      </c>
      <c r="B37" s="124">
        <v>354.44465710460321</v>
      </c>
      <c r="C37" s="124">
        <v>121.00844020149344</v>
      </c>
      <c r="D37" s="116">
        <v>1.0152884769281083</v>
      </c>
      <c r="E37" s="117">
        <v>10.178023412439304</v>
      </c>
      <c r="F37" s="117">
        <v>4.4814175126430467</v>
      </c>
      <c r="G37" s="118">
        <v>336.44538461538468</v>
      </c>
      <c r="H37" s="118">
        <v>8.8051510938757716</v>
      </c>
      <c r="I37" s="119"/>
      <c r="N37" s="125" t="s">
        <v>182</v>
      </c>
      <c r="O37" s="126">
        <f>O35-R35</f>
        <v>1959.6078550599568</v>
      </c>
      <c r="P37" s="125">
        <f>P36-R36</f>
        <v>-1.559415526064559</v>
      </c>
      <c r="Q37" s="125"/>
      <c r="R37" s="125"/>
      <c r="T37" s="125" t="s">
        <v>182</v>
      </c>
      <c r="U37" s="126">
        <f>U35-X35</f>
        <v>3718.0797855731025</v>
      </c>
      <c r="V37" s="125">
        <f>V36-X36</f>
        <v>-1.8217012891077613</v>
      </c>
      <c r="W37" s="125"/>
      <c r="X37" s="125"/>
    </row>
    <row r="38" spans="1:24" ht="13.3" thickBot="1" x14ac:dyDescent="0.3">
      <c r="A38" s="124">
        <v>16.440420462971414</v>
      </c>
      <c r="B38" s="124">
        <v>244.19165178195865</v>
      </c>
      <c r="C38" s="124">
        <v>120.14202179090886</v>
      </c>
      <c r="D38" s="116">
        <v>1.2683143201696545</v>
      </c>
      <c r="E38" s="117">
        <v>10.263523874050687</v>
      </c>
      <c r="F38" s="117"/>
      <c r="G38" s="118">
        <v>339.23461538461532</v>
      </c>
      <c r="H38" s="118">
        <v>9.6257915947034949</v>
      </c>
      <c r="I38" s="119"/>
      <c r="N38" s="127" t="s">
        <v>183</v>
      </c>
      <c r="O38" s="126">
        <f>O35+R35</f>
        <v>2166.5201019292908</v>
      </c>
      <c r="P38" s="126">
        <f>P35+R36</f>
        <v>5.1457680826217373</v>
      </c>
      <c r="Q38" s="125"/>
      <c r="R38" s="125"/>
      <c r="T38" s="127" t="s">
        <v>183</v>
      </c>
      <c r="U38" s="126">
        <f>U35+X35</f>
        <v>4108.5685298390845</v>
      </c>
      <c r="V38" s="126">
        <f>V35+X36</f>
        <v>6.454090392561926</v>
      </c>
      <c r="W38" s="125"/>
      <c r="X38" s="125"/>
    </row>
    <row r="39" spans="1:24" ht="13.3" thickBot="1" x14ac:dyDescent="0.3">
      <c r="A39" s="124">
        <v>10.936009327004291</v>
      </c>
      <c r="B39" s="124">
        <v>310.56434768015254</v>
      </c>
      <c r="C39" s="124">
        <v>110.50089547150596</v>
      </c>
      <c r="D39" s="116">
        <v>0.7928916982021148</v>
      </c>
      <c r="E39" s="117">
        <v>8.6889697810134425</v>
      </c>
      <c r="F39" s="116">
        <v>4.3648747287678935</v>
      </c>
      <c r="G39" s="118">
        <v>331.91230769230776</v>
      </c>
      <c r="H39" s="118">
        <v>9.5920585039208071</v>
      </c>
      <c r="I39" s="119"/>
    </row>
    <row r="40" spans="1:24" ht="13.3" thickBot="1" x14ac:dyDescent="0.3">
      <c r="A40" s="124">
        <v>23.244716066249751</v>
      </c>
      <c r="B40" s="124">
        <v>286.31506216927301</v>
      </c>
      <c r="C40" s="124">
        <v>123.55069355441579</v>
      </c>
      <c r="D40" s="116">
        <v>1.5598087442988664</v>
      </c>
      <c r="E40" s="117">
        <v>10.155263187310652</v>
      </c>
      <c r="F40" s="117">
        <v>4.1848261140265075</v>
      </c>
      <c r="G40" s="118">
        <v>331.72</v>
      </c>
      <c r="H40" s="118">
        <v>10.309217688075607</v>
      </c>
      <c r="I40" s="119"/>
    </row>
    <row r="41" spans="1:24" ht="13.3" thickBot="1" x14ac:dyDescent="0.3">
      <c r="A41" s="124">
        <v>18.688616187408332</v>
      </c>
      <c r="B41" s="124">
        <v>326.24621273664411</v>
      </c>
      <c r="C41" s="124">
        <v>119.52303771427681</v>
      </c>
      <c r="D41" s="116">
        <v>1.2789070402239044</v>
      </c>
      <c r="E41" s="117">
        <v>8.9913881715391746</v>
      </c>
      <c r="F41" s="117">
        <v>4.6769438796561857</v>
      </c>
      <c r="G41" s="118">
        <v>333.64923076923083</v>
      </c>
      <c r="H41" s="118">
        <v>10.799964849585526</v>
      </c>
      <c r="I41" s="119"/>
    </row>
    <row r="42" spans="1:24" ht="13.3" thickBot="1" x14ac:dyDescent="0.3">
      <c r="A42" s="124">
        <v>35.194018312783506</v>
      </c>
      <c r="B42" s="124">
        <v>315.1222896353093</v>
      </c>
      <c r="C42" s="124">
        <v>120.05525010502708</v>
      </c>
      <c r="D42" s="116">
        <v>2.2192555687831601</v>
      </c>
      <c r="E42" s="117">
        <v>10.526007356312405</v>
      </c>
      <c r="F42" s="117">
        <v>4.7614087559923783</v>
      </c>
      <c r="G42" s="118">
        <v>336.28</v>
      </c>
      <c r="H42" s="118">
        <v>10.511808739047151</v>
      </c>
      <c r="I42" s="119"/>
    </row>
    <row r="43" spans="1:24" ht="13.3" thickBot="1" x14ac:dyDescent="0.3">
      <c r="A43" s="124">
        <v>16.366160209447855</v>
      </c>
      <c r="B43" s="124">
        <v>292.88980261354487</v>
      </c>
      <c r="C43" s="124">
        <v>117.25688257458013</v>
      </c>
      <c r="D43" s="116">
        <v>1.0315728009564877</v>
      </c>
      <c r="E43" s="117">
        <v>7.5114250673170568</v>
      </c>
      <c r="F43" s="117">
        <v>4.4880838701016366</v>
      </c>
      <c r="G43" s="118">
        <v>340.78076923076918</v>
      </c>
      <c r="H43" s="118">
        <v>10.220222658432851</v>
      </c>
      <c r="I43" s="119"/>
    </row>
    <row r="44" spans="1:24" ht="13.3" thickBot="1" x14ac:dyDescent="0.3">
      <c r="A44" s="124">
        <v>28.888428479199572</v>
      </c>
      <c r="B44" s="124">
        <v>335.9447006204955</v>
      </c>
      <c r="C44" s="124">
        <v>114.91070141636878</v>
      </c>
      <c r="D44" s="116">
        <v>1.7397669820550072</v>
      </c>
      <c r="E44" s="117">
        <v>9.3685660329134457</v>
      </c>
      <c r="F44" s="117">
        <v>4.3785849430522124</v>
      </c>
      <c r="G44" s="118">
        <v>333.69846153846152</v>
      </c>
      <c r="H44" s="118">
        <v>10.322816777688338</v>
      </c>
      <c r="I44" s="119"/>
    </row>
    <row r="45" spans="1:24" ht="13.3" thickBot="1" x14ac:dyDescent="0.3">
      <c r="A45" s="124">
        <v>125.9418628772777</v>
      </c>
      <c r="B45" s="124">
        <v>345.59253702880341</v>
      </c>
      <c r="C45" s="124">
        <v>114.74501751468863</v>
      </c>
      <c r="D45" s="116">
        <v>8.7301587301587187</v>
      </c>
      <c r="E45" s="117">
        <v>9.6213841478616011</v>
      </c>
      <c r="F45" s="117">
        <v>4.3504997681551805</v>
      </c>
      <c r="G45" s="118">
        <v>338.09076923076924</v>
      </c>
      <c r="H45" s="118">
        <v>11.017462837350221</v>
      </c>
      <c r="I45" s="119"/>
    </row>
    <row r="46" spans="1:24" ht="13.3" thickBot="1" x14ac:dyDescent="0.3">
      <c r="A46" s="124">
        <v>29.488049698129114</v>
      </c>
      <c r="B46" s="124">
        <v>322.73748500135707</v>
      </c>
      <c r="C46" s="124">
        <v>113.63198757388541</v>
      </c>
      <c r="D46" s="116">
        <v>1.9412273832584637</v>
      </c>
      <c r="E46" s="117">
        <v>9.3814149653400349</v>
      </c>
      <c r="F46" s="117">
        <v>4.4039932452567845</v>
      </c>
      <c r="G46" s="118">
        <v>333.72846153846154</v>
      </c>
      <c r="H46" s="118">
        <v>10.261693797650901</v>
      </c>
      <c r="I46" s="119"/>
    </row>
    <row r="47" spans="1:24" ht="13.3" thickBot="1" x14ac:dyDescent="0.3">
      <c r="A47" s="124">
        <v>28.887312959171911</v>
      </c>
      <c r="B47" s="124">
        <v>821.41065017748372</v>
      </c>
      <c r="C47" s="124">
        <v>121.6303539874658</v>
      </c>
      <c r="D47" s="116">
        <v>1.8375896072656221</v>
      </c>
      <c r="E47" s="117">
        <v>8.8686829213828222</v>
      </c>
      <c r="F47" s="117">
        <v>4.3102720787891693</v>
      </c>
      <c r="G47" s="118">
        <v>339.26153846153841</v>
      </c>
      <c r="H47" s="118">
        <v>11.189818014282432</v>
      </c>
      <c r="I47" s="119"/>
    </row>
    <row r="48" spans="1:24" ht="13.3" thickBot="1" x14ac:dyDescent="0.3">
      <c r="A48" s="124">
        <v>30.226515263921442</v>
      </c>
      <c r="B48" s="124">
        <v>318.80616105244115</v>
      </c>
      <c r="C48" s="124">
        <v>117.03816504788786</v>
      </c>
      <c r="D48" s="116">
        <v>1.9224413352429262</v>
      </c>
      <c r="E48" s="117">
        <v>24.764693760865484</v>
      </c>
      <c r="F48" s="117">
        <v>4.4939706037751703</v>
      </c>
      <c r="G48" s="118">
        <v>335.61692307692317</v>
      </c>
      <c r="H48" s="118">
        <v>10.874718328407122</v>
      </c>
      <c r="I48" s="119"/>
    </row>
    <row r="49" spans="1:9" ht="13.3" thickBot="1" x14ac:dyDescent="0.3">
      <c r="A49" s="124">
        <v>26.640912146555479</v>
      </c>
      <c r="B49" s="124">
        <v>313.42296330198099</v>
      </c>
      <c r="C49" s="124">
        <v>109.14838523769977</v>
      </c>
      <c r="D49" s="116">
        <v>1.6403846419160286</v>
      </c>
      <c r="E49" s="117">
        <v>8.4832588828325992</v>
      </c>
      <c r="F49" s="117">
        <v>4.3218515862614622</v>
      </c>
      <c r="G49" s="118">
        <v>339.39076923076925</v>
      </c>
      <c r="H49" s="118">
        <v>11.306694999210331</v>
      </c>
      <c r="I49" s="119"/>
    </row>
    <row r="50" spans="1:9" ht="13.3" thickBot="1" x14ac:dyDescent="0.3">
      <c r="A50" s="124">
        <v>43.068165447328205</v>
      </c>
      <c r="B50" s="124">
        <v>311.06553212305249</v>
      </c>
      <c r="C50" s="124">
        <v>135.76065560799807</v>
      </c>
      <c r="D50" s="116">
        <v>2.5792860721121027</v>
      </c>
      <c r="E50" s="117">
        <v>9.6355041471144354</v>
      </c>
      <c r="F50" s="117">
        <v>4.029415582470449</v>
      </c>
      <c r="G50" s="118">
        <v>335.03615384615381</v>
      </c>
      <c r="H50" s="118">
        <v>10.560527006150348</v>
      </c>
      <c r="I50" s="119"/>
    </row>
    <row r="51" spans="1:9" ht="13.3" thickBot="1" x14ac:dyDescent="0.3">
      <c r="A51" s="124">
        <v>15.653500407286764</v>
      </c>
      <c r="B51" s="124">
        <v>299.68289695110741</v>
      </c>
      <c r="C51" s="124">
        <v>113.76677727310576</v>
      </c>
      <c r="D51" s="116">
        <v>1.1910941511525039</v>
      </c>
      <c r="E51" s="117">
        <v>8.5691773674907523</v>
      </c>
      <c r="F51" s="117">
        <v>5.7121766116030948</v>
      </c>
      <c r="G51" s="118">
        <v>336.04538461538465</v>
      </c>
      <c r="H51" s="118">
        <v>13.278245192307672</v>
      </c>
      <c r="I51" s="119"/>
    </row>
    <row r="52" spans="1:9" ht="13.3" thickBot="1" x14ac:dyDescent="0.3">
      <c r="A52" s="124">
        <v>20.993934838414692</v>
      </c>
      <c r="B52" s="124">
        <v>275.5820350186147</v>
      </c>
      <c r="C52" s="124">
        <v>131.01272410639947</v>
      </c>
      <c r="D52" s="116">
        <v>1.255370663233178</v>
      </c>
      <c r="E52" s="117">
        <v>9.676540035583999</v>
      </c>
      <c r="F52" s="117">
        <v>4.4917152478008546</v>
      </c>
      <c r="G52" s="118">
        <v>334.51307692307694</v>
      </c>
      <c r="H52" s="118">
        <v>9.6616601480146009</v>
      </c>
      <c r="I52" s="119"/>
    </row>
    <row r="53" spans="1:9" ht="13.3" thickBot="1" x14ac:dyDescent="0.3">
      <c r="A53" s="124">
        <v>24.541503621443656</v>
      </c>
      <c r="B53" s="124">
        <v>332.89306492476999</v>
      </c>
      <c r="C53" s="124">
        <v>115.18053698433471</v>
      </c>
      <c r="D53" s="116">
        <v>1.5638111221298368</v>
      </c>
      <c r="E53" s="117">
        <v>7.0817198821448519</v>
      </c>
      <c r="F53" s="117">
        <v>5.5548991808443686</v>
      </c>
      <c r="G53" s="118">
        <v>336.87230769230769</v>
      </c>
      <c r="H53" s="118">
        <v>10.774308420549767</v>
      </c>
      <c r="I53" s="119"/>
    </row>
    <row r="54" spans="1:9" ht="13.3" thickBot="1" x14ac:dyDescent="0.3">
      <c r="A54" s="124">
        <v>17.747408965798726</v>
      </c>
      <c r="B54" s="124">
        <v>314.72359496070879</v>
      </c>
      <c r="C54" s="124">
        <v>127.30018032630608</v>
      </c>
      <c r="D54" s="116">
        <v>1.4107570222949892</v>
      </c>
      <c r="E54" s="117">
        <v>11.260243729485161</v>
      </c>
      <c r="F54" s="117">
        <v>4.156777037848383</v>
      </c>
      <c r="G54" s="118">
        <v>334.26076923076926</v>
      </c>
      <c r="H54" s="118">
        <v>10.611411060849298</v>
      </c>
      <c r="I54" s="119"/>
    </row>
    <row r="55" spans="1:9" ht="13.3" thickBot="1" x14ac:dyDescent="0.3">
      <c r="A55" s="124">
        <v>20.527032786095532</v>
      </c>
      <c r="B55" s="124">
        <v>298.61553534602558</v>
      </c>
      <c r="C55" s="124">
        <v>114.66075474102971</v>
      </c>
      <c r="D55" s="116">
        <v>1.4605310518592292</v>
      </c>
      <c r="E55" s="117">
        <v>8.7133633491144522</v>
      </c>
      <c r="F55" s="117">
        <v>5.3543252560925323</v>
      </c>
      <c r="G55" s="118">
        <v>341.06384615384616</v>
      </c>
      <c r="H55" s="118">
        <v>11.722740756819295</v>
      </c>
      <c r="I55" s="119"/>
    </row>
    <row r="56" spans="1:9" x14ac:dyDescent="0.25">
      <c r="A56" s="124">
        <v>20.098707669886391</v>
      </c>
      <c r="B56" s="124">
        <v>354.26184239204326</v>
      </c>
      <c r="D56" s="116">
        <v>1.3817866823148208</v>
      </c>
      <c r="E56" s="117">
        <v>9.2711130926475214</v>
      </c>
      <c r="F56" s="117">
        <v>4.4092543128552055</v>
      </c>
      <c r="G56" s="118">
        <v>338.75692307692316</v>
      </c>
      <c r="H56" s="118">
        <v>10.243353576735025</v>
      </c>
      <c r="I56" s="119"/>
    </row>
    <row r="57" spans="1:9" x14ac:dyDescent="0.25">
      <c r="B57" s="124">
        <v>306.02245681485579</v>
      </c>
      <c r="E57" s="117">
        <v>9.8816881145146649</v>
      </c>
      <c r="G57" s="118">
        <v>335.17461538461544</v>
      </c>
      <c r="H57" s="118">
        <v>10.679413564953833</v>
      </c>
      <c r="I57" s="119"/>
    </row>
    <row r="58" spans="1:9" x14ac:dyDescent="0.25">
      <c r="A58" s="128">
        <f>AVERAGE(A2:A56)</f>
        <v>30.924687838129209</v>
      </c>
      <c r="B58" s="128">
        <f>AVERAGE(B2:B56)</f>
        <v>340.10191016284034</v>
      </c>
      <c r="C58" s="128">
        <f>AVERAGE(C2:C56)</f>
        <v>110.46812558195597</v>
      </c>
      <c r="E58" s="117">
        <v>9.174013523923799</v>
      </c>
      <c r="I58" s="119"/>
    </row>
    <row r="59" spans="1:9" x14ac:dyDescent="0.25">
      <c r="E59" s="117">
        <v>8.7098315949281719</v>
      </c>
    </row>
    <row r="60" spans="1:9" x14ac:dyDescent="0.25">
      <c r="D60" s="10">
        <f>STDEV(D2:D56)</f>
        <v>1.1371599906672591</v>
      </c>
      <c r="E60" s="10">
        <f>STDEV(E2:E59)</f>
        <v>2.3468798476854595</v>
      </c>
      <c r="F60" s="10">
        <f>STDEV(F2:F56)</f>
        <v>0.54206237083856768</v>
      </c>
      <c r="G60" s="10">
        <f>STDEV(G2:G56)</f>
        <v>4.6615613759219032</v>
      </c>
      <c r="H60" s="10">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2019-05-23T16:47:20Z</dcterms:modified>
</cp:coreProperties>
</file>